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730" yWindow="240" windowWidth="6330" windowHeight="12435" activeTab="1"/>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Settings'!$D$20</definedName>
    <definedName name="BondBasisDayCounter">'General Settings'!$L$13</definedName>
    <definedName name="Calendar">'General Settings'!$D$18</definedName>
    <definedName name="Check">Monitor!$J$49</definedName>
    <definedName name="Conventions" localSheetId="6">ForwardSwaps!#REF!</definedName>
    <definedName name="Conventions" localSheetId="5">Swaps!$P$5:$R$9</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Monitor!$AB$16</definedName>
    <definedName name="IborType">'General Settings'!$D$7</definedName>
    <definedName name="IndexTenor">'General Settings'!$D$6</definedName>
    <definedName name="InterpolatorID">'General Settings'!$D$22</definedName>
    <definedName name="JumpDates">Jumps!$C$6:$C$18</definedName>
    <definedName name="JumpQuotes">Jumps!$G$6:$G$18</definedName>
    <definedName name="MinDistance">RateHelpers!$H$2:$H$390</definedName>
    <definedName name="MktFRA">Monitor!$N$18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Monitor!$AC$19:$AC$363</definedName>
    <definedName name="ONValueDates">Monitor!$AA$19:$AA$363</definedName>
    <definedName name="OverNightIndex">Monitor!$AC$16</definedName>
    <definedName name="Permanent">'General Settings'!$D$10</definedName>
    <definedName name="QuoteSuffix">'General Settings'!$L$12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Settings'!$L$5</definedName>
    <definedName name="Serialize">'General Settings'!$L$4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M401" i="12" l="1"/>
  <c r="M400" i="12"/>
  <c r="M399" i="12"/>
  <c r="M398" i="12"/>
  <c r="M397" i="12"/>
  <c r="M396" i="12"/>
  <c r="M395" i="12"/>
  <c r="M394" i="12"/>
  <c r="M393" i="12"/>
  <c r="M392" i="12"/>
  <c r="M391" i="12"/>
  <c r="M390" i="12"/>
  <c r="M389" i="12"/>
  <c r="M388" i="12"/>
  <c r="M387" i="12"/>
  <c r="M386" i="12"/>
  <c r="M385" i="12"/>
  <c r="M384" i="12"/>
  <c r="M382" i="12"/>
  <c r="M381" i="12"/>
  <c r="M380" i="12"/>
  <c r="M379" i="12"/>
  <c r="M378" i="12"/>
  <c r="M377" i="12"/>
  <c r="M376" i="12"/>
  <c r="M375" i="12"/>
  <c r="M374" i="12"/>
  <c r="M373" i="12"/>
  <c r="M372" i="12"/>
  <c r="M371" i="12"/>
  <c r="M370" i="12"/>
  <c r="M369" i="12"/>
  <c r="M368" i="12"/>
  <c r="M367" i="12"/>
  <c r="M366" i="12"/>
  <c r="M365" i="12"/>
  <c r="M364" i="12"/>
  <c r="M363" i="12"/>
  <c r="M362" i="12"/>
  <c r="M361" i="12"/>
  <c r="M360" i="12"/>
  <c r="M359" i="12"/>
  <c r="M358" i="12"/>
  <c r="M357" i="12"/>
  <c r="M356" i="12"/>
  <c r="M355" i="12"/>
  <c r="M354" i="12"/>
  <c r="M353" i="12"/>
  <c r="M352" i="12"/>
  <c r="M351" i="12"/>
  <c r="M350" i="12"/>
  <c r="M349" i="12"/>
  <c r="M348" i="12"/>
  <c r="M346" i="12"/>
  <c r="M345" i="12"/>
  <c r="M344" i="12"/>
  <c r="M343" i="12"/>
  <c r="M342" i="12"/>
  <c r="M341" i="12"/>
  <c r="M340" i="12"/>
  <c r="M339" i="12"/>
  <c r="M338" i="12"/>
  <c r="M337" i="12"/>
  <c r="M336" i="12"/>
  <c r="M335" i="12"/>
  <c r="M334" i="12"/>
  <c r="M333" i="12"/>
  <c r="M332" i="12"/>
  <c r="M331" i="12"/>
  <c r="M330" i="12"/>
  <c r="M329" i="12"/>
  <c r="M328" i="12"/>
  <c r="M327" i="12"/>
  <c r="M326" i="12"/>
  <c r="M325" i="12"/>
  <c r="M324" i="12"/>
  <c r="M323" i="12"/>
  <c r="M322" i="12"/>
  <c r="M321" i="12"/>
  <c r="M320" i="12"/>
  <c r="M319" i="12"/>
  <c r="M318" i="12"/>
  <c r="M317" i="12"/>
  <c r="M316" i="12"/>
  <c r="M315" i="12"/>
  <c r="M314" i="12"/>
  <c r="M313" i="12"/>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143" i="12"/>
  <c r="M142" i="12"/>
  <c r="M141" i="12"/>
  <c r="M140" i="12"/>
  <c r="M139" i="12"/>
  <c r="M138" i="12"/>
  <c r="M137" i="12"/>
  <c r="M136" i="12"/>
  <c r="M135" i="12"/>
  <c r="M134" i="12"/>
  <c r="M133" i="12"/>
  <c r="M132" i="12"/>
  <c r="M131" i="12"/>
  <c r="M130" i="12"/>
  <c r="M129" i="12"/>
  <c r="M128" i="12"/>
  <c r="M127" i="12"/>
  <c r="M126" i="12"/>
  <c r="M125" i="12"/>
  <c r="M124" i="12"/>
  <c r="M123" i="12"/>
  <c r="M122" i="12"/>
  <c r="M121" i="12"/>
  <c r="M120" i="12"/>
  <c r="M119" i="12"/>
  <c r="M118" i="12"/>
  <c r="M117" i="12"/>
  <c r="M116" i="12"/>
  <c r="M115"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F1" i="7" l="1"/>
  <c r="D18" i="15" l="1"/>
  <c r="G18" i="15" s="1"/>
  <c r="D17" i="15"/>
  <c r="G17" i="15" s="1"/>
  <c r="D16" i="15"/>
  <c r="G16" i="15" s="1"/>
  <c r="D15" i="15"/>
  <c r="G15" i="15" s="1"/>
  <c r="D14" i="15"/>
  <c r="G14" i="15" s="1"/>
  <c r="D13" i="15"/>
  <c r="G13" i="15" s="1"/>
  <c r="D12" i="15"/>
  <c r="G12" i="15" s="1"/>
  <c r="D11" i="15"/>
  <c r="G11" i="15" s="1"/>
  <c r="D10" i="15"/>
  <c r="G10" i="15" s="1"/>
  <c r="D9" i="15"/>
  <c r="G9" i="15" s="1"/>
  <c r="D8" i="15"/>
  <c r="G8" i="15" s="1"/>
  <c r="D7" i="15"/>
  <c r="G7" i="15" s="1"/>
  <c r="D6" i="15"/>
  <c r="G6" i="15" s="1"/>
  <c r="E6" i="15"/>
  <c r="E17" i="15"/>
  <c r="E15" i="15"/>
  <c r="E10" i="15"/>
  <c r="E11" i="15"/>
  <c r="E9" i="15"/>
  <c r="E12" i="15"/>
  <c r="E7" i="15"/>
  <c r="E8" i="15"/>
  <c r="D2" i="15"/>
  <c r="E18" i="15"/>
  <c r="E13" i="15"/>
  <c r="E14" i="15"/>
  <c r="E16" i="15"/>
  <c r="C27" i="6" l="1"/>
  <c r="C18" i="15"/>
  <c r="D3" i="15"/>
  <c r="C6" i="15" s="1"/>
  <c r="E329" i="13" l="1"/>
  <c r="J329" i="13" s="1"/>
  <c r="E328" i="13"/>
  <c r="J328" i="13" s="1"/>
  <c r="E327" i="13"/>
  <c r="J327" i="13" s="1"/>
  <c r="E326" i="13"/>
  <c r="J326" i="13" s="1"/>
  <c r="E325" i="13"/>
  <c r="J325" i="13" s="1"/>
  <c r="E324" i="13"/>
  <c r="J324" i="13" s="1"/>
  <c r="E323" i="13"/>
  <c r="J323" i="13" s="1"/>
  <c r="E322" i="13"/>
  <c r="J322" i="13" s="1"/>
  <c r="E321" i="13"/>
  <c r="J321" i="13" s="1"/>
  <c r="E320" i="13"/>
  <c r="J320" i="13" s="1"/>
  <c r="E319" i="13"/>
  <c r="J319" i="13" s="1"/>
  <c r="E318" i="13"/>
  <c r="J318" i="13" s="1"/>
  <c r="E317" i="13"/>
  <c r="J317" i="13" s="1"/>
  <c r="E316" i="13"/>
  <c r="J316" i="13" s="1"/>
  <c r="E315" i="13"/>
  <c r="J315" i="13" s="1"/>
  <c r="E314" i="13"/>
  <c r="J314" i="13" s="1"/>
  <c r="E313" i="13"/>
  <c r="J313" i="13" s="1"/>
  <c r="E312" i="13"/>
  <c r="J312" i="13" s="1"/>
  <c r="E311" i="13"/>
  <c r="J311" i="13" s="1"/>
  <c r="E310" i="13"/>
  <c r="J310" i="13" s="1"/>
  <c r="E309" i="13"/>
  <c r="J309" i="13" s="1"/>
  <c r="E308" i="13"/>
  <c r="J308" i="13" s="1"/>
  <c r="E307" i="13"/>
  <c r="J307" i="13" s="1"/>
  <c r="E306" i="13"/>
  <c r="J306" i="13" s="1"/>
  <c r="E305" i="13"/>
  <c r="J305" i="13" s="1"/>
  <c r="E304" i="13"/>
  <c r="J304" i="13" s="1"/>
  <c r="E303" i="13"/>
  <c r="J303" i="13" s="1"/>
  <c r="E302" i="13"/>
  <c r="J302" i="13" s="1"/>
  <c r="E301" i="13"/>
  <c r="J301" i="13" s="1"/>
  <c r="E300" i="13"/>
  <c r="J300" i="13" s="1"/>
  <c r="E299" i="13"/>
  <c r="J299" i="13" s="1"/>
  <c r="E298" i="13"/>
  <c r="J298" i="13" s="1"/>
  <c r="E297" i="13"/>
  <c r="J297" i="13" s="1"/>
  <c r="E296" i="13"/>
  <c r="J296" i="13" s="1"/>
  <c r="E295" i="13"/>
  <c r="J295" i="13" s="1"/>
  <c r="E294" i="13"/>
  <c r="J294" i="13" s="1"/>
  <c r="E293" i="13"/>
  <c r="J293" i="13" s="1"/>
  <c r="E292" i="13"/>
  <c r="J292" i="13" s="1"/>
  <c r="E291" i="13"/>
  <c r="J291" i="13" s="1"/>
  <c r="E290" i="13"/>
  <c r="J290" i="13" s="1"/>
  <c r="E289" i="13"/>
  <c r="J289" i="13" s="1"/>
  <c r="E288" i="13"/>
  <c r="J288" i="13" s="1"/>
  <c r="E287" i="13"/>
  <c r="J287" i="13" s="1"/>
  <c r="E286" i="13"/>
  <c r="J286" i="13" s="1"/>
  <c r="E285" i="13"/>
  <c r="J285" i="13" s="1"/>
  <c r="E284" i="13"/>
  <c r="J284" i="13" s="1"/>
  <c r="E283" i="13"/>
  <c r="J283" i="13" s="1"/>
  <c r="E282" i="13"/>
  <c r="J282" i="13" s="1"/>
  <c r="E281" i="13"/>
  <c r="J281" i="13" s="1"/>
  <c r="E280" i="13"/>
  <c r="J280" i="13" s="1"/>
  <c r="E279" i="13"/>
  <c r="J279" i="13" s="1"/>
  <c r="E278" i="13"/>
  <c r="J278" i="13" s="1"/>
  <c r="E277" i="13"/>
  <c r="J277" i="13" s="1"/>
  <c r="E276" i="13"/>
  <c r="J276" i="13" s="1"/>
  <c r="E275" i="13"/>
  <c r="J275" i="13" s="1"/>
  <c r="E274" i="13"/>
  <c r="J274" i="13" s="1"/>
  <c r="E273" i="13"/>
  <c r="J273" i="13" s="1"/>
  <c r="E272" i="13"/>
  <c r="J272" i="13" s="1"/>
  <c r="E271" i="13"/>
  <c r="J271" i="13" s="1"/>
  <c r="E270" i="13"/>
  <c r="J270" i="13" s="1"/>
  <c r="E269" i="13"/>
  <c r="J269" i="13" s="1"/>
  <c r="E268" i="13"/>
  <c r="J268" i="13" s="1"/>
  <c r="E267" i="13"/>
  <c r="J267" i="13" s="1"/>
  <c r="E266" i="13"/>
  <c r="J266" i="13" s="1"/>
  <c r="E265" i="13"/>
  <c r="J265" i="13" s="1"/>
  <c r="E264" i="13"/>
  <c r="J264" i="13" s="1"/>
  <c r="E263" i="13"/>
  <c r="J263" i="13" s="1"/>
  <c r="E262" i="13"/>
  <c r="J262" i="13" s="1"/>
  <c r="E261" i="13"/>
  <c r="J261" i="13" s="1"/>
  <c r="E260" i="13"/>
  <c r="J260" i="13" s="1"/>
  <c r="E259" i="13"/>
  <c r="J259" i="13" s="1"/>
  <c r="E258" i="13"/>
  <c r="J258" i="13" s="1"/>
  <c r="E257" i="13"/>
  <c r="J257" i="13" s="1"/>
  <c r="E256" i="13"/>
  <c r="J256" i="13" s="1"/>
  <c r="E255" i="13"/>
  <c r="J255" i="13" s="1"/>
  <c r="E254" i="13"/>
  <c r="J254" i="13" s="1"/>
  <c r="E253" i="13"/>
  <c r="J253" i="13" s="1"/>
  <c r="E252" i="13"/>
  <c r="J252" i="13" s="1"/>
  <c r="E251" i="13"/>
  <c r="J251" i="13" s="1"/>
  <c r="E250" i="13"/>
  <c r="J250" i="13" s="1"/>
  <c r="E249" i="13"/>
  <c r="J249" i="13" s="1"/>
  <c r="E248" i="13"/>
  <c r="J248" i="13" s="1"/>
  <c r="E247" i="13"/>
  <c r="J247" i="13" s="1"/>
  <c r="E246" i="13"/>
  <c r="J246" i="13" s="1"/>
  <c r="E245" i="13"/>
  <c r="J245" i="13" s="1"/>
  <c r="E244" i="13"/>
  <c r="J244" i="13" s="1"/>
  <c r="E243" i="13"/>
  <c r="J243" i="13" s="1"/>
  <c r="E242" i="13"/>
  <c r="J242" i="13" s="1"/>
  <c r="E241" i="13"/>
  <c r="J241" i="13" s="1"/>
  <c r="E240" i="13"/>
  <c r="J240" i="13" s="1"/>
  <c r="E239" i="13"/>
  <c r="J239" i="13" s="1"/>
  <c r="E238" i="13"/>
  <c r="J238" i="13" s="1"/>
  <c r="E237" i="13"/>
  <c r="J237" i="13" s="1"/>
  <c r="E236" i="13"/>
  <c r="J236" i="13" s="1"/>
  <c r="E235" i="13"/>
  <c r="J235" i="13" s="1"/>
  <c r="E234" i="13"/>
  <c r="J234" i="13" s="1"/>
  <c r="E233" i="13"/>
  <c r="J233" i="13" s="1"/>
  <c r="E232" i="13"/>
  <c r="J232" i="13" s="1"/>
  <c r="E231" i="13"/>
  <c r="J231" i="13" s="1"/>
  <c r="E230" i="13"/>
  <c r="J230" i="13" s="1"/>
  <c r="E229" i="13"/>
  <c r="J229" i="13" s="1"/>
  <c r="E228" i="13"/>
  <c r="J228" i="13" s="1"/>
  <c r="E227" i="13"/>
  <c r="J227" i="13" s="1"/>
  <c r="E226" i="13"/>
  <c r="J226" i="13" s="1"/>
  <c r="E225" i="13"/>
  <c r="J225" i="13" s="1"/>
  <c r="E224" i="13"/>
  <c r="J224" i="13" s="1"/>
  <c r="E223" i="13"/>
  <c r="J223" i="13" s="1"/>
  <c r="E222" i="13"/>
  <c r="J222" i="13" s="1"/>
  <c r="E221" i="13"/>
  <c r="J221" i="13" s="1"/>
  <c r="E220" i="13"/>
  <c r="J220" i="13" s="1"/>
  <c r="E219" i="13"/>
  <c r="J219" i="13" s="1"/>
  <c r="E218" i="13"/>
  <c r="J218" i="13" s="1"/>
  <c r="E217" i="13"/>
  <c r="J217" i="13" s="1"/>
  <c r="E216" i="13"/>
  <c r="J216" i="13" s="1"/>
  <c r="E215" i="13"/>
  <c r="J215" i="13" s="1"/>
  <c r="E214" i="13"/>
  <c r="J214" i="13" s="1"/>
  <c r="E213" i="13"/>
  <c r="J213" i="13" s="1"/>
  <c r="E212" i="13"/>
  <c r="J212" i="13" s="1"/>
  <c r="E211" i="13"/>
  <c r="J211" i="13" s="1"/>
  <c r="E210" i="13"/>
  <c r="J210" i="13" s="1"/>
  <c r="E209" i="13"/>
  <c r="J209" i="13" s="1"/>
  <c r="E208" i="13"/>
  <c r="J208" i="13" s="1"/>
  <c r="E207" i="13"/>
  <c r="J207" i="13" s="1"/>
  <c r="E206" i="13"/>
  <c r="J206" i="13" s="1"/>
  <c r="E205" i="13"/>
  <c r="J205" i="13" s="1"/>
  <c r="E204" i="13"/>
  <c r="J204" i="13" s="1"/>
  <c r="E203" i="13"/>
  <c r="J203" i="13" s="1"/>
  <c r="E202" i="13"/>
  <c r="J202" i="13" s="1"/>
  <c r="E201" i="13"/>
  <c r="J201" i="13" s="1"/>
  <c r="E200" i="13"/>
  <c r="J200" i="13" s="1"/>
  <c r="E199" i="13"/>
  <c r="J199" i="13" s="1"/>
  <c r="E198" i="13"/>
  <c r="J198" i="13" s="1"/>
  <c r="E197" i="13"/>
  <c r="J197" i="13" s="1"/>
  <c r="E196" i="13"/>
  <c r="J196" i="13" s="1"/>
  <c r="E195" i="13"/>
  <c r="J195" i="13" s="1"/>
  <c r="E194" i="13"/>
  <c r="J194" i="13" s="1"/>
  <c r="E193" i="13"/>
  <c r="J193" i="13" s="1"/>
  <c r="E192" i="13"/>
  <c r="J192" i="13" s="1"/>
  <c r="E191" i="13"/>
  <c r="J191" i="13" s="1"/>
  <c r="E190" i="13"/>
  <c r="J190" i="13" s="1"/>
  <c r="E189" i="13"/>
  <c r="J189" i="13" s="1"/>
  <c r="E188" i="13"/>
  <c r="J188" i="13" s="1"/>
  <c r="E187" i="13"/>
  <c r="J187" i="13" s="1"/>
  <c r="E186" i="13"/>
  <c r="J186" i="13" s="1"/>
  <c r="E185" i="13"/>
  <c r="E184" i="13"/>
  <c r="E183" i="13"/>
  <c r="E182" i="13"/>
  <c r="E181" i="13"/>
  <c r="J181" i="13" s="1"/>
  <c r="E180" i="13"/>
  <c r="J180" i="13" s="1"/>
  <c r="E179" i="13"/>
  <c r="J179" i="13" s="1"/>
  <c r="E178" i="13"/>
  <c r="J178" i="13" s="1"/>
  <c r="E177" i="13"/>
  <c r="E176" i="13"/>
  <c r="J176" i="13" s="1"/>
  <c r="E175" i="13"/>
  <c r="J175" i="13" s="1"/>
  <c r="E174" i="13"/>
  <c r="J174" i="13" s="1"/>
  <c r="E173" i="13"/>
  <c r="J173" i="13" s="1"/>
  <c r="E172" i="13"/>
  <c r="J172" i="13" s="1"/>
  <c r="E171" i="13"/>
  <c r="J171" i="13" s="1"/>
  <c r="E170" i="13"/>
  <c r="J170" i="13" s="1"/>
  <c r="E169" i="13"/>
  <c r="J169" i="13" s="1"/>
  <c r="E168" i="13"/>
  <c r="J168" i="13" s="1"/>
  <c r="J185" i="13"/>
  <c r="J184" i="13"/>
  <c r="J183" i="13"/>
  <c r="J182" i="13"/>
  <c r="J177" i="13"/>
  <c r="E167" i="13"/>
  <c r="J167" i="13" s="1"/>
  <c r="E166" i="13"/>
  <c r="J166" i="13" s="1"/>
  <c r="E165" i="13"/>
  <c r="J165" i="13" s="1"/>
  <c r="E164" i="13"/>
  <c r="J164" i="13" s="1"/>
  <c r="E163" i="13"/>
  <c r="J163" i="13" s="1"/>
  <c r="E162" i="13"/>
  <c r="J162" i="13" s="1"/>
  <c r="E161" i="13"/>
  <c r="J161" i="13" s="1"/>
  <c r="E160" i="13"/>
  <c r="J160" i="13" s="1"/>
  <c r="E159" i="13"/>
  <c r="J159" i="13" s="1"/>
  <c r="E158" i="13"/>
  <c r="J158" i="13" s="1"/>
  <c r="E157" i="13"/>
  <c r="J157" i="13" s="1"/>
  <c r="E156" i="13"/>
  <c r="J156" i="13" s="1"/>
  <c r="E155" i="13"/>
  <c r="J155" i="13" s="1"/>
  <c r="E154" i="13"/>
  <c r="J154" i="13" s="1"/>
  <c r="E153" i="13"/>
  <c r="J153" i="13" s="1"/>
  <c r="E152" i="13"/>
  <c r="J152" i="13" s="1"/>
  <c r="E151" i="13"/>
  <c r="J151" i="13" s="1"/>
  <c r="E150" i="13"/>
  <c r="J150" i="13" s="1"/>
  <c r="E149" i="13"/>
  <c r="J149" i="13" s="1"/>
  <c r="E148" i="13"/>
  <c r="J148" i="13" s="1"/>
  <c r="E147" i="13"/>
  <c r="J147" i="13" s="1"/>
  <c r="E146" i="13"/>
  <c r="J146" i="13" s="1"/>
  <c r="E145" i="13"/>
  <c r="J145" i="13" s="1"/>
  <c r="E144" i="13"/>
  <c r="J144" i="13" s="1"/>
  <c r="E143" i="13"/>
  <c r="J143" i="13" s="1"/>
  <c r="E142" i="13"/>
  <c r="J142" i="13" s="1"/>
  <c r="E141" i="13"/>
  <c r="J141" i="13" s="1"/>
  <c r="E140" i="13"/>
  <c r="J140" i="13" s="1"/>
  <c r="E139" i="13"/>
  <c r="J139" i="13" s="1"/>
  <c r="E138" i="13"/>
  <c r="J138" i="13" s="1"/>
  <c r="E137" i="13"/>
  <c r="J137" i="13" s="1"/>
  <c r="E136" i="13"/>
  <c r="J136" i="13" s="1"/>
  <c r="E135" i="13"/>
  <c r="J135" i="13" s="1"/>
  <c r="E134" i="13"/>
  <c r="J134" i="13" s="1"/>
  <c r="E133" i="13"/>
  <c r="J133" i="13" s="1"/>
  <c r="E132" i="13"/>
  <c r="J132" i="13" s="1"/>
  <c r="E131" i="13"/>
  <c r="J131" i="13" s="1"/>
  <c r="E130" i="13"/>
  <c r="J130" i="13" s="1"/>
  <c r="E129" i="13"/>
  <c r="J129" i="13" s="1"/>
  <c r="E128" i="13"/>
  <c r="J128" i="13" s="1"/>
  <c r="E127" i="13"/>
  <c r="J127" i="13" s="1"/>
  <c r="E126" i="13"/>
  <c r="J126" i="13" s="1"/>
  <c r="E125" i="13"/>
  <c r="J125" i="13" s="1"/>
  <c r="E124" i="13"/>
  <c r="J124" i="13" s="1"/>
  <c r="E123" i="13"/>
  <c r="J123" i="13" s="1"/>
  <c r="E122" i="13"/>
  <c r="J122" i="13" s="1"/>
  <c r="E121" i="13"/>
  <c r="J121" i="13" s="1"/>
  <c r="E120" i="13"/>
  <c r="J120" i="13" s="1"/>
  <c r="E119" i="13"/>
  <c r="J119" i="13" s="1"/>
  <c r="E118" i="13"/>
  <c r="J118" i="13" s="1"/>
  <c r="E117" i="13"/>
  <c r="J117" i="13" s="1"/>
  <c r="E116" i="13"/>
  <c r="J116" i="13" s="1"/>
  <c r="E115" i="13"/>
  <c r="J115" i="13" s="1"/>
  <c r="E114" i="13"/>
  <c r="J114" i="13" s="1"/>
  <c r="E113" i="13"/>
  <c r="J113" i="13" s="1"/>
  <c r="E112" i="13"/>
  <c r="J112" i="13" s="1"/>
  <c r="E111" i="13"/>
  <c r="J111" i="13" s="1"/>
  <c r="E110" i="13"/>
  <c r="J110" i="13" s="1"/>
  <c r="E109" i="13"/>
  <c r="J109" i="13" s="1"/>
  <c r="E108" i="13"/>
  <c r="J108" i="13" s="1"/>
  <c r="E107" i="13"/>
  <c r="J107" i="13" s="1"/>
  <c r="E106" i="13"/>
  <c r="J106" i="13" s="1"/>
  <c r="E105" i="13"/>
  <c r="J105" i="13" s="1"/>
  <c r="E104" i="13"/>
  <c r="J104" i="13" s="1"/>
  <c r="E103" i="13"/>
  <c r="J103" i="13" s="1"/>
  <c r="E102" i="13"/>
  <c r="J102" i="13" s="1"/>
  <c r="E101" i="13"/>
  <c r="J101" i="13" s="1"/>
  <c r="E100" i="13"/>
  <c r="J100" i="13" s="1"/>
  <c r="E99" i="13"/>
  <c r="J99" i="13" s="1"/>
  <c r="E98" i="13"/>
  <c r="J98" i="13" s="1"/>
  <c r="E97" i="13"/>
  <c r="J97" i="13" s="1"/>
  <c r="E96" i="13"/>
  <c r="J96" i="13" s="1"/>
  <c r="E95" i="13"/>
  <c r="J95" i="13" s="1"/>
  <c r="E94" i="13"/>
  <c r="J94" i="13" s="1"/>
  <c r="E93" i="13"/>
  <c r="J93" i="13" s="1"/>
  <c r="E92" i="13"/>
  <c r="J92" i="13" s="1"/>
  <c r="E91" i="13"/>
  <c r="J91" i="13" s="1"/>
  <c r="E90" i="13"/>
  <c r="J90" i="13" s="1"/>
  <c r="E89" i="13"/>
  <c r="J89" i="13" s="1"/>
  <c r="E88" i="13"/>
  <c r="J88" i="13" s="1"/>
  <c r="E87" i="13"/>
  <c r="J87" i="13" s="1"/>
  <c r="E86" i="13"/>
  <c r="J86" i="13" s="1"/>
  <c r="E85" i="13"/>
  <c r="J85" i="13" s="1"/>
  <c r="E84" i="13"/>
  <c r="J84" i="13" s="1"/>
  <c r="E83" i="13"/>
  <c r="J83" i="13" s="1"/>
  <c r="E82" i="13"/>
  <c r="J82" i="13" s="1"/>
  <c r="E81" i="13"/>
  <c r="J81" i="13" s="1"/>
  <c r="E80" i="13"/>
  <c r="J80" i="13" s="1"/>
  <c r="E79" i="13"/>
  <c r="J79" i="13" s="1"/>
  <c r="E78" i="13"/>
  <c r="J78" i="13" s="1"/>
  <c r="E77" i="13"/>
  <c r="J77" i="13" s="1"/>
  <c r="E76" i="13"/>
  <c r="J76" i="13" s="1"/>
  <c r="E75" i="13"/>
  <c r="J75" i="13" s="1"/>
  <c r="E74" i="13"/>
  <c r="J74" i="13" s="1"/>
  <c r="E73" i="13"/>
  <c r="J73" i="13" s="1"/>
  <c r="E72" i="13"/>
  <c r="J72" i="13" s="1"/>
  <c r="E71" i="13"/>
  <c r="J71" i="13" s="1"/>
  <c r="E70" i="13"/>
  <c r="J70" i="13" s="1"/>
  <c r="E69" i="13"/>
  <c r="J69" i="13" s="1"/>
  <c r="E68" i="13"/>
  <c r="J68" i="13" s="1"/>
  <c r="E67" i="13"/>
  <c r="J67" i="13" s="1"/>
  <c r="E66" i="13"/>
  <c r="J66" i="13" s="1"/>
  <c r="E65" i="13"/>
  <c r="J65" i="13" s="1"/>
  <c r="E64" i="13"/>
  <c r="J64" i="13" s="1"/>
  <c r="E63" i="13"/>
  <c r="J63" i="13" s="1"/>
  <c r="E62" i="13"/>
  <c r="J62" i="13" s="1"/>
  <c r="E61" i="13"/>
  <c r="J61" i="13" s="1"/>
  <c r="E60" i="13"/>
  <c r="J60" i="13" s="1"/>
  <c r="E59" i="13"/>
  <c r="J59" i="13" s="1"/>
  <c r="E58" i="13"/>
  <c r="J58" i="13" s="1"/>
  <c r="E57" i="13"/>
  <c r="J57" i="13" s="1"/>
  <c r="E56" i="13"/>
  <c r="J56" i="13" s="1"/>
  <c r="E55" i="13"/>
  <c r="J55" i="13" s="1"/>
  <c r="E54" i="13"/>
  <c r="J54" i="13" s="1"/>
  <c r="E53" i="13"/>
  <c r="J53" i="13" s="1"/>
  <c r="E52" i="13"/>
  <c r="J52" i="13" s="1"/>
  <c r="E51" i="13"/>
  <c r="J51" i="13" s="1"/>
  <c r="E50" i="13"/>
  <c r="J50" i="13" s="1"/>
  <c r="E49" i="13"/>
  <c r="J49" i="13" s="1"/>
  <c r="E48" i="13"/>
  <c r="J48" i="13" s="1"/>
  <c r="E47" i="13"/>
  <c r="J47" i="13" s="1"/>
  <c r="E46" i="13"/>
  <c r="J46" i="13" s="1"/>
  <c r="E45" i="13"/>
  <c r="J45" i="13" s="1"/>
  <c r="E44" i="13"/>
  <c r="J44" i="13" s="1"/>
  <c r="E43" i="13"/>
  <c r="J43" i="13" s="1"/>
  <c r="E42" i="13"/>
  <c r="J42" i="13" s="1"/>
  <c r="E41" i="13"/>
  <c r="J41" i="13" s="1"/>
  <c r="E40" i="13"/>
  <c r="J40" i="13" s="1"/>
  <c r="E39" i="13"/>
  <c r="J39" i="13" s="1"/>
  <c r="E38" i="13"/>
  <c r="J38" i="13" s="1"/>
  <c r="E37" i="13"/>
  <c r="J37" i="13" s="1"/>
  <c r="E36" i="13"/>
  <c r="J36" i="13" s="1"/>
  <c r="E35" i="13"/>
  <c r="J35" i="13" s="1"/>
  <c r="E34" i="13"/>
  <c r="J34" i="13" s="1"/>
  <c r="E33" i="13"/>
  <c r="J33" i="13" s="1"/>
  <c r="E32" i="13"/>
  <c r="J32" i="13" s="1"/>
  <c r="E31" i="13"/>
  <c r="J31" i="13" s="1"/>
  <c r="E30" i="13"/>
  <c r="J30" i="13" s="1"/>
  <c r="E29" i="13"/>
  <c r="J29" i="13" s="1"/>
  <c r="E28" i="13"/>
  <c r="J28" i="13" s="1"/>
  <c r="E27" i="13"/>
  <c r="J27" i="13" s="1"/>
  <c r="E26" i="13"/>
  <c r="J26" i="13" s="1"/>
  <c r="E25" i="13"/>
  <c r="J25" i="13" s="1"/>
  <c r="E24" i="13"/>
  <c r="J24" i="13" s="1"/>
  <c r="J21" i="13"/>
  <c r="J13" i="13"/>
  <c r="E7" i="13"/>
  <c r="J7" i="13" s="1"/>
  <c r="E8" i="13"/>
  <c r="J8" i="13" s="1"/>
  <c r="E9" i="13"/>
  <c r="J9" i="13" s="1"/>
  <c r="E10" i="13"/>
  <c r="J10" i="13" s="1"/>
  <c r="E11" i="13"/>
  <c r="J11" i="13" s="1"/>
  <c r="E12" i="13"/>
  <c r="J12" i="13" s="1"/>
  <c r="E13" i="13"/>
  <c r="E14" i="13"/>
  <c r="J14" i="13" s="1"/>
  <c r="E15" i="13"/>
  <c r="J15" i="13" s="1"/>
  <c r="E16" i="13"/>
  <c r="J16" i="13" s="1"/>
  <c r="E17" i="13"/>
  <c r="J17" i="13" s="1"/>
  <c r="E18" i="13"/>
  <c r="J18" i="13" s="1"/>
  <c r="E19" i="13"/>
  <c r="J19" i="13" s="1"/>
  <c r="E20" i="13"/>
  <c r="J20" i="13" s="1"/>
  <c r="E21" i="13"/>
  <c r="E22" i="13"/>
  <c r="J22" i="13" s="1"/>
  <c r="E23" i="13"/>
  <c r="J23" i="13" s="1"/>
  <c r="E6" i="13"/>
  <c r="J6" i="13" s="1"/>
  <c r="K3" i="13"/>
  <c r="J2" i="13"/>
  <c r="K2" i="13" s="1"/>
  <c r="L3" i="13"/>
  <c r="K4" i="13"/>
  <c r="F14" i="12" l="1"/>
  <c r="F16" i="12"/>
  <c r="F15" i="12"/>
  <c r="F13" i="12"/>
  <c r="F12" i="12"/>
  <c r="F11" i="12"/>
  <c r="F10" i="12"/>
  <c r="F9" i="12"/>
  <c r="F8" i="12"/>
  <c r="F7" i="12"/>
  <c r="F6" i="12"/>
  <c r="F5" i="12"/>
  <c r="F4" i="12"/>
  <c r="F3" i="12"/>
  <c r="C7" i="15"/>
  <c r="L3" i="11"/>
  <c r="C5" i="12"/>
  <c r="C3" i="12"/>
  <c r="C4" i="12"/>
  <c r="L4" i="13"/>
  <c r="C12" i="12" l="1"/>
  <c r="C11" i="12"/>
  <c r="C10" i="12"/>
  <c r="Q20" i="12"/>
  <c r="Q21" i="12"/>
  <c r="Q22" i="12"/>
  <c r="Q23" i="12"/>
  <c r="Q24" i="12"/>
  <c r="Q25" i="12"/>
  <c r="Q26" i="12"/>
  <c r="Q27" i="12"/>
  <c r="Q28" i="12"/>
  <c r="Q29" i="12"/>
  <c r="Q30" i="12"/>
  <c r="Q31" i="12"/>
  <c r="Q32" i="12"/>
  <c r="Q33" i="12"/>
  <c r="Q34" i="12"/>
  <c r="Q35" i="12"/>
  <c r="Q36" i="12"/>
  <c r="Q19" i="12"/>
  <c r="B6" i="12"/>
  <c r="B11" i="12"/>
  <c r="B13" i="12"/>
  <c r="B8" i="12"/>
  <c r="B4" i="12"/>
  <c r="B7" i="12"/>
  <c r="B16" i="12"/>
  <c r="B10" i="12"/>
  <c r="B15" i="12"/>
  <c r="B9" i="12"/>
  <c r="B3" i="12"/>
  <c r="B5" i="12"/>
  <c r="B14" i="12"/>
  <c r="B12" i="12"/>
  <c r="C8" i="15"/>
  <c r="Y20" i="12" l="1"/>
  <c r="Y21" i="12" s="1"/>
  <c r="Y22" i="12" s="1"/>
  <c r="Y23" i="12" s="1"/>
  <c r="Y24" i="12" s="1"/>
  <c r="Y25" i="12" s="1"/>
  <c r="Y26" i="12" s="1"/>
  <c r="Y27" i="12" s="1"/>
  <c r="Y28" i="12" s="1"/>
  <c r="Y29" i="12" s="1"/>
  <c r="Y30" i="12" s="1"/>
  <c r="Y31" i="12" s="1"/>
  <c r="Y32" i="12" s="1"/>
  <c r="Y33" i="12" s="1"/>
  <c r="Y34" i="12" s="1"/>
  <c r="Y35" i="12" s="1"/>
  <c r="Y36" i="12" s="1"/>
  <c r="Y37" i="12" s="1"/>
  <c r="Y38" i="12" s="1"/>
  <c r="Y39" i="12" s="1"/>
  <c r="Y40" i="12" s="1"/>
  <c r="Y41" i="12" s="1"/>
  <c r="Y42" i="12" s="1"/>
  <c r="Y43" i="12" s="1"/>
  <c r="Y44" i="12" s="1"/>
  <c r="Y45" i="12" s="1"/>
  <c r="Y46" i="12" s="1"/>
  <c r="Y47" i="12" s="1"/>
  <c r="Y48" i="12" s="1"/>
  <c r="Y49" i="12" s="1"/>
  <c r="Y50" i="12" s="1"/>
  <c r="Y51" i="12" s="1"/>
  <c r="Y52" i="12" s="1"/>
  <c r="Y53" i="12" s="1"/>
  <c r="Y54" i="12" s="1"/>
  <c r="Y55" i="12" s="1"/>
  <c r="Y56" i="12" s="1"/>
  <c r="Y57" i="12" s="1"/>
  <c r="Y58" i="12" s="1"/>
  <c r="Y59" i="12" s="1"/>
  <c r="Y60" i="12" s="1"/>
  <c r="Y61" i="12" s="1"/>
  <c r="Y62" i="12" s="1"/>
  <c r="Y63" i="12" s="1"/>
  <c r="Y64" i="12" s="1"/>
  <c r="Y65" i="12" s="1"/>
  <c r="Y66" i="12" s="1"/>
  <c r="Y67" i="12" s="1"/>
  <c r="Y68" i="12" s="1"/>
  <c r="Y69" i="12" s="1"/>
  <c r="Y70" i="12" s="1"/>
  <c r="Y71" i="12" s="1"/>
  <c r="Y72" i="12" s="1"/>
  <c r="Y73" i="12" s="1"/>
  <c r="Y74" i="12" s="1"/>
  <c r="Y75" i="12" s="1"/>
  <c r="Y76" i="12" s="1"/>
  <c r="Y77" i="12" s="1"/>
  <c r="Y78" i="12" s="1"/>
  <c r="Y79" i="12" s="1"/>
  <c r="Y80" i="12" s="1"/>
  <c r="Y81" i="12" s="1"/>
  <c r="Y82" i="12" s="1"/>
  <c r="Y83" i="12" s="1"/>
  <c r="Y84" i="12" s="1"/>
  <c r="Y85" i="12" s="1"/>
  <c r="Y86" i="12" s="1"/>
  <c r="Y87" i="12" s="1"/>
  <c r="Y88" i="12" s="1"/>
  <c r="Y89" i="12" s="1"/>
  <c r="Y90" i="12" s="1"/>
  <c r="Y91" i="12" s="1"/>
  <c r="Y92" i="12" s="1"/>
  <c r="Y93" i="12" s="1"/>
  <c r="Y94" i="12" s="1"/>
  <c r="Y95" i="12" s="1"/>
  <c r="Y96" i="12" s="1"/>
  <c r="Y97" i="12" s="1"/>
  <c r="Y98" i="12" s="1"/>
  <c r="Y99" i="12" s="1"/>
  <c r="Y100" i="12" s="1"/>
  <c r="Y101" i="12" s="1"/>
  <c r="Y102" i="12" s="1"/>
  <c r="Y103" i="12" s="1"/>
  <c r="Y104" i="12" s="1"/>
  <c r="Y105" i="12" s="1"/>
  <c r="Y106" i="12" s="1"/>
  <c r="Y107" i="12" s="1"/>
  <c r="Y108" i="12" s="1"/>
  <c r="Y109" i="12" s="1"/>
  <c r="Y110" i="12" s="1"/>
  <c r="Y111" i="12" s="1"/>
  <c r="Y112" i="12" s="1"/>
  <c r="Y113" i="12" s="1"/>
  <c r="Y114" i="12" s="1"/>
  <c r="Y115" i="12" s="1"/>
  <c r="Y116" i="12" s="1"/>
  <c r="Y117" i="12" s="1"/>
  <c r="Y118" i="12" s="1"/>
  <c r="Y119" i="12" s="1"/>
  <c r="Y120" i="12" s="1"/>
  <c r="Y121" i="12" s="1"/>
  <c r="Y122" i="12" s="1"/>
  <c r="Y123" i="12" s="1"/>
  <c r="Y124" i="12" s="1"/>
  <c r="Y125" i="12" s="1"/>
  <c r="Y126" i="12" s="1"/>
  <c r="Y127" i="12" s="1"/>
  <c r="Y128" i="12" s="1"/>
  <c r="Y129" i="12" s="1"/>
  <c r="Y130" i="12" s="1"/>
  <c r="Y131" i="12" s="1"/>
  <c r="Y132" i="12" s="1"/>
  <c r="Y133" i="12" s="1"/>
  <c r="Y134" i="12" s="1"/>
  <c r="Y135" i="12" s="1"/>
  <c r="Y136" i="12" s="1"/>
  <c r="Y137" i="12" s="1"/>
  <c r="Y138" i="12" s="1"/>
  <c r="Y139" i="12" s="1"/>
  <c r="Y140" i="12" s="1"/>
  <c r="Y141" i="12" s="1"/>
  <c r="Y142" i="12" s="1"/>
  <c r="Y143" i="12" s="1"/>
  <c r="Y144" i="12" s="1"/>
  <c r="Y145" i="12" s="1"/>
  <c r="Y146" i="12" s="1"/>
  <c r="Y147" i="12" s="1"/>
  <c r="Y148" i="12" s="1"/>
  <c r="Y149" i="12" s="1"/>
  <c r="Y150" i="12" s="1"/>
  <c r="Y151" i="12" s="1"/>
  <c r="Y152" i="12" s="1"/>
  <c r="Y153" i="12" s="1"/>
  <c r="Y154" i="12" s="1"/>
  <c r="Y155" i="12" s="1"/>
  <c r="Y156" i="12" s="1"/>
  <c r="Y157" i="12" s="1"/>
  <c r="Y158" i="12" s="1"/>
  <c r="Y159" i="12" s="1"/>
  <c r="Y160" i="12" s="1"/>
  <c r="Y161" i="12" s="1"/>
  <c r="Y162" i="12" s="1"/>
  <c r="Y163" i="12" s="1"/>
  <c r="Y164" i="12" s="1"/>
  <c r="Y165" i="12" s="1"/>
  <c r="Y166" i="12" s="1"/>
  <c r="Y167" i="12" s="1"/>
  <c r="Y168" i="12" s="1"/>
  <c r="Y169" i="12" s="1"/>
  <c r="Y170" i="12" s="1"/>
  <c r="Y171" i="12" s="1"/>
  <c r="Y172" i="12" s="1"/>
  <c r="Y173" i="12" s="1"/>
  <c r="Y174" i="12" s="1"/>
  <c r="Y175" i="12" s="1"/>
  <c r="Y176" i="12" s="1"/>
  <c r="Y177" i="12" s="1"/>
  <c r="Y178" i="12" s="1"/>
  <c r="Y179" i="12" s="1"/>
  <c r="Y180" i="12" s="1"/>
  <c r="Y181" i="12" s="1"/>
  <c r="Y182" i="12" s="1"/>
  <c r="Y183" i="12" s="1"/>
  <c r="Y184" i="12" s="1"/>
  <c r="Y185" i="12" s="1"/>
  <c r="Y186" i="12" s="1"/>
  <c r="Y187" i="12" s="1"/>
  <c r="Y188" i="12" s="1"/>
  <c r="Y189" i="12" s="1"/>
  <c r="Y190" i="12" s="1"/>
  <c r="Y191" i="12" s="1"/>
  <c r="Y192" i="12" s="1"/>
  <c r="Y193" i="12" s="1"/>
  <c r="Y194" i="12" s="1"/>
  <c r="Y195" i="12" s="1"/>
  <c r="Y196" i="12" s="1"/>
  <c r="Y197" i="12" s="1"/>
  <c r="Y198" i="12" s="1"/>
  <c r="Y199" i="12" s="1"/>
  <c r="Y200" i="12" s="1"/>
  <c r="Y201" i="12" s="1"/>
  <c r="Y202" i="12" s="1"/>
  <c r="Y203" i="12" s="1"/>
  <c r="Y204" i="12" s="1"/>
  <c r="Y205" i="12" s="1"/>
  <c r="Y206" i="12" s="1"/>
  <c r="Y207" i="12" s="1"/>
  <c r="Y208" i="12" s="1"/>
  <c r="Y209" i="12" s="1"/>
  <c r="Y210" i="12" s="1"/>
  <c r="Y211" i="12" s="1"/>
  <c r="Y212" i="12" s="1"/>
  <c r="Y213" i="12" s="1"/>
  <c r="Y214" i="12" s="1"/>
  <c r="Y215" i="12" s="1"/>
  <c r="Y216" i="12" s="1"/>
  <c r="Y217" i="12" s="1"/>
  <c r="Y218" i="12" s="1"/>
  <c r="Y219" i="12" s="1"/>
  <c r="Y220" i="12" s="1"/>
  <c r="Y221" i="12" s="1"/>
  <c r="Y222" i="12" s="1"/>
  <c r="Y223" i="12" s="1"/>
  <c r="Y224" i="12" s="1"/>
  <c r="Y225" i="12" s="1"/>
  <c r="Y226" i="12" s="1"/>
  <c r="Y227" i="12" s="1"/>
  <c r="Y228" i="12" s="1"/>
  <c r="Y229" i="12" s="1"/>
  <c r="Y230" i="12" s="1"/>
  <c r="Y231" i="12" s="1"/>
  <c r="Y232" i="12" s="1"/>
  <c r="Y233" i="12" s="1"/>
  <c r="Y234" i="12" s="1"/>
  <c r="Y235" i="12" s="1"/>
  <c r="Y236" i="12" s="1"/>
  <c r="Y237" i="12" s="1"/>
  <c r="Y238" i="12" s="1"/>
  <c r="Y239" i="12" s="1"/>
  <c r="Y240" i="12" s="1"/>
  <c r="Y241" i="12" s="1"/>
  <c r="Y242" i="12" s="1"/>
  <c r="Y243" i="12" s="1"/>
  <c r="Y244" i="12" s="1"/>
  <c r="Y245" i="12" s="1"/>
  <c r="Y246" i="12" s="1"/>
  <c r="Y247" i="12" s="1"/>
  <c r="Y248" i="12" s="1"/>
  <c r="Y249" i="12" s="1"/>
  <c r="Y250" i="12" s="1"/>
  <c r="Y251" i="12" s="1"/>
  <c r="Y252" i="12" s="1"/>
  <c r="Y253" i="12" s="1"/>
  <c r="Y254" i="12" s="1"/>
  <c r="Y255" i="12" s="1"/>
  <c r="Y256" i="12" s="1"/>
  <c r="Y257" i="12" s="1"/>
  <c r="Y258" i="12" s="1"/>
  <c r="Y259" i="12" s="1"/>
  <c r="Y260" i="12" s="1"/>
  <c r="Y261" i="12" s="1"/>
  <c r="Y262" i="12" s="1"/>
  <c r="Y263" i="12" s="1"/>
  <c r="Y264" i="12" s="1"/>
  <c r="Y265" i="12" s="1"/>
  <c r="Y266" i="12" s="1"/>
  <c r="Y267" i="12" s="1"/>
  <c r="Y268" i="12" s="1"/>
  <c r="Y269" i="12" s="1"/>
  <c r="Y270" i="12" s="1"/>
  <c r="Y271" i="12" s="1"/>
  <c r="Y272" i="12" s="1"/>
  <c r="Y273" i="12" s="1"/>
  <c r="Y274" i="12" s="1"/>
  <c r="Y275" i="12" s="1"/>
  <c r="Y276" i="12" s="1"/>
  <c r="Y277" i="12" s="1"/>
  <c r="Y278" i="12" s="1"/>
  <c r="Y279" i="12" s="1"/>
  <c r="Y280" i="12" s="1"/>
  <c r="Y281" i="12" s="1"/>
  <c r="Y282" i="12" s="1"/>
  <c r="Y283" i="12" s="1"/>
  <c r="Y284" i="12" s="1"/>
  <c r="Y285" i="12" s="1"/>
  <c r="Y286" i="12" s="1"/>
  <c r="Y287" i="12" s="1"/>
  <c r="Y288" i="12" s="1"/>
  <c r="Y289" i="12" s="1"/>
  <c r="Y290" i="12" s="1"/>
  <c r="Y291" i="12" s="1"/>
  <c r="Y292" i="12" s="1"/>
  <c r="Y293" i="12" s="1"/>
  <c r="Y294" i="12" s="1"/>
  <c r="Y295" i="12" s="1"/>
  <c r="Y296" i="12" s="1"/>
  <c r="Y297" i="12" s="1"/>
  <c r="Y298" i="12" s="1"/>
  <c r="Y299" i="12" s="1"/>
  <c r="Y300" i="12" s="1"/>
  <c r="Y301" i="12" s="1"/>
  <c r="Y302" i="12" s="1"/>
  <c r="Y303" i="12" s="1"/>
  <c r="Y304" i="12" s="1"/>
  <c r="Y305" i="12" s="1"/>
  <c r="Y306" i="12" s="1"/>
  <c r="Y307" i="12" s="1"/>
  <c r="Y308" i="12" s="1"/>
  <c r="Y309" i="12" s="1"/>
  <c r="Y310" i="12" s="1"/>
  <c r="Y311" i="12" s="1"/>
  <c r="Y312" i="12" s="1"/>
  <c r="Y313" i="12" s="1"/>
  <c r="Y314" i="12" s="1"/>
  <c r="Y315" i="12" s="1"/>
  <c r="Y316" i="12" s="1"/>
  <c r="Y317" i="12" s="1"/>
  <c r="Y318" i="12" s="1"/>
  <c r="Y319" i="12" s="1"/>
  <c r="Y320" i="12" s="1"/>
  <c r="Y321" i="12" s="1"/>
  <c r="Y322" i="12" s="1"/>
  <c r="Y323" i="12" s="1"/>
  <c r="Y324" i="12" s="1"/>
  <c r="Y325" i="12" s="1"/>
  <c r="Y326" i="12" s="1"/>
  <c r="Y327" i="12" s="1"/>
  <c r="Y328" i="12" s="1"/>
  <c r="Y329" i="12" s="1"/>
  <c r="Y330" i="12" s="1"/>
  <c r="Y331" i="12" s="1"/>
  <c r="Y332" i="12" s="1"/>
  <c r="Y333" i="12" s="1"/>
  <c r="Y334" i="12" s="1"/>
  <c r="Y335" i="12" s="1"/>
  <c r="Y336" i="12" s="1"/>
  <c r="Y337" i="12" s="1"/>
  <c r="Y338" i="12" s="1"/>
  <c r="Y339" i="12" s="1"/>
  <c r="Y340" i="12" s="1"/>
  <c r="Y341" i="12" s="1"/>
  <c r="Y342" i="12" s="1"/>
  <c r="Y343" i="12" s="1"/>
  <c r="Y344" i="12" s="1"/>
  <c r="Y345" i="12" s="1"/>
  <c r="Y346" i="12" s="1"/>
  <c r="Y347" i="12" s="1"/>
  <c r="Y348" i="12" s="1"/>
  <c r="Y349" i="12" s="1"/>
  <c r="Y350" i="12" s="1"/>
  <c r="Y351" i="12" s="1"/>
  <c r="Y352" i="12" s="1"/>
  <c r="Y353" i="12" s="1"/>
  <c r="Y354" i="12" s="1"/>
  <c r="Y355" i="12" s="1"/>
  <c r="Y356" i="12" s="1"/>
  <c r="Y357" i="12" s="1"/>
  <c r="Y358" i="12" s="1"/>
  <c r="Y359" i="12" s="1"/>
  <c r="Y360" i="12" s="1"/>
  <c r="Y361" i="12" s="1"/>
  <c r="Y362" i="12" s="1"/>
  <c r="Y363" i="12" s="1"/>
  <c r="Y364" i="12" s="1"/>
  <c r="Y365" i="12" s="1"/>
  <c r="Y366" i="12" s="1"/>
  <c r="Y367" i="12" s="1"/>
  <c r="Y368" i="12" s="1"/>
  <c r="Y369" i="12" s="1"/>
  <c r="Y370" i="12" s="1"/>
  <c r="Y371" i="12" s="1"/>
  <c r="Y372" i="12" s="1"/>
  <c r="Y373" i="12" s="1"/>
  <c r="Y374" i="12" s="1"/>
  <c r="Y375" i="12" s="1"/>
  <c r="Y376" i="12" s="1"/>
  <c r="Y377" i="12" s="1"/>
  <c r="Y378" i="12" s="1"/>
  <c r="Y379" i="12" s="1"/>
  <c r="Y380" i="12" s="1"/>
  <c r="Y381" i="12" s="1"/>
  <c r="Y382" i="12" s="1"/>
  <c r="Y383" i="12" s="1"/>
  <c r="Y384" i="12" s="1"/>
  <c r="Y385" i="12" s="1"/>
  <c r="Y386" i="12" s="1"/>
  <c r="Y387" i="12" s="1"/>
  <c r="Y388" i="12" s="1"/>
  <c r="Y389" i="12" s="1"/>
  <c r="Y390" i="12" s="1"/>
  <c r="Y391" i="12" s="1"/>
  <c r="Y392" i="12" s="1"/>
  <c r="Y393" i="12" s="1"/>
  <c r="Y394" i="12" s="1"/>
  <c r="Y395" i="12" s="1"/>
  <c r="Y396" i="12" s="1"/>
  <c r="Y397" i="12" s="1"/>
  <c r="Y398" i="12" s="1"/>
  <c r="Y399" i="12" s="1"/>
  <c r="Y400" i="12" s="1"/>
  <c r="Y401" i="12" s="1"/>
  <c r="Y402" i="12" s="1"/>
  <c r="Y403" i="12" s="1"/>
  <c r="Y404" i="12" s="1"/>
  <c r="Y405" i="12" s="1"/>
  <c r="Y406" i="12" s="1"/>
  <c r="Y407" i="12" s="1"/>
  <c r="Y408" i="12" s="1"/>
  <c r="Y409" i="12" s="1"/>
  <c r="Y410" i="12" s="1"/>
  <c r="Y411" i="12" s="1"/>
  <c r="Y412" i="12" s="1"/>
  <c r="Y413" i="12" s="1"/>
  <c r="Y414" i="12" s="1"/>
  <c r="Y415" i="12" s="1"/>
  <c r="Y416" i="12" s="1"/>
  <c r="Y417" i="12" s="1"/>
  <c r="Y418" i="12" s="1"/>
  <c r="Y419" i="12" s="1"/>
  <c r="Y420" i="12" s="1"/>
  <c r="Y421" i="12" s="1"/>
  <c r="Y422" i="12" s="1"/>
  <c r="Y423" i="12" s="1"/>
  <c r="Y424" i="12" s="1"/>
  <c r="Y425" i="12" s="1"/>
  <c r="Y426" i="12" s="1"/>
  <c r="Y427" i="12" s="1"/>
  <c r="Y428" i="12" s="1"/>
  <c r="Y429" i="12" s="1"/>
  <c r="Y430" i="12" s="1"/>
  <c r="Y431" i="12" s="1"/>
  <c r="Y432" i="12" s="1"/>
  <c r="Y433" i="12" s="1"/>
  <c r="Y434" i="12" s="1"/>
  <c r="Y435" i="12" s="1"/>
  <c r="Y436" i="12" s="1"/>
  <c r="Y437" i="12" s="1"/>
  <c r="Y438" i="12" s="1"/>
  <c r="Y439" i="12" s="1"/>
  <c r="Y440" i="12" s="1"/>
  <c r="Y441" i="12" s="1"/>
  <c r="Y442" i="12" s="1"/>
  <c r="Y443" i="12" s="1"/>
  <c r="Y444" i="12" s="1"/>
  <c r="Y445" i="12" s="1"/>
  <c r="Y446" i="12" s="1"/>
  <c r="Y447" i="12" s="1"/>
  <c r="Y448" i="12" s="1"/>
  <c r="Y449" i="12" s="1"/>
  <c r="Y450" i="12" s="1"/>
  <c r="Y451" i="12" s="1"/>
  <c r="Y452" i="12" s="1"/>
  <c r="Y453" i="12" s="1"/>
  <c r="Y454" i="12" s="1"/>
  <c r="Y455" i="12" s="1"/>
  <c r="Y456" i="12" s="1"/>
  <c r="Y457" i="12" s="1"/>
  <c r="Y458" i="12" s="1"/>
  <c r="Y459" i="12" s="1"/>
  <c r="Y460" i="12" s="1"/>
  <c r="Y461" i="12" s="1"/>
  <c r="Y462" i="12" s="1"/>
  <c r="Y463" i="12" s="1"/>
  <c r="Y464" i="12" s="1"/>
  <c r="Y465" i="12" s="1"/>
  <c r="Y466" i="12" s="1"/>
  <c r="Y467" i="12" s="1"/>
  <c r="Y468" i="12" s="1"/>
  <c r="Y469" i="12" s="1"/>
  <c r="Y470" i="12" s="1"/>
  <c r="Y471" i="12" s="1"/>
  <c r="Y472" i="12" s="1"/>
  <c r="Y473" i="12" s="1"/>
  <c r="Y474" i="12" s="1"/>
  <c r="Y475" i="12" s="1"/>
  <c r="Y476" i="12" s="1"/>
  <c r="Y477" i="12" s="1"/>
  <c r="Y478" i="12" s="1"/>
  <c r="Y479" i="12" s="1"/>
  <c r="Y480" i="12" s="1"/>
  <c r="Y481" i="12" s="1"/>
  <c r="Y482" i="12" s="1"/>
  <c r="Y483" i="12" s="1"/>
  <c r="Y484" i="12" s="1"/>
  <c r="Y485" i="12" s="1"/>
  <c r="Y486" i="12" s="1"/>
  <c r="Y487" i="12" s="1"/>
  <c r="Y488" i="12" s="1"/>
  <c r="Y489" i="12" s="1"/>
  <c r="Y490" i="12" s="1"/>
  <c r="Y491" i="12" s="1"/>
  <c r="Y492" i="12" s="1"/>
  <c r="Y493" i="12" s="1"/>
  <c r="Y494" i="12" s="1"/>
  <c r="Y495" i="12" s="1"/>
  <c r="Y496" i="12" s="1"/>
  <c r="Y497" i="12" s="1"/>
  <c r="Y498" i="12" s="1"/>
  <c r="Y499" i="12" s="1"/>
  <c r="Y500" i="12" s="1"/>
  <c r="Y501" i="12" s="1"/>
  <c r="Y502" i="12" s="1"/>
  <c r="Y503" i="12" s="1"/>
  <c r="Y504" i="12" s="1"/>
  <c r="Y505" i="12" s="1"/>
  <c r="Y506" i="12" s="1"/>
  <c r="Y507" i="12" s="1"/>
  <c r="Y508" i="12" s="1"/>
  <c r="Y509" i="12" s="1"/>
  <c r="Y510" i="12" s="1"/>
  <c r="Y511" i="12" s="1"/>
  <c r="Y512" i="12" s="1"/>
  <c r="Y513" i="12" s="1"/>
  <c r="Y514" i="12" s="1"/>
  <c r="Y515" i="12" s="1"/>
  <c r="Y516" i="12" s="1"/>
  <c r="Y517" i="12" s="1"/>
  <c r="Y518" i="12" s="1"/>
  <c r="Y519" i="12" s="1"/>
  <c r="Y520" i="12" s="1"/>
  <c r="Y521" i="12" s="1"/>
  <c r="Y522" i="12" s="1"/>
  <c r="Y523" i="12" s="1"/>
  <c r="Y524" i="12" s="1"/>
  <c r="Y525" i="12" s="1"/>
  <c r="Y526" i="12" s="1"/>
  <c r="Y527" i="12" s="1"/>
  <c r="Y528" i="12" s="1"/>
  <c r="Y529" i="12" s="1"/>
  <c r="Y530" i="12" s="1"/>
  <c r="Y531" i="12" s="1"/>
  <c r="Y532" i="12" s="1"/>
  <c r="Y533" i="12" s="1"/>
  <c r="Y534" i="12" s="1"/>
  <c r="Y535" i="12" s="1"/>
  <c r="Y536" i="12" s="1"/>
  <c r="Y538" i="12" s="1"/>
  <c r="Y539" i="12" s="1"/>
  <c r="Y540" i="12" s="1"/>
  <c r="Y541" i="12" s="1"/>
  <c r="Y542" i="12" s="1"/>
  <c r="Y543" i="12" s="1"/>
  <c r="Y544" i="12" s="1"/>
  <c r="Y545" i="12" s="1"/>
  <c r="Y546" i="12" s="1"/>
  <c r="Y547" i="12" s="1"/>
  <c r="Y548" i="12" s="1"/>
  <c r="Y549" i="12" s="1"/>
  <c r="Y550" i="12" s="1"/>
  <c r="Y551" i="12" s="1"/>
  <c r="Y552" i="12" s="1"/>
  <c r="Y553" i="12" s="1"/>
  <c r="Y554" i="12" s="1"/>
  <c r="Y555" i="12" s="1"/>
  <c r="Y556" i="12" s="1"/>
  <c r="Y557" i="12" s="1"/>
  <c r="Y558" i="12" s="1"/>
  <c r="Y559" i="12" s="1"/>
  <c r="Y560" i="12" s="1"/>
  <c r="Y561" i="12" s="1"/>
  <c r="Y562" i="12" s="1"/>
  <c r="Y563" i="12" s="1"/>
  <c r="Y564" i="12" s="1"/>
  <c r="Y565" i="12" s="1"/>
  <c r="Y566" i="12" s="1"/>
  <c r="Y567" i="12" s="1"/>
  <c r="Y568" i="12" s="1"/>
  <c r="Y569" i="12" s="1"/>
  <c r="Y570" i="12" s="1"/>
  <c r="Y571" i="12" s="1"/>
  <c r="Y572" i="12" s="1"/>
  <c r="Y573" i="12" s="1"/>
  <c r="Y574" i="12" s="1"/>
  <c r="Y575" i="12" s="1"/>
  <c r="Y576" i="12" s="1"/>
  <c r="Y577" i="12" s="1"/>
  <c r="Y578" i="12" s="1"/>
  <c r="Y579" i="12" s="1"/>
  <c r="Y580" i="12" s="1"/>
  <c r="Y581" i="12" s="1"/>
  <c r="Y582" i="12" s="1"/>
  <c r="Y583" i="12" s="1"/>
  <c r="Y584" i="12" s="1"/>
  <c r="Y585" i="12" s="1"/>
  <c r="Y586" i="12" s="1"/>
  <c r="Y587" i="12" s="1"/>
  <c r="Y588" i="12" s="1"/>
  <c r="Y589" i="12" s="1"/>
  <c r="Y590" i="12" s="1"/>
  <c r="Y591" i="12" s="1"/>
  <c r="Y592" i="12" s="1"/>
  <c r="Y593" i="12" s="1"/>
  <c r="Y594" i="12" s="1"/>
  <c r="Y595" i="12" s="1"/>
  <c r="Y596" i="12" s="1"/>
  <c r="Y597" i="12" s="1"/>
  <c r="Y598" i="12" s="1"/>
  <c r="Y599" i="12" s="1"/>
  <c r="Y600" i="12" s="1"/>
  <c r="Y601" i="12" s="1"/>
  <c r="Y602" i="12" s="1"/>
  <c r="Y603" i="12" s="1"/>
  <c r="Y604" i="12" s="1"/>
  <c r="Y605" i="12" s="1"/>
  <c r="Y606" i="12" s="1"/>
  <c r="Y607" i="12" s="1"/>
  <c r="Y608" i="12" s="1"/>
  <c r="Y609" i="12" s="1"/>
  <c r="Y610" i="12" s="1"/>
  <c r="Y611" i="12" s="1"/>
  <c r="Y612" i="12" s="1"/>
  <c r="Y613" i="12" s="1"/>
  <c r="Y614" i="12" s="1"/>
  <c r="Y615" i="12" s="1"/>
  <c r="Y616" i="12" s="1"/>
  <c r="Y617" i="12" s="1"/>
  <c r="Y618" i="12" s="1"/>
  <c r="Y619" i="12" s="1"/>
  <c r="Y620" i="12" s="1"/>
  <c r="Y621" i="12" s="1"/>
  <c r="Y622" i="12" s="1"/>
  <c r="Y623" i="12" s="1"/>
  <c r="Y624" i="12" s="1"/>
  <c r="Y625" i="12" s="1"/>
  <c r="Y626" i="12" s="1"/>
  <c r="Y627" i="12" s="1"/>
  <c r="Y628" i="12" s="1"/>
  <c r="Y629" i="12" s="1"/>
  <c r="Y630" i="12" s="1"/>
  <c r="Y631" i="12" s="1"/>
  <c r="Y632" i="12" s="1"/>
  <c r="Y633" i="12" s="1"/>
  <c r="Y634" i="12" s="1"/>
  <c r="Y635" i="12" s="1"/>
  <c r="Y636" i="12" s="1"/>
  <c r="Y637" i="12" s="1"/>
  <c r="Y638" i="12" s="1"/>
  <c r="Y639" i="12" s="1"/>
  <c r="Y640" i="12" s="1"/>
  <c r="Y641" i="12" s="1"/>
  <c r="Y642" i="12" s="1"/>
  <c r="Y643" i="12" s="1"/>
  <c r="Y644" i="12" s="1"/>
  <c r="Y645" i="12" s="1"/>
  <c r="Y646" i="12" s="1"/>
  <c r="Y647" i="12" s="1"/>
  <c r="Y648" i="12" s="1"/>
  <c r="Y649" i="12" s="1"/>
  <c r="Y650" i="12" s="1"/>
  <c r="Y651" i="12" s="1"/>
  <c r="Y652" i="12" s="1"/>
  <c r="Y653" i="12" s="1"/>
  <c r="Y654" i="12" s="1"/>
  <c r="Y655" i="12" s="1"/>
  <c r="Y656" i="12" s="1"/>
  <c r="Y657" i="12" s="1"/>
  <c r="Y658" i="12" s="1"/>
  <c r="Y659" i="12" s="1"/>
  <c r="Y660" i="12" s="1"/>
  <c r="Y661" i="12" s="1"/>
  <c r="Y662" i="12" s="1"/>
  <c r="Y663" i="12" s="1"/>
  <c r="Y664" i="12" s="1"/>
  <c r="Y665" i="12" s="1"/>
  <c r="Y666" i="12" s="1"/>
  <c r="Y667" i="12" s="1"/>
  <c r="Y668" i="12" s="1"/>
  <c r="Y669" i="12" s="1"/>
  <c r="Y670" i="12" s="1"/>
  <c r="Y671" i="12" s="1"/>
  <c r="Y672" i="12" s="1"/>
  <c r="Y673" i="12" s="1"/>
  <c r="Y674" i="12" s="1"/>
  <c r="Y675" i="12" s="1"/>
  <c r="Y676" i="12" s="1"/>
  <c r="Y677" i="12" s="1"/>
  <c r="Y678" i="12" s="1"/>
  <c r="Y679" i="12" s="1"/>
  <c r="Y680" i="12" s="1"/>
  <c r="Y681" i="12" s="1"/>
  <c r="Y682" i="12" s="1"/>
  <c r="Y683" i="12" s="1"/>
  <c r="Y684" i="12" s="1"/>
  <c r="Y685" i="12" s="1"/>
  <c r="Y686" i="12" s="1"/>
  <c r="Y687" i="12" s="1"/>
  <c r="Y688" i="12" s="1"/>
  <c r="Y689" i="12" s="1"/>
  <c r="Y690" i="12" s="1"/>
  <c r="Y691" i="12" s="1"/>
  <c r="Y692" i="12" s="1"/>
  <c r="Y693" i="12" s="1"/>
  <c r="Y694" i="12" s="1"/>
  <c r="Y695" i="12" s="1"/>
  <c r="Y696" i="12" s="1"/>
  <c r="Y697" i="12" s="1"/>
  <c r="Y698" i="12" s="1"/>
  <c r="Y699" i="12" s="1"/>
  <c r="Y700" i="12" s="1"/>
  <c r="Y701" i="12" s="1"/>
  <c r="Y702" i="12" s="1"/>
  <c r="Y703" i="12" s="1"/>
  <c r="Y704" i="12" s="1"/>
  <c r="Y705" i="12" s="1"/>
  <c r="Y706" i="12" s="1"/>
  <c r="Y707" i="12" s="1"/>
  <c r="Y708" i="12" s="1"/>
  <c r="Y709" i="12" s="1"/>
  <c r="Y710" i="12" s="1"/>
  <c r="Y711" i="12" s="1"/>
  <c r="Y712" i="12" s="1"/>
  <c r="Y713" i="12" s="1"/>
  <c r="Y714" i="12" s="1"/>
  <c r="Y715" i="12" s="1"/>
  <c r="Y716" i="12" s="1"/>
  <c r="Y717" i="12" s="1"/>
  <c r="Y718" i="12" s="1"/>
  <c r="Y719" i="12" s="1"/>
  <c r="Y720" i="12" s="1"/>
  <c r="Y721" i="12" s="1"/>
  <c r="Y722" i="12" s="1"/>
  <c r="Y723" i="12" s="1"/>
  <c r="Y724" i="12" s="1"/>
  <c r="Y725" i="12" s="1"/>
  <c r="Y726" i="12" s="1"/>
  <c r="Y727" i="12" s="1"/>
  <c r="Y728" i="12" s="1"/>
  <c r="Y729" i="12" s="1"/>
  <c r="Y730" i="12" s="1"/>
  <c r="Y731" i="12" s="1"/>
  <c r="Y732" i="12" s="1"/>
  <c r="Y733" i="12" s="1"/>
  <c r="Y734" i="12" s="1"/>
  <c r="Y735" i="12" s="1"/>
  <c r="Y736" i="12" s="1"/>
  <c r="Y737" i="12" s="1"/>
  <c r="Y738" i="12" s="1"/>
  <c r="Y739" i="12" s="1"/>
  <c r="Y740" i="12" s="1"/>
  <c r="Y741" i="12" s="1"/>
  <c r="Y742" i="12" s="1"/>
  <c r="Y743" i="12" s="1"/>
  <c r="Y744" i="12" s="1"/>
  <c r="Y745" i="12" s="1"/>
  <c r="Y746" i="12" s="1"/>
  <c r="Y747" i="12" s="1"/>
  <c r="Y748" i="12" s="1"/>
  <c r="Y749" i="12" s="1"/>
  <c r="Y750" i="12" s="1"/>
  <c r="Y751" i="12" s="1"/>
  <c r="Y752" i="12" s="1"/>
  <c r="Y753" i="12" s="1"/>
  <c r="Y754" i="12" s="1"/>
  <c r="Y755" i="12" s="1"/>
  <c r="Y756" i="12" s="1"/>
  <c r="Y757" i="12" s="1"/>
  <c r="Y758" i="12" s="1"/>
  <c r="Y759" i="12" s="1"/>
  <c r="Y760" i="12" s="1"/>
  <c r="Y761" i="12" s="1"/>
  <c r="Y762" i="12" s="1"/>
  <c r="Y763" i="12" s="1"/>
  <c r="Y764" i="12" s="1"/>
  <c r="Y765" i="12" s="1"/>
  <c r="Y766" i="12" s="1"/>
  <c r="Y767" i="12" s="1"/>
  <c r="Y768" i="12" s="1"/>
  <c r="Y769" i="12" s="1"/>
  <c r="Y770" i="12" s="1"/>
  <c r="Y771" i="12" s="1"/>
  <c r="Y772" i="12" s="1"/>
  <c r="Y773" i="12" s="1"/>
  <c r="Y774" i="12" s="1"/>
  <c r="Y775" i="12" s="1"/>
  <c r="Y776" i="12" s="1"/>
  <c r="Y777" i="12" s="1"/>
  <c r="Y778" i="12" s="1"/>
  <c r="Y779" i="12" s="1"/>
  <c r="Y780" i="12" s="1"/>
  <c r="Y781" i="12" s="1"/>
  <c r="Y782" i="12" s="1"/>
  <c r="Y783" i="12" s="1"/>
  <c r="Y784" i="12" s="1"/>
  <c r="Y785" i="12" s="1"/>
  <c r="Y786" i="12" s="1"/>
  <c r="Y787" i="12" s="1"/>
  <c r="Y788" i="12" s="1"/>
  <c r="Y789" i="12" s="1"/>
  <c r="Y790" i="12" s="1"/>
  <c r="Y791" i="12" s="1"/>
  <c r="Y792" i="12" s="1"/>
  <c r="Y793" i="12" s="1"/>
  <c r="Y794" i="12" s="1"/>
  <c r="Y795" i="12" s="1"/>
  <c r="Y796" i="12" s="1"/>
  <c r="Y797" i="12" s="1"/>
  <c r="Y798" i="12" s="1"/>
  <c r="Y799" i="12" s="1"/>
  <c r="Y800" i="12" s="1"/>
  <c r="Y801" i="12" s="1"/>
  <c r="Y802" i="12" s="1"/>
  <c r="Y803" i="12" s="1"/>
  <c r="Y804" i="12" s="1"/>
  <c r="Y805" i="12" s="1"/>
  <c r="Y806" i="12" s="1"/>
  <c r="Y807" i="12" s="1"/>
  <c r="Y808" i="12" s="1"/>
  <c r="Y809" i="12" s="1"/>
  <c r="Y810" i="12" s="1"/>
  <c r="Y811" i="12" s="1"/>
  <c r="Y812" i="12" s="1"/>
  <c r="Y813" i="12" s="1"/>
  <c r="Y814" i="12" s="1"/>
  <c r="Y815" i="12" s="1"/>
  <c r="Y816" i="12" s="1"/>
  <c r="Y817" i="12" s="1"/>
  <c r="Y818" i="12" s="1"/>
  <c r="Y819" i="12" s="1"/>
  <c r="Y820" i="12" s="1"/>
  <c r="Y821" i="12" s="1"/>
  <c r="Y822" i="12" s="1"/>
  <c r="Y823" i="12" s="1"/>
  <c r="Y824" i="12" s="1"/>
  <c r="Y825" i="12" s="1"/>
  <c r="Y826" i="12" s="1"/>
  <c r="Y827" i="12" s="1"/>
  <c r="Y828" i="12" s="1"/>
  <c r="Y829" i="12" s="1"/>
  <c r="Y830" i="12" s="1"/>
  <c r="Y831" i="12" s="1"/>
  <c r="Y832" i="12" s="1"/>
  <c r="Y833" i="12" s="1"/>
  <c r="Y834" i="12" s="1"/>
  <c r="Y835" i="12" s="1"/>
  <c r="Y836" i="12" s="1"/>
  <c r="Y837" i="12" s="1"/>
  <c r="Y838" i="12" s="1"/>
  <c r="Y839" i="12" s="1"/>
  <c r="Y840" i="12" s="1"/>
  <c r="Y841" i="12" s="1"/>
  <c r="Y842" i="12" s="1"/>
  <c r="Y843" i="12" s="1"/>
  <c r="Y844" i="12" s="1"/>
  <c r="Y845" i="12" s="1"/>
  <c r="Y846" i="12" s="1"/>
  <c r="Y847" i="12" s="1"/>
  <c r="Y848" i="12" s="1"/>
  <c r="Y849" i="12" s="1"/>
  <c r="Y850" i="12" s="1"/>
  <c r="Y851" i="12" s="1"/>
  <c r="Y852" i="12" s="1"/>
  <c r="Y853" i="12" s="1"/>
  <c r="Y854" i="12" s="1"/>
  <c r="Y855" i="12" s="1"/>
  <c r="Y856" i="12" s="1"/>
  <c r="Y857" i="12" s="1"/>
  <c r="Y858" i="12" s="1"/>
  <c r="Y859" i="12" s="1"/>
  <c r="Y860" i="12" s="1"/>
  <c r="Y861" i="12" s="1"/>
  <c r="Y862" i="12" s="1"/>
  <c r="Y863" i="12" s="1"/>
  <c r="Y864" i="12" s="1"/>
  <c r="Y865" i="12" s="1"/>
  <c r="Y866" i="12" s="1"/>
  <c r="Y867" i="12" s="1"/>
  <c r="Y868" i="12" s="1"/>
  <c r="Y869" i="12" s="1"/>
  <c r="Y870" i="12" s="1"/>
  <c r="Y871" i="12" s="1"/>
  <c r="Y872" i="12" s="1"/>
  <c r="Y873" i="12" s="1"/>
  <c r="Y874" i="12" s="1"/>
  <c r="Y875" i="12" s="1"/>
  <c r="Y876" i="12" s="1"/>
  <c r="Y877" i="12" s="1"/>
  <c r="Y878" i="12" s="1"/>
  <c r="Y879" i="12" s="1"/>
  <c r="Y880" i="12" s="1"/>
  <c r="Y881" i="12" s="1"/>
  <c r="Y882" i="12" s="1"/>
  <c r="Y883" i="12" s="1"/>
  <c r="Y884" i="12" s="1"/>
  <c r="Y885" i="12" s="1"/>
  <c r="Y886" i="12" s="1"/>
  <c r="Y887" i="12" s="1"/>
  <c r="Y888" i="12" s="1"/>
  <c r="Y889" i="12" s="1"/>
  <c r="Y890" i="12" s="1"/>
  <c r="Y891" i="12" s="1"/>
  <c r="Y892" i="12" s="1"/>
  <c r="Y893" i="12" s="1"/>
  <c r="Y894" i="12" s="1"/>
  <c r="Y895" i="12" s="1"/>
  <c r="Y896" i="12" s="1"/>
  <c r="Y897" i="12" s="1"/>
  <c r="Y898" i="12" s="1"/>
  <c r="Y899" i="12" s="1"/>
  <c r="Y900" i="12" s="1"/>
  <c r="Y901" i="12" s="1"/>
  <c r="Y902" i="12" s="1"/>
  <c r="Y903" i="12" s="1"/>
  <c r="Y904" i="12" s="1"/>
  <c r="Y905" i="12" s="1"/>
  <c r="Y906" i="12" s="1"/>
  <c r="Y907" i="12" s="1"/>
  <c r="Y908" i="12" s="1"/>
  <c r="Y909" i="12" s="1"/>
  <c r="Y910" i="12" s="1"/>
  <c r="Y911" i="12" s="1"/>
  <c r="Y912" i="12" s="1"/>
  <c r="Y913" i="12" s="1"/>
  <c r="Y914" i="12" s="1"/>
  <c r="Y915" i="12" s="1"/>
  <c r="Y916" i="12" s="1"/>
  <c r="Y917" i="12" s="1"/>
  <c r="Y918" i="12" s="1"/>
  <c r="Y919" i="12" s="1"/>
  <c r="Y920" i="12" s="1"/>
  <c r="Y921" i="12" s="1"/>
  <c r="Y922" i="12" s="1"/>
  <c r="Y923" i="12" s="1"/>
  <c r="Y924" i="12" s="1"/>
  <c r="Y925" i="12" s="1"/>
  <c r="Y926" i="12" s="1"/>
  <c r="Y927" i="12" s="1"/>
  <c r="Y928" i="12" s="1"/>
  <c r="Y929" i="12" s="1"/>
  <c r="Y930" i="12" s="1"/>
  <c r="Y931" i="12" s="1"/>
  <c r="Y932" i="12" s="1"/>
  <c r="Y933" i="12" s="1"/>
  <c r="Y934" i="12" s="1"/>
  <c r="Y935" i="12" s="1"/>
  <c r="Y936" i="12" s="1"/>
  <c r="Y937" i="12" s="1"/>
  <c r="Y938" i="12" s="1"/>
  <c r="Y939" i="12" s="1"/>
  <c r="Y940" i="12" s="1"/>
  <c r="Y941" i="12" s="1"/>
  <c r="Y942" i="12" s="1"/>
  <c r="Y943" i="12" s="1"/>
  <c r="Y944" i="12" s="1"/>
  <c r="Y945" i="12" s="1"/>
  <c r="Y946" i="12" s="1"/>
  <c r="Y947" i="12" s="1"/>
  <c r="Y948" i="12" s="1"/>
  <c r="Y949" i="12" s="1"/>
  <c r="Y950" i="12" s="1"/>
  <c r="Y951" i="12" s="1"/>
  <c r="Y952" i="12" s="1"/>
  <c r="Y953" i="12" s="1"/>
  <c r="Y954" i="12" s="1"/>
  <c r="Y955" i="12" s="1"/>
  <c r="Y956" i="12" s="1"/>
  <c r="Y957" i="12" s="1"/>
  <c r="Y958" i="12" s="1"/>
  <c r="Y959" i="12" s="1"/>
  <c r="Y960" i="12" s="1"/>
  <c r="Y961" i="12" s="1"/>
  <c r="Y962" i="12" s="1"/>
  <c r="Y963" i="12" s="1"/>
  <c r="Y964" i="12" s="1"/>
  <c r="Y965" i="12" s="1"/>
  <c r="Y966" i="12" s="1"/>
  <c r="Y967" i="12" s="1"/>
  <c r="Y968" i="12" s="1"/>
  <c r="Y969" i="12" s="1"/>
  <c r="Y970" i="12" s="1"/>
  <c r="Y971" i="12" s="1"/>
  <c r="Y972" i="12" s="1"/>
  <c r="Y973" i="12" s="1"/>
  <c r="Y974" i="12" s="1"/>
  <c r="Y975" i="12" s="1"/>
  <c r="Y976" i="12" s="1"/>
  <c r="Y977" i="12" s="1"/>
  <c r="Y978" i="12" s="1"/>
  <c r="Y979" i="12" s="1"/>
  <c r="Y980" i="12" s="1"/>
  <c r="Y981" i="12" s="1"/>
  <c r="Y982" i="12" s="1"/>
  <c r="Y983" i="12" s="1"/>
  <c r="Y984" i="12" s="1"/>
  <c r="Y985" i="12" s="1"/>
  <c r="Y986" i="12" s="1"/>
  <c r="Y987" i="12" s="1"/>
  <c r="Y988" i="12" s="1"/>
  <c r="Y989" i="12" s="1"/>
  <c r="Y990" i="12" s="1"/>
  <c r="Y991" i="12" s="1"/>
  <c r="Y992" i="12" s="1"/>
  <c r="Y993" i="12" s="1"/>
  <c r="Y994" i="12" s="1"/>
  <c r="Y995" i="12" s="1"/>
  <c r="Y996" i="12" s="1"/>
  <c r="Y997" i="12" s="1"/>
  <c r="Y998" i="12" s="1"/>
  <c r="Y999" i="12" s="1"/>
  <c r="Y1000" i="12" s="1"/>
  <c r="Y1001" i="12" s="1"/>
  <c r="Y1002" i="12" s="1"/>
  <c r="Y1003" i="12" s="1"/>
  <c r="Y1004" i="12" s="1"/>
  <c r="Y1005" i="12" s="1"/>
  <c r="Y1006" i="12" s="1"/>
  <c r="Y1007" i="12" s="1"/>
  <c r="Y1008" i="12" s="1"/>
  <c r="Y1009" i="12" s="1"/>
  <c r="Y1010" i="12" s="1"/>
  <c r="Y1011" i="12" s="1"/>
  <c r="Y1012" i="12" s="1"/>
  <c r="Y1013" i="12" s="1"/>
  <c r="Y1014" i="12" s="1"/>
  <c r="Y1015" i="12" s="1"/>
  <c r="Y1016" i="12" s="1"/>
  <c r="Y1017" i="12" s="1"/>
  <c r="Y1018" i="12" s="1"/>
  <c r="Y1019" i="12" s="1"/>
  <c r="Y1020" i="12" s="1"/>
  <c r="Y1021" i="12" s="1"/>
  <c r="Y1022" i="12" s="1"/>
  <c r="Y1023" i="12" s="1"/>
  <c r="Y1024" i="12" s="1"/>
  <c r="Y1025" i="12" s="1"/>
  <c r="Y1026" i="12" s="1"/>
  <c r="Y1027" i="12" s="1"/>
  <c r="Y1028" i="12" s="1"/>
  <c r="Y1029" i="12" s="1"/>
  <c r="Y1030" i="12" s="1"/>
  <c r="Y1031" i="12" s="1"/>
  <c r="Y1032" i="12" s="1"/>
  <c r="Y1033" i="12" s="1"/>
  <c r="Y1034" i="12" s="1"/>
  <c r="Y1035" i="12" s="1"/>
  <c r="Y1036" i="12" s="1"/>
  <c r="Y1037" i="12" s="1"/>
  <c r="Y1038" i="12" s="1"/>
  <c r="Y1039" i="12" s="1"/>
  <c r="Y1040" i="12" s="1"/>
  <c r="Y1041" i="12" s="1"/>
  <c r="Y1042" i="12" s="1"/>
  <c r="Y1043" i="12" s="1"/>
  <c r="Y1044" i="12" s="1"/>
  <c r="Y1045" i="12" s="1"/>
  <c r="Y1046" i="12" s="1"/>
  <c r="Y1047" i="12" s="1"/>
  <c r="Y1048" i="12" s="1"/>
  <c r="Y1049" i="12" s="1"/>
  <c r="Y1050" i="12" s="1"/>
  <c r="Y1051" i="12" s="1"/>
  <c r="Y1052" i="12" s="1"/>
  <c r="Y1053" i="12" s="1"/>
  <c r="Y1054" i="12" s="1"/>
  <c r="Y1055" i="12" s="1"/>
  <c r="Y1056" i="12" s="1"/>
  <c r="Y1057" i="12" s="1"/>
  <c r="Y1058" i="12" s="1"/>
  <c r="Y1059" i="12" s="1"/>
  <c r="Y1060" i="12" s="1"/>
  <c r="Y1061" i="12" s="1"/>
  <c r="Y1062" i="12" s="1"/>
  <c r="Y1063" i="12" s="1"/>
  <c r="Y1064" i="12" s="1"/>
  <c r="Y1065" i="12" s="1"/>
  <c r="Y1066" i="12" s="1"/>
  <c r="Y1067" i="12" s="1"/>
  <c r="Y1068" i="12" s="1"/>
  <c r="Y1069" i="12" s="1"/>
  <c r="Y1070" i="12" s="1"/>
  <c r="Y1071" i="12" s="1"/>
  <c r="Y1072" i="12" s="1"/>
  <c r="Y1073" i="12" s="1"/>
  <c r="Y1074" i="12" s="1"/>
  <c r="Y1075" i="12" s="1"/>
  <c r="Y1076" i="12" s="1"/>
  <c r="Y1077" i="12" s="1"/>
  <c r="Y1078" i="12" s="1"/>
  <c r="Y1079" i="12" s="1"/>
  <c r="Y1080" i="12" s="1"/>
  <c r="Y1081" i="12" s="1"/>
  <c r="Y1082" i="12" s="1"/>
  <c r="Y1083" i="12" s="1"/>
  <c r="Y1084" i="12" s="1"/>
  <c r="Y1085" i="12" s="1"/>
  <c r="Y1086" i="12" s="1"/>
  <c r="Y1087" i="12" s="1"/>
  <c r="Y1088" i="12" s="1"/>
  <c r="Y1089" i="12" s="1"/>
  <c r="Y1090" i="12" s="1"/>
  <c r="Y1091" i="12" s="1"/>
  <c r="Y1092" i="12" s="1"/>
  <c r="Y1093" i="12" s="1"/>
  <c r="Y1094" i="12" s="1"/>
  <c r="Y1095" i="12" s="1"/>
  <c r="Y1096" i="12" s="1"/>
  <c r="Y1097" i="12" s="1"/>
  <c r="Y1098" i="12" s="1"/>
  <c r="Y1099" i="12" s="1"/>
  <c r="Y1100" i="12" s="1"/>
  <c r="Y1101" i="12" s="1"/>
  <c r="Y1102" i="12" s="1"/>
  <c r="Y1103" i="12" s="1"/>
  <c r="Y1104" i="12" s="1"/>
  <c r="Y1105" i="12" s="1"/>
  <c r="Y1106" i="12" s="1"/>
  <c r="Y1107" i="12" s="1"/>
  <c r="Y1108" i="12" s="1"/>
  <c r="Y1109" i="12" s="1"/>
  <c r="Y1110" i="12" s="1"/>
  <c r="Y1111" i="12" s="1"/>
  <c r="Y1112" i="12" s="1"/>
  <c r="Y1113" i="12" s="1"/>
  <c r="Y1114" i="12" s="1"/>
  <c r="Y1115" i="12" s="1"/>
  <c r="Y1116" i="12" s="1"/>
  <c r="Y1117" i="12" s="1"/>
  <c r="Y1118" i="12" s="1"/>
  <c r="Y1119" i="12" s="1"/>
  <c r="Y1120" i="12" s="1"/>
  <c r="Y1121" i="12" s="1"/>
  <c r="Y1122" i="12" s="1"/>
  <c r="Y1123" i="12" s="1"/>
  <c r="Y1124" i="12" s="1"/>
  <c r="Y1125" i="12" s="1"/>
  <c r="Y1126" i="12" s="1"/>
  <c r="Y1127" i="12" s="1"/>
  <c r="Y1128" i="12" s="1"/>
  <c r="Y1129" i="12" s="1"/>
  <c r="Y1130" i="12" s="1"/>
  <c r="Y1131" i="12" s="1"/>
  <c r="Y1132" i="12" s="1"/>
  <c r="Y1133" i="12" s="1"/>
  <c r="Y1134" i="12" s="1"/>
  <c r="Y1135" i="12" s="1"/>
  <c r="Y1136" i="12" s="1"/>
  <c r="Y1137" i="12" s="1"/>
  <c r="Y1138" i="12" s="1"/>
  <c r="Y1139" i="12" s="1"/>
  <c r="Y1140" i="12" s="1"/>
  <c r="Y1141" i="12" s="1"/>
  <c r="Y1142" i="12" s="1"/>
  <c r="Y1143" i="12" s="1"/>
  <c r="Y1144" i="12" s="1"/>
  <c r="Y1145" i="12" s="1"/>
  <c r="Y1146" i="12" s="1"/>
  <c r="Y1147" i="12" s="1"/>
  <c r="Y1148" i="12" s="1"/>
  <c r="Y1149" i="12" s="1"/>
  <c r="Y1150" i="12" s="1"/>
  <c r="Y1151" i="12" s="1"/>
  <c r="Y1152" i="12" s="1"/>
  <c r="Y1153" i="12" s="1"/>
  <c r="Y1154" i="12" s="1"/>
  <c r="Y1155" i="12" s="1"/>
  <c r="Y1156" i="12" s="1"/>
  <c r="Y1157" i="12" s="1"/>
  <c r="Y1158" i="12" s="1"/>
  <c r="Y1159" i="12" s="1"/>
  <c r="Y1160" i="12" s="1"/>
  <c r="Y1161" i="12" s="1"/>
  <c r="Y1162" i="12" s="1"/>
  <c r="Y1163" i="12" s="1"/>
  <c r="Y1164" i="12" s="1"/>
  <c r="Y1165" i="12" s="1"/>
  <c r="Y1166" i="12" s="1"/>
  <c r="Y1167" i="12" s="1"/>
  <c r="Y1168" i="12" s="1"/>
  <c r="Y1169" i="12" s="1"/>
  <c r="Y1170" i="12" s="1"/>
  <c r="Y1171" i="12" s="1"/>
  <c r="Y1172" i="12" s="1"/>
  <c r="Y1173" i="12" s="1"/>
  <c r="Y1174" i="12" s="1"/>
  <c r="Y1175" i="12" s="1"/>
  <c r="Y1176" i="12" s="1"/>
  <c r="Y1177" i="12" s="1"/>
  <c r="Y1178" i="12" s="1"/>
  <c r="Y1179" i="12" s="1"/>
  <c r="Y1180" i="12" s="1"/>
  <c r="Y1181" i="12" s="1"/>
  <c r="Y1182" i="12" s="1"/>
  <c r="Y1183" i="12" s="1"/>
  <c r="Y1184" i="12" s="1"/>
  <c r="Y1185" i="12" s="1"/>
  <c r="Y1186" i="12" s="1"/>
  <c r="Y1187" i="12" s="1"/>
  <c r="Y1188" i="12" s="1"/>
  <c r="Y1189" i="12" s="1"/>
  <c r="Y1190" i="12" s="1"/>
  <c r="Y1191" i="12" s="1"/>
  <c r="Y1192" i="12" s="1"/>
  <c r="Y1193" i="12" s="1"/>
  <c r="Y1194" i="12" s="1"/>
  <c r="Y1195" i="12" s="1"/>
  <c r="Y1196" i="12" s="1"/>
  <c r="Y1197" i="12" s="1"/>
  <c r="Y1198" i="12" s="1"/>
  <c r="Y1199" i="12" s="1"/>
  <c r="Y1200" i="12" s="1"/>
  <c r="Y1201" i="12" s="1"/>
  <c r="Y1202" i="12" s="1"/>
  <c r="Y1203" i="12" s="1"/>
  <c r="Y1204" i="12" s="1"/>
  <c r="Y1205" i="12" s="1"/>
  <c r="Y1206" i="12" s="1"/>
  <c r="Y1207" i="12" s="1"/>
  <c r="Y1208" i="12" s="1"/>
  <c r="Y1209" i="12" s="1"/>
  <c r="Y1210" i="12" s="1"/>
  <c r="Y1211" i="12" s="1"/>
  <c r="Y1212" i="12" s="1"/>
  <c r="Y1213" i="12" s="1"/>
  <c r="Y1214" i="12" s="1"/>
  <c r="Y1215" i="12" s="1"/>
  <c r="Y1216" i="12" s="1"/>
  <c r="Y1217" i="12" s="1"/>
  <c r="Y1218" i="12" s="1"/>
  <c r="Y1219" i="12" s="1"/>
  <c r="Y1220" i="12" s="1"/>
  <c r="Y1221" i="12" s="1"/>
  <c r="Y1222" i="12" s="1"/>
  <c r="Y1223" i="12" s="1"/>
  <c r="Y1224" i="12" s="1"/>
  <c r="Y1225" i="12" s="1"/>
  <c r="Y1226" i="12" s="1"/>
  <c r="Y1227" i="12" s="1"/>
  <c r="Y1228" i="12" s="1"/>
  <c r="Y1229" i="12" s="1"/>
  <c r="Y1230" i="12" s="1"/>
  <c r="Y1231" i="12" s="1"/>
  <c r="Y1232" i="12" s="1"/>
  <c r="Y1233" i="12" s="1"/>
  <c r="Y1234" i="12" s="1"/>
  <c r="Y1235" i="12" s="1"/>
  <c r="Y1236" i="12" s="1"/>
  <c r="Y1237" i="12" s="1"/>
  <c r="Y1238" i="12" s="1"/>
  <c r="Y1239" i="12" s="1"/>
  <c r="Y1240" i="12" s="1"/>
  <c r="Y1241" i="12" s="1"/>
  <c r="Y1242" i="12" s="1"/>
  <c r="Y1243" i="12" s="1"/>
  <c r="Y1244" i="12" s="1"/>
  <c r="Y1245" i="12" s="1"/>
  <c r="Y1246" i="12" s="1"/>
  <c r="Y1247" i="12" s="1"/>
  <c r="Y1248" i="12" s="1"/>
  <c r="Y1249" i="12" s="1"/>
  <c r="Y1250" i="12" s="1"/>
  <c r="Y1251" i="12" s="1"/>
  <c r="Y1252" i="12" s="1"/>
  <c r="Y1253" i="12" s="1"/>
  <c r="Y1254" i="12" s="1"/>
  <c r="Y1255" i="12" s="1"/>
  <c r="Y1256" i="12" s="1"/>
  <c r="Y1257" i="12" s="1"/>
  <c r="Y1258" i="12" s="1"/>
  <c r="Y1259" i="12" s="1"/>
  <c r="Y1260" i="12" s="1"/>
  <c r="Y1261" i="12" s="1"/>
  <c r="Y1262" i="12" s="1"/>
  <c r="Y1263" i="12" s="1"/>
  <c r="Y1264" i="12" s="1"/>
  <c r="Y1265" i="12" s="1"/>
  <c r="Y1266" i="12" s="1"/>
  <c r="Y1267" i="12" s="1"/>
  <c r="Y1268" i="12" s="1"/>
  <c r="Y1269" i="12" s="1"/>
  <c r="Y1270" i="12" s="1"/>
  <c r="Y1271" i="12" s="1"/>
  <c r="Y1272" i="12" s="1"/>
  <c r="Y1273" i="12" s="1"/>
  <c r="Y1274" i="12" s="1"/>
  <c r="Y1275" i="12" s="1"/>
  <c r="Y1276" i="12" s="1"/>
  <c r="Y1277" i="12" s="1"/>
  <c r="Y1278" i="12" s="1"/>
  <c r="Y1279" i="12" s="1"/>
  <c r="Y1280" i="12" s="1"/>
  <c r="Y1281" i="12" s="1"/>
  <c r="Y1282" i="12" s="1"/>
  <c r="Y1283" i="12" s="1"/>
  <c r="Y1284" i="12" s="1"/>
  <c r="Y1285" i="12" s="1"/>
  <c r="Y1286" i="12" s="1"/>
  <c r="Y1287" i="12" s="1"/>
  <c r="Y1288" i="12" s="1"/>
  <c r="Y1289" i="12" s="1"/>
  <c r="Y1290" i="12" s="1"/>
  <c r="Y1291" i="12" s="1"/>
  <c r="Y1292" i="12" s="1"/>
  <c r="Y1293" i="12" s="1"/>
  <c r="Y1294" i="12" s="1"/>
  <c r="Y1295" i="12" s="1"/>
  <c r="Y1296" i="12" s="1"/>
  <c r="Y1297" i="12" s="1"/>
  <c r="Y1298" i="12" s="1"/>
  <c r="Y1299" i="12" s="1"/>
  <c r="Y1300" i="12" s="1"/>
  <c r="Y1301" i="12" s="1"/>
  <c r="Y1302" i="12" s="1"/>
  <c r="Y1303" i="12" s="1"/>
  <c r="Y1304" i="12" s="1"/>
  <c r="Y1305" i="12" s="1"/>
  <c r="Y1306" i="12" s="1"/>
  <c r="Y1307" i="12" s="1"/>
  <c r="Y1308" i="12" s="1"/>
  <c r="Y1309" i="12" s="1"/>
  <c r="Y1310" i="12" s="1"/>
  <c r="Y1311" i="12" s="1"/>
  <c r="Y1312" i="12" s="1"/>
  <c r="Y1313" i="12" s="1"/>
  <c r="Y1314" i="12" s="1"/>
  <c r="Y1315" i="12" s="1"/>
  <c r="Y1316" i="12" s="1"/>
  <c r="Y1317" i="12" s="1"/>
  <c r="Y1318" i="12" s="1"/>
  <c r="Y1319" i="12" s="1"/>
  <c r="Y1320" i="12" s="1"/>
  <c r="Y1321" i="12" s="1"/>
  <c r="Y1322" i="12" s="1"/>
  <c r="Y1323" i="12" s="1"/>
  <c r="Y1324" i="12" s="1"/>
  <c r="Y1325" i="12" s="1"/>
  <c r="Y1326" i="12" s="1"/>
  <c r="Y1327" i="12" s="1"/>
  <c r="Y1328" i="12" s="1"/>
  <c r="Y1329" i="12" s="1"/>
  <c r="Y1330" i="12" s="1"/>
  <c r="Y1331" i="12" s="1"/>
  <c r="Y1332" i="12" s="1"/>
  <c r="Y1333" i="12" s="1"/>
  <c r="Y1334" i="12" s="1"/>
  <c r="Y1335" i="12" s="1"/>
  <c r="Y1336" i="12" s="1"/>
  <c r="Y1337" i="12" s="1"/>
  <c r="Y1338" i="12" s="1"/>
  <c r="Y1339" i="12" s="1"/>
  <c r="Y1340" i="12" s="1"/>
  <c r="Y1341" i="12" s="1"/>
  <c r="Y1342" i="12" s="1"/>
  <c r="Y1343" i="12" s="1"/>
  <c r="Y1344" i="12" s="1"/>
  <c r="Y1345" i="12" s="1"/>
  <c r="Y1346" i="12" s="1"/>
  <c r="Y1347" i="12" s="1"/>
  <c r="Y1348" i="12" s="1"/>
  <c r="Y1349" i="12" s="1"/>
  <c r="Y1350" i="12" s="1"/>
  <c r="Y1351" i="12" s="1"/>
  <c r="Y1352" i="12" s="1"/>
  <c r="Y1353" i="12" s="1"/>
  <c r="Y1354" i="12" s="1"/>
  <c r="Y1355" i="12" s="1"/>
  <c r="Y1356" i="12" s="1"/>
  <c r="Y1357" i="12" s="1"/>
  <c r="Y1358" i="12" s="1"/>
  <c r="Y1359" i="12" s="1"/>
  <c r="Y1360" i="12" s="1"/>
  <c r="Y1361" i="12" s="1"/>
  <c r="Y1362" i="12" s="1"/>
  <c r="Y1363" i="12" s="1"/>
  <c r="Y1364" i="12" s="1"/>
  <c r="Y1365" i="12" s="1"/>
  <c r="Y1366" i="12" s="1"/>
  <c r="Y1367" i="12" s="1"/>
  <c r="Y1368" i="12" s="1"/>
  <c r="Y1369" i="12" s="1"/>
  <c r="Y1370" i="12" s="1"/>
  <c r="Y1371" i="12" s="1"/>
  <c r="Y1372" i="12" s="1"/>
  <c r="Y1373" i="12" s="1"/>
  <c r="Y1374" i="12" s="1"/>
  <c r="Y1375" i="12" s="1"/>
  <c r="Y1376" i="12" s="1"/>
  <c r="Y1377" i="12" s="1"/>
  <c r="Y1378" i="12" s="1"/>
  <c r="Y1379" i="12" s="1"/>
  <c r="Y1380" i="12" s="1"/>
  <c r="Y1381" i="12" s="1"/>
  <c r="Y1382" i="12" s="1"/>
  <c r="Y1383" i="12" s="1"/>
  <c r="Y1384" i="12" s="1"/>
  <c r="Y1385" i="12" s="1"/>
  <c r="Y1386" i="12" s="1"/>
  <c r="Y1387" i="12" s="1"/>
  <c r="Y1388" i="12" s="1"/>
  <c r="Y1389" i="12" s="1"/>
  <c r="Y1390" i="12" s="1"/>
  <c r="Y1391" i="12" s="1"/>
  <c r="Y1392" i="12" s="1"/>
  <c r="Y1393" i="12" s="1"/>
  <c r="Y1394" i="12" s="1"/>
  <c r="Y1395" i="12" s="1"/>
  <c r="Y1396" i="12" s="1"/>
  <c r="Y1397" i="12" s="1"/>
  <c r="Y1398" i="12" s="1"/>
  <c r="Y1399" i="12" s="1"/>
  <c r="Y1400" i="12" s="1"/>
  <c r="Y1401" i="12" s="1"/>
  <c r="Y1402" i="12" s="1"/>
  <c r="Y1403" i="12" s="1"/>
  <c r="Y1404" i="12" s="1"/>
  <c r="Y1405" i="12" s="1"/>
  <c r="Y1406" i="12" s="1"/>
  <c r="Y1407" i="12" s="1"/>
  <c r="Y1408" i="12" s="1"/>
  <c r="Y1409" i="12" s="1"/>
  <c r="Y1410" i="12" s="1"/>
  <c r="Y1411" i="12" s="1"/>
  <c r="Y1412" i="12" s="1"/>
  <c r="Y1413" i="12" s="1"/>
  <c r="Y1414" i="12" s="1"/>
  <c r="Y1415" i="12" s="1"/>
  <c r="Y1416" i="12" s="1"/>
  <c r="Y1417" i="12" s="1"/>
  <c r="Y1418" i="12" s="1"/>
  <c r="Y1419" i="12" s="1"/>
  <c r="Y1420" i="12" s="1"/>
  <c r="Y1421" i="12" s="1"/>
  <c r="Y1422" i="12" s="1"/>
  <c r="Y1423" i="12" s="1"/>
  <c r="Y1424" i="12" s="1"/>
  <c r="Y1425" i="12" s="1"/>
  <c r="Y1426" i="12" s="1"/>
  <c r="Y1427" i="12" s="1"/>
  <c r="Y1428" i="12" s="1"/>
  <c r="Y1429" i="12" s="1"/>
  <c r="Y1430" i="12" s="1"/>
  <c r="Y1431" i="12" s="1"/>
  <c r="Y1432" i="12" s="1"/>
  <c r="Y1433" i="12" s="1"/>
  <c r="Y1434" i="12" s="1"/>
  <c r="Y1435" i="12" s="1"/>
  <c r="Y1436" i="12" s="1"/>
  <c r="Y1437" i="12" s="1"/>
  <c r="Y1438" i="12" s="1"/>
  <c r="Y1439" i="12" s="1"/>
  <c r="Y1440" i="12" s="1"/>
  <c r="Y1441" i="12" s="1"/>
  <c r="Y1442" i="12" s="1"/>
  <c r="Y1443" i="12" s="1"/>
  <c r="Y1444" i="12" s="1"/>
  <c r="Y1445" i="12" s="1"/>
  <c r="Y1446" i="12" s="1"/>
  <c r="Y1447" i="12" s="1"/>
  <c r="Y1448" i="12" s="1"/>
  <c r="Y1449" i="12" s="1"/>
  <c r="Y1450" i="12" s="1"/>
  <c r="Y1451" i="12" s="1"/>
  <c r="Y1452" i="12" s="1"/>
  <c r="Y1453" i="12" s="1"/>
  <c r="Y1454" i="12" s="1"/>
  <c r="Y1455" i="12" s="1"/>
  <c r="Y1456" i="12" s="1"/>
  <c r="Y1457" i="12" s="1"/>
  <c r="Y1458" i="12" s="1"/>
  <c r="Y1459" i="12" s="1"/>
  <c r="Y1460" i="12" s="1"/>
  <c r="Y1461" i="12" s="1"/>
  <c r="Y1462" i="12" s="1"/>
  <c r="Y1463" i="12" s="1"/>
  <c r="Y1464" i="12" s="1"/>
  <c r="Y1465" i="12" s="1"/>
  <c r="Y1466" i="12" s="1"/>
  <c r="Y1467" i="12" s="1"/>
  <c r="Y1468" i="12" s="1"/>
  <c r="Y1469" i="12" s="1"/>
  <c r="Y1470" i="12" s="1"/>
  <c r="Y1471" i="12" s="1"/>
  <c r="Y1472" i="12" s="1"/>
  <c r="Y1473" i="12" s="1"/>
  <c r="Y1474" i="12" s="1"/>
  <c r="Y1475" i="12" s="1"/>
  <c r="Y1476" i="12" s="1"/>
  <c r="Y1477" i="12" s="1"/>
  <c r="Y1478" i="12" s="1"/>
  <c r="Y1479" i="12" s="1"/>
  <c r="Y1480" i="12" s="1"/>
  <c r="Y1481" i="12" s="1"/>
  <c r="Y1482" i="12" s="1"/>
  <c r="Y1483" i="12" s="1"/>
  <c r="Y1484" i="12" s="1"/>
  <c r="Y1485" i="12" s="1"/>
  <c r="Y1486" i="12" s="1"/>
  <c r="Y1487" i="12" s="1"/>
  <c r="Y1488" i="12" s="1"/>
  <c r="Y1489" i="12" s="1"/>
  <c r="Y1490" i="12" s="1"/>
  <c r="Y1491" i="12" s="1"/>
  <c r="Y1492" i="12" s="1"/>
  <c r="Y1493" i="12" s="1"/>
  <c r="Y1494" i="12" s="1"/>
  <c r="Y1495" i="12" s="1"/>
  <c r="Y1496" i="12" s="1"/>
  <c r="Y1497" i="12" s="1"/>
  <c r="Y1498" i="12" s="1"/>
  <c r="Y1499" i="12" s="1"/>
  <c r="Y1500" i="12" s="1"/>
  <c r="Y1501" i="12" s="1"/>
  <c r="Y1502" i="12" s="1"/>
  <c r="Y1503" i="12" s="1"/>
  <c r="Y1504" i="12" s="1"/>
  <c r="Y1505" i="12" s="1"/>
  <c r="Y1506" i="12" s="1"/>
  <c r="Y1507" i="12" s="1"/>
  <c r="Y1508" i="12" s="1"/>
  <c r="Y1509" i="12" s="1"/>
  <c r="Y1510" i="12" s="1"/>
  <c r="Y1511" i="12" s="1"/>
  <c r="Y1512" i="12" s="1"/>
  <c r="Y1513" i="12" s="1"/>
  <c r="Y1514" i="12" s="1"/>
  <c r="Y1515" i="12" s="1"/>
  <c r="Y1516" i="12" s="1"/>
  <c r="Y1517" i="12" s="1"/>
  <c r="Y1518" i="12" s="1"/>
  <c r="Y1519" i="12" s="1"/>
  <c r="Y1520" i="12" s="1"/>
  <c r="Y1521" i="12" s="1"/>
  <c r="Y1522" i="12" s="1"/>
  <c r="Y1523" i="12" s="1"/>
  <c r="Y1524" i="12" s="1"/>
  <c r="Y1525" i="12" s="1"/>
  <c r="Y1526" i="12" s="1"/>
  <c r="Y1527" i="12" s="1"/>
  <c r="Y1528" i="12" s="1"/>
  <c r="Y1529" i="12" s="1"/>
  <c r="Y1530" i="12" s="1"/>
  <c r="Y1531" i="12" s="1"/>
  <c r="Y1532" i="12" s="1"/>
  <c r="Y1533" i="12" s="1"/>
  <c r="Y1534" i="12" s="1"/>
  <c r="Y1535" i="12" s="1"/>
  <c r="Y1536" i="12" s="1"/>
  <c r="Y1537" i="12" s="1"/>
  <c r="Y1538" i="12" s="1"/>
  <c r="Y1539" i="12" s="1"/>
  <c r="Y1540" i="12" s="1"/>
  <c r="Y1541" i="12" s="1"/>
  <c r="Y1542" i="12" s="1"/>
  <c r="Y1543" i="12" s="1"/>
  <c r="Y1544" i="12" s="1"/>
  <c r="Y1545" i="12" s="1"/>
  <c r="Y1546" i="12" s="1"/>
  <c r="Y1547" i="12" s="1"/>
  <c r="Y1548" i="12" s="1"/>
  <c r="Y1549" i="12" s="1"/>
  <c r="Y1550" i="12" s="1"/>
  <c r="Y1551" i="12" s="1"/>
  <c r="Y1552" i="12" s="1"/>
  <c r="Y1553" i="12" s="1"/>
  <c r="Y1554" i="12" s="1"/>
  <c r="Y1555" i="12" s="1"/>
  <c r="Y1556" i="12" s="1"/>
  <c r="Y1557" i="12" s="1"/>
  <c r="Y1558" i="12" s="1"/>
  <c r="Y1559" i="12" s="1"/>
  <c r="Y1560" i="12" s="1"/>
  <c r="Y1561" i="12" s="1"/>
  <c r="Y1562" i="12" s="1"/>
  <c r="Y1563" i="12" s="1"/>
  <c r="Y1564" i="12" s="1"/>
  <c r="Y1565" i="12" s="1"/>
  <c r="Y1566" i="12" s="1"/>
  <c r="Y1567" i="12" s="1"/>
  <c r="Y1568" i="12" s="1"/>
  <c r="Y1569" i="12" s="1"/>
  <c r="Y1570" i="12" s="1"/>
  <c r="Y1571" i="12" s="1"/>
  <c r="Y1572" i="12" s="1"/>
  <c r="Y1573" i="12" s="1"/>
  <c r="Y1574" i="12" s="1"/>
  <c r="Y1575" i="12" s="1"/>
  <c r="Y1576" i="12" s="1"/>
  <c r="Y1577" i="12" s="1"/>
  <c r="Y1578" i="12" s="1"/>
  <c r="Y1579" i="12" s="1"/>
  <c r="Y1580" i="12" s="1"/>
  <c r="Y1581" i="12" s="1"/>
  <c r="Y1582" i="12" s="1"/>
  <c r="Y1583" i="12" s="1"/>
  <c r="Y1584" i="12" s="1"/>
  <c r="Y1585" i="12" s="1"/>
  <c r="Y1586" i="12" s="1"/>
  <c r="Y1587" i="12" s="1"/>
  <c r="Y1588" i="12" s="1"/>
  <c r="Y1589" i="12" s="1"/>
  <c r="Y1590" i="12" s="1"/>
  <c r="Y1591" i="12" s="1"/>
  <c r="Y1592" i="12" s="1"/>
  <c r="Y1593" i="12" s="1"/>
  <c r="Y1594" i="12" s="1"/>
  <c r="Y1595" i="12" s="1"/>
  <c r="Y1596" i="12" s="1"/>
  <c r="Y1597" i="12" s="1"/>
  <c r="Y1598" i="12" s="1"/>
  <c r="Y1599" i="12" s="1"/>
  <c r="Y1600" i="12" s="1"/>
  <c r="Y1601" i="12" s="1"/>
  <c r="Y1602" i="12" s="1"/>
  <c r="Y1603" i="12" s="1"/>
  <c r="Y1604" i="12" s="1"/>
  <c r="Y1605" i="12" s="1"/>
  <c r="Y1606" i="12" s="1"/>
  <c r="Y1607" i="12" s="1"/>
  <c r="Y1608" i="12" s="1"/>
  <c r="Y1609" i="12" s="1"/>
  <c r="Y1610" i="12" s="1"/>
  <c r="Y1611" i="12" s="1"/>
  <c r="Y1612" i="12" s="1"/>
  <c r="Y1613" i="12" s="1"/>
  <c r="Y1614" i="12" s="1"/>
  <c r="Y1615" i="12" s="1"/>
  <c r="Y1616" i="12" s="1"/>
  <c r="Y1617" i="12" s="1"/>
  <c r="Y1618" i="12" s="1"/>
  <c r="Y1619" i="12" s="1"/>
  <c r="Y1620" i="12" s="1"/>
  <c r="Y1621" i="12" s="1"/>
  <c r="Y1622" i="12" s="1"/>
  <c r="Y1623" i="12" s="1"/>
  <c r="Y1624" i="12" s="1"/>
  <c r="Y1625" i="12" s="1"/>
  <c r="Y1626" i="12" s="1"/>
  <c r="Y1627" i="12" s="1"/>
  <c r="Y1628" i="12" s="1"/>
  <c r="Y1629" i="12" s="1"/>
  <c r="Y1630" i="12" s="1"/>
  <c r="Y1631" i="12" s="1"/>
  <c r="Y1632" i="12" s="1"/>
  <c r="Y1633" i="12" s="1"/>
  <c r="Y1634" i="12" s="1"/>
  <c r="Y1635" i="12" s="1"/>
  <c r="Y1636" i="12" s="1"/>
  <c r="Y1637" i="12" s="1"/>
  <c r="Y1638" i="12" s="1"/>
  <c r="Y1639" i="12" s="1"/>
  <c r="Y1640" i="12" s="1"/>
  <c r="Y1641" i="12" s="1"/>
  <c r="Y1642" i="12" s="1"/>
  <c r="Y1643" i="12" s="1"/>
  <c r="Y1644" i="12" s="1"/>
  <c r="Y1645" i="12" s="1"/>
  <c r="Y1646" i="12" s="1"/>
  <c r="Y1647" i="12" s="1"/>
  <c r="Y1648" i="12" s="1"/>
  <c r="Y1649" i="12" s="1"/>
  <c r="Y1650" i="12" s="1"/>
  <c r="Y1651" i="12" s="1"/>
  <c r="Y1652" i="12" s="1"/>
  <c r="Y1653" i="12" s="1"/>
  <c r="Y1654" i="12" s="1"/>
  <c r="Y1655" i="12" s="1"/>
  <c r="Y1656" i="12" s="1"/>
  <c r="Y1657" i="12" s="1"/>
  <c r="Y1658" i="12" s="1"/>
  <c r="Y1659" i="12" s="1"/>
  <c r="Y1660" i="12" s="1"/>
  <c r="Y1661" i="12" s="1"/>
  <c r="Y1662" i="12" s="1"/>
  <c r="Y1663" i="12" s="1"/>
  <c r="Y1664" i="12" s="1"/>
  <c r="Y1665" i="12" s="1"/>
  <c r="Y1666" i="12" s="1"/>
  <c r="Y1667" i="12" s="1"/>
  <c r="Y1668" i="12" s="1"/>
  <c r="Y1669" i="12" s="1"/>
  <c r="Y1670" i="12" s="1"/>
  <c r="Y1671" i="12" s="1"/>
  <c r="Y1672" i="12" s="1"/>
  <c r="Y1673" i="12" s="1"/>
  <c r="Y1674" i="12" s="1"/>
  <c r="Y1675" i="12" s="1"/>
  <c r="Y1676" i="12" s="1"/>
  <c r="Y1677" i="12" s="1"/>
  <c r="Y1678" i="12" s="1"/>
  <c r="Y1679" i="12" s="1"/>
  <c r="Y1680" i="12" s="1"/>
  <c r="Y1681" i="12" s="1"/>
  <c r="Y1682" i="12" s="1"/>
  <c r="Y1683" i="12" s="1"/>
  <c r="Y1684" i="12" s="1"/>
  <c r="Y1685" i="12" s="1"/>
  <c r="Y1686" i="12" s="1"/>
  <c r="Y1687" i="12" s="1"/>
  <c r="Y1688" i="12" s="1"/>
  <c r="Y1689" i="12" s="1"/>
  <c r="Y1690" i="12" s="1"/>
  <c r="Y1691" i="12" s="1"/>
  <c r="Y1692" i="12" s="1"/>
  <c r="Y1693" i="12" s="1"/>
  <c r="Y1694" i="12" s="1"/>
  <c r="Y1695" i="12" s="1"/>
  <c r="Y1696" i="12" s="1"/>
  <c r="Y1697" i="12" s="1"/>
  <c r="Y1698" i="12" s="1"/>
  <c r="Y1699" i="12" s="1"/>
  <c r="Y1700" i="12" s="1"/>
  <c r="Y1701" i="12" s="1"/>
  <c r="Y1702" i="12" s="1"/>
  <c r="Y1703" i="12" s="1"/>
  <c r="Y1704" i="12" s="1"/>
  <c r="Y1705" i="12" s="1"/>
  <c r="Y1706" i="12" s="1"/>
  <c r="Y1707" i="12" s="1"/>
  <c r="Y1708" i="12" s="1"/>
  <c r="Y1709" i="12" s="1"/>
  <c r="Y1710" i="12" s="1"/>
  <c r="Y1711" i="12" s="1"/>
  <c r="Y1712" i="12" s="1"/>
  <c r="Y1713" i="12" s="1"/>
  <c r="Y1714" i="12" s="1"/>
  <c r="Y1715" i="12" s="1"/>
  <c r="Y1716" i="12" s="1"/>
  <c r="Y1717" i="12" s="1"/>
  <c r="Y1718" i="12" s="1"/>
  <c r="Y1719" i="12" s="1"/>
  <c r="Y1720" i="12" s="1"/>
  <c r="Y1721" i="12" s="1"/>
  <c r="Y1722" i="12" s="1"/>
  <c r="Y1723" i="12" s="1"/>
  <c r="Y1724" i="12" s="1"/>
  <c r="Y1725" i="12" s="1"/>
  <c r="Y1726" i="12" s="1"/>
  <c r="Y1727" i="12" s="1"/>
  <c r="Y1728" i="12" s="1"/>
  <c r="Y1729" i="12" s="1"/>
  <c r="Y1730" i="12" s="1"/>
  <c r="Y1731" i="12" s="1"/>
  <c r="Y1732" i="12" s="1"/>
  <c r="Y1733" i="12" s="1"/>
  <c r="Y1734" i="12" s="1"/>
  <c r="Y1735" i="12" s="1"/>
  <c r="Y1736" i="12" s="1"/>
  <c r="Y1737" i="12" s="1"/>
  <c r="Y1738" i="12" s="1"/>
  <c r="Y1739" i="12" s="1"/>
  <c r="Y1740" i="12" s="1"/>
  <c r="Y1741" i="12" s="1"/>
  <c r="Y1742" i="12" s="1"/>
  <c r="Y1743" i="12" s="1"/>
  <c r="Y1744" i="12" s="1"/>
  <c r="Y1745" i="12" s="1"/>
  <c r="Y1746" i="12" s="1"/>
  <c r="Y1747" i="12" s="1"/>
  <c r="Y1748" i="12" s="1"/>
  <c r="Y1749" i="12" s="1"/>
  <c r="Y1750" i="12" s="1"/>
  <c r="Y1751" i="12" s="1"/>
  <c r="Y1752" i="12" s="1"/>
  <c r="Y1753" i="12" s="1"/>
  <c r="Y1754" i="12" s="1"/>
  <c r="Y1755" i="12" s="1"/>
  <c r="Y1756" i="12" s="1"/>
  <c r="Y1757" i="12" s="1"/>
  <c r="Y1758" i="12" s="1"/>
  <c r="Y1759" i="12" s="1"/>
  <c r="Y1760" i="12" s="1"/>
  <c r="Y1761" i="12" s="1"/>
  <c r="Y1762" i="12" s="1"/>
  <c r="Y1763" i="12" s="1"/>
  <c r="Y1764" i="12" s="1"/>
  <c r="Y1765" i="12" s="1"/>
  <c r="Y1766" i="12" s="1"/>
  <c r="Y1767" i="12" s="1"/>
  <c r="Y1768" i="12" s="1"/>
  <c r="Y1769" i="12" s="1"/>
  <c r="Y1770" i="12" s="1"/>
  <c r="Y1771" i="12" s="1"/>
  <c r="Y1772" i="12" s="1"/>
  <c r="Y1773" i="12" s="1"/>
  <c r="Y1774" i="12" s="1"/>
  <c r="Y1775" i="12" s="1"/>
  <c r="Y1776" i="12" s="1"/>
  <c r="Y1777" i="12" s="1"/>
  <c r="Y1778" i="12" s="1"/>
  <c r="Y1779" i="12" s="1"/>
  <c r="Y1780" i="12" s="1"/>
  <c r="Y1781" i="12" s="1"/>
  <c r="Y1782" i="12" s="1"/>
  <c r="Y1783" i="12" s="1"/>
  <c r="Y1784" i="12" s="1"/>
  <c r="Y1785" i="12" s="1"/>
  <c r="Y1786" i="12" s="1"/>
  <c r="Y1787" i="12" s="1"/>
  <c r="Y1788" i="12" s="1"/>
  <c r="Y1789" i="12" s="1"/>
  <c r="Y1790" i="12" s="1"/>
  <c r="Y1791" i="12" s="1"/>
  <c r="Y1792" i="12" s="1"/>
  <c r="Y1793" i="12" s="1"/>
  <c r="Y1794" i="12" s="1"/>
  <c r="Y1795" i="12" s="1"/>
  <c r="Y1796" i="12" s="1"/>
  <c r="Y1797" i="12" s="1"/>
  <c r="Y1798" i="12" s="1"/>
  <c r="Y1799" i="12" s="1"/>
  <c r="Y1800" i="12" s="1"/>
  <c r="Y1801" i="12" s="1"/>
  <c r="Y1802" i="12" s="1"/>
  <c r="Y1803" i="12" s="1"/>
  <c r="Y1804" i="12" s="1"/>
  <c r="Y1805" i="12" s="1"/>
  <c r="Y1806" i="12" s="1"/>
  <c r="Y1807" i="12" s="1"/>
  <c r="Y1808" i="12" s="1"/>
  <c r="Y1809" i="12" s="1"/>
  <c r="Y1810" i="12" s="1"/>
  <c r="Y1811" i="12" s="1"/>
  <c r="Y1812" i="12" s="1"/>
  <c r="Y1813" i="12" s="1"/>
  <c r="Y1814" i="12" s="1"/>
  <c r="Y1815" i="12" s="1"/>
  <c r="Y1816" i="12" s="1"/>
  <c r="Y1817" i="12" s="1"/>
  <c r="Y1818" i="12" s="1"/>
  <c r="Y1819" i="12" s="1"/>
  <c r="Y1820" i="12" s="1"/>
  <c r="Y1821" i="12" s="1"/>
  <c r="Y1822" i="12" s="1"/>
  <c r="Y1823" i="12" s="1"/>
  <c r="Y1824" i="12" s="1"/>
  <c r="Y1825" i="12" s="1"/>
  <c r="Y1826" i="12" s="1"/>
  <c r="Y1827" i="12" s="1"/>
  <c r="Y1828" i="12" s="1"/>
  <c r="Y1829" i="12" s="1"/>
  <c r="Y1830" i="12" s="1"/>
  <c r="Y1831" i="12" s="1"/>
  <c r="Y1832" i="12" s="1"/>
  <c r="Y1833" i="12" s="1"/>
  <c r="Y1834" i="12" s="1"/>
  <c r="Y1835" i="12" s="1"/>
  <c r="Y1836" i="12" s="1"/>
  <c r="Y1837" i="12" s="1"/>
  <c r="Y1838" i="12" s="1"/>
  <c r="Y1839" i="12" s="1"/>
  <c r="Y1840" i="12" s="1"/>
  <c r="Y1841" i="12" s="1"/>
  <c r="Y1842" i="12" s="1"/>
  <c r="Y1843" i="12" s="1"/>
  <c r="Y1844" i="12" s="1"/>
  <c r="Y1845" i="12" s="1"/>
  <c r="Y1846" i="12" s="1"/>
  <c r="Y1847" i="12" s="1"/>
  <c r="Y1848" i="12" s="1"/>
  <c r="Y1849" i="12" s="1"/>
  <c r="Y1850" i="12" s="1"/>
  <c r="Y1851" i="12" s="1"/>
  <c r="Y1852" i="12" s="1"/>
  <c r="Y1853" i="12" s="1"/>
  <c r="Y1854" i="12" s="1"/>
  <c r="Y1855" i="12" s="1"/>
  <c r="Y1856" i="12" s="1"/>
  <c r="Y1857" i="12" s="1"/>
  <c r="Y1858" i="12" s="1"/>
  <c r="Y1859" i="12" s="1"/>
  <c r="Y1860" i="12" s="1"/>
  <c r="Y1861" i="12" s="1"/>
  <c r="Y1862" i="12" s="1"/>
  <c r="Y1863" i="12" s="1"/>
  <c r="Y1864" i="12" s="1"/>
  <c r="Y1865" i="12" s="1"/>
  <c r="Y1866" i="12" s="1"/>
  <c r="Y1867" i="12" s="1"/>
  <c r="Y1868" i="12" s="1"/>
  <c r="Y1869" i="12" s="1"/>
  <c r="Y1870" i="12" s="1"/>
  <c r="Y1871" i="12" s="1"/>
  <c r="Y1872" i="12" s="1"/>
  <c r="Y1873" i="12" s="1"/>
  <c r="Y1874" i="12" s="1"/>
  <c r="Y1875" i="12" s="1"/>
  <c r="Y1876" i="12" s="1"/>
  <c r="Y1877" i="12" s="1"/>
  <c r="Y1878" i="12" s="1"/>
  <c r="Y1879" i="12" s="1"/>
  <c r="Y1880" i="12" s="1"/>
  <c r="Y1881" i="12" s="1"/>
  <c r="Y1882" i="12" s="1"/>
  <c r="Y1883" i="12" s="1"/>
  <c r="Y1884" i="12" s="1"/>
  <c r="Y1885" i="12" s="1"/>
  <c r="Y1886" i="12" s="1"/>
  <c r="Y1887" i="12" s="1"/>
  <c r="Y1888" i="12" s="1"/>
  <c r="Y1889" i="12" s="1"/>
  <c r="Y1890" i="12" s="1"/>
  <c r="Y1891" i="12" s="1"/>
  <c r="Y1892" i="12" s="1"/>
  <c r="Y1893" i="12" s="1"/>
  <c r="Y1894" i="12" s="1"/>
  <c r="Y1895" i="12" s="1"/>
  <c r="Y1896" i="12" s="1"/>
  <c r="Y1897" i="12" s="1"/>
  <c r="Y1898" i="12" s="1"/>
  <c r="Y1899" i="12" s="1"/>
  <c r="Y1900" i="12" s="1"/>
  <c r="Y1901" i="12" s="1"/>
  <c r="Y1902" i="12" s="1"/>
  <c r="Y1903" i="12" s="1"/>
  <c r="Y1904" i="12" s="1"/>
  <c r="Y1905" i="12" s="1"/>
  <c r="Y1906" i="12" s="1"/>
  <c r="Y1907" i="12" s="1"/>
  <c r="Y1908" i="12" s="1"/>
  <c r="Y1909" i="12" s="1"/>
  <c r="Y1910" i="12" s="1"/>
  <c r="Y1911" i="12" s="1"/>
  <c r="Y1912" i="12" s="1"/>
  <c r="Y1913" i="12" s="1"/>
  <c r="Y1914" i="12" s="1"/>
  <c r="Y1915" i="12" s="1"/>
  <c r="Y1916" i="12" s="1"/>
  <c r="Y1917" i="12" s="1"/>
  <c r="Y1918" i="12" s="1"/>
  <c r="Y1919" i="12" s="1"/>
  <c r="Y1920" i="12" s="1"/>
  <c r="Y1921" i="12" s="1"/>
  <c r="Y1922" i="12" s="1"/>
  <c r="Y1923" i="12" s="1"/>
  <c r="Y1924" i="12" s="1"/>
  <c r="Y1925" i="12" s="1"/>
  <c r="Y1926" i="12" s="1"/>
  <c r="Y1927" i="12" s="1"/>
  <c r="Y1928" i="12" s="1"/>
  <c r="Y1929" i="12" s="1"/>
  <c r="Y1930" i="12" s="1"/>
  <c r="Y1931" i="12" s="1"/>
  <c r="Y1932" i="12" s="1"/>
  <c r="Y1933" i="12" s="1"/>
  <c r="Y1934" i="12" s="1"/>
  <c r="Y1935" i="12" s="1"/>
  <c r="Y1936" i="12" s="1"/>
  <c r="Y1937" i="12" s="1"/>
  <c r="Y1938" i="12" s="1"/>
  <c r="Y1939" i="12" s="1"/>
  <c r="Y1940" i="12" s="1"/>
  <c r="Y1941" i="12" s="1"/>
  <c r="Y1942" i="12" s="1"/>
  <c r="Y1943" i="12" s="1"/>
  <c r="Y1944" i="12" s="1"/>
  <c r="Y1945" i="12" s="1"/>
  <c r="Y1946" i="12" s="1"/>
  <c r="Y1947" i="12" s="1"/>
  <c r="Y1948" i="12" s="1"/>
  <c r="Y1949" i="12" s="1"/>
  <c r="Y1950" i="12" s="1"/>
  <c r="Y1951" i="12" s="1"/>
  <c r="Y1952" i="12" s="1"/>
  <c r="Y1953" i="12" s="1"/>
  <c r="Y1954" i="12" s="1"/>
  <c r="Y1955" i="12" s="1"/>
  <c r="Y1956" i="12" s="1"/>
  <c r="Y1957" i="12" s="1"/>
  <c r="Y1958" i="12" s="1"/>
  <c r="Y1959" i="12" s="1"/>
  <c r="Y1960" i="12" s="1"/>
  <c r="Y1961" i="12" s="1"/>
  <c r="Y1962" i="12" s="1"/>
  <c r="Y1963" i="12" s="1"/>
  <c r="Y1964" i="12" s="1"/>
  <c r="Y1965" i="12" s="1"/>
  <c r="Y1966" i="12" s="1"/>
  <c r="Y1967" i="12" s="1"/>
  <c r="Y1968" i="12" s="1"/>
  <c r="Y1969" i="12" s="1"/>
  <c r="Y1970" i="12" s="1"/>
  <c r="Y1971" i="12" s="1"/>
  <c r="Y1972" i="12" s="1"/>
  <c r="Y1973" i="12" s="1"/>
  <c r="Y1974" i="12" s="1"/>
  <c r="Y1975" i="12" s="1"/>
  <c r="Y1976" i="12" s="1"/>
  <c r="Y1977" i="12" s="1"/>
  <c r="Y1978" i="12" s="1"/>
  <c r="Y1979" i="12" s="1"/>
  <c r="Y1980" i="12" s="1"/>
  <c r="Y1981" i="12" s="1"/>
  <c r="Y1982" i="12" s="1"/>
  <c r="Y1983" i="12" s="1"/>
  <c r="Y1984" i="12" s="1"/>
  <c r="Y1985" i="12" s="1"/>
  <c r="Y1986" i="12" s="1"/>
  <c r="Y1987" i="12" s="1"/>
  <c r="Y1988" i="12" s="1"/>
  <c r="Y1989" i="12" s="1"/>
  <c r="Y1990" i="12" s="1"/>
  <c r="Y1991" i="12" s="1"/>
  <c r="Y1992" i="12" s="1"/>
  <c r="Y1993" i="12" s="1"/>
  <c r="Y1994" i="12" s="1"/>
  <c r="Y1995" i="12" s="1"/>
  <c r="Y1996" i="12" s="1"/>
  <c r="Y1997" i="12" s="1"/>
  <c r="Y1998" i="12" s="1"/>
  <c r="Y1999" i="12" s="1"/>
  <c r="Y2000" i="12" s="1"/>
  <c r="Y2001" i="12" s="1"/>
  <c r="Y2002" i="12" s="1"/>
  <c r="Y2003" i="12" s="1"/>
  <c r="Y2004" i="12" s="1"/>
  <c r="Y2005" i="12" s="1"/>
  <c r="Y2006" i="12" s="1"/>
  <c r="Y2007" i="12" s="1"/>
  <c r="Y2008" i="12" s="1"/>
  <c r="Y2009" i="12" s="1"/>
  <c r="Y2010" i="12" s="1"/>
  <c r="Y2011" i="12" s="1"/>
  <c r="Y2012" i="12" s="1"/>
  <c r="Y2013" i="12" s="1"/>
  <c r="Y2014" i="12" s="1"/>
  <c r="Y2015" i="12" s="1"/>
  <c r="Y2016" i="12" s="1"/>
  <c r="Y2017" i="12" s="1"/>
  <c r="Y2018" i="12" s="1"/>
  <c r="Y2019" i="12" s="1"/>
  <c r="Y2020" i="12" s="1"/>
  <c r="Y2021" i="12" s="1"/>
  <c r="Y2022" i="12" s="1"/>
  <c r="Y2023" i="12" s="1"/>
  <c r="Y2024" i="12" s="1"/>
  <c r="Y2025" i="12" s="1"/>
  <c r="Y2026" i="12" s="1"/>
  <c r="Y2027" i="12" s="1"/>
  <c r="Y2028" i="12" s="1"/>
  <c r="Y2029" i="12" s="1"/>
  <c r="Y2030" i="12" s="1"/>
  <c r="Y2031" i="12" s="1"/>
  <c r="Y2032" i="12" s="1"/>
  <c r="Y2033" i="12" s="1"/>
  <c r="Y2034" i="12" s="1"/>
  <c r="Y2035" i="12" s="1"/>
  <c r="Y2036" i="12" s="1"/>
  <c r="Y2037" i="12" s="1"/>
  <c r="Y2038" i="12" s="1"/>
  <c r="Y2039" i="12" s="1"/>
  <c r="Y2040" i="12" s="1"/>
  <c r="Y2041" i="12" s="1"/>
  <c r="Y2042" i="12" s="1"/>
  <c r="Y2043" i="12" s="1"/>
  <c r="Y2044" i="12" s="1"/>
  <c r="Y2045" i="12" s="1"/>
  <c r="Y2046" i="12" s="1"/>
  <c r="Y2047" i="12" s="1"/>
  <c r="Y2048" i="12" s="1"/>
  <c r="Y2049" i="12" s="1"/>
  <c r="Y2050" i="12" s="1"/>
  <c r="Y2051" i="12" s="1"/>
  <c r="Y2052" i="12" s="1"/>
  <c r="Y2053" i="12" s="1"/>
  <c r="Y2054" i="12" s="1"/>
  <c r="Y2055" i="12" s="1"/>
  <c r="Y2056" i="12" s="1"/>
  <c r="Y2057" i="12" s="1"/>
  <c r="Y2058" i="12" s="1"/>
  <c r="Y2059" i="12" s="1"/>
  <c r="Y2060" i="12" s="1"/>
  <c r="Y2061" i="12" s="1"/>
  <c r="Y2062" i="12" s="1"/>
  <c r="Y2063" i="12" s="1"/>
  <c r="Y2064" i="12" s="1"/>
  <c r="Y2065" i="12" s="1"/>
  <c r="Y2066" i="12" s="1"/>
  <c r="Y2067" i="12" s="1"/>
  <c r="Y2068" i="12" s="1"/>
  <c r="Y2069" i="12" s="1"/>
  <c r="Y2070" i="12" s="1"/>
  <c r="Y2071" i="12" s="1"/>
  <c r="Y2072" i="12" s="1"/>
  <c r="Y2073" i="12" s="1"/>
  <c r="Y2074" i="12" s="1"/>
  <c r="Y2075" i="12" s="1"/>
  <c r="Y2076" i="12" s="1"/>
  <c r="Y2077" i="12" s="1"/>
  <c r="Y2078" i="12" s="1"/>
  <c r="Y2079" i="12" s="1"/>
  <c r="Y2080" i="12" s="1"/>
  <c r="Y2081" i="12" s="1"/>
  <c r="Y2082" i="12" s="1"/>
  <c r="Y2083" i="12" s="1"/>
  <c r="Y2084" i="12" s="1"/>
  <c r="Y2085" i="12" s="1"/>
  <c r="Y2086" i="12" s="1"/>
  <c r="Y2087" i="12" s="1"/>
  <c r="Y2088" i="12" s="1"/>
  <c r="Y2089" i="12" s="1"/>
  <c r="Y2090" i="12" s="1"/>
  <c r="Y2091" i="12" s="1"/>
  <c r="Y2092" i="12" s="1"/>
  <c r="Y2093" i="12" s="1"/>
  <c r="Y2094" i="12" s="1"/>
  <c r="Y2095" i="12" s="1"/>
  <c r="Y2096" i="12" s="1"/>
  <c r="Y2097" i="12" s="1"/>
  <c r="Y2098" i="12" s="1"/>
  <c r="Y2099" i="12" s="1"/>
  <c r="Y2100" i="12" s="1"/>
  <c r="Y2101" i="12" s="1"/>
  <c r="Y2102" i="12" s="1"/>
  <c r="Y2103" i="12" s="1"/>
  <c r="Y2104" i="12" s="1"/>
  <c r="Y2105" i="12" s="1"/>
  <c r="Y2106" i="12" s="1"/>
  <c r="Y2107" i="12" s="1"/>
  <c r="Y2108" i="12" s="1"/>
  <c r="Y2109" i="12" s="1"/>
  <c r="Y2110" i="12" s="1"/>
  <c r="Y2111" i="12" s="1"/>
  <c r="Y2112" i="12" s="1"/>
  <c r="Y2113" i="12" s="1"/>
  <c r="Y2114" i="12" s="1"/>
  <c r="Y2115" i="12" s="1"/>
  <c r="Y2116" i="12" s="1"/>
  <c r="Y2117" i="12" s="1"/>
  <c r="Y2118" i="12" s="1"/>
  <c r="Y2119" i="12" s="1"/>
  <c r="Y2120" i="12" s="1"/>
  <c r="Y2121" i="12" s="1"/>
  <c r="Y2122" i="12" s="1"/>
  <c r="Y2123" i="12" s="1"/>
  <c r="Y2124" i="12" s="1"/>
  <c r="Y2125" i="12" s="1"/>
  <c r="Y2126" i="12" s="1"/>
  <c r="Y2127" i="12" s="1"/>
  <c r="Y2128" i="12" s="1"/>
  <c r="Y2129" i="12" s="1"/>
  <c r="Y2130" i="12" s="1"/>
  <c r="Y2131" i="12" s="1"/>
  <c r="Y2132" i="12" s="1"/>
  <c r="Y2133" i="12" s="1"/>
  <c r="Y2134" i="12" s="1"/>
  <c r="Y2135" i="12" s="1"/>
  <c r="Y2136" i="12" s="1"/>
  <c r="Y2137" i="12" s="1"/>
  <c r="Y2138" i="12" s="1"/>
  <c r="Y2139" i="12" s="1"/>
  <c r="Y2140" i="12" s="1"/>
  <c r="Y2141" i="12" s="1"/>
  <c r="Y2142" i="12" s="1"/>
  <c r="Y2143" i="12" s="1"/>
  <c r="Y2144" i="12" s="1"/>
  <c r="Y2145" i="12" s="1"/>
  <c r="Y2146" i="12" s="1"/>
  <c r="Y2147" i="12" s="1"/>
  <c r="Y2148" i="12" s="1"/>
  <c r="Y2149" i="12" s="1"/>
  <c r="Y2150" i="12" s="1"/>
  <c r="Y2151" i="12" s="1"/>
  <c r="Y2152" i="12" s="1"/>
  <c r="Y2153" i="12" s="1"/>
  <c r="Y2154" i="12" s="1"/>
  <c r="Y2155" i="12" s="1"/>
  <c r="Y2156" i="12" s="1"/>
  <c r="Y2157" i="12" s="1"/>
  <c r="Y2158" i="12" s="1"/>
  <c r="Y2159" i="12" s="1"/>
  <c r="Y2160" i="12" s="1"/>
  <c r="Y2161" i="12" s="1"/>
  <c r="Y2162" i="12" s="1"/>
  <c r="Y2163" i="12" s="1"/>
  <c r="Y2164" i="12" s="1"/>
  <c r="Y2165" i="12" s="1"/>
  <c r="Y2166" i="12" s="1"/>
  <c r="Y2167" i="12" s="1"/>
  <c r="Y2168" i="12" s="1"/>
  <c r="Y2169" i="12" s="1"/>
  <c r="Y2170" i="12" s="1"/>
  <c r="Y2171" i="12" s="1"/>
  <c r="Y2172" i="12" s="1"/>
  <c r="Y2173" i="12" s="1"/>
  <c r="Y2174" i="12" s="1"/>
  <c r="Y2175" i="12" s="1"/>
  <c r="Y2176" i="12" s="1"/>
  <c r="Y2177" i="12" s="1"/>
  <c r="Y2178" i="12" s="1"/>
  <c r="Y2179" i="12" s="1"/>
  <c r="Y2180" i="12" s="1"/>
  <c r="Y2181" i="12" s="1"/>
  <c r="Y2182" i="12" s="1"/>
  <c r="Y2183" i="12" s="1"/>
  <c r="Y2184" i="12" s="1"/>
  <c r="Y2185" i="12" s="1"/>
  <c r="Y2186" i="12" s="1"/>
  <c r="Y2187" i="12" s="1"/>
  <c r="Y2188" i="12" s="1"/>
  <c r="Y2189" i="12" s="1"/>
  <c r="Y2190" i="12" s="1"/>
  <c r="Y2191" i="12" s="1"/>
  <c r="Y2192" i="12" s="1"/>
  <c r="Y2193" i="12" s="1"/>
  <c r="Y2194" i="12" s="1"/>
  <c r="Y2195" i="12" s="1"/>
  <c r="Y2196" i="12" s="1"/>
  <c r="Y2197" i="12" s="1"/>
  <c r="Y2198" i="12" s="1"/>
  <c r="Y2199" i="12" s="1"/>
  <c r="Y2200" i="12" s="1"/>
  <c r="Y2201" i="12" s="1"/>
  <c r="Y2202" i="12" s="1"/>
  <c r="Y2203" i="12" s="1"/>
  <c r="Y2204" i="12" s="1"/>
  <c r="Y2205" i="12" s="1"/>
  <c r="Y2206" i="12" s="1"/>
  <c r="Y2207" i="12" s="1"/>
  <c r="Y2208" i="12" s="1"/>
  <c r="Y2209" i="12" s="1"/>
  <c r="Y2210" i="12" s="1"/>
  <c r="Y2211" i="12" s="1"/>
  <c r="Y2212" i="12" s="1"/>
  <c r="Y2213" i="12" s="1"/>
  <c r="Y2214" i="12" s="1"/>
  <c r="Y2215" i="12" s="1"/>
  <c r="Y2216" i="12" s="1"/>
  <c r="Y2217" i="12" s="1"/>
  <c r="Y2218" i="12" s="1"/>
  <c r="Y2219" i="12" s="1"/>
  <c r="Y2220" i="12" s="1"/>
  <c r="Y2221" i="12" s="1"/>
  <c r="Y2222" i="12" s="1"/>
  <c r="Y2223" i="12" s="1"/>
  <c r="Y2224" i="12" s="1"/>
  <c r="Y2225" i="12" s="1"/>
  <c r="Y2226" i="12" s="1"/>
  <c r="Y2227" i="12" s="1"/>
  <c r="Y2228" i="12" s="1"/>
  <c r="Y2229" i="12" s="1"/>
  <c r="Y2230" i="12" s="1"/>
  <c r="Y2231" i="12" s="1"/>
  <c r="Y2232" i="12" s="1"/>
  <c r="Y2233" i="12" s="1"/>
  <c r="Y2234" i="12" s="1"/>
  <c r="Y2235" i="12" s="1"/>
  <c r="Y2236" i="12" s="1"/>
  <c r="Y2237" i="12" s="1"/>
  <c r="Y2238" i="12" s="1"/>
  <c r="Y2239" i="12" s="1"/>
  <c r="Y2240" i="12" s="1"/>
  <c r="Y2241" i="12" s="1"/>
  <c r="Y2242" i="12" s="1"/>
  <c r="Y2243" i="12" s="1"/>
  <c r="Y2244" i="12" s="1"/>
  <c r="Y2245" i="12" s="1"/>
  <c r="Y2246" i="12" s="1"/>
  <c r="Y2247" i="12" s="1"/>
  <c r="Y2248" i="12" s="1"/>
  <c r="Y2249" i="12" s="1"/>
  <c r="Y2250" i="12" s="1"/>
  <c r="Y2251" i="12" s="1"/>
  <c r="Y2252" i="12" s="1"/>
  <c r="Y2253" i="12" s="1"/>
  <c r="Y2254" i="12" s="1"/>
  <c r="Y2255" i="12" s="1"/>
  <c r="Y2256" i="12" s="1"/>
  <c r="Y2257" i="12" s="1"/>
  <c r="Y2258" i="12" s="1"/>
  <c r="Y2259" i="12" s="1"/>
  <c r="Y2260" i="12" s="1"/>
  <c r="Y2261" i="12" s="1"/>
  <c r="Y2262" i="12" s="1"/>
  <c r="Y2263" i="12" s="1"/>
  <c r="Y2264" i="12" s="1"/>
  <c r="Y2265" i="12" s="1"/>
  <c r="Y2266" i="12" s="1"/>
  <c r="Y2267" i="12" s="1"/>
  <c r="Y2268" i="12" s="1"/>
  <c r="Y2269" i="12" s="1"/>
  <c r="Y2270" i="12" s="1"/>
  <c r="Y2271" i="12" s="1"/>
  <c r="Y2272" i="12" s="1"/>
  <c r="Y2273" i="12" s="1"/>
  <c r="Y2274" i="12" s="1"/>
  <c r="Y2275" i="12" s="1"/>
  <c r="Y2276" i="12" s="1"/>
  <c r="Y2277" i="12" s="1"/>
  <c r="Y2278" i="12" s="1"/>
  <c r="Y2279" i="12" s="1"/>
  <c r="Y2280" i="12" s="1"/>
  <c r="Y2281" i="12" s="1"/>
  <c r="Y2282" i="12" s="1"/>
  <c r="Y2283" i="12" s="1"/>
  <c r="Y2284" i="12" s="1"/>
  <c r="Y2285" i="12" s="1"/>
  <c r="Y2286" i="12" s="1"/>
  <c r="Y2287" i="12" s="1"/>
  <c r="Y2288" i="12" s="1"/>
  <c r="Y2289" i="12" s="1"/>
  <c r="Y2290" i="12" s="1"/>
  <c r="Y2291" i="12" s="1"/>
  <c r="Y2292" i="12" s="1"/>
  <c r="Y2293" i="12" s="1"/>
  <c r="Y2294" i="12" s="1"/>
  <c r="Y2295" i="12" s="1"/>
  <c r="Y2296" i="12" s="1"/>
  <c r="Y2297" i="12" s="1"/>
  <c r="Y2298" i="12" s="1"/>
  <c r="Y2299" i="12" s="1"/>
  <c r="Y2300" i="12" s="1"/>
  <c r="Y2301" i="12" s="1"/>
  <c r="Y2302" i="12" s="1"/>
  <c r="Y2303" i="12" s="1"/>
  <c r="Y2304" i="12" s="1"/>
  <c r="Y2305" i="12" s="1"/>
  <c r="Y2306" i="12" s="1"/>
  <c r="Y2307" i="12" s="1"/>
  <c r="Y2308" i="12" s="1"/>
  <c r="Y2309" i="12" s="1"/>
  <c r="Y2310" i="12" s="1"/>
  <c r="Y2311" i="12" s="1"/>
  <c r="Y2312" i="12" s="1"/>
  <c r="Y2313" i="12" s="1"/>
  <c r="Y2314" i="12" s="1"/>
  <c r="Y2315" i="12" s="1"/>
  <c r="Y2316" i="12" s="1"/>
  <c r="Y2317" i="12" s="1"/>
  <c r="Y2318" i="12" s="1"/>
  <c r="Y2319" i="12" s="1"/>
  <c r="Y2320" i="12" s="1"/>
  <c r="Y2321" i="12" s="1"/>
  <c r="Y2322" i="12" s="1"/>
  <c r="Y2323" i="12" s="1"/>
  <c r="Y2324" i="12" s="1"/>
  <c r="Y2325" i="12" s="1"/>
  <c r="Y2326" i="12" s="1"/>
  <c r="Y2327" i="12" s="1"/>
  <c r="Y2328" i="12" s="1"/>
  <c r="Y2329" i="12" s="1"/>
  <c r="Y2330" i="12" s="1"/>
  <c r="Y2331" i="12" s="1"/>
  <c r="Y2332" i="12" s="1"/>
  <c r="Y2333" i="12" s="1"/>
  <c r="Y2334" i="12" s="1"/>
  <c r="Y2335" i="12" s="1"/>
  <c r="Y2336" i="12" s="1"/>
  <c r="Y2337" i="12" s="1"/>
  <c r="Y2338" i="12" s="1"/>
  <c r="Y2339" i="12" s="1"/>
  <c r="Y2340" i="12" s="1"/>
  <c r="Y2341" i="12" s="1"/>
  <c r="Y2342" i="12" s="1"/>
  <c r="Y2343" i="12" s="1"/>
  <c r="Y2344" i="12" s="1"/>
  <c r="Y2345" i="12" s="1"/>
  <c r="Y2346" i="12" s="1"/>
  <c r="Y2347" i="12" s="1"/>
  <c r="Y2348" i="12" s="1"/>
  <c r="Y2349" i="12" s="1"/>
  <c r="Y2350" i="12" s="1"/>
  <c r="Y2351" i="12" s="1"/>
  <c r="Y2352" i="12" s="1"/>
  <c r="Y2353" i="12" s="1"/>
  <c r="Y2354" i="12" s="1"/>
  <c r="Y2355" i="12" s="1"/>
  <c r="Y2356" i="12" s="1"/>
  <c r="Y2357" i="12" s="1"/>
  <c r="Y2358" i="12" s="1"/>
  <c r="Y2359" i="12" s="1"/>
  <c r="Y2360" i="12" s="1"/>
  <c r="Y2361" i="12" s="1"/>
  <c r="Y2362" i="12" s="1"/>
  <c r="Y2363" i="12" s="1"/>
  <c r="Y2364" i="12" s="1"/>
  <c r="Y2365" i="12" s="1"/>
  <c r="Y2366" i="12" s="1"/>
  <c r="Y2367" i="12" s="1"/>
  <c r="Y2368" i="12" s="1"/>
  <c r="Y2369" i="12" s="1"/>
  <c r="Y2370" i="12" s="1"/>
  <c r="Y2371" i="12" s="1"/>
  <c r="Y2372" i="12" s="1"/>
  <c r="Y2373" i="12" s="1"/>
  <c r="Y2374" i="12" s="1"/>
  <c r="Y2375" i="12" s="1"/>
  <c r="Y2376" i="12" s="1"/>
  <c r="Y2377" i="12" s="1"/>
  <c r="Y2378" i="12" s="1"/>
  <c r="Y2379" i="12" s="1"/>
  <c r="Y2380" i="12" s="1"/>
  <c r="Y2381" i="12" s="1"/>
  <c r="Y2382" i="12" s="1"/>
  <c r="Y2383" i="12" s="1"/>
  <c r="Y2384" i="12" s="1"/>
  <c r="Y2385" i="12" s="1"/>
  <c r="Y2386" i="12" s="1"/>
  <c r="Y2387" i="12" s="1"/>
  <c r="Y2388" i="12" s="1"/>
  <c r="Y2389" i="12" s="1"/>
  <c r="Y2390" i="12" s="1"/>
  <c r="Y2391" i="12" s="1"/>
  <c r="Y2392" i="12" s="1"/>
  <c r="Y2393" i="12" s="1"/>
  <c r="Y2394" i="12" s="1"/>
  <c r="Y2395" i="12" s="1"/>
  <c r="Y2396" i="12" s="1"/>
  <c r="Y2397" i="12" s="1"/>
  <c r="Y2398" i="12" s="1"/>
  <c r="Y2399" i="12" s="1"/>
  <c r="Y2400" i="12" s="1"/>
  <c r="Y2401" i="12" s="1"/>
  <c r="Y2402" i="12" s="1"/>
  <c r="Y2403" i="12" s="1"/>
  <c r="Y2404" i="12" s="1"/>
  <c r="Y2405" i="12" s="1"/>
  <c r="Y2406" i="12" s="1"/>
  <c r="Y2407" i="12" s="1"/>
  <c r="Y2408" i="12" s="1"/>
  <c r="Y2409" i="12" s="1"/>
  <c r="Y2410" i="12" s="1"/>
  <c r="Y2411" i="12" s="1"/>
  <c r="Y2412" i="12" s="1"/>
  <c r="Y2413" i="12" s="1"/>
  <c r="Y2414" i="12" s="1"/>
  <c r="Y2415" i="12" s="1"/>
  <c r="Y2416" i="12" s="1"/>
  <c r="Y2417" i="12" s="1"/>
  <c r="Y2418" i="12" s="1"/>
  <c r="Y2419" i="12" s="1"/>
  <c r="Y2420" i="12" s="1"/>
  <c r="Y2421" i="12" s="1"/>
  <c r="Y2422" i="12" s="1"/>
  <c r="Y2423" i="12" s="1"/>
  <c r="Y2424" i="12" s="1"/>
  <c r="Y2425" i="12" s="1"/>
  <c r="Y2426" i="12" s="1"/>
  <c r="Y2427" i="12" s="1"/>
  <c r="Y2428" i="12" s="1"/>
  <c r="Y2429" i="12" s="1"/>
  <c r="Y2430" i="12" s="1"/>
  <c r="Y2431" i="12" s="1"/>
  <c r="Y2432" i="12" s="1"/>
  <c r="Y2433" i="12" s="1"/>
  <c r="Y2434" i="12" s="1"/>
  <c r="Y2435" i="12" s="1"/>
  <c r="Y2436" i="12" s="1"/>
  <c r="Y2437" i="12" s="1"/>
  <c r="Y2438" i="12" s="1"/>
  <c r="Y2439" i="12" s="1"/>
  <c r="Y2440" i="12" s="1"/>
  <c r="Y2441" i="12" s="1"/>
  <c r="Y2442" i="12" s="1"/>
  <c r="Y2443" i="12" s="1"/>
  <c r="Y2444" i="12" s="1"/>
  <c r="Y2445" i="12" s="1"/>
  <c r="Y2446" i="12" s="1"/>
  <c r="Y2447" i="12" s="1"/>
  <c r="Y2448" i="12" s="1"/>
  <c r="Y2449" i="12" s="1"/>
  <c r="Y2450" i="12" s="1"/>
  <c r="Y2451" i="12" s="1"/>
  <c r="Y2452" i="12" s="1"/>
  <c r="Y2453" i="12" s="1"/>
  <c r="Y2454" i="12" s="1"/>
  <c r="Y2455" i="12" s="1"/>
  <c r="Y2456" i="12" s="1"/>
  <c r="Y2457" i="12" s="1"/>
  <c r="Y2458" i="12" s="1"/>
  <c r="Y2459" i="12" s="1"/>
  <c r="Y2460" i="12" s="1"/>
  <c r="Y2461" i="12" s="1"/>
  <c r="Y2462" i="12" s="1"/>
  <c r="Y2463" i="12" s="1"/>
  <c r="Y2464" i="12" s="1"/>
  <c r="Y2465" i="12" s="1"/>
  <c r="Y2466" i="12" s="1"/>
  <c r="Y2467" i="12" s="1"/>
  <c r="Y2468" i="12" s="1"/>
  <c r="Y2469" i="12" s="1"/>
  <c r="Y2470" i="12" s="1"/>
  <c r="Y2471" i="12" s="1"/>
  <c r="Y2472" i="12" s="1"/>
  <c r="Y2473" i="12" s="1"/>
  <c r="Y2474" i="12" s="1"/>
  <c r="Y2475" i="12" s="1"/>
  <c r="Y2476" i="12" s="1"/>
  <c r="Y2477" i="12" s="1"/>
  <c r="Y2478" i="12" s="1"/>
  <c r="Y2479" i="12" s="1"/>
  <c r="Y2480" i="12" s="1"/>
  <c r="Y2481" i="12" s="1"/>
  <c r="Y2482" i="12" s="1"/>
  <c r="Y2483" i="12" s="1"/>
  <c r="Y2484" i="12" s="1"/>
  <c r="Y2485" i="12" s="1"/>
  <c r="Y2486" i="12" s="1"/>
  <c r="Y2487" i="12" s="1"/>
  <c r="Y2488" i="12" s="1"/>
  <c r="Y2489" i="12" s="1"/>
  <c r="Y2490" i="12" s="1"/>
  <c r="Y2491" i="12" s="1"/>
  <c r="Y2492" i="12" s="1"/>
  <c r="Y2493" i="12" s="1"/>
  <c r="Y2494" i="12" s="1"/>
  <c r="Y2495" i="12" s="1"/>
  <c r="Y2496" i="12" s="1"/>
  <c r="Y2497" i="12" s="1"/>
  <c r="Y2498" i="12" s="1"/>
  <c r="Y2499" i="12" s="1"/>
  <c r="Y2500" i="12" s="1"/>
  <c r="Y2501" i="12" s="1"/>
  <c r="Y2502" i="12" s="1"/>
  <c r="Y2503" i="12" s="1"/>
  <c r="Y2504" i="12" s="1"/>
  <c r="Y2505" i="12" s="1"/>
  <c r="Y2506" i="12" s="1"/>
  <c r="Y2507" i="12" s="1"/>
  <c r="Y2508" i="12" s="1"/>
  <c r="Y2509" i="12" s="1"/>
  <c r="Y2510" i="12" s="1"/>
  <c r="Y2511" i="12" s="1"/>
  <c r="Y2512" i="12" s="1"/>
  <c r="Y2513" i="12" s="1"/>
  <c r="Y2514" i="12" s="1"/>
  <c r="Y2515" i="12" s="1"/>
  <c r="Y2516" i="12" s="1"/>
  <c r="Y2517" i="12" s="1"/>
  <c r="Y2518" i="12" s="1"/>
  <c r="Y2519" i="12" s="1"/>
  <c r="Y2520" i="12" s="1"/>
  <c r="Y2521" i="12" s="1"/>
  <c r="Y2522" i="12" s="1"/>
  <c r="Y2523" i="12" s="1"/>
  <c r="Y2524" i="12" s="1"/>
  <c r="Y2525" i="12" s="1"/>
  <c r="Y2526" i="12" s="1"/>
  <c r="Y2527" i="12" s="1"/>
  <c r="Y2528" i="12" s="1"/>
  <c r="Y2529" i="12" s="1"/>
  <c r="Y2530" i="12" s="1"/>
  <c r="Y2531" i="12" s="1"/>
  <c r="Y2532" i="12" s="1"/>
  <c r="Y2533" i="12" s="1"/>
  <c r="Y2534" i="12" s="1"/>
  <c r="Y2535" i="12" s="1"/>
  <c r="Y2536" i="12" s="1"/>
  <c r="Y2537" i="12" s="1"/>
  <c r="Y2538" i="12" s="1"/>
  <c r="Y2539" i="12" s="1"/>
  <c r="Y2540" i="12" s="1"/>
  <c r="Y2541" i="12" s="1"/>
  <c r="Y2542" i="12" s="1"/>
  <c r="Y2543" i="12" s="1"/>
  <c r="Y2544" i="12" s="1"/>
  <c r="Y2545" i="12" s="1"/>
  <c r="Y2546" i="12" s="1"/>
  <c r="Y2547" i="12" s="1"/>
  <c r="Y2548" i="12" s="1"/>
  <c r="Y2549" i="12" s="1"/>
  <c r="Y2550" i="12" s="1"/>
  <c r="Y2551" i="12" s="1"/>
  <c r="Y2552" i="12" s="1"/>
  <c r="Y2553" i="12" s="1"/>
  <c r="Y2554" i="12" s="1"/>
  <c r="Y2555" i="12" s="1"/>
  <c r="Y2556" i="12" s="1"/>
  <c r="Y2557" i="12" s="1"/>
  <c r="Y2558" i="12" s="1"/>
  <c r="Y2559" i="12" s="1"/>
  <c r="Y2560" i="12" s="1"/>
  <c r="Y2561" i="12" s="1"/>
  <c r="Y2562" i="12" s="1"/>
  <c r="Y2563" i="12" s="1"/>
  <c r="Y2564" i="12" s="1"/>
  <c r="Y2565" i="12" s="1"/>
  <c r="Y2566" i="12" s="1"/>
  <c r="Y2567" i="12" s="1"/>
  <c r="Y2568" i="12" s="1"/>
  <c r="Y2569" i="12" s="1"/>
  <c r="Y2570" i="12" s="1"/>
  <c r="Y2571" i="12" s="1"/>
  <c r="Y2572" i="12" s="1"/>
  <c r="Y2573" i="12" s="1"/>
  <c r="Y2574" i="12" s="1"/>
  <c r="Y2575" i="12" s="1"/>
  <c r="Y2576" i="12" s="1"/>
  <c r="Y2577" i="12" s="1"/>
  <c r="Y2578" i="12" s="1"/>
  <c r="Y2579" i="12" s="1"/>
  <c r="Y2580" i="12" s="1"/>
  <c r="Y2581" i="12" s="1"/>
  <c r="Y2582" i="12" s="1"/>
  <c r="Y2583" i="12" s="1"/>
  <c r="Y2584" i="12" s="1"/>
  <c r="Y2585" i="12" s="1"/>
  <c r="Y2586" i="12" s="1"/>
  <c r="Y2587" i="12" s="1"/>
  <c r="Y2588" i="12" s="1"/>
  <c r="Y2589" i="12" s="1"/>
  <c r="Y2590" i="12" s="1"/>
  <c r="Y2591" i="12" s="1"/>
  <c r="Y2592" i="12" s="1"/>
  <c r="Y2593" i="12" s="1"/>
  <c r="Y2594" i="12" s="1"/>
  <c r="Y2595" i="12" s="1"/>
  <c r="Y2596" i="12" s="1"/>
  <c r="Y2597" i="12" s="1"/>
  <c r="Y2598" i="12" s="1"/>
  <c r="Y2599" i="12" s="1"/>
  <c r="Y2600" i="12" s="1"/>
  <c r="Y2601" i="12" s="1"/>
  <c r="Y2602" i="12" s="1"/>
  <c r="Y2603" i="12" s="1"/>
  <c r="Y2604" i="12" s="1"/>
  <c r="Y2605" i="12" s="1"/>
  <c r="Y2606" i="12" s="1"/>
  <c r="Y2607" i="12" s="1"/>
  <c r="Y2608" i="12" s="1"/>
  <c r="Y2609" i="12" s="1"/>
  <c r="Y2610" i="12" s="1"/>
  <c r="Y2611" i="12" s="1"/>
  <c r="Y2612" i="12" s="1"/>
  <c r="Y2613" i="12" s="1"/>
  <c r="Y2614" i="12" s="1"/>
  <c r="Y2615" i="12" s="1"/>
  <c r="Y2616" i="12" s="1"/>
  <c r="Y2617" i="12" s="1"/>
  <c r="Y2618" i="12" s="1"/>
  <c r="Y2619" i="12" s="1"/>
  <c r="Y2620" i="12" s="1"/>
  <c r="Y2621" i="12" s="1"/>
  <c r="Y2622" i="12" s="1"/>
  <c r="Y2623" i="12" s="1"/>
  <c r="Y2624" i="12" s="1"/>
  <c r="Y2625" i="12" s="1"/>
  <c r="Y2626" i="12" s="1"/>
  <c r="Y2627" i="12" s="1"/>
  <c r="Y2628" i="12" s="1"/>
  <c r="Y2629" i="12" s="1"/>
  <c r="Y2630" i="12" s="1"/>
  <c r="Y2631" i="12" s="1"/>
  <c r="Y2632" i="12" s="1"/>
  <c r="Y2633" i="12" s="1"/>
  <c r="Y2634" i="12" s="1"/>
  <c r="Y2635" i="12" s="1"/>
  <c r="Y2636" i="12" s="1"/>
  <c r="Y2637" i="12" s="1"/>
  <c r="Y2638" i="12" s="1"/>
  <c r="Y2639" i="12" s="1"/>
  <c r="Y2640" i="12" s="1"/>
  <c r="Y2641" i="12" s="1"/>
  <c r="Y2642" i="12" s="1"/>
  <c r="Y2643" i="12" s="1"/>
  <c r="Y2644" i="12" s="1"/>
  <c r="Y2645" i="12" s="1"/>
  <c r="Y2646" i="12" s="1"/>
  <c r="Y2647" i="12" s="1"/>
  <c r="Y2648" i="12" s="1"/>
  <c r="Y2649" i="12" s="1"/>
  <c r="Y2650" i="12" s="1"/>
  <c r="Y2651" i="12" s="1"/>
  <c r="Y2652" i="12" s="1"/>
  <c r="Y2653" i="12" s="1"/>
  <c r="Y2654" i="12" s="1"/>
  <c r="Y2655" i="12" s="1"/>
  <c r="Y2656" i="12" s="1"/>
  <c r="Y2657" i="12" s="1"/>
  <c r="Y2658" i="12" s="1"/>
  <c r="Y2659" i="12" s="1"/>
  <c r="Y2660" i="12" s="1"/>
  <c r="Y2661" i="12" s="1"/>
  <c r="Y2662" i="12" s="1"/>
  <c r="Y2663" i="12" s="1"/>
  <c r="Y2664" i="12" s="1"/>
  <c r="Y2665" i="12" s="1"/>
  <c r="Y2666" i="12" s="1"/>
  <c r="Y2667" i="12" s="1"/>
  <c r="Y2668" i="12" s="1"/>
  <c r="Y2669" i="12" s="1"/>
  <c r="Y2670" i="12" s="1"/>
  <c r="Y2671" i="12" s="1"/>
  <c r="Y2672" i="12" s="1"/>
  <c r="Y2673" i="12" s="1"/>
  <c r="Y2674" i="12" s="1"/>
  <c r="Y2675" i="12" s="1"/>
  <c r="Y2676" i="12" s="1"/>
  <c r="Y2677" i="12" s="1"/>
  <c r="Y2678" i="12" s="1"/>
  <c r="Y2679" i="12" s="1"/>
  <c r="Y2680" i="12" s="1"/>
  <c r="Y2681" i="12" s="1"/>
  <c r="Y2682" i="12" s="1"/>
  <c r="Y2683" i="12" s="1"/>
  <c r="Y2684" i="12" s="1"/>
  <c r="Y2685" i="12" s="1"/>
  <c r="Y2686" i="12" s="1"/>
  <c r="Y2687" i="12" s="1"/>
  <c r="Y2688" i="12" s="1"/>
  <c r="Y2689" i="12" s="1"/>
  <c r="Y2690" i="12" s="1"/>
  <c r="Y2691" i="12" s="1"/>
  <c r="Y2692" i="12" s="1"/>
  <c r="Y2693" i="12" s="1"/>
  <c r="Y2694" i="12" s="1"/>
  <c r="Y2695" i="12" s="1"/>
  <c r="Y2696" i="12" s="1"/>
  <c r="Y2697" i="12" s="1"/>
  <c r="Y2698" i="12" s="1"/>
  <c r="Y2699" i="12" s="1"/>
  <c r="Y2700" i="12" s="1"/>
  <c r="Y2701" i="12" s="1"/>
  <c r="Y2702" i="12" s="1"/>
  <c r="Y2703" i="12" s="1"/>
  <c r="Y2704" i="12" s="1"/>
  <c r="Y2705" i="12" s="1"/>
  <c r="Y2706" i="12" s="1"/>
  <c r="Y2707" i="12" s="1"/>
  <c r="Y2708" i="12" s="1"/>
  <c r="Y2709" i="12" s="1"/>
  <c r="Y2710" i="12" s="1"/>
  <c r="Y2711" i="12" s="1"/>
  <c r="Y2712" i="12" s="1"/>
  <c r="Y2713" i="12" s="1"/>
  <c r="Y2714" i="12" s="1"/>
  <c r="Y2715" i="12" s="1"/>
  <c r="Y2716" i="12" s="1"/>
  <c r="Y2717" i="12" s="1"/>
  <c r="Y2718" i="12" s="1"/>
  <c r="Y2719" i="12" s="1"/>
  <c r="Y2720" i="12" s="1"/>
  <c r="Y2721" i="12" s="1"/>
  <c r="Y2722" i="12" s="1"/>
  <c r="Y2723" i="12" s="1"/>
  <c r="Y2724" i="12" s="1"/>
  <c r="Y2725" i="12" s="1"/>
  <c r="Y2726" i="12" s="1"/>
  <c r="Y2727" i="12" s="1"/>
  <c r="Y2728" i="12" s="1"/>
  <c r="Y2729" i="12" s="1"/>
  <c r="Y2730" i="12" s="1"/>
  <c r="Y2731" i="12" s="1"/>
  <c r="Y2732" i="12" s="1"/>
  <c r="Y2733" i="12" s="1"/>
  <c r="Y2734" i="12" s="1"/>
  <c r="Y2735" i="12" s="1"/>
  <c r="Y2736" i="12" s="1"/>
  <c r="Y2737" i="12" s="1"/>
  <c r="Y2738" i="12" s="1"/>
  <c r="Y2739" i="12" s="1"/>
  <c r="Y2740" i="12" s="1"/>
  <c r="Y2741" i="12" s="1"/>
  <c r="Y2742" i="12" s="1"/>
  <c r="Y2743" i="12" s="1"/>
  <c r="Y2744" i="12" s="1"/>
  <c r="Y2745" i="12" s="1"/>
  <c r="Y2746" i="12" s="1"/>
  <c r="Y2747" i="12" s="1"/>
  <c r="Y2748" i="12" s="1"/>
  <c r="Y2749" i="12" s="1"/>
  <c r="Y2750" i="12" s="1"/>
  <c r="Y2751" i="12" s="1"/>
  <c r="Y2752" i="12" s="1"/>
  <c r="Y2753" i="12" s="1"/>
  <c r="Y2754" i="12" s="1"/>
  <c r="Y2755" i="12" s="1"/>
  <c r="Y2756" i="12" s="1"/>
  <c r="Y2757" i="12" s="1"/>
  <c r="Y2758" i="12" s="1"/>
  <c r="Y2759" i="12" s="1"/>
  <c r="Y2760" i="12" s="1"/>
  <c r="Y2761" i="12" s="1"/>
  <c r="Y2762" i="12" s="1"/>
  <c r="Y2763" i="12" s="1"/>
  <c r="Y2764" i="12" s="1"/>
  <c r="Y2765" i="12" s="1"/>
  <c r="Y2766" i="12" s="1"/>
  <c r="Y2767" i="12" s="1"/>
  <c r="Y2768" i="12" s="1"/>
  <c r="Y2769" i="12" s="1"/>
  <c r="Y2770" i="12" s="1"/>
  <c r="Y2771" i="12" s="1"/>
  <c r="Y2772" i="12" s="1"/>
  <c r="Y2773" i="12" s="1"/>
  <c r="Y2774" i="12" s="1"/>
  <c r="Y2775" i="12" s="1"/>
  <c r="Y2776" i="12" s="1"/>
  <c r="Y2777" i="12" s="1"/>
  <c r="Y2778" i="12" s="1"/>
  <c r="Y2779" i="12" s="1"/>
  <c r="Y2780" i="12" s="1"/>
  <c r="Y2781" i="12" s="1"/>
  <c r="Y2782" i="12" s="1"/>
  <c r="Y2783" i="12" s="1"/>
  <c r="Y2784" i="12" s="1"/>
  <c r="Y2785" i="12" s="1"/>
  <c r="Y2786" i="12" s="1"/>
  <c r="Y2787" i="12" s="1"/>
  <c r="Y2788" i="12" s="1"/>
  <c r="Y2789" i="12" s="1"/>
  <c r="Y2790" i="12" s="1"/>
  <c r="Y2791" i="12" s="1"/>
  <c r="Y2792" i="12" s="1"/>
  <c r="Y2793" i="12" s="1"/>
  <c r="Y2794" i="12" s="1"/>
  <c r="Y2795" i="12" s="1"/>
  <c r="Y2796" i="12" s="1"/>
  <c r="Y2797" i="12" s="1"/>
  <c r="Y2798" i="12" s="1"/>
  <c r="Y2799" i="12" s="1"/>
  <c r="Y2800" i="12" s="1"/>
  <c r="Y2801" i="12" s="1"/>
  <c r="Y2802" i="12" s="1"/>
  <c r="Y2803" i="12" s="1"/>
  <c r="Y2804" i="12" s="1"/>
  <c r="Y2805" i="12" s="1"/>
  <c r="Y2806" i="12" s="1"/>
  <c r="Y2807" i="12" s="1"/>
  <c r="Y2808" i="12" s="1"/>
  <c r="Y2809" i="12" s="1"/>
  <c r="Y2810" i="12" s="1"/>
  <c r="Y2811" i="12" s="1"/>
  <c r="Y2812" i="12" s="1"/>
  <c r="Y2813" i="12" s="1"/>
  <c r="Y2814" i="12" s="1"/>
  <c r="Y2815" i="12" s="1"/>
  <c r="Y2816" i="12" s="1"/>
  <c r="Y2817" i="12" s="1"/>
  <c r="Y2818" i="12" s="1"/>
  <c r="Y2819" i="12" s="1"/>
  <c r="Y2820" i="12" s="1"/>
  <c r="Y2821" i="12" s="1"/>
  <c r="Y2822" i="12" s="1"/>
  <c r="Y2823" i="12" s="1"/>
  <c r="Y2824" i="12" s="1"/>
  <c r="Y2825" i="12" s="1"/>
  <c r="Y2826" i="12" s="1"/>
  <c r="Y2827" i="12" s="1"/>
  <c r="Y2828" i="12" s="1"/>
  <c r="Y2829" i="12" s="1"/>
  <c r="Y2830" i="12" s="1"/>
  <c r="Y2831" i="12" s="1"/>
  <c r="Y2832" i="12" s="1"/>
  <c r="Y2833" i="12" s="1"/>
  <c r="Y2834" i="12" s="1"/>
  <c r="Y2835" i="12" s="1"/>
  <c r="Y2836" i="12" s="1"/>
  <c r="Y2837" i="12" s="1"/>
  <c r="Y2838" i="12" s="1"/>
  <c r="Y2839" i="12" s="1"/>
  <c r="Y2840" i="12" s="1"/>
  <c r="Y2841" i="12" s="1"/>
  <c r="Y2842" i="12" s="1"/>
  <c r="Y2843" i="12" s="1"/>
  <c r="Y2844" i="12" s="1"/>
  <c r="Y2845" i="12" s="1"/>
  <c r="Y2846" i="12" s="1"/>
  <c r="Y2847" i="12" s="1"/>
  <c r="Y2848" i="12" s="1"/>
  <c r="Y2849" i="12" s="1"/>
  <c r="Y2850" i="12" s="1"/>
  <c r="Y2851" i="12" s="1"/>
  <c r="Y2852" i="12" s="1"/>
  <c r="Y2853" i="12" s="1"/>
  <c r="Y2854" i="12" s="1"/>
  <c r="Y2855" i="12" s="1"/>
  <c r="Y2856" i="12" s="1"/>
  <c r="Y2857" i="12" s="1"/>
  <c r="Y2858" i="12" s="1"/>
  <c r="Y2859" i="12" s="1"/>
  <c r="Y2860" i="12" s="1"/>
  <c r="Y2861" i="12" s="1"/>
  <c r="Y2862" i="12" s="1"/>
  <c r="Y2863" i="12" s="1"/>
  <c r="Y2864" i="12" s="1"/>
  <c r="Y2865" i="12" s="1"/>
  <c r="Y2866" i="12" s="1"/>
  <c r="Y2867" i="12" s="1"/>
  <c r="Y2868" i="12" s="1"/>
  <c r="Y2869" i="12" s="1"/>
  <c r="Y2870" i="12" s="1"/>
  <c r="Y2871" i="12" s="1"/>
  <c r="Y2872" i="12" s="1"/>
  <c r="Y2873" i="12" s="1"/>
  <c r="Y2874" i="12" s="1"/>
  <c r="Y2875" i="12" s="1"/>
  <c r="Y2876" i="12" s="1"/>
  <c r="Y2877" i="12" s="1"/>
  <c r="Y2878" i="12" s="1"/>
  <c r="Y2879" i="12" s="1"/>
  <c r="Y2880" i="12" s="1"/>
  <c r="Y2881" i="12" s="1"/>
  <c r="Y2882" i="12" s="1"/>
  <c r="Y2883" i="12" s="1"/>
  <c r="Y2884" i="12" s="1"/>
  <c r="Y2885" i="12" s="1"/>
  <c r="Y2886" i="12" s="1"/>
  <c r="Y2887" i="12" s="1"/>
  <c r="Y2888" i="12" s="1"/>
  <c r="Y2889" i="12" s="1"/>
  <c r="Y2890" i="12" s="1"/>
  <c r="Y2891" i="12" s="1"/>
  <c r="Y2892" i="12" s="1"/>
  <c r="Y2893" i="12" s="1"/>
  <c r="Y2894" i="12" s="1"/>
  <c r="Y2895" i="12" s="1"/>
  <c r="Y2896" i="12" s="1"/>
  <c r="Y2897" i="12" s="1"/>
  <c r="Y2898" i="12" s="1"/>
  <c r="Y2899" i="12" s="1"/>
  <c r="Y2900" i="12" s="1"/>
  <c r="Y2901" i="12" s="1"/>
  <c r="Y2902" i="12" s="1"/>
  <c r="Y2903" i="12" s="1"/>
  <c r="Y2904" i="12" s="1"/>
  <c r="Y2905" i="12" s="1"/>
  <c r="Y2906" i="12" s="1"/>
  <c r="Y2907" i="12" s="1"/>
  <c r="Y2908" i="12" s="1"/>
  <c r="Y2909" i="12" s="1"/>
  <c r="Y2910" i="12" s="1"/>
  <c r="Y2911" i="12" s="1"/>
  <c r="Y2912" i="12" s="1"/>
  <c r="Y2913" i="12" s="1"/>
  <c r="Y2914" i="12" s="1"/>
  <c r="Y2915" i="12" s="1"/>
  <c r="Y2916" i="12" s="1"/>
  <c r="Y2917" i="12" s="1"/>
  <c r="Y2918" i="12" s="1"/>
  <c r="Y2919" i="12" s="1"/>
  <c r="Y2920" i="12" s="1"/>
  <c r="Y2921" i="12" s="1"/>
  <c r="Y2922" i="12" s="1"/>
  <c r="Y2923" i="12" s="1"/>
  <c r="Y2924" i="12" s="1"/>
  <c r="Y2925" i="12" s="1"/>
  <c r="Y2926" i="12" s="1"/>
  <c r="Y2927" i="12" s="1"/>
  <c r="Y2928" i="12" s="1"/>
  <c r="Y2929" i="12" s="1"/>
  <c r="Y2930" i="12" s="1"/>
  <c r="Y2931" i="12" s="1"/>
  <c r="Y2932" i="12" s="1"/>
  <c r="Y2933" i="12" s="1"/>
  <c r="Y2934" i="12" s="1"/>
  <c r="Y2935" i="12" s="1"/>
  <c r="Y2936" i="12" s="1"/>
  <c r="Y2937" i="12" s="1"/>
  <c r="Y2938" i="12" s="1"/>
  <c r="Y2939" i="12" s="1"/>
  <c r="Y2940" i="12" s="1"/>
  <c r="Y2941" i="12" s="1"/>
  <c r="Y2942" i="12" s="1"/>
  <c r="Y2943" i="12" s="1"/>
  <c r="Y2944" i="12" s="1"/>
  <c r="Y2945" i="12" s="1"/>
  <c r="Y2946" i="12" s="1"/>
  <c r="Y2947" i="12" s="1"/>
  <c r="Y2948" i="12" s="1"/>
  <c r="Y2949" i="12" s="1"/>
  <c r="Y2950" i="12" s="1"/>
  <c r="Y2951" i="12" s="1"/>
  <c r="Y2952" i="12" s="1"/>
  <c r="Y2953" i="12" s="1"/>
  <c r="Y2954" i="12" s="1"/>
  <c r="Y2955" i="12" s="1"/>
  <c r="Y2956" i="12" s="1"/>
  <c r="Y2957" i="12" s="1"/>
  <c r="Y2958" i="12" s="1"/>
  <c r="Y2959" i="12" s="1"/>
  <c r="Y2960" i="12" s="1"/>
  <c r="Y2961" i="12" s="1"/>
  <c r="Y2962" i="12" s="1"/>
  <c r="Y2963" i="12" s="1"/>
  <c r="Y2964" i="12" s="1"/>
  <c r="Y2965" i="12" s="1"/>
  <c r="Y2966" i="12" s="1"/>
  <c r="Y2967" i="12" s="1"/>
  <c r="Y2968" i="12" s="1"/>
  <c r="Y2969" i="12" s="1"/>
  <c r="Y2970" i="12" s="1"/>
  <c r="Y2971" i="12" s="1"/>
  <c r="Y2972" i="12" s="1"/>
  <c r="Y2973" i="12" s="1"/>
  <c r="Y2974" i="12" s="1"/>
  <c r="Y2975" i="12" s="1"/>
  <c r="Y2976" i="12" s="1"/>
  <c r="Y2977" i="12" s="1"/>
  <c r="Y2978" i="12" s="1"/>
  <c r="Y2979" i="12" s="1"/>
  <c r="Y2980" i="12" s="1"/>
  <c r="Y2981" i="12" s="1"/>
  <c r="Y2982" i="12" s="1"/>
  <c r="Y2983" i="12" s="1"/>
  <c r="Y2984" i="12" s="1"/>
  <c r="Y2985" i="12" s="1"/>
  <c r="Y2986" i="12" s="1"/>
  <c r="Y2987" i="12" s="1"/>
  <c r="Y2988" i="12" s="1"/>
  <c r="Y2989" i="12" s="1"/>
  <c r="Y2990" i="12" s="1"/>
  <c r="Y2991" i="12" s="1"/>
  <c r="Y2992" i="12" s="1"/>
  <c r="Y2993" i="12" s="1"/>
  <c r="Y2994" i="12" s="1"/>
  <c r="Y2995" i="12" s="1"/>
  <c r="Y2996" i="12" s="1"/>
  <c r="Y2997" i="12" s="1"/>
  <c r="Y2998" i="12" s="1"/>
  <c r="Y2999" i="12" s="1"/>
  <c r="Y3000" i="12" s="1"/>
  <c r="Y3001" i="12" s="1"/>
  <c r="Y3002" i="12" s="1"/>
  <c r="Y3003" i="12" s="1"/>
  <c r="Y3004" i="12" s="1"/>
  <c r="Y3005" i="12" s="1"/>
  <c r="Y3006" i="12" s="1"/>
  <c r="Y3007" i="12" s="1"/>
  <c r="Y3008" i="12" s="1"/>
  <c r="Y3009" i="12" s="1"/>
  <c r="Y3010" i="12" s="1"/>
  <c r="Y3011" i="12" s="1"/>
  <c r="Y3012" i="12" s="1"/>
  <c r="Y3013" i="12" s="1"/>
  <c r="Y3014" i="12" s="1"/>
  <c r="Y3015" i="12" s="1"/>
  <c r="Y3016" i="12" s="1"/>
  <c r="Y3017" i="12" s="1"/>
  <c r="Y3018" i="12" s="1"/>
  <c r="Y3019" i="12" s="1"/>
  <c r="Y3020" i="12" s="1"/>
  <c r="Y3021" i="12" s="1"/>
  <c r="Y3022" i="12" s="1"/>
  <c r="Y3023" i="12" s="1"/>
  <c r="Y3024" i="12" s="1"/>
  <c r="Y3025" i="12" s="1"/>
  <c r="Y3026" i="12" s="1"/>
  <c r="Y3027" i="12" s="1"/>
  <c r="Y3028" i="12" s="1"/>
  <c r="Y3029" i="12" s="1"/>
  <c r="Y3030" i="12" s="1"/>
  <c r="Y3031" i="12" s="1"/>
  <c r="Y3032" i="12" s="1"/>
  <c r="Y3033" i="12" s="1"/>
  <c r="Y3034" i="12" s="1"/>
  <c r="Y3035" i="12" s="1"/>
  <c r="Y3036" i="12" s="1"/>
  <c r="Y3037" i="12" s="1"/>
  <c r="Y3038" i="12" s="1"/>
  <c r="Y3039" i="12" s="1"/>
  <c r="Y3040" i="12" s="1"/>
  <c r="Y3041" i="12" s="1"/>
  <c r="Y3042" i="12" s="1"/>
  <c r="Y3043" i="12" s="1"/>
  <c r="Y3044" i="12" s="1"/>
  <c r="Y3045" i="12" s="1"/>
  <c r="Y3046" i="12" s="1"/>
  <c r="Y3047" i="12" s="1"/>
  <c r="Y3048" i="12" s="1"/>
  <c r="Y3049" i="12" s="1"/>
  <c r="Y3050" i="12" s="1"/>
  <c r="Y3051" i="12" s="1"/>
  <c r="Y3052" i="12" s="1"/>
  <c r="Y3053" i="12" s="1"/>
  <c r="Y3054" i="12" s="1"/>
  <c r="Y3055" i="12" s="1"/>
  <c r="Y3056" i="12" s="1"/>
  <c r="Y3057" i="12" s="1"/>
  <c r="Y3058" i="12" s="1"/>
  <c r="Y3059" i="12" s="1"/>
  <c r="Y3060" i="12" s="1"/>
  <c r="Y3061" i="12" s="1"/>
  <c r="Y3062" i="12" s="1"/>
  <c r="Y3063" i="12" s="1"/>
  <c r="Y3064" i="12" s="1"/>
  <c r="Y3065" i="12" s="1"/>
  <c r="Y3066" i="12" s="1"/>
  <c r="Y3067" i="12" s="1"/>
  <c r="Y3068" i="12" s="1"/>
  <c r="Y3069" i="12" s="1"/>
  <c r="Y3070" i="12" s="1"/>
  <c r="Y3071" i="12" s="1"/>
  <c r="Y3072" i="12" s="1"/>
  <c r="Y3073" i="12" s="1"/>
  <c r="Y3074" i="12" s="1"/>
  <c r="Y3075" i="12" s="1"/>
  <c r="Y3076" i="12" s="1"/>
  <c r="Y3077" i="12" s="1"/>
  <c r="Y3078" i="12" s="1"/>
  <c r="Y3079" i="12" s="1"/>
  <c r="Y3080" i="12" s="1"/>
  <c r="Y3081" i="12" s="1"/>
  <c r="Y3082" i="12" s="1"/>
  <c r="Y3083" i="12" s="1"/>
  <c r="Y3084" i="12" s="1"/>
  <c r="Y3085" i="12" s="1"/>
  <c r="Y3086" i="12" s="1"/>
  <c r="Y3087" i="12" s="1"/>
  <c r="Y3088" i="12" s="1"/>
  <c r="Y3089" i="12" s="1"/>
  <c r="Y3090" i="12" s="1"/>
  <c r="Y3091" i="12" s="1"/>
  <c r="Y3092" i="12" s="1"/>
  <c r="Y3093" i="12" s="1"/>
  <c r="Y3094" i="12" s="1"/>
  <c r="Y3095" i="12" s="1"/>
  <c r="Y3096" i="12" s="1"/>
  <c r="Y3097" i="12" s="1"/>
  <c r="Y3098" i="12" s="1"/>
  <c r="Y3099" i="12" s="1"/>
  <c r="Y3100" i="12" s="1"/>
  <c r="Y3101" i="12" s="1"/>
  <c r="Y3102" i="12" s="1"/>
  <c r="Y3103" i="12" s="1"/>
  <c r="Y3104" i="12" s="1"/>
  <c r="Y3105" i="12" s="1"/>
  <c r="Y3106" i="12" s="1"/>
  <c r="Y3107" i="12" s="1"/>
  <c r="Y3108" i="12" s="1"/>
  <c r="Y3109" i="12" s="1"/>
  <c r="Y3110" i="12" s="1"/>
  <c r="Y3111" i="12" s="1"/>
  <c r="Y3112" i="12" s="1"/>
  <c r="Y3113" i="12" s="1"/>
  <c r="Y3114" i="12" s="1"/>
  <c r="Y3115" i="12" s="1"/>
  <c r="Y3116" i="12" s="1"/>
  <c r="Y3117" i="12" s="1"/>
  <c r="Y3118" i="12" s="1"/>
  <c r="Y3119" i="12" s="1"/>
  <c r="Y3120" i="12" s="1"/>
  <c r="Y3121" i="12" s="1"/>
  <c r="Y3122" i="12" s="1"/>
  <c r="Y3123" i="12" s="1"/>
  <c r="Y3124" i="12" s="1"/>
  <c r="Y3125" i="12" s="1"/>
  <c r="Y3126" i="12" s="1"/>
  <c r="Y3127" i="12" s="1"/>
  <c r="Y3128" i="12" s="1"/>
  <c r="Y3129" i="12" s="1"/>
  <c r="Y3130" i="12" s="1"/>
  <c r="Y3131" i="12" s="1"/>
  <c r="Y3132" i="12" s="1"/>
  <c r="Y3133" i="12" s="1"/>
  <c r="Y3134" i="12" s="1"/>
  <c r="Y3135" i="12" s="1"/>
  <c r="Y3136" i="12" s="1"/>
  <c r="Y3137" i="12" s="1"/>
  <c r="Y3138" i="12" s="1"/>
  <c r="Y3139" i="12" s="1"/>
  <c r="Y3140" i="12" s="1"/>
  <c r="Y3141" i="12" s="1"/>
  <c r="Y3142" i="12" s="1"/>
  <c r="Y3143" i="12" s="1"/>
  <c r="Y3144" i="12" s="1"/>
  <c r="Y3145" i="12" s="1"/>
  <c r="Y3146" i="12" s="1"/>
  <c r="Y3147" i="12" s="1"/>
  <c r="Y3148" i="12" s="1"/>
  <c r="Y3149" i="12" s="1"/>
  <c r="Y3150" i="12" s="1"/>
  <c r="Y3151" i="12" s="1"/>
  <c r="Y3152" i="12" s="1"/>
  <c r="Y3153" i="12" s="1"/>
  <c r="Y3154" i="12" s="1"/>
  <c r="Y3155" i="12" s="1"/>
  <c r="Y3156" i="12" s="1"/>
  <c r="Y3157" i="12" s="1"/>
  <c r="Y3158" i="12" s="1"/>
  <c r="Y3159" i="12" s="1"/>
  <c r="Y3160" i="12" s="1"/>
  <c r="Y3161" i="12" s="1"/>
  <c r="Y3162" i="12" s="1"/>
  <c r="Y3163" i="12" s="1"/>
  <c r="Y3164" i="12" s="1"/>
  <c r="Y3165" i="12" s="1"/>
  <c r="Y3166" i="12" s="1"/>
  <c r="Y3167" i="12" s="1"/>
  <c r="Y3168" i="12" s="1"/>
  <c r="Y3169" i="12" s="1"/>
  <c r="Y3170" i="12" s="1"/>
  <c r="Y3171" i="12" s="1"/>
  <c r="Y3172" i="12" s="1"/>
  <c r="Y3173" i="12" s="1"/>
  <c r="Y3174" i="12" s="1"/>
  <c r="Y3175" i="12" s="1"/>
  <c r="Y3176" i="12" s="1"/>
  <c r="Y3177" i="12" s="1"/>
  <c r="Y3178" i="12" s="1"/>
  <c r="Y3179" i="12" s="1"/>
  <c r="Y3180" i="12" s="1"/>
  <c r="Y3181" i="12" s="1"/>
  <c r="Y3182" i="12" s="1"/>
  <c r="Y3183" i="12" s="1"/>
  <c r="Y3184" i="12" s="1"/>
  <c r="Y3185" i="12" s="1"/>
  <c r="Y3186" i="12" s="1"/>
  <c r="Y3187" i="12" s="1"/>
  <c r="Y3188" i="12" s="1"/>
  <c r="Y3189" i="12" s="1"/>
  <c r="Y3190" i="12" s="1"/>
  <c r="Y3191" i="12" s="1"/>
  <c r="Y3192" i="12" s="1"/>
  <c r="Y3193" i="12" s="1"/>
  <c r="Y3194" i="12" s="1"/>
  <c r="Y3195" i="12" s="1"/>
  <c r="Y3196" i="12" s="1"/>
  <c r="Y3197" i="12" s="1"/>
  <c r="Y3198" i="12" s="1"/>
  <c r="Y3199" i="12" s="1"/>
  <c r="Y3200" i="12" s="1"/>
  <c r="Y3201" i="12" s="1"/>
  <c r="Y3202" i="12" s="1"/>
  <c r="Y3203" i="12" s="1"/>
  <c r="Y3204" i="12" s="1"/>
  <c r="Y3205" i="12" s="1"/>
  <c r="Y3206" i="12" s="1"/>
  <c r="Y3207" i="12" s="1"/>
  <c r="Y3208" i="12" s="1"/>
  <c r="Y3209" i="12" s="1"/>
  <c r="Y3210" i="12" s="1"/>
  <c r="Y3211" i="12" s="1"/>
  <c r="Y3212" i="12" s="1"/>
  <c r="Y3213" i="12" s="1"/>
  <c r="Y3214" i="12" s="1"/>
  <c r="Y3215" i="12" s="1"/>
  <c r="Y3216" i="12" s="1"/>
  <c r="Y3217" i="12" s="1"/>
  <c r="Y3218" i="12" s="1"/>
  <c r="Y3219" i="12" s="1"/>
  <c r="Y3220" i="12" s="1"/>
  <c r="Y3221" i="12" s="1"/>
  <c r="Y3222" i="12" s="1"/>
  <c r="Y3223" i="12" s="1"/>
  <c r="Y3224" i="12" s="1"/>
  <c r="Y3225" i="12" s="1"/>
  <c r="Y3226" i="12" s="1"/>
  <c r="Y3227" i="12" s="1"/>
  <c r="Y3228" i="12" s="1"/>
  <c r="Y3229" i="12" s="1"/>
  <c r="Y3230" i="12" s="1"/>
  <c r="Y3231" i="12" s="1"/>
  <c r="Y3232" i="12" s="1"/>
  <c r="Y3233" i="12" s="1"/>
  <c r="Y3234" i="12" s="1"/>
  <c r="Y3235" i="12" s="1"/>
  <c r="Y3236" i="12" s="1"/>
  <c r="Y3237" i="12" s="1"/>
  <c r="Y3238" i="12" s="1"/>
  <c r="Y3239" i="12" s="1"/>
  <c r="Y3240" i="12" s="1"/>
  <c r="Y3241" i="12" s="1"/>
  <c r="Y3242" i="12" s="1"/>
  <c r="Y3243" i="12" s="1"/>
  <c r="Y3244" i="12" s="1"/>
  <c r="Y3245" i="12" s="1"/>
  <c r="Y3246" i="12" s="1"/>
  <c r="Y3247" i="12" s="1"/>
  <c r="Y3248" i="12" s="1"/>
  <c r="Y3249" i="12" s="1"/>
  <c r="Y3250" i="12" s="1"/>
  <c r="Y3251" i="12" s="1"/>
  <c r="Y3252" i="12" s="1"/>
  <c r="Y3253" i="12" s="1"/>
  <c r="Y3254" i="12" s="1"/>
  <c r="Y3255" i="12" s="1"/>
  <c r="Y3256" i="12" s="1"/>
  <c r="Y3257" i="12" s="1"/>
  <c r="Y3258" i="12" s="1"/>
  <c r="Y3259" i="12" s="1"/>
  <c r="Y3260" i="12" s="1"/>
  <c r="Y3261" i="12" s="1"/>
  <c r="Y3262" i="12" s="1"/>
  <c r="Y3263" i="12" s="1"/>
  <c r="Y3264" i="12" s="1"/>
  <c r="Y3265" i="12" s="1"/>
  <c r="Y3266" i="12" s="1"/>
  <c r="Y3267" i="12" s="1"/>
  <c r="Y3268" i="12" s="1"/>
  <c r="Y3269" i="12" s="1"/>
  <c r="Y3270" i="12" s="1"/>
  <c r="Y3271" i="12" s="1"/>
  <c r="Y3272" i="12" s="1"/>
  <c r="Y3273" i="12" s="1"/>
  <c r="Y3274" i="12" s="1"/>
  <c r="Y3275" i="12" s="1"/>
  <c r="Y3276" i="12" s="1"/>
  <c r="Y3277" i="12" s="1"/>
  <c r="Y3278" i="12" s="1"/>
  <c r="Y3279" i="12" s="1"/>
  <c r="Y3280" i="12" s="1"/>
  <c r="Y3281" i="12" s="1"/>
  <c r="Y3282" i="12" s="1"/>
  <c r="Y3283" i="12" s="1"/>
  <c r="Y3284" i="12" s="1"/>
  <c r="Y3285" i="12" s="1"/>
  <c r="Y3286" i="12" s="1"/>
  <c r="Y3287" i="12" s="1"/>
  <c r="Y3288" i="12" s="1"/>
  <c r="Y3289" i="12" s="1"/>
  <c r="Y3290" i="12" s="1"/>
  <c r="Y3291" i="12" s="1"/>
  <c r="Y3292" i="12" s="1"/>
  <c r="Y3293" i="12" s="1"/>
  <c r="Y3294" i="12" s="1"/>
  <c r="Y3295" i="12" s="1"/>
  <c r="Y3296" i="12" s="1"/>
  <c r="Y3297" i="12" s="1"/>
  <c r="Y3298" i="12" s="1"/>
  <c r="Y3299" i="12" s="1"/>
  <c r="Y3300" i="12" s="1"/>
  <c r="Y3301" i="12" s="1"/>
  <c r="Y3302" i="12" s="1"/>
  <c r="Y3303" i="12" s="1"/>
  <c r="Y3304" i="12" s="1"/>
  <c r="Y3305" i="12" s="1"/>
  <c r="Y3306" i="12" s="1"/>
  <c r="Y3307" i="12" s="1"/>
  <c r="Y3308" i="12" s="1"/>
  <c r="Y3309" i="12" s="1"/>
  <c r="Y3310" i="12" s="1"/>
  <c r="Y3311" i="12" s="1"/>
  <c r="Y3312" i="12" s="1"/>
  <c r="Y3313" i="12" s="1"/>
  <c r="Y3314" i="12" s="1"/>
  <c r="Y3315" i="12" s="1"/>
  <c r="Y3316" i="12" s="1"/>
  <c r="Y3317" i="12" s="1"/>
  <c r="Y3318" i="12" s="1"/>
  <c r="Y3319" i="12" s="1"/>
  <c r="Y3320" i="12" s="1"/>
  <c r="Y3321" i="12" s="1"/>
  <c r="Y3322" i="12" s="1"/>
  <c r="Y3323" i="12" s="1"/>
  <c r="Y3324" i="12" s="1"/>
  <c r="Y3325" i="12" s="1"/>
  <c r="Y3326" i="12" s="1"/>
  <c r="Y3327" i="12" s="1"/>
  <c r="Y3328" i="12" s="1"/>
  <c r="Y3329" i="12" s="1"/>
  <c r="Y3330" i="12" s="1"/>
  <c r="Y3331" i="12" s="1"/>
  <c r="Y3332" i="12" s="1"/>
  <c r="Y3333" i="12" s="1"/>
  <c r="Y3334" i="12" s="1"/>
  <c r="Y3335" i="12" s="1"/>
  <c r="Y3336" i="12" s="1"/>
  <c r="Y3337" i="12" s="1"/>
  <c r="Y3338" i="12" s="1"/>
  <c r="Y3339" i="12" s="1"/>
  <c r="Y3340" i="12" s="1"/>
  <c r="Y3341" i="12" s="1"/>
  <c r="Y3342" i="12" s="1"/>
  <c r="Y3343" i="12" s="1"/>
  <c r="Y3344" i="12" s="1"/>
  <c r="Y3345" i="12" s="1"/>
  <c r="Y3346" i="12" s="1"/>
  <c r="Y3347" i="12" s="1"/>
  <c r="Y3348" i="12" s="1"/>
  <c r="Y3349" i="12" s="1"/>
  <c r="Y3350" i="12" s="1"/>
  <c r="Y3351" i="12" s="1"/>
  <c r="Y3352" i="12" s="1"/>
  <c r="Y3353" i="12" s="1"/>
  <c r="Y3354" i="12" s="1"/>
  <c r="Y3355" i="12" s="1"/>
  <c r="Y3356" i="12" s="1"/>
  <c r="Y3357" i="12" s="1"/>
  <c r="Y3358" i="12" s="1"/>
  <c r="Y3359" i="12" s="1"/>
  <c r="Y3360" i="12" s="1"/>
  <c r="Y3361" i="12" s="1"/>
  <c r="Y3362" i="12" s="1"/>
  <c r="Y3363" i="12" s="1"/>
  <c r="Y3364" i="12" s="1"/>
  <c r="Y3365" i="12" s="1"/>
  <c r="Y3366" i="12" s="1"/>
  <c r="Y3367" i="12" s="1"/>
  <c r="Y3368" i="12" s="1"/>
  <c r="Y3369" i="12" s="1"/>
  <c r="Y3370" i="12" s="1"/>
  <c r="Y3371" i="12" s="1"/>
  <c r="Y3372" i="12" s="1"/>
  <c r="Y3373" i="12" s="1"/>
  <c r="Y3374" i="12" s="1"/>
  <c r="Y3375" i="12" s="1"/>
  <c r="Y3376" i="12" s="1"/>
  <c r="Y3377" i="12" s="1"/>
  <c r="Y3378" i="12" s="1"/>
  <c r="Y3379" i="12" s="1"/>
  <c r="Y3380" i="12" s="1"/>
  <c r="Y3381" i="12" s="1"/>
  <c r="Y3382" i="12" s="1"/>
  <c r="Y3383" i="12" s="1"/>
  <c r="Y3384" i="12" s="1"/>
  <c r="Y3385" i="12" s="1"/>
  <c r="Y3386" i="12" s="1"/>
  <c r="Y3387" i="12" s="1"/>
  <c r="Y3388" i="12" s="1"/>
  <c r="Y3389" i="12" s="1"/>
  <c r="Y3390" i="12" s="1"/>
  <c r="Y3391" i="12" s="1"/>
  <c r="Y3392" i="12" s="1"/>
  <c r="Y3393" i="12" s="1"/>
  <c r="Y3394" i="12" s="1"/>
  <c r="Y3395" i="12" s="1"/>
  <c r="Y3396" i="12" s="1"/>
  <c r="Y3397" i="12" s="1"/>
  <c r="Y3398" i="12" s="1"/>
  <c r="Y3399" i="12" s="1"/>
  <c r="Y3400" i="12" s="1"/>
  <c r="Y3401" i="12" s="1"/>
  <c r="Y3402" i="12" s="1"/>
  <c r="Y3403" i="12" s="1"/>
  <c r="Y3404" i="12" s="1"/>
  <c r="Y3405" i="12" s="1"/>
  <c r="Y3406" i="12" s="1"/>
  <c r="Y3407" i="12" s="1"/>
  <c r="Y3408" i="12" s="1"/>
  <c r="Y3409" i="12" s="1"/>
  <c r="Y3410" i="12" s="1"/>
  <c r="Y3411" i="12" s="1"/>
  <c r="Y3412" i="12" s="1"/>
  <c r="Y3413" i="12" s="1"/>
  <c r="Y3414" i="12" s="1"/>
  <c r="Y3415" i="12" s="1"/>
  <c r="Y3416" i="12" s="1"/>
  <c r="Y3417" i="12" s="1"/>
  <c r="Y3418" i="12" s="1"/>
  <c r="Y3419" i="12" s="1"/>
  <c r="Y3420" i="12" s="1"/>
  <c r="Y3421" i="12" s="1"/>
  <c r="Y3422" i="12" s="1"/>
  <c r="Y3423" i="12" s="1"/>
  <c r="Y3424" i="12" s="1"/>
  <c r="Y3425" i="12" s="1"/>
  <c r="Y3426" i="12" s="1"/>
  <c r="Y3427" i="12" s="1"/>
  <c r="Y3428" i="12" s="1"/>
  <c r="Y3429" i="12" s="1"/>
  <c r="Y3430" i="12" s="1"/>
  <c r="Y3431" i="12" s="1"/>
  <c r="Y3432" i="12" s="1"/>
  <c r="Y3433" i="12" s="1"/>
  <c r="Y3434" i="12" s="1"/>
  <c r="Y3435" i="12" s="1"/>
  <c r="Y3436" i="12" s="1"/>
  <c r="Y3437" i="12" s="1"/>
  <c r="Y3438" i="12" s="1"/>
  <c r="Y3439" i="12" s="1"/>
  <c r="Y3440" i="12" s="1"/>
  <c r="Y3441" i="12" s="1"/>
  <c r="Y3442" i="12" s="1"/>
  <c r="Y3443" i="12" s="1"/>
  <c r="Y3444" i="12" s="1"/>
  <c r="Y3445" i="12" s="1"/>
  <c r="Y3446" i="12" s="1"/>
  <c r="Y3447" i="12" s="1"/>
  <c r="Y3448" i="12" s="1"/>
  <c r="Y3449" i="12" s="1"/>
  <c r="Y3450" i="12" s="1"/>
  <c r="Y3451" i="12" s="1"/>
  <c r="Y3452" i="12" s="1"/>
  <c r="Y3453" i="12" s="1"/>
  <c r="Y3454" i="12" s="1"/>
  <c r="Y3455" i="12" s="1"/>
  <c r="Y3456" i="12" s="1"/>
  <c r="Y3457" i="12" s="1"/>
  <c r="Y3458" i="12" s="1"/>
  <c r="Y3459" i="12" s="1"/>
  <c r="Y3460" i="12" s="1"/>
  <c r="Y3461" i="12" s="1"/>
  <c r="Y3462" i="12" s="1"/>
  <c r="Y3463" i="12" s="1"/>
  <c r="Y3464" i="12" s="1"/>
  <c r="Y3465" i="12" s="1"/>
  <c r="Y3466" i="12" s="1"/>
  <c r="Y3467" i="12" s="1"/>
  <c r="Y3468" i="12" s="1"/>
  <c r="Y3469" i="12" s="1"/>
  <c r="Y3470" i="12" s="1"/>
  <c r="Y3471" i="12" s="1"/>
  <c r="Y3472" i="12" s="1"/>
  <c r="Y3473" i="12" s="1"/>
  <c r="Y3474" i="12" s="1"/>
  <c r="Y3475" i="12" s="1"/>
  <c r="Y3476" i="12" s="1"/>
  <c r="Y3477" i="12" s="1"/>
  <c r="Y3478" i="12" s="1"/>
  <c r="Y3479" i="12" s="1"/>
  <c r="Y3480" i="12" s="1"/>
  <c r="Y3481" i="12" s="1"/>
  <c r="Y3482" i="12" s="1"/>
  <c r="Y3483" i="12" s="1"/>
  <c r="Y3484" i="12" s="1"/>
  <c r="Y3485" i="12" s="1"/>
  <c r="Y3486" i="12" s="1"/>
  <c r="Y3487" i="12" s="1"/>
  <c r="Y3488" i="12" s="1"/>
  <c r="Y3489" i="12" s="1"/>
  <c r="Y3490" i="12" s="1"/>
  <c r="Y3491" i="12" s="1"/>
  <c r="Y3492" i="12" s="1"/>
  <c r="Y3493" i="12" s="1"/>
  <c r="Y3494" i="12" s="1"/>
  <c r="Y3495" i="12" s="1"/>
  <c r="Y3496" i="12" s="1"/>
  <c r="Y3497" i="12" s="1"/>
  <c r="Y3498" i="12" s="1"/>
  <c r="Y3499" i="12" s="1"/>
  <c r="Y3500" i="12" s="1"/>
  <c r="Y3501" i="12" s="1"/>
  <c r="Y3502" i="12" s="1"/>
  <c r="Y3503" i="12" s="1"/>
  <c r="Y3504" i="12" s="1"/>
  <c r="Y3505" i="12" s="1"/>
  <c r="Y3506" i="12" s="1"/>
  <c r="Y3507" i="12" s="1"/>
  <c r="Y3508" i="12" s="1"/>
  <c r="Y3509" i="12" s="1"/>
  <c r="Y3510" i="12" s="1"/>
  <c r="Y3511" i="12" s="1"/>
  <c r="Y3512" i="12" s="1"/>
  <c r="Y3513" i="12" s="1"/>
  <c r="Y3514" i="12" s="1"/>
  <c r="Y3515" i="12" s="1"/>
  <c r="Y3516" i="12" s="1"/>
  <c r="Y3517" i="12" s="1"/>
  <c r="Y3518" i="12" s="1"/>
  <c r="Y3519" i="12" s="1"/>
  <c r="Y3520" i="12" s="1"/>
  <c r="Y3521" i="12" s="1"/>
  <c r="Y3522" i="12" s="1"/>
  <c r="Y3523" i="12" s="1"/>
  <c r="Y3524" i="12" s="1"/>
  <c r="Y3525" i="12" s="1"/>
  <c r="Y3526" i="12" s="1"/>
  <c r="Y3527" i="12" s="1"/>
  <c r="Y3528" i="12" s="1"/>
  <c r="Y3529" i="12" s="1"/>
  <c r="Y3530" i="12" s="1"/>
  <c r="Y3531" i="12" s="1"/>
  <c r="Y3532" i="12" s="1"/>
  <c r="Y3533" i="12" s="1"/>
  <c r="Y3534" i="12" s="1"/>
  <c r="Y3535" i="12" s="1"/>
  <c r="Y3536" i="12" s="1"/>
  <c r="Y3537" i="12" s="1"/>
  <c r="Y3538" i="12" s="1"/>
  <c r="Y3539" i="12" s="1"/>
  <c r="Y3540" i="12" s="1"/>
  <c r="Y3541" i="12" s="1"/>
  <c r="Y3542" i="12" s="1"/>
  <c r="Y3543" i="12" s="1"/>
  <c r="Y3544" i="12" s="1"/>
  <c r="Y3545" i="12" s="1"/>
  <c r="Y3546" i="12" s="1"/>
  <c r="Y3547" i="12" s="1"/>
  <c r="Y3548" i="12" s="1"/>
  <c r="Y3549" i="12" s="1"/>
  <c r="Y3550" i="12" s="1"/>
  <c r="Y3551" i="12" s="1"/>
  <c r="Y3552" i="12" s="1"/>
  <c r="C9" i="15"/>
  <c r="C6" i="12" l="1"/>
  <c r="L15" i="6"/>
  <c r="K311" i="13"/>
  <c r="K275" i="13"/>
  <c r="C10" i="15"/>
  <c r="C13" i="12" l="1"/>
  <c r="K1" i="11"/>
  <c r="L1" i="11" s="1"/>
  <c r="E5" i="11" a="1"/>
  <c r="E7" i="11" s="1"/>
  <c r="I7" i="11" s="1"/>
  <c r="F5" i="11" a="1"/>
  <c r="F5" i="11" s="1"/>
  <c r="E1" i="9"/>
  <c r="C11" i="15"/>
  <c r="G7" i="11" l="1"/>
  <c r="E34" i="11"/>
  <c r="F31" i="11"/>
  <c r="F23" i="11"/>
  <c r="E39" i="11"/>
  <c r="F36" i="11"/>
  <c r="E31" i="11"/>
  <c r="F28" i="11"/>
  <c r="E23" i="11"/>
  <c r="F20" i="11"/>
  <c r="E15" i="11"/>
  <c r="F12" i="11"/>
  <c r="F33" i="11"/>
  <c r="F25" i="11"/>
  <c r="E41" i="11"/>
  <c r="F40" i="11"/>
  <c r="E35" i="11"/>
  <c r="F32" i="11"/>
  <c r="E27" i="11"/>
  <c r="F24" i="11"/>
  <c r="E19" i="11"/>
  <c r="F16" i="11"/>
  <c r="E11" i="11"/>
  <c r="F8" i="11"/>
  <c r="E5" i="11"/>
  <c r="K5" i="11" s="1"/>
  <c r="E36" i="11"/>
  <c r="E28" i="11"/>
  <c r="E6" i="11"/>
  <c r="E37" i="11"/>
  <c r="F34" i="11"/>
  <c r="E29" i="11"/>
  <c r="F26" i="11"/>
  <c r="E21" i="11"/>
  <c r="F18" i="11"/>
  <c r="E13" i="11"/>
  <c r="F10" i="11"/>
  <c r="F41" i="11"/>
  <c r="E20" i="11"/>
  <c r="F17" i="11"/>
  <c r="E12" i="11"/>
  <c r="F9" i="11"/>
  <c r="F38" i="11"/>
  <c r="E33" i="11"/>
  <c r="F30" i="11"/>
  <c r="E25" i="11"/>
  <c r="F22" i="11"/>
  <c r="E17" i="11"/>
  <c r="F14" i="11"/>
  <c r="E9" i="11"/>
  <c r="E38" i="11"/>
  <c r="F35" i="11"/>
  <c r="E30" i="11"/>
  <c r="F27" i="11"/>
  <c r="E22" i="11"/>
  <c r="F19" i="11"/>
  <c r="E14" i="11"/>
  <c r="F11" i="11"/>
  <c r="E40" i="11"/>
  <c r="F37" i="11"/>
  <c r="E32" i="11"/>
  <c r="F29" i="11"/>
  <c r="E24" i="11"/>
  <c r="F21" i="11"/>
  <c r="E16" i="11"/>
  <c r="F13" i="11"/>
  <c r="E8" i="11"/>
  <c r="F39" i="11"/>
  <c r="E26" i="11"/>
  <c r="E18" i="11"/>
  <c r="F15" i="11"/>
  <c r="E10" i="11"/>
  <c r="F7" i="11"/>
  <c r="K7" i="11" s="1"/>
  <c r="F6"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I9" i="7"/>
  <c r="I10" i="7"/>
  <c r="I11" i="7"/>
  <c r="I12" i="7"/>
  <c r="L101" i="13"/>
  <c r="L89" i="13"/>
  <c r="L309" i="13"/>
  <c r="L312" i="13"/>
  <c r="L139" i="13"/>
  <c r="L116" i="13"/>
  <c r="L13" i="13"/>
  <c r="L307" i="13"/>
  <c r="L306" i="13"/>
  <c r="L284" i="13"/>
  <c r="L108" i="13"/>
  <c r="L111" i="13"/>
  <c r="L279" i="13"/>
  <c r="L315" i="13"/>
  <c r="L29" i="13"/>
  <c r="L49" i="13"/>
  <c r="L63" i="13"/>
  <c r="L201" i="13"/>
  <c r="L90" i="13"/>
  <c r="L295" i="13"/>
  <c r="L96" i="13"/>
  <c r="L71" i="13"/>
  <c r="L215" i="13"/>
  <c r="L280" i="13"/>
  <c r="L278" i="13"/>
  <c r="L321" i="13"/>
  <c r="L59" i="13"/>
  <c r="L217" i="13"/>
  <c r="L183" i="13"/>
  <c r="L64" i="13"/>
  <c r="L109" i="13"/>
  <c r="L292" i="13"/>
  <c r="L239" i="13"/>
  <c r="L137" i="13"/>
  <c r="L199" i="13"/>
  <c r="L193" i="13"/>
  <c r="L190" i="13"/>
  <c r="L265" i="13"/>
  <c r="L69" i="13"/>
  <c r="L120" i="13"/>
  <c r="L74" i="13"/>
  <c r="L162" i="13"/>
  <c r="L53" i="13"/>
  <c r="L236" i="13"/>
  <c r="L156" i="13"/>
  <c r="L262" i="13"/>
  <c r="L154" i="13"/>
  <c r="L117" i="13"/>
  <c r="L65" i="13"/>
  <c r="L299" i="13"/>
  <c r="L138" i="13"/>
  <c r="L149" i="13"/>
  <c r="L43" i="13"/>
  <c r="L305" i="13"/>
  <c r="L181" i="13"/>
  <c r="L296" i="13"/>
  <c r="L308" i="13"/>
  <c r="L131" i="13"/>
  <c r="L23" i="13"/>
  <c r="L313" i="13"/>
  <c r="L270" i="13"/>
  <c r="L7" i="13"/>
  <c r="L95" i="13"/>
  <c r="L322" i="13"/>
  <c r="L179" i="13"/>
  <c r="L72" i="13"/>
  <c r="L232" i="13"/>
  <c r="L105" i="13"/>
  <c r="L114" i="13"/>
  <c r="L98" i="13"/>
  <c r="L229" i="13"/>
  <c r="L324" i="13"/>
  <c r="L174" i="13"/>
  <c r="L200" i="13"/>
  <c r="L282" i="13"/>
  <c r="L286" i="13"/>
  <c r="L221" i="13"/>
  <c r="L254" i="13"/>
  <c r="L210" i="13"/>
  <c r="L15" i="13"/>
  <c r="L290" i="13"/>
  <c r="L209" i="13"/>
  <c r="L196" i="13"/>
  <c r="L203" i="13"/>
  <c r="L197" i="13"/>
  <c r="L255" i="13"/>
  <c r="L132" i="13"/>
  <c r="L121" i="13"/>
  <c r="L169" i="13"/>
  <c r="L164" i="13"/>
  <c r="L294" i="13"/>
  <c r="L250" i="13"/>
  <c r="L318" i="13"/>
  <c r="L180" i="13"/>
  <c r="L100" i="13"/>
  <c r="L303" i="13"/>
  <c r="L41" i="13"/>
  <c r="L18" i="13"/>
  <c r="L85" i="13"/>
  <c r="L274" i="13"/>
  <c r="L323" i="13"/>
  <c r="L208" i="13"/>
  <c r="L178" i="13"/>
  <c r="L140" i="13"/>
  <c r="L225" i="13"/>
  <c r="L48" i="13"/>
  <c r="L246" i="13"/>
  <c r="L143" i="13"/>
  <c r="G9" i="7"/>
  <c r="H15" i="9"/>
  <c r="G11" i="7"/>
  <c r="H20" i="9"/>
  <c r="H5" i="7"/>
  <c r="H3" i="9"/>
  <c r="F7" i="7"/>
  <c r="L7" i="11"/>
  <c r="L275" i="13"/>
  <c r="F9" i="7"/>
  <c r="E5" i="7"/>
  <c r="H8" i="7"/>
  <c r="D9" i="7"/>
  <c r="H4" i="9"/>
  <c r="G8" i="7"/>
  <c r="H12" i="9"/>
  <c r="H6" i="7"/>
  <c r="D12" i="7"/>
  <c r="F11" i="7"/>
  <c r="H8" i="9"/>
  <c r="H3" i="7"/>
  <c r="E7" i="7"/>
  <c r="D5" i="7"/>
  <c r="E11" i="7"/>
  <c r="Z19" i="12"/>
  <c r="H17" i="9"/>
  <c r="D11" i="7"/>
  <c r="H7" i="7"/>
  <c r="E6" i="7"/>
  <c r="E9" i="7"/>
  <c r="D10" i="7"/>
  <c r="C7" i="12"/>
  <c r="H6" i="9"/>
  <c r="E10" i="7"/>
  <c r="F10" i="7"/>
  <c r="E4" i="7"/>
  <c r="F8" i="7"/>
  <c r="H11" i="7"/>
  <c r="E8" i="7"/>
  <c r="H7" i="9"/>
  <c r="G7" i="7"/>
  <c r="H13" i="9"/>
  <c r="H10" i="7"/>
  <c r="D6" i="7"/>
  <c r="H16" i="9"/>
  <c r="H12" i="7"/>
  <c r="H9" i="9"/>
  <c r="H14" i="9"/>
  <c r="H4" i="7"/>
  <c r="E3" i="7"/>
  <c r="D8" i="7"/>
  <c r="G12" i="7"/>
  <c r="D3" i="7"/>
  <c r="F12" i="7"/>
  <c r="C12" i="15"/>
  <c r="H10" i="9"/>
  <c r="H18" i="9"/>
  <c r="H9" i="7"/>
  <c r="H11" i="9"/>
  <c r="G10" i="7"/>
  <c r="E12" i="7"/>
  <c r="D7" i="7"/>
  <c r="D4" i="7"/>
  <c r="H5" i="9"/>
  <c r="B72" i="4" l="1"/>
  <c r="B148" i="4"/>
  <c r="B100" i="4"/>
  <c r="B189" i="4"/>
  <c r="B372" i="4"/>
  <c r="M383" i="12" s="1"/>
  <c r="B165" i="4"/>
  <c r="B147" i="4"/>
  <c r="B201" i="4"/>
  <c r="B326" i="4"/>
  <c r="B270" i="4"/>
  <c r="B358" i="4"/>
  <c r="B238" i="4"/>
  <c r="B92" i="4"/>
  <c r="B317" i="4"/>
  <c r="B314" i="4"/>
  <c r="B374" i="4"/>
  <c r="B83" i="4"/>
  <c r="B99" i="4"/>
  <c r="B71" i="4"/>
  <c r="B260" i="4"/>
  <c r="B239" i="4"/>
  <c r="B205" i="4"/>
  <c r="B353" i="4"/>
  <c r="B307" i="4"/>
  <c r="B366" i="4"/>
  <c r="B197" i="4"/>
  <c r="B305" i="4"/>
  <c r="B332" i="4"/>
  <c r="B143" i="4"/>
  <c r="B334" i="4"/>
  <c r="B167" i="4"/>
  <c r="B154" i="4"/>
  <c r="B254" i="4"/>
  <c r="B351" i="4"/>
  <c r="B241" i="4"/>
  <c r="B89" i="4"/>
  <c r="B300" i="4"/>
  <c r="B256" i="4"/>
  <c r="B380" i="4"/>
  <c r="B161" i="4"/>
  <c r="B368" i="4"/>
  <c r="B170" i="4"/>
  <c r="B210" i="4"/>
  <c r="B327" i="4"/>
  <c r="B234" i="4"/>
  <c r="B378" i="4"/>
  <c r="B90" i="4"/>
  <c r="B299" i="4"/>
  <c r="B103" i="4"/>
  <c r="B145" i="4"/>
  <c r="B268" i="4"/>
  <c r="B240" i="4"/>
  <c r="B124" i="4"/>
  <c r="B330" i="4"/>
  <c r="B146" i="4"/>
  <c r="B229" i="4"/>
  <c r="B159" i="4"/>
  <c r="B250" i="4"/>
  <c r="B274" i="4"/>
  <c r="B213" i="4"/>
  <c r="B282" i="4"/>
  <c r="B272" i="4"/>
  <c r="B208" i="4"/>
  <c r="B129" i="4"/>
  <c r="B309" i="4"/>
  <c r="B172" i="4"/>
  <c r="B370" i="4"/>
  <c r="B223" i="4"/>
  <c r="B384" i="4"/>
  <c r="B340" i="4"/>
  <c r="B186" i="4"/>
  <c r="B346" i="4"/>
  <c r="B263" i="4"/>
  <c r="B295" i="4"/>
  <c r="B355" i="4"/>
  <c r="B293" i="4"/>
  <c r="B249" i="4"/>
  <c r="B382" i="4"/>
  <c r="B151" i="4"/>
  <c r="B248" i="4"/>
  <c r="B286" i="4"/>
  <c r="B193" i="4"/>
  <c r="B228" i="4"/>
  <c r="B218" i="4"/>
  <c r="B280" i="4"/>
  <c r="B141" i="4"/>
  <c r="B276" i="4"/>
  <c r="B323" i="4"/>
  <c r="B243" i="4"/>
  <c r="B226" i="4"/>
  <c r="B212" i="4"/>
  <c r="B389" i="4"/>
  <c r="B376" i="4"/>
  <c r="B104" i="4"/>
  <c r="B180" i="4"/>
  <c r="B315" i="4"/>
  <c r="B183" i="4"/>
  <c r="B308" i="4"/>
  <c r="B74" i="4"/>
  <c r="B364" i="4"/>
  <c r="B230" i="4"/>
  <c r="B112" i="4"/>
  <c r="B200" i="4"/>
  <c r="B166" i="4"/>
  <c r="B247" i="4"/>
  <c r="B126" i="4"/>
  <c r="B86" i="4"/>
  <c r="B265" i="4"/>
  <c r="B106" i="4"/>
  <c r="B379" i="4"/>
  <c r="B221" i="4"/>
  <c r="B77" i="4"/>
  <c r="B296" i="4"/>
  <c r="B173" i="4"/>
  <c r="B121" i="4"/>
  <c r="B371" i="4"/>
  <c r="B302" i="4"/>
  <c r="B168" i="4"/>
  <c r="B113" i="4"/>
  <c r="B246" i="4"/>
  <c r="B73" i="4"/>
  <c r="B217" i="4"/>
  <c r="B153" i="4"/>
  <c r="B130" i="4"/>
  <c r="B139" i="4"/>
  <c r="B125" i="4"/>
  <c r="B279" i="4"/>
  <c r="B298" i="4"/>
  <c r="B341" i="4"/>
  <c r="B80" i="4"/>
  <c r="B78" i="4"/>
  <c r="B195" i="4"/>
  <c r="B164" i="4"/>
  <c r="B285" i="4"/>
  <c r="B95" i="4"/>
  <c r="B162" i="4"/>
  <c r="B264" i="4"/>
  <c r="B98" i="4"/>
  <c r="B294" i="4"/>
  <c r="B289" i="4"/>
  <c r="B136" i="4"/>
  <c r="B354" i="4"/>
  <c r="B337" i="4"/>
  <c r="B331" i="4"/>
  <c r="B356" i="4"/>
  <c r="B357" i="4"/>
  <c r="B133" i="4"/>
  <c r="B273" i="4"/>
  <c r="B233" i="4"/>
  <c r="B178" i="4"/>
  <c r="B132" i="4"/>
  <c r="B158" i="4"/>
  <c r="B82" i="4"/>
  <c r="B184" i="4"/>
  <c r="B196" i="4"/>
  <c r="B155" i="4"/>
  <c r="B253" i="4"/>
  <c r="B388" i="4"/>
  <c r="B110" i="4"/>
  <c r="B262" i="4"/>
  <c r="B292" i="4"/>
  <c r="B94" i="4"/>
  <c r="B182" i="4"/>
  <c r="B87" i="4"/>
  <c r="B375" i="4"/>
  <c r="B227" i="4"/>
  <c r="B219" i="4"/>
  <c r="B333" i="4"/>
  <c r="B138" i="4"/>
  <c r="B383" i="4"/>
  <c r="B149" i="4"/>
  <c r="B335" i="4"/>
  <c r="B131" i="4"/>
  <c r="B222" i="4"/>
  <c r="B91" i="4"/>
  <c r="B369" i="4"/>
  <c r="B175" i="4"/>
  <c r="B69" i="4"/>
  <c r="B310" i="4"/>
  <c r="B381" i="4"/>
  <c r="B255" i="4"/>
  <c r="B347" i="4"/>
  <c r="B119" i="4"/>
  <c r="B320" i="4"/>
  <c r="B152" i="4"/>
  <c r="B232" i="4"/>
  <c r="B266" i="4"/>
  <c r="B360" i="4"/>
  <c r="B387" i="4"/>
  <c r="B278" i="4"/>
  <c r="B171" i="4"/>
  <c r="B303" i="4"/>
  <c r="B107" i="4"/>
  <c r="B137" i="4"/>
  <c r="B216" i="4"/>
  <c r="B156" i="4"/>
  <c r="B343" i="4"/>
  <c r="B194" i="4"/>
  <c r="B377" i="4"/>
  <c r="B385" i="4"/>
  <c r="B290" i="4"/>
  <c r="B120" i="4"/>
  <c r="B291" i="4"/>
  <c r="B339" i="4"/>
  <c r="B342" i="4"/>
  <c r="B348" i="4"/>
  <c r="B328" i="4"/>
  <c r="B206" i="4"/>
  <c r="B81" i="4"/>
  <c r="B142" i="4"/>
  <c r="B185" i="4"/>
  <c r="B68" i="4"/>
  <c r="B345" i="4"/>
  <c r="B122" i="4"/>
  <c r="B267" i="4"/>
  <c r="B373" i="4"/>
  <c r="B214" i="4"/>
  <c r="B288" i="4"/>
  <c r="B287" i="4"/>
  <c r="B150" i="4"/>
  <c r="B191" i="4"/>
  <c r="B181" i="4"/>
  <c r="B231" i="4"/>
  <c r="B367" i="4"/>
  <c r="B329" i="4"/>
  <c r="B281" i="4"/>
  <c r="B338" i="4"/>
  <c r="B127" i="4"/>
  <c r="B313" i="4"/>
  <c r="B134" i="4"/>
  <c r="B117" i="4"/>
  <c r="B207" i="4"/>
  <c r="B188" i="4"/>
  <c r="B275" i="4"/>
  <c r="B169" i="4"/>
  <c r="B349" i="4"/>
  <c r="B235" i="4"/>
  <c r="B352" i="4"/>
  <c r="B363" i="4"/>
  <c r="B224" i="4"/>
  <c r="B123" i="4"/>
  <c r="B316" i="4"/>
  <c r="B359" i="4"/>
  <c r="B192" i="4"/>
  <c r="B269" i="4"/>
  <c r="B304" i="4"/>
  <c r="B67" i="4"/>
  <c r="B114" i="4"/>
  <c r="B116" i="4"/>
  <c r="B301" i="4"/>
  <c r="B258" i="4"/>
  <c r="B85" i="4"/>
  <c r="B204" i="4"/>
  <c r="B306" i="4"/>
  <c r="B215" i="4"/>
  <c r="B115" i="4"/>
  <c r="B362" i="4"/>
  <c r="B311" i="4"/>
  <c r="B144" i="4"/>
  <c r="B257" i="4"/>
  <c r="B284" i="4"/>
  <c r="B283" i="4"/>
  <c r="B322" i="4"/>
  <c r="B261" i="4"/>
  <c r="B271" i="4"/>
  <c r="B79" i="4"/>
  <c r="B102" i="4"/>
  <c r="B128" i="4"/>
  <c r="B163" i="4"/>
  <c r="B252" i="4"/>
  <c r="B237" i="4"/>
  <c r="B211" i="4"/>
  <c r="B361" i="4"/>
  <c r="B108" i="4"/>
  <c r="B70" i="4"/>
  <c r="B96" i="4"/>
  <c r="B97" i="4"/>
  <c r="B365" i="4"/>
  <c r="B199" i="4"/>
  <c r="B157" i="4"/>
  <c r="B140" i="4"/>
  <c r="B177" i="4"/>
  <c r="B76" i="4"/>
  <c r="B187" i="4"/>
  <c r="B251" i="4"/>
  <c r="B174" i="4"/>
  <c r="B118" i="4"/>
  <c r="B160" i="4"/>
  <c r="B319" i="4"/>
  <c r="B75" i="4"/>
  <c r="B202" i="4"/>
  <c r="B386" i="4"/>
  <c r="B111" i="4"/>
  <c r="B312" i="4"/>
  <c r="B350" i="4"/>
  <c r="B297" i="4"/>
  <c r="B324" i="4"/>
  <c r="B93" i="4"/>
  <c r="C14" i="12"/>
  <c r="C8" i="12"/>
  <c r="C9" i="12" s="1"/>
  <c r="C16" i="12" s="1"/>
  <c r="B190" i="4"/>
  <c r="B203" i="4"/>
  <c r="B236" i="4"/>
  <c r="B245" i="4"/>
  <c r="B101" i="4"/>
  <c r="B336" i="4"/>
  <c r="M347" i="12" s="1"/>
  <c r="B325" i="4"/>
  <c r="B259" i="4"/>
  <c r="B390" i="4"/>
  <c r="B242" i="4"/>
  <c r="B176" i="4"/>
  <c r="B318" i="4"/>
  <c r="B244" i="4"/>
  <c r="B135" i="4"/>
  <c r="B105" i="4"/>
  <c r="B344" i="4"/>
  <c r="B179" i="4"/>
  <c r="B209" i="4"/>
  <c r="B321" i="4"/>
  <c r="B225" i="4"/>
  <c r="B109" i="4"/>
  <c r="B198" i="4"/>
  <c r="B84" i="4"/>
  <c r="B277" i="4"/>
  <c r="B220" i="4"/>
  <c r="B88" i="4"/>
  <c r="B29" i="4"/>
  <c r="B16" i="4"/>
  <c r="B15" i="4"/>
  <c r="B20" i="4"/>
  <c r="B18" i="4"/>
  <c r="B14" i="4"/>
  <c r="B12" i="4"/>
  <c r="B13" i="4"/>
  <c r="B21" i="4"/>
  <c r="B25" i="4"/>
  <c r="B19" i="4"/>
  <c r="B32" i="4"/>
  <c r="B27" i="4"/>
  <c r="B22" i="4"/>
  <c r="B26" i="4"/>
  <c r="B17" i="4"/>
  <c r="B23" i="4"/>
  <c r="B24" i="4"/>
  <c r="K8" i="11"/>
  <c r="K30" i="11"/>
  <c r="K9" i="11"/>
  <c r="I5" i="11"/>
  <c r="K14" i="11"/>
  <c r="K35" i="11"/>
  <c r="K13" i="11"/>
  <c r="K17" i="11"/>
  <c r="K11" i="11"/>
  <c r="K40" i="11"/>
  <c r="K33" i="11"/>
  <c r="K31" i="11"/>
  <c r="K12" i="11"/>
  <c r="K20" i="11"/>
  <c r="K34" i="11"/>
  <c r="K18" i="11"/>
  <c r="K27" i="11"/>
  <c r="K21" i="11"/>
  <c r="K15" i="11"/>
  <c r="K23" i="11"/>
  <c r="K41" i="11"/>
  <c r="K28" i="11"/>
  <c r="K10" i="11"/>
  <c r="K29" i="11"/>
  <c r="I22" i="11"/>
  <c r="G22" i="11"/>
  <c r="I18" i="11"/>
  <c r="G18" i="11"/>
  <c r="K16" i="11"/>
  <c r="K26" i="11"/>
  <c r="K38" i="11"/>
  <c r="I10" i="11"/>
  <c r="G10" i="11"/>
  <c r="I17" i="11"/>
  <c r="G17" i="11"/>
  <c r="I29" i="11"/>
  <c r="G29" i="11"/>
  <c r="I11" i="11"/>
  <c r="G11" i="11"/>
  <c r="I41" i="11"/>
  <c r="G41" i="11"/>
  <c r="I31" i="11"/>
  <c r="G31" i="11"/>
  <c r="I19" i="11"/>
  <c r="G19" i="11"/>
  <c r="K19" i="11"/>
  <c r="K36" i="11"/>
  <c r="I26" i="11"/>
  <c r="G26" i="11"/>
  <c r="I32" i="11"/>
  <c r="G32" i="11"/>
  <c r="I30" i="11"/>
  <c r="G30" i="11"/>
  <c r="I6" i="11"/>
  <c r="G6" i="11"/>
  <c r="I37" i="11"/>
  <c r="G37" i="11"/>
  <c r="K32" i="11"/>
  <c r="K39" i="11"/>
  <c r="I33" i="11"/>
  <c r="G33" i="11"/>
  <c r="I13" i="11"/>
  <c r="G13" i="11"/>
  <c r="I28" i="11"/>
  <c r="G28" i="11"/>
  <c r="I27" i="11"/>
  <c r="G27" i="11"/>
  <c r="I15" i="11"/>
  <c r="G15" i="11"/>
  <c r="I24" i="11"/>
  <c r="G24" i="11"/>
  <c r="K22" i="11"/>
  <c r="I8" i="11"/>
  <c r="G8" i="11"/>
  <c r="I40" i="11"/>
  <c r="G40" i="11"/>
  <c r="I38" i="11"/>
  <c r="G38" i="11"/>
  <c r="I36" i="11"/>
  <c r="G36" i="11"/>
  <c r="I34" i="11"/>
  <c r="G34" i="11"/>
  <c r="I25" i="11"/>
  <c r="G25" i="11"/>
  <c r="I39" i="11"/>
  <c r="G39" i="11"/>
  <c r="I9" i="11"/>
  <c r="G9" i="11"/>
  <c r="I21" i="11"/>
  <c r="G21" i="11"/>
  <c r="G5" i="11"/>
  <c r="I35" i="11"/>
  <c r="G35" i="11"/>
  <c r="I23" i="11"/>
  <c r="G23" i="11"/>
  <c r="I20" i="11"/>
  <c r="G20" i="11"/>
  <c r="K25" i="11"/>
  <c r="K37" i="11"/>
  <c r="K24" i="11"/>
  <c r="I16" i="11"/>
  <c r="G16" i="11"/>
  <c r="I14" i="11"/>
  <c r="G14" i="11"/>
  <c r="I12" i="11"/>
  <c r="G12" i="11"/>
  <c r="K6" i="11"/>
  <c r="G19" i="9"/>
  <c r="J2" i="7"/>
  <c r="H2" i="9"/>
  <c r="L168" i="13"/>
  <c r="L189" i="13"/>
  <c r="L212" i="13"/>
  <c r="L253" i="13"/>
  <c r="L68" i="13"/>
  <c r="L233" i="13"/>
  <c r="L242" i="13"/>
  <c r="L170" i="13"/>
  <c r="L188" i="13"/>
  <c r="L129" i="13"/>
  <c r="L25" i="13"/>
  <c r="L152" i="13"/>
  <c r="L172" i="13"/>
  <c r="L8" i="13"/>
  <c r="L289" i="13"/>
  <c r="L177" i="13"/>
  <c r="L81" i="13"/>
  <c r="L310" i="13"/>
  <c r="L148" i="13"/>
  <c r="L75" i="13"/>
  <c r="L173" i="13"/>
  <c r="L302" i="13"/>
  <c r="L192" i="13"/>
  <c r="L84" i="13"/>
  <c r="L167" i="13"/>
  <c r="L115" i="13"/>
  <c r="L317" i="13"/>
  <c r="L283" i="13"/>
  <c r="L207" i="13"/>
  <c r="L118" i="13"/>
  <c r="L17" i="13"/>
  <c r="L285" i="13"/>
  <c r="L44" i="13"/>
  <c r="L159" i="13"/>
  <c r="L175" i="13"/>
  <c r="L136" i="13"/>
  <c r="L204" i="13"/>
  <c r="L269" i="13"/>
  <c r="L328" i="13"/>
  <c r="L257" i="13"/>
  <c r="L133" i="13"/>
  <c r="L226" i="13"/>
  <c r="L247" i="13"/>
  <c r="L304" i="13"/>
  <c r="L26" i="13"/>
  <c r="L103" i="13"/>
  <c r="L166" i="13"/>
  <c r="L70" i="13"/>
  <c r="L45" i="13"/>
  <c r="L158" i="13"/>
  <c r="L230" i="13"/>
  <c r="L219" i="13"/>
  <c r="L19" i="13"/>
  <c r="L319" i="13"/>
  <c r="L160" i="13"/>
  <c r="L171" i="13"/>
  <c r="L46" i="13"/>
  <c r="L27" i="13"/>
  <c r="L316" i="13"/>
  <c r="L157" i="13"/>
  <c r="L28" i="13"/>
  <c r="L67" i="13"/>
  <c r="L93" i="13"/>
  <c r="L231" i="13"/>
  <c r="L228" i="13"/>
  <c r="L6" i="13"/>
  <c r="L82" i="13"/>
  <c r="L205" i="13"/>
  <c r="L119" i="13"/>
  <c r="L30" i="13"/>
  <c r="L293" i="13"/>
  <c r="L261" i="13"/>
  <c r="L244" i="13"/>
  <c r="L56" i="13"/>
  <c r="L113" i="13"/>
  <c r="L134" i="13"/>
  <c r="L234" i="13"/>
  <c r="L195" i="13"/>
  <c r="L202" i="13"/>
  <c r="L223" i="13"/>
  <c r="L155" i="13"/>
  <c r="L298" i="13"/>
  <c r="L281" i="13"/>
  <c r="L186" i="13"/>
  <c r="L260" i="13"/>
  <c r="L34" i="13"/>
  <c r="L297" i="13"/>
  <c r="L263" i="13"/>
  <c r="L216" i="13"/>
  <c r="L11" i="11"/>
  <c r="L39" i="11"/>
  <c r="L38" i="11"/>
  <c r="L10" i="11"/>
  <c r="L36" i="11"/>
  <c r="L27" i="11"/>
  <c r="L17" i="11"/>
  <c r="L29" i="11"/>
  <c r="L18" i="11"/>
  <c r="L40" i="11"/>
  <c r="L30" i="11"/>
  <c r="L6" i="11"/>
  <c r="L21" i="11"/>
  <c r="L33" i="11"/>
  <c r="L24" i="11"/>
  <c r="L32" i="11"/>
  <c r="L37" i="11"/>
  <c r="L12" i="11"/>
  <c r="L25" i="11"/>
  <c r="L23" i="11"/>
  <c r="L28" i="11"/>
  <c r="L9" i="11"/>
  <c r="L16" i="11"/>
  <c r="L15" i="11"/>
  <c r="L26" i="11"/>
  <c r="L5" i="11"/>
  <c r="L31" i="11"/>
  <c r="L22" i="11"/>
  <c r="L14" i="11"/>
  <c r="L41" i="11"/>
  <c r="L35" i="11"/>
  <c r="L20" i="11"/>
  <c r="L19" i="11"/>
  <c r="L8" i="11"/>
  <c r="L13" i="11"/>
  <c r="L34" i="11"/>
  <c r="L2" i="11" l="1"/>
  <c r="D7" i="6"/>
  <c r="D8" i="6"/>
  <c r="D20" i="6"/>
  <c r="D6" i="6"/>
  <c r="C15" i="12" l="1"/>
  <c r="D9" i="6"/>
  <c r="D16" i="6"/>
  <c r="L153" i="13"/>
  <c r="C136" i="4"/>
  <c r="C241" i="4"/>
  <c r="C252" i="4"/>
  <c r="C275" i="4"/>
  <c r="C91" i="4"/>
  <c r="C102" i="4"/>
  <c r="L182" i="13"/>
  <c r="C240" i="4"/>
  <c r="C196" i="4"/>
  <c r="C259" i="4"/>
  <c r="C114" i="4"/>
  <c r="L66" i="13"/>
  <c r="C145" i="4"/>
  <c r="C120" i="4"/>
  <c r="C368" i="4"/>
  <c r="C146" i="4"/>
  <c r="C262" i="4"/>
  <c r="C335" i="4"/>
  <c r="C187" i="4"/>
  <c r="C127" i="4"/>
  <c r="L320" i="13"/>
  <c r="C208" i="4"/>
  <c r="C147" i="4"/>
  <c r="L62" i="13"/>
  <c r="C202" i="4"/>
  <c r="C358" i="4"/>
  <c r="C367" i="4"/>
  <c r="C224" i="4"/>
  <c r="L92" i="13"/>
  <c r="C318" i="4"/>
  <c r="C294" i="4"/>
  <c r="C349" i="4"/>
  <c r="C295" i="4"/>
  <c r="C384" i="4"/>
  <c r="C253" i="4"/>
  <c r="L36" i="13"/>
  <c r="C369" i="4"/>
  <c r="C261" i="4"/>
  <c r="C286" i="4"/>
  <c r="C228" i="4"/>
  <c r="L12" i="13"/>
  <c r="C135" i="4"/>
  <c r="C110" i="4"/>
  <c r="C186" i="4"/>
  <c r="C96" i="4"/>
  <c r="C227" i="4"/>
  <c r="C174" i="4"/>
  <c r="C292" i="4"/>
  <c r="L104" i="13"/>
  <c r="L326" i="13"/>
  <c r="C249" i="4"/>
  <c r="L91" i="13"/>
  <c r="C322" i="4"/>
  <c r="C206" i="4"/>
  <c r="C156" i="4"/>
  <c r="C183" i="4"/>
  <c r="L300" i="13"/>
  <c r="C324" i="4"/>
  <c r="C285" i="4"/>
  <c r="L251" i="13"/>
  <c r="L77" i="13"/>
  <c r="C103" i="4"/>
  <c r="C290" i="4"/>
  <c r="C201" i="4"/>
  <c r="C325" i="4"/>
  <c r="C361" i="4"/>
  <c r="C164" i="4"/>
  <c r="L267" i="13"/>
  <c r="C323" i="4"/>
  <c r="C142" i="4"/>
  <c r="C317" i="4"/>
  <c r="C108" i="4"/>
  <c r="L58" i="13"/>
  <c r="C72" i="4"/>
  <c r="C152" i="4"/>
  <c r="C106" i="4"/>
  <c r="C276" i="4"/>
  <c r="C381" i="4"/>
  <c r="L32" i="13"/>
  <c r="C214" i="4"/>
  <c r="C194" i="4"/>
  <c r="L126" i="13"/>
  <c r="C357" i="4"/>
  <c r="C386" i="4"/>
  <c r="C239" i="4"/>
  <c r="C340" i="4"/>
  <c r="C263" i="4"/>
  <c r="L107" i="13"/>
  <c r="C97" i="4"/>
  <c r="C309" i="4"/>
  <c r="C365" i="4"/>
  <c r="L224" i="13"/>
  <c r="L258" i="13"/>
  <c r="C308" i="4"/>
  <c r="L16" i="13"/>
  <c r="C375" i="4"/>
  <c r="C211" i="4"/>
  <c r="C161" i="4"/>
  <c r="L83" i="13"/>
  <c r="C190" i="4"/>
  <c r="C221" i="4"/>
  <c r="C293" i="4"/>
  <c r="C230" i="4"/>
  <c r="C205" i="4"/>
  <c r="C351" i="4"/>
  <c r="C95" i="4"/>
  <c r="L176" i="13"/>
  <c r="L277" i="13"/>
  <c r="C246" i="4"/>
  <c r="C236" i="4"/>
  <c r="C376" i="4"/>
  <c r="L241" i="13"/>
  <c r="C314" i="4"/>
  <c r="C330" i="4"/>
  <c r="C298" i="4"/>
  <c r="L220" i="13"/>
  <c r="C134" i="4"/>
  <c r="C89" i="4"/>
  <c r="C109" i="4"/>
  <c r="C306" i="4"/>
  <c r="C100" i="4"/>
  <c r="L163" i="13"/>
  <c r="C179" i="4"/>
  <c r="C347" i="4"/>
  <c r="C199" i="4"/>
  <c r="C226" i="4"/>
  <c r="C305" i="4"/>
  <c r="L271" i="13"/>
  <c r="C175" i="4"/>
  <c r="L185" i="13"/>
  <c r="L145" i="13"/>
  <c r="L79" i="13"/>
  <c r="C304" i="4"/>
  <c r="L245" i="13"/>
  <c r="L314" i="13"/>
  <c r="C341" i="4"/>
  <c r="L37" i="13"/>
  <c r="C380" i="4"/>
  <c r="C374" i="4"/>
  <c r="C321" i="4"/>
  <c r="C269" i="4"/>
  <c r="C385" i="4"/>
  <c r="L264" i="13"/>
  <c r="L33" i="13"/>
  <c r="C248" i="4"/>
  <c r="L259" i="13"/>
  <c r="C339" i="4"/>
  <c r="C160" i="4"/>
  <c r="C247" i="4"/>
  <c r="L55" i="13"/>
  <c r="C366" i="4"/>
  <c r="L112" i="13"/>
  <c r="L125" i="13"/>
  <c r="L184" i="13"/>
  <c r="L31" i="13"/>
  <c r="C331" i="4"/>
  <c r="C78" i="4"/>
  <c r="C278" i="4"/>
  <c r="C273" i="4"/>
  <c r="C310" i="4"/>
  <c r="C282" i="4"/>
  <c r="C150" i="4"/>
  <c r="L86" i="13"/>
  <c r="L213" i="13"/>
  <c r="C195" i="4"/>
  <c r="L50" i="13"/>
  <c r="C130" i="4"/>
  <c r="C280" i="4"/>
  <c r="L256" i="13"/>
  <c r="C301" i="4"/>
  <c r="C177" i="4"/>
  <c r="C307" i="4"/>
  <c r="C167" i="4"/>
  <c r="C270" i="4"/>
  <c r="C377" i="4"/>
  <c r="C149" i="4"/>
  <c r="L20" i="13"/>
  <c r="L40" i="13"/>
  <c r="C371" i="4"/>
  <c r="C209" i="4"/>
  <c r="L272" i="13"/>
  <c r="L329" i="13"/>
  <c r="C101" i="4"/>
  <c r="C390" i="4"/>
  <c r="C105" i="4"/>
  <c r="C173" i="4"/>
  <c r="C235" i="4"/>
  <c r="C84" i="4"/>
  <c r="C107" i="4"/>
  <c r="C312" i="4"/>
  <c r="C87" i="4"/>
  <c r="C234" i="4"/>
  <c r="L151" i="13"/>
  <c r="C334" i="4"/>
  <c r="L24" i="13"/>
  <c r="L268" i="13"/>
  <c r="L227" i="13"/>
  <c r="C356" i="4"/>
  <c r="C243" i="4"/>
  <c r="L211" i="13"/>
  <c r="C337" i="4"/>
  <c r="L214" i="13"/>
  <c r="C157" i="4"/>
  <c r="L142" i="13"/>
  <c r="C71" i="4"/>
  <c r="L238" i="13"/>
  <c r="L252" i="13"/>
  <c r="L287" i="13"/>
  <c r="C77" i="4"/>
  <c r="C220" i="4"/>
  <c r="C170" i="4"/>
  <c r="C70" i="4"/>
  <c r="C363" i="4"/>
  <c r="C86" i="4"/>
  <c r="C159" i="4"/>
  <c r="C155" i="4"/>
  <c r="C76" i="4"/>
  <c r="C99" i="4"/>
  <c r="C154" i="4"/>
  <c r="L165" i="13"/>
  <c r="C296" i="4"/>
  <c r="L123" i="13"/>
  <c r="C370" i="4"/>
  <c r="C165" i="4"/>
  <c r="C284" i="4"/>
  <c r="C132" i="4"/>
  <c r="C162" i="4"/>
  <c r="L76" i="13"/>
  <c r="C272" i="4"/>
  <c r="C168" i="4"/>
  <c r="L60" i="13"/>
  <c r="C113" i="4"/>
  <c r="C268" i="4"/>
  <c r="C266" i="4"/>
  <c r="C244" i="4"/>
  <c r="C138" i="4"/>
  <c r="L235" i="13"/>
  <c r="C353" i="4"/>
  <c r="C288" i="4"/>
  <c r="L106" i="13"/>
  <c r="C137" i="4"/>
  <c r="C210" i="4"/>
  <c r="C250" i="4"/>
  <c r="C233" i="4"/>
  <c r="L222" i="13"/>
  <c r="L161" i="13"/>
  <c r="C121" i="4"/>
  <c r="L237" i="13"/>
  <c r="C153" i="4"/>
  <c r="C158" i="4"/>
  <c r="C197" i="4"/>
  <c r="L144" i="13"/>
  <c r="C327" i="4"/>
  <c r="L99" i="13"/>
  <c r="C342" i="4"/>
  <c r="L243" i="13"/>
  <c r="L102" i="13"/>
  <c r="C148" i="4"/>
  <c r="C297" i="4"/>
  <c r="C126" i="4"/>
  <c r="C245" i="4"/>
  <c r="C119" i="4"/>
  <c r="L94" i="13"/>
  <c r="C303" i="4"/>
  <c r="C180" i="4"/>
  <c r="C85" i="4"/>
  <c r="C260" i="4"/>
  <c r="C116" i="4"/>
  <c r="C133" i="4"/>
  <c r="C92" i="4"/>
  <c r="C299" i="4"/>
  <c r="C352" i="4"/>
  <c r="C319" i="4"/>
  <c r="L39" i="13"/>
  <c r="C231" i="4"/>
  <c r="L288" i="13"/>
  <c r="C271" i="4"/>
  <c r="C242" i="4"/>
  <c r="C69" i="4"/>
  <c r="C283" i="4"/>
  <c r="L191" i="13"/>
  <c r="C207" i="4"/>
  <c r="C348" i="4"/>
  <c r="C289" i="4"/>
  <c r="C185" i="4"/>
  <c r="L87" i="13"/>
  <c r="C217" i="4"/>
  <c r="C328" i="4"/>
  <c r="C79" i="4"/>
  <c r="L52" i="13"/>
  <c r="C115" i="4"/>
  <c r="C191" i="4"/>
  <c r="C73" i="4"/>
  <c r="L122" i="13"/>
  <c r="C93" i="4"/>
  <c r="C124" i="4"/>
  <c r="L248" i="13"/>
  <c r="C346" i="4"/>
  <c r="L9" i="13"/>
  <c r="L325" i="13"/>
  <c r="L327" i="13"/>
  <c r="C88" i="4"/>
  <c r="C345" i="4"/>
  <c r="C223" i="4"/>
  <c r="C320" i="4"/>
  <c r="L22" i="13"/>
  <c r="C166" i="4"/>
  <c r="L80" i="13"/>
  <c r="L110" i="13"/>
  <c r="L198" i="13"/>
  <c r="C388" i="4"/>
  <c r="C225" i="4"/>
  <c r="C354" i="4"/>
  <c r="C355" i="4"/>
  <c r="C274" i="4"/>
  <c r="L61" i="13"/>
  <c r="C184" i="4"/>
  <c r="C141" i="4"/>
  <c r="L10" i="13"/>
  <c r="C362" i="4"/>
  <c r="C111" i="4"/>
  <c r="C192" i="4"/>
  <c r="C300" i="4"/>
  <c r="C383" i="4"/>
  <c r="L273" i="13"/>
  <c r="C343" i="4"/>
  <c r="C329" i="4"/>
  <c r="C326" i="4"/>
  <c r="L150" i="13"/>
  <c r="L146" i="13"/>
  <c r="C258" i="4"/>
  <c r="L51" i="13"/>
  <c r="L141" i="13"/>
  <c r="C122" i="4"/>
  <c r="C140" i="4"/>
  <c r="C144" i="4"/>
  <c r="L97" i="13"/>
  <c r="L291" i="13"/>
  <c r="C382" i="4"/>
  <c r="C389" i="4"/>
  <c r="L266" i="13"/>
  <c r="C178" i="4"/>
  <c r="C118" i="4"/>
  <c r="C265" i="4"/>
  <c r="C279" i="4"/>
  <c r="C204" i="4"/>
  <c r="L78" i="13"/>
  <c r="L35" i="13"/>
  <c r="C83" i="4"/>
  <c r="L194" i="13"/>
  <c r="C350" i="4"/>
  <c r="C129" i="4"/>
  <c r="C373" i="4"/>
  <c r="L11" i="13"/>
  <c r="C151" i="4"/>
  <c r="C131" i="4"/>
  <c r="C229" i="4"/>
  <c r="C316" i="4"/>
  <c r="L21" i="13"/>
  <c r="L147" i="13"/>
  <c r="L54" i="13"/>
  <c r="C218" i="4"/>
  <c r="C90" i="4"/>
  <c r="C238" i="4"/>
  <c r="C338" i="4"/>
  <c r="C171" i="4"/>
  <c r="C387" i="4"/>
  <c r="C257" i="4"/>
  <c r="L73" i="13"/>
  <c r="C112" i="4"/>
  <c r="C94" i="4"/>
  <c r="C313" i="4"/>
  <c r="C311" i="4"/>
  <c r="C117" i="4"/>
  <c r="L130" i="13"/>
  <c r="C364" i="4"/>
  <c r="L88" i="13"/>
  <c r="C75" i="4"/>
  <c r="C188" i="4"/>
  <c r="C74" i="4"/>
  <c r="C212" i="4"/>
  <c r="L135" i="13"/>
  <c r="C333" i="4"/>
  <c r="C172" i="4"/>
  <c r="C232" i="4"/>
  <c r="C193" i="4"/>
  <c r="C215" i="4"/>
  <c r="C287" i="4"/>
  <c r="C98" i="4"/>
  <c r="C360" i="4"/>
  <c r="C378" i="4"/>
  <c r="C251" i="4"/>
  <c r="L128" i="13"/>
  <c r="L301" i="13"/>
  <c r="C344" i="4"/>
  <c r="L276" i="13"/>
  <c r="C222" i="4"/>
  <c r="C277" i="4"/>
  <c r="L206" i="13"/>
  <c r="C256" i="4"/>
  <c r="C169" i="4"/>
  <c r="C379" i="4"/>
  <c r="L249" i="13"/>
  <c r="C182" i="4"/>
  <c r="C163" i="4"/>
  <c r="C67" i="4"/>
  <c r="C213" i="4"/>
  <c r="C302" i="4"/>
  <c r="L38" i="13"/>
  <c r="C332" i="4"/>
  <c r="C264" i="4"/>
  <c r="L218" i="13"/>
  <c r="L57" i="13"/>
  <c r="C219" i="4"/>
  <c r="C281" i="4"/>
  <c r="C82" i="4"/>
  <c r="L42" i="13"/>
  <c r="C125" i="4"/>
  <c r="C181" i="4"/>
  <c r="C254" i="4"/>
  <c r="L187" i="13"/>
  <c r="C139" i="4"/>
  <c r="C81" i="4"/>
  <c r="L127" i="13"/>
  <c r="C315" i="4"/>
  <c r="L240" i="13"/>
  <c r="C198" i="4"/>
  <c r="C255" i="4"/>
  <c r="C128" i="4"/>
  <c r="C203" i="4"/>
  <c r="C216" i="4"/>
  <c r="L124" i="13"/>
  <c r="C291" i="4"/>
  <c r="C80" i="4"/>
  <c r="C267" i="4"/>
  <c r="L14" i="13"/>
  <c r="C237" i="4"/>
  <c r="C359" i="4"/>
  <c r="C189" i="4"/>
  <c r="L47" i="13"/>
  <c r="C143" i="4"/>
  <c r="C176" i="4"/>
  <c r="C104" i="4"/>
  <c r="C200" i="4"/>
  <c r="C68" i="4"/>
  <c r="C123" i="4"/>
  <c r="I113" i="4"/>
  <c r="I128" i="4"/>
  <c r="I302" i="4"/>
  <c r="J94" i="4"/>
  <c r="D373" i="4"/>
  <c r="E350" i="4"/>
  <c r="C25" i="4"/>
  <c r="E167" i="4"/>
  <c r="D297" i="4"/>
  <c r="D114" i="4"/>
  <c r="E275" i="4"/>
  <c r="D190" i="4"/>
  <c r="J240" i="4"/>
  <c r="D110" i="4"/>
  <c r="I296" i="4"/>
  <c r="D79" i="4"/>
  <c r="E264" i="4"/>
  <c r="I390" i="4"/>
  <c r="C21" i="4"/>
  <c r="I138" i="4"/>
  <c r="I351" i="4"/>
  <c r="E80" i="4"/>
  <c r="I216" i="4"/>
  <c r="D284" i="4"/>
  <c r="D69" i="4"/>
  <c r="I366" i="4"/>
  <c r="D152" i="4"/>
  <c r="I12" i="9"/>
  <c r="M14" i="11"/>
  <c r="I377" i="4"/>
  <c r="E345" i="4"/>
  <c r="E212" i="4"/>
  <c r="E387" i="4"/>
  <c r="J348" i="4"/>
  <c r="D345" i="4"/>
  <c r="D191" i="4"/>
  <c r="J342" i="4"/>
  <c r="E353" i="4"/>
  <c r="D212" i="4"/>
  <c r="J293" i="4"/>
  <c r="D337" i="4"/>
  <c r="E126" i="4"/>
  <c r="D316" i="4"/>
  <c r="E146" i="4"/>
  <c r="J32" i="4"/>
  <c r="D146" i="4"/>
  <c r="J166" i="4"/>
  <c r="D276" i="4"/>
  <c r="E337" i="4"/>
  <c r="I285" i="4"/>
  <c r="J373" i="4"/>
  <c r="D344" i="4"/>
  <c r="I211" i="4"/>
  <c r="D314" i="4"/>
  <c r="D222" i="4"/>
  <c r="J105" i="4"/>
  <c r="H19" i="9"/>
  <c r="J24" i="4"/>
  <c r="I222" i="4"/>
  <c r="I243" i="4"/>
  <c r="I375" i="4"/>
  <c r="E242" i="4"/>
  <c r="D363" i="4"/>
  <c r="J77" i="4"/>
  <c r="J71" i="4"/>
  <c r="J112" i="4"/>
  <c r="I210" i="4"/>
  <c r="E172" i="4"/>
  <c r="E189" i="4"/>
  <c r="J347" i="4"/>
  <c r="J343" i="4"/>
  <c r="J235" i="4"/>
  <c r="I284" i="4"/>
  <c r="D198" i="4"/>
  <c r="I305" i="4"/>
  <c r="E155" i="4"/>
  <c r="I266" i="4"/>
  <c r="I129" i="4"/>
  <c r="J271" i="4"/>
  <c r="D286" i="4"/>
  <c r="I14" i="4"/>
  <c r="J173" i="4"/>
  <c r="D170" i="4"/>
  <c r="E377" i="4"/>
  <c r="I92" i="4"/>
  <c r="J251" i="4"/>
  <c r="E298" i="4"/>
  <c r="I153" i="4"/>
  <c r="E247" i="4"/>
  <c r="E174" i="4"/>
  <c r="J206" i="4"/>
  <c r="E81" i="4"/>
  <c r="I184" i="4"/>
  <c r="I130" i="4"/>
  <c r="J334" i="4"/>
  <c r="D21" i="4"/>
  <c r="J387" i="4"/>
  <c r="I357" i="4"/>
  <c r="E316" i="4"/>
  <c r="J354" i="4"/>
  <c r="E182" i="4"/>
  <c r="J213" i="4"/>
  <c r="E187" i="4"/>
  <c r="J18" i="4"/>
  <c r="I203" i="4"/>
  <c r="I378" i="4"/>
  <c r="J108" i="4"/>
  <c r="D233" i="4"/>
  <c r="I12" i="4"/>
  <c r="E130" i="4"/>
  <c r="E364" i="4"/>
  <c r="E118" i="4"/>
  <c r="I73" i="4"/>
  <c r="J111" i="4"/>
  <c r="E262" i="4"/>
  <c r="E73" i="4"/>
  <c r="M21" i="11"/>
  <c r="I87" i="4"/>
  <c r="E386" i="4"/>
  <c r="J138" i="4"/>
  <c r="D353" i="4"/>
  <c r="D187" i="4"/>
  <c r="D327" i="4"/>
  <c r="E103" i="4"/>
  <c r="I333" i="4"/>
  <c r="J14" i="4"/>
  <c r="D260" i="4"/>
  <c r="J316" i="4"/>
  <c r="E101" i="4"/>
  <c r="E171" i="4"/>
  <c r="E292" i="4"/>
  <c r="I114" i="4"/>
  <c r="I316" i="4"/>
  <c r="D165" i="4"/>
  <c r="I205" i="4"/>
  <c r="D153" i="4"/>
  <c r="J130" i="4"/>
  <c r="J358" i="4"/>
  <c r="E119" i="4"/>
  <c r="E122" i="4"/>
  <c r="I279" i="4"/>
  <c r="J6" i="7"/>
  <c r="I179" i="4"/>
  <c r="D186" i="4"/>
  <c r="J330" i="4"/>
  <c r="E168" i="4"/>
  <c r="J303" i="4"/>
  <c r="J299" i="4"/>
  <c r="J292" i="4"/>
  <c r="D279" i="4"/>
  <c r="J337" i="4"/>
  <c r="D356" i="4"/>
  <c r="I233" i="4"/>
  <c r="I227" i="4"/>
  <c r="I370" i="4"/>
  <c r="J357" i="4"/>
  <c r="D159" i="4"/>
  <c r="E74" i="4"/>
  <c r="I350" i="4"/>
  <c r="J284" i="4"/>
  <c r="D384" i="4"/>
  <c r="I324" i="4"/>
  <c r="I139" i="4"/>
  <c r="E196" i="4"/>
  <c r="D264" i="4"/>
  <c r="L311" i="13"/>
  <c r="I386" i="4"/>
  <c r="I137" i="4"/>
  <c r="E332" i="4"/>
  <c r="I3" i="9"/>
  <c r="J203" i="4"/>
  <c r="E356" i="4"/>
  <c r="E339" i="4"/>
  <c r="E108" i="4"/>
  <c r="I365" i="4"/>
  <c r="J155" i="4"/>
  <c r="D351" i="4"/>
  <c r="E317" i="4"/>
  <c r="E362" i="4"/>
  <c r="I20" i="9"/>
  <c r="E351" i="4"/>
  <c r="I204" i="4"/>
  <c r="D116" i="4"/>
  <c r="J239" i="4"/>
  <c r="E83" i="4"/>
  <c r="D108" i="4"/>
  <c r="D293" i="4"/>
  <c r="I303" i="4"/>
  <c r="I258" i="4"/>
  <c r="E221" i="4"/>
  <c r="J202" i="4"/>
  <c r="I359" i="4"/>
  <c r="I175" i="4"/>
  <c r="E112" i="4"/>
  <c r="E209" i="4"/>
  <c r="I242" i="4"/>
  <c r="I282" i="4"/>
  <c r="D147" i="4"/>
  <c r="E192" i="4"/>
  <c r="J11" i="7"/>
  <c r="E367" i="4"/>
  <c r="I314" i="4"/>
  <c r="E147" i="4"/>
  <c r="D368" i="4"/>
  <c r="J114" i="4"/>
  <c r="J68" i="4"/>
  <c r="D319" i="4"/>
  <c r="I361" i="4"/>
  <c r="E383" i="4"/>
  <c r="J273" i="4"/>
  <c r="D232" i="4"/>
  <c r="J99" i="4"/>
  <c r="E94" i="4"/>
  <c r="C29" i="4"/>
  <c r="J319" i="4"/>
  <c r="M35" i="11"/>
  <c r="J378" i="4"/>
  <c r="I218" i="4"/>
  <c r="I165" i="4"/>
  <c r="J151" i="4"/>
  <c r="D95" i="4"/>
  <c r="J141" i="4"/>
  <c r="I363" i="4"/>
  <c r="J288" i="4"/>
  <c r="E373" i="4"/>
  <c r="D307" i="4"/>
  <c r="I360" i="4"/>
  <c r="E150" i="4"/>
  <c r="J109" i="4"/>
  <c r="I19" i="4"/>
  <c r="D126" i="4"/>
  <c r="D347" i="4"/>
  <c r="J196" i="4"/>
  <c r="I220" i="4"/>
  <c r="I322" i="4"/>
  <c r="I317" i="4"/>
  <c r="E215" i="4"/>
  <c r="I358" i="4"/>
  <c r="I79" i="4"/>
  <c r="D111" i="4"/>
  <c r="D253" i="4"/>
  <c r="J368" i="4"/>
  <c r="D75" i="4"/>
  <c r="E216" i="4"/>
  <c r="D178" i="4"/>
  <c r="E297" i="4"/>
  <c r="I193" i="4"/>
  <c r="J69" i="4"/>
  <c r="J145" i="4"/>
  <c r="J82" i="4"/>
  <c r="I214" i="4"/>
  <c r="E239" i="4"/>
  <c r="D282" i="4"/>
  <c r="I127" i="4"/>
  <c r="J29" i="4"/>
  <c r="J365" i="4"/>
  <c r="E305" i="4"/>
  <c r="E164" i="4"/>
  <c r="E286" i="4"/>
  <c r="E166" i="4"/>
  <c r="E97" i="4"/>
  <c r="I340" i="4"/>
  <c r="J350" i="4"/>
  <c r="J184" i="4"/>
  <c r="D118" i="4"/>
  <c r="I291" i="4"/>
  <c r="E124" i="4"/>
  <c r="D119" i="4"/>
  <c r="J4" i="7"/>
  <c r="J310" i="4"/>
  <c r="J169" i="4"/>
  <c r="E327" i="4"/>
  <c r="I192" i="4"/>
  <c r="E368" i="4"/>
  <c r="E152" i="4"/>
  <c r="J318" i="4"/>
  <c r="J304" i="4"/>
  <c r="J245" i="4"/>
  <c r="J97" i="4"/>
  <c r="I289" i="4"/>
  <c r="J9" i="7"/>
  <c r="D237" i="4"/>
  <c r="I163" i="4"/>
  <c r="I81" i="4"/>
  <c r="J278" i="4"/>
  <c r="I301" i="4"/>
  <c r="J287" i="4"/>
  <c r="I232" i="4"/>
  <c r="E85" i="4"/>
  <c r="J353" i="4"/>
  <c r="I267" i="4"/>
  <c r="J275" i="4"/>
  <c r="I273" i="4"/>
  <c r="E249" i="4"/>
  <c r="D105" i="4"/>
  <c r="J146" i="4"/>
  <c r="I367" i="4"/>
  <c r="J234" i="4"/>
  <c r="D295" i="4"/>
  <c r="J317" i="4"/>
  <c r="E245" i="4"/>
  <c r="C18" i="4"/>
  <c r="D378" i="4"/>
  <c r="D171" i="4"/>
  <c r="I161" i="4"/>
  <c r="E326" i="4"/>
  <c r="J381" i="4"/>
  <c r="J231" i="4"/>
  <c r="J298" i="4"/>
  <c r="J83" i="4"/>
  <c r="J369" i="4"/>
  <c r="J294" i="4"/>
  <c r="E294" i="4"/>
  <c r="J210" i="4"/>
  <c r="C22" i="4"/>
  <c r="E311" i="4"/>
  <c r="D364" i="4"/>
  <c r="I16" i="4"/>
  <c r="D390" i="4"/>
  <c r="J197" i="4"/>
  <c r="C17" i="4"/>
  <c r="J252" i="4"/>
  <c r="E388" i="4"/>
  <c r="I345" i="4"/>
  <c r="C20" i="4"/>
  <c r="D277" i="4"/>
  <c r="J274" i="4"/>
  <c r="I71" i="4"/>
  <c r="D151" i="4"/>
  <c r="M26" i="11"/>
  <c r="J306" i="4"/>
  <c r="E123" i="4"/>
  <c r="I136" i="4"/>
  <c r="I155" i="4"/>
  <c r="D360" i="4"/>
  <c r="J165" i="4"/>
  <c r="J248" i="4"/>
  <c r="I141" i="4"/>
  <c r="D206" i="4"/>
  <c r="D94" i="4"/>
  <c r="J183" i="4"/>
  <c r="D120" i="4"/>
  <c r="J214" i="4"/>
  <c r="I164" i="4"/>
  <c r="J201" i="4"/>
  <c r="D144" i="4"/>
  <c r="J359" i="4"/>
  <c r="I262" i="4"/>
  <c r="D238" i="4"/>
  <c r="I152" i="4"/>
  <c r="D103" i="4"/>
  <c r="D123" i="4"/>
  <c r="E110" i="4"/>
  <c r="E246" i="4"/>
  <c r="I86" i="4"/>
  <c r="J95" i="4"/>
  <c r="I221" i="4"/>
  <c r="E237" i="4"/>
  <c r="I123" i="4"/>
  <c r="D71" i="4"/>
  <c r="I306" i="4"/>
  <c r="D288" i="4"/>
  <c r="J161" i="4"/>
  <c r="E291" i="4"/>
  <c r="J388" i="4"/>
  <c r="D135" i="4"/>
  <c r="E169" i="4"/>
  <c r="D333" i="4"/>
  <c r="M23" i="11"/>
  <c r="E250" i="4"/>
  <c r="I140" i="4"/>
  <c r="D341" i="4"/>
  <c r="J133" i="4"/>
  <c r="I95" i="4"/>
  <c r="D142" i="4"/>
  <c r="D267" i="4"/>
  <c r="D160" i="4"/>
  <c r="J331" i="4"/>
  <c r="J328" i="4"/>
  <c r="E218" i="4"/>
  <c r="J137" i="4"/>
  <c r="J276" i="4"/>
  <c r="I252" i="4"/>
  <c r="E258" i="4"/>
  <c r="K2" i="7"/>
  <c r="E201" i="4"/>
  <c r="I201" i="4"/>
  <c r="J311" i="4"/>
  <c r="J13" i="4"/>
  <c r="I83" i="4"/>
  <c r="E324" i="4"/>
  <c r="I224" i="4"/>
  <c r="E307" i="4"/>
  <c r="J87" i="4"/>
  <c r="E117" i="4"/>
  <c r="E170" i="4"/>
  <c r="J320" i="4"/>
  <c r="I376" i="4"/>
  <c r="D176" i="4"/>
  <c r="J122" i="4"/>
  <c r="D338" i="4"/>
  <c r="J167" i="4"/>
  <c r="J185" i="4"/>
  <c r="E273" i="4"/>
  <c r="E229" i="4"/>
  <c r="J255" i="4"/>
  <c r="J362" i="4"/>
  <c r="M7" i="11"/>
  <c r="E157" i="4"/>
  <c r="I304" i="4"/>
  <c r="I180" i="4"/>
  <c r="J115" i="4"/>
  <c r="E328" i="4"/>
  <c r="I103" i="4"/>
  <c r="E270" i="4"/>
  <c r="D258" i="4"/>
  <c r="J17" i="4"/>
  <c r="D239" i="4"/>
  <c r="J204" i="4"/>
  <c r="I187" i="4"/>
  <c r="J154" i="4"/>
  <c r="I85" i="4"/>
  <c r="I199" i="4"/>
  <c r="J272" i="4"/>
  <c r="D254" i="4"/>
  <c r="E79" i="4"/>
  <c r="E91" i="4"/>
  <c r="J361" i="4"/>
  <c r="C27" i="4"/>
  <c r="J74" i="4"/>
  <c r="E145" i="4"/>
  <c r="I379" i="4"/>
  <c r="I147" i="4"/>
  <c r="I280" i="4"/>
  <c r="J139" i="4"/>
  <c r="J182" i="4"/>
  <c r="J134" i="4"/>
  <c r="D385" i="4"/>
  <c r="E88" i="4"/>
  <c r="J178" i="4"/>
  <c r="I154" i="4"/>
  <c r="J244" i="4"/>
  <c r="D91" i="4"/>
  <c r="I178" i="4"/>
  <c r="E177" i="4"/>
  <c r="I97" i="4"/>
  <c r="D387" i="4"/>
  <c r="E163" i="4"/>
  <c r="I98" i="4"/>
  <c r="I110" i="4"/>
  <c r="E341" i="4"/>
  <c r="E282" i="4"/>
  <c r="J364" i="4"/>
  <c r="M20" i="11"/>
  <c r="D366" i="4"/>
  <c r="J207" i="4"/>
  <c r="E185" i="4"/>
  <c r="D358" i="4"/>
  <c r="J277" i="4"/>
  <c r="D102" i="4"/>
  <c r="I369" i="4"/>
  <c r="D73" i="4"/>
  <c r="I135" i="4"/>
  <c r="D106" i="4"/>
  <c r="E179" i="4"/>
  <c r="E296" i="4"/>
  <c r="D100" i="4"/>
  <c r="I70" i="4"/>
  <c r="J79" i="4"/>
  <c r="I254" i="4"/>
  <c r="J21" i="4"/>
  <c r="J256" i="4"/>
  <c r="J159" i="4"/>
  <c r="D219" i="4"/>
  <c r="I171" i="4"/>
  <c r="D208" i="4"/>
  <c r="E154" i="4"/>
  <c r="D342" i="4"/>
  <c r="E340" i="4"/>
  <c r="D13" i="4"/>
  <c r="D221" i="4"/>
  <c r="D72" i="4"/>
  <c r="M10" i="11"/>
  <c r="E78" i="4"/>
  <c r="J143" i="4"/>
  <c r="I74" i="4"/>
  <c r="D124" i="4"/>
  <c r="E144" i="4"/>
  <c r="J261" i="4"/>
  <c r="I94" i="4"/>
  <c r="E205" i="4"/>
  <c r="E149" i="4"/>
  <c r="D22" i="4"/>
  <c r="D84" i="4"/>
  <c r="I235" i="4"/>
  <c r="I69" i="4"/>
  <c r="I181" i="4"/>
  <c r="J321" i="4"/>
  <c r="D130" i="4"/>
  <c r="I150" i="4"/>
  <c r="E104" i="4"/>
  <c r="J12" i="7"/>
  <c r="D242" i="4"/>
  <c r="E32" i="4"/>
  <c r="D203" i="4"/>
  <c r="J246" i="4"/>
  <c r="J324" i="4"/>
  <c r="D172" i="4"/>
  <c r="E186" i="4"/>
  <c r="M12" i="11"/>
  <c r="D24" i="4"/>
  <c r="E87" i="4"/>
  <c r="E365" i="4"/>
  <c r="E357" i="4"/>
  <c r="D328" i="4"/>
  <c r="D349" i="4"/>
  <c r="E320" i="4"/>
  <c r="I355" i="4"/>
  <c r="J307" i="4"/>
  <c r="D74" i="4"/>
  <c r="D81" i="4"/>
  <c r="D149" i="4"/>
  <c r="J67" i="4"/>
  <c r="I5" i="9"/>
  <c r="D296" i="4"/>
  <c r="J117" i="4"/>
  <c r="J194" i="4"/>
  <c r="I119" i="4"/>
  <c r="E89" i="4"/>
  <c r="I269" i="4"/>
  <c r="J84" i="4"/>
  <c r="I373" i="4"/>
  <c r="E116" i="4"/>
  <c r="E224" i="4"/>
  <c r="D318" i="4"/>
  <c r="E197" i="4"/>
  <c r="J80" i="4"/>
  <c r="I297" i="4"/>
  <c r="J375" i="4"/>
  <c r="J106" i="4"/>
  <c r="I336" i="4"/>
  <c r="I17" i="4"/>
  <c r="D386" i="4"/>
  <c r="D196" i="4"/>
  <c r="E366" i="4"/>
  <c r="E96" i="4"/>
  <c r="E379" i="4"/>
  <c r="D76" i="4"/>
  <c r="M37" i="11"/>
  <c r="J356" i="4"/>
  <c r="I198" i="4"/>
  <c r="D336" i="4"/>
  <c r="J172" i="4"/>
  <c r="I368" i="4"/>
  <c r="I223" i="4"/>
  <c r="I197" i="4"/>
  <c r="E240" i="4"/>
  <c r="D346" i="4"/>
  <c r="E322" i="4"/>
  <c r="I318" i="4"/>
  <c r="D85" i="4"/>
  <c r="D370" i="4"/>
  <c r="J148" i="4"/>
  <c r="C19" i="4"/>
  <c r="I23" i="4"/>
  <c r="D263" i="4"/>
  <c r="E191" i="4"/>
  <c r="E342" i="4"/>
  <c r="D270" i="4"/>
  <c r="J289" i="4"/>
  <c r="D16" i="4"/>
  <c r="J5" i="7"/>
  <c r="E236" i="4"/>
  <c r="M40" i="11"/>
  <c r="D225" i="4"/>
  <c r="I337" i="4"/>
  <c r="D245" i="4"/>
  <c r="D162" i="4"/>
  <c r="I225" i="4"/>
  <c r="J281" i="4"/>
  <c r="D77" i="4"/>
  <c r="E263" i="4"/>
  <c r="I331" i="4"/>
  <c r="J390" i="4"/>
  <c r="I21" i="4"/>
  <c r="D27" i="4"/>
  <c r="I341" i="4"/>
  <c r="M9" i="11"/>
  <c r="I212" i="4"/>
  <c r="J374" i="4"/>
  <c r="I292" i="4"/>
  <c r="J224" i="4"/>
  <c r="J283" i="4"/>
  <c r="D348" i="4"/>
  <c r="I353" i="4"/>
  <c r="E141" i="4"/>
  <c r="J10" i="7"/>
  <c r="E225" i="4"/>
  <c r="D354" i="4"/>
  <c r="I241" i="4"/>
  <c r="D332" i="4"/>
  <c r="D93" i="4"/>
  <c r="E361" i="4"/>
  <c r="D330" i="4"/>
  <c r="D389" i="4"/>
  <c r="M27" i="11"/>
  <c r="J199" i="4"/>
  <c r="I162" i="4"/>
  <c r="J217" i="4"/>
  <c r="E375" i="4"/>
  <c r="J92" i="4"/>
  <c r="I228" i="4"/>
  <c r="J73" i="4"/>
  <c r="E335" i="4"/>
  <c r="I293" i="4"/>
  <c r="J116" i="4"/>
  <c r="I352" i="4"/>
  <c r="J192" i="4"/>
  <c r="I132" i="4"/>
  <c r="I338" i="4"/>
  <c r="D12" i="4"/>
  <c r="D357" i="4"/>
  <c r="I104" i="4"/>
  <c r="D175" i="4"/>
  <c r="I112" i="4"/>
  <c r="J262" i="4"/>
  <c r="E158" i="4"/>
  <c r="J352" i="4"/>
  <c r="E180" i="4"/>
  <c r="I82" i="4"/>
  <c r="E183" i="4"/>
  <c r="D140" i="4"/>
  <c r="E319" i="4"/>
  <c r="D80" i="4"/>
  <c r="J243" i="4"/>
  <c r="D213" i="4"/>
  <c r="I182" i="4"/>
  <c r="J103" i="4"/>
  <c r="M5" i="11"/>
  <c r="J379" i="4"/>
  <c r="E244" i="4"/>
  <c r="D246" i="4"/>
  <c r="I383" i="4"/>
  <c r="E107" i="4"/>
  <c r="E259" i="4"/>
  <c r="I107" i="4"/>
  <c r="J144" i="4"/>
  <c r="D145" i="4"/>
  <c r="I122" i="4"/>
  <c r="D375" i="4"/>
  <c r="J232" i="4"/>
  <c r="I275" i="4"/>
  <c r="I133" i="4"/>
  <c r="I111" i="4"/>
  <c r="E202" i="4"/>
  <c r="E138" i="4"/>
  <c r="D262" i="4"/>
  <c r="I185" i="4"/>
  <c r="D223" i="4"/>
  <c r="E363" i="4"/>
  <c r="M16" i="11"/>
  <c r="E114" i="4"/>
  <c r="M19" i="11"/>
  <c r="E178" i="4"/>
  <c r="D163" i="4"/>
  <c r="B1" i="6"/>
  <c r="I310" i="4"/>
  <c r="D129" i="4"/>
  <c r="I308" i="4"/>
  <c r="I287" i="4"/>
  <c r="C13" i="15"/>
  <c r="D268" i="4"/>
  <c r="I278" i="4"/>
  <c r="E300" i="4"/>
  <c r="D273" i="4"/>
  <c r="I330" i="4"/>
  <c r="I196" i="4"/>
  <c r="D26" i="4"/>
  <c r="J190" i="4"/>
  <c r="D109" i="4"/>
  <c r="E220" i="4"/>
  <c r="I372" i="4"/>
  <c r="J113" i="4"/>
  <c r="D188" i="4"/>
  <c r="D259" i="4"/>
  <c r="D166" i="4"/>
  <c r="E309" i="4"/>
  <c r="D321" i="4"/>
  <c r="E211" i="4"/>
  <c r="E289" i="4"/>
  <c r="D78" i="4"/>
  <c r="I319" i="4"/>
  <c r="D308" i="4"/>
  <c r="J187" i="4"/>
  <c r="E133" i="4"/>
  <c r="D317" i="4"/>
  <c r="E382" i="4"/>
  <c r="E253" i="4"/>
  <c r="E92" i="4"/>
  <c r="J171" i="4"/>
  <c r="M18" i="11"/>
  <c r="I261" i="4"/>
  <c r="J249" i="4"/>
  <c r="I16" i="9"/>
  <c r="E70" i="4"/>
  <c r="J88" i="4"/>
  <c r="J121" i="4"/>
  <c r="J290" i="4"/>
  <c r="E281" i="4"/>
  <c r="E200" i="4"/>
  <c r="J198" i="4"/>
  <c r="D300" i="4"/>
  <c r="J90" i="4"/>
  <c r="E285" i="4"/>
  <c r="D291" i="4"/>
  <c r="E132" i="4"/>
  <c r="E105" i="4"/>
  <c r="J242" i="4"/>
  <c r="J259" i="4"/>
  <c r="J285" i="4"/>
  <c r="J230" i="4"/>
  <c r="I312" i="4"/>
  <c r="E131" i="4"/>
  <c r="I118" i="4"/>
  <c r="J371" i="4"/>
  <c r="D290" i="4"/>
  <c r="J349" i="4"/>
  <c r="J266" i="4"/>
  <c r="M13" i="11"/>
  <c r="I311" i="4"/>
  <c r="J305" i="4"/>
  <c r="D372" i="4"/>
  <c r="E86" i="4"/>
  <c r="I116" i="4"/>
  <c r="I151" i="4"/>
  <c r="D117" i="4"/>
  <c r="D302" i="4"/>
  <c r="I4" i="9"/>
  <c r="K12" i="7"/>
  <c r="D148" i="4"/>
  <c r="D289" i="4"/>
  <c r="I219" i="4"/>
  <c r="J193" i="4"/>
  <c r="I68" i="4"/>
  <c r="J22" i="4"/>
  <c r="I290" i="4"/>
  <c r="D236" i="4"/>
  <c r="E330" i="4"/>
  <c r="D86" i="4"/>
  <c r="I259" i="4"/>
  <c r="E284" i="4"/>
  <c r="D132" i="4"/>
  <c r="D17" i="4"/>
  <c r="I364" i="4"/>
  <c r="I256" i="4"/>
  <c r="E303" i="4"/>
  <c r="D181" i="4"/>
  <c r="I343" i="4"/>
  <c r="D305" i="4"/>
  <c r="D192" i="4"/>
  <c r="I277" i="4"/>
  <c r="E214" i="4"/>
  <c r="E331" i="4"/>
  <c r="I167" i="4"/>
  <c r="J168" i="4"/>
  <c r="D278" i="4"/>
  <c r="M41" i="11"/>
  <c r="J23" i="4"/>
  <c r="J177" i="4"/>
  <c r="E343" i="4"/>
  <c r="E198" i="4"/>
  <c r="E299" i="4"/>
  <c r="E90" i="4"/>
  <c r="J297" i="4"/>
  <c r="I131" i="4"/>
  <c r="D331" i="4"/>
  <c r="D29" i="4"/>
  <c r="D88" i="4"/>
  <c r="J123" i="4"/>
  <c r="C12" i="4"/>
  <c r="J85" i="4"/>
  <c r="J158" i="4"/>
  <c r="D143" i="4"/>
  <c r="D194" i="4"/>
  <c r="D261" i="4"/>
  <c r="I22" i="4"/>
  <c r="E204" i="4"/>
  <c r="I255" i="4"/>
  <c r="D195" i="4"/>
  <c r="I11" i="9"/>
  <c r="I299" i="4"/>
  <c r="E160" i="4"/>
  <c r="D329" i="4"/>
  <c r="J314" i="4"/>
  <c r="E252" i="4"/>
  <c r="I190" i="4"/>
  <c r="D168" i="4"/>
  <c r="E68" i="4"/>
  <c r="D67" i="4"/>
  <c r="E323" i="4"/>
  <c r="J86" i="4"/>
  <c r="E228" i="4"/>
  <c r="D255" i="4"/>
  <c r="E82" i="4"/>
  <c r="I166" i="4"/>
  <c r="E389" i="4"/>
  <c r="I157" i="4"/>
  <c r="M29" i="11"/>
  <c r="I209" i="4"/>
  <c r="E136" i="4"/>
  <c r="E277" i="4"/>
  <c r="I96" i="4"/>
  <c r="E67" i="4"/>
  <c r="E148" i="4"/>
  <c r="I115" i="4"/>
  <c r="J125" i="4"/>
  <c r="J119" i="4"/>
  <c r="E384" i="4"/>
  <c r="E226" i="4"/>
  <c r="I15" i="9"/>
  <c r="J205" i="4"/>
  <c r="M30" i="11"/>
  <c r="I149" i="4"/>
  <c r="D230" i="4"/>
  <c r="J149" i="4"/>
  <c r="E231" i="4"/>
  <c r="I93" i="4"/>
  <c r="D380" i="4"/>
  <c r="J301" i="4"/>
  <c r="I172" i="4"/>
  <c r="E128" i="4"/>
  <c r="J12" i="4"/>
  <c r="J383" i="4"/>
  <c r="J189" i="4"/>
  <c r="J147" i="4"/>
  <c r="D210" i="4"/>
  <c r="I158" i="4"/>
  <c r="I7" i="9"/>
  <c r="J286" i="4"/>
  <c r="I349" i="4"/>
  <c r="I265" i="4"/>
  <c r="E283" i="4"/>
  <c r="J100" i="4"/>
  <c r="I146" i="4"/>
  <c r="J211" i="4"/>
  <c r="D298" i="4"/>
  <c r="J355" i="4"/>
  <c r="D164" i="4"/>
  <c r="D218" i="4"/>
  <c r="J25" i="4"/>
  <c r="J367" i="4"/>
  <c r="C336" i="4"/>
  <c r="J195" i="4"/>
  <c r="E227" i="4"/>
  <c r="E241" i="4"/>
  <c r="E378" i="4"/>
  <c r="I384" i="4"/>
  <c r="I260" i="4"/>
  <c r="J96" i="4"/>
  <c r="D193" i="4"/>
  <c r="J308" i="4"/>
  <c r="D248" i="4"/>
  <c r="I105" i="4"/>
  <c r="D285" i="4"/>
  <c r="D324" i="4"/>
  <c r="K4" i="7"/>
  <c r="E295" i="4"/>
  <c r="I362" i="4"/>
  <c r="I281" i="4"/>
  <c r="J323" i="4"/>
  <c r="C16" i="4"/>
  <c r="D257" i="4"/>
  <c r="D224" i="4"/>
  <c r="I298" i="4"/>
  <c r="E269" i="4"/>
  <c r="J208" i="4"/>
  <c r="D326" i="4"/>
  <c r="C14" i="4"/>
  <c r="I25" i="4"/>
  <c r="J385" i="4"/>
  <c r="D127" i="4"/>
  <c r="M36" i="11"/>
  <c r="J175" i="4"/>
  <c r="I29" i="4"/>
  <c r="I313" i="4"/>
  <c r="J135" i="4"/>
  <c r="I194" i="4"/>
  <c r="E69" i="4"/>
  <c r="D90" i="4"/>
  <c r="E334" i="4"/>
  <c r="J27" i="4"/>
  <c r="D292" i="4"/>
  <c r="E159" i="4"/>
  <c r="I332" i="4"/>
  <c r="D244" i="4"/>
  <c r="D99" i="4"/>
  <c r="J229" i="4"/>
  <c r="I84" i="4"/>
  <c r="E75" i="4"/>
  <c r="I99" i="4"/>
  <c r="D272" i="4"/>
  <c r="I189" i="4"/>
  <c r="I186" i="4"/>
  <c r="J279" i="4"/>
  <c r="M24" i="11"/>
  <c r="I387" i="4"/>
  <c r="J7" i="7"/>
  <c r="J264" i="4"/>
  <c r="D19" i="4"/>
  <c r="D362" i="4"/>
  <c r="E194" i="4"/>
  <c r="D122" i="4"/>
  <c r="D299" i="4"/>
  <c r="D216" i="4"/>
  <c r="J265" i="4"/>
  <c r="E288" i="4"/>
  <c r="J78" i="4"/>
  <c r="J377" i="4"/>
  <c r="D87" i="4"/>
  <c r="J253" i="4"/>
  <c r="D304" i="4"/>
  <c r="J360" i="4"/>
  <c r="D97" i="4"/>
  <c r="E151" i="4"/>
  <c r="D355" i="4"/>
  <c r="D294" i="4"/>
  <c r="J72" i="4"/>
  <c r="J131" i="4"/>
  <c r="E219" i="4"/>
  <c r="AA19" i="12"/>
  <c r="I6" i="9"/>
  <c r="D112" i="4"/>
  <c r="I307" i="4"/>
  <c r="I356" i="4"/>
  <c r="D20" i="4"/>
  <c r="I26" i="4"/>
  <c r="I217" i="4"/>
  <c r="J241" i="4"/>
  <c r="I342" i="4"/>
  <c r="I120" i="4"/>
  <c r="D249" i="4"/>
  <c r="J345" i="4"/>
  <c r="D128" i="4"/>
  <c r="E232" i="4"/>
  <c r="D207" i="4"/>
  <c r="D131" i="4"/>
  <c r="D310" i="4"/>
  <c r="I320" i="4"/>
  <c r="I374" i="4"/>
  <c r="I168" i="4"/>
  <c r="D343" i="4"/>
  <c r="D134" i="4"/>
  <c r="E267" i="4"/>
  <c r="I230" i="4"/>
  <c r="E95" i="4"/>
  <c r="I200" i="4"/>
  <c r="J156" i="4"/>
  <c r="M25" i="11"/>
  <c r="D115" i="4"/>
  <c r="J313" i="4"/>
  <c r="J268" i="4"/>
  <c r="J325" i="4"/>
  <c r="E176" i="4"/>
  <c r="M32" i="11"/>
  <c r="D177" i="4"/>
  <c r="D125" i="4"/>
  <c r="D98" i="4"/>
  <c r="J212" i="4"/>
  <c r="J75" i="4"/>
  <c r="I202" i="4"/>
  <c r="I251" i="4"/>
  <c r="J126" i="4"/>
  <c r="D303" i="4"/>
  <c r="C13" i="4"/>
  <c r="E235" i="4"/>
  <c r="I248" i="4"/>
  <c r="E156" i="4"/>
  <c r="D269" i="4"/>
  <c r="J181" i="4"/>
  <c r="E210" i="4"/>
  <c r="E272" i="4"/>
  <c r="C372" i="4"/>
  <c r="J389" i="4"/>
  <c r="E348" i="4"/>
  <c r="D374" i="4"/>
  <c r="D335" i="4"/>
  <c r="J200" i="4"/>
  <c r="E278" i="4"/>
  <c r="D320" i="4"/>
  <c r="I27" i="4"/>
  <c r="I18" i="9"/>
  <c r="I300" i="4"/>
  <c r="J226" i="4"/>
  <c r="E137" i="4"/>
  <c r="J142" i="4"/>
  <c r="E175" i="4"/>
  <c r="I263" i="4"/>
  <c r="I160" i="4"/>
  <c r="D339" i="4"/>
  <c r="I88" i="4"/>
  <c r="I215" i="4"/>
  <c r="J257" i="4"/>
  <c r="I240" i="4"/>
  <c r="E111" i="4"/>
  <c r="D133" i="4"/>
  <c r="M3" i="11"/>
  <c r="D228" i="4"/>
  <c r="J8" i="7"/>
  <c r="E355" i="4"/>
  <c r="J309" i="4"/>
  <c r="D185" i="4"/>
  <c r="I328" i="4"/>
  <c r="I388" i="4"/>
  <c r="D169" i="4"/>
  <c r="I121" i="4"/>
  <c r="E135" i="4"/>
  <c r="E274" i="4"/>
  <c r="J220" i="4"/>
  <c r="J225" i="4"/>
  <c r="I174" i="4"/>
  <c r="Z20" i="12"/>
  <c r="J157" i="4"/>
  <c r="I126" i="4"/>
  <c r="D82" i="4"/>
  <c r="D202" i="4"/>
  <c r="I156" i="4"/>
  <c r="E193" i="4"/>
  <c r="M34" i="11"/>
  <c r="D281" i="4"/>
  <c r="I170" i="4"/>
  <c r="J107" i="4"/>
  <c r="E139" i="4"/>
  <c r="D32" i="4"/>
  <c r="E360" i="4"/>
  <c r="E99" i="4"/>
  <c r="I9" i="9"/>
  <c r="I206" i="4"/>
  <c r="I245" i="4"/>
  <c r="I108" i="4"/>
  <c r="I334" i="4"/>
  <c r="E352" i="4"/>
  <c r="E347" i="4"/>
  <c r="E109" i="4"/>
  <c r="E206" i="4"/>
  <c r="D229" i="4"/>
  <c r="J19" i="4"/>
  <c r="E256" i="4"/>
  <c r="J280" i="4"/>
  <c r="D154" i="4"/>
  <c r="E280" i="4"/>
  <c r="D325" i="4"/>
  <c r="M33" i="11"/>
  <c r="E304" i="4"/>
  <c r="I389" i="4"/>
  <c r="D92" i="4"/>
  <c r="I117" i="4"/>
  <c r="D287" i="4"/>
  <c r="I257" i="4"/>
  <c r="J376" i="4"/>
  <c r="E120" i="4"/>
  <c r="E308" i="4"/>
  <c r="E344" i="4"/>
  <c r="J291" i="4"/>
  <c r="E306" i="4"/>
  <c r="J140" i="4"/>
  <c r="I134" i="4"/>
  <c r="J366" i="4"/>
  <c r="D136" i="4"/>
  <c r="J339" i="4"/>
  <c r="E143" i="4"/>
  <c r="I148" i="4"/>
  <c r="E376" i="4"/>
  <c r="E314" i="4"/>
  <c r="E359" i="4"/>
  <c r="J363" i="4"/>
  <c r="I272" i="4"/>
  <c r="E190" i="4"/>
  <c r="I72" i="4"/>
  <c r="E271" i="4"/>
  <c r="J209" i="4"/>
  <c r="E142" i="4"/>
  <c r="I294" i="4"/>
  <c r="M8" i="11"/>
  <c r="D334" i="4"/>
  <c r="D250" i="4"/>
  <c r="D214" i="4"/>
  <c r="I169" i="4"/>
  <c r="E195" i="4"/>
  <c r="D274" i="4"/>
  <c r="D306" i="4"/>
  <c r="I249" i="4"/>
  <c r="D96" i="4"/>
  <c r="D240" i="4"/>
  <c r="D23" i="4"/>
  <c r="E370" i="4"/>
  <c r="J238" i="4"/>
  <c r="D150" i="4"/>
  <c r="I236" i="4"/>
  <c r="J237" i="4"/>
  <c r="J260" i="4"/>
  <c r="J333" i="4"/>
  <c r="I253" i="4"/>
  <c r="J344" i="4"/>
  <c r="J270" i="4"/>
  <c r="I14" i="9"/>
  <c r="J162" i="4"/>
  <c r="J16" i="4"/>
  <c r="D226" i="4"/>
  <c r="E98" i="4"/>
  <c r="J136" i="4"/>
  <c r="I244" i="4"/>
  <c r="D227" i="4"/>
  <c r="I246" i="4"/>
  <c r="E260" i="4"/>
  <c r="I309" i="4"/>
  <c r="M31" i="11"/>
  <c r="I213" i="4"/>
  <c r="D137" i="4"/>
  <c r="J267" i="4"/>
  <c r="E290" i="4"/>
  <c r="D359" i="4"/>
  <c r="D18" i="4"/>
  <c r="K6" i="7"/>
  <c r="I250" i="4"/>
  <c r="I347" i="4"/>
  <c r="D243" i="4"/>
  <c r="E279" i="4"/>
  <c r="J258" i="4"/>
  <c r="J346" i="4"/>
  <c r="J160" i="4"/>
  <c r="E381" i="4"/>
  <c r="I207" i="4"/>
  <c r="M11" i="11"/>
  <c r="D251" i="4"/>
  <c r="I10" i="9"/>
  <c r="E358" i="4"/>
  <c r="E106" i="4"/>
  <c r="J382" i="4"/>
  <c r="D107" i="4"/>
  <c r="J327" i="4"/>
  <c r="D322" i="4"/>
  <c r="D340" i="4"/>
  <c r="D301" i="4"/>
  <c r="D365" i="4"/>
  <c r="I335" i="4"/>
  <c r="E313" i="4"/>
  <c r="D352" i="4"/>
  <c r="I295" i="4"/>
  <c r="I323" i="4"/>
  <c r="D376" i="4"/>
  <c r="J329" i="4"/>
  <c r="D174" i="4"/>
  <c r="D382" i="4"/>
  <c r="M22" i="11"/>
  <c r="J93" i="4"/>
  <c r="E184" i="4"/>
  <c r="J163" i="4"/>
  <c r="J219" i="4"/>
  <c r="D15" i="4"/>
  <c r="J170" i="4"/>
  <c r="J150" i="4"/>
  <c r="J263" i="4"/>
  <c r="J91" i="4"/>
  <c r="I208" i="4"/>
  <c r="I346" i="4"/>
  <c r="D182" i="4"/>
  <c r="D231" i="4"/>
  <c r="I339" i="4"/>
  <c r="I89" i="4"/>
  <c r="I20" i="4"/>
  <c r="D14" i="4"/>
  <c r="J3" i="7"/>
  <c r="K3" i="7" s="1"/>
  <c r="J216" i="4"/>
  <c r="I159" i="4"/>
  <c r="I177" i="4"/>
  <c r="E380" i="4"/>
  <c r="I188" i="4"/>
  <c r="I231" i="4"/>
  <c r="E173" i="4"/>
  <c r="M2" i="11"/>
  <c r="J222" i="4"/>
  <c r="M17" i="11"/>
  <c r="D167" i="4"/>
  <c r="I380" i="4"/>
  <c r="J282" i="4"/>
  <c r="J180" i="4"/>
  <c r="D113" i="4"/>
  <c r="D312" i="4"/>
  <c r="D138" i="4"/>
  <c r="J70" i="4"/>
  <c r="C15" i="4"/>
  <c r="I348" i="4"/>
  <c r="I176" i="4"/>
  <c r="I247" i="4"/>
  <c r="J250" i="4"/>
  <c r="D189" i="4"/>
  <c r="I15" i="4"/>
  <c r="D184" i="4"/>
  <c r="J315" i="4"/>
  <c r="I13" i="4"/>
  <c r="J247" i="4"/>
  <c r="I381" i="4"/>
  <c r="D367" i="4"/>
  <c r="J336" i="4"/>
  <c r="J215" i="4"/>
  <c r="I385" i="4"/>
  <c r="I125" i="4"/>
  <c r="I327" i="4"/>
  <c r="J81" i="4"/>
  <c r="D381" i="4"/>
  <c r="I239" i="4"/>
  <c r="E248" i="4"/>
  <c r="D161" i="4"/>
  <c r="D313" i="4"/>
  <c r="I143" i="4"/>
  <c r="I80" i="4"/>
  <c r="J223" i="4"/>
  <c r="D383" i="4"/>
  <c r="E121" i="4"/>
  <c r="E230" i="4"/>
  <c r="E333" i="4"/>
  <c r="E318" i="4"/>
  <c r="D180" i="4"/>
  <c r="J26" i="4"/>
  <c r="J98" i="4"/>
  <c r="E390" i="4"/>
  <c r="I24" i="4"/>
  <c r="J386" i="4"/>
  <c r="D173" i="4"/>
  <c r="D271" i="4"/>
  <c r="E129" i="4"/>
  <c r="D197" i="4"/>
  <c r="J302" i="4"/>
  <c r="I274" i="4"/>
  <c r="E293" i="4"/>
  <c r="I229" i="4"/>
  <c r="I268" i="4"/>
  <c r="E255" i="4"/>
  <c r="I144" i="4"/>
  <c r="E181" i="4"/>
  <c r="D377" i="4"/>
  <c r="D83" i="4"/>
  <c r="J152" i="4"/>
  <c r="I195" i="4"/>
  <c r="J129" i="4"/>
  <c r="I329" i="4"/>
  <c r="J101" i="4"/>
  <c r="E321" i="4"/>
  <c r="I173" i="4"/>
  <c r="D157" i="4"/>
  <c r="I354" i="4"/>
  <c r="E203" i="4"/>
  <c r="E266" i="4"/>
  <c r="E115" i="4"/>
  <c r="C26" i="4"/>
  <c r="E325" i="4"/>
  <c r="D241" i="4"/>
  <c r="D200" i="4"/>
  <c r="I75" i="4"/>
  <c r="E287" i="4"/>
  <c r="I77" i="4"/>
  <c r="D371" i="4"/>
  <c r="E251" i="4"/>
  <c r="J110" i="4"/>
  <c r="I325" i="4"/>
  <c r="E254" i="4"/>
  <c r="E261" i="4"/>
  <c r="D369" i="4"/>
  <c r="E84" i="4"/>
  <c r="I2" i="9"/>
  <c r="I142" i="4"/>
  <c r="I226" i="4"/>
  <c r="I100" i="4"/>
  <c r="D201" i="4"/>
  <c r="D280" i="4"/>
  <c r="D121" i="4"/>
  <c r="D199" i="4"/>
  <c r="D350" i="4"/>
  <c r="J15" i="4"/>
  <c r="E140" i="4"/>
  <c r="I101" i="4"/>
  <c r="E165" i="4"/>
  <c r="E71" i="4"/>
  <c r="E369" i="4"/>
  <c r="E243" i="4"/>
  <c r="J296" i="4"/>
  <c r="D141" i="4"/>
  <c r="E213" i="4"/>
  <c r="I106" i="4"/>
  <c r="E223" i="4"/>
  <c r="J295" i="4"/>
  <c r="E371" i="4"/>
  <c r="C32" i="4"/>
  <c r="D209" i="4"/>
  <c r="I344" i="4"/>
  <c r="K9" i="7"/>
  <c r="E100" i="4"/>
  <c r="I321" i="4"/>
  <c r="E338" i="4"/>
  <c r="J233" i="4"/>
  <c r="I286" i="4"/>
  <c r="I90" i="4"/>
  <c r="D68" i="4"/>
  <c r="E329" i="4"/>
  <c r="I382" i="4"/>
  <c r="D156" i="4"/>
  <c r="E372" i="4"/>
  <c r="I270" i="4"/>
  <c r="D101" i="4"/>
  <c r="I32" i="4"/>
  <c r="D179" i="4"/>
  <c r="E233" i="4"/>
  <c r="D247" i="4"/>
  <c r="E301" i="4"/>
  <c r="I271" i="4"/>
  <c r="E72" i="4"/>
  <c r="J174" i="4"/>
  <c r="I8" i="9"/>
  <c r="I78" i="4"/>
  <c r="J104" i="4"/>
  <c r="I183" i="4"/>
  <c r="D266" i="4"/>
  <c r="J335" i="4"/>
  <c r="E207" i="4"/>
  <c r="M38" i="11"/>
  <c r="E222" i="4"/>
  <c r="E199" i="4"/>
  <c r="E102" i="4"/>
  <c r="J132" i="4"/>
  <c r="J120" i="4"/>
  <c r="I17" i="9"/>
  <c r="I326" i="4"/>
  <c r="I371" i="4"/>
  <c r="D235" i="4"/>
  <c r="I191" i="4"/>
  <c r="C23" i="4"/>
  <c r="D361" i="4"/>
  <c r="D139" i="4"/>
  <c r="E113" i="4"/>
  <c r="E265" i="4"/>
  <c r="J186" i="4"/>
  <c r="D204" i="4"/>
  <c r="D309" i="4"/>
  <c r="E134" i="4"/>
  <c r="I19" i="9"/>
  <c r="D25" i="4"/>
  <c r="I67" i="4"/>
  <c r="I102" i="4"/>
  <c r="E238" i="4"/>
  <c r="E315" i="4"/>
  <c r="I238" i="4"/>
  <c r="E162" i="4"/>
  <c r="E257" i="4"/>
  <c r="J370" i="4"/>
  <c r="J191" i="4"/>
  <c r="E76" i="4"/>
  <c r="D70" i="4"/>
  <c r="J269" i="4"/>
  <c r="D379" i="4"/>
  <c r="I145" i="4"/>
  <c r="E312" i="4"/>
  <c r="J179" i="4"/>
  <c r="J218" i="4"/>
  <c r="J228" i="4"/>
  <c r="J351" i="4"/>
  <c r="J227" i="4"/>
  <c r="E268" i="4"/>
  <c r="M39" i="11"/>
  <c r="J326" i="4"/>
  <c r="D311" i="4"/>
  <c r="J118" i="4"/>
  <c r="E77" i="4"/>
  <c r="I264" i="4"/>
  <c r="E310" i="4"/>
  <c r="I13" i="9"/>
  <c r="I237" i="4"/>
  <c r="D256" i="4"/>
  <c r="J76" i="4"/>
  <c r="D265" i="4"/>
  <c r="J127" i="4"/>
  <c r="E234" i="4"/>
  <c r="J102" i="4"/>
  <c r="M28" i="11"/>
  <c r="D234" i="4"/>
  <c r="I315" i="4"/>
  <c r="I109" i="4"/>
  <c r="E276" i="4"/>
  <c r="E125" i="4"/>
  <c r="J89" i="4"/>
  <c r="M15" i="11"/>
  <c r="I76" i="4"/>
  <c r="D104" i="4"/>
  <c r="D323" i="4"/>
  <c r="M6" i="11"/>
  <c r="E217" i="4"/>
  <c r="E336" i="4"/>
  <c r="I91" i="4"/>
  <c r="J300" i="4"/>
  <c r="J322" i="4"/>
  <c r="I124" i="4"/>
  <c r="C24" i="4"/>
  <c r="I276" i="4"/>
  <c r="J128" i="4"/>
  <c r="D155" i="4"/>
  <c r="E354" i="4"/>
  <c r="D89" i="4"/>
  <c r="D275" i="4"/>
  <c r="D252" i="4"/>
  <c r="J372" i="4"/>
  <c r="E188" i="4"/>
  <c r="D211" i="4"/>
  <c r="J340" i="4"/>
  <c r="J221" i="4"/>
  <c r="J236" i="4"/>
  <c r="E161" i="4"/>
  <c r="J332" i="4"/>
  <c r="J338" i="4"/>
  <c r="E153" i="4"/>
  <c r="J312" i="4"/>
  <c r="J380" i="4"/>
  <c r="I234" i="4"/>
  <c r="J153" i="4"/>
  <c r="J254" i="4"/>
  <c r="E349" i="4"/>
  <c r="D388" i="4"/>
  <c r="J341" i="4"/>
  <c r="E127" i="4"/>
  <c r="D217" i="4"/>
  <c r="E385" i="4"/>
  <c r="I18" i="4"/>
  <c r="J124" i="4"/>
  <c r="J384" i="4"/>
  <c r="D215" i="4"/>
  <c r="J188" i="4"/>
  <c r="I288" i="4"/>
  <c r="I283" i="4"/>
  <c r="E208" i="4"/>
  <c r="E346" i="4"/>
  <c r="J176" i="4"/>
  <c r="E302" i="4"/>
  <c r="D315" i="4"/>
  <c r="D283" i="4"/>
  <c r="E374" i="4"/>
  <c r="D205" i="4"/>
  <c r="D220" i="4"/>
  <c r="J164" i="4"/>
  <c r="D158" i="4"/>
  <c r="E93" i="4"/>
  <c r="J20" i="4"/>
  <c r="D183" i="4"/>
  <c r="Z21" i="12"/>
  <c r="AA20" i="12"/>
  <c r="Z22" i="12"/>
  <c r="AA21" i="12"/>
  <c r="B31" i="4" l="1"/>
  <c r="B49" i="4"/>
  <c r="B52" i="4"/>
  <c r="B53" i="4"/>
  <c r="B11" i="4"/>
  <c r="B63" i="4"/>
  <c r="B38" i="4"/>
  <c r="B60" i="4"/>
  <c r="B47" i="4"/>
  <c r="B36" i="4"/>
  <c r="B41" i="4"/>
  <c r="B10" i="4"/>
  <c r="B28" i="4"/>
  <c r="B46" i="4"/>
  <c r="B34" i="4"/>
  <c r="B35" i="4"/>
  <c r="B5" i="4"/>
  <c r="B51" i="4"/>
  <c r="B40" i="4"/>
  <c r="B3" i="4"/>
  <c r="B57" i="4"/>
  <c r="B37" i="4"/>
  <c r="B6" i="4"/>
  <c r="B50" i="4"/>
  <c r="B62" i="4"/>
  <c r="B58" i="4"/>
  <c r="B30" i="4"/>
  <c r="B8" i="4"/>
  <c r="B39" i="4"/>
  <c r="B54" i="4"/>
  <c r="B44" i="4"/>
  <c r="B4" i="4"/>
  <c r="B48" i="4"/>
  <c r="B59" i="4"/>
  <c r="B56" i="4"/>
  <c r="B9" i="4"/>
  <c r="B33" i="4"/>
  <c r="B61" i="4"/>
  <c r="B64" i="4"/>
  <c r="B2" i="4"/>
  <c r="E3" i="12"/>
  <c r="E4" i="12"/>
  <c r="E13" i="12"/>
  <c r="E8" i="12"/>
  <c r="E6" i="12"/>
  <c r="E14" i="12"/>
  <c r="E15" i="12"/>
  <c r="E10" i="12"/>
  <c r="E12" i="12"/>
  <c r="E16" i="12"/>
  <c r="E11" i="12"/>
  <c r="E7" i="12"/>
  <c r="E9" i="12"/>
  <c r="E5" i="12"/>
  <c r="B65" i="4"/>
  <c r="B7" i="4"/>
  <c r="B55" i="4"/>
  <c r="B45" i="4"/>
  <c r="B43" i="4"/>
  <c r="B42" i="4"/>
  <c r="B66" i="4"/>
  <c r="K8" i="7"/>
  <c r="D5" i="4"/>
  <c r="I51" i="4"/>
  <c r="I57" i="4"/>
  <c r="J31" i="4"/>
  <c r="D50" i="4"/>
  <c r="J3" i="4"/>
  <c r="I52" i="4"/>
  <c r="I63" i="4"/>
  <c r="I43" i="4"/>
  <c r="I35" i="4"/>
  <c r="E44" i="4"/>
  <c r="J5" i="4"/>
  <c r="J61" i="4"/>
  <c r="C53" i="4"/>
  <c r="E60" i="4"/>
  <c r="I9" i="4"/>
  <c r="J28" i="4"/>
  <c r="D11" i="4"/>
  <c r="I39" i="4"/>
  <c r="J36" i="4"/>
  <c r="D45" i="4"/>
  <c r="I5" i="4"/>
  <c r="I65" i="4"/>
  <c r="J7" i="4"/>
  <c r="I11" i="4"/>
  <c r="D64" i="4"/>
  <c r="C7" i="4"/>
  <c r="D8" i="4"/>
  <c r="K7" i="7"/>
  <c r="J53" i="4"/>
  <c r="C58" i="4"/>
  <c r="J66" i="4"/>
  <c r="D2" i="4"/>
  <c r="J9" i="4"/>
  <c r="D55" i="4"/>
  <c r="I66" i="4"/>
  <c r="J33" i="4"/>
  <c r="J2" i="4"/>
  <c r="D59" i="4"/>
  <c r="E35" i="4"/>
  <c r="I55" i="4"/>
  <c r="J35" i="4"/>
  <c r="D46" i="4"/>
  <c r="C66" i="4"/>
  <c r="E47" i="4"/>
  <c r="E33" i="4"/>
  <c r="I44" i="4"/>
  <c r="E51" i="4"/>
  <c r="D35" i="4"/>
  <c r="I59" i="4"/>
  <c r="C64" i="4"/>
  <c r="I8" i="4"/>
  <c r="D65" i="4"/>
  <c r="C48" i="4"/>
  <c r="I42" i="4"/>
  <c r="C14" i="15"/>
  <c r="I45" i="4"/>
  <c r="C40" i="4"/>
  <c r="E38" i="4"/>
  <c r="C36" i="4"/>
  <c r="C57" i="4"/>
  <c r="E45" i="4"/>
  <c r="I60" i="4"/>
  <c r="J62" i="4"/>
  <c r="E40" i="4"/>
  <c r="C65" i="4"/>
  <c r="C28" i="4"/>
  <c r="D39" i="4"/>
  <c r="C56" i="4"/>
  <c r="D36" i="4"/>
  <c r="I58" i="4"/>
  <c r="J58" i="4"/>
  <c r="C5" i="4"/>
  <c r="D62" i="4"/>
  <c r="K10" i="7"/>
  <c r="E31" i="4"/>
  <c r="D30" i="4"/>
  <c r="I64" i="4"/>
  <c r="E66" i="4"/>
  <c r="E37" i="4"/>
  <c r="I40" i="4"/>
  <c r="I41" i="4"/>
  <c r="E48" i="4"/>
  <c r="J65" i="4"/>
  <c r="J54" i="4"/>
  <c r="D41" i="4"/>
  <c r="I62" i="4"/>
  <c r="E53" i="4"/>
  <c r="D58" i="4"/>
  <c r="K5" i="7"/>
  <c r="J43" i="4"/>
  <c r="E52" i="4"/>
  <c r="D60" i="4"/>
  <c r="C34" i="4"/>
  <c r="J8" i="4"/>
  <c r="J42" i="4"/>
  <c r="J40" i="4"/>
  <c r="C62" i="4"/>
  <c r="I48" i="4"/>
  <c r="E63" i="4"/>
  <c r="J63" i="4"/>
  <c r="E34" i="4"/>
  <c r="J59" i="4"/>
  <c r="K11" i="7"/>
  <c r="I6" i="4"/>
  <c r="I2" i="4"/>
  <c r="J39" i="4"/>
  <c r="I53" i="4"/>
  <c r="D28" i="4"/>
  <c r="C51" i="4"/>
  <c r="J44" i="4"/>
  <c r="J38" i="4"/>
  <c r="D43" i="4"/>
  <c r="E56" i="4"/>
  <c r="C8" i="4"/>
  <c r="D63" i="4"/>
  <c r="J57" i="4"/>
  <c r="D49" i="4"/>
  <c r="C37" i="4"/>
  <c r="C30" i="4"/>
  <c r="J45" i="4"/>
  <c r="I46" i="4"/>
  <c r="D9" i="4"/>
  <c r="E36" i="4"/>
  <c r="E46" i="4"/>
  <c r="D10" i="4"/>
  <c r="C50" i="4"/>
  <c r="I61" i="4"/>
  <c r="D3" i="4"/>
  <c r="J46" i="4"/>
  <c r="I37" i="4"/>
  <c r="D57" i="4"/>
  <c r="E41" i="4"/>
  <c r="C35" i="4"/>
  <c r="E61" i="4"/>
  <c r="J6" i="4"/>
  <c r="J11" i="4"/>
  <c r="D34" i="4"/>
  <c r="I4" i="4"/>
  <c r="C44" i="4"/>
  <c r="I28" i="4"/>
  <c r="J51" i="4"/>
  <c r="I7" i="4"/>
  <c r="C2" i="4"/>
  <c r="C6" i="4"/>
  <c r="C15" i="15"/>
  <c r="J4" i="4"/>
  <c r="E30" i="4"/>
  <c r="E57" i="4"/>
  <c r="J49" i="4"/>
  <c r="C60" i="4"/>
  <c r="J48" i="4"/>
  <c r="I50" i="4"/>
  <c r="J37" i="4"/>
  <c r="J30" i="4"/>
  <c r="C63" i="4"/>
  <c r="C59" i="4"/>
  <c r="E59" i="4"/>
  <c r="E49" i="4"/>
  <c r="C3" i="4"/>
  <c r="J56" i="4"/>
  <c r="C39" i="4"/>
  <c r="D53" i="4"/>
  <c r="C33" i="4"/>
  <c r="I34" i="4"/>
  <c r="E50" i="4"/>
  <c r="Z23" i="12"/>
  <c r="D51" i="4"/>
  <c r="I36" i="4"/>
  <c r="I47" i="4"/>
  <c r="E42" i="4"/>
  <c r="D38" i="4"/>
  <c r="J50" i="4"/>
  <c r="E55" i="4"/>
  <c r="J47" i="4"/>
  <c r="C11" i="4"/>
  <c r="D56" i="4"/>
  <c r="D54" i="4"/>
  <c r="J41" i="4"/>
  <c r="I3" i="4"/>
  <c r="E58" i="4"/>
  <c r="D52" i="4"/>
  <c r="D33" i="4"/>
  <c r="I38" i="4"/>
  <c r="E62" i="4"/>
  <c r="C49" i="4"/>
  <c r="D44" i="4"/>
  <c r="I54" i="4"/>
  <c r="D4" i="4"/>
  <c r="I30" i="4"/>
  <c r="C9" i="4"/>
  <c r="D37" i="4"/>
  <c r="J52" i="4"/>
  <c r="D31" i="4"/>
  <c r="D42" i="4"/>
  <c r="J55" i="4"/>
  <c r="D61" i="4"/>
  <c r="D47" i="4"/>
  <c r="C42" i="4"/>
  <c r="C43" i="4"/>
  <c r="D2" i="5" a="1"/>
  <c r="D66" i="4"/>
  <c r="C47" i="4"/>
  <c r="D6" i="4"/>
  <c r="C38" i="4"/>
  <c r="E39" i="4"/>
  <c r="C54" i="4"/>
  <c r="I31" i="4"/>
  <c r="J10" i="4"/>
  <c r="J64" i="4"/>
  <c r="D7" i="4"/>
  <c r="C45" i="4"/>
  <c r="I56" i="4"/>
  <c r="C10" i="4"/>
  <c r="C61" i="4"/>
  <c r="C41" i="4"/>
  <c r="I33" i="4"/>
  <c r="E54" i="4"/>
  <c r="I10" i="4"/>
  <c r="E43" i="4"/>
  <c r="C52" i="4"/>
  <c r="D48" i="4"/>
  <c r="I49" i="4"/>
  <c r="J34" i="4"/>
  <c r="C55" i="4"/>
  <c r="C31" i="4"/>
  <c r="E64" i="4"/>
  <c r="D40" i="4"/>
  <c r="C46" i="4"/>
  <c r="E65" i="4"/>
  <c r="J60" i="4"/>
  <c r="C4" i="4"/>
  <c r="D13" i="5" l="1"/>
  <c r="D2" i="5"/>
  <c r="D66" i="5"/>
  <c r="D15" i="5"/>
  <c r="D79" i="5"/>
  <c r="D100" i="5"/>
  <c r="D56" i="5"/>
  <c r="D120" i="5"/>
  <c r="D117" i="5"/>
  <c r="D36" i="5"/>
  <c r="D22" i="5"/>
  <c r="D107" i="5"/>
  <c r="D59" i="5"/>
  <c r="D113" i="5"/>
  <c r="D3" i="5"/>
  <c r="D73" i="5"/>
  <c r="D95" i="5"/>
  <c r="D81" i="5"/>
  <c r="D54" i="5"/>
  <c r="D85" i="5"/>
  <c r="D26" i="5"/>
  <c r="D98" i="5"/>
  <c r="D39" i="5"/>
  <c r="D103" i="5"/>
  <c r="D16" i="5"/>
  <c r="D80" i="5"/>
  <c r="D53" i="5"/>
  <c r="D114" i="5"/>
  <c r="D92" i="5"/>
  <c r="D30" i="5"/>
  <c r="D99" i="5"/>
  <c r="D121" i="5"/>
  <c r="D41" i="5"/>
  <c r="D75" i="5"/>
  <c r="D78" i="5"/>
  <c r="D21" i="5"/>
  <c r="D10" i="5"/>
  <c r="D74" i="5"/>
  <c r="D23" i="5"/>
  <c r="D87" i="5"/>
  <c r="D116" i="5"/>
  <c r="D64" i="5"/>
  <c r="D29" i="5"/>
  <c r="D90" i="5"/>
  <c r="D68" i="5"/>
  <c r="D110" i="5"/>
  <c r="D35" i="5"/>
  <c r="D65" i="5"/>
  <c r="D14" i="5"/>
  <c r="D33" i="5"/>
  <c r="D11" i="5"/>
  <c r="D37" i="5"/>
  <c r="D18" i="5"/>
  <c r="D82" i="5"/>
  <c r="D31" i="5"/>
  <c r="D8" i="5"/>
  <c r="D72" i="5"/>
  <c r="D45" i="5"/>
  <c r="D106" i="5"/>
  <c r="D84" i="5"/>
  <c r="D57" i="5"/>
  <c r="D19" i="5"/>
  <c r="D43" i="5"/>
  <c r="D86" i="5"/>
  <c r="D109" i="5"/>
  <c r="D12" i="5"/>
  <c r="D44" i="5"/>
  <c r="D96" i="5"/>
  <c r="D4" i="5"/>
  <c r="D94" i="5"/>
  <c r="D49" i="5"/>
  <c r="D118" i="5"/>
  <c r="D125" i="5"/>
  <c r="D76" i="5"/>
  <c r="D52" i="5"/>
  <c r="D104" i="5"/>
  <c r="D20" i="5"/>
  <c r="D115" i="5"/>
  <c r="D70" i="5"/>
  <c r="D89" i="5"/>
  <c r="D124" i="5"/>
  <c r="D7" i="5"/>
  <c r="D60" i="5"/>
  <c r="D112" i="5"/>
  <c r="D28" i="5"/>
  <c r="D6" i="5"/>
  <c r="D91" i="5"/>
  <c r="D102" i="5"/>
  <c r="D34" i="5"/>
  <c r="D47" i="5"/>
  <c r="D24" i="5"/>
  <c r="D61" i="5"/>
  <c r="D108" i="5"/>
  <c r="D25" i="5"/>
  <c r="D62" i="5"/>
  <c r="D42" i="5"/>
  <c r="D55" i="5"/>
  <c r="D32" i="5"/>
  <c r="D69" i="5"/>
  <c r="D9" i="5"/>
  <c r="D46" i="5"/>
  <c r="D83" i="5"/>
  <c r="D63" i="5"/>
  <c r="D77" i="5"/>
  <c r="D67" i="5"/>
  <c r="D5" i="5"/>
  <c r="D58" i="5"/>
  <c r="D48" i="5"/>
  <c r="D93" i="5"/>
  <c r="D38" i="5"/>
  <c r="D50" i="5"/>
  <c r="D40" i="5"/>
  <c r="D17" i="5"/>
  <c r="D105" i="5"/>
  <c r="D71" i="5"/>
  <c r="D123" i="5"/>
  <c r="D126" i="5"/>
  <c r="D101" i="5"/>
  <c r="D122" i="5"/>
  <c r="D111" i="5"/>
  <c r="D88" i="5"/>
  <c r="D119" i="5"/>
  <c r="D51" i="5"/>
  <c r="D27" i="5"/>
  <c r="D97" i="5"/>
  <c r="N228" i="12"/>
  <c r="N246" i="12"/>
  <c r="N99" i="12"/>
  <c r="N176" i="12"/>
  <c r="N148" i="12"/>
  <c r="N376" i="12"/>
  <c r="N141" i="12"/>
  <c r="N362" i="12"/>
  <c r="N373" i="12"/>
  <c r="N274" i="12"/>
  <c r="N367" i="12"/>
  <c r="N306" i="12"/>
  <c r="N132" i="12"/>
  <c r="N337" i="12"/>
  <c r="N270" i="12"/>
  <c r="N102" i="12"/>
  <c r="N296" i="12"/>
  <c r="N356" i="12"/>
  <c r="N357" i="12"/>
  <c r="N386" i="12"/>
  <c r="N121" i="12"/>
  <c r="N359" i="12"/>
  <c r="N242" i="12"/>
  <c r="N82" i="12"/>
  <c r="N192" i="12"/>
  <c r="N291" i="12"/>
  <c r="N186" i="12"/>
  <c r="N368" i="12"/>
  <c r="N134" i="12"/>
  <c r="N164" i="12"/>
  <c r="N340" i="12"/>
  <c r="N125" i="12"/>
  <c r="N401" i="12"/>
  <c r="N129" i="12"/>
  <c r="N290" i="12"/>
  <c r="N244" i="12"/>
  <c r="N349" i="12"/>
  <c r="N381" i="12"/>
  <c r="N234" i="12"/>
  <c r="N168" i="12"/>
  <c r="N348" i="12"/>
  <c r="N91" i="12"/>
  <c r="N391" i="12"/>
  <c r="N382" i="12"/>
  <c r="N298" i="12"/>
  <c r="N266" i="12"/>
  <c r="N85" i="12"/>
  <c r="N233" i="12"/>
  <c r="N119" i="12"/>
  <c r="N395" i="12"/>
  <c r="N276" i="12"/>
  <c r="N100" i="12"/>
  <c r="N346" i="12"/>
  <c r="N204" i="12"/>
  <c r="N299" i="12"/>
  <c r="N275" i="12"/>
  <c r="N206" i="12"/>
  <c r="N312" i="12"/>
  <c r="N355" i="12"/>
  <c r="N237" i="12"/>
  <c r="N194" i="12"/>
  <c r="N263" i="12"/>
  <c r="N399" i="12"/>
  <c r="N138" i="12"/>
  <c r="N255" i="12"/>
  <c r="N283" i="12"/>
  <c r="N259" i="12"/>
  <c r="N243" i="12"/>
  <c r="N197" i="12"/>
  <c r="N344" i="12"/>
  <c r="N309" i="12"/>
  <c r="N219" i="12"/>
  <c r="N339" i="12"/>
  <c r="N365" i="12"/>
  <c r="N329" i="12"/>
  <c r="N264" i="12"/>
  <c r="N330" i="12"/>
  <c r="N239" i="12"/>
  <c r="N328" i="12"/>
  <c r="N332" i="12"/>
  <c r="N109" i="12"/>
  <c r="N398" i="12"/>
  <c r="N178" i="12"/>
  <c r="N151" i="12"/>
  <c r="N380" i="12"/>
  <c r="N136" i="12"/>
  <c r="N251" i="12"/>
  <c r="N162" i="12"/>
  <c r="N201" i="12"/>
  <c r="N374" i="12"/>
  <c r="N212" i="12"/>
  <c r="N161" i="12"/>
  <c r="N145" i="12"/>
  <c r="N96" i="12"/>
  <c r="N372" i="12"/>
  <c r="N135" i="12"/>
  <c r="N284" i="12"/>
  <c r="N220" i="12"/>
  <c r="N273" i="12"/>
  <c r="N295" i="12"/>
  <c r="N149" i="12"/>
  <c r="N297" i="12"/>
  <c r="N225" i="12"/>
  <c r="N236" i="12"/>
  <c r="N181" i="12"/>
  <c r="N227" i="12"/>
  <c r="N205" i="12"/>
  <c r="N114" i="12"/>
  <c r="N385" i="12"/>
  <c r="N113" i="12"/>
  <c r="N361" i="12"/>
  <c r="N139" i="12"/>
  <c r="N88" i="12"/>
  <c r="N319" i="12"/>
  <c r="N163" i="12"/>
  <c r="N101" i="12"/>
  <c r="N116" i="12"/>
  <c r="N169" i="12"/>
  <c r="N323" i="12"/>
  <c r="N198" i="12"/>
  <c r="N303" i="12"/>
  <c r="N92" i="12"/>
  <c r="N190" i="12"/>
  <c r="N155" i="12"/>
  <c r="N324" i="12"/>
  <c r="N390" i="12"/>
  <c r="N196" i="12"/>
  <c r="N281" i="12"/>
  <c r="N115" i="12"/>
  <c r="N175" i="12"/>
  <c r="N261" i="12"/>
  <c r="N377" i="12"/>
  <c r="N188" i="12"/>
  <c r="N126" i="12"/>
  <c r="N159" i="12"/>
  <c r="N351" i="12"/>
  <c r="N167" i="12"/>
  <c r="N137" i="12"/>
  <c r="N308" i="12"/>
  <c r="N156" i="12"/>
  <c r="N370" i="12"/>
  <c r="N166" i="12"/>
  <c r="N152" i="12"/>
  <c r="N249" i="12"/>
  <c r="N187" i="12"/>
  <c r="N90" i="12"/>
  <c r="N318" i="12"/>
  <c r="N316" i="12"/>
  <c r="N289" i="12"/>
  <c r="N301" i="12"/>
  <c r="N86" i="12"/>
  <c r="N394" i="12"/>
  <c r="N105" i="12"/>
  <c r="N302" i="12"/>
  <c r="N327" i="12"/>
  <c r="N400" i="12"/>
  <c r="N282" i="12"/>
  <c r="N177" i="12"/>
  <c r="N147" i="12"/>
  <c r="N335" i="12"/>
  <c r="N215" i="12"/>
  <c r="N117" i="12"/>
  <c r="N375" i="12"/>
  <c r="N180" i="12"/>
  <c r="N322" i="12"/>
  <c r="N214" i="12"/>
  <c r="N271" i="12"/>
  <c r="N93" i="12"/>
  <c r="N216" i="12"/>
  <c r="N369" i="12"/>
  <c r="N94" i="12"/>
  <c r="N311" i="12"/>
  <c r="N182" i="12"/>
  <c r="N321" i="12"/>
  <c r="N366" i="12"/>
  <c r="N326" i="12"/>
  <c r="N363" i="12"/>
  <c r="N104" i="12"/>
  <c r="N120" i="12"/>
  <c r="N317" i="12"/>
  <c r="N248" i="12"/>
  <c r="N97" i="12"/>
  <c r="N213" i="12"/>
  <c r="N221" i="12"/>
  <c r="N384" i="12"/>
  <c r="N269" i="12"/>
  <c r="N265" i="12"/>
  <c r="N304" i="12"/>
  <c r="N179" i="12"/>
  <c r="N345" i="12"/>
  <c r="N170" i="12"/>
  <c r="N127" i="12"/>
  <c r="N153" i="12"/>
  <c r="N277" i="12"/>
  <c r="N222" i="12"/>
  <c r="N250" i="12"/>
  <c r="N352" i="12"/>
  <c r="N235" i="12"/>
  <c r="N173" i="12"/>
  <c r="N285" i="12"/>
  <c r="N240" i="12"/>
  <c r="N254" i="12"/>
  <c r="N98" i="12"/>
  <c r="N354" i="12"/>
  <c r="N140" i="12"/>
  <c r="N320" i="12"/>
  <c r="N333" i="12"/>
  <c r="N218" i="12"/>
  <c r="N217" i="12"/>
  <c r="N223" i="12"/>
  <c r="N379" i="12"/>
  <c r="N184" i="12"/>
  <c r="N81" i="12"/>
  <c r="N371" i="12"/>
  <c r="N110" i="12"/>
  <c r="N165" i="12"/>
  <c r="N292" i="12"/>
  <c r="N108" i="12"/>
  <c r="N185" i="12"/>
  <c r="N229" i="12"/>
  <c r="N208" i="12"/>
  <c r="N200" i="12"/>
  <c r="N87" i="12"/>
  <c r="N191" i="12"/>
  <c r="N143" i="12"/>
  <c r="N131" i="12"/>
  <c r="N202" i="12"/>
  <c r="N193" i="12"/>
  <c r="N89" i="12"/>
  <c r="N133" i="12"/>
  <c r="N341" i="12"/>
  <c r="N224" i="12"/>
  <c r="N268" i="12"/>
  <c r="N107" i="12"/>
  <c r="N238" i="12"/>
  <c r="N231" i="12"/>
  <c r="N83" i="12"/>
  <c r="N272" i="12"/>
  <c r="N157" i="12"/>
  <c r="N209" i="12"/>
  <c r="N287" i="12"/>
  <c r="N80" i="12"/>
  <c r="N350" i="12"/>
  <c r="N388" i="12"/>
  <c r="N154" i="12"/>
  <c r="N305" i="12"/>
  <c r="N241" i="12"/>
  <c r="N300" i="12"/>
  <c r="N342" i="12"/>
  <c r="N393" i="12"/>
  <c r="N112" i="12"/>
  <c r="N160" i="12"/>
  <c r="N256" i="12"/>
  <c r="N142" i="12"/>
  <c r="N103" i="12"/>
  <c r="N389" i="12"/>
  <c r="N331" i="12"/>
  <c r="N294" i="12"/>
  <c r="N257" i="12"/>
  <c r="N258" i="12"/>
  <c r="N171" i="12"/>
  <c r="N293" i="12"/>
  <c r="N211" i="12"/>
  <c r="N245" i="12"/>
  <c r="N353" i="12"/>
  <c r="N279" i="12"/>
  <c r="N387" i="12"/>
  <c r="N286" i="12"/>
  <c r="N310" i="12"/>
  <c r="N130" i="12"/>
  <c r="N343" i="12"/>
  <c r="N203" i="12"/>
  <c r="N111" i="12"/>
  <c r="N232" i="12"/>
  <c r="N358" i="12"/>
  <c r="N325" i="12"/>
  <c r="N123" i="12"/>
  <c r="N199" i="12"/>
  <c r="N247" i="12"/>
  <c r="N334" i="12"/>
  <c r="N144" i="12"/>
  <c r="N338" i="12"/>
  <c r="N226" i="12"/>
  <c r="N392" i="12"/>
  <c r="N195" i="12"/>
  <c r="N315" i="12"/>
  <c r="N397" i="12"/>
  <c r="N106" i="12"/>
  <c r="N364" i="12"/>
  <c r="N307" i="12"/>
  <c r="N158" i="12"/>
  <c r="N313" i="12"/>
  <c r="N288" i="12"/>
  <c r="N174" i="12"/>
  <c r="N253" i="12"/>
  <c r="N260" i="12"/>
  <c r="N78" i="12"/>
  <c r="N252" i="12"/>
  <c r="N396" i="12"/>
  <c r="N280" i="12"/>
  <c r="N95" i="12"/>
  <c r="N79" i="12"/>
  <c r="N207" i="12"/>
  <c r="N189" i="12"/>
  <c r="N262" i="12"/>
  <c r="N360" i="12"/>
  <c r="N84" i="12"/>
  <c r="N278" i="12"/>
  <c r="N124" i="12"/>
  <c r="N378" i="12"/>
  <c r="N314" i="12"/>
  <c r="N118" i="12"/>
  <c r="N150" i="12"/>
  <c r="N336" i="12"/>
  <c r="N122" i="12"/>
  <c r="N230" i="12"/>
  <c r="N128" i="12"/>
  <c r="N210" i="12"/>
  <c r="N172" i="12"/>
  <c r="N146" i="12"/>
  <c r="N267" i="12"/>
  <c r="N183" i="12"/>
  <c r="I46" i="5"/>
  <c r="F91" i="5"/>
  <c r="E56" i="5"/>
  <c r="H50" i="5"/>
  <c r="G106" i="5"/>
  <c r="I76" i="5"/>
  <c r="E30" i="5"/>
  <c r="I82" i="5"/>
  <c r="I51" i="5"/>
  <c r="G61" i="5"/>
  <c r="I105" i="5"/>
  <c r="E62" i="5"/>
  <c r="H110" i="5"/>
  <c r="H60" i="5"/>
  <c r="I90" i="5"/>
  <c r="G62" i="5"/>
  <c r="G109" i="5"/>
  <c r="G77" i="5"/>
  <c r="H114" i="5"/>
  <c r="H101" i="5"/>
  <c r="I42" i="5"/>
  <c r="F110" i="5"/>
  <c r="H9" i="5"/>
  <c r="F59" i="5"/>
  <c r="I5" i="5"/>
  <c r="E13" i="5"/>
  <c r="G93" i="5"/>
  <c r="G16" i="5"/>
  <c r="F12" i="5"/>
  <c r="E14" i="5"/>
  <c r="I2" i="5"/>
  <c r="G83" i="5"/>
  <c r="H52" i="5"/>
  <c r="I112" i="5"/>
  <c r="H86" i="5"/>
  <c r="E73" i="5"/>
  <c r="H83" i="5"/>
  <c r="G21" i="5"/>
  <c r="G76" i="5"/>
  <c r="G99" i="5"/>
  <c r="E34" i="5"/>
  <c r="H28" i="5"/>
  <c r="F90" i="5"/>
  <c r="G66" i="5"/>
  <c r="F15" i="5"/>
  <c r="G67" i="5"/>
  <c r="F94" i="5"/>
  <c r="I25" i="5"/>
  <c r="H17" i="5"/>
  <c r="H91" i="5"/>
  <c r="E23" i="5"/>
  <c r="E64" i="5"/>
  <c r="G54" i="5"/>
  <c r="H34" i="5"/>
  <c r="G27" i="5"/>
  <c r="G2" i="5"/>
  <c r="F106" i="5"/>
  <c r="F97" i="5"/>
  <c r="H35" i="5"/>
  <c r="E52" i="5"/>
  <c r="F56" i="5"/>
  <c r="H19" i="5"/>
  <c r="E74" i="5"/>
  <c r="F60" i="5"/>
  <c r="E93" i="5"/>
  <c r="F42" i="5"/>
  <c r="E68" i="5"/>
  <c r="H97" i="5"/>
  <c r="F38" i="5"/>
  <c r="H109" i="5"/>
  <c r="F2" i="5"/>
  <c r="I12" i="5"/>
  <c r="I98" i="5"/>
  <c r="I67" i="5"/>
  <c r="I24" i="5"/>
  <c r="I27" i="5"/>
  <c r="H78" i="5"/>
  <c r="F122" i="5"/>
  <c r="G65" i="5"/>
  <c r="G15" i="5"/>
  <c r="H55" i="5"/>
  <c r="G51" i="5"/>
  <c r="F88" i="5"/>
  <c r="E9" i="5"/>
  <c r="F47" i="5"/>
  <c r="I94" i="5"/>
  <c r="G28" i="5"/>
  <c r="H70" i="5"/>
  <c r="F17" i="5"/>
  <c r="I116" i="5"/>
  <c r="F119" i="5"/>
  <c r="H77" i="5"/>
  <c r="E82" i="5"/>
  <c r="F24" i="5"/>
  <c r="H102" i="5"/>
  <c r="H18" i="5"/>
  <c r="E42" i="5"/>
  <c r="H27" i="5"/>
  <c r="G48" i="5"/>
  <c r="E28" i="5"/>
  <c r="H90" i="5"/>
  <c r="H105" i="5"/>
  <c r="F8" i="5"/>
  <c r="F82" i="5"/>
  <c r="E116" i="5"/>
  <c r="F41" i="5"/>
  <c r="F36" i="5"/>
  <c r="E99" i="5"/>
  <c r="E41" i="5"/>
  <c r="G52" i="5"/>
  <c r="G71" i="5"/>
  <c r="I16" i="5"/>
  <c r="I113" i="5"/>
  <c r="H8" i="5"/>
  <c r="H58" i="5"/>
  <c r="F84" i="5"/>
  <c r="E89" i="5"/>
  <c r="G7" i="5"/>
  <c r="H6" i="5"/>
  <c r="F7" i="5"/>
  <c r="G22" i="5"/>
  <c r="F114" i="5"/>
  <c r="E16" i="5"/>
  <c r="G58" i="5"/>
  <c r="I87" i="5"/>
  <c r="I117" i="5"/>
  <c r="I57" i="5"/>
  <c r="F25" i="5"/>
  <c r="I111" i="5"/>
  <c r="F74" i="5"/>
  <c r="G3" i="5"/>
  <c r="I66" i="5"/>
  <c r="G78" i="5"/>
  <c r="H68" i="5"/>
  <c r="G116" i="5"/>
  <c r="E85" i="5"/>
  <c r="H36" i="5"/>
  <c r="H66" i="5"/>
  <c r="G33" i="5"/>
  <c r="G42" i="5"/>
  <c r="E36" i="5"/>
  <c r="H120" i="5"/>
  <c r="G70" i="5"/>
  <c r="H3" i="5"/>
  <c r="E71" i="5"/>
  <c r="G120" i="5"/>
  <c r="E51" i="5"/>
  <c r="H11" i="5"/>
  <c r="E106" i="5"/>
  <c r="G111" i="5"/>
  <c r="H79" i="5"/>
  <c r="I78" i="5"/>
  <c r="H56" i="5"/>
  <c r="I21" i="5"/>
  <c r="H87" i="5"/>
  <c r="F51" i="5"/>
  <c r="F62" i="5"/>
  <c r="E33" i="5"/>
  <c r="I45" i="5"/>
  <c r="E81" i="5"/>
  <c r="F121" i="5"/>
  <c r="G53" i="5"/>
  <c r="I44" i="5"/>
  <c r="E53" i="5"/>
  <c r="G75" i="5"/>
  <c r="E29" i="5"/>
  <c r="H85" i="5"/>
  <c r="H98" i="5"/>
  <c r="G23" i="5"/>
  <c r="H69" i="5"/>
  <c r="I13" i="5"/>
  <c r="F30" i="5"/>
  <c r="G97" i="5"/>
  <c r="I63" i="5"/>
  <c r="G29" i="5"/>
  <c r="I108" i="5"/>
  <c r="I8" i="5"/>
  <c r="H39" i="5"/>
  <c r="H112" i="5"/>
  <c r="G96" i="5"/>
  <c r="E111" i="5"/>
  <c r="F53" i="5"/>
  <c r="E44" i="5"/>
  <c r="E125" i="5"/>
  <c r="I89" i="5"/>
  <c r="F113" i="5"/>
  <c r="F37" i="5"/>
  <c r="E65" i="5"/>
  <c r="I120" i="5"/>
  <c r="H123" i="5"/>
  <c r="I39" i="5"/>
  <c r="G13" i="5"/>
  <c r="I79" i="5"/>
  <c r="H94" i="5"/>
  <c r="F11" i="5"/>
  <c r="H118" i="5"/>
  <c r="F54" i="5"/>
  <c r="H124" i="5"/>
  <c r="I58" i="5"/>
  <c r="F33" i="5"/>
  <c r="C16" i="15"/>
  <c r="G122" i="5"/>
  <c r="I103" i="5"/>
  <c r="H126" i="5"/>
  <c r="I17" i="5"/>
  <c r="E123" i="5"/>
  <c r="E12" i="5"/>
  <c r="H71" i="5"/>
  <c r="I86" i="5"/>
  <c r="F21" i="5"/>
  <c r="F48" i="5"/>
  <c r="F70" i="5"/>
  <c r="I93" i="5"/>
  <c r="H10" i="5"/>
  <c r="H88" i="5"/>
  <c r="G14" i="5"/>
  <c r="H82" i="5"/>
  <c r="G82" i="5"/>
  <c r="E6" i="5"/>
  <c r="G18" i="5"/>
  <c r="G92" i="5"/>
  <c r="F72" i="5"/>
  <c r="I68" i="5"/>
  <c r="F96" i="5"/>
  <c r="G81" i="5"/>
  <c r="I122" i="5"/>
  <c r="E37" i="5"/>
  <c r="H76" i="5"/>
  <c r="F99" i="5"/>
  <c r="F10" i="5"/>
  <c r="G85" i="5"/>
  <c r="E21" i="5"/>
  <c r="G117" i="5"/>
  <c r="H65" i="5"/>
  <c r="G86" i="5"/>
  <c r="F87" i="5"/>
  <c r="G126" i="5"/>
  <c r="H49" i="5"/>
  <c r="E49" i="5"/>
  <c r="I9" i="5"/>
  <c r="I84" i="5"/>
  <c r="H38" i="5"/>
  <c r="H2" i="5"/>
  <c r="I70" i="5"/>
  <c r="I54" i="5"/>
  <c r="I43" i="5"/>
  <c r="I99" i="5"/>
  <c r="F103" i="5"/>
  <c r="E95" i="5"/>
  <c r="I107" i="5"/>
  <c r="I10" i="5"/>
  <c r="AA23" i="12"/>
  <c r="H121" i="5"/>
  <c r="F46" i="5"/>
  <c r="I22" i="5"/>
  <c r="H26" i="5"/>
  <c r="F19" i="5"/>
  <c r="I69" i="5"/>
  <c r="H116" i="5"/>
  <c r="G64" i="5"/>
  <c r="G45" i="5"/>
  <c r="E66" i="5"/>
  <c r="F9" i="5"/>
  <c r="I20" i="5"/>
  <c r="I100" i="5"/>
  <c r="G110" i="5"/>
  <c r="G20" i="5"/>
  <c r="E18" i="5"/>
  <c r="E35" i="5"/>
  <c r="I40" i="5"/>
  <c r="M39" i="12" a="1"/>
  <c r="F27" i="5"/>
  <c r="I71" i="5"/>
  <c r="I35" i="5"/>
  <c r="H37" i="5"/>
  <c r="I114" i="5"/>
  <c r="E76" i="5"/>
  <c r="H122" i="5"/>
  <c r="I19" i="5"/>
  <c r="F35" i="5"/>
  <c r="F23" i="5"/>
  <c r="E54" i="5"/>
  <c r="E26" i="5"/>
  <c r="H113" i="5"/>
  <c r="E59" i="5"/>
  <c r="H106" i="5"/>
  <c r="F75" i="5"/>
  <c r="G10" i="5"/>
  <c r="F85" i="5"/>
  <c r="G113" i="5"/>
  <c r="H104" i="5"/>
  <c r="G91" i="5"/>
  <c r="E25" i="5"/>
  <c r="F13" i="5"/>
  <c r="I55" i="5"/>
  <c r="F101" i="5"/>
  <c r="I80" i="5"/>
  <c r="E112" i="5"/>
  <c r="I48" i="5"/>
  <c r="H47" i="5"/>
  <c r="F14" i="5"/>
  <c r="G73" i="5"/>
  <c r="E77" i="5"/>
  <c r="G59" i="5"/>
  <c r="G125" i="5"/>
  <c r="F123" i="5"/>
  <c r="E38" i="5"/>
  <c r="H14" i="5"/>
  <c r="H42" i="5"/>
  <c r="H54" i="5"/>
  <c r="H51" i="5"/>
  <c r="G9" i="5"/>
  <c r="E60" i="5"/>
  <c r="H21" i="5"/>
  <c r="F73" i="5"/>
  <c r="I121" i="5"/>
  <c r="I33" i="5"/>
  <c r="I109" i="5"/>
  <c r="F126" i="5"/>
  <c r="F92" i="5"/>
  <c r="I7" i="5"/>
  <c r="F68" i="5"/>
  <c r="E3" i="5"/>
  <c r="G123" i="5"/>
  <c r="F98" i="5"/>
  <c r="G24" i="5"/>
  <c r="E55" i="5"/>
  <c r="E114" i="5"/>
  <c r="I62" i="5"/>
  <c r="F93" i="5"/>
  <c r="E90" i="5"/>
  <c r="G98" i="5"/>
  <c r="H64" i="5"/>
  <c r="I36" i="5"/>
  <c r="H48" i="5"/>
  <c r="G47" i="5"/>
  <c r="G115" i="5"/>
  <c r="E2" i="5"/>
  <c r="F89" i="5"/>
  <c r="G80" i="5"/>
  <c r="G57" i="5"/>
  <c r="E120" i="5"/>
  <c r="H84" i="5"/>
  <c r="I11" i="5"/>
  <c r="E124" i="5"/>
  <c r="E119" i="5"/>
  <c r="E88" i="5"/>
  <c r="F107" i="5"/>
  <c r="G17" i="5"/>
  <c r="H22" i="5"/>
  <c r="G118" i="5"/>
  <c r="F77" i="5"/>
  <c r="E108" i="5"/>
  <c r="G30" i="5"/>
  <c r="F76" i="5"/>
  <c r="G79" i="5"/>
  <c r="G4" i="5"/>
  <c r="I75" i="5"/>
  <c r="G55" i="5"/>
  <c r="G63" i="5"/>
  <c r="E87" i="5"/>
  <c r="H23" i="5"/>
  <c r="F22" i="5"/>
  <c r="H45" i="5"/>
  <c r="F80" i="5"/>
  <c r="G72" i="5"/>
  <c r="F26" i="5"/>
  <c r="F3" i="5"/>
  <c r="I4" i="5"/>
  <c r="F108" i="5"/>
  <c r="F50" i="5"/>
  <c r="G19" i="5"/>
  <c r="H59" i="5"/>
  <c r="E113" i="5"/>
  <c r="H29" i="5"/>
  <c r="G37" i="5"/>
  <c r="E121" i="5"/>
  <c r="I59" i="5"/>
  <c r="G40" i="5"/>
  <c r="F83" i="5"/>
  <c r="I23" i="5"/>
  <c r="E39" i="5"/>
  <c r="F28" i="5"/>
  <c r="I102" i="5"/>
  <c r="E83" i="5"/>
  <c r="F52" i="5"/>
  <c r="H99" i="5"/>
  <c r="E61" i="5"/>
  <c r="F104" i="5"/>
  <c r="H44" i="5"/>
  <c r="F86" i="5"/>
  <c r="H25" i="5"/>
  <c r="G60" i="5"/>
  <c r="F81" i="5"/>
  <c r="H107" i="5"/>
  <c r="H62" i="5"/>
  <c r="E96" i="5"/>
  <c r="E17" i="5"/>
  <c r="I49" i="5"/>
  <c r="N383" i="12"/>
  <c r="E10" i="5"/>
  <c r="G107" i="5"/>
  <c r="H57" i="5"/>
  <c r="E105" i="5"/>
  <c r="F16" i="5"/>
  <c r="G100" i="5"/>
  <c r="I37" i="5"/>
  <c r="H61" i="5"/>
  <c r="F57" i="5"/>
  <c r="I74" i="5"/>
  <c r="H24" i="5"/>
  <c r="G41" i="5"/>
  <c r="F31" i="5"/>
  <c r="E31" i="5"/>
  <c r="F105" i="5"/>
  <c r="I72" i="5"/>
  <c r="I110" i="5"/>
  <c r="I106" i="5"/>
  <c r="E91" i="5"/>
  <c r="G39" i="5"/>
  <c r="I15" i="5"/>
  <c r="E45" i="5"/>
  <c r="G36" i="5"/>
  <c r="H15" i="5"/>
  <c r="G114" i="5"/>
  <c r="F39" i="5"/>
  <c r="I60" i="5"/>
  <c r="G46" i="5"/>
  <c r="G5" i="5"/>
  <c r="H125" i="5"/>
  <c r="H115" i="5"/>
  <c r="I32" i="5"/>
  <c r="F116" i="5"/>
  <c r="I123" i="5"/>
  <c r="E118" i="5"/>
  <c r="G94" i="5"/>
  <c r="G87" i="5"/>
  <c r="H16" i="5"/>
  <c r="I126" i="5"/>
  <c r="I81" i="5"/>
  <c r="F64" i="5"/>
  <c r="M19" i="12" a="1"/>
  <c r="H33" i="5"/>
  <c r="H12" i="5"/>
  <c r="E32" i="5"/>
  <c r="H31" i="5"/>
  <c r="F32" i="5"/>
  <c r="E43" i="5"/>
  <c r="I64" i="5"/>
  <c r="H92" i="5"/>
  <c r="E24" i="5"/>
  <c r="F29" i="5"/>
  <c r="E57" i="5"/>
  <c r="H5" i="5"/>
  <c r="E126" i="5"/>
  <c r="H103" i="5"/>
  <c r="G74" i="5"/>
  <c r="H93" i="5"/>
  <c r="I3" i="5"/>
  <c r="E69" i="5"/>
  <c r="F34" i="5"/>
  <c r="F43" i="5"/>
  <c r="E22" i="5"/>
  <c r="I124" i="5"/>
  <c r="H119" i="5"/>
  <c r="E86" i="5"/>
  <c r="I119" i="5"/>
  <c r="E11" i="5"/>
  <c r="I88" i="5"/>
  <c r="E84" i="5"/>
  <c r="H74" i="5"/>
  <c r="H20" i="5"/>
  <c r="E78" i="5"/>
  <c r="F18" i="5"/>
  <c r="F79" i="5"/>
  <c r="F71" i="5"/>
  <c r="G56" i="5"/>
  <c r="E63" i="5"/>
  <c r="G104" i="5"/>
  <c r="I18" i="5"/>
  <c r="I96" i="5"/>
  <c r="I38" i="5"/>
  <c r="H80" i="5"/>
  <c r="G101" i="5"/>
  <c r="E72" i="5"/>
  <c r="H43" i="5"/>
  <c r="E67" i="5"/>
  <c r="H40" i="5"/>
  <c r="G26" i="5"/>
  <c r="H7" i="5"/>
  <c r="E92" i="5"/>
  <c r="E7" i="5"/>
  <c r="I73" i="5"/>
  <c r="I30" i="5"/>
  <c r="I125" i="5"/>
  <c r="E109" i="5"/>
  <c r="H100" i="5"/>
  <c r="E80" i="5"/>
  <c r="I31" i="5"/>
  <c r="I101" i="5"/>
  <c r="H89" i="5"/>
  <c r="G102" i="5"/>
  <c r="E98" i="5"/>
  <c r="I28" i="5"/>
  <c r="I61" i="5"/>
  <c r="I95" i="5"/>
  <c r="F78" i="5"/>
  <c r="F112" i="5"/>
  <c r="I104" i="5"/>
  <c r="I97" i="5"/>
  <c r="F95" i="5"/>
  <c r="G90" i="5"/>
  <c r="H63" i="5"/>
  <c r="F124" i="5"/>
  <c r="G34" i="5"/>
  <c r="E70" i="5"/>
  <c r="I56" i="5"/>
  <c r="G69" i="5"/>
  <c r="F67" i="5"/>
  <c r="E5" i="5"/>
  <c r="H41" i="5"/>
  <c r="G11" i="5"/>
  <c r="I41" i="5"/>
  <c r="E50" i="5"/>
  <c r="I77" i="5"/>
  <c r="I47" i="5"/>
  <c r="I83" i="5"/>
  <c r="I85" i="5"/>
  <c r="I6" i="5"/>
  <c r="F20" i="5"/>
  <c r="E15" i="5"/>
  <c r="F5" i="5"/>
  <c r="H67" i="5"/>
  <c r="E46" i="5"/>
  <c r="G6" i="5"/>
  <c r="E19" i="5"/>
  <c r="F120" i="5"/>
  <c r="F115" i="5"/>
  <c r="E94" i="5"/>
  <c r="F111" i="5"/>
  <c r="H30" i="5"/>
  <c r="H46" i="5"/>
  <c r="E47" i="5"/>
  <c r="H96" i="5"/>
  <c r="G68" i="5"/>
  <c r="F66" i="5"/>
  <c r="G43" i="5"/>
  <c r="I29" i="5"/>
  <c r="H13" i="5"/>
  <c r="E27" i="5"/>
  <c r="F63" i="5"/>
  <c r="E4" i="5"/>
  <c r="E20" i="5"/>
  <c r="F49" i="5"/>
  <c r="N347" i="12"/>
  <c r="I26" i="5"/>
  <c r="F117" i="5"/>
  <c r="G95" i="5"/>
  <c r="E102" i="5"/>
  <c r="E103" i="5"/>
  <c r="E75" i="5"/>
  <c r="F125" i="5"/>
  <c r="G112" i="5"/>
  <c r="F45" i="5"/>
  <c r="H32" i="5"/>
  <c r="F40" i="5"/>
  <c r="F55" i="5"/>
  <c r="G121" i="5"/>
  <c r="F100" i="5"/>
  <c r="H111" i="5"/>
  <c r="G8" i="5"/>
  <c r="G108" i="5"/>
  <c r="G25" i="5"/>
  <c r="E40" i="5"/>
  <c r="F118" i="5"/>
  <c r="H117" i="5"/>
  <c r="I65" i="5"/>
  <c r="E110" i="5"/>
  <c r="H53" i="5"/>
  <c r="E79" i="5"/>
  <c r="G119" i="5"/>
  <c r="G44" i="5"/>
  <c r="F4" i="5"/>
  <c r="H72" i="5"/>
  <c r="H108" i="5"/>
  <c r="H4" i="5"/>
  <c r="H81" i="5"/>
  <c r="H75" i="5"/>
  <c r="E48" i="5"/>
  <c r="AA22" i="12"/>
  <c r="I52" i="5"/>
  <c r="G50" i="5"/>
  <c r="I14" i="5"/>
  <c r="G105" i="5"/>
  <c r="F102" i="5"/>
  <c r="G49" i="5"/>
  <c r="G12" i="5"/>
  <c r="I115" i="5"/>
  <c r="E122" i="5"/>
  <c r="F109" i="5"/>
  <c r="E107" i="5"/>
  <c r="F58" i="5"/>
  <c r="E101" i="5"/>
  <c r="I91" i="5"/>
  <c r="H95" i="5"/>
  <c r="G38" i="5"/>
  <c r="E97" i="5"/>
  <c r="E58" i="5"/>
  <c r="G35" i="5"/>
  <c r="G89" i="5"/>
  <c r="F69" i="5"/>
  <c r="G124" i="5"/>
  <c r="G32" i="5"/>
  <c r="E100" i="5"/>
  <c r="E115" i="5"/>
  <c r="E117" i="5"/>
  <c r="F65" i="5"/>
  <c r="F6" i="5"/>
  <c r="I92" i="5"/>
  <c r="G88" i="5"/>
  <c r="G84" i="5"/>
  <c r="I50" i="5"/>
  <c r="I118" i="5"/>
  <c r="E8" i="5"/>
  <c r="H73" i="5"/>
  <c r="G31" i="5"/>
  <c r="F61" i="5"/>
  <c r="I53" i="5"/>
  <c r="I34" i="5"/>
  <c r="G103" i="5"/>
  <c r="F44" i="5"/>
  <c r="E104" i="5"/>
  <c r="Z24" i="12"/>
  <c r="AA24" i="12" s="1"/>
  <c r="Q183" i="12" l="1"/>
  <c r="Q267" i="12"/>
  <c r="Q146" i="12"/>
  <c r="Q172" i="12"/>
  <c r="Q210" i="12"/>
  <c r="Q128" i="12"/>
  <c r="Q230" i="12"/>
  <c r="Q122" i="12"/>
  <c r="Q336" i="12"/>
  <c r="Q150" i="12"/>
  <c r="Q118" i="12"/>
  <c r="Q314" i="12"/>
  <c r="Q378" i="12"/>
  <c r="Q124" i="12"/>
  <c r="Q278" i="12"/>
  <c r="Q84" i="12"/>
  <c r="Q360" i="12"/>
  <c r="Q262" i="12"/>
  <c r="Q189" i="12"/>
  <c r="Q207" i="12"/>
  <c r="Q79" i="12"/>
  <c r="Q95" i="12"/>
  <c r="Q280" i="12"/>
  <c r="Q396" i="12"/>
  <c r="Q252" i="12"/>
  <c r="Q78" i="12"/>
  <c r="Q260" i="12"/>
  <c r="Q253" i="12"/>
  <c r="Q174" i="12"/>
  <c r="Q288" i="12"/>
  <c r="Q313" i="12"/>
  <c r="Q158" i="12"/>
  <c r="Q307" i="12"/>
  <c r="Q364" i="12"/>
  <c r="Q106" i="12"/>
  <c r="Q397" i="12"/>
  <c r="Q315" i="12"/>
  <c r="Q195" i="12"/>
  <c r="Q392" i="12"/>
  <c r="Q226" i="12"/>
  <c r="Q338" i="12"/>
  <c r="Q144" i="12"/>
  <c r="Q334" i="12"/>
  <c r="Q247" i="12"/>
  <c r="Q199" i="12"/>
  <c r="Q123" i="12"/>
  <c r="Q325" i="12"/>
  <c r="Q358" i="12"/>
  <c r="Q232" i="12"/>
  <c r="Q111" i="12"/>
  <c r="Q203" i="12"/>
  <c r="Q343" i="12"/>
  <c r="Q130" i="12"/>
  <c r="Q310" i="12"/>
  <c r="Q286" i="12"/>
  <c r="Q387" i="12"/>
  <c r="Q279" i="12"/>
  <c r="Q383" i="12"/>
  <c r="Q353" i="12"/>
  <c r="Q245" i="12"/>
  <c r="Q211" i="12"/>
  <c r="Q293" i="12"/>
  <c r="Q171" i="12"/>
  <c r="Q258" i="12"/>
  <c r="Q257" i="12"/>
  <c r="Q294" i="12"/>
  <c r="Q331" i="12"/>
  <c r="Q389" i="12"/>
  <c r="Q103" i="12"/>
  <c r="Q142" i="12"/>
  <c r="Q256" i="12"/>
  <c r="Q160" i="12"/>
  <c r="Q112" i="12"/>
  <c r="Q393" i="12"/>
  <c r="Q342" i="12"/>
  <c r="Q300" i="12"/>
  <c r="Q241" i="12"/>
  <c r="Q305" i="12"/>
  <c r="Q154" i="12"/>
  <c r="Q388" i="12"/>
  <c r="Q350" i="12"/>
  <c r="Q80" i="12"/>
  <c r="Q287" i="12"/>
  <c r="Q209" i="12"/>
  <c r="Q157" i="12"/>
  <c r="Q272" i="12"/>
  <c r="Q83" i="12"/>
  <c r="Q231" i="12"/>
  <c r="Q238" i="12"/>
  <c r="Q107" i="12"/>
  <c r="Q268" i="12"/>
  <c r="Q224" i="12"/>
  <c r="Q341" i="12"/>
  <c r="Q133" i="12"/>
  <c r="Q89" i="12"/>
  <c r="Q193" i="12"/>
  <c r="Q202" i="12"/>
  <c r="Q131" i="12"/>
  <c r="Q143" i="12"/>
  <c r="Q191" i="12"/>
  <c r="Q87" i="12"/>
  <c r="Q200" i="12"/>
  <c r="Q208" i="12"/>
  <c r="Q229" i="12"/>
  <c r="Q185" i="12"/>
  <c r="Q108" i="12"/>
  <c r="Q292" i="12"/>
  <c r="Q165" i="12"/>
  <c r="Q110" i="12"/>
  <c r="Q347" i="12"/>
  <c r="Q371" i="12"/>
  <c r="Q81" i="12"/>
  <c r="Q184" i="12"/>
  <c r="Q379" i="12"/>
  <c r="Q223" i="12"/>
  <c r="Q217" i="12"/>
  <c r="Q218" i="12"/>
  <c r="Q333" i="12"/>
  <c r="Q320" i="12"/>
  <c r="Q140" i="12"/>
  <c r="Q354" i="12"/>
  <c r="Q98" i="12"/>
  <c r="Q254" i="12"/>
  <c r="Q240" i="12"/>
  <c r="Q285" i="12"/>
  <c r="Q173" i="12"/>
  <c r="Q235" i="12"/>
  <c r="Q352" i="12"/>
  <c r="Q250" i="12"/>
  <c r="Q222" i="12"/>
  <c r="Q277" i="12"/>
  <c r="Q153" i="12"/>
  <c r="Q127" i="12"/>
  <c r="Q170" i="12"/>
  <c r="Q345" i="12"/>
  <c r="Q179" i="12"/>
  <c r="Q304" i="12"/>
  <c r="Q265" i="12"/>
  <c r="Q269" i="12"/>
  <c r="Q384" i="12"/>
  <c r="Q221" i="12"/>
  <c r="Q213" i="12"/>
  <c r="Q97" i="12"/>
  <c r="Q248" i="12"/>
  <c r="Q317" i="12"/>
  <c r="Q120" i="12"/>
  <c r="Q104" i="12"/>
  <c r="Q363" i="12"/>
  <c r="Q326" i="12"/>
  <c r="Q366" i="12"/>
  <c r="Q321" i="12"/>
  <c r="Q182" i="12"/>
  <c r="Q311" i="12"/>
  <c r="Q94" i="12"/>
  <c r="Q369" i="12"/>
  <c r="Q216" i="12"/>
  <c r="Q93" i="12"/>
  <c r="Q271" i="12"/>
  <c r="Q214" i="12"/>
  <c r="Q322" i="12"/>
  <c r="Q180" i="12"/>
  <c r="Q375" i="12"/>
  <c r="Q117" i="12"/>
  <c r="Q215" i="12"/>
  <c r="Q335" i="12"/>
  <c r="Q147" i="12"/>
  <c r="Q177" i="12"/>
  <c r="Q282" i="12"/>
  <c r="Q400" i="12"/>
  <c r="Q327" i="12"/>
  <c r="Q302" i="12"/>
  <c r="Q105" i="12"/>
  <c r="Q394" i="12"/>
  <c r="Q86" i="12"/>
  <c r="Q301" i="12"/>
  <c r="Q289" i="12"/>
  <c r="Q316" i="12"/>
  <c r="Q318" i="12"/>
  <c r="Q90" i="12"/>
  <c r="Q187" i="12"/>
  <c r="Q249" i="12"/>
  <c r="Q152" i="12"/>
  <c r="Q166" i="12"/>
  <c r="Q370" i="12"/>
  <c r="Q156" i="12"/>
  <c r="Q308" i="12"/>
  <c r="Q137" i="12"/>
  <c r="Q167" i="12"/>
  <c r="Q351" i="12"/>
  <c r="Q159" i="12"/>
  <c r="Q126" i="12"/>
  <c r="Q188" i="12"/>
  <c r="Q377" i="12"/>
  <c r="Q261" i="12"/>
  <c r="Q175" i="12"/>
  <c r="Q115" i="12"/>
  <c r="Q281" i="12"/>
  <c r="Q196" i="12"/>
  <c r="Q390" i="12"/>
  <c r="Q324" i="12"/>
  <c r="Q155" i="12"/>
  <c r="Q190" i="12"/>
  <c r="Q92" i="12"/>
  <c r="Q303" i="12"/>
  <c r="Q198" i="12"/>
  <c r="Q323" i="12"/>
  <c r="Q169" i="12"/>
  <c r="Q116" i="12"/>
  <c r="Q101" i="12"/>
  <c r="Q163" i="12"/>
  <c r="Q319" i="12"/>
  <c r="Q88" i="12"/>
  <c r="Q139" i="12"/>
  <c r="Q361" i="12"/>
  <c r="Q113" i="12"/>
  <c r="Q385" i="12"/>
  <c r="Q114" i="12"/>
  <c r="Q205" i="12"/>
  <c r="Q227" i="12"/>
  <c r="Q181" i="12"/>
  <c r="Q236" i="12"/>
  <c r="Q225" i="12"/>
  <c r="Q297" i="12"/>
  <c r="Q149" i="12"/>
  <c r="Q295" i="12"/>
  <c r="Q273" i="12"/>
  <c r="Q220" i="12"/>
  <c r="Q284" i="12"/>
  <c r="Q135" i="12"/>
  <c r="Q372" i="12"/>
  <c r="Q96" i="12"/>
  <c r="Q145" i="12"/>
  <c r="Q161" i="12"/>
  <c r="Q212" i="12"/>
  <c r="Q374" i="12"/>
  <c r="Q201" i="12"/>
  <c r="Q162" i="12"/>
  <c r="Q251" i="12"/>
  <c r="Q136" i="12"/>
  <c r="Q380" i="12"/>
  <c r="Q151" i="12"/>
  <c r="Q178" i="12"/>
  <c r="Q398" i="12"/>
  <c r="Q109" i="12"/>
  <c r="Q332" i="12"/>
  <c r="Q328" i="12"/>
  <c r="Q239" i="12"/>
  <c r="Q330" i="12"/>
  <c r="Q264" i="12"/>
  <c r="Q329" i="12"/>
  <c r="Q365" i="12"/>
  <c r="Q339" i="12"/>
  <c r="Q219" i="12"/>
  <c r="Q309" i="12"/>
  <c r="Q344" i="12"/>
  <c r="Q197" i="12"/>
  <c r="Q243" i="12"/>
  <c r="Q259" i="12"/>
  <c r="Q283" i="12"/>
  <c r="Q255" i="12"/>
  <c r="Q138" i="12"/>
  <c r="Q399" i="12"/>
  <c r="Q263" i="12"/>
  <c r="Q194" i="12"/>
  <c r="Q237" i="12"/>
  <c r="Q355" i="12"/>
  <c r="Q312" i="12"/>
  <c r="Q206" i="12"/>
  <c r="Q275" i="12"/>
  <c r="Q299" i="12"/>
  <c r="Q204" i="12"/>
  <c r="Q346" i="12"/>
  <c r="Q100" i="12"/>
  <c r="Q276" i="12"/>
  <c r="Q395" i="12"/>
  <c r="Q119" i="12"/>
  <c r="Q233" i="12"/>
  <c r="Q85" i="12"/>
  <c r="Q266" i="12"/>
  <c r="Q298" i="12"/>
  <c r="Q382" i="12"/>
  <c r="Q391" i="12"/>
  <c r="Q91" i="12"/>
  <c r="Q348" i="12"/>
  <c r="Q168" i="12"/>
  <c r="Q234" i="12"/>
  <c r="Q381" i="12"/>
  <c r="Q349" i="12"/>
  <c r="Q244" i="12"/>
  <c r="Q290" i="12"/>
  <c r="Q129" i="12"/>
  <c r="Q401" i="12"/>
  <c r="Q125" i="12"/>
  <c r="Q340" i="12"/>
  <c r="Q164" i="12"/>
  <c r="Q134" i="12"/>
  <c r="Q368" i="12"/>
  <c r="Q186" i="12"/>
  <c r="Q291" i="12"/>
  <c r="Q192" i="12"/>
  <c r="Q82" i="12"/>
  <c r="Q242" i="12"/>
  <c r="Q359" i="12"/>
  <c r="Q121" i="12"/>
  <c r="Q386" i="12"/>
  <c r="Q357" i="12"/>
  <c r="Q356" i="12"/>
  <c r="Q296" i="12"/>
  <c r="Q102" i="12"/>
  <c r="Q270" i="12"/>
  <c r="Q337" i="12"/>
  <c r="Q132" i="12"/>
  <c r="Q306" i="12"/>
  <c r="Q367" i="12"/>
  <c r="Q274" i="12"/>
  <c r="Q373" i="12"/>
  <c r="Q362" i="12"/>
  <c r="Q141" i="12"/>
  <c r="Q376" i="12"/>
  <c r="Q148" i="12"/>
  <c r="Q176" i="12"/>
  <c r="Q99" i="12"/>
  <c r="Q246" i="12"/>
  <c r="Q228" i="12"/>
  <c r="M59" i="12"/>
  <c r="M46" i="12"/>
  <c r="M23" i="12"/>
  <c r="M74" i="12"/>
  <c r="M29" i="12"/>
  <c r="M72" i="12"/>
  <c r="M68" i="12"/>
  <c r="M63" i="12"/>
  <c r="M75" i="12"/>
  <c r="M69" i="12"/>
  <c r="M60" i="12"/>
  <c r="M64" i="12"/>
  <c r="M30" i="12"/>
  <c r="M35" i="12"/>
  <c r="M22" i="12"/>
  <c r="M32" i="12"/>
  <c r="M53" i="12"/>
  <c r="M25" i="12"/>
  <c r="M65" i="12"/>
  <c r="M57" i="12"/>
  <c r="M34" i="12"/>
  <c r="M21" i="12"/>
  <c r="M52" i="12"/>
  <c r="M49" i="12"/>
  <c r="M48" i="12"/>
  <c r="M70" i="12"/>
  <c r="M66" i="12"/>
  <c r="M54" i="12"/>
  <c r="M73" i="12"/>
  <c r="M19" i="12"/>
  <c r="M28" i="12"/>
  <c r="M47" i="12"/>
  <c r="M41" i="12"/>
  <c r="M55" i="12"/>
  <c r="M45" i="12"/>
  <c r="M44" i="12"/>
  <c r="M26" i="12"/>
  <c r="M56" i="12"/>
  <c r="M71" i="12"/>
  <c r="M27" i="12"/>
  <c r="M43" i="12"/>
  <c r="M51" i="12"/>
  <c r="M62" i="12"/>
  <c r="M33" i="12"/>
  <c r="M39" i="12"/>
  <c r="M50" i="12"/>
  <c r="M40" i="12"/>
  <c r="M31" i="12"/>
  <c r="M42" i="12"/>
  <c r="M58" i="12"/>
  <c r="M20" i="12"/>
  <c r="M36" i="12"/>
  <c r="M67" i="12"/>
  <c r="M24" i="12"/>
  <c r="M61" i="12"/>
  <c r="N46" i="12"/>
  <c r="N24" i="12"/>
  <c r="S160" i="12"/>
  <c r="S324" i="12"/>
  <c r="S210" i="12"/>
  <c r="S120" i="12"/>
  <c r="S276" i="12"/>
  <c r="S336" i="12"/>
  <c r="S110" i="12"/>
  <c r="N50" i="12"/>
  <c r="N70" i="12"/>
  <c r="S148" i="12"/>
  <c r="S173" i="12"/>
  <c r="S309" i="12"/>
  <c r="S245" i="12"/>
  <c r="S319" i="12"/>
  <c r="S112" i="12"/>
  <c r="S247" i="12"/>
  <c r="O67" i="12"/>
  <c r="N42" i="12"/>
  <c r="S264" i="12"/>
  <c r="S286" i="12"/>
  <c r="S166" i="12"/>
  <c r="S274" i="12"/>
  <c r="S165" i="12"/>
  <c r="N28" i="12"/>
  <c r="O47" i="12"/>
  <c r="S296" i="12"/>
  <c r="O39" i="12"/>
  <c r="P21" i="12"/>
  <c r="O75" i="12"/>
  <c r="O69" i="12"/>
  <c r="S84" i="12"/>
  <c r="S275" i="12"/>
  <c r="S205" i="12"/>
  <c r="S392" i="12"/>
  <c r="S90" i="12"/>
  <c r="S302" i="12"/>
  <c r="S231" i="12"/>
  <c r="S299" i="12"/>
  <c r="S145" i="12"/>
  <c r="S361" i="12"/>
  <c r="N66" i="12"/>
  <c r="S135" i="12"/>
  <c r="O110" i="12"/>
  <c r="S216" i="12"/>
  <c r="S139" i="12"/>
  <c r="O44" i="12"/>
  <c r="O166" i="12"/>
  <c r="S354" i="12"/>
  <c r="S369" i="12"/>
  <c r="O24" i="12"/>
  <c r="S108" i="12"/>
  <c r="S363" i="12"/>
  <c r="S220" i="12"/>
  <c r="S134" i="12"/>
  <c r="S144" i="12"/>
  <c r="S326" i="12"/>
  <c r="Z25" i="12"/>
  <c r="O286" i="12"/>
  <c r="S401" i="12"/>
  <c r="S357" i="12"/>
  <c r="O205" i="12"/>
  <c r="S232" i="12"/>
  <c r="S307" i="12"/>
  <c r="O23" i="12"/>
  <c r="S327" i="12"/>
  <c r="S260" i="12"/>
  <c r="O51" i="12"/>
  <c r="O276" i="12"/>
  <c r="S278" i="12"/>
  <c r="O22" i="12"/>
  <c r="O73" i="12"/>
  <c r="S207" i="12"/>
  <c r="O19" i="12"/>
  <c r="S128" i="12"/>
  <c r="P24" i="12"/>
  <c r="S235" i="12"/>
  <c r="S267" i="12"/>
  <c r="O267" i="12" s="1"/>
  <c r="N27" i="12"/>
  <c r="O60" i="12"/>
  <c r="S370" i="12"/>
  <c r="S81" i="12"/>
  <c r="O81" i="12" s="1"/>
  <c r="N48" i="12"/>
  <c r="N26" i="12"/>
  <c r="N59" i="12"/>
  <c r="P33" i="12"/>
  <c r="S88" i="12"/>
  <c r="S315" i="12"/>
  <c r="O315" i="12" s="1"/>
  <c r="S79" i="12"/>
  <c r="S89" i="12"/>
  <c r="S386" i="12"/>
  <c r="T386" i="12" s="1"/>
  <c r="S233" i="12"/>
  <c r="S117" i="12"/>
  <c r="N56" i="12"/>
  <c r="S169" i="12"/>
  <c r="S385" i="12"/>
  <c r="S355" i="12"/>
  <c r="S380" i="12"/>
  <c r="O43" i="12"/>
  <c r="S221" i="12"/>
  <c r="S133" i="12"/>
  <c r="S178" i="12"/>
  <c r="S279" i="12"/>
  <c r="S94" i="12"/>
  <c r="S313" i="12"/>
  <c r="S149" i="12"/>
  <c r="S250" i="12"/>
  <c r="S289" i="12"/>
  <c r="O57" i="12"/>
  <c r="O28" i="12"/>
  <c r="N44" i="12"/>
  <c r="S290" i="12"/>
  <c r="O56" i="12"/>
  <c r="O309" i="12"/>
  <c r="S391" i="12"/>
  <c r="S185" i="12"/>
  <c r="S305" i="12"/>
  <c r="S190" i="12"/>
  <c r="O65" i="12"/>
  <c r="S293" i="12"/>
  <c r="S301" i="12"/>
  <c r="O301" i="12" s="1"/>
  <c r="S156" i="12"/>
  <c r="S175" i="12"/>
  <c r="P34" i="12"/>
  <c r="S180" i="12"/>
  <c r="S129" i="12"/>
  <c r="S381" i="12"/>
  <c r="S147" i="12"/>
  <c r="S341" i="12"/>
  <c r="AA25" i="12"/>
  <c r="O42" i="12"/>
  <c r="O53" i="12"/>
  <c r="S262" i="12"/>
  <c r="O62" i="12"/>
  <c r="N73" i="12"/>
  <c r="S184" i="12"/>
  <c r="O355" i="12"/>
  <c r="S198" i="12"/>
  <c r="O264" i="12"/>
  <c r="P32" i="12"/>
  <c r="O54" i="12"/>
  <c r="S122" i="12"/>
  <c r="O122" i="12" s="1"/>
  <c r="S127" i="12"/>
  <c r="O127" i="12" s="1"/>
  <c r="S138" i="12"/>
  <c r="S287" i="12"/>
  <c r="S163" i="12"/>
  <c r="S248" i="12"/>
  <c r="S86" i="12"/>
  <c r="O30" i="12"/>
  <c r="N31" i="12"/>
  <c r="S243" i="12"/>
  <c r="S171" i="12"/>
  <c r="S126" i="12"/>
  <c r="S246" i="12"/>
  <c r="S317" i="12"/>
  <c r="O317" i="12" s="1"/>
  <c r="S353" i="12"/>
  <c r="P20" i="12"/>
  <c r="N47" i="12"/>
  <c r="S308" i="12"/>
  <c r="S270" i="12"/>
  <c r="S218" i="12"/>
  <c r="S222" i="12"/>
  <c r="S109" i="12"/>
  <c r="N55" i="12"/>
  <c r="O34" i="12"/>
  <c r="S306" i="12"/>
  <c r="P35" i="12"/>
  <c r="O64" i="12"/>
  <c r="N39" i="12"/>
  <c r="N74" i="12"/>
  <c r="S116" i="12"/>
  <c r="S269" i="12"/>
  <c r="S202" i="12"/>
  <c r="S96" i="12"/>
  <c r="O96" i="12" s="1"/>
  <c r="C25" i="6"/>
  <c r="O116" i="12"/>
  <c r="S280" i="12"/>
  <c r="S300" i="12"/>
  <c r="S195" i="12"/>
  <c r="N68" i="12"/>
  <c r="S104" i="12"/>
  <c r="O104" i="12" s="1"/>
  <c r="N32" i="12"/>
  <c r="S394" i="12"/>
  <c r="S224" i="12"/>
  <c r="S106" i="12"/>
  <c r="O106" i="12" s="1"/>
  <c r="S388" i="12"/>
  <c r="S321" i="12"/>
  <c r="T321" i="12" s="1"/>
  <c r="S209" i="12"/>
  <c r="S208" i="12"/>
  <c r="S157" i="12"/>
  <c r="O386" i="12"/>
  <c r="S125" i="12"/>
  <c r="O125" i="12" s="1"/>
  <c r="S349" i="12"/>
  <c r="S365" i="12"/>
  <c r="S244" i="12"/>
  <c r="O365" i="12"/>
  <c r="S95" i="12"/>
  <c r="S374" i="12"/>
  <c r="S348" i="12"/>
  <c r="O321" i="12"/>
  <c r="S277" i="12"/>
  <c r="S249" i="12"/>
  <c r="S211" i="12"/>
  <c r="S359" i="12"/>
  <c r="S387" i="12"/>
  <c r="S373" i="12"/>
  <c r="S283" i="12"/>
  <c r="N33" i="12"/>
  <c r="S204" i="12"/>
  <c r="S271" i="12"/>
  <c r="S223" i="12"/>
  <c r="O279" i="12"/>
  <c r="S384" i="12"/>
  <c r="S193" i="12"/>
  <c r="S111" i="12"/>
  <c r="S340" i="12"/>
  <c r="S265" i="12"/>
  <c r="O265" i="12" s="1"/>
  <c r="S352" i="12"/>
  <c r="N43" i="12"/>
  <c r="S268" i="12"/>
  <c r="O210" i="12"/>
  <c r="S225" i="12"/>
  <c r="N52" i="12"/>
  <c r="N22" i="12"/>
  <c r="S346" i="12"/>
  <c r="S201" i="12"/>
  <c r="S136" i="12"/>
  <c r="O235" i="12"/>
  <c r="S330" i="12"/>
  <c r="N41" i="12"/>
  <c r="O29" i="12"/>
  <c r="O36" i="12"/>
  <c r="N49" i="12"/>
  <c r="O293" i="12"/>
  <c r="S131" i="12"/>
  <c r="S253" i="12"/>
  <c r="T253" i="12" s="1"/>
  <c r="S295" i="12"/>
  <c r="P36" i="12"/>
  <c r="S168" i="12"/>
  <c r="O148" i="12"/>
  <c r="O220" i="12"/>
  <c r="O270" i="12"/>
  <c r="S153" i="12"/>
  <c r="S137" i="12"/>
  <c r="S350" i="12"/>
  <c r="O41" i="12"/>
  <c r="S102" i="12"/>
  <c r="O102" i="12" s="1"/>
  <c r="S82" i="12"/>
  <c r="O82" i="12" s="1"/>
  <c r="N53" i="12"/>
  <c r="S323" i="12"/>
  <c r="S203" i="12"/>
  <c r="S101" i="12"/>
  <c r="O101" i="12" s="1"/>
  <c r="S200" i="12"/>
  <c r="O243" i="12"/>
  <c r="T267" i="12"/>
  <c r="S298" i="12"/>
  <c r="O68" i="12"/>
  <c r="S234" i="12"/>
  <c r="T388" i="12"/>
  <c r="S343" i="12"/>
  <c r="O343" i="12" s="1"/>
  <c r="O61" i="12"/>
  <c r="O218" i="12"/>
  <c r="S398" i="12"/>
  <c r="O128" i="12"/>
  <c r="O156" i="12"/>
  <c r="S93" i="12"/>
  <c r="S119" i="12"/>
  <c r="S158" i="12"/>
  <c r="O388" i="12"/>
  <c r="N65" i="12"/>
  <c r="N23" i="12"/>
  <c r="S194" i="12"/>
  <c r="S142" i="12"/>
  <c r="O142" i="12" s="1"/>
  <c r="S196" i="12"/>
  <c r="O196" i="12" s="1"/>
  <c r="S189" i="12"/>
  <c r="O189" i="12" s="1"/>
  <c r="S182" i="12"/>
  <c r="O182" i="12" s="1"/>
  <c r="O153" i="12"/>
  <c r="S121" i="12"/>
  <c r="S356" i="12"/>
  <c r="O356" i="12" s="1"/>
  <c r="N67" i="12"/>
  <c r="N40" i="12"/>
  <c r="S261" i="12"/>
  <c r="S141" i="12"/>
  <c r="O141" i="12" s="1"/>
  <c r="S240" i="12"/>
  <c r="O240" i="12" s="1"/>
  <c r="S255" i="12"/>
  <c r="S393" i="12"/>
  <c r="O393" i="12" s="1"/>
  <c r="O211" i="12"/>
  <c r="S318" i="12"/>
  <c r="S167" i="12"/>
  <c r="O55" i="12"/>
  <c r="N34" i="12"/>
  <c r="S140" i="12"/>
  <c r="S239" i="12"/>
  <c r="S130" i="12"/>
  <c r="S331" i="12"/>
  <c r="O331" i="12" s="1"/>
  <c r="O274" i="12"/>
  <c r="S98" i="12"/>
  <c r="P27" i="12"/>
  <c r="N71" i="12"/>
  <c r="O59" i="12"/>
  <c r="N45" i="12"/>
  <c r="P29" i="12"/>
  <c r="O45" i="12"/>
  <c r="O66" i="12"/>
  <c r="S154" i="12"/>
  <c r="O154" i="12" s="1"/>
  <c r="S314" i="12"/>
  <c r="O121" i="12"/>
  <c r="O167" i="12"/>
  <c r="N61" i="12"/>
  <c r="O221" i="12"/>
  <c r="S272" i="12"/>
  <c r="S192" i="12"/>
  <c r="S215" i="12"/>
  <c r="S334" i="12"/>
  <c r="S212" i="12"/>
  <c r="S372" i="12"/>
  <c r="S87" i="12"/>
  <c r="S91" i="12"/>
  <c r="O91" i="12" s="1"/>
  <c r="O20" i="12"/>
  <c r="S344" i="12"/>
  <c r="T344" i="12" s="1"/>
  <c r="S329" i="12"/>
  <c r="S146" i="12"/>
  <c r="O32" i="12"/>
  <c r="O190" i="12"/>
  <c r="O247" i="12"/>
  <c r="S322" i="12"/>
  <c r="O322" i="12" s="1"/>
  <c r="N54" i="12"/>
  <c r="S368" i="12"/>
  <c r="T368" i="12" s="1"/>
  <c r="N25" i="12"/>
  <c r="N69" i="12"/>
  <c r="S397" i="12"/>
  <c r="S273" i="12"/>
  <c r="T273" i="12" s="1"/>
  <c r="O344" i="12"/>
  <c r="S312" i="12"/>
  <c r="N58" i="12"/>
  <c r="P26" i="12"/>
  <c r="S191" i="12"/>
  <c r="O120" i="12"/>
  <c r="O131" i="12"/>
  <c r="S229" i="12"/>
  <c r="T322" i="12"/>
  <c r="O334" i="12"/>
  <c r="O88" i="12"/>
  <c r="S181" i="12"/>
  <c r="S115" i="12"/>
  <c r="O115" i="12" s="1"/>
  <c r="O63" i="12"/>
  <c r="S242" i="12"/>
  <c r="O242" i="12" s="1"/>
  <c r="T112" i="12"/>
  <c r="C17" i="15"/>
  <c r="S400" i="12"/>
  <c r="S282" i="12"/>
  <c r="O260" i="12"/>
  <c r="T250" i="12"/>
  <c r="S230" i="12"/>
  <c r="O230" i="12" s="1"/>
  <c r="S197" i="12"/>
  <c r="N29" i="12"/>
  <c r="S217" i="12"/>
  <c r="O217" i="12" s="1"/>
  <c r="S100" i="12"/>
  <c r="O100" i="12" s="1"/>
  <c r="S338" i="12"/>
  <c r="O338" i="12" s="1"/>
  <c r="O136" i="12"/>
  <c r="S214" i="12"/>
  <c r="O295" i="12"/>
  <c r="O253" i="12"/>
  <c r="O112" i="12"/>
  <c r="S328" i="12"/>
  <c r="S97" i="12"/>
  <c r="O387" i="12"/>
  <c r="S177" i="12"/>
  <c r="O177" i="12" s="1"/>
  <c r="O129" i="12"/>
  <c r="S292" i="12"/>
  <c r="S78" i="12"/>
  <c r="O78" i="12" s="1"/>
  <c r="O25" i="12"/>
  <c r="N72" i="12"/>
  <c r="S155" i="12"/>
  <c r="S238" i="12"/>
  <c r="S358" i="12"/>
  <c r="O358" i="12" s="1"/>
  <c r="S281" i="12"/>
  <c r="N21" i="12"/>
  <c r="O268" i="12"/>
  <c r="S83" i="12"/>
  <c r="O35" i="12"/>
  <c r="S226" i="12"/>
  <c r="S187" i="12"/>
  <c r="S143" i="12"/>
  <c r="S376" i="12"/>
  <c r="S310" i="12"/>
  <c r="S291" i="12"/>
  <c r="O275" i="12"/>
  <c r="O52" i="12"/>
  <c r="O381" i="12"/>
  <c r="O273" i="12"/>
  <c r="N63" i="12"/>
  <c r="S159" i="12"/>
  <c r="P28" i="12"/>
  <c r="T331" i="12"/>
  <c r="S105" i="12"/>
  <c r="S378" i="12"/>
  <c r="O318" i="12"/>
  <c r="S379" i="12"/>
  <c r="S113" i="12"/>
  <c r="O50" i="12"/>
  <c r="O70" i="12"/>
  <c r="N19" i="12"/>
  <c r="S170" i="12"/>
  <c r="O170" i="12" s="1"/>
  <c r="S399" i="12"/>
  <c r="O399" i="12" s="1"/>
  <c r="S389" i="12"/>
  <c r="S227" i="12"/>
  <c r="S252" i="12"/>
  <c r="O252" i="12" s="1"/>
  <c r="S351" i="12"/>
  <c r="O351" i="12" s="1"/>
  <c r="S316" i="12"/>
  <c r="O316" i="12" s="1"/>
  <c r="S99" i="12"/>
  <c r="O46" i="12"/>
  <c r="N60" i="12"/>
  <c r="S258" i="12"/>
  <c r="O258" i="12" s="1"/>
  <c r="S188" i="12"/>
  <c r="S228" i="12"/>
  <c r="S325" i="12"/>
  <c r="S257" i="12"/>
  <c r="O257" i="12" s="1"/>
  <c r="O48" i="12"/>
  <c r="O21" i="12"/>
  <c r="S337" i="12"/>
  <c r="O337" i="12" s="1"/>
  <c r="S333" i="12"/>
  <c r="S332" i="12"/>
  <c r="N64" i="12"/>
  <c r="N51" i="12"/>
  <c r="O163" i="12"/>
  <c r="S375" i="12"/>
  <c r="S186" i="12"/>
  <c r="S107" i="12"/>
  <c r="O27" i="12"/>
  <c r="S92" i="12"/>
  <c r="O92" i="12" s="1"/>
  <c r="S152" i="12"/>
  <c r="O152" i="12" s="1"/>
  <c r="S124" i="12"/>
  <c r="O140" i="12"/>
  <c r="S114" i="12"/>
  <c r="O114" i="12" s="1"/>
  <c r="O272" i="12"/>
  <c r="O368" i="12"/>
  <c r="S80" i="12"/>
  <c r="O80" i="12" s="1"/>
  <c r="S304" i="12"/>
  <c r="O304" i="12" s="1"/>
  <c r="S151" i="12"/>
  <c r="T302" i="12"/>
  <c r="S382" i="12"/>
  <c r="O216" i="12"/>
  <c r="O289" i="12"/>
  <c r="O229" i="12"/>
  <c r="O58" i="12"/>
  <c r="S241" i="12"/>
  <c r="O241" i="12" s="1"/>
  <c r="S297" i="12"/>
  <c r="S396" i="12"/>
  <c r="N30" i="12"/>
  <c r="O31" i="12"/>
  <c r="S237" i="12"/>
  <c r="S256" i="12"/>
  <c r="S390" i="12"/>
  <c r="O390" i="12" s="1"/>
  <c r="S172" i="12"/>
  <c r="O172" i="12" s="1"/>
  <c r="S311" i="12"/>
  <c r="O324" i="12"/>
  <c r="P23" i="12"/>
  <c r="S285" i="12"/>
  <c r="S219" i="12"/>
  <c r="S342" i="12"/>
  <c r="S339" i="12"/>
  <c r="N35" i="12"/>
  <c r="S294" i="12"/>
  <c r="N36" i="12"/>
  <c r="S174" i="12"/>
  <c r="O174" i="12" s="1"/>
  <c r="O160" i="12"/>
  <c r="S288" i="12"/>
  <c r="S176" i="12"/>
  <c r="O176" i="12" s="1"/>
  <c r="S118" i="12"/>
  <c r="O118" i="12" s="1"/>
  <c r="O26" i="12"/>
  <c r="O49" i="12"/>
  <c r="S161" i="12"/>
  <c r="O165" i="12"/>
  <c r="S236" i="12"/>
  <c r="O74" i="12"/>
  <c r="S371" i="12"/>
  <c r="O311" i="12"/>
  <c r="S213" i="12"/>
  <c r="O213" i="12" s="1"/>
  <c r="S85" i="12"/>
  <c r="O72" i="12"/>
  <c r="S284" i="12"/>
  <c r="Z26" i="12"/>
  <c r="N62" i="12"/>
  <c r="P22" i="12"/>
  <c r="S206" i="12"/>
  <c r="O206" i="12" s="1"/>
  <c r="S123" i="12"/>
  <c r="N57" i="12"/>
  <c r="O33" i="12"/>
  <c r="O328" i="12"/>
  <c r="S366" i="12"/>
  <c r="O366" i="12" s="1"/>
  <c r="T264" i="12"/>
  <c r="N75" i="12"/>
  <c r="O342" i="12"/>
  <c r="S367" i="12"/>
  <c r="O250" i="12"/>
  <c r="T229" i="12"/>
  <c r="N20" i="12"/>
  <c r="O40" i="12"/>
  <c r="S345" i="12"/>
  <c r="O345" i="12" s="1"/>
  <c r="S263" i="12"/>
  <c r="S103" i="12"/>
  <c r="O103" i="12" s="1"/>
  <c r="S303" i="12"/>
  <c r="S150" i="12"/>
  <c r="O150" i="12" s="1"/>
  <c r="T210" i="12"/>
  <c r="S179" i="12"/>
  <c r="S251" i="12"/>
  <c r="O251" i="12" s="1"/>
  <c r="S183" i="12"/>
  <c r="P25" i="12"/>
  <c r="P19" i="12"/>
  <c r="S377" i="12"/>
  <c r="O377" i="12" s="1"/>
  <c r="S362" i="12"/>
  <c r="O362" i="12" s="1"/>
  <c r="S254" i="12"/>
  <c r="O254" i="12" s="1"/>
  <c r="S395" i="12"/>
  <c r="O395" i="12" s="1"/>
  <c r="S360" i="12"/>
  <c r="S259" i="12"/>
  <c r="O259" i="12" s="1"/>
  <c r="S162" i="12"/>
  <c r="O162" i="12" s="1"/>
  <c r="P30" i="12"/>
  <c r="P31" i="12"/>
  <c r="S132" i="12"/>
  <c r="S320" i="12"/>
  <c r="O320" i="12" s="1"/>
  <c r="S199" i="12"/>
  <c r="O199" i="12" s="1"/>
  <c r="O71" i="12"/>
  <c r="S164" i="12"/>
  <c r="O164" i="12" s="1"/>
  <c r="S266" i="12"/>
  <c r="S335" i="12"/>
  <c r="S364" i="12"/>
  <c r="O357" i="12"/>
  <c r="O305" i="12"/>
  <c r="O86" i="12"/>
  <c r="T86" i="12"/>
  <c r="T171" i="12"/>
  <c r="O171" i="12"/>
  <c r="O353" i="12"/>
  <c r="T353" i="12"/>
  <c r="T283" i="12"/>
  <c r="O283" i="12"/>
  <c r="O204" i="12"/>
  <c r="O98" i="12"/>
  <c r="O181" i="12"/>
  <c r="O214" i="12"/>
  <c r="T214" i="12"/>
  <c r="O97" i="12"/>
  <c r="T97" i="12"/>
  <c r="T159" i="12"/>
  <c r="O159" i="12"/>
  <c r="T379" i="12"/>
  <c r="O379" i="12"/>
  <c r="O332" i="12"/>
  <c r="T332" i="12"/>
  <c r="O297" i="12"/>
  <c r="T297" i="12"/>
  <c r="O237" i="12"/>
  <c r="T237" i="12"/>
  <c r="Z27" i="12"/>
  <c r="AA26" i="12"/>
  <c r="O303" i="12"/>
  <c r="T303" i="12"/>
  <c r="T132" i="12"/>
  <c r="O132" i="12"/>
  <c r="Q74" i="12" l="1"/>
  <c r="Q64" i="12"/>
  <c r="Q63" i="12"/>
  <c r="Q72" i="12"/>
  <c r="Q69" i="12"/>
  <c r="Q61" i="12"/>
  <c r="Q71" i="12"/>
  <c r="Q60" i="12"/>
  <c r="Q54" i="12"/>
  <c r="Q49" i="12"/>
  <c r="Q47" i="12"/>
  <c r="Q40" i="12"/>
  <c r="Q73" i="12"/>
  <c r="Q43" i="12"/>
  <c r="Q42" i="12"/>
  <c r="Q51" i="12"/>
  <c r="Q45" i="12"/>
  <c r="Q41" i="12"/>
  <c r="Q70" i="12"/>
  <c r="Q68" i="12"/>
  <c r="Q39" i="12"/>
  <c r="Q48" i="12"/>
  <c r="Q65" i="12"/>
  <c r="Q52" i="12"/>
  <c r="Q75" i="12"/>
  <c r="Q53" i="12"/>
  <c r="Q55" i="12"/>
  <c r="Q46" i="12"/>
  <c r="Q56" i="12"/>
  <c r="Q44" i="12"/>
  <c r="Q58" i="12"/>
  <c r="Q67" i="12"/>
  <c r="Q62" i="12"/>
  <c r="Q66" i="12"/>
  <c r="Q59" i="12"/>
  <c r="Q57" i="12"/>
  <c r="Q50" i="12"/>
  <c r="AA27" i="12"/>
  <c r="O236" i="12"/>
  <c r="O375" i="12"/>
  <c r="O143" i="12"/>
  <c r="O312" i="12"/>
  <c r="O130" i="12"/>
  <c r="O200" i="12"/>
  <c r="O193" i="12"/>
  <c r="O157" i="12"/>
  <c r="O109" i="12"/>
  <c r="T156" i="12"/>
  <c r="O169" i="12"/>
  <c r="T357" i="12"/>
  <c r="O135" i="12"/>
  <c r="T236" i="12"/>
  <c r="T309" i="12"/>
  <c r="T80" i="12"/>
  <c r="O126" i="12"/>
  <c r="T326" i="12"/>
  <c r="O232" i="12"/>
  <c r="T103" i="12"/>
  <c r="T148" i="12"/>
  <c r="O384" i="12"/>
  <c r="T152" i="12"/>
  <c r="T146" i="12"/>
  <c r="T391" i="12"/>
  <c r="T123" i="12"/>
  <c r="T215" i="12"/>
  <c r="T201" i="12"/>
  <c r="T315" i="12"/>
  <c r="T395" i="12"/>
  <c r="T130" i="12"/>
  <c r="T79" i="12"/>
  <c r="T178" i="12"/>
  <c r="T356" i="12"/>
  <c r="T313" i="12"/>
  <c r="U132" i="12"/>
  <c r="T196" i="12"/>
  <c r="T188" i="12"/>
  <c r="U97" i="12"/>
  <c r="T200" i="12"/>
  <c r="O246" i="12"/>
  <c r="T198" i="12"/>
  <c r="O266" i="12"/>
  <c r="U379" i="12"/>
  <c r="T119" i="12"/>
  <c r="T279" i="12"/>
  <c r="T172" i="12"/>
  <c r="T220" i="12"/>
  <c r="T190" i="12"/>
  <c r="T323" i="12"/>
  <c r="T219" i="12"/>
  <c r="O359" i="12"/>
  <c r="T374" i="12"/>
  <c r="O219" i="12"/>
  <c r="T346" i="12"/>
  <c r="T232" i="12"/>
  <c r="O352" i="12"/>
  <c r="U112" i="12"/>
  <c r="T163" i="12"/>
  <c r="T382" i="12"/>
  <c r="T244" i="12"/>
  <c r="O269" i="12"/>
  <c r="T151" i="12"/>
  <c r="T242" i="12"/>
  <c r="O346" i="12"/>
  <c r="T209" i="12"/>
  <c r="T304" i="12"/>
  <c r="T316" i="12"/>
  <c r="T134" i="12"/>
  <c r="O364" i="12"/>
  <c r="O161" i="12"/>
  <c r="O333" i="12"/>
  <c r="O83" i="12"/>
  <c r="O397" i="12"/>
  <c r="O255" i="12"/>
  <c r="O203" i="12"/>
  <c r="O223" i="12"/>
  <c r="O208" i="12"/>
  <c r="O308" i="12"/>
  <c r="T305" i="12"/>
  <c r="O117" i="12"/>
  <c r="O401" i="12"/>
  <c r="O361" i="12"/>
  <c r="O87" i="12"/>
  <c r="T233" i="12"/>
  <c r="T268" i="12"/>
  <c r="O202" i="12"/>
  <c r="O137" i="12"/>
  <c r="T183" i="12"/>
  <c r="U368" i="12"/>
  <c r="T91" i="12"/>
  <c r="U297" i="12"/>
  <c r="T358" i="12"/>
  <c r="T139" i="12"/>
  <c r="U302" i="12"/>
  <c r="U156" i="12"/>
  <c r="T291" i="12"/>
  <c r="T124" i="12"/>
  <c r="T384" i="12"/>
  <c r="T218" i="12"/>
  <c r="T281" i="12"/>
  <c r="T286" i="12"/>
  <c r="T257" i="12"/>
  <c r="T211" i="12"/>
  <c r="T114" i="12"/>
  <c r="T375" i="12"/>
  <c r="T272" i="12"/>
  <c r="T182" i="12"/>
  <c r="T399" i="12"/>
  <c r="T180" i="12"/>
  <c r="O249" i="12"/>
  <c r="T199" i="12"/>
  <c r="T192" i="12"/>
  <c r="T284" i="12"/>
  <c r="O184" i="12"/>
  <c r="U210" i="12"/>
  <c r="T234" i="12"/>
  <c r="T299" i="12"/>
  <c r="T385" i="12"/>
  <c r="T377" i="12"/>
  <c r="T393" i="12"/>
  <c r="T149" i="12"/>
  <c r="T370" i="12"/>
  <c r="T263" i="12"/>
  <c r="O325" i="12"/>
  <c r="T142" i="12"/>
  <c r="O179" i="12"/>
  <c r="T354" i="12"/>
  <c r="U214" i="12"/>
  <c r="U172" i="12"/>
  <c r="T335" i="12"/>
  <c r="U209" i="12"/>
  <c r="T359" i="12"/>
  <c r="O238" i="12"/>
  <c r="T175" i="12"/>
  <c r="O228" i="12"/>
  <c r="T333" i="12"/>
  <c r="T294" i="12"/>
  <c r="O138" i="12"/>
  <c r="U331" i="12"/>
  <c r="T208" i="12"/>
  <c r="T81" i="12"/>
  <c r="U353" i="12"/>
  <c r="U284" i="12"/>
  <c r="T212" i="12"/>
  <c r="U250" i="12"/>
  <c r="T164" i="12"/>
  <c r="U164" i="12" s="1"/>
  <c r="O335" i="12"/>
  <c r="O339" i="12"/>
  <c r="O188" i="12"/>
  <c r="O292" i="12"/>
  <c r="O146" i="12"/>
  <c r="O261" i="12"/>
  <c r="O323" i="12"/>
  <c r="O271" i="12"/>
  <c r="O209" i="12"/>
  <c r="O248" i="12"/>
  <c r="O185" i="12"/>
  <c r="O233" i="12"/>
  <c r="O144" i="12"/>
  <c r="O299" i="12"/>
  <c r="T381" i="12"/>
  <c r="O369" i="12"/>
  <c r="T349" i="12"/>
  <c r="T252" i="12"/>
  <c r="T202" i="12"/>
  <c r="T246" i="12"/>
  <c r="T105" i="12"/>
  <c r="T174" i="12"/>
  <c r="T106" i="12"/>
  <c r="U106" i="12" s="1"/>
  <c r="T258" i="12"/>
  <c r="T271" i="12"/>
  <c r="U271" i="12" s="1"/>
  <c r="T339" i="12"/>
  <c r="T227" i="12"/>
  <c r="U358" i="12"/>
  <c r="T94" i="12"/>
  <c r="T296" i="12"/>
  <c r="T373" i="12"/>
  <c r="T169" i="12"/>
  <c r="T361" i="12"/>
  <c r="T197" i="12"/>
  <c r="T348" i="12"/>
  <c r="T343" i="12"/>
  <c r="T207" i="12"/>
  <c r="U322" i="12"/>
  <c r="T254" i="12"/>
  <c r="T306" i="12"/>
  <c r="T248" i="12"/>
  <c r="U248" i="12" s="1"/>
  <c r="T311" i="12"/>
  <c r="U169" i="12"/>
  <c r="O326" i="12"/>
  <c r="T387" i="12"/>
  <c r="T396" i="12"/>
  <c r="T293" i="12"/>
  <c r="T259" i="12"/>
  <c r="T334" i="12"/>
  <c r="U334" i="12" s="1"/>
  <c r="T135" i="12"/>
  <c r="U344" i="12"/>
  <c r="O183" i="12"/>
  <c r="O158" i="12"/>
  <c r="O336" i="12"/>
  <c r="T338" i="12"/>
  <c r="U273" i="12"/>
  <c r="T110" i="12"/>
  <c r="T245" i="12"/>
  <c r="U197" i="12"/>
  <c r="T314" i="12"/>
  <c r="O391" i="12"/>
  <c r="O256" i="12"/>
  <c r="T138" i="12"/>
  <c r="T144" i="12"/>
  <c r="T260" i="12"/>
  <c r="U215" i="12"/>
  <c r="U311" i="12"/>
  <c r="O360" i="12"/>
  <c r="O396" i="12"/>
  <c r="O99" i="12"/>
  <c r="O197" i="12"/>
  <c r="O329" i="12"/>
  <c r="T121" i="12"/>
  <c r="U121" i="12" s="1"/>
  <c r="O168" i="12"/>
  <c r="T204" i="12"/>
  <c r="U204" i="12" s="1"/>
  <c r="O224" i="12"/>
  <c r="O198" i="12"/>
  <c r="O149" i="12"/>
  <c r="O89" i="12"/>
  <c r="O134" i="12"/>
  <c r="O231" i="12"/>
  <c r="T177" i="12"/>
  <c r="T147" i="12"/>
  <c r="U147" i="12" s="1"/>
  <c r="T195" i="12"/>
  <c r="U195" i="12" s="1"/>
  <c r="T109" i="12"/>
  <c r="O227" i="12"/>
  <c r="T280" i="12"/>
  <c r="T155" i="12"/>
  <c r="T221" i="12"/>
  <c r="O201" i="12"/>
  <c r="O113" i="12"/>
  <c r="T160" i="12"/>
  <c r="T203" i="12"/>
  <c r="O319" i="12"/>
  <c r="T145" i="12"/>
  <c r="T319" i="12"/>
  <c r="T141" i="12"/>
  <c r="Z28" i="12"/>
  <c r="T341" i="12"/>
  <c r="T140" i="12"/>
  <c r="O288" i="12"/>
  <c r="O226" i="12"/>
  <c r="T150" i="12"/>
  <c r="U150" i="12" s="1"/>
  <c r="T274" i="12"/>
  <c r="O389" i="12"/>
  <c r="O290" i="12"/>
  <c r="T398" i="12"/>
  <c r="T378" i="12"/>
  <c r="T277" i="12"/>
  <c r="T193" i="12"/>
  <c r="T173" i="12"/>
  <c r="T251" i="12"/>
  <c r="U251" i="12" s="1"/>
  <c r="T126" i="12"/>
  <c r="U207" i="12"/>
  <c r="U378" i="12"/>
  <c r="U212" i="12"/>
  <c r="U160" i="12"/>
  <c r="O367" i="12"/>
  <c r="O382" i="12"/>
  <c r="O378" i="12"/>
  <c r="O282" i="12"/>
  <c r="O372" i="12"/>
  <c r="O119" i="12"/>
  <c r="O330" i="12"/>
  <c r="O348" i="12"/>
  <c r="O394" i="12"/>
  <c r="O341" i="12"/>
  <c r="O313" i="12"/>
  <c r="O370" i="12"/>
  <c r="O108" i="12"/>
  <c r="O302" i="12"/>
  <c r="T295" i="12"/>
  <c r="O94" i="12"/>
  <c r="T265" i="12"/>
  <c r="T312" i="12"/>
  <c r="U312" i="12" s="1"/>
  <c r="O194" i="12"/>
  <c r="T363" i="12"/>
  <c r="U381" i="12"/>
  <c r="T161" i="12"/>
  <c r="T83" i="12"/>
  <c r="U83" i="12" s="1"/>
  <c r="T168" i="12"/>
  <c r="U168" i="12" s="1"/>
  <c r="T170" i="12"/>
  <c r="T167" i="12"/>
  <c r="U167" i="12" s="1"/>
  <c r="O285" i="12"/>
  <c r="T389" i="12"/>
  <c r="T158" i="12"/>
  <c r="T308" i="12"/>
  <c r="T288" i="12"/>
  <c r="T372" i="12"/>
  <c r="T300" i="12"/>
  <c r="T269" i="12"/>
  <c r="T117" i="12"/>
  <c r="O245" i="12"/>
  <c r="O187" i="12"/>
  <c r="O278" i="12"/>
  <c r="T390" i="12"/>
  <c r="O222" i="12"/>
  <c r="U268" i="12"/>
  <c r="O373" i="12"/>
  <c r="U114" i="12"/>
  <c r="U159" i="12"/>
  <c r="T328" i="12"/>
  <c r="T222" i="12"/>
  <c r="U305" i="12"/>
  <c r="T310" i="12"/>
  <c r="T107" i="12"/>
  <c r="U107" i="12" s="1"/>
  <c r="U267" i="12"/>
  <c r="T241" i="12"/>
  <c r="T401" i="12"/>
  <c r="T186" i="12"/>
  <c r="T325" i="12"/>
  <c r="T362" i="12"/>
  <c r="T367" i="12"/>
  <c r="T88" i="12"/>
  <c r="T184" i="12"/>
  <c r="O294" i="12"/>
  <c r="O284" i="12"/>
  <c r="O151" i="12"/>
  <c r="O105" i="12"/>
  <c r="O400" i="12"/>
  <c r="O212" i="12"/>
  <c r="O93" i="12"/>
  <c r="O225" i="12"/>
  <c r="O374" i="12"/>
  <c r="O195" i="12"/>
  <c r="O147" i="12"/>
  <c r="O178" i="12"/>
  <c r="O207" i="12"/>
  <c r="O354" i="12"/>
  <c r="O90" i="12"/>
  <c r="U388" i="12"/>
  <c r="T82" i="12"/>
  <c r="U82" i="12" s="1"/>
  <c r="O244" i="12"/>
  <c r="T231" i="12"/>
  <c r="O239" i="12"/>
  <c r="T133" i="12"/>
  <c r="T226" i="12"/>
  <c r="T285" i="12"/>
  <c r="T318" i="12"/>
  <c r="T327" i="12"/>
  <c r="T95" i="12"/>
  <c r="T217" i="12"/>
  <c r="U217" i="12" s="1"/>
  <c r="O262" i="12"/>
  <c r="T99" i="12"/>
  <c r="T266" i="12"/>
  <c r="U170" i="12"/>
  <c r="T255" i="12"/>
  <c r="U295" i="12"/>
  <c r="U237" i="12"/>
  <c r="T247" i="12"/>
  <c r="T262" i="12"/>
  <c r="T162" i="12"/>
  <c r="U229" i="12"/>
  <c r="T307" i="12"/>
  <c r="T85" i="12"/>
  <c r="T317" i="12"/>
  <c r="T330" i="12"/>
  <c r="T113" i="12"/>
  <c r="O173" i="12"/>
  <c r="U386" i="12"/>
  <c r="T118" i="12"/>
  <c r="O314" i="12"/>
  <c r="U339" i="12"/>
  <c r="T129" i="12"/>
  <c r="T230" i="12"/>
  <c r="T157" i="12"/>
  <c r="U253" i="12"/>
  <c r="T96" i="12"/>
  <c r="T176" i="12"/>
  <c r="U171" i="12"/>
  <c r="T206" i="12"/>
  <c r="T89" i="12"/>
  <c r="T137" i="12"/>
  <c r="T324" i="12"/>
  <c r="O192" i="12"/>
  <c r="T243" i="12"/>
  <c r="U317" i="12"/>
  <c r="O155" i="12"/>
  <c r="T102" i="12"/>
  <c r="T392" i="12"/>
  <c r="T289" i="12"/>
  <c r="U118" i="12"/>
  <c r="U129" i="12"/>
  <c r="O79" i="12"/>
  <c r="O85" i="12"/>
  <c r="O107" i="12"/>
  <c r="O310" i="12"/>
  <c r="T181" i="12"/>
  <c r="U181" i="12" s="1"/>
  <c r="O215" i="12"/>
  <c r="O234" i="12"/>
  <c r="O340" i="12"/>
  <c r="O95" i="12"/>
  <c r="O300" i="12"/>
  <c r="O180" i="12"/>
  <c r="O380" i="12"/>
  <c r="O327" i="12"/>
  <c r="O139" i="12"/>
  <c r="O84" i="12"/>
  <c r="T364" i="12"/>
  <c r="T78" i="12"/>
  <c r="U78" i="12" s="1"/>
  <c r="T136" i="12"/>
  <c r="O133" i="12"/>
  <c r="T240" i="12"/>
  <c r="U177" i="12"/>
  <c r="T179" i="12"/>
  <c r="T239" i="12"/>
  <c r="T329" i="12"/>
  <c r="T101" i="12"/>
  <c r="T93" i="12"/>
  <c r="T189" i="12"/>
  <c r="U189" i="12" s="1"/>
  <c r="T84" i="12"/>
  <c r="T153" i="12"/>
  <c r="T87" i="12"/>
  <c r="T256" i="12"/>
  <c r="O123" i="12"/>
  <c r="U332" i="12"/>
  <c r="T205" i="12"/>
  <c r="U205" i="12" s="1"/>
  <c r="O392" i="12"/>
  <c r="U258" i="12"/>
  <c r="T166" i="12"/>
  <c r="T143" i="12"/>
  <c r="T127" i="12"/>
  <c r="T224" i="12"/>
  <c r="T92" i="12"/>
  <c r="T351" i="12"/>
  <c r="T278" i="12"/>
  <c r="U303" i="12"/>
  <c r="U272" i="12"/>
  <c r="T104" i="12"/>
  <c r="T122" i="12"/>
  <c r="U122" i="12" s="1"/>
  <c r="U105" i="12"/>
  <c r="T366" i="12"/>
  <c r="T345" i="12"/>
  <c r="T292" i="12"/>
  <c r="T365" i="12"/>
  <c r="T120" i="12"/>
  <c r="T125" i="12"/>
  <c r="U125" i="12" s="1"/>
  <c r="T131" i="12"/>
  <c r="T187" i="12"/>
  <c r="T225" i="12"/>
  <c r="U327" i="12"/>
  <c r="O398" i="12"/>
  <c r="T287" i="12"/>
  <c r="U306" i="12"/>
  <c r="T360" i="12"/>
  <c r="T342" i="12"/>
  <c r="U234" i="12"/>
  <c r="T369" i="12"/>
  <c r="T320" i="12"/>
  <c r="T111" i="12"/>
  <c r="T128" i="12"/>
  <c r="T337" i="12"/>
  <c r="U321" i="12"/>
  <c r="T194" i="12"/>
  <c r="O371" i="12"/>
  <c r="O186" i="12"/>
  <c r="O376" i="12"/>
  <c r="O191" i="12"/>
  <c r="T98" i="12"/>
  <c r="U98" i="12" s="1"/>
  <c r="O298" i="12"/>
  <c r="O111" i="12"/>
  <c r="O349" i="12"/>
  <c r="O306" i="12"/>
  <c r="O175" i="12"/>
  <c r="O385" i="12"/>
  <c r="O307" i="12"/>
  <c r="T216" i="12"/>
  <c r="U216" i="12" s="1"/>
  <c r="O296" i="12"/>
  <c r="T270" i="12"/>
  <c r="U270" i="12" s="1"/>
  <c r="O363" i="12"/>
  <c r="T154" i="12"/>
  <c r="T90" i="12"/>
  <c r="U90" i="12" s="1"/>
  <c r="O350" i="12"/>
  <c r="T228" i="12"/>
  <c r="U86" i="12"/>
  <c r="U264" i="12"/>
  <c r="T376" i="12"/>
  <c r="T213" i="12"/>
  <c r="T282" i="12"/>
  <c r="U282" i="12" s="1"/>
  <c r="O145" i="12"/>
  <c r="T380" i="12"/>
  <c r="O287" i="12"/>
  <c r="T238" i="12"/>
  <c r="U231" i="12"/>
  <c r="U174" i="12"/>
  <c r="O277" i="12"/>
  <c r="U203" i="12"/>
  <c r="T301" i="12"/>
  <c r="U301" i="12" s="1"/>
  <c r="T371" i="12"/>
  <c r="U109" i="12"/>
  <c r="T400" i="12"/>
  <c r="T340" i="12"/>
  <c r="U340" i="12" s="1"/>
  <c r="T298" i="12"/>
  <c r="U298" i="12" s="1"/>
  <c r="T394" i="12"/>
  <c r="O291" i="12"/>
  <c r="O281" i="12"/>
  <c r="T350" i="12"/>
  <c r="U139" i="12"/>
  <c r="T352" i="12"/>
  <c r="T276" i="12"/>
  <c r="T235" i="12"/>
  <c r="U235" i="12" s="1"/>
  <c r="T290" i="12"/>
  <c r="T275" i="12"/>
  <c r="O263" i="12"/>
  <c r="T397" i="12"/>
  <c r="T355" i="12"/>
  <c r="T191" i="12"/>
  <c r="T115" i="12"/>
  <c r="O280" i="12"/>
  <c r="U371" i="12"/>
  <c r="T116" i="12"/>
  <c r="U341" i="12"/>
  <c r="O124" i="12"/>
  <c r="U357" i="12"/>
  <c r="U141" i="12"/>
  <c r="T336" i="12"/>
  <c r="D14" i="6"/>
  <c r="U283" i="12"/>
  <c r="T249" i="12"/>
  <c r="T261" i="12"/>
  <c r="T223" i="12"/>
  <c r="T100" i="12"/>
  <c r="U100" i="12" s="1"/>
  <c r="T108" i="12"/>
  <c r="T165" i="12"/>
  <c r="T185" i="12"/>
  <c r="U196" i="12"/>
  <c r="R73" i="12"/>
  <c r="R60" i="12"/>
  <c r="R42" i="12"/>
  <c r="R47" i="12"/>
  <c r="P289" i="12"/>
  <c r="P293" i="12"/>
  <c r="P184" i="12"/>
  <c r="P64" i="12"/>
  <c r="P78" i="12"/>
  <c r="P230" i="12"/>
  <c r="P179" i="12"/>
  <c r="P103" i="12"/>
  <c r="P124" i="12"/>
  <c r="P190" i="12"/>
  <c r="P80" i="12"/>
  <c r="P104" i="12"/>
  <c r="P285" i="12"/>
  <c r="P390" i="12"/>
  <c r="P174" i="12"/>
  <c r="P272" i="12"/>
  <c r="P125" i="12"/>
  <c r="P146" i="12"/>
  <c r="P94" i="12"/>
  <c r="P101" i="12"/>
  <c r="P392" i="12"/>
  <c r="P259" i="12"/>
  <c r="P73" i="12"/>
  <c r="P107" i="12"/>
  <c r="P81" i="12"/>
  <c r="P255" i="12"/>
  <c r="P210" i="12"/>
  <c r="P139" i="12"/>
  <c r="P114" i="12"/>
  <c r="P96" i="12"/>
  <c r="P91" i="12"/>
  <c r="P238" i="12"/>
  <c r="P314" i="12"/>
  <c r="P89" i="12"/>
  <c r="P399" i="12"/>
  <c r="P325" i="12"/>
  <c r="P382" i="12"/>
  <c r="P85" i="12"/>
  <c r="P260" i="12"/>
  <c r="P279" i="12"/>
  <c r="D27" i="6"/>
  <c r="P119" i="12"/>
  <c r="P168" i="12"/>
  <c r="P239" i="12"/>
  <c r="P189" i="12"/>
  <c r="P75" i="12"/>
  <c r="P256" i="12"/>
  <c r="P191" i="12"/>
  <c r="P276" i="12"/>
  <c r="P57" i="12"/>
  <c r="P379" i="12"/>
  <c r="P61" i="12"/>
  <c r="P353" i="12"/>
  <c r="P39" i="12"/>
  <c r="P226" i="12"/>
  <c r="P359" i="12"/>
  <c r="P271" i="12"/>
  <c r="P312" i="12"/>
  <c r="P274" i="12"/>
  <c r="P193" i="12"/>
  <c r="P140" i="12"/>
  <c r="P370" i="12"/>
  <c r="P280" i="12"/>
  <c r="P253" i="12"/>
  <c r="R58" i="12"/>
  <c r="R56" i="12"/>
  <c r="R40" i="12"/>
  <c r="R41" i="12"/>
  <c r="R39" i="12"/>
  <c r="P181" i="12"/>
  <c r="P144" i="12"/>
  <c r="P169" i="12"/>
  <c r="P287" i="12"/>
  <c r="P121" i="12"/>
  <c r="P100" i="12"/>
  <c r="P267" i="12"/>
  <c r="P151" i="12"/>
  <c r="P284" i="12"/>
  <c r="D15" i="6"/>
  <c r="P301" i="12"/>
  <c r="P163" i="12"/>
  <c r="P176" i="12"/>
  <c r="P345" i="12"/>
  <c r="P348" i="12"/>
  <c r="P136" i="12"/>
  <c r="P249" i="12"/>
  <c r="R75" i="12"/>
  <c r="R71" i="12"/>
  <c r="R43" i="12"/>
  <c r="R54" i="12"/>
  <c r="R57" i="12"/>
  <c r="P365" i="12"/>
  <c r="P324" i="12"/>
  <c r="P389" i="12"/>
  <c r="P374" i="12"/>
  <c r="P63" i="12"/>
  <c r="P93" i="12"/>
  <c r="R55" i="12"/>
  <c r="P351" i="12"/>
  <c r="P219" i="12"/>
  <c r="P380" i="12"/>
  <c r="P377" i="12"/>
  <c r="P358" i="12"/>
  <c r="P216" i="12"/>
  <c r="P264" i="12"/>
  <c r="P167" i="12"/>
  <c r="P203" i="12"/>
  <c r="P41" i="12"/>
  <c r="P328" i="12"/>
  <c r="P161" i="12"/>
  <c r="P156" i="12"/>
  <c r="P332" i="12"/>
  <c r="P45" i="12"/>
  <c r="P185" i="12"/>
  <c r="P294" i="12"/>
  <c r="P273" i="12"/>
  <c r="P55" i="12"/>
  <c r="P257" i="12"/>
  <c r="P373" i="12"/>
  <c r="R67" i="12"/>
  <c r="P175" i="12"/>
  <c r="P133" i="12"/>
  <c r="P116" i="12"/>
  <c r="P303" i="12"/>
  <c r="P217" i="12"/>
  <c r="P223" i="12"/>
  <c r="R69" i="12"/>
  <c r="P197" i="12"/>
  <c r="P295" i="12"/>
  <c r="P172" i="12"/>
  <c r="P361" i="12"/>
  <c r="P111" i="12"/>
  <c r="P70" i="12"/>
  <c r="P134" i="12"/>
  <c r="P194" i="12"/>
  <c r="P320" i="12"/>
  <c r="P307" i="12"/>
  <c r="P87" i="12"/>
  <c r="P52" i="12"/>
  <c r="P385" i="12"/>
  <c r="P326" i="12"/>
  <c r="P142" i="12"/>
  <c r="P349" i="12"/>
  <c r="P363" i="12"/>
  <c r="P242" i="12"/>
  <c r="P240" i="12"/>
  <c r="P148" i="12"/>
  <c r="P196" i="12"/>
  <c r="P237" i="12"/>
  <c r="R52" i="12"/>
  <c r="P388" i="12"/>
  <c r="P254" i="12"/>
  <c r="P177" i="12"/>
  <c r="P110" i="12"/>
  <c r="P59" i="12"/>
  <c r="P252" i="12"/>
  <c r="P46" i="12"/>
  <c r="J1" i="5" a="1"/>
  <c r="P60" i="12"/>
  <c r="R61" i="12"/>
  <c r="P132" i="12"/>
  <c r="P340" i="12"/>
  <c r="P92" i="12"/>
  <c r="P106" i="12"/>
  <c r="P141" i="12"/>
  <c r="P277" i="12"/>
  <c r="P397" i="12"/>
  <c r="P218" i="12"/>
  <c r="P336" i="12"/>
  <c r="P299" i="12"/>
  <c r="P48" i="12"/>
  <c r="P164" i="12"/>
  <c r="P130" i="12"/>
  <c r="AB16" i="12"/>
  <c r="R72" i="12"/>
  <c r="R50" i="12"/>
  <c r="P297" i="12"/>
  <c r="P155" i="12"/>
  <c r="J23" i="12"/>
  <c r="P108" i="12"/>
  <c r="P170" i="12"/>
  <c r="P128" i="12"/>
  <c r="P208" i="12"/>
  <c r="P220" i="12"/>
  <c r="P304" i="12"/>
  <c r="P200" i="12"/>
  <c r="P74" i="12"/>
  <c r="P298" i="12"/>
  <c r="P166" i="12"/>
  <c r="P165" i="12"/>
  <c r="P347" i="12"/>
  <c r="P395" i="12"/>
  <c r="P321" i="12"/>
  <c r="P105" i="12"/>
  <c r="P40" i="12"/>
  <c r="P231" i="12"/>
  <c r="P269" i="12"/>
  <c r="P281" i="12"/>
  <c r="P266" i="12"/>
  <c r="P275" i="12"/>
  <c r="P221" i="12"/>
  <c r="P350" i="12"/>
  <c r="P394" i="12"/>
  <c r="R74" i="12"/>
  <c r="P316" i="12"/>
  <c r="P68" i="12"/>
  <c r="P186" i="12"/>
  <c r="P291" i="12"/>
  <c r="P72" i="12"/>
  <c r="P290" i="12"/>
  <c r="P131" i="12"/>
  <c r="P201" i="12"/>
  <c r="P313" i="12"/>
  <c r="P182" i="12"/>
  <c r="P150" i="12"/>
  <c r="P352" i="12"/>
  <c r="P386" i="12"/>
  <c r="P376" i="12"/>
  <c r="P187" i="12"/>
  <c r="R46" i="12"/>
  <c r="R65" i="12"/>
  <c r="P235" i="12"/>
  <c r="P62" i="12"/>
  <c r="P195" i="12"/>
  <c r="P49" i="12"/>
  <c r="P159" i="12"/>
  <c r="P207" i="12"/>
  <c r="P268" i="12"/>
  <c r="P250" i="12"/>
  <c r="P334" i="12"/>
  <c r="P282" i="12"/>
  <c r="P364" i="12"/>
  <c r="P53" i="12"/>
  <c r="P251" i="12"/>
  <c r="P137" i="12"/>
  <c r="P306" i="12"/>
  <c r="P393" i="12"/>
  <c r="R64" i="12"/>
  <c r="P158" i="12"/>
  <c r="P391" i="12"/>
  <c r="P327" i="12"/>
  <c r="P381" i="12"/>
  <c r="P228" i="12"/>
  <c r="P241" i="12"/>
  <c r="P66" i="12"/>
  <c r="P90" i="12"/>
  <c r="P339" i="12"/>
  <c r="P143" i="12"/>
  <c r="P44" i="12"/>
  <c r="P71" i="12"/>
  <c r="P79" i="12"/>
  <c r="P212" i="12"/>
  <c r="P309" i="12"/>
  <c r="AC16" i="12"/>
  <c r="P343" i="12"/>
  <c r="P129" i="12"/>
  <c r="P302" i="12"/>
  <c r="P341" i="12"/>
  <c r="P236" i="12"/>
  <c r="P322" i="12"/>
  <c r="P338" i="12"/>
  <c r="P401" i="12"/>
  <c r="P375" i="12"/>
  <c r="P135" i="12"/>
  <c r="P333" i="12"/>
  <c r="P400" i="12"/>
  <c r="P398" i="12"/>
  <c r="P384" i="12"/>
  <c r="P362" i="12"/>
  <c r="P342" i="12"/>
  <c r="P112" i="12"/>
  <c r="P69" i="12"/>
  <c r="P58" i="12"/>
  <c r="P383" i="12"/>
  <c r="P206" i="12"/>
  <c r="R51" i="12"/>
  <c r="R62" i="12"/>
  <c r="R48" i="12"/>
  <c r="R45" i="12"/>
  <c r="P337" i="12"/>
  <c r="P346" i="12"/>
  <c r="P198" i="12"/>
  <c r="P356" i="12"/>
  <c r="P211" i="12"/>
  <c r="P300" i="12"/>
  <c r="P283" i="12"/>
  <c r="P244" i="12"/>
  <c r="P292" i="12"/>
  <c r="P387" i="12"/>
  <c r="P262" i="12"/>
  <c r="P245" i="12"/>
  <c r="P369" i="12"/>
  <c r="P205" i="12"/>
  <c r="P54" i="12"/>
  <c r="P173" i="12"/>
  <c r="P315" i="12"/>
  <c r="P147" i="12"/>
  <c r="P227" i="12"/>
  <c r="P120" i="12"/>
  <c r="P247" i="12"/>
  <c r="P246" i="12"/>
  <c r="P225" i="12"/>
  <c r="P318" i="12"/>
  <c r="P122" i="12"/>
  <c r="P47" i="12"/>
  <c r="P368" i="12"/>
  <c r="P153" i="12"/>
  <c r="R53" i="12"/>
  <c r="P214" i="12"/>
  <c r="P160" i="12"/>
  <c r="P138" i="12"/>
  <c r="P102" i="12"/>
  <c r="P311" i="12"/>
  <c r="P308" i="12"/>
  <c r="P286" i="12"/>
  <c r="P396" i="12"/>
  <c r="P296" i="12"/>
  <c r="P344" i="12"/>
  <c r="P97" i="12"/>
  <c r="P42" i="12"/>
  <c r="P82" i="12"/>
  <c r="P65" i="12"/>
  <c r="P224" i="12"/>
  <c r="P354" i="12"/>
  <c r="R70" i="12"/>
  <c r="P317" i="12"/>
  <c r="P202" i="12"/>
  <c r="P229" i="12"/>
  <c r="P154" i="12"/>
  <c r="P56" i="12"/>
  <c r="P199" i="12"/>
  <c r="P310" i="12"/>
  <c r="P86" i="12"/>
  <c r="P331" i="12"/>
  <c r="P126" i="12"/>
  <c r="P171" i="12"/>
  <c r="P95" i="12"/>
  <c r="P88" i="12"/>
  <c r="P329" i="12"/>
  <c r="P180" i="12"/>
  <c r="P145" i="12"/>
  <c r="R68" i="12"/>
  <c r="P192" i="12"/>
  <c r="P232" i="12"/>
  <c r="P51" i="12"/>
  <c r="P67" i="12"/>
  <c r="P288" i="12"/>
  <c r="P261" i="12"/>
  <c r="P270" i="12"/>
  <c r="P248" i="12"/>
  <c r="P188" i="12"/>
  <c r="P83" i="12"/>
  <c r="P157" i="12"/>
  <c r="P265" i="12"/>
  <c r="P278" i="12"/>
  <c r="P152" i="12"/>
  <c r="P98" i="12"/>
  <c r="P123" i="12"/>
  <c r="P323" i="12"/>
  <c r="P209" i="12"/>
  <c r="P357" i="12"/>
  <c r="P319" i="12"/>
  <c r="P222" i="12"/>
  <c r="P355" i="12"/>
  <c r="P367" i="12"/>
  <c r="P372" i="12"/>
  <c r="P258" i="12"/>
  <c r="P234" i="12"/>
  <c r="P366" i="12"/>
  <c r="P117" i="12"/>
  <c r="P378" i="12"/>
  <c r="P233" i="12"/>
  <c r="P99" i="12"/>
  <c r="P109" i="12"/>
  <c r="P162" i="12"/>
  <c r="P118" i="12"/>
  <c r="P330" i="12"/>
  <c r="P115" i="12"/>
  <c r="P84" i="12"/>
  <c r="P335" i="12"/>
  <c r="P305" i="12"/>
  <c r="P215" i="12"/>
  <c r="P50" i="12"/>
  <c r="P178" i="12"/>
  <c r="P113" i="12"/>
  <c r="P43" i="12"/>
  <c r="C24" i="6"/>
  <c r="P127" i="12"/>
  <c r="P371" i="12"/>
  <c r="P243" i="12"/>
  <c r="P213" i="12"/>
  <c r="P204" i="12"/>
  <c r="P183" i="12"/>
  <c r="P360" i="12"/>
  <c r="P263" i="12"/>
  <c r="P149" i="12"/>
  <c r="R66" i="12"/>
  <c r="R49" i="12"/>
  <c r="R63" i="12"/>
  <c r="R44" i="12"/>
  <c r="R59" i="12"/>
  <c r="R32" i="12"/>
  <c r="R35" i="12"/>
  <c r="R22" i="12"/>
  <c r="R19" i="12"/>
  <c r="S347" i="12"/>
  <c r="R20" i="12"/>
  <c r="R30" i="12"/>
  <c r="R31" i="12"/>
  <c r="S383" i="12"/>
  <c r="R27" i="12"/>
  <c r="R23" i="12"/>
  <c r="R28" i="12"/>
  <c r="R26" i="12"/>
  <c r="R33" i="12"/>
  <c r="R24" i="12"/>
  <c r="R21" i="12"/>
  <c r="R34" i="12"/>
  <c r="R29" i="12"/>
  <c r="R25" i="12"/>
  <c r="R36" i="12"/>
  <c r="J92" i="5" l="1"/>
  <c r="J11" i="5"/>
  <c r="J56" i="5"/>
  <c r="J69" i="5"/>
  <c r="J124" i="5"/>
  <c r="J119" i="5"/>
  <c r="J5" i="5"/>
  <c r="J61" i="5"/>
  <c r="J107" i="5"/>
  <c r="J74" i="5"/>
  <c r="J22" i="5"/>
  <c r="J113" i="5"/>
  <c r="J1" i="5"/>
  <c r="J95" i="5"/>
  <c r="J105" i="5"/>
  <c r="J68" i="5"/>
  <c r="J17" i="5"/>
  <c r="J90" i="5"/>
  <c r="J40" i="5"/>
  <c r="J23" i="5"/>
  <c r="J85" i="5"/>
  <c r="J103" i="5"/>
  <c r="J116" i="5"/>
  <c r="J15" i="5"/>
  <c r="J99" i="5"/>
  <c r="J126" i="5"/>
  <c r="J3" i="5"/>
  <c r="J52" i="5"/>
  <c r="J121" i="5"/>
  <c r="J16" i="5"/>
  <c r="J93" i="5"/>
  <c r="J44" i="5"/>
  <c r="J12" i="5"/>
  <c r="J86" i="5"/>
  <c r="J13" i="5"/>
  <c r="J122" i="5"/>
  <c r="J110" i="5"/>
  <c r="J51" i="5"/>
  <c r="J37" i="5"/>
  <c r="J98" i="5"/>
  <c r="J58" i="5"/>
  <c r="J111" i="5"/>
  <c r="J102" i="5"/>
  <c r="J59" i="5"/>
  <c r="J120" i="5"/>
  <c r="J72" i="5"/>
  <c r="J18" i="5"/>
  <c r="J33" i="5"/>
  <c r="J101" i="5"/>
  <c r="J64" i="5"/>
  <c r="J96" i="5"/>
  <c r="J8" i="5"/>
  <c r="J109" i="5"/>
  <c r="J21" i="5"/>
  <c r="J2" i="5"/>
  <c r="J55" i="5"/>
  <c r="J63" i="5"/>
  <c r="J123" i="5"/>
  <c r="J104" i="5"/>
  <c r="J54" i="5"/>
  <c r="J10" i="5"/>
  <c r="J31" i="5"/>
  <c r="J32" i="5"/>
  <c r="J108" i="5"/>
  <c r="J78" i="5"/>
  <c r="J30" i="5"/>
  <c r="J118" i="5"/>
  <c r="J6" i="5"/>
  <c r="J20" i="5"/>
  <c r="J29" i="5"/>
  <c r="J91" i="5"/>
  <c r="J57" i="5"/>
  <c r="J125" i="5"/>
  <c r="J75" i="5"/>
  <c r="J38" i="5"/>
  <c r="J88" i="5"/>
  <c r="J9" i="5"/>
  <c r="J46" i="5"/>
  <c r="J94" i="5"/>
  <c r="J26" i="5"/>
  <c r="J36" i="5"/>
  <c r="J34" i="5"/>
  <c r="J73" i="5"/>
  <c r="J35" i="5"/>
  <c r="J60" i="5"/>
  <c r="J66" i="5"/>
  <c r="J53" i="5"/>
  <c r="J70" i="5"/>
  <c r="J76" i="5"/>
  <c r="J83" i="5"/>
  <c r="J77" i="5"/>
  <c r="J39" i="5"/>
  <c r="J42" i="5"/>
  <c r="J48" i="5"/>
  <c r="J41" i="5"/>
  <c r="J4" i="5"/>
  <c r="J114" i="5"/>
  <c r="J106" i="5"/>
  <c r="J117" i="5"/>
  <c r="J27" i="5"/>
  <c r="J84" i="5"/>
  <c r="J67" i="5"/>
  <c r="J47" i="5"/>
  <c r="J25" i="5"/>
  <c r="J19" i="5"/>
  <c r="J45" i="5"/>
  <c r="J50" i="5"/>
  <c r="J71" i="5"/>
  <c r="J7" i="5"/>
  <c r="J115" i="5"/>
  <c r="J80" i="5"/>
  <c r="J87" i="5"/>
  <c r="J100" i="5"/>
  <c r="J14" i="5"/>
  <c r="J97" i="5"/>
  <c r="J82" i="5"/>
  <c r="J49" i="5"/>
  <c r="J81" i="5"/>
  <c r="J112" i="5"/>
  <c r="J43" i="5"/>
  <c r="J24" i="5"/>
  <c r="J79" i="5"/>
  <c r="J28" i="5"/>
  <c r="J62" i="5"/>
  <c r="J65" i="5"/>
  <c r="J89" i="5"/>
  <c r="V112" i="12"/>
  <c r="V98" i="12"/>
  <c r="V171" i="12"/>
  <c r="V344" i="12"/>
  <c r="V353" i="12"/>
  <c r="V216" i="12"/>
  <c r="V253" i="12"/>
  <c r="V267" i="12"/>
  <c r="V379" i="12"/>
  <c r="V305" i="12"/>
  <c r="V210" i="12"/>
  <c r="V331" i="12"/>
  <c r="V159" i="12"/>
  <c r="V97" i="12"/>
  <c r="V303" i="12"/>
  <c r="V132" i="12"/>
  <c r="V322" i="12"/>
  <c r="V229" i="12"/>
  <c r="V237" i="12"/>
  <c r="V156" i="12"/>
  <c r="V302" i="12"/>
  <c r="V297" i="12"/>
  <c r="V264" i="12"/>
  <c r="V121" i="12"/>
  <c r="V204" i="12"/>
  <c r="V181" i="12"/>
  <c r="V388" i="12"/>
  <c r="W19" i="12" a="1"/>
  <c r="V86" i="12"/>
  <c r="V321" i="12"/>
  <c r="V203" i="12"/>
  <c r="V174" i="12"/>
  <c r="V270" i="12"/>
  <c r="V357" i="12"/>
  <c r="V170" i="12"/>
  <c r="V105" i="12"/>
  <c r="V250" i="12"/>
  <c r="V283" i="12"/>
  <c r="V341" i="12"/>
  <c r="V282" i="12"/>
  <c r="V189" i="12"/>
  <c r="V106" i="12"/>
  <c r="V160" i="12"/>
  <c r="V129" i="12"/>
  <c r="V339" i="12"/>
  <c r="V272" i="12"/>
  <c r="V234" i="12"/>
  <c r="V197" i="12"/>
  <c r="V381" i="12"/>
  <c r="V327" i="12"/>
  <c r="V371" i="12"/>
  <c r="V332" i="12"/>
  <c r="V340" i="12"/>
  <c r="V251" i="12"/>
  <c r="V78" i="12"/>
  <c r="V118" i="12"/>
  <c r="V147" i="12"/>
  <c r="V82" i="12"/>
  <c r="V386" i="12"/>
  <c r="V248" i="12"/>
  <c r="V317" i="12"/>
  <c r="V164" i="12"/>
  <c r="V295" i="12"/>
  <c r="V358" i="12"/>
  <c r="V214" i="12"/>
  <c r="V114" i="12"/>
  <c r="V312" i="12"/>
  <c r="V209" i="12"/>
  <c r="V212" i="12"/>
  <c r="V125" i="12"/>
  <c r="V90" i="12"/>
  <c r="V207" i="12"/>
  <c r="V298" i="12"/>
  <c r="V109" i="12"/>
  <c r="V122" i="12"/>
  <c r="V334" i="12"/>
  <c r="V205" i="12"/>
  <c r="V215" i="12"/>
  <c r="V235" i="12"/>
  <c r="V196" i="12"/>
  <c r="V167" i="12"/>
  <c r="V301" i="12"/>
  <c r="V258" i="12"/>
  <c r="V83" i="12"/>
  <c r="V378" i="12"/>
  <c r="V311" i="12"/>
  <c r="V168" i="12"/>
  <c r="V141" i="12"/>
  <c r="V169" i="12"/>
  <c r="V231" i="12"/>
  <c r="V177" i="12"/>
  <c r="V100" i="12"/>
  <c r="V150" i="12"/>
  <c r="V273" i="12"/>
  <c r="V368" i="12"/>
  <c r="V172" i="12"/>
  <c r="V107" i="12"/>
  <c r="V271" i="12"/>
  <c r="V306" i="12"/>
  <c r="V284" i="12"/>
  <c r="V217" i="12"/>
  <c r="V139" i="12"/>
  <c r="V268" i="12"/>
  <c r="V195" i="12"/>
  <c r="O383" i="12"/>
  <c r="U380" i="12"/>
  <c r="U92" i="12"/>
  <c r="U176" i="12"/>
  <c r="AA28" i="12"/>
  <c r="U385" i="12"/>
  <c r="U279" i="12"/>
  <c r="T383" i="12"/>
  <c r="U134" i="12"/>
  <c r="U127" i="12"/>
  <c r="U202" i="12"/>
  <c r="U140" i="12"/>
  <c r="U346" i="12"/>
  <c r="U354" i="12"/>
  <c r="U349" i="12"/>
  <c r="U185" i="12"/>
  <c r="U228" i="12"/>
  <c r="U310" i="12"/>
  <c r="U32" i="12"/>
  <c r="U84" i="12"/>
  <c r="U375" i="12"/>
  <c r="U299" i="12"/>
  <c r="U62" i="12"/>
  <c r="U259" i="12"/>
  <c r="U249" i="12"/>
  <c r="U304" i="12"/>
  <c r="U239" i="12"/>
  <c r="U396" i="12"/>
  <c r="U397" i="12"/>
  <c r="U61" i="12"/>
  <c r="U69" i="12"/>
  <c r="U280" i="12"/>
  <c r="U104" i="12"/>
  <c r="U186" i="12"/>
  <c r="U50" i="12"/>
  <c r="U236" i="12"/>
  <c r="U336" i="12"/>
  <c r="U162" i="12"/>
  <c r="U80" i="12"/>
  <c r="U256" i="12"/>
  <c r="U21" i="12"/>
  <c r="U155" i="12"/>
  <c r="U223" i="12"/>
  <c r="U309" i="12"/>
  <c r="U276" i="12"/>
  <c r="U252" i="12"/>
  <c r="U94" i="12"/>
  <c r="U180" i="12"/>
  <c r="U63" i="12"/>
  <c r="U366" i="12"/>
  <c r="U115" i="12"/>
  <c r="U245" i="12"/>
  <c r="U85" i="12"/>
  <c r="U198" i="12"/>
  <c r="U232" i="12"/>
  <c r="U36" i="12"/>
  <c r="U269" i="12"/>
  <c r="U120" i="12"/>
  <c r="U325" i="12"/>
  <c r="U165" i="12"/>
  <c r="U289" i="12"/>
  <c r="U367" i="12"/>
  <c r="U338" i="12"/>
  <c r="U399" i="12"/>
  <c r="U200" i="12"/>
  <c r="U225" i="12"/>
  <c r="U300" i="12"/>
  <c r="U153" i="12"/>
  <c r="U23" i="12"/>
  <c r="U266" i="12"/>
  <c r="Z29" i="12"/>
  <c r="U52" i="12"/>
  <c r="U376" i="12"/>
  <c r="U44" i="12"/>
  <c r="U144" i="12"/>
  <c r="U25" i="12"/>
  <c r="U372" i="12"/>
  <c r="U260" i="12"/>
  <c r="U401" i="12"/>
  <c r="U290" i="12"/>
  <c r="U226" i="12"/>
  <c r="U108" i="12"/>
  <c r="U102" i="12"/>
  <c r="U362" i="12"/>
  <c r="U135" i="12"/>
  <c r="U91" i="12"/>
  <c r="U188" i="12"/>
  <c r="U64" i="12"/>
  <c r="U288" i="12"/>
  <c r="U95" i="12"/>
  <c r="U348" i="12"/>
  <c r="U47" i="12"/>
  <c r="U184" i="12"/>
  <c r="U233" i="12"/>
  <c r="U333" i="12"/>
  <c r="U361" i="12"/>
  <c r="U71" i="12"/>
  <c r="U182" i="12"/>
  <c r="U238" i="12"/>
  <c r="U274" i="12"/>
  <c r="U342" i="12"/>
  <c r="U254" i="12"/>
  <c r="U178" i="12"/>
  <c r="U48" i="12"/>
  <c r="U113" i="12"/>
  <c r="U255" i="12"/>
  <c r="U387" i="12"/>
  <c r="U158" i="12"/>
  <c r="U151" i="12"/>
  <c r="U363" i="12"/>
  <c r="U110" i="12"/>
  <c r="U99" i="12"/>
  <c r="U35" i="12"/>
  <c r="U130" i="12"/>
  <c r="U192" i="12"/>
  <c r="U116" i="12"/>
  <c r="U328" i="12"/>
  <c r="U242" i="12"/>
  <c r="U277" i="12"/>
  <c r="U291" i="12"/>
  <c r="U73" i="12"/>
  <c r="U356" i="12"/>
  <c r="U146" i="12"/>
  <c r="U65" i="12"/>
  <c r="U263" i="12"/>
  <c r="U219" i="12"/>
  <c r="U67" i="12"/>
  <c r="U145" i="12"/>
  <c r="AA29" i="12"/>
  <c r="U89" i="12"/>
  <c r="U308" i="12"/>
  <c r="U294" i="12"/>
  <c r="U364" i="12"/>
  <c r="U56" i="12"/>
  <c r="U343" i="12"/>
  <c r="U27" i="12"/>
  <c r="U391" i="12"/>
  <c r="U19" i="12"/>
  <c r="U75" i="12"/>
  <c r="U400" i="12"/>
  <c r="U190" i="12"/>
  <c r="U390" i="12"/>
  <c r="U117" i="12"/>
  <c r="U55" i="12"/>
  <c r="U131" i="12"/>
  <c r="U292" i="12"/>
  <c r="U355" i="12"/>
  <c r="U137" i="12"/>
  <c r="U278" i="12"/>
  <c r="U68" i="12"/>
  <c r="O347" i="12"/>
  <c r="U213" i="12"/>
  <c r="U143" i="12"/>
  <c r="U247" i="12"/>
  <c r="U221" i="12"/>
  <c r="U199" i="12"/>
  <c r="U119" i="12"/>
  <c r="U20" i="12"/>
  <c r="U220" i="12"/>
  <c r="U53" i="12"/>
  <c r="U173" i="12"/>
  <c r="U314" i="12"/>
  <c r="U88" i="12"/>
  <c r="U128" i="12"/>
  <c r="D26" i="6"/>
  <c r="U359" i="12"/>
  <c r="U394" i="12"/>
  <c r="U374" i="12"/>
  <c r="U351" i="12"/>
  <c r="U58" i="12"/>
  <c r="U166" i="12"/>
  <c r="U307" i="12"/>
  <c r="U230" i="12"/>
  <c r="U154" i="12"/>
  <c r="U293" i="12"/>
  <c r="U103" i="12"/>
  <c r="U96" i="12"/>
  <c r="U320" i="12"/>
  <c r="U81" i="12"/>
  <c r="U194" i="12"/>
  <c r="U51" i="12"/>
  <c r="U370" i="12"/>
  <c r="U262" i="12"/>
  <c r="U22" i="12"/>
  <c r="U384" i="12"/>
  <c r="U373" i="12"/>
  <c r="U208" i="12"/>
  <c r="U281" i="12"/>
  <c r="U157" i="12"/>
  <c r="U136" i="12"/>
  <c r="U222" i="12"/>
  <c r="U261" i="12"/>
  <c r="U241" i="12"/>
  <c r="U316" i="12"/>
  <c r="U123" i="12"/>
  <c r="U183" i="12"/>
  <c r="U29" i="12"/>
  <c r="U43" i="12"/>
  <c r="U179" i="12"/>
  <c r="U161" i="12"/>
  <c r="U224" i="12"/>
  <c r="U246" i="12"/>
  <c r="U286" i="12"/>
  <c r="U133" i="12"/>
  <c r="U313" i="12"/>
  <c r="U360" i="12"/>
  <c r="U296" i="12"/>
  <c r="U395" i="12"/>
  <c r="U45" i="12"/>
  <c r="U265" i="12"/>
  <c r="U124" i="12"/>
  <c r="U66" i="12"/>
  <c r="U330" i="12"/>
  <c r="T347" i="12"/>
  <c r="U87" i="12"/>
  <c r="U79" i="12"/>
  <c r="U57" i="12"/>
  <c r="U201" i="12"/>
  <c r="U240" i="12"/>
  <c r="U191" i="12"/>
  <c r="U163" i="12"/>
  <c r="U352" i="12"/>
  <c r="U398" i="12"/>
  <c r="U382" i="12"/>
  <c r="U257" i="12"/>
  <c r="U285" i="12"/>
  <c r="U72" i="12"/>
  <c r="U31" i="12"/>
  <c r="U287" i="12"/>
  <c r="U244" i="12"/>
  <c r="U70" i="12"/>
  <c r="U227" i="12"/>
  <c r="U345" i="12"/>
  <c r="U393" i="12"/>
  <c r="U33" i="12"/>
  <c r="U318" i="12"/>
  <c r="U326" i="12"/>
  <c r="U218" i="12"/>
  <c r="U187" i="12"/>
  <c r="U323" i="12"/>
  <c r="U101" i="12"/>
  <c r="U46" i="12"/>
  <c r="U392" i="12"/>
  <c r="U329" i="12"/>
  <c r="U28" i="12"/>
  <c r="U389" i="12"/>
  <c r="U243" i="12"/>
  <c r="U275" i="12"/>
  <c r="U60" i="12"/>
  <c r="U74" i="12"/>
  <c r="U54" i="12"/>
  <c r="U211" i="12"/>
  <c r="U324" i="12"/>
  <c r="U59" i="12"/>
  <c r="U138" i="12"/>
  <c r="U24" i="12"/>
  <c r="U111" i="12"/>
  <c r="U152" i="12"/>
  <c r="U315" i="12"/>
  <c r="U365" i="12"/>
  <c r="U175" i="12"/>
  <c r="U93" i="12"/>
  <c r="U148" i="12"/>
  <c r="U335" i="12"/>
  <c r="U142" i="12"/>
  <c r="U149" i="12"/>
  <c r="U34" i="12"/>
  <c r="U337" i="12"/>
  <c r="U350" i="12"/>
  <c r="U42" i="12"/>
  <c r="U206" i="12"/>
  <c r="U193" i="12"/>
  <c r="U39" i="12"/>
  <c r="U369" i="12"/>
  <c r="U41" i="12"/>
  <c r="U319" i="12"/>
  <c r="U30" i="12"/>
  <c r="U377" i="12"/>
  <c r="U26" i="12"/>
  <c r="U126" i="12"/>
  <c r="U40" i="12"/>
  <c r="U49" i="12"/>
  <c r="V193" i="12" l="1"/>
  <c r="V206" i="12"/>
  <c r="V175" i="12"/>
  <c r="V365" i="12"/>
  <c r="V324" i="12"/>
  <c r="V243" i="12"/>
  <c r="V393" i="12"/>
  <c r="V345" i="12"/>
  <c r="V163" i="12"/>
  <c r="V191" i="12"/>
  <c r="V395" i="12"/>
  <c r="V296" i="12"/>
  <c r="V360" i="12"/>
  <c r="V316" i="12"/>
  <c r="V241" i="12"/>
  <c r="V261" i="12"/>
  <c r="V320" i="12"/>
  <c r="V128" i="12"/>
  <c r="V119" i="12"/>
  <c r="V199" i="12"/>
  <c r="V221" i="12"/>
  <c r="V247" i="12"/>
  <c r="V143" i="12"/>
  <c r="V213" i="12"/>
  <c r="V190" i="12"/>
  <c r="V400" i="12"/>
  <c r="V308" i="12"/>
  <c r="V89" i="12"/>
  <c r="V242" i="12"/>
  <c r="V328" i="12"/>
  <c r="V116" i="12"/>
  <c r="V178" i="12"/>
  <c r="V254" i="12"/>
  <c r="V342" i="12"/>
  <c r="V188" i="12"/>
  <c r="V91" i="12"/>
  <c r="V135" i="12"/>
  <c r="V362" i="12"/>
  <c r="V102" i="12"/>
  <c r="V108" i="12"/>
  <c r="V200" i="12"/>
  <c r="V399" i="12"/>
  <c r="V338" i="12"/>
  <c r="V367" i="12"/>
  <c r="V289" i="12"/>
  <c r="V165" i="12"/>
  <c r="V279" i="12"/>
  <c r="V385" i="12"/>
  <c r="V176" i="12"/>
  <c r="V92" i="12"/>
  <c r="V380" i="12"/>
  <c r="V236" i="12"/>
  <c r="V329" i="12"/>
  <c r="V227" i="12"/>
  <c r="V315" i="12"/>
  <c r="V313" i="12"/>
  <c r="V222" i="12"/>
  <c r="V96" i="12"/>
  <c r="V88" i="12"/>
  <c r="V50" i="12"/>
  <c r="V68" i="12"/>
  <c r="V240" i="12"/>
  <c r="V211" i="12"/>
  <c r="V274" i="12"/>
  <c r="V290" i="12"/>
  <c r="V120" i="12"/>
  <c r="V186" i="12"/>
  <c r="V126" i="12"/>
  <c r="V70" i="12"/>
  <c r="V136" i="12"/>
  <c r="V103" i="12"/>
  <c r="V269" i="12"/>
  <c r="V104" i="12"/>
  <c r="V392" i="12"/>
  <c r="V75" i="12"/>
  <c r="V133" i="12"/>
  <c r="V238" i="12"/>
  <c r="V401" i="12"/>
  <c r="V36" i="12"/>
  <c r="V278" i="12"/>
  <c r="V152" i="12"/>
  <c r="V130" i="12"/>
  <c r="V157" i="12"/>
  <c r="V260" i="12"/>
  <c r="V232" i="12"/>
  <c r="V69" i="12"/>
  <c r="V26" i="12"/>
  <c r="V145" i="12"/>
  <c r="V286" i="12"/>
  <c r="V182" i="12"/>
  <c r="V293" i="12"/>
  <c r="V314" i="12"/>
  <c r="V61" i="12"/>
  <c r="V46" i="12"/>
  <c r="V19" i="12"/>
  <c r="V246" i="12"/>
  <c r="V389" i="12"/>
  <c r="V372" i="12"/>
  <c r="V198" i="12"/>
  <c r="V397" i="12"/>
  <c r="V137" i="12"/>
  <c r="V337" i="12"/>
  <c r="V67" i="12"/>
  <c r="V35" i="12"/>
  <c r="V154" i="12"/>
  <c r="V85" i="12"/>
  <c r="V396" i="12"/>
  <c r="V377" i="12"/>
  <c r="V287" i="12"/>
  <c r="V111" i="12"/>
  <c r="V54" i="12"/>
  <c r="V71" i="12"/>
  <c r="V25" i="12"/>
  <c r="V239" i="12"/>
  <c r="V101" i="12"/>
  <c r="V391" i="12"/>
  <c r="V79" i="12"/>
  <c r="V224" i="12"/>
  <c r="V208" i="12"/>
  <c r="V230" i="12"/>
  <c r="V115" i="12"/>
  <c r="V304" i="12"/>
  <c r="V40" i="12"/>
  <c r="V34" i="12"/>
  <c r="V99" i="12"/>
  <c r="V361" i="12"/>
  <c r="V144" i="12"/>
  <c r="V173" i="12"/>
  <c r="V249" i="12"/>
  <c r="V49" i="12"/>
  <c r="V31" i="12"/>
  <c r="V161" i="12"/>
  <c r="V373" i="12"/>
  <c r="V307" i="12"/>
  <c r="V366" i="12"/>
  <c r="V259" i="12"/>
  <c r="V355" i="12"/>
  <c r="V149" i="12"/>
  <c r="V263" i="12"/>
  <c r="V110" i="12"/>
  <c r="V333" i="12"/>
  <c r="V44" i="12"/>
  <c r="V63" i="12"/>
  <c r="V62" i="12"/>
  <c r="V30" i="12"/>
  <c r="V27" i="12"/>
  <c r="V24" i="12"/>
  <c r="V363" i="12"/>
  <c r="V384" i="12"/>
  <c r="V166" i="12"/>
  <c r="V180" i="12"/>
  <c r="V299" i="12"/>
  <c r="V323" i="12"/>
  <c r="V72" i="12"/>
  <c r="V233" i="12"/>
  <c r="V376" i="12"/>
  <c r="V94" i="12"/>
  <c r="V375" i="12"/>
  <c r="V292" i="12"/>
  <c r="V142" i="12"/>
  <c r="V65" i="12"/>
  <c r="V74" i="12"/>
  <c r="V22" i="12"/>
  <c r="V252" i="12"/>
  <c r="V84" i="12"/>
  <c r="V319" i="12"/>
  <c r="V343" i="12"/>
  <c r="V330" i="12"/>
  <c r="V151" i="12"/>
  <c r="V184" i="12"/>
  <c r="V52" i="12"/>
  <c r="V53" i="12"/>
  <c r="V32" i="12"/>
  <c r="V285" i="12"/>
  <c r="V146" i="12"/>
  <c r="V158" i="12"/>
  <c r="V262" i="12"/>
  <c r="V351" i="12"/>
  <c r="V276" i="12"/>
  <c r="V310" i="12"/>
  <c r="V131" i="12"/>
  <c r="V335" i="12"/>
  <c r="V138" i="12"/>
  <c r="V43" i="12"/>
  <c r="V47" i="12"/>
  <c r="V309" i="12"/>
  <c r="V228" i="12"/>
  <c r="V218" i="12"/>
  <c r="V257" i="12"/>
  <c r="V356" i="12"/>
  <c r="V387" i="12"/>
  <c r="V370" i="12"/>
  <c r="V374" i="12"/>
  <c r="V223" i="12"/>
  <c r="V185" i="12"/>
  <c r="V41" i="12"/>
  <c r="V56" i="12"/>
  <c r="V66" i="12"/>
  <c r="V29" i="12"/>
  <c r="V28" i="12"/>
  <c r="V349" i="12"/>
  <c r="V326" i="12"/>
  <c r="V148" i="12"/>
  <c r="V124" i="12"/>
  <c r="V255" i="12"/>
  <c r="V348" i="12"/>
  <c r="V394" i="12"/>
  <c r="V220" i="12"/>
  <c r="V354" i="12"/>
  <c r="V55" i="12"/>
  <c r="V382" i="12"/>
  <c r="V73" i="12"/>
  <c r="V60" i="12"/>
  <c r="V51" i="12"/>
  <c r="V23" i="12"/>
  <c r="V21" i="12"/>
  <c r="V364" i="12"/>
  <c r="V265" i="12"/>
  <c r="V183" i="12"/>
  <c r="V95" i="12"/>
  <c r="V153" i="12"/>
  <c r="V256" i="12"/>
  <c r="V140" i="12"/>
  <c r="V117" i="12"/>
  <c r="V398" i="12"/>
  <c r="V59" i="12"/>
  <c r="V80" i="12"/>
  <c r="V202" i="12"/>
  <c r="V318" i="12"/>
  <c r="V93" i="12"/>
  <c r="V291" i="12"/>
  <c r="V123" i="12"/>
  <c r="V288" i="12"/>
  <c r="V300" i="12"/>
  <c r="V162" i="12"/>
  <c r="V127" i="12"/>
  <c r="V390" i="12"/>
  <c r="V352" i="12"/>
  <c r="V277" i="12"/>
  <c r="V275" i="12"/>
  <c r="V81" i="12"/>
  <c r="V225" i="12"/>
  <c r="V336" i="12"/>
  <c r="V134" i="12"/>
  <c r="V39" i="12"/>
  <c r="V294" i="12"/>
  <c r="V45" i="12"/>
  <c r="V48" i="12"/>
  <c r="V64" i="12"/>
  <c r="V20" i="12"/>
  <c r="V33" i="12"/>
  <c r="V281" i="12"/>
  <c r="V280" i="12"/>
  <c r="V266" i="12"/>
  <c r="V87" i="12"/>
  <c r="V113" i="12"/>
  <c r="V350" i="12"/>
  <c r="V42" i="12"/>
  <c r="V192" i="12"/>
  <c r="V201" i="12"/>
  <c r="V155" i="12"/>
  <c r="V346" i="12"/>
  <c r="V194" i="12"/>
  <c r="V325" i="12"/>
  <c r="V244" i="12"/>
  <c r="V57" i="12"/>
  <c r="W44" i="12" s="1" a="1"/>
  <c r="V187" i="12"/>
  <c r="V245" i="12"/>
  <c r="V219" i="12"/>
  <c r="V369" i="12"/>
  <c r="V359" i="12"/>
  <c r="V226" i="12"/>
  <c r="V179" i="12"/>
  <c r="V58" i="12"/>
  <c r="U347" i="12"/>
  <c r="V347" i="12" l="1"/>
  <c r="W44" i="12"/>
  <c r="W19" i="12" l="1"/>
  <c r="U383" i="12"/>
  <c r="Z30" i="12"/>
  <c r="AA30" i="12" s="1"/>
  <c r="Z31" i="12"/>
  <c r="AA31" i="12"/>
  <c r="Z32" i="12"/>
  <c r="Z33" i="12" s="1"/>
  <c r="AA32" i="12"/>
  <c r="Z34" i="12"/>
  <c r="Z35" i="12"/>
  <c r="AA34" i="12"/>
  <c r="Z36" i="12"/>
  <c r="AA35" i="12"/>
  <c r="AA36" i="12"/>
  <c r="Z37" i="12"/>
  <c r="AA37" i="12"/>
  <c r="Z38" i="12"/>
  <c r="Z39" i="12"/>
  <c r="AA38" i="12"/>
  <c r="Z40" i="12"/>
  <c r="AA39" i="12"/>
  <c r="AA40" i="12"/>
  <c r="Z41" i="12"/>
  <c r="AA41" i="12"/>
  <c r="Z42" i="12"/>
  <c r="Z43" i="12"/>
  <c r="AA42" i="12"/>
  <c r="Z44" i="12"/>
  <c r="AA43" i="12"/>
  <c r="Z45" i="12"/>
  <c r="AA44" i="12"/>
  <c r="Z46" i="12"/>
  <c r="AA45" i="12"/>
  <c r="Z47" i="12"/>
  <c r="AA46" i="12"/>
  <c r="Z48" i="12"/>
  <c r="AA47" i="12"/>
  <c r="Z49" i="12"/>
  <c r="AA48" i="12"/>
  <c r="Z50" i="12"/>
  <c r="AA49" i="12"/>
  <c r="Z51" i="12"/>
  <c r="AA50" i="12"/>
  <c r="AA51" i="12"/>
  <c r="Z52" i="12"/>
  <c r="AA52" i="12"/>
  <c r="Z53" i="12"/>
  <c r="AA53" i="12"/>
  <c r="Z54" i="12"/>
  <c r="Z55" i="12"/>
  <c r="AA54" i="12"/>
  <c r="AA55" i="12"/>
  <c r="Z56" i="12"/>
  <c r="Z57" i="12"/>
  <c r="AA56" i="12"/>
  <c r="AA57" i="12"/>
  <c r="Z58" i="12"/>
  <c r="AA58" i="12"/>
  <c r="Z59" i="12"/>
  <c r="AA59" i="12"/>
  <c r="Z60" i="12"/>
  <c r="Z61" i="12"/>
  <c r="AA60" i="12"/>
  <c r="AA61" i="12"/>
  <c r="Z62" i="12"/>
  <c r="AA62" i="12"/>
  <c r="Z63" i="12"/>
  <c r="Z64" i="12"/>
  <c r="AA63" i="12"/>
  <c r="Z65" i="12"/>
  <c r="AA64" i="12"/>
  <c r="AA65" i="12"/>
  <c r="Z66" i="12"/>
  <c r="Z67" i="12"/>
  <c r="AA66" i="12"/>
  <c r="AA67" i="12"/>
  <c r="Z68" i="12"/>
  <c r="AA68" i="12"/>
  <c r="Z69" i="12"/>
  <c r="AA69" i="12"/>
  <c r="Z70" i="12"/>
  <c r="Z71" i="12"/>
  <c r="AA70" i="12"/>
  <c r="Z72" i="12"/>
  <c r="AA71" i="12"/>
  <c r="AA72" i="12"/>
  <c r="Z73" i="12"/>
  <c r="Z74" i="12"/>
  <c r="AA73" i="12"/>
  <c r="AA74" i="12"/>
  <c r="Z75" i="12"/>
  <c r="Z76" i="12"/>
  <c r="AA75" i="12"/>
  <c r="AA76" i="12"/>
  <c r="Z77" i="12"/>
  <c r="Z78" i="12"/>
  <c r="AA77" i="12"/>
  <c r="Z79" i="12"/>
  <c r="AA78" i="12"/>
  <c r="Z80" i="12"/>
  <c r="AA79" i="12"/>
  <c r="AA80" i="12"/>
  <c r="Z81" i="12"/>
  <c r="AA81" i="12"/>
  <c r="Z82" i="12"/>
  <c r="Z83" i="12"/>
  <c r="AA82" i="12"/>
  <c r="AA83" i="12"/>
  <c r="Z84" i="12"/>
  <c r="Z85" i="12"/>
  <c r="AA84" i="12"/>
  <c r="AA85" i="12"/>
  <c r="Z86" i="12"/>
  <c r="Z87" i="12"/>
  <c r="AA86" i="12"/>
  <c r="AA87" i="12"/>
  <c r="Z88" i="12"/>
  <c r="Z89" i="12"/>
  <c r="AA88" i="12"/>
  <c r="AA89" i="12"/>
  <c r="Z90" i="12"/>
  <c r="AA90" i="12"/>
  <c r="Z91" i="12"/>
  <c r="Z92" i="12"/>
  <c r="AA91" i="12"/>
  <c r="AA92" i="12"/>
  <c r="Z93" i="12"/>
  <c r="AA93" i="12"/>
  <c r="Z94" i="12"/>
  <c r="Z95" i="12"/>
  <c r="AA94" i="12"/>
  <c r="Z96" i="12"/>
  <c r="AA95" i="12"/>
  <c r="Z97" i="12"/>
  <c r="AA96" i="12"/>
  <c r="Z98" i="12"/>
  <c r="AA97" i="12"/>
  <c r="Z99" i="12"/>
  <c r="AA98" i="12"/>
  <c r="Z100" i="12"/>
  <c r="AA99" i="12"/>
  <c r="Z101" i="12"/>
  <c r="AA100" i="12"/>
  <c r="AA101" i="12"/>
  <c r="Z102" i="12"/>
  <c r="Z103" i="12"/>
  <c r="AA102" i="12"/>
  <c r="Z104" i="12"/>
  <c r="AA103" i="12"/>
  <c r="Z105" i="12"/>
  <c r="AA104" i="12"/>
  <c r="Z106" i="12"/>
  <c r="AA105" i="12"/>
  <c r="AA106" i="12"/>
  <c r="Z107" i="12"/>
  <c r="AA107" i="12"/>
  <c r="Z108" i="12"/>
  <c r="Z109" i="12"/>
  <c r="AA108" i="12"/>
  <c r="AA109" i="12"/>
  <c r="Z110" i="12"/>
  <c r="AA110" i="12"/>
  <c r="Z111" i="12"/>
  <c r="AA111" i="12"/>
  <c r="Z112" i="12"/>
  <c r="AA112" i="12"/>
  <c r="Z113" i="12"/>
  <c r="Z114" i="12"/>
  <c r="AA113" i="12"/>
  <c r="AA114" i="12"/>
  <c r="Z115" i="12"/>
  <c r="Z116" i="12"/>
  <c r="AA115" i="12"/>
  <c r="Z117" i="12"/>
  <c r="AA116" i="12"/>
  <c r="AA117" i="12"/>
  <c r="Z118" i="12"/>
  <c r="AA118" i="12"/>
  <c r="Z119" i="12"/>
  <c r="Z120" i="12"/>
  <c r="AA119" i="12"/>
  <c r="Z121" i="12"/>
  <c r="AA120" i="12"/>
  <c r="AA121" i="12"/>
  <c r="Z122" i="12"/>
  <c r="Z123" i="12"/>
  <c r="AA122" i="12"/>
  <c r="AA123" i="12"/>
  <c r="Z124" i="12"/>
  <c r="AA124" i="12"/>
  <c r="Z125" i="12"/>
  <c r="AA125" i="12"/>
  <c r="Z126" i="12"/>
  <c r="Z127" i="12"/>
  <c r="AA126" i="12"/>
  <c r="Z128" i="12"/>
  <c r="AA127" i="12"/>
  <c r="AA128" i="12"/>
  <c r="Z129" i="12"/>
  <c r="Z130" i="12"/>
  <c r="AA129" i="12"/>
  <c r="Z131" i="12"/>
  <c r="AA130" i="12"/>
  <c r="AA131" i="12"/>
  <c r="Z132" i="12"/>
  <c r="Z133" i="12"/>
  <c r="AA132" i="12"/>
  <c r="Z134" i="12"/>
  <c r="AA133" i="12"/>
  <c r="AA134" i="12"/>
  <c r="Z135" i="12"/>
  <c r="AA135" i="12"/>
  <c r="Z136" i="12"/>
  <c r="AA136" i="12"/>
  <c r="Z137" i="12"/>
  <c r="Z138" i="12"/>
  <c r="AA137" i="12"/>
  <c r="Z139" i="12"/>
  <c r="AA138" i="12"/>
  <c r="AA139" i="12"/>
  <c r="Z140" i="12"/>
  <c r="Z141" i="12"/>
  <c r="AA140" i="12"/>
  <c r="AA141" i="12"/>
  <c r="Z142" i="12"/>
  <c r="AA142" i="12"/>
  <c r="Z143" i="12"/>
  <c r="Z144" i="12"/>
  <c r="AA143" i="12"/>
  <c r="Z145" i="12"/>
  <c r="AA144" i="12"/>
  <c r="Z146" i="12"/>
  <c r="AA145" i="12"/>
  <c r="AA146" i="12"/>
  <c r="Z147" i="12"/>
  <c r="Z148" i="12"/>
  <c r="AA147" i="12"/>
  <c r="Z149" i="12"/>
  <c r="AA148" i="12"/>
  <c r="Z150" i="12"/>
  <c r="AA149" i="12"/>
  <c r="AA150" i="12"/>
  <c r="Z151" i="12"/>
  <c r="AA151" i="12"/>
  <c r="Z152" i="12"/>
  <c r="AA152" i="12"/>
  <c r="Z153" i="12"/>
  <c r="AA153" i="12"/>
  <c r="Z154" i="12"/>
  <c r="AA154" i="12"/>
  <c r="Z155" i="12"/>
  <c r="AA155" i="12"/>
  <c r="Z156" i="12"/>
  <c r="AA156" i="12"/>
  <c r="Z157" i="12"/>
  <c r="Z158" i="12"/>
  <c r="AA157" i="12"/>
  <c r="Z159" i="12"/>
  <c r="AA158" i="12"/>
  <c r="AA159" i="12"/>
  <c r="Z160" i="12"/>
  <c r="Z161" i="12"/>
  <c r="AA160" i="12"/>
  <c r="AA161" i="12"/>
  <c r="Z162" i="12"/>
  <c r="Z163" i="12"/>
  <c r="AA162" i="12"/>
  <c r="Z164" i="12"/>
  <c r="AA163" i="12"/>
  <c r="AA164" i="12"/>
  <c r="Z165" i="12"/>
  <c r="Z166" i="12"/>
  <c r="AA165" i="12"/>
  <c r="Z167" i="12"/>
  <c r="AA166" i="12"/>
  <c r="Z168" i="12"/>
  <c r="AA167" i="12"/>
  <c r="Z169" i="12"/>
  <c r="AA168" i="12"/>
  <c r="Z170" i="12"/>
  <c r="AA169" i="12"/>
  <c r="Z171" i="12"/>
  <c r="AA170" i="12"/>
  <c r="AA171" i="12"/>
  <c r="Z172" i="12"/>
  <c r="Z173" i="12"/>
  <c r="AA172" i="12"/>
  <c r="Z174" i="12"/>
  <c r="AA173" i="12"/>
  <c r="Z175" i="12"/>
  <c r="AA174" i="12"/>
  <c r="Z176" i="12"/>
  <c r="AA175" i="12"/>
  <c r="Z177" i="12"/>
  <c r="AA176" i="12"/>
  <c r="Z178" i="12"/>
  <c r="AA177" i="12"/>
  <c r="Z179" i="12"/>
  <c r="AA178" i="12"/>
  <c r="Z180" i="12"/>
  <c r="AA179" i="12"/>
  <c r="AA180" i="12"/>
  <c r="Z181" i="12"/>
  <c r="Z182" i="12"/>
  <c r="AA181" i="12"/>
  <c r="Z183" i="12"/>
  <c r="AA182" i="12"/>
  <c r="AA183" i="12"/>
  <c r="Z184" i="12"/>
  <c r="Z185" i="12"/>
  <c r="AA184" i="12"/>
  <c r="AA185" i="12"/>
  <c r="Z186" i="12"/>
  <c r="AA186" i="12"/>
  <c r="Z187" i="12"/>
  <c r="AA187" i="12"/>
  <c r="Z188" i="12"/>
  <c r="AA188" i="12"/>
  <c r="Z189" i="12"/>
  <c r="Z190" i="12"/>
  <c r="AA189" i="12"/>
  <c r="AA190" i="12"/>
  <c r="Z191" i="12"/>
  <c r="AA191" i="12"/>
  <c r="Z192" i="12"/>
  <c r="AA192" i="12"/>
  <c r="Z193" i="12"/>
  <c r="AA193" i="12"/>
  <c r="Z194" i="12"/>
  <c r="Z195" i="12"/>
  <c r="AA194" i="12"/>
  <c r="AA195" i="12"/>
  <c r="Z196" i="12"/>
  <c r="AA196" i="12"/>
  <c r="Z197" i="12"/>
  <c r="AA197" i="12"/>
  <c r="Z198" i="12"/>
  <c r="Z199" i="12"/>
  <c r="AA198" i="12"/>
  <c r="AA199" i="12"/>
  <c r="Z200" i="12"/>
  <c r="Z201" i="12"/>
  <c r="AA200" i="12"/>
  <c r="AA201" i="12"/>
  <c r="Z202" i="12"/>
  <c r="Z203" i="12"/>
  <c r="AA202" i="12"/>
  <c r="AA203" i="12"/>
  <c r="Z204" i="12"/>
  <c r="Z205" i="12"/>
  <c r="AA204" i="12"/>
  <c r="AA205" i="12"/>
  <c r="Z206" i="12"/>
  <c r="AA206" i="12"/>
  <c r="Z207" i="12"/>
  <c r="Z208" i="12"/>
  <c r="AA207" i="12"/>
  <c r="AA208" i="12"/>
  <c r="Z209" i="12"/>
  <c r="AA209" i="12"/>
  <c r="Z210" i="12"/>
  <c r="AA210" i="12"/>
  <c r="Z211" i="12"/>
  <c r="Z212" i="12"/>
  <c r="AA211" i="12"/>
  <c r="Z213" i="12"/>
  <c r="AA212" i="12"/>
  <c r="AA213" i="12"/>
  <c r="Z214" i="12"/>
  <c r="AA214" i="12"/>
  <c r="Z215" i="12"/>
  <c r="AA215" i="12"/>
  <c r="Z216" i="12"/>
  <c r="AA216" i="12"/>
  <c r="Z217" i="12"/>
  <c r="AA217" i="12"/>
  <c r="Z218" i="12"/>
  <c r="Z219" i="12"/>
  <c r="AA218" i="12"/>
  <c r="Z220" i="12"/>
  <c r="AA219" i="12"/>
  <c r="AA220" i="12"/>
  <c r="Z221" i="12"/>
  <c r="AA221" i="12"/>
  <c r="Z222" i="12"/>
  <c r="AA222" i="12"/>
  <c r="Z223" i="12"/>
  <c r="Z224" i="12"/>
  <c r="AA223" i="12"/>
  <c r="AA224" i="12"/>
  <c r="Z225" i="12"/>
  <c r="AA225" i="12"/>
  <c r="Z226" i="12"/>
  <c r="AA226" i="12"/>
  <c r="Z227" i="12"/>
  <c r="Z228" i="12"/>
  <c r="AA227" i="12"/>
  <c r="Z229" i="12"/>
  <c r="AA228" i="12"/>
  <c r="Z230" i="12"/>
  <c r="AA229" i="12"/>
  <c r="Z231" i="12"/>
  <c r="AA230" i="12"/>
  <c r="AA231" i="12"/>
  <c r="Z232" i="12"/>
  <c r="Z233" i="12"/>
  <c r="AA232" i="12"/>
  <c r="Z234" i="12"/>
  <c r="AA233" i="12"/>
  <c r="AA234" i="12"/>
  <c r="Z235" i="12"/>
  <c r="Z236" i="12"/>
  <c r="AA235" i="12"/>
  <c r="Z237" i="12"/>
  <c r="AA236" i="12"/>
  <c r="AA237" i="12"/>
  <c r="Z238" i="12"/>
  <c r="Z239" i="12"/>
  <c r="AA238" i="12"/>
  <c r="AA239" i="12"/>
  <c r="Z240" i="12"/>
  <c r="AA240" i="12"/>
  <c r="Z241" i="12"/>
  <c r="AA241" i="12"/>
  <c r="Z242" i="12"/>
  <c r="AA242" i="12"/>
  <c r="Z243" i="12"/>
  <c r="AA243" i="12"/>
  <c r="Z244" i="12"/>
  <c r="Z245" i="12"/>
  <c r="AA244" i="12"/>
  <c r="AA245" i="12"/>
  <c r="Z246" i="12"/>
  <c r="Z247" i="12"/>
  <c r="AA246" i="12"/>
  <c r="AA247" i="12"/>
  <c r="Z248" i="12"/>
  <c r="AA248" i="12"/>
  <c r="Z249" i="12"/>
  <c r="AA249" i="12"/>
  <c r="Z250" i="12"/>
  <c r="Z251" i="12"/>
  <c r="AA250" i="12"/>
  <c r="AA251" i="12"/>
  <c r="Z252" i="12"/>
  <c r="Z253" i="12"/>
  <c r="AA252" i="12"/>
  <c r="AA253" i="12"/>
  <c r="Z254" i="12"/>
  <c r="AA254" i="12"/>
  <c r="Z255" i="12"/>
  <c r="Z256" i="12"/>
  <c r="AA255" i="12"/>
  <c r="AA256" i="12"/>
  <c r="Z257" i="12"/>
  <c r="Z258" i="12"/>
  <c r="AA257" i="12"/>
  <c r="AA258" i="12"/>
  <c r="Z259" i="12"/>
  <c r="Z260" i="12"/>
  <c r="AA259" i="12"/>
  <c r="Z261" i="12"/>
  <c r="AA260" i="12"/>
  <c r="AA261" i="12"/>
  <c r="Z262" i="12"/>
  <c r="AA262" i="12"/>
  <c r="Z263" i="12"/>
  <c r="Z264" i="12"/>
  <c r="AA263" i="12"/>
  <c r="AA264" i="12"/>
  <c r="Z265" i="12"/>
  <c r="Z266" i="12"/>
  <c r="AA265" i="12"/>
  <c r="AA266" i="12"/>
  <c r="Z267" i="12"/>
  <c r="AA267" i="12"/>
  <c r="Z268" i="12"/>
  <c r="Z269" i="12"/>
  <c r="AA268" i="12"/>
  <c r="Z270" i="12"/>
  <c r="AA269" i="12"/>
  <c r="AA270" i="12"/>
  <c r="Z271" i="12"/>
  <c r="AA271" i="12"/>
  <c r="Z272" i="12"/>
  <c r="AA272" i="12"/>
  <c r="Z273" i="12"/>
  <c r="Z274" i="12"/>
  <c r="AA273" i="12"/>
  <c r="Z275" i="12"/>
  <c r="AA274" i="12"/>
  <c r="AA275" i="12"/>
  <c r="Z276" i="12"/>
  <c r="Z277" i="12"/>
  <c r="AA276" i="12"/>
  <c r="Z278" i="12"/>
  <c r="AA277" i="12"/>
  <c r="AA278" i="12"/>
  <c r="Z279" i="12"/>
  <c r="AA279" i="12"/>
  <c r="Z280" i="12"/>
  <c r="Z281" i="12"/>
  <c r="AA280" i="12"/>
  <c r="AA281" i="12"/>
  <c r="Z282" i="12"/>
  <c r="Z283" i="12"/>
  <c r="AA282" i="12"/>
  <c r="Z284" i="12"/>
  <c r="AA283" i="12"/>
  <c r="Z285" i="12"/>
  <c r="AA284" i="12"/>
  <c r="Z286" i="12"/>
  <c r="AA285" i="12"/>
  <c r="Z287" i="12"/>
  <c r="AA286" i="12"/>
  <c r="AA287" i="12"/>
  <c r="Z288" i="12"/>
  <c r="Z289" i="12"/>
  <c r="AA288" i="12"/>
  <c r="Z290" i="12"/>
  <c r="AA289" i="12"/>
  <c r="Z291" i="12"/>
  <c r="AA290" i="12"/>
  <c r="AA291" i="12"/>
  <c r="Z292" i="12"/>
  <c r="AA292" i="12"/>
  <c r="Z293" i="12"/>
  <c r="Z294" i="12"/>
  <c r="AA293" i="12"/>
  <c r="AA294" i="12"/>
  <c r="Z295" i="12"/>
  <c r="Z296" i="12"/>
  <c r="AA295" i="12"/>
  <c r="AA296" i="12"/>
  <c r="Z297" i="12"/>
  <c r="Z298" i="12"/>
  <c r="AA297" i="12"/>
  <c r="AA298" i="12"/>
  <c r="Z299" i="12"/>
  <c r="Z300" i="12"/>
  <c r="AA299" i="12"/>
  <c r="AA300" i="12"/>
  <c r="Z301" i="12"/>
  <c r="Z302" i="12"/>
  <c r="AA301" i="12"/>
  <c r="Z303" i="12"/>
  <c r="AA302" i="12"/>
  <c r="AA303" i="12"/>
  <c r="Z304" i="12"/>
  <c r="AA304" i="12"/>
  <c r="Z305" i="12"/>
  <c r="Z306" i="12"/>
  <c r="AA305" i="12"/>
  <c r="Z307" i="12"/>
  <c r="AA306" i="12"/>
  <c r="Z308" i="12"/>
  <c r="AA307" i="12"/>
  <c r="AA308" i="12"/>
  <c r="Z309" i="12"/>
  <c r="Z310" i="12"/>
  <c r="AA309" i="12"/>
  <c r="AA310" i="12"/>
  <c r="Z311" i="12"/>
  <c r="AA311" i="12"/>
  <c r="Z312" i="12"/>
  <c r="Z313" i="12"/>
  <c r="AA312" i="12"/>
  <c r="Z314" i="12"/>
  <c r="AA313" i="12"/>
  <c r="AA314" i="12"/>
  <c r="Z315" i="12"/>
  <c r="Z316" i="12"/>
  <c r="AA315" i="12"/>
  <c r="AA316" i="12"/>
  <c r="Z317" i="12"/>
  <c r="AA317" i="12"/>
  <c r="Z318" i="12"/>
  <c r="Z319" i="12"/>
  <c r="AA318" i="12"/>
  <c r="AA319" i="12"/>
  <c r="Z320" i="12"/>
  <c r="Z321" i="12"/>
  <c r="AA320" i="12"/>
  <c r="AA321" i="12"/>
  <c r="Z322" i="12"/>
  <c r="Z323" i="12"/>
  <c r="AA322" i="12"/>
  <c r="AA323" i="12"/>
  <c r="Z324" i="12"/>
  <c r="AA324" i="12"/>
  <c r="Z325" i="12"/>
  <c r="Z326" i="12"/>
  <c r="AA325" i="12"/>
  <c r="AA326" i="12"/>
  <c r="Z327" i="12"/>
  <c r="AA327" i="12"/>
  <c r="Z328" i="12"/>
  <c r="AA328" i="12"/>
  <c r="Z329" i="12"/>
  <c r="AA329" i="12"/>
  <c r="Z330" i="12"/>
  <c r="Z331" i="12"/>
  <c r="AA330" i="12"/>
  <c r="Z332" i="12"/>
  <c r="AA331" i="12"/>
  <c r="Z333" i="12"/>
  <c r="AA332" i="12"/>
  <c r="AA333" i="12"/>
  <c r="Z334" i="12"/>
  <c r="Z335" i="12"/>
  <c r="AA334" i="12"/>
  <c r="AA335" i="12"/>
  <c r="Z336" i="12"/>
  <c r="Z337" i="12"/>
  <c r="AA336" i="12"/>
  <c r="AA337" i="12"/>
  <c r="Z338" i="12"/>
  <c r="Z339" i="12"/>
  <c r="AA338" i="12"/>
  <c r="Z340" i="12"/>
  <c r="AA339" i="12"/>
  <c r="AA340" i="12"/>
  <c r="Z341" i="12"/>
  <c r="AA341" i="12"/>
  <c r="Z342" i="12"/>
  <c r="AA342" i="12"/>
  <c r="Z343" i="12"/>
  <c r="AA343" i="12"/>
  <c r="Z344" i="12"/>
  <c r="Z345" i="12"/>
  <c r="AA344" i="12"/>
  <c r="Z346" i="12"/>
  <c r="AA345" i="12"/>
  <c r="AA346" i="12"/>
  <c r="Z347" i="12"/>
  <c r="Z348" i="12"/>
  <c r="AA347" i="12"/>
  <c r="Z349" i="12"/>
  <c r="AA348" i="12"/>
  <c r="AA349" i="12"/>
  <c r="Z350" i="12"/>
  <c r="Z351" i="12"/>
  <c r="AA350" i="12"/>
  <c r="AA351" i="12"/>
  <c r="Z352" i="12"/>
  <c r="Z353" i="12"/>
  <c r="AA352" i="12"/>
  <c r="AA353" i="12"/>
  <c r="Z354" i="12"/>
  <c r="Z355" i="12"/>
  <c r="AA354" i="12"/>
  <c r="Z356" i="12"/>
  <c r="AA355" i="12"/>
  <c r="AA356" i="12"/>
  <c r="Z357" i="12"/>
  <c r="AA357" i="12"/>
  <c r="Z358" i="12"/>
  <c r="Z359" i="12"/>
  <c r="AA358" i="12"/>
  <c r="AA359" i="12"/>
  <c r="Z360" i="12"/>
  <c r="AA360" i="12"/>
  <c r="Z361" i="12"/>
  <c r="AA361" i="12"/>
  <c r="Z362" i="12"/>
  <c r="Z363" i="12"/>
  <c r="AA362" i="12"/>
  <c r="Z364" i="12"/>
  <c r="AA363" i="12"/>
  <c r="Z365" i="12"/>
  <c r="AA364" i="12"/>
  <c r="Z366" i="12"/>
  <c r="AA365" i="12"/>
  <c r="AA366" i="12"/>
  <c r="Z367" i="12"/>
  <c r="AA367" i="12"/>
  <c r="Z368" i="12"/>
  <c r="Z369" i="12"/>
  <c r="AA368" i="12"/>
  <c r="AA369" i="12"/>
  <c r="Z370" i="12"/>
  <c r="Z371" i="12"/>
  <c r="AA370" i="12"/>
  <c r="AA371" i="12"/>
  <c r="Z372" i="12"/>
  <c r="Z373" i="12"/>
  <c r="AA372" i="12"/>
  <c r="AA373" i="12"/>
  <c r="Z374" i="12"/>
  <c r="AA374" i="12"/>
  <c r="Z375" i="12"/>
  <c r="Z376" i="12"/>
  <c r="AA375" i="12"/>
  <c r="AA376" i="12"/>
  <c r="Z377" i="12"/>
  <c r="AA377" i="12"/>
  <c r="Z378" i="12"/>
  <c r="Z379" i="12"/>
  <c r="AA378" i="12"/>
  <c r="Z380" i="12"/>
  <c r="AA379" i="12"/>
  <c r="AA380" i="12"/>
  <c r="Z381" i="12"/>
  <c r="AA381" i="12"/>
  <c r="Z382" i="12"/>
  <c r="Z383" i="12"/>
  <c r="AA382" i="12"/>
  <c r="Z384" i="12"/>
  <c r="AA383" i="12"/>
  <c r="Z385" i="12"/>
  <c r="AA384" i="12"/>
  <c r="AA385" i="12"/>
  <c r="Z386" i="12"/>
  <c r="Z387" i="12"/>
  <c r="AA386" i="12"/>
  <c r="Z388" i="12"/>
  <c r="AA387" i="12"/>
  <c r="AA388" i="12"/>
  <c r="Z389" i="12"/>
  <c r="Z390" i="12"/>
  <c r="AA389" i="12"/>
  <c r="AA390" i="12"/>
  <c r="Z391" i="12"/>
  <c r="AA391" i="12"/>
  <c r="Z392" i="12"/>
  <c r="Z393" i="12"/>
  <c r="AA392" i="12"/>
  <c r="Z394" i="12"/>
  <c r="AA393" i="12"/>
  <c r="Z395" i="12"/>
  <c r="AA394" i="12"/>
  <c r="Z396" i="12"/>
  <c r="AA395" i="12"/>
  <c r="AA396" i="12"/>
  <c r="Z397" i="12"/>
  <c r="AA397" i="12"/>
  <c r="Z398" i="12"/>
  <c r="AA398" i="12"/>
  <c r="Z399" i="12"/>
  <c r="Z400" i="12"/>
  <c r="AA399" i="12"/>
  <c r="Z401" i="12"/>
  <c r="AA400" i="12"/>
  <c r="Z402" i="12"/>
  <c r="AA401" i="12"/>
  <c r="AA402" i="12"/>
  <c r="Z403" i="12"/>
  <c r="AA403" i="12"/>
  <c r="Z404" i="12"/>
  <c r="Z405" i="12"/>
  <c r="AA404" i="12"/>
  <c r="AA405" i="12"/>
  <c r="Z406" i="12"/>
  <c r="AA406" i="12"/>
  <c r="Z407" i="12"/>
  <c r="AA407" i="12"/>
  <c r="Z408" i="12"/>
  <c r="AA408" i="12"/>
  <c r="Z409" i="12"/>
  <c r="AA409" i="12"/>
  <c r="Z410" i="12"/>
  <c r="AA410" i="12"/>
  <c r="Z411" i="12"/>
  <c r="Z412" i="12"/>
  <c r="AA411" i="12"/>
  <c r="Z413" i="12"/>
  <c r="AA412" i="12"/>
  <c r="AA413" i="12"/>
  <c r="Z414" i="12"/>
  <c r="AA414" i="12"/>
  <c r="Z415" i="12"/>
  <c r="AA415" i="12"/>
  <c r="Z416" i="12"/>
  <c r="AA416" i="12"/>
  <c r="Z417" i="12"/>
  <c r="AA417" i="12"/>
  <c r="Z418" i="12"/>
  <c r="Z419" i="12"/>
  <c r="AA418" i="12"/>
  <c r="Z420" i="12"/>
  <c r="AA419" i="12"/>
  <c r="Z421" i="12"/>
  <c r="AA420" i="12"/>
  <c r="AA421" i="12"/>
  <c r="Z422" i="12"/>
  <c r="AA422" i="12"/>
  <c r="Z423" i="12"/>
  <c r="AA423" i="12"/>
  <c r="Z424" i="12"/>
  <c r="AA424" i="12"/>
  <c r="Z425" i="12"/>
  <c r="AA425" i="12"/>
  <c r="Z426" i="12"/>
  <c r="AA426" i="12"/>
  <c r="Z427" i="12"/>
  <c r="AA427" i="12"/>
  <c r="Z428" i="12"/>
  <c r="Z429" i="12"/>
  <c r="AA428" i="12"/>
  <c r="Z430" i="12"/>
  <c r="AA429" i="12"/>
  <c r="AA430" i="12"/>
  <c r="Z431" i="12"/>
  <c r="AA431" i="12"/>
  <c r="Z432" i="12"/>
  <c r="AA432" i="12"/>
  <c r="Z433" i="12"/>
  <c r="Z434" i="12"/>
  <c r="AA433" i="12"/>
  <c r="Z435" i="12"/>
  <c r="AA434" i="12"/>
  <c r="Z436" i="12"/>
  <c r="AA435" i="12"/>
  <c r="AA436" i="12"/>
  <c r="Z437" i="12"/>
  <c r="Z438" i="12"/>
  <c r="AA437" i="12"/>
  <c r="AA438" i="12"/>
  <c r="Z439" i="12"/>
  <c r="AA439" i="12"/>
  <c r="Z440" i="12"/>
  <c r="AA440" i="12"/>
  <c r="Z441" i="12"/>
  <c r="AA441" i="12"/>
  <c r="Z442" i="12"/>
  <c r="Z443" i="12"/>
  <c r="AA442" i="12"/>
  <c r="Z444" i="12"/>
  <c r="AA443" i="12"/>
  <c r="Z445" i="12"/>
  <c r="AA444" i="12"/>
  <c r="Z446" i="12"/>
  <c r="AA445" i="12"/>
  <c r="Z447" i="12"/>
  <c r="AA446" i="12"/>
  <c r="Z448" i="12"/>
  <c r="AA447" i="12"/>
  <c r="AA448" i="12"/>
  <c r="Z449" i="12"/>
  <c r="AA449" i="12"/>
  <c r="Z450" i="12"/>
  <c r="AA450" i="12"/>
  <c r="Z451" i="12"/>
  <c r="Z452" i="12"/>
  <c r="AA451" i="12"/>
  <c r="AA452" i="12"/>
  <c r="Z453" i="12"/>
  <c r="AA453" i="12"/>
  <c r="Z454" i="12"/>
  <c r="Z455" i="12"/>
  <c r="AA454" i="12"/>
  <c r="Z456" i="12"/>
  <c r="AA455" i="12"/>
  <c r="Z457" i="12"/>
  <c r="AA456" i="12"/>
  <c r="AA457" i="12"/>
  <c r="Z458" i="12"/>
  <c r="Z459" i="12"/>
  <c r="AA458" i="12"/>
  <c r="AA459" i="12"/>
  <c r="Z460" i="12"/>
  <c r="AA460" i="12"/>
  <c r="Z461" i="12"/>
  <c r="Z462" i="12"/>
  <c r="AA461" i="12"/>
  <c r="AA462" i="12"/>
  <c r="Z463" i="12"/>
  <c r="Z464" i="12"/>
  <c r="AA463" i="12"/>
  <c r="AA464" i="12"/>
  <c r="Z465" i="12"/>
  <c r="Z466" i="12"/>
  <c r="AA465" i="12"/>
  <c r="AA466" i="12"/>
  <c r="Z467" i="12"/>
  <c r="Z468" i="12"/>
  <c r="AA467" i="12"/>
  <c r="AA468" i="12"/>
  <c r="Z469" i="12"/>
  <c r="AA469" i="12"/>
  <c r="Z470" i="12"/>
  <c r="AA470" i="12"/>
  <c r="Z471" i="12"/>
  <c r="AA471" i="12"/>
  <c r="Z472" i="12"/>
  <c r="AA472" i="12"/>
  <c r="Z473" i="12"/>
  <c r="Z474" i="12"/>
  <c r="AA473" i="12"/>
  <c r="Z475" i="12"/>
  <c r="AA474" i="12"/>
  <c r="AA475" i="12"/>
  <c r="Z476" i="12"/>
  <c r="Z477" i="12"/>
  <c r="AA476" i="12"/>
  <c r="AA477" i="12"/>
  <c r="Z478" i="12"/>
  <c r="AA478" i="12"/>
  <c r="Z479" i="12"/>
  <c r="Z480" i="12"/>
  <c r="AA479" i="12"/>
  <c r="Z481" i="12"/>
  <c r="AA480" i="12"/>
  <c r="Z482" i="12"/>
  <c r="AA481" i="12"/>
  <c r="Z483" i="12"/>
  <c r="AA482" i="12"/>
  <c r="AA483" i="12"/>
  <c r="Z484" i="12"/>
  <c r="Z485" i="12"/>
  <c r="AA484" i="12"/>
  <c r="Z486" i="12"/>
  <c r="AA485" i="12"/>
  <c r="AA486" i="12"/>
  <c r="Z487" i="12"/>
  <c r="AA487" i="12"/>
  <c r="Z488" i="12"/>
  <c r="Z489" i="12"/>
  <c r="AA488" i="12"/>
  <c r="AA489" i="12"/>
  <c r="Z490" i="12"/>
  <c r="Z491" i="12"/>
  <c r="AA490" i="12"/>
  <c r="Z492" i="12"/>
  <c r="AA491" i="12"/>
  <c r="AA492" i="12"/>
  <c r="Z493" i="12"/>
  <c r="AA493" i="12"/>
  <c r="Z494" i="12"/>
  <c r="Z495" i="12"/>
  <c r="AA494" i="12"/>
  <c r="AA495" i="12"/>
  <c r="Z496" i="12"/>
  <c r="Z497" i="12"/>
  <c r="AA496" i="12"/>
  <c r="AA497" i="12"/>
  <c r="Z498" i="12"/>
  <c r="Z499" i="12"/>
  <c r="AA498" i="12"/>
  <c r="AA499" i="12"/>
  <c r="Z500" i="12"/>
  <c r="Z501" i="12"/>
  <c r="AA500" i="12"/>
  <c r="Z502" i="12"/>
  <c r="AA501" i="12"/>
  <c r="AA502" i="12"/>
  <c r="Z503" i="12"/>
  <c r="Z504" i="12"/>
  <c r="AA503" i="12"/>
  <c r="Z505" i="12"/>
  <c r="AA504" i="12"/>
  <c r="AA505" i="12"/>
  <c r="Z506" i="12"/>
  <c r="AA506" i="12"/>
  <c r="Z507" i="12"/>
  <c r="AA507" i="12"/>
  <c r="Z508" i="12"/>
  <c r="Z509" i="12"/>
  <c r="AA508" i="12"/>
  <c r="Z510" i="12"/>
  <c r="AA509" i="12"/>
  <c r="Z511" i="12"/>
  <c r="AA510" i="12"/>
  <c r="AA511" i="12"/>
  <c r="Z512" i="12"/>
  <c r="Z513" i="12"/>
  <c r="AA512" i="12"/>
  <c r="Z514" i="12"/>
  <c r="AA513" i="12"/>
  <c r="AA514" i="12"/>
  <c r="Z515" i="12"/>
  <c r="Z516" i="12"/>
  <c r="AA515" i="12"/>
  <c r="AA516" i="12"/>
  <c r="Z517" i="12"/>
  <c r="Z518" i="12"/>
  <c r="AA517" i="12"/>
  <c r="Z519" i="12"/>
  <c r="AA518" i="12"/>
  <c r="Z520" i="12"/>
  <c r="AA519" i="12"/>
  <c r="Z521" i="12"/>
  <c r="AA520" i="12"/>
  <c r="AA521" i="12"/>
  <c r="Z522" i="12"/>
  <c r="AA522" i="12"/>
  <c r="Z523" i="12"/>
  <c r="AA523" i="12"/>
  <c r="Z524" i="12"/>
  <c r="AA524" i="12"/>
  <c r="Z525" i="12"/>
  <c r="Z526" i="12"/>
  <c r="AA525" i="12"/>
  <c r="Z527" i="12"/>
  <c r="AA526" i="12"/>
  <c r="AA527" i="12"/>
  <c r="Z528" i="12"/>
  <c r="Z529" i="12"/>
  <c r="AA528" i="12"/>
  <c r="Z530" i="12"/>
  <c r="AA529" i="12"/>
  <c r="Z531" i="12"/>
  <c r="AA530" i="12"/>
  <c r="AA531" i="12"/>
  <c r="Z532" i="12"/>
  <c r="AA532" i="12"/>
  <c r="Z533" i="12"/>
  <c r="Z534" i="12"/>
  <c r="AA533" i="12"/>
  <c r="Z535" i="12"/>
  <c r="AA534" i="12"/>
  <c r="Z536" i="12"/>
  <c r="AA535" i="12"/>
  <c r="AA536" i="12"/>
  <c r="Z537" i="12"/>
  <c r="Z538" i="12"/>
  <c r="AA537" i="12"/>
  <c r="AA538" i="12"/>
  <c r="Z539" i="12"/>
  <c r="Z540" i="12"/>
  <c r="AA539" i="12"/>
  <c r="AA540" i="12"/>
  <c r="Z541" i="12"/>
  <c r="Z542" i="12"/>
  <c r="AA541" i="12"/>
  <c r="Z543" i="12"/>
  <c r="AA542" i="12"/>
  <c r="Z544" i="12"/>
  <c r="AA543" i="12"/>
  <c r="Z545" i="12"/>
  <c r="AA544" i="12"/>
  <c r="Z546" i="12"/>
  <c r="AA545" i="12"/>
  <c r="Z547" i="12"/>
  <c r="AA546" i="12"/>
  <c r="Z548" i="12"/>
  <c r="AA547" i="12"/>
  <c r="Z549" i="12"/>
  <c r="AA548" i="12"/>
  <c r="AA549" i="12"/>
  <c r="Z550" i="12"/>
  <c r="AA550" i="12"/>
  <c r="Z551" i="12"/>
  <c r="Z552" i="12"/>
  <c r="AA551" i="12"/>
  <c r="AA552" i="12"/>
  <c r="Z553" i="12"/>
  <c r="Z554" i="12"/>
  <c r="AA553" i="12"/>
  <c r="Z555" i="12"/>
  <c r="AA554" i="12"/>
  <c r="AA555" i="12"/>
  <c r="Z556" i="12"/>
  <c r="Z557" i="12"/>
  <c r="AA556" i="12"/>
  <c r="Z558" i="12"/>
  <c r="AA557" i="12"/>
  <c r="AA558" i="12"/>
  <c r="Z559" i="12"/>
  <c r="Z560" i="12"/>
  <c r="AA559" i="12"/>
  <c r="Z561" i="12"/>
  <c r="AA560" i="12"/>
  <c r="AA561" i="12"/>
  <c r="Z562" i="12"/>
  <c r="Z563" i="12"/>
  <c r="AA562" i="12"/>
  <c r="AA563" i="12"/>
  <c r="Z564" i="12"/>
  <c r="Z565" i="12"/>
  <c r="AA564" i="12"/>
  <c r="AA565" i="12"/>
  <c r="Z566" i="12"/>
  <c r="AA566" i="12"/>
  <c r="Z567" i="12"/>
  <c r="Z568" i="12"/>
  <c r="AA567" i="12"/>
  <c r="AA568" i="12"/>
  <c r="Z569" i="12"/>
  <c r="AA569" i="12"/>
  <c r="Z570" i="12"/>
  <c r="Z571" i="12"/>
  <c r="AA570" i="12"/>
  <c r="AA571" i="12"/>
  <c r="Z572" i="12"/>
  <c r="Z573" i="12"/>
  <c r="AA572" i="12"/>
  <c r="Z574" i="12"/>
  <c r="AA573" i="12"/>
  <c r="Z575" i="12"/>
  <c r="AA574" i="12"/>
  <c r="Z576" i="12"/>
  <c r="AA575" i="12"/>
  <c r="Z577" i="12"/>
  <c r="AA576" i="12"/>
  <c r="Z578" i="12"/>
  <c r="AA577" i="12"/>
  <c r="Z579" i="12"/>
  <c r="AA578" i="12"/>
  <c r="Z580" i="12"/>
  <c r="AA579" i="12"/>
  <c r="Z581" i="12"/>
  <c r="AA580" i="12"/>
  <c r="Z582" i="12"/>
  <c r="AA581" i="12"/>
  <c r="AA582" i="12"/>
  <c r="Z583" i="12"/>
  <c r="AA583" i="12"/>
  <c r="Z584" i="12"/>
  <c r="Z585" i="12"/>
  <c r="AA584" i="12"/>
  <c r="AA585" i="12"/>
  <c r="Z586" i="12"/>
  <c r="Z587" i="12"/>
  <c r="AA586" i="12"/>
  <c r="Z588" i="12"/>
  <c r="AA587" i="12"/>
  <c r="Z589" i="12"/>
  <c r="AA588" i="12"/>
  <c r="Z590" i="12"/>
  <c r="AA589" i="12"/>
  <c r="Z591" i="12"/>
  <c r="AA590" i="12"/>
  <c r="AA591" i="12"/>
  <c r="Z592" i="12"/>
  <c r="Z593" i="12"/>
  <c r="AA592" i="12"/>
  <c r="AA593" i="12"/>
  <c r="Z594" i="12"/>
  <c r="Z595" i="12"/>
  <c r="AA594" i="12"/>
  <c r="AA595" i="12"/>
  <c r="Z596" i="12"/>
  <c r="AA596" i="12"/>
  <c r="Z597" i="12"/>
  <c r="AA597" i="12"/>
  <c r="Z598" i="12"/>
  <c r="Z599" i="12"/>
  <c r="AA598" i="12"/>
  <c r="AA599" i="12"/>
  <c r="Z600" i="12"/>
  <c r="AA600" i="12"/>
  <c r="Z601" i="12"/>
  <c r="Z602" i="12"/>
  <c r="AA601" i="12"/>
  <c r="AA602" i="12"/>
  <c r="Z603" i="12"/>
  <c r="Z604" i="12"/>
  <c r="AA603" i="12"/>
  <c r="Z605" i="12"/>
  <c r="AA604" i="12"/>
  <c r="Z606" i="12"/>
  <c r="AA605" i="12"/>
  <c r="AA606" i="12"/>
  <c r="Z607" i="12"/>
  <c r="AA607" i="12"/>
  <c r="Z608" i="12"/>
  <c r="Z609" i="12"/>
  <c r="AA608" i="12"/>
  <c r="AA609" i="12"/>
  <c r="Z610" i="12"/>
  <c r="AA610" i="12"/>
  <c r="Z611" i="12"/>
  <c r="AA611" i="12"/>
  <c r="Z612" i="12"/>
  <c r="AA612" i="12"/>
  <c r="Z613" i="12"/>
  <c r="Z614" i="12"/>
  <c r="AA613" i="12"/>
  <c r="Z615" i="12"/>
  <c r="AA614" i="12"/>
  <c r="AA615" i="12"/>
  <c r="Z616" i="12"/>
  <c r="AA616" i="12"/>
  <c r="Z617" i="12"/>
  <c r="Z618" i="12"/>
  <c r="AA617" i="12"/>
  <c r="AA618" i="12"/>
  <c r="Z619" i="12"/>
  <c r="AA619" i="12"/>
  <c r="Z620" i="12"/>
  <c r="AA620" i="12"/>
  <c r="Z621" i="12"/>
  <c r="Z622" i="12"/>
  <c r="AA621" i="12"/>
  <c r="AA622" i="12"/>
  <c r="Z623" i="12"/>
  <c r="AA623" i="12"/>
  <c r="Z624" i="12"/>
  <c r="AA624" i="12"/>
  <c r="Z625" i="12"/>
  <c r="Z626" i="12"/>
  <c r="AA625" i="12"/>
  <c r="Z627" i="12"/>
  <c r="AA626" i="12"/>
  <c r="Z628" i="12"/>
  <c r="AA627" i="12"/>
  <c r="Z629" i="12"/>
  <c r="AA628" i="12"/>
  <c r="Z630" i="12"/>
  <c r="AA629" i="12"/>
  <c r="Z631" i="12"/>
  <c r="AA630" i="12"/>
  <c r="Z632" i="12"/>
  <c r="AA631" i="12"/>
  <c r="Z633" i="12"/>
  <c r="AA632" i="12"/>
  <c r="Z634" i="12"/>
  <c r="AA633" i="12"/>
  <c r="Z635" i="12"/>
  <c r="AA634" i="12"/>
  <c r="Z636" i="12"/>
  <c r="AA635" i="12"/>
  <c r="AA636" i="12"/>
  <c r="Z637" i="12"/>
  <c r="AA637" i="12"/>
  <c r="Z638" i="12"/>
  <c r="Z639" i="12"/>
  <c r="AA638" i="12"/>
  <c r="AA639" i="12"/>
  <c r="Z640" i="12"/>
  <c r="Z641" i="12"/>
  <c r="AA640" i="12"/>
  <c r="Z642" i="12"/>
  <c r="AA641" i="12"/>
  <c r="AA642" i="12"/>
  <c r="Z643" i="12"/>
  <c r="AA643" i="12"/>
  <c r="Z644" i="12"/>
  <c r="Z645" i="12"/>
  <c r="AA644" i="12"/>
  <c r="AA645" i="12"/>
  <c r="Z646" i="12"/>
  <c r="AA646" i="12"/>
  <c r="Z647" i="12"/>
  <c r="Z648" i="12"/>
  <c r="AA647" i="12"/>
  <c r="AA648" i="12"/>
  <c r="Z649" i="12"/>
  <c r="Z650" i="12"/>
  <c r="AA649" i="12"/>
  <c r="AA650" i="12"/>
  <c r="Z651" i="12"/>
  <c r="AA651" i="12"/>
  <c r="Z652" i="12"/>
  <c r="AA652" i="12"/>
  <c r="Z653" i="12"/>
  <c r="AA653" i="12"/>
  <c r="Z654" i="12"/>
  <c r="AA654" i="12"/>
  <c r="Z655" i="12"/>
  <c r="Z656" i="12"/>
  <c r="AA655" i="12"/>
  <c r="Z657" i="12"/>
  <c r="AA656" i="12"/>
  <c r="Z658" i="12"/>
  <c r="AA657" i="12"/>
  <c r="Z659" i="12"/>
  <c r="AA658" i="12"/>
  <c r="Z660" i="12"/>
  <c r="AA659" i="12"/>
  <c r="Z661" i="12"/>
  <c r="AA660" i="12"/>
  <c r="AA661" i="12"/>
  <c r="Z662" i="12"/>
  <c r="AA662" i="12"/>
  <c r="Z663" i="12"/>
  <c r="AA663" i="12"/>
  <c r="Z664" i="12"/>
  <c r="AA664" i="12"/>
  <c r="Z665" i="12"/>
  <c r="Z666" i="12"/>
  <c r="AA665" i="12"/>
  <c r="AA666" i="12"/>
  <c r="Z667" i="12"/>
  <c r="AA667" i="12"/>
  <c r="Z668" i="12"/>
  <c r="AA668" i="12"/>
  <c r="Z669" i="12"/>
  <c r="Z670" i="12"/>
  <c r="AA669" i="12"/>
  <c r="Z671" i="12"/>
  <c r="AA670" i="12"/>
  <c r="Z672" i="12"/>
  <c r="AA671" i="12"/>
  <c r="Z673" i="12"/>
  <c r="AA672" i="12"/>
  <c r="AA673" i="12"/>
  <c r="Z674" i="12"/>
  <c r="AA674" i="12"/>
  <c r="Z675" i="12"/>
  <c r="AA675" i="12"/>
  <c r="Z676" i="12"/>
  <c r="AA676" i="12"/>
  <c r="Z677" i="12"/>
  <c r="Z678" i="12"/>
  <c r="AA677" i="12"/>
  <c r="Z679" i="12"/>
  <c r="AA678" i="12"/>
  <c r="Z680" i="12"/>
  <c r="AA679" i="12"/>
  <c r="Z681" i="12"/>
  <c r="AA680" i="12"/>
  <c r="AA681" i="12"/>
  <c r="Z682" i="12"/>
  <c r="Z683" i="12"/>
  <c r="AA682" i="12"/>
  <c r="AA683" i="12"/>
  <c r="Z684" i="12"/>
  <c r="AA684" i="12"/>
  <c r="Z685" i="12"/>
  <c r="AA685" i="12"/>
  <c r="Z686" i="12"/>
  <c r="Z687" i="12"/>
  <c r="AA686" i="12"/>
  <c r="AA687" i="12"/>
  <c r="Z688" i="12"/>
  <c r="AA688" i="12"/>
  <c r="Z689" i="12"/>
  <c r="AA689" i="12"/>
  <c r="Z690" i="12"/>
  <c r="AA690" i="12"/>
  <c r="Z691" i="12"/>
  <c r="Z692" i="12"/>
  <c r="AA691" i="12"/>
  <c r="AA692" i="12"/>
  <c r="Z693" i="12"/>
  <c r="Z694" i="12"/>
  <c r="AA693" i="12"/>
  <c r="AA694" i="12"/>
  <c r="Z695" i="12"/>
  <c r="AA695" i="12"/>
  <c r="Z696" i="12"/>
  <c r="AA696" i="12"/>
  <c r="Z697" i="12"/>
  <c r="AA697" i="12"/>
  <c r="Z698" i="12"/>
  <c r="Z699" i="12"/>
  <c r="AA698" i="12"/>
  <c r="AA699" i="12"/>
  <c r="Z700" i="12"/>
  <c r="AA700" i="12"/>
  <c r="Z701" i="12"/>
  <c r="Z702" i="12"/>
  <c r="AA701" i="12"/>
  <c r="AA702" i="12"/>
  <c r="Z703" i="12"/>
  <c r="Z704" i="12"/>
  <c r="AA703" i="12"/>
  <c r="Z705" i="12"/>
  <c r="AA704" i="12"/>
  <c r="Z706" i="12"/>
  <c r="AA705" i="12"/>
  <c r="AA706" i="12"/>
  <c r="Z707" i="12"/>
  <c r="Z708" i="12"/>
  <c r="AA707" i="12"/>
  <c r="Z709" i="12"/>
  <c r="AA708" i="12"/>
  <c r="AA709" i="12"/>
  <c r="Z710" i="12"/>
  <c r="Z711" i="12"/>
  <c r="AA710" i="12"/>
  <c r="AA711" i="12"/>
  <c r="Z712" i="12"/>
  <c r="Z713" i="12"/>
  <c r="AA712" i="12"/>
  <c r="Z714" i="12"/>
  <c r="AA713" i="12"/>
  <c r="Z715" i="12"/>
  <c r="AA714" i="12"/>
  <c r="AA715" i="12"/>
  <c r="Z716" i="12"/>
  <c r="AA716" i="12"/>
  <c r="Z717" i="12"/>
  <c r="Z718" i="12"/>
  <c r="AA717" i="12"/>
  <c r="Z719" i="12"/>
  <c r="AA718" i="12"/>
  <c r="AA719" i="12"/>
  <c r="Z720" i="12"/>
  <c r="AA720" i="12"/>
  <c r="Z721" i="12"/>
  <c r="Z722" i="12"/>
  <c r="AA721" i="12"/>
  <c r="Z723" i="12"/>
  <c r="AA722" i="12"/>
  <c r="Z724" i="12"/>
  <c r="AA723" i="12"/>
  <c r="Z725" i="12"/>
  <c r="AA724" i="12"/>
  <c r="AA725" i="12"/>
  <c r="Z726" i="12"/>
  <c r="AA726" i="12"/>
  <c r="Z727" i="12"/>
  <c r="Z728" i="12"/>
  <c r="AA727" i="12"/>
  <c r="Z729" i="12"/>
  <c r="AA728" i="12"/>
  <c r="AA729" i="12"/>
  <c r="Z730" i="12"/>
  <c r="AA730" i="12"/>
  <c r="Z731" i="12"/>
  <c r="AA731" i="12"/>
  <c r="Z732" i="12"/>
  <c r="Z733" i="12"/>
  <c r="AA732" i="12"/>
  <c r="Z734" i="12"/>
  <c r="AA733" i="12"/>
  <c r="Z735" i="12"/>
  <c r="AA734" i="12"/>
  <c r="Z736" i="12"/>
  <c r="AA735" i="12"/>
  <c r="Z737" i="12"/>
  <c r="AA736" i="12"/>
  <c r="Z738" i="12"/>
  <c r="AA737" i="12"/>
  <c r="AA738" i="12"/>
  <c r="Z739" i="12"/>
  <c r="AA739" i="12"/>
  <c r="Z740" i="12"/>
  <c r="AA740" i="12"/>
  <c r="Z741" i="12"/>
  <c r="Z742" i="12"/>
  <c r="AA741" i="12"/>
  <c r="AA742" i="12"/>
  <c r="Z743" i="12"/>
  <c r="AA743" i="12"/>
  <c r="Z744" i="12"/>
  <c r="AA744" i="12"/>
  <c r="Z745" i="12"/>
  <c r="AA745" i="12"/>
  <c r="Z746" i="12"/>
  <c r="Z747" i="12"/>
  <c r="AA746" i="12"/>
  <c r="AA747" i="12"/>
  <c r="Z748" i="12"/>
  <c r="AA748" i="12"/>
  <c r="Z749" i="12"/>
  <c r="AA749" i="12"/>
  <c r="Z750" i="12"/>
  <c r="AA750" i="12"/>
  <c r="Z751" i="12"/>
  <c r="AA751" i="12"/>
  <c r="Z752" i="12"/>
  <c r="Z753" i="12"/>
  <c r="AA752" i="12"/>
  <c r="AA753" i="12"/>
  <c r="Z754" i="12"/>
  <c r="Z755" i="12"/>
  <c r="AA754" i="12"/>
  <c r="AA755" i="12"/>
  <c r="Z756" i="12"/>
  <c r="AA756" i="12"/>
  <c r="Z757" i="12"/>
  <c r="Z758" i="12"/>
  <c r="AA757" i="12"/>
  <c r="AA758" i="12"/>
  <c r="Z759" i="12"/>
  <c r="Z760" i="12"/>
  <c r="AA759" i="12"/>
  <c r="AA760" i="12"/>
  <c r="Z761" i="12"/>
  <c r="AA761" i="12"/>
  <c r="Z762" i="12"/>
  <c r="AA762" i="12"/>
  <c r="Z763" i="12"/>
  <c r="AA763" i="12"/>
  <c r="Z764" i="12"/>
  <c r="Z765" i="12"/>
  <c r="AA764" i="12"/>
  <c r="AA765" i="12"/>
  <c r="Z766" i="12"/>
  <c r="AA766" i="12"/>
  <c r="Z767" i="12"/>
  <c r="AA767" i="12"/>
  <c r="Z768" i="12"/>
  <c r="AA768" i="12"/>
  <c r="Z769" i="12"/>
  <c r="Z770" i="12"/>
  <c r="AA769" i="12"/>
  <c r="AA770" i="12"/>
  <c r="Z771" i="12"/>
  <c r="Z772" i="12"/>
  <c r="AA771" i="12"/>
  <c r="Z773" i="12"/>
  <c r="AA772" i="12"/>
  <c r="AA773" i="12"/>
  <c r="Z774" i="12"/>
  <c r="AA774" i="12"/>
  <c r="Z775" i="12"/>
  <c r="Z776" i="12"/>
  <c r="AA775" i="12"/>
  <c r="Z777" i="12"/>
  <c r="AA776" i="12"/>
  <c r="AA777" i="12"/>
  <c r="Z778" i="12"/>
  <c r="Z779" i="12"/>
  <c r="AA778" i="12"/>
  <c r="AA779" i="12"/>
  <c r="Z780" i="12"/>
  <c r="AA780" i="12"/>
  <c r="Z781" i="12"/>
  <c r="Z782" i="12"/>
  <c r="AA781" i="12"/>
  <c r="Z783" i="12"/>
  <c r="AA782" i="12"/>
  <c r="AA783" i="12"/>
  <c r="Z784" i="12"/>
  <c r="Z785" i="12"/>
  <c r="AA784" i="12"/>
  <c r="AA785" i="12"/>
  <c r="Z786" i="12"/>
  <c r="AA786" i="12"/>
  <c r="Z787" i="12"/>
  <c r="AA787" i="12"/>
  <c r="Z788" i="12"/>
  <c r="Z789" i="12"/>
  <c r="AA788" i="12"/>
  <c r="AA789" i="12"/>
  <c r="Z790" i="12"/>
  <c r="Z791" i="12"/>
  <c r="AA790" i="12"/>
  <c r="Z792" i="12"/>
  <c r="AA791" i="12"/>
  <c r="Z793" i="12"/>
  <c r="AA792" i="12"/>
  <c r="AA793" i="12"/>
  <c r="Z794" i="12"/>
  <c r="AA794" i="12"/>
  <c r="Z795" i="12"/>
  <c r="Z796" i="12"/>
  <c r="AA795" i="12"/>
  <c r="AA796" i="12"/>
  <c r="Z797" i="12"/>
  <c r="Z798" i="12"/>
  <c r="AA797" i="12"/>
  <c r="AA798" i="12"/>
  <c r="Z799" i="12"/>
  <c r="AA799" i="12"/>
  <c r="Z800" i="12"/>
  <c r="Z801" i="12"/>
  <c r="AA800" i="12"/>
  <c r="AA801" i="12"/>
  <c r="Z802" i="12"/>
  <c r="Z803" i="12"/>
  <c r="AA802" i="12"/>
  <c r="AA803" i="12"/>
  <c r="Z804" i="12"/>
  <c r="Z805" i="12"/>
  <c r="AA804" i="12"/>
  <c r="Z806" i="12"/>
  <c r="AA805" i="12"/>
  <c r="Z807" i="12"/>
  <c r="AA806" i="12"/>
  <c r="AA807" i="12"/>
  <c r="Z808" i="12"/>
  <c r="AA808" i="12"/>
  <c r="Z809" i="12"/>
  <c r="AA809" i="12"/>
  <c r="Z810" i="12"/>
  <c r="Z811" i="12"/>
  <c r="AA810" i="12"/>
  <c r="Z812" i="12"/>
  <c r="AA811" i="12"/>
  <c r="AA812" i="12"/>
  <c r="Z813" i="12"/>
  <c r="AA813" i="12"/>
  <c r="Z814" i="12"/>
  <c r="Z815" i="12"/>
  <c r="AA814" i="12"/>
  <c r="AA815" i="12"/>
  <c r="Z816" i="12"/>
  <c r="Z817" i="12"/>
  <c r="AA816" i="12"/>
  <c r="AA817" i="12"/>
  <c r="Z818" i="12"/>
  <c r="Z819" i="12"/>
  <c r="AA818" i="12"/>
  <c r="AA819" i="12"/>
  <c r="Z820" i="12"/>
  <c r="Z821" i="12"/>
  <c r="AA820" i="12"/>
  <c r="AA821" i="12"/>
  <c r="Z822" i="12"/>
  <c r="AA822" i="12"/>
  <c r="Z823" i="12"/>
  <c r="AA823" i="12"/>
  <c r="Z824" i="12"/>
  <c r="Z825" i="12"/>
  <c r="AA824" i="12"/>
  <c r="AA825" i="12"/>
  <c r="Z826" i="12"/>
  <c r="Z827" i="12"/>
  <c r="AA826" i="12"/>
  <c r="AA827" i="12"/>
  <c r="Z828" i="12"/>
  <c r="AA828" i="12"/>
  <c r="Z829" i="12"/>
  <c r="Z830" i="12"/>
  <c r="AA829" i="12"/>
  <c r="Z831" i="12"/>
  <c r="AA830" i="12"/>
  <c r="Z832" i="12"/>
  <c r="AA831" i="12"/>
  <c r="AA832" i="12"/>
  <c r="Z833" i="12"/>
  <c r="AA833" i="12"/>
  <c r="Z834" i="12"/>
  <c r="Z835" i="12"/>
  <c r="AA834" i="12"/>
  <c r="Z836" i="12"/>
  <c r="AA835" i="12"/>
  <c r="AA836" i="12"/>
  <c r="Z837" i="12"/>
  <c r="Z838" i="12"/>
  <c r="AA837" i="12"/>
  <c r="Z839" i="12"/>
  <c r="AA838" i="12"/>
  <c r="Z840" i="12"/>
  <c r="AA839" i="12"/>
  <c r="AA840" i="12"/>
  <c r="Z841" i="12"/>
  <c r="Z842" i="12"/>
  <c r="AA841" i="12"/>
  <c r="AA842" i="12"/>
  <c r="Z843" i="12"/>
  <c r="AA843" i="12"/>
  <c r="Z844" i="12"/>
  <c r="AA844" i="12"/>
  <c r="Z845" i="12"/>
  <c r="Z846" i="12"/>
  <c r="AA845" i="12"/>
  <c r="Z847" i="12"/>
  <c r="AA846" i="12"/>
  <c r="AA847" i="12"/>
  <c r="Z848" i="12"/>
  <c r="Z849" i="12"/>
  <c r="AA848" i="12"/>
  <c r="AA849" i="12"/>
  <c r="Z850" i="12"/>
  <c r="Z851" i="12"/>
  <c r="AA850" i="12"/>
  <c r="AA851" i="12"/>
  <c r="Z852" i="12"/>
  <c r="AA852" i="12"/>
  <c r="Z853" i="12"/>
  <c r="AA853" i="12"/>
  <c r="Z854" i="12"/>
  <c r="AA854" i="12"/>
  <c r="Z855" i="12"/>
  <c r="Z856" i="12"/>
  <c r="AA855" i="12"/>
  <c r="Z857" i="12"/>
  <c r="AA856" i="12"/>
  <c r="Z858" i="12"/>
  <c r="AA857" i="12"/>
  <c r="Z859" i="12"/>
  <c r="AA858" i="12"/>
  <c r="AA859" i="12"/>
  <c r="Z860" i="12"/>
  <c r="AA860" i="12"/>
  <c r="Z861" i="12"/>
  <c r="Z862" i="12"/>
  <c r="AA861" i="12"/>
  <c r="Z863" i="12"/>
  <c r="AA862" i="12"/>
  <c r="Z864" i="12"/>
  <c r="AA863" i="12"/>
  <c r="AA864" i="12"/>
  <c r="Z865" i="12"/>
  <c r="AA865" i="12"/>
  <c r="Z866" i="12"/>
  <c r="AA866" i="12"/>
  <c r="Z867" i="12"/>
  <c r="Z868" i="12"/>
  <c r="AA867" i="12"/>
  <c r="AA868" i="12"/>
  <c r="Z869" i="12"/>
  <c r="AA869" i="12"/>
  <c r="Z870" i="12"/>
  <c r="AA870" i="12"/>
  <c r="Z871" i="12"/>
  <c r="AA871" i="12"/>
  <c r="Z872" i="12"/>
  <c r="Z873" i="12"/>
  <c r="AA872" i="12"/>
  <c r="AA873" i="12"/>
  <c r="Z874" i="12"/>
  <c r="AA874" i="12"/>
  <c r="Z875" i="12"/>
  <c r="AA875" i="12"/>
  <c r="Z876" i="12"/>
  <c r="AA876" i="12"/>
  <c r="Z877" i="12"/>
  <c r="AA877" i="12"/>
  <c r="Z878" i="12"/>
  <c r="AA878" i="12"/>
  <c r="Z879" i="12"/>
  <c r="Z880" i="12"/>
  <c r="AA879" i="12"/>
  <c r="Z881" i="12"/>
  <c r="AA880" i="12"/>
  <c r="AA881" i="12"/>
  <c r="Z882" i="12"/>
  <c r="Z883" i="12"/>
  <c r="AA882" i="12"/>
  <c r="Z884" i="12"/>
  <c r="AA883" i="12"/>
  <c r="AA884" i="12"/>
  <c r="Z885" i="12"/>
  <c r="AA885" i="12"/>
  <c r="Z886" i="12"/>
  <c r="AA886" i="12"/>
  <c r="Z887" i="12"/>
  <c r="Z888" i="12"/>
  <c r="AA887" i="12"/>
  <c r="Z889" i="12"/>
  <c r="AA888" i="12"/>
  <c r="AA889" i="12"/>
  <c r="Z890" i="12"/>
  <c r="AA890" i="12"/>
  <c r="Z891" i="12"/>
  <c r="AA891" i="12"/>
  <c r="Z892" i="12"/>
  <c r="AA892" i="12"/>
  <c r="Z893" i="12"/>
  <c r="Z894" i="12"/>
  <c r="AA893" i="12"/>
  <c r="Z895" i="12"/>
  <c r="AA894" i="12"/>
  <c r="AA895" i="12"/>
  <c r="Z896" i="12"/>
  <c r="Z897" i="12"/>
  <c r="AA896" i="12"/>
  <c r="Z898" i="12"/>
  <c r="AA897" i="12"/>
  <c r="AA898" i="12"/>
  <c r="Z899" i="12"/>
  <c r="AA899" i="12"/>
  <c r="Z900" i="12"/>
  <c r="Z901" i="12"/>
  <c r="AA900" i="12"/>
  <c r="Z902" i="12"/>
  <c r="AA901" i="12"/>
  <c r="Z903" i="12"/>
  <c r="AA902" i="12"/>
  <c r="Z904" i="12"/>
  <c r="AA903" i="12"/>
  <c r="AA904" i="12"/>
  <c r="Z905" i="12"/>
  <c r="Z906" i="12"/>
  <c r="AA905" i="12"/>
  <c r="AA906" i="12"/>
  <c r="Z907" i="12"/>
  <c r="Z908" i="12"/>
  <c r="AA907" i="12"/>
  <c r="AA908" i="12"/>
  <c r="Z909" i="12"/>
  <c r="AA909" i="12"/>
  <c r="Z910" i="12"/>
  <c r="Z911" i="12"/>
  <c r="AA910" i="12"/>
  <c r="Z912" i="12"/>
  <c r="AA911" i="12"/>
  <c r="AA912" i="12"/>
  <c r="Z913" i="12"/>
  <c r="AA913" i="12"/>
  <c r="Z914" i="12"/>
  <c r="Z915" i="12"/>
  <c r="AA914" i="12"/>
  <c r="Z916" i="12"/>
  <c r="AA915" i="12"/>
  <c r="Z917" i="12"/>
  <c r="AA916" i="12"/>
  <c r="AA917" i="12"/>
  <c r="Z918" i="12"/>
  <c r="Z919" i="12"/>
  <c r="AA918" i="12"/>
  <c r="Z920" i="12"/>
  <c r="AA919" i="12"/>
  <c r="Z921" i="12"/>
  <c r="AA920" i="12"/>
  <c r="Z922" i="12"/>
  <c r="AA921" i="12"/>
  <c r="Z923" i="12"/>
  <c r="AA922" i="12"/>
  <c r="AA923" i="12"/>
  <c r="Z924" i="12"/>
  <c r="AA924" i="12"/>
  <c r="Z925" i="12"/>
  <c r="Z926" i="12"/>
  <c r="AA925" i="12"/>
  <c r="Z927" i="12"/>
  <c r="AA926" i="12"/>
  <c r="AA927" i="12"/>
  <c r="Z928" i="12"/>
  <c r="Z929" i="12"/>
  <c r="AA928" i="12"/>
  <c r="Z930" i="12"/>
  <c r="AA929" i="12"/>
  <c r="AA930" i="12"/>
  <c r="Z931" i="12"/>
  <c r="Z932" i="12"/>
  <c r="AA931" i="12"/>
  <c r="AA932" i="12"/>
  <c r="Z933" i="12"/>
  <c r="Z934" i="12"/>
  <c r="AA933" i="12"/>
  <c r="AA934" i="12"/>
  <c r="Z935" i="12"/>
  <c r="Z936" i="12"/>
  <c r="AA935" i="12"/>
  <c r="Z937" i="12"/>
  <c r="AA936" i="12"/>
  <c r="AA937" i="12"/>
  <c r="Z938" i="12"/>
  <c r="Z939" i="12"/>
  <c r="AA938" i="12"/>
  <c r="Z940" i="12"/>
  <c r="AA939" i="12"/>
  <c r="AA940" i="12"/>
  <c r="Z941" i="12"/>
  <c r="Z942" i="12"/>
  <c r="AA941" i="12"/>
  <c r="Z943" i="12"/>
  <c r="AA942" i="12"/>
  <c r="Z944" i="12"/>
  <c r="AA943" i="12"/>
  <c r="Z945" i="12"/>
  <c r="AA944" i="12"/>
  <c r="AA945" i="12"/>
  <c r="Z946" i="12"/>
  <c r="Z947" i="12"/>
  <c r="AA946" i="12"/>
  <c r="AA947" i="12"/>
  <c r="Z948" i="12"/>
  <c r="AA948" i="12"/>
  <c r="Z949" i="12"/>
  <c r="AA949" i="12"/>
  <c r="Z950" i="12"/>
  <c r="Z951" i="12"/>
  <c r="AA950" i="12"/>
  <c r="AA951" i="12"/>
  <c r="Z952" i="12"/>
  <c r="Z953" i="12"/>
  <c r="AA952" i="12"/>
  <c r="AA953" i="12"/>
  <c r="Z954" i="12"/>
  <c r="AA954" i="12"/>
  <c r="Z955" i="12"/>
  <c r="Z956" i="12"/>
  <c r="AA955" i="12"/>
  <c r="Z957" i="12"/>
  <c r="AA956" i="12"/>
  <c r="Z958" i="12"/>
  <c r="AA957" i="12"/>
  <c r="AA958" i="12"/>
  <c r="Z959" i="12"/>
  <c r="Z960" i="12"/>
  <c r="AA959" i="12"/>
  <c r="AA960" i="12"/>
  <c r="Z961" i="12"/>
  <c r="Z962" i="12"/>
  <c r="AA961" i="12"/>
  <c r="AA962" i="12"/>
  <c r="Z963" i="12"/>
  <c r="AA963" i="12"/>
  <c r="Z964" i="12"/>
  <c r="Z965" i="12"/>
  <c r="AA964" i="12"/>
  <c r="AA965" i="12"/>
  <c r="Z966" i="12"/>
  <c r="AA966" i="12"/>
  <c r="Z967" i="12"/>
  <c r="AA967" i="12"/>
  <c r="Z968" i="12"/>
  <c r="AA968" i="12"/>
  <c r="Z969" i="12"/>
  <c r="Z970" i="12"/>
  <c r="AA969" i="12"/>
  <c r="AA970" i="12"/>
  <c r="Z971" i="12"/>
  <c r="Z972" i="12"/>
  <c r="AA971" i="12"/>
  <c r="Z973" i="12"/>
  <c r="AA972" i="12"/>
  <c r="AA973" i="12"/>
  <c r="Z974" i="12"/>
  <c r="Z975" i="12"/>
  <c r="AA974" i="12"/>
  <c r="AA975" i="12"/>
  <c r="Z976" i="12"/>
  <c r="Z977" i="12"/>
  <c r="AA976" i="12"/>
  <c r="AA977" i="12"/>
  <c r="Z978" i="12"/>
  <c r="AA978" i="12"/>
  <c r="Z979" i="12"/>
  <c r="Z980" i="12"/>
  <c r="AA979" i="12"/>
  <c r="AA980" i="12"/>
  <c r="Z981" i="12"/>
  <c r="AA981" i="12"/>
  <c r="Z982" i="12"/>
  <c r="AA982" i="12"/>
  <c r="Z983" i="12"/>
  <c r="AA983" i="12"/>
  <c r="Z984" i="12"/>
  <c r="AA984" i="12"/>
  <c r="Z985" i="12"/>
  <c r="Z986" i="12"/>
  <c r="AA985" i="12"/>
  <c r="Z987" i="12"/>
  <c r="AA986" i="12"/>
  <c r="Z988" i="12"/>
  <c r="AA987" i="12"/>
  <c r="Z989" i="12"/>
  <c r="AA988" i="12"/>
  <c r="AA989" i="12"/>
  <c r="Z990" i="12"/>
  <c r="AA990" i="12"/>
  <c r="Z991" i="12"/>
  <c r="AA991" i="12"/>
  <c r="Z992" i="12"/>
  <c r="AA992" i="12"/>
  <c r="Z993" i="12"/>
  <c r="AA993" i="12"/>
  <c r="Z994" i="12"/>
  <c r="Z995" i="12"/>
  <c r="AA994" i="12"/>
  <c r="Z996" i="12"/>
  <c r="AA995" i="12"/>
  <c r="AA996" i="12"/>
  <c r="Z997" i="12"/>
  <c r="AA997" i="12"/>
  <c r="Z998" i="12"/>
  <c r="AA998" i="12"/>
  <c r="Z999" i="12"/>
  <c r="Z1000" i="12"/>
  <c r="AA999" i="12"/>
  <c r="Z1001" i="12"/>
  <c r="AA1000" i="12"/>
  <c r="AA1001" i="12"/>
  <c r="Z1002" i="12"/>
  <c r="AA1002" i="12"/>
  <c r="Z1003" i="12"/>
  <c r="Z1004" i="12"/>
  <c r="AA1003" i="12"/>
  <c r="Z1005" i="12"/>
  <c r="AA1004" i="12"/>
  <c r="AA1005" i="12"/>
  <c r="Z1006" i="12"/>
  <c r="AA1006" i="12"/>
  <c r="Z1007" i="12"/>
  <c r="AA1007" i="12"/>
  <c r="Z1008" i="12"/>
  <c r="AA1008" i="12"/>
  <c r="Z1009" i="12"/>
  <c r="Z1010" i="12"/>
  <c r="AA1009" i="12"/>
  <c r="AA1010" i="12"/>
  <c r="Z1011" i="12"/>
  <c r="AA1011" i="12"/>
  <c r="Z1012" i="12"/>
  <c r="Z1013" i="12"/>
  <c r="AA1012" i="12"/>
  <c r="AA1013" i="12"/>
  <c r="Z1014" i="12"/>
  <c r="Z1015" i="12"/>
  <c r="AA1014" i="12"/>
  <c r="Z1016" i="12"/>
  <c r="AA1015" i="12"/>
  <c r="AA1016" i="12"/>
  <c r="Z1017" i="12"/>
  <c r="AA1017" i="12"/>
  <c r="Z1018" i="12"/>
  <c r="AA1018" i="12"/>
  <c r="Z1019" i="12"/>
  <c r="Z1020" i="12"/>
  <c r="AA1019" i="12"/>
  <c r="Z1021" i="12"/>
  <c r="AA1020" i="12"/>
  <c r="Z1022" i="12"/>
  <c r="AA1021" i="12"/>
  <c r="AA1022" i="12"/>
  <c r="Z1023" i="12"/>
  <c r="Z1024" i="12"/>
  <c r="AA1023" i="12"/>
  <c r="AA1024" i="12"/>
  <c r="Z1025" i="12"/>
  <c r="Z1026" i="12"/>
  <c r="AA1025" i="12"/>
  <c r="AA1026" i="12"/>
  <c r="Z1027" i="12"/>
  <c r="AA1027" i="12"/>
  <c r="Z1028" i="12"/>
  <c r="AA1028" i="12"/>
  <c r="Z1029" i="12"/>
  <c r="AA1029" i="12"/>
  <c r="Z1030" i="12"/>
  <c r="Z1031" i="12"/>
  <c r="AA1030" i="12"/>
  <c r="AA1031" i="12"/>
  <c r="Z1032" i="12"/>
  <c r="Z1033" i="12"/>
  <c r="AA1032" i="12"/>
  <c r="AA1033" i="12"/>
  <c r="Z1034" i="12"/>
  <c r="AA1034" i="12"/>
  <c r="Z1035" i="12"/>
  <c r="Z1036" i="12"/>
  <c r="AA1035" i="12"/>
  <c r="AA1036" i="12"/>
  <c r="Z1037" i="12"/>
  <c r="AA1037" i="12"/>
  <c r="Z1038" i="12"/>
  <c r="AA1038" i="12"/>
  <c r="Z1039" i="12"/>
  <c r="AA1039" i="12"/>
  <c r="Z1040" i="12"/>
  <c r="AA1040" i="12"/>
  <c r="Z1041" i="12"/>
  <c r="AA1041" i="12"/>
  <c r="Z1042" i="12"/>
  <c r="Z1043" i="12"/>
  <c r="AA1042" i="12"/>
  <c r="Z1044" i="12"/>
  <c r="AA1043" i="12"/>
  <c r="AA1044" i="12"/>
  <c r="Z1045" i="12"/>
  <c r="AA1045" i="12"/>
  <c r="Z1046" i="12"/>
  <c r="Z1047" i="12"/>
  <c r="AA1046" i="12"/>
  <c r="AA1047" i="12"/>
  <c r="Z1048" i="12"/>
  <c r="AA1048" i="12"/>
  <c r="Z1049" i="12"/>
  <c r="AA1049" i="12"/>
  <c r="Z1050" i="12"/>
  <c r="Z1051" i="12"/>
  <c r="AA1050" i="12"/>
  <c r="AA1051" i="12"/>
  <c r="Z1052" i="12"/>
  <c r="Z1053" i="12"/>
  <c r="AA1052" i="12"/>
  <c r="Z1054" i="12"/>
  <c r="AA1053" i="12"/>
  <c r="Z1055" i="12"/>
  <c r="AA1054" i="12"/>
  <c r="Z1056" i="12"/>
  <c r="AA1055" i="12"/>
  <c r="AA1056" i="12"/>
  <c r="Z1057" i="12"/>
  <c r="Z1058" i="12"/>
  <c r="AA1057" i="12"/>
  <c r="AA1058" i="12"/>
  <c r="Z1059" i="12"/>
  <c r="Z1060" i="12"/>
  <c r="AA1059" i="12"/>
  <c r="AA1060" i="12"/>
  <c r="Z1061" i="12"/>
  <c r="AA1061" i="12"/>
  <c r="Z1062" i="12"/>
  <c r="AA1062" i="12"/>
  <c r="Z1063" i="12"/>
  <c r="AA1063" i="12"/>
  <c r="Z1064" i="12"/>
  <c r="Z1065" i="12"/>
  <c r="AA1064" i="12"/>
  <c r="Z1066" i="12"/>
  <c r="AA1065" i="12"/>
  <c r="AA1066" i="12"/>
  <c r="Z1067" i="12"/>
  <c r="Z1068" i="12"/>
  <c r="AA1067" i="12"/>
  <c r="Z1069" i="12"/>
  <c r="AA1068" i="12"/>
  <c r="AA1069" i="12"/>
  <c r="Z1070" i="12"/>
  <c r="AA1070" i="12"/>
  <c r="Z1071" i="12"/>
  <c r="Z1072" i="12"/>
  <c r="AA1071" i="12"/>
  <c r="AA1072" i="12"/>
  <c r="Z1073" i="12"/>
  <c r="Z1074" i="12"/>
  <c r="AA1073" i="12"/>
  <c r="AA1074" i="12"/>
  <c r="Z1075" i="12"/>
  <c r="Z1076" i="12"/>
  <c r="AA1075" i="12"/>
  <c r="Z1077" i="12"/>
  <c r="AA1076" i="12"/>
  <c r="AA1077" i="12"/>
  <c r="Z1078" i="12"/>
  <c r="Z1079" i="12"/>
  <c r="AA1078" i="12"/>
  <c r="Z1080" i="12"/>
  <c r="AA1079" i="12"/>
  <c r="AA1080" i="12"/>
  <c r="Z1081" i="12"/>
  <c r="Z1082" i="12"/>
  <c r="AA1081" i="12"/>
  <c r="AA1082" i="12"/>
  <c r="Z1083" i="12"/>
  <c r="AA1083" i="12"/>
  <c r="Z1084" i="12"/>
  <c r="Z1085" i="12"/>
  <c r="AA1084" i="12"/>
  <c r="Z1086" i="12"/>
  <c r="AA1085" i="12"/>
  <c r="AA1086" i="12"/>
  <c r="Z1087" i="12"/>
  <c r="AA1087" i="12"/>
  <c r="Z1088" i="12"/>
  <c r="AA1088" i="12"/>
  <c r="Z1089" i="12"/>
  <c r="AA1089" i="12"/>
  <c r="Z1090" i="12"/>
  <c r="Z1091" i="12"/>
  <c r="AA1090" i="12"/>
  <c r="AA1091" i="12"/>
  <c r="Z1092" i="12"/>
  <c r="Z1093" i="12"/>
  <c r="AA1092" i="12"/>
  <c r="Z1094" i="12"/>
  <c r="AA1093" i="12"/>
  <c r="AA1094" i="12"/>
  <c r="Z1095" i="12"/>
  <c r="AA1095" i="12"/>
  <c r="Z1096" i="12"/>
  <c r="Z1097" i="12"/>
  <c r="AA1096" i="12"/>
  <c r="AA1097" i="12"/>
  <c r="Z1098" i="12"/>
  <c r="Z1099" i="12"/>
  <c r="AA1098" i="12"/>
  <c r="Z1100" i="12"/>
  <c r="AA1099" i="12"/>
  <c r="Z1101" i="12"/>
  <c r="AA1100" i="12"/>
  <c r="Z1102" i="12"/>
  <c r="AA1101" i="12"/>
  <c r="AA1102" i="12"/>
  <c r="Z1103" i="12"/>
  <c r="Z1104" i="12"/>
  <c r="AA1103" i="12"/>
  <c r="Z1105" i="12"/>
  <c r="AA1104" i="12"/>
  <c r="Z1106" i="12"/>
  <c r="AA1105" i="12"/>
  <c r="AA1106" i="12"/>
  <c r="Z1107" i="12"/>
  <c r="Z1108" i="12"/>
  <c r="AA1107" i="12"/>
  <c r="AA1108" i="12"/>
  <c r="Z1109" i="12"/>
  <c r="AA1109" i="12"/>
  <c r="Z1110" i="12"/>
  <c r="Z1111" i="12"/>
  <c r="AA1110" i="12"/>
  <c r="Z1112" i="12"/>
  <c r="AA1111" i="12"/>
  <c r="Z1113" i="12"/>
  <c r="AA1112" i="12"/>
  <c r="AA1113" i="12"/>
  <c r="Z1114" i="12"/>
  <c r="AA1114" i="12"/>
  <c r="Z1115" i="12"/>
  <c r="AA1115" i="12"/>
  <c r="Z1116" i="12"/>
  <c r="AA1116" i="12"/>
  <c r="Z1117" i="12"/>
  <c r="AA1117" i="12"/>
  <c r="Z1118" i="12"/>
  <c r="AA1118" i="12"/>
  <c r="Z1119" i="12"/>
  <c r="Z1120" i="12"/>
  <c r="AA1119" i="12"/>
  <c r="Z1121" i="12"/>
  <c r="AA1120" i="12"/>
  <c r="AA1121" i="12"/>
  <c r="Z1122" i="12"/>
  <c r="Z1123" i="12"/>
  <c r="AA1122" i="12"/>
  <c r="AA1123" i="12"/>
  <c r="Z1124" i="12"/>
  <c r="Z1125" i="12"/>
  <c r="AA1124" i="12"/>
  <c r="AA1125" i="12"/>
  <c r="Z1126" i="12"/>
  <c r="AA1126" i="12"/>
  <c r="Z1127" i="12"/>
  <c r="Z1128" i="12"/>
  <c r="AA1127" i="12"/>
  <c r="AA1128" i="12"/>
  <c r="Z1129" i="12"/>
  <c r="AA1129" i="12"/>
  <c r="Z1130" i="12"/>
  <c r="Z1131" i="12"/>
  <c r="AA1130" i="12"/>
  <c r="Z1132" i="12"/>
  <c r="AA1131" i="12"/>
  <c r="Z1133" i="12"/>
  <c r="AA1132" i="12"/>
  <c r="AA1133" i="12"/>
  <c r="Z1134" i="12"/>
  <c r="AA1134" i="12"/>
  <c r="Z1135" i="12"/>
  <c r="Z1136" i="12"/>
  <c r="AA1135" i="12"/>
  <c r="AA1136" i="12"/>
  <c r="Z1137" i="12"/>
  <c r="Z1138" i="12"/>
  <c r="AA1137" i="12"/>
  <c r="AA1138" i="12"/>
  <c r="Z1139" i="12"/>
  <c r="Z1140" i="12"/>
  <c r="AA1139" i="12"/>
  <c r="Z1141" i="12"/>
  <c r="AA1140" i="12"/>
  <c r="AA1141" i="12"/>
  <c r="Z1142" i="12"/>
  <c r="Z1143" i="12"/>
  <c r="AA1142" i="12"/>
  <c r="AA1143" i="12"/>
  <c r="Z1144" i="12"/>
  <c r="Z1145" i="12"/>
  <c r="AA1144" i="12"/>
  <c r="Z1146" i="12"/>
  <c r="AA1145" i="12"/>
  <c r="Z1147" i="12"/>
  <c r="AA1146" i="12"/>
  <c r="Z1148" i="12"/>
  <c r="AA1147" i="12"/>
  <c r="Z1149" i="12"/>
  <c r="AA1148" i="12"/>
  <c r="AA1149" i="12"/>
  <c r="Z1150" i="12"/>
  <c r="Z1151" i="12"/>
  <c r="AA1150" i="12"/>
  <c r="AA1151" i="12"/>
  <c r="Z1152" i="12"/>
  <c r="Z1153" i="12"/>
  <c r="AA1152" i="12"/>
  <c r="Z1154" i="12"/>
  <c r="AA1153" i="12"/>
  <c r="AA1154" i="12"/>
  <c r="Z1155" i="12"/>
  <c r="AA1155" i="12"/>
  <c r="Z1156" i="12"/>
  <c r="Z1157" i="12"/>
  <c r="AA1156" i="12"/>
  <c r="AA1157" i="12"/>
  <c r="Z1158" i="12"/>
  <c r="AA1158" i="12"/>
  <c r="Z1159" i="12"/>
  <c r="AA1159" i="12"/>
  <c r="Z1160" i="12"/>
  <c r="AA1160" i="12"/>
  <c r="Z1161" i="12"/>
  <c r="Z1162" i="12"/>
  <c r="AA1161" i="12"/>
  <c r="AA1162" i="12"/>
  <c r="Z1163" i="12"/>
  <c r="AA1163" i="12"/>
  <c r="Z1164" i="12"/>
  <c r="AA1164" i="12"/>
  <c r="Z1165" i="12"/>
  <c r="Z1166" i="12"/>
  <c r="AA1165" i="12"/>
  <c r="AA1166" i="12"/>
  <c r="Z1167" i="12"/>
  <c r="Z1168" i="12"/>
  <c r="AA1167" i="12"/>
  <c r="Z1169" i="12"/>
  <c r="AA1168" i="12"/>
  <c r="Z1170" i="12"/>
  <c r="AA1169" i="12"/>
  <c r="AA1170" i="12"/>
  <c r="Z1171" i="12"/>
  <c r="Z1172" i="12"/>
  <c r="AA1171" i="12"/>
  <c r="Z1173" i="12"/>
  <c r="AA1172" i="12"/>
  <c r="AA1173" i="12"/>
  <c r="Z1174" i="12"/>
  <c r="AA1174" i="12"/>
  <c r="Z1175" i="12"/>
  <c r="AA1175" i="12"/>
  <c r="Z1176" i="12"/>
  <c r="AA1176" i="12"/>
  <c r="Z1177" i="12"/>
  <c r="Z1178" i="12"/>
  <c r="AA1177" i="12"/>
  <c r="Z1179" i="12"/>
  <c r="AA1178" i="12"/>
  <c r="Z1180" i="12"/>
  <c r="AA1179" i="12"/>
  <c r="AA1180" i="12"/>
  <c r="Z1181" i="12"/>
  <c r="AA1181" i="12"/>
  <c r="Z1182" i="12"/>
  <c r="AA1182" i="12"/>
  <c r="Z1183" i="12"/>
  <c r="Z1184" i="12"/>
  <c r="AA1183" i="12"/>
  <c r="AA1184" i="12"/>
  <c r="Z1185" i="12"/>
  <c r="Z1186" i="12"/>
  <c r="AA1185" i="12"/>
  <c r="AA1186" i="12"/>
  <c r="Z1187" i="12"/>
  <c r="Z1188" i="12"/>
  <c r="AA1187" i="12"/>
  <c r="AA1188" i="12"/>
  <c r="Z1189" i="12"/>
  <c r="AA1189" i="12"/>
  <c r="Z1190" i="12"/>
  <c r="AA1190" i="12"/>
  <c r="Z1191" i="12"/>
  <c r="AA1191" i="12"/>
  <c r="Z1192" i="12"/>
  <c r="AA1192" i="12"/>
  <c r="Z1193" i="12"/>
  <c r="Z1194" i="12"/>
  <c r="AA1193" i="12"/>
  <c r="Z1195" i="12"/>
  <c r="AA1194" i="12"/>
  <c r="Z1196" i="12"/>
  <c r="AA1195" i="12"/>
  <c r="AA1196" i="12"/>
  <c r="Z1197" i="12"/>
  <c r="AA1197" i="12"/>
  <c r="Z1198" i="12"/>
  <c r="AA1198" i="12"/>
  <c r="Z1199" i="12"/>
  <c r="Z1200" i="12"/>
  <c r="AA1199" i="12"/>
  <c r="AA1200" i="12"/>
  <c r="Z1201" i="12"/>
  <c r="Z1202" i="12"/>
  <c r="AA1201" i="12"/>
  <c r="Z1203" i="12"/>
  <c r="AA1202" i="12"/>
  <c r="Z1204" i="12"/>
  <c r="AA1203" i="12"/>
  <c r="Z1205" i="12"/>
  <c r="AA1204" i="12"/>
  <c r="Z1206" i="12"/>
  <c r="AA1205" i="12"/>
  <c r="Z1207" i="12"/>
  <c r="AA1206" i="12"/>
  <c r="Z1208" i="12"/>
  <c r="AA1207" i="12"/>
  <c r="Z1209" i="12"/>
  <c r="AA1208" i="12"/>
  <c r="AA1209" i="12"/>
  <c r="Z1210" i="12"/>
  <c r="Z1211" i="12"/>
  <c r="AA1210" i="12"/>
  <c r="Z1212" i="12"/>
  <c r="AA1211" i="12"/>
  <c r="AA1212" i="12"/>
  <c r="Z1213" i="12"/>
  <c r="AA1213" i="12"/>
  <c r="Z1214" i="12"/>
  <c r="Z1215" i="12"/>
  <c r="AA1214" i="12"/>
  <c r="Z1216" i="12"/>
  <c r="AA1215" i="12"/>
  <c r="AA1216" i="12"/>
  <c r="Z1217" i="12"/>
  <c r="Z1218" i="12"/>
  <c r="AA1217" i="12"/>
  <c r="Z1219" i="12"/>
  <c r="AA1218" i="12"/>
  <c r="Z1220" i="12"/>
  <c r="AA1219" i="12"/>
  <c r="Z1221" i="12"/>
  <c r="AA1220" i="12"/>
  <c r="Z1222" i="12"/>
  <c r="AA1221" i="12"/>
  <c r="Z1223" i="12"/>
  <c r="AA1222" i="12"/>
  <c r="AA1223" i="12"/>
  <c r="Z1224" i="12"/>
  <c r="Z1225" i="12"/>
  <c r="AA1224" i="12"/>
  <c r="AA1225" i="12"/>
  <c r="Z1226" i="12"/>
  <c r="AA1226" i="12"/>
  <c r="Z1227" i="12"/>
  <c r="AA1227" i="12"/>
  <c r="Z1228" i="12"/>
  <c r="Z1229" i="12"/>
  <c r="AA1228" i="12"/>
  <c r="Z1230" i="12"/>
  <c r="AA1229" i="12"/>
  <c r="Z1231" i="12"/>
  <c r="AA1230" i="12"/>
  <c r="AA1231" i="12"/>
  <c r="Z1232" i="12"/>
  <c r="Z1233" i="12"/>
  <c r="AA1232" i="12"/>
  <c r="Z1234" i="12"/>
  <c r="AA1233" i="12"/>
  <c r="AA1234" i="12"/>
  <c r="Z1235" i="12"/>
  <c r="Z1236" i="12"/>
  <c r="AA1235" i="12"/>
  <c r="Z1237" i="12"/>
  <c r="AA1236" i="12"/>
  <c r="Z1238" i="12"/>
  <c r="AA1237" i="12"/>
  <c r="Z1239" i="12"/>
  <c r="AA1238" i="12"/>
  <c r="Z1240" i="12"/>
  <c r="AA1239" i="12"/>
  <c r="Z1241" i="12"/>
  <c r="AA1240" i="12"/>
  <c r="Z1242" i="12"/>
  <c r="AA1241" i="12"/>
  <c r="AA1242" i="12"/>
  <c r="Z1243" i="12"/>
  <c r="Z1244" i="12"/>
  <c r="AA1243" i="12"/>
  <c r="Z1245" i="12"/>
  <c r="AA1244" i="12"/>
  <c r="Z1246" i="12"/>
  <c r="AA1245" i="12"/>
  <c r="AA1246" i="12"/>
  <c r="Z1247" i="12"/>
  <c r="AA1247" i="12"/>
  <c r="Z1248" i="12"/>
  <c r="Z1249" i="12"/>
  <c r="AA1248" i="12"/>
  <c r="AA1249" i="12"/>
  <c r="Z1250" i="12"/>
  <c r="Z1251" i="12"/>
  <c r="AA1250" i="12"/>
  <c r="Z1252" i="12"/>
  <c r="AA1251" i="12"/>
  <c r="Z1253" i="12"/>
  <c r="AA1252" i="12"/>
  <c r="AA1253" i="12"/>
  <c r="Z1254" i="12"/>
  <c r="Z1255" i="12"/>
  <c r="AA1254" i="12"/>
  <c r="AA1255" i="12"/>
  <c r="Z1256" i="12"/>
  <c r="Z1257" i="12"/>
  <c r="AA1256" i="12"/>
  <c r="Z1258" i="12"/>
  <c r="AA1257" i="12"/>
  <c r="Z1259" i="12"/>
  <c r="AA1258" i="12"/>
  <c r="AA1259" i="12"/>
  <c r="Z1260" i="12"/>
  <c r="AA1260" i="12"/>
  <c r="Z1261" i="12"/>
  <c r="AA1261" i="12"/>
  <c r="Z1262" i="12"/>
  <c r="Z1263" i="12"/>
  <c r="AA1262" i="12"/>
  <c r="Z1264" i="12"/>
  <c r="AA1263" i="12"/>
  <c r="AA1264" i="12"/>
  <c r="Z1265" i="12"/>
  <c r="AA1265" i="12"/>
  <c r="Z1266" i="12"/>
  <c r="Z1267" i="12"/>
  <c r="AA1266" i="12"/>
  <c r="Z1268" i="12"/>
  <c r="AA1267" i="12"/>
  <c r="AA1268" i="12"/>
  <c r="Z1269" i="12"/>
  <c r="Z1270" i="12"/>
  <c r="AA1269" i="12"/>
  <c r="AA1270" i="12"/>
  <c r="Z1271" i="12"/>
  <c r="Z1272" i="12"/>
  <c r="AA1271" i="12"/>
  <c r="AA1272" i="12"/>
  <c r="Z1273" i="12"/>
  <c r="Z1274" i="12"/>
  <c r="AA1273" i="12"/>
  <c r="Z1275" i="12"/>
  <c r="AA1274" i="12"/>
  <c r="Z1276" i="12"/>
  <c r="AA1275" i="12"/>
  <c r="AA1276" i="12"/>
  <c r="Z1277" i="12"/>
  <c r="Z1278" i="12"/>
  <c r="AA1277" i="12"/>
  <c r="Z1279" i="12"/>
  <c r="AA1278" i="12"/>
  <c r="Z1280" i="12"/>
  <c r="AA1279" i="12"/>
  <c r="Z1281" i="12"/>
  <c r="AA1280" i="12"/>
  <c r="Z1282" i="12"/>
  <c r="AA1281" i="12"/>
  <c r="Z1283" i="12"/>
  <c r="AA1282" i="12"/>
  <c r="Z1284" i="12"/>
  <c r="AA1283" i="12"/>
  <c r="AA1284" i="12"/>
  <c r="Z1285" i="12"/>
  <c r="AA1285" i="12"/>
  <c r="Z1286" i="12"/>
  <c r="Z1287" i="12"/>
  <c r="AA1286" i="12"/>
  <c r="AA1287" i="12"/>
  <c r="Z1288" i="12"/>
  <c r="Z1289" i="12"/>
  <c r="AA1288" i="12"/>
  <c r="AA1289" i="12"/>
  <c r="Z1290" i="12"/>
  <c r="AA1290" i="12"/>
  <c r="Z1291" i="12"/>
  <c r="Z1292" i="12"/>
  <c r="AA1291" i="12"/>
  <c r="AA1292" i="12"/>
  <c r="Z1293" i="12"/>
  <c r="Z1294" i="12"/>
  <c r="AA1293" i="12"/>
  <c r="AA1294" i="12"/>
  <c r="Z1295" i="12"/>
  <c r="Z1296" i="12"/>
  <c r="AA1295" i="12"/>
  <c r="Z1297" i="12"/>
  <c r="AA1296" i="12"/>
  <c r="AA1297" i="12"/>
  <c r="Z1298" i="12"/>
  <c r="Z1299" i="12"/>
  <c r="AA1298" i="12"/>
  <c r="AA1299" i="12"/>
  <c r="Z1300" i="12"/>
  <c r="Z1301" i="12"/>
  <c r="AA1300" i="12"/>
  <c r="AA1301" i="12"/>
  <c r="Z1302" i="12"/>
  <c r="AA1302" i="12"/>
  <c r="Z1303" i="12"/>
  <c r="Z1304" i="12"/>
  <c r="AA1303" i="12"/>
  <c r="Z1305" i="12"/>
  <c r="AA1304" i="12"/>
  <c r="AA1305" i="12"/>
  <c r="Z1306" i="12"/>
  <c r="Z1307" i="12"/>
  <c r="AA1306" i="12"/>
  <c r="Z1308" i="12"/>
  <c r="AA1307" i="12"/>
  <c r="Z1309" i="12"/>
  <c r="AA1308" i="12"/>
  <c r="AA1309" i="12"/>
  <c r="Z1310" i="12"/>
  <c r="AA1310" i="12"/>
  <c r="Z1311" i="12"/>
  <c r="AA1311" i="12"/>
  <c r="Z1312" i="12"/>
  <c r="AA1312" i="12"/>
  <c r="Z1313" i="12"/>
  <c r="AA1313" i="12"/>
  <c r="Z1314" i="12"/>
  <c r="AA1314" i="12"/>
  <c r="Z1315" i="12"/>
  <c r="AA1315" i="12"/>
  <c r="Z1316" i="12"/>
  <c r="Z1317" i="12"/>
  <c r="AA1316" i="12"/>
  <c r="AA1317" i="12"/>
  <c r="Z1318" i="12"/>
  <c r="Z1319" i="12"/>
  <c r="AA1318" i="12"/>
  <c r="AA1319" i="12"/>
  <c r="Z1320" i="12"/>
  <c r="Z1321" i="12"/>
  <c r="AA1320" i="12"/>
  <c r="AA1321" i="12"/>
  <c r="Z1322" i="12"/>
  <c r="AA1322" i="12"/>
  <c r="Z1323" i="12"/>
  <c r="Z1324" i="12"/>
  <c r="AA1323" i="12"/>
  <c r="AA1324" i="12"/>
  <c r="Z1325" i="12"/>
  <c r="Z1326" i="12"/>
  <c r="AA1325" i="12"/>
  <c r="Z1327" i="12"/>
  <c r="AA1326" i="12"/>
  <c r="AA1327" i="12"/>
  <c r="Z1328" i="12"/>
  <c r="Z1329" i="12"/>
  <c r="AA1328" i="12"/>
  <c r="AA1329" i="12"/>
  <c r="Z1330" i="12"/>
  <c r="AA1330" i="12"/>
  <c r="Z1331" i="12"/>
  <c r="AA1331" i="12"/>
  <c r="Z1332" i="12"/>
  <c r="Z1333" i="12"/>
  <c r="AA1332" i="12"/>
  <c r="Z1334" i="12"/>
  <c r="AA1333" i="12"/>
  <c r="Z1335" i="12"/>
  <c r="AA1334" i="12"/>
  <c r="AA1335" i="12"/>
  <c r="Z1336" i="12"/>
  <c r="Z1337" i="12"/>
  <c r="AA1336" i="12"/>
  <c r="Z1338" i="12"/>
  <c r="AA1337" i="12"/>
  <c r="Z1339" i="12"/>
  <c r="AA1338" i="12"/>
  <c r="Z1340" i="12"/>
  <c r="AA1339" i="12"/>
  <c r="AA1340" i="12"/>
  <c r="Z1341" i="12"/>
  <c r="AA1341" i="12"/>
  <c r="Z1342" i="12"/>
  <c r="Z1343" i="12"/>
  <c r="AA1342" i="12"/>
  <c r="Z1344" i="12"/>
  <c r="AA1343" i="12"/>
  <c r="Z1345" i="12"/>
  <c r="AA1344" i="12"/>
  <c r="AA1345" i="12"/>
  <c r="Z1346" i="12"/>
  <c r="AA1346" i="12"/>
  <c r="Z1347" i="12"/>
  <c r="Z1348" i="12"/>
  <c r="AA1347" i="12"/>
  <c r="Z1349" i="12"/>
  <c r="AA1348" i="12"/>
  <c r="Z1350" i="12"/>
  <c r="AA1349" i="12"/>
  <c r="AA1350" i="12"/>
  <c r="Z1351" i="12"/>
  <c r="AA1351" i="12"/>
  <c r="Z1352" i="12"/>
  <c r="Z1353" i="12"/>
  <c r="AA1352" i="12"/>
  <c r="AA1353" i="12"/>
  <c r="Z1354" i="12"/>
  <c r="Z1355" i="12"/>
  <c r="AA1354" i="12"/>
  <c r="AA1355" i="12"/>
  <c r="Z1356" i="12"/>
  <c r="AA1356" i="12"/>
  <c r="Z1357" i="12"/>
  <c r="Z1358" i="12"/>
  <c r="AA1357" i="12"/>
  <c r="AA1358" i="12"/>
  <c r="Z1359" i="12"/>
  <c r="AA1359" i="12"/>
  <c r="Z1360" i="12"/>
  <c r="Z1361" i="12"/>
  <c r="AA1360" i="12"/>
  <c r="AA1361" i="12"/>
  <c r="Z1362" i="12"/>
  <c r="Z1363" i="12"/>
  <c r="AA1362" i="12"/>
  <c r="Z1364" i="12"/>
  <c r="AA1363" i="12"/>
  <c r="AA1364" i="12"/>
  <c r="Z1365" i="12"/>
  <c r="AA1365" i="12"/>
  <c r="Z1366" i="12"/>
  <c r="Z1367" i="12"/>
  <c r="AA1366" i="12"/>
  <c r="Z1368" i="12"/>
  <c r="AA1367" i="12"/>
  <c r="AA1368" i="12"/>
  <c r="Z1369" i="12"/>
  <c r="Z1370" i="12"/>
  <c r="AA1369" i="12"/>
  <c r="AA1370" i="12"/>
  <c r="Z1371" i="12"/>
  <c r="AA1371" i="12"/>
  <c r="Z1372" i="12"/>
  <c r="AA1372" i="12"/>
  <c r="Z1373" i="12"/>
  <c r="Z1374" i="12"/>
  <c r="AA1373" i="12"/>
  <c r="Z1375" i="12"/>
  <c r="AA1374" i="12"/>
  <c r="Z1376" i="12"/>
  <c r="AA1375" i="12"/>
  <c r="AA1376" i="12"/>
  <c r="Z1377" i="12"/>
  <c r="AA1377" i="12"/>
  <c r="Z1378" i="12"/>
  <c r="AA1378" i="12"/>
  <c r="Z1379" i="12"/>
  <c r="Z1380" i="12"/>
  <c r="AA1379" i="12"/>
  <c r="AA1380" i="12"/>
  <c r="Z1381" i="12"/>
  <c r="Z1382" i="12"/>
  <c r="AA1381" i="12"/>
  <c r="AA1382" i="12"/>
  <c r="Z1383" i="12"/>
  <c r="Z1384" i="12"/>
  <c r="AA1383" i="12"/>
  <c r="AA1384" i="12"/>
  <c r="Z1385" i="12"/>
  <c r="AA1385" i="12"/>
  <c r="Z1386" i="12"/>
  <c r="Z1387" i="12"/>
  <c r="AA1386" i="12"/>
  <c r="Z1388" i="12"/>
  <c r="AA1387" i="12"/>
  <c r="AA1388" i="12"/>
  <c r="Z1389" i="12"/>
  <c r="AA1389" i="12"/>
  <c r="Z1390" i="12"/>
  <c r="Z1391" i="12"/>
  <c r="AA1390" i="12"/>
  <c r="AA1391" i="12"/>
  <c r="Z1392" i="12"/>
  <c r="AA1392" i="12"/>
  <c r="Z1393" i="12"/>
  <c r="Z1394" i="12"/>
  <c r="AA1393" i="12"/>
  <c r="Z1395" i="12"/>
  <c r="AA1394" i="12"/>
  <c r="Z1396" i="12"/>
  <c r="AA1395" i="12"/>
  <c r="AA1396" i="12"/>
  <c r="Z1397" i="12"/>
  <c r="Z1398" i="12"/>
  <c r="AA1397" i="12"/>
  <c r="Z1399" i="12"/>
  <c r="AA1398" i="12"/>
  <c r="AA1399" i="12"/>
  <c r="Z1400" i="12"/>
  <c r="AA1400" i="12"/>
  <c r="Z1401" i="12"/>
  <c r="Z1402" i="12"/>
  <c r="AA1401" i="12"/>
  <c r="AA1402" i="12"/>
  <c r="Z1403" i="12"/>
  <c r="Z1404" i="12"/>
  <c r="AA1403" i="12"/>
  <c r="AA1404" i="12"/>
  <c r="Z1405" i="12"/>
  <c r="AA1405" i="12"/>
  <c r="Z1406" i="12"/>
  <c r="Z1407" i="12"/>
  <c r="AA1406" i="12"/>
  <c r="AA1407" i="12"/>
  <c r="Z1408" i="12"/>
  <c r="AA1408" i="12"/>
  <c r="Z1409" i="12"/>
  <c r="AA1409" i="12"/>
  <c r="Z1410" i="12"/>
  <c r="AA1410" i="12"/>
  <c r="Z1411" i="12"/>
  <c r="Z1412" i="12"/>
  <c r="AA1411" i="12"/>
  <c r="AA1412" i="12"/>
  <c r="Z1413" i="12"/>
  <c r="AA1413" i="12"/>
  <c r="Z1414" i="12"/>
  <c r="Z1415" i="12"/>
  <c r="AA1414" i="12"/>
  <c r="AA1415" i="12"/>
  <c r="Z1416" i="12"/>
  <c r="AA1416" i="12"/>
  <c r="Z1417" i="12"/>
  <c r="AA1417" i="12"/>
  <c r="Z1418" i="12"/>
  <c r="AA1418" i="12"/>
  <c r="Z1419" i="12"/>
  <c r="AA1419" i="12"/>
  <c r="Z1420" i="12"/>
  <c r="AA1420" i="12"/>
  <c r="Z1421" i="12"/>
  <c r="Z1422" i="12"/>
  <c r="AA1421" i="12"/>
  <c r="Z1423" i="12"/>
  <c r="AA1422" i="12"/>
  <c r="Z1424" i="12"/>
  <c r="AA1423" i="12"/>
  <c r="AA1424" i="12"/>
  <c r="Z1425" i="12"/>
  <c r="AA1425" i="12"/>
  <c r="Z1426" i="12"/>
  <c r="AA1426" i="12"/>
  <c r="Z1427" i="12"/>
  <c r="Z1428" i="12"/>
  <c r="AA1427" i="12"/>
  <c r="AA1428" i="12"/>
  <c r="Z1429" i="12"/>
  <c r="AA1429" i="12"/>
  <c r="Z1430" i="12"/>
  <c r="Z1431" i="12"/>
  <c r="AA1430" i="12"/>
  <c r="AA1431" i="12"/>
  <c r="Z1432" i="12"/>
  <c r="Z1433" i="12"/>
  <c r="AA1432" i="12"/>
  <c r="AA1433" i="12"/>
  <c r="Z1434" i="12"/>
  <c r="AA1434" i="12"/>
  <c r="Z1435" i="12"/>
  <c r="Z1436" i="12"/>
  <c r="AA1435" i="12"/>
  <c r="AA1436" i="12"/>
  <c r="Z1437" i="12"/>
  <c r="Z1438" i="12"/>
  <c r="AA1437" i="12"/>
  <c r="AA1438" i="12"/>
  <c r="Z1439" i="12"/>
  <c r="AA1439" i="12"/>
  <c r="Z1440" i="12"/>
  <c r="Z1441" i="12"/>
  <c r="AA1440" i="12"/>
  <c r="Z1442" i="12"/>
  <c r="AA1441" i="12"/>
  <c r="AA1442" i="12"/>
  <c r="Z1443" i="12"/>
  <c r="AA1443" i="12"/>
  <c r="Z1444" i="12"/>
  <c r="AA1444" i="12"/>
  <c r="Z1445" i="12"/>
  <c r="Z1446" i="12"/>
  <c r="AA1445" i="12"/>
  <c r="AA1446" i="12"/>
  <c r="Z1447" i="12"/>
  <c r="AA1447" i="12"/>
  <c r="Z1448" i="12"/>
  <c r="Z1449" i="12"/>
  <c r="AA1448" i="12"/>
  <c r="AA1449" i="12"/>
  <c r="Z1450" i="12"/>
  <c r="Z1451" i="12"/>
  <c r="AA1450" i="12"/>
  <c r="AA1451" i="12"/>
  <c r="Z1452" i="12"/>
  <c r="AA1452" i="12"/>
  <c r="Z1453" i="12"/>
  <c r="AA1453" i="12"/>
  <c r="Z1454" i="12"/>
  <c r="Z1455" i="12"/>
  <c r="AA1454" i="12"/>
  <c r="Z1456" i="12"/>
  <c r="AA1455" i="12"/>
  <c r="AA1456" i="12"/>
  <c r="Z1457" i="12"/>
  <c r="Z1458" i="12"/>
  <c r="AA1457" i="12"/>
  <c r="AA1458" i="12"/>
  <c r="Z1459" i="12"/>
  <c r="Z1460" i="12"/>
  <c r="AA1459" i="12"/>
  <c r="Z1461" i="12"/>
  <c r="AA1460" i="12"/>
  <c r="AA1461" i="12"/>
  <c r="Z1462" i="12"/>
  <c r="AA1462" i="12"/>
  <c r="Z1463" i="12"/>
  <c r="Z1464" i="12"/>
  <c r="AA1463" i="12"/>
  <c r="AA1464" i="12"/>
  <c r="Z1465" i="12"/>
  <c r="AA1465" i="12"/>
  <c r="Z1466" i="12"/>
  <c r="Z1467" i="12"/>
  <c r="AA1466" i="12"/>
  <c r="AA1467" i="12"/>
  <c r="Z1468" i="12"/>
  <c r="AA1468" i="12"/>
  <c r="Z1469" i="12"/>
  <c r="AA1469" i="12"/>
  <c r="Z1470" i="12"/>
  <c r="Z1471" i="12"/>
  <c r="AA1470" i="12"/>
  <c r="Z1472" i="12"/>
  <c r="AA1471" i="12"/>
  <c r="AA1472" i="12"/>
  <c r="Z1473" i="12"/>
  <c r="AA1473" i="12"/>
  <c r="Z1474" i="12"/>
  <c r="AA1474" i="12"/>
  <c r="Z1475" i="12"/>
  <c r="AA1475" i="12"/>
  <c r="Z1476" i="12"/>
  <c r="AA1476" i="12"/>
  <c r="Z1477" i="12"/>
  <c r="Z1478" i="12"/>
  <c r="AA1477" i="12"/>
  <c r="Z1479" i="12"/>
  <c r="AA1478" i="12"/>
  <c r="AA1479" i="12"/>
  <c r="Z1480" i="12"/>
  <c r="Z1481" i="12"/>
  <c r="AA1480" i="12"/>
  <c r="AA1481" i="12"/>
  <c r="Z1482" i="12"/>
  <c r="AA1482" i="12"/>
  <c r="Z1483" i="12"/>
  <c r="AA1483" i="12"/>
  <c r="Z1484" i="12"/>
  <c r="AA1484" i="12"/>
  <c r="Z1485" i="12"/>
  <c r="AA1485" i="12"/>
  <c r="Z1486" i="12"/>
  <c r="Z1487" i="12"/>
  <c r="AA1486" i="12"/>
  <c r="AA1487" i="12"/>
  <c r="Z1488" i="12"/>
  <c r="AA1488" i="12"/>
  <c r="Z1489" i="12"/>
  <c r="Z1490" i="12"/>
  <c r="AA1489" i="12"/>
  <c r="AA1490" i="12"/>
  <c r="Z1491" i="12"/>
  <c r="AA1491" i="12"/>
  <c r="Z1492" i="12"/>
  <c r="AA1492" i="12"/>
  <c r="Z1493" i="12"/>
  <c r="Z1494" i="12"/>
  <c r="AA1493" i="12"/>
  <c r="AA1494" i="12"/>
  <c r="Z1495" i="12"/>
  <c r="AA1495" i="12"/>
  <c r="Z1496" i="12"/>
  <c r="AA1496" i="12"/>
  <c r="Z1497" i="12"/>
  <c r="AA1497" i="12"/>
  <c r="Z1498" i="12"/>
  <c r="Z1499" i="12"/>
  <c r="AA1498" i="12"/>
  <c r="AA1499" i="12"/>
  <c r="Z1500" i="12"/>
  <c r="Z1501" i="12"/>
  <c r="AA1500" i="12"/>
  <c r="AA1501" i="12"/>
  <c r="Z1502" i="12"/>
  <c r="AA1502" i="12"/>
  <c r="Z1503" i="12"/>
  <c r="Z1504" i="12"/>
  <c r="AA1503" i="12"/>
  <c r="AA1504" i="12"/>
  <c r="Z1505" i="12"/>
  <c r="AA1505" i="12"/>
  <c r="Z1506" i="12"/>
  <c r="AA1506" i="12"/>
  <c r="Z1507" i="12"/>
  <c r="Z1508" i="12"/>
  <c r="AA1507" i="12"/>
  <c r="AA1508" i="12"/>
  <c r="Z1509" i="12"/>
  <c r="AA1509" i="12"/>
  <c r="Z1510" i="12"/>
  <c r="AA1510" i="12"/>
  <c r="Z1511" i="12"/>
  <c r="Z1512" i="12"/>
  <c r="AA1511" i="12"/>
  <c r="AA1512" i="12"/>
  <c r="Z1513" i="12"/>
  <c r="AA1513" i="12"/>
  <c r="Z1514" i="12"/>
  <c r="Z1515" i="12"/>
  <c r="AA1514" i="12"/>
  <c r="Z1516" i="12"/>
  <c r="AA1515" i="12"/>
  <c r="AA1516" i="12"/>
  <c r="Z1517" i="12"/>
  <c r="Z1518" i="12"/>
  <c r="AA1517" i="12"/>
  <c r="AA1518" i="12"/>
  <c r="Z1519" i="12"/>
  <c r="AA1519" i="12"/>
  <c r="Z1520" i="12"/>
  <c r="Z1521" i="12"/>
  <c r="AA1520" i="12"/>
  <c r="Z1522" i="12"/>
  <c r="AA1521" i="12"/>
  <c r="Z1523" i="12"/>
  <c r="AA1522" i="12"/>
  <c r="AA1523" i="12"/>
  <c r="Z1524" i="12"/>
  <c r="AA1524" i="12"/>
  <c r="Z1525" i="12"/>
  <c r="Z1526" i="12"/>
  <c r="AA1525" i="12"/>
  <c r="AA1526" i="12"/>
  <c r="Z1527" i="12"/>
  <c r="AA1527" i="12"/>
  <c r="Z1528" i="12"/>
  <c r="AA1528" i="12"/>
  <c r="Z1529" i="12"/>
  <c r="AA1529" i="12"/>
  <c r="Z1530" i="12"/>
  <c r="Z1531" i="12"/>
  <c r="AA1530" i="12"/>
  <c r="Z1532" i="12"/>
  <c r="AA1531" i="12"/>
  <c r="AA1532" i="12"/>
  <c r="Z1533" i="12"/>
  <c r="AA1533" i="12"/>
  <c r="Z1534" i="12"/>
  <c r="Z1535" i="12"/>
  <c r="AA1534" i="12"/>
  <c r="Z1536" i="12"/>
  <c r="AA1535" i="12"/>
  <c r="Z1537" i="12"/>
  <c r="AA1536" i="12"/>
  <c r="AA1537" i="12"/>
  <c r="Z1538" i="12"/>
  <c r="AA1538" i="12"/>
  <c r="Z1539" i="12"/>
  <c r="AA1539" i="12"/>
  <c r="Z1540" i="12"/>
  <c r="Z1541" i="12"/>
  <c r="AA1540" i="12"/>
  <c r="Z1542" i="12"/>
  <c r="AA1541" i="12"/>
  <c r="AA1542" i="12"/>
  <c r="Z1543" i="12"/>
  <c r="AA1543" i="12"/>
  <c r="Z1544" i="12"/>
  <c r="Z1545" i="12"/>
  <c r="AA1544" i="12"/>
  <c r="Z1546" i="12"/>
  <c r="AA1545" i="12"/>
  <c r="Z1547" i="12"/>
  <c r="AA1546" i="12"/>
  <c r="Z1548" i="12"/>
  <c r="AA1547" i="12"/>
  <c r="AA1548" i="12"/>
  <c r="Z1549" i="12"/>
  <c r="AA1549" i="12"/>
  <c r="Z1550" i="12"/>
  <c r="Z1551" i="12"/>
  <c r="AA1550" i="12"/>
  <c r="Z1552" i="12"/>
  <c r="AA1551" i="12"/>
  <c r="AA1552" i="12"/>
  <c r="Z1553" i="12"/>
  <c r="Z1554" i="12"/>
  <c r="AA1553" i="12"/>
  <c r="Z1555" i="12"/>
  <c r="AA1554" i="12"/>
  <c r="AA1555" i="12"/>
  <c r="Z1556" i="12"/>
  <c r="AA1556" i="12"/>
  <c r="Z1557" i="12"/>
  <c r="AA1557" i="12"/>
  <c r="Z1558" i="12"/>
  <c r="Z1559" i="12"/>
  <c r="AA1558" i="12"/>
  <c r="AA1559" i="12"/>
  <c r="Z1560" i="12"/>
  <c r="AA1560" i="12"/>
  <c r="Z1561" i="12"/>
  <c r="AA1561" i="12"/>
  <c r="Z1562" i="12"/>
  <c r="AA1562" i="12"/>
  <c r="Z1563" i="12"/>
  <c r="Z1564" i="12"/>
  <c r="AA1563" i="12"/>
  <c r="Z1565" i="12"/>
  <c r="AA1564" i="12"/>
  <c r="AA1565" i="12"/>
  <c r="Z1566" i="12"/>
  <c r="Z1567" i="12"/>
  <c r="AA1566" i="12"/>
  <c r="AA1567" i="12"/>
  <c r="Z1568" i="12"/>
  <c r="Z1569" i="12"/>
  <c r="AA1568" i="12"/>
  <c r="AA1569" i="12"/>
  <c r="Z1570" i="12"/>
  <c r="Z1571" i="12"/>
  <c r="AA1570" i="12"/>
  <c r="AA1571" i="12"/>
  <c r="Z1572" i="12"/>
  <c r="Z1573" i="12"/>
  <c r="AA1572" i="12"/>
  <c r="AA1573" i="12"/>
  <c r="Z1574" i="12"/>
  <c r="Z1575" i="12"/>
  <c r="AA1574" i="12"/>
  <c r="AA1575" i="12"/>
  <c r="Z1576" i="12"/>
  <c r="Z1577" i="12"/>
  <c r="AA1576" i="12"/>
  <c r="AA1577" i="12"/>
  <c r="Z1578" i="12"/>
  <c r="AA1578" i="12"/>
  <c r="Z1579" i="12"/>
  <c r="Z1580" i="12"/>
  <c r="AA1579" i="12"/>
  <c r="Z1581" i="12"/>
  <c r="AA1580" i="12"/>
  <c r="AA1581" i="12"/>
  <c r="Z1582" i="12"/>
  <c r="AA1582" i="12"/>
  <c r="Z1583" i="12"/>
  <c r="AA1583" i="12"/>
  <c r="Z1584" i="12"/>
  <c r="Z1585" i="12"/>
  <c r="AA1584" i="12"/>
  <c r="AA1585" i="12"/>
  <c r="Z1586" i="12"/>
  <c r="AA1586" i="12"/>
  <c r="Z1587" i="12"/>
  <c r="Z1588" i="12"/>
  <c r="AA1587" i="12"/>
  <c r="AA1588" i="12"/>
  <c r="Z1589" i="12"/>
  <c r="AA1589" i="12"/>
  <c r="Z1590" i="12"/>
  <c r="Z1591" i="12"/>
  <c r="AA1590" i="12"/>
  <c r="Z1592" i="12"/>
  <c r="AA1591" i="12"/>
  <c r="Z1593" i="12"/>
  <c r="AA1592" i="12"/>
  <c r="Z1594" i="12"/>
  <c r="AA1593" i="12"/>
  <c r="AA1594" i="12"/>
  <c r="Z1595" i="12"/>
  <c r="AA1595" i="12"/>
  <c r="Z1596" i="12"/>
  <c r="Z1597" i="12"/>
  <c r="AA1596" i="12"/>
  <c r="Z1598" i="12"/>
  <c r="AA1597" i="12"/>
  <c r="AA1598" i="12"/>
  <c r="Z1599" i="12"/>
  <c r="AA1599" i="12"/>
  <c r="Z1600" i="12"/>
  <c r="Z1601" i="12"/>
  <c r="AA1600" i="12"/>
  <c r="Z1602" i="12"/>
  <c r="AA1601" i="12"/>
  <c r="AA1602" i="12"/>
  <c r="Z1603" i="12"/>
  <c r="Z1604" i="12"/>
  <c r="AA1603" i="12"/>
  <c r="AA1604" i="12"/>
  <c r="Z1605" i="12"/>
  <c r="AA1605" i="12"/>
  <c r="Z1606" i="12"/>
  <c r="Z1607" i="12"/>
  <c r="AA1606" i="12"/>
  <c r="AA1607" i="12"/>
  <c r="Z1608" i="12"/>
  <c r="Z1609" i="12"/>
  <c r="AA1608" i="12"/>
  <c r="AA1609" i="12"/>
  <c r="Z1610" i="12"/>
  <c r="AA1610" i="12"/>
  <c r="Z1611" i="12"/>
  <c r="AA1611" i="12"/>
  <c r="Z1612" i="12"/>
  <c r="Z1613" i="12"/>
  <c r="AA1612" i="12"/>
  <c r="Z1614" i="12"/>
  <c r="AA1613" i="12"/>
  <c r="AA1614" i="12"/>
  <c r="Z1615" i="12"/>
  <c r="AA1615" i="12"/>
  <c r="Z1616" i="12"/>
  <c r="AA1616" i="12"/>
  <c r="Z1617" i="12"/>
  <c r="Z1618" i="12"/>
  <c r="AA1617" i="12"/>
  <c r="AA1618" i="12"/>
  <c r="Z1619" i="12"/>
  <c r="AA1619" i="12"/>
  <c r="Z1620" i="12"/>
  <c r="Z1621" i="12"/>
  <c r="AA1620" i="12"/>
  <c r="Z1622" i="12"/>
  <c r="AA1621" i="12"/>
  <c r="AA1622" i="12"/>
  <c r="Z1623" i="12"/>
  <c r="Z1624" i="12"/>
  <c r="AA1623" i="12"/>
  <c r="AA1624" i="12"/>
  <c r="Z1625" i="12"/>
  <c r="AA1625" i="12"/>
  <c r="Z1626" i="12"/>
  <c r="Z1627" i="12"/>
  <c r="AA1626" i="12"/>
  <c r="Z1628" i="12"/>
  <c r="AA1627" i="12"/>
  <c r="AA1628" i="12"/>
  <c r="Z1629" i="12"/>
  <c r="Z1630" i="12"/>
  <c r="AA1629" i="12"/>
  <c r="Z1631" i="12"/>
  <c r="AA1630" i="12"/>
  <c r="Z1632" i="12"/>
  <c r="AA1631" i="12"/>
  <c r="AA1632" i="12"/>
  <c r="Z1633" i="12"/>
  <c r="AA1633" i="12"/>
  <c r="Z1634" i="12"/>
  <c r="AA1634" i="12"/>
  <c r="Z1635" i="12"/>
  <c r="Z1636" i="12"/>
  <c r="AA1635" i="12"/>
  <c r="AA1636" i="12"/>
  <c r="Z1637" i="12"/>
  <c r="AA1637" i="12"/>
  <c r="Z1638" i="12"/>
  <c r="AA1638" i="12"/>
  <c r="Z1639" i="12"/>
  <c r="AA1639" i="12"/>
  <c r="Z1640" i="12"/>
  <c r="AA1640" i="12"/>
  <c r="Z1641" i="12"/>
  <c r="AA1641" i="12"/>
  <c r="Z1642" i="12"/>
  <c r="AA1642" i="12"/>
  <c r="Z1643" i="12"/>
  <c r="AA1643" i="12"/>
  <c r="Z1644" i="12"/>
  <c r="AA1644" i="12"/>
  <c r="Z1645" i="12"/>
  <c r="Z1646" i="12"/>
  <c r="AA1645" i="12"/>
  <c r="Z1647" i="12"/>
  <c r="AA1646" i="12"/>
  <c r="Z1648" i="12"/>
  <c r="AA1647" i="12"/>
  <c r="AA1648" i="12"/>
  <c r="Z1649" i="12"/>
  <c r="Z1650" i="12"/>
  <c r="AA1649" i="12"/>
  <c r="AA1650" i="12"/>
  <c r="Z1651" i="12"/>
  <c r="Z1652" i="12"/>
  <c r="AA1651" i="12"/>
  <c r="Z1653" i="12"/>
  <c r="AA1652" i="12"/>
  <c r="Z1654" i="12"/>
  <c r="AA1653" i="12"/>
  <c r="Z1655" i="12"/>
  <c r="AA1654" i="12"/>
  <c r="Z1656" i="12"/>
  <c r="AA1655" i="12"/>
  <c r="AA1656" i="12"/>
  <c r="Z1657" i="12"/>
  <c r="Z1658" i="12"/>
  <c r="AA1657" i="12"/>
  <c r="AA1658" i="12"/>
  <c r="Z1659" i="12"/>
  <c r="Z1660" i="12"/>
  <c r="AA1659" i="12"/>
  <c r="Z1661" i="12"/>
  <c r="AA1660" i="12"/>
  <c r="Z1662" i="12"/>
  <c r="AA1661" i="12"/>
  <c r="AA1662" i="12"/>
  <c r="Z1663" i="12"/>
  <c r="AA1663" i="12"/>
  <c r="Z1664" i="12"/>
  <c r="AA1664" i="12"/>
  <c r="Z1665" i="12"/>
  <c r="AA1665" i="12"/>
  <c r="Z1666" i="12"/>
  <c r="AA1666" i="12"/>
  <c r="Z1667" i="12"/>
  <c r="Z1668" i="12"/>
  <c r="AA1667" i="12"/>
  <c r="Z1669" i="12"/>
  <c r="AA1668" i="12"/>
  <c r="Z1670" i="12"/>
  <c r="AA1669" i="12"/>
  <c r="AA1670" i="12"/>
  <c r="Z1671" i="12"/>
  <c r="Z1672" i="12"/>
  <c r="AA1671" i="12"/>
  <c r="AA1672" i="12"/>
  <c r="Z1673" i="12"/>
  <c r="Z1674" i="12"/>
  <c r="AA1673" i="12"/>
  <c r="Z1675" i="12"/>
  <c r="AA1674" i="12"/>
  <c r="AA1675" i="12"/>
  <c r="Z1676" i="12"/>
  <c r="AA1676" i="12"/>
  <c r="Z1677" i="12"/>
  <c r="Z1678" i="12"/>
  <c r="AA1677" i="12"/>
  <c r="Z1679" i="12"/>
  <c r="AA1678" i="12"/>
  <c r="Z1680" i="12"/>
  <c r="AA1679" i="12"/>
  <c r="AA1680" i="12"/>
  <c r="Z1681" i="12"/>
  <c r="AA1681" i="12"/>
  <c r="Z1682" i="12"/>
  <c r="AA1682" i="12"/>
  <c r="Z1683" i="12"/>
  <c r="Z1684" i="12"/>
  <c r="AA1683" i="12"/>
  <c r="Z1685" i="12"/>
  <c r="AA1684" i="12"/>
  <c r="Z1686" i="12"/>
  <c r="AA1685" i="12"/>
  <c r="Z1687" i="12"/>
  <c r="AA1686" i="12"/>
  <c r="AA1687" i="12"/>
  <c r="Z1688" i="12"/>
  <c r="AA1688" i="12"/>
  <c r="Z1689" i="12"/>
  <c r="Z1690" i="12"/>
  <c r="AA1689" i="12"/>
  <c r="Z1691" i="12"/>
  <c r="AA1690" i="12"/>
  <c r="Z1692" i="12"/>
  <c r="AA1691" i="12"/>
  <c r="Z1693" i="12"/>
  <c r="AA1692" i="12"/>
  <c r="Z1694" i="12"/>
  <c r="AA1693" i="12"/>
  <c r="Z1695" i="12"/>
  <c r="AA1694" i="12"/>
  <c r="AA1695" i="12"/>
  <c r="Z1696" i="12"/>
  <c r="Z1697" i="12"/>
  <c r="AA1696" i="12"/>
  <c r="AA1697" i="12"/>
  <c r="Z1698" i="12"/>
  <c r="AA1698" i="12"/>
  <c r="Z1699" i="12"/>
  <c r="AA1699" i="12"/>
  <c r="Z1700" i="12"/>
  <c r="AA1700" i="12"/>
  <c r="Z1701" i="12"/>
  <c r="AA1701" i="12"/>
  <c r="Z1702" i="12"/>
  <c r="Z1703" i="12"/>
  <c r="AA1702" i="12"/>
  <c r="AA1703" i="12"/>
  <c r="Z1704" i="12"/>
  <c r="Z1705" i="12"/>
  <c r="AA1704" i="12"/>
  <c r="Z1706" i="12"/>
  <c r="AA1705" i="12"/>
  <c r="AA1706" i="12"/>
  <c r="Z1707" i="12"/>
  <c r="AA1707" i="12"/>
  <c r="Z1708" i="12"/>
  <c r="Z1709" i="12"/>
  <c r="AA1708" i="12"/>
  <c r="Z1710" i="12"/>
  <c r="AA1709" i="12"/>
  <c r="AA1710" i="12"/>
  <c r="Z1711" i="12"/>
  <c r="AA1711" i="12"/>
  <c r="Z1712" i="12"/>
  <c r="Z1713" i="12"/>
  <c r="AA1712" i="12"/>
  <c r="AA1713" i="12"/>
  <c r="Z1714" i="12"/>
  <c r="Z1715" i="12"/>
  <c r="AA1714" i="12"/>
  <c r="Z1716" i="12"/>
  <c r="AA1715" i="12"/>
  <c r="AA1716" i="12"/>
  <c r="Z1717" i="12"/>
  <c r="Z1718" i="12"/>
  <c r="AA1717" i="12"/>
  <c r="AA1718" i="12"/>
  <c r="Z1719" i="12"/>
  <c r="AA1719" i="12"/>
  <c r="Z1720" i="12"/>
  <c r="AA1720" i="12"/>
  <c r="Z1721" i="12"/>
  <c r="AA1721" i="12"/>
  <c r="Z1722" i="12"/>
  <c r="Z1723" i="12"/>
  <c r="AA1722" i="12"/>
  <c r="Z1724" i="12"/>
  <c r="AA1723" i="12"/>
  <c r="AA1724" i="12"/>
  <c r="Z1725" i="12"/>
  <c r="AA1725" i="12"/>
  <c r="Z1726" i="12"/>
  <c r="Z1727" i="12"/>
  <c r="AA1726" i="12"/>
  <c r="AA1727" i="12"/>
  <c r="Z1728" i="12"/>
  <c r="AA1728" i="12"/>
  <c r="Z1729" i="12"/>
  <c r="AA1729" i="12"/>
  <c r="Z1730" i="12"/>
  <c r="Z1731" i="12"/>
  <c r="AA1730" i="12"/>
  <c r="Z1732" i="12"/>
  <c r="AA1731" i="12"/>
  <c r="AA1732" i="12"/>
  <c r="Z1733" i="12"/>
  <c r="Z1734" i="12"/>
  <c r="AA1733" i="12"/>
  <c r="AA1734" i="12"/>
  <c r="Z1735" i="12"/>
  <c r="Z1736" i="12"/>
  <c r="AA1735" i="12"/>
  <c r="AA1736" i="12"/>
  <c r="Z1737" i="12"/>
  <c r="Z1738" i="12"/>
  <c r="AA1737" i="12"/>
  <c r="Z1739" i="12"/>
  <c r="AA1738" i="12"/>
  <c r="AA1739" i="12"/>
  <c r="Z1740" i="12"/>
  <c r="AA1740" i="12"/>
  <c r="Z1741" i="12"/>
  <c r="AA1741" i="12"/>
  <c r="Z1742" i="12"/>
  <c r="Z1743" i="12"/>
  <c r="AA1742" i="12"/>
  <c r="AA1743" i="12"/>
  <c r="Z1744" i="12"/>
  <c r="Z1745" i="12"/>
  <c r="AA1744" i="12"/>
  <c r="Z1746" i="12"/>
  <c r="AA1745" i="12"/>
  <c r="Z1747" i="12"/>
  <c r="AA1746" i="12"/>
  <c r="Z1748" i="12"/>
  <c r="AA1747" i="12"/>
  <c r="Z1749" i="12"/>
  <c r="AA1748" i="12"/>
  <c r="Z1750" i="12"/>
  <c r="AA1749" i="12"/>
  <c r="AA1750" i="12"/>
  <c r="Z1751" i="12"/>
  <c r="Z1752" i="12"/>
  <c r="AA1751" i="12"/>
  <c r="Z1753" i="12"/>
  <c r="AA1752" i="12"/>
  <c r="AA1753" i="12"/>
  <c r="Z1754" i="12"/>
  <c r="Z1755" i="12"/>
  <c r="AA1754" i="12"/>
  <c r="Z1756" i="12"/>
  <c r="AA1755" i="12"/>
  <c r="AA1756" i="12"/>
  <c r="Z1757" i="12"/>
  <c r="AA1757" i="12"/>
  <c r="Z1758" i="12"/>
  <c r="AA1758" i="12"/>
  <c r="Z1759" i="12"/>
  <c r="AA1759" i="12"/>
  <c r="Z1760" i="12"/>
  <c r="AA1760" i="12"/>
  <c r="Z1761" i="12"/>
  <c r="Z1762" i="12"/>
  <c r="AA1761" i="12"/>
  <c r="AA1762" i="12"/>
  <c r="Z1763" i="12"/>
  <c r="Z1764" i="12"/>
  <c r="AA1763" i="12"/>
  <c r="AA1764" i="12"/>
  <c r="Z1765" i="12"/>
  <c r="Z1766" i="12"/>
  <c r="AA1765" i="12"/>
  <c r="Z1767" i="12"/>
  <c r="AA1766" i="12"/>
  <c r="AA1767" i="12"/>
  <c r="Z1768" i="12"/>
  <c r="AA1768" i="12"/>
  <c r="Z1769" i="12"/>
  <c r="Z1770" i="12"/>
  <c r="AA1769" i="12"/>
  <c r="AA1770" i="12"/>
  <c r="Z1771" i="12"/>
  <c r="AA1771" i="12"/>
  <c r="Z1772" i="12"/>
  <c r="Z1773" i="12"/>
  <c r="AA1772" i="12"/>
  <c r="AA1773" i="12"/>
  <c r="Z1774" i="12"/>
  <c r="Z1775" i="12"/>
  <c r="AA1774" i="12"/>
  <c r="Z1776" i="12"/>
  <c r="AA1775" i="12"/>
  <c r="AA1776" i="12"/>
  <c r="Z1777" i="12"/>
  <c r="AA1777" i="12"/>
  <c r="Z1778" i="12"/>
  <c r="AA1778" i="12"/>
  <c r="Z1779" i="12"/>
  <c r="AA1779" i="12"/>
  <c r="Z1780" i="12"/>
  <c r="Z1781" i="12"/>
  <c r="AA1780" i="12"/>
  <c r="AA1781" i="12"/>
  <c r="Z1782" i="12"/>
  <c r="AA1782" i="12"/>
  <c r="Z1783" i="12"/>
  <c r="AA1783" i="12"/>
  <c r="Z1784" i="12"/>
  <c r="Z1785" i="12"/>
  <c r="AA1784" i="12"/>
  <c r="Z1786" i="12"/>
  <c r="AA1785" i="12"/>
  <c r="AA1786" i="12"/>
  <c r="Z1787" i="12"/>
  <c r="Z1788" i="12"/>
  <c r="AA1787" i="12"/>
  <c r="Z1789" i="12"/>
  <c r="AA1788" i="12"/>
  <c r="AA1789" i="12"/>
  <c r="Z1790" i="12"/>
  <c r="AA1790" i="12"/>
  <c r="Z1791" i="12"/>
  <c r="Z1792" i="12"/>
  <c r="AA1791" i="12"/>
  <c r="AA1792" i="12"/>
  <c r="Z1793" i="12"/>
  <c r="AA1793" i="12"/>
  <c r="Z1794" i="12"/>
  <c r="Z1795" i="12"/>
  <c r="AA1794" i="12"/>
  <c r="Z1796" i="12"/>
  <c r="AA1795" i="12"/>
  <c r="Z1797" i="12"/>
  <c r="AA1796" i="12"/>
  <c r="Z1798" i="12"/>
  <c r="AA1797" i="12"/>
  <c r="AA1798" i="12"/>
  <c r="Z1799" i="12"/>
  <c r="Z1800" i="12"/>
  <c r="AA1799" i="12"/>
  <c r="Z1801" i="12"/>
  <c r="AA1800" i="12"/>
  <c r="AA1801" i="12"/>
  <c r="Z1802" i="12"/>
  <c r="AA1802" i="12"/>
  <c r="Z1803" i="12"/>
  <c r="AA1803" i="12"/>
  <c r="Z1804" i="12"/>
  <c r="AA1804" i="12"/>
  <c r="Z1805" i="12"/>
  <c r="AA1805" i="12"/>
  <c r="Z1806" i="12"/>
  <c r="AA1806" i="12"/>
  <c r="Z1807" i="12"/>
  <c r="Z1808" i="12"/>
  <c r="AA1807" i="12"/>
  <c r="Z1809" i="12"/>
  <c r="AA1808" i="12"/>
  <c r="Z1810" i="12"/>
  <c r="AA1809" i="12"/>
  <c r="Z1811" i="12"/>
  <c r="AA1810" i="12"/>
  <c r="Z1812" i="12"/>
  <c r="AA1811" i="12"/>
  <c r="AA1812" i="12"/>
  <c r="Z1813" i="12"/>
  <c r="Z1814" i="12"/>
  <c r="AA1813" i="12"/>
  <c r="Z1815" i="12"/>
  <c r="AA1814" i="12"/>
  <c r="AA1815" i="12"/>
  <c r="Z1816" i="12"/>
  <c r="Z1817" i="12"/>
  <c r="AA1816" i="12"/>
  <c r="Z1818" i="12"/>
  <c r="AA1817" i="12"/>
  <c r="Z1819" i="12"/>
  <c r="AA1818" i="12"/>
  <c r="Z1820" i="12"/>
  <c r="AA1819" i="12"/>
  <c r="AA1820" i="12"/>
  <c r="Z1821" i="12"/>
  <c r="AA1821" i="12"/>
  <c r="Z1822" i="12"/>
  <c r="Z1823" i="12"/>
  <c r="AA1822" i="12"/>
  <c r="Z1824" i="12"/>
  <c r="AA1823" i="12"/>
  <c r="Z1825" i="12"/>
  <c r="AA1824" i="12"/>
  <c r="AA1825" i="12"/>
  <c r="Z1826" i="12"/>
  <c r="Z1827" i="12"/>
  <c r="AA1826" i="12"/>
  <c r="AA1827" i="12"/>
  <c r="Z1828" i="12"/>
  <c r="Z1829" i="12"/>
  <c r="AA1828" i="12"/>
  <c r="Z1830" i="12"/>
  <c r="AA1829" i="12"/>
  <c r="Z1831" i="12"/>
  <c r="AA1830" i="12"/>
  <c r="AA1831" i="12"/>
  <c r="Z1832" i="12"/>
  <c r="Z1833" i="12"/>
  <c r="AA1832" i="12"/>
  <c r="AA1833" i="12"/>
  <c r="Z1834" i="12"/>
  <c r="Z1835" i="12"/>
  <c r="AA1834" i="12"/>
  <c r="Z1836" i="12"/>
  <c r="AA1835" i="12"/>
  <c r="Z1837" i="12"/>
  <c r="AA1836" i="12"/>
  <c r="AA1837" i="12"/>
  <c r="Z1838" i="12"/>
  <c r="Z1839" i="12"/>
  <c r="AA1838" i="12"/>
  <c r="AA1839" i="12"/>
  <c r="Z1840" i="12"/>
  <c r="AA1840" i="12"/>
  <c r="Z1841" i="12"/>
  <c r="AA1841" i="12"/>
  <c r="Z1842" i="12"/>
  <c r="AA1842" i="12"/>
  <c r="Z1843" i="12"/>
  <c r="AA1843" i="12"/>
  <c r="Z1844" i="12"/>
  <c r="Z1845" i="12"/>
  <c r="AA1844" i="12"/>
  <c r="Z1846" i="12"/>
  <c r="AA1845" i="12"/>
  <c r="Z1847" i="12"/>
  <c r="AA1846" i="12"/>
  <c r="AA1847" i="12"/>
  <c r="Z1848" i="12"/>
  <c r="AA1848" i="12"/>
  <c r="Z1849" i="12"/>
  <c r="Z1850" i="12"/>
  <c r="AA1849" i="12"/>
  <c r="AA1850" i="12"/>
  <c r="Z1851" i="12"/>
  <c r="AA1851" i="12"/>
  <c r="Z1852" i="12"/>
  <c r="AA1852" i="12"/>
  <c r="Z1853" i="12"/>
  <c r="AA1853" i="12"/>
  <c r="Z1854" i="12"/>
  <c r="Z1855" i="12"/>
  <c r="AA1854" i="12"/>
  <c r="AA1855" i="12"/>
  <c r="Z1856" i="12"/>
  <c r="AA1856" i="12"/>
  <c r="Z1857" i="12"/>
  <c r="AA1857" i="12"/>
  <c r="Z1858" i="12"/>
  <c r="Z1859" i="12"/>
  <c r="AA1858" i="12"/>
  <c r="Z1860" i="12"/>
  <c r="AA1859" i="12"/>
  <c r="Z1861" i="12"/>
  <c r="AA1860" i="12"/>
  <c r="AA1861" i="12"/>
  <c r="Z1862" i="12"/>
  <c r="AA1862" i="12"/>
  <c r="Z1863" i="12"/>
  <c r="AA1863" i="12"/>
  <c r="Z1864" i="12"/>
  <c r="AA1864" i="12"/>
  <c r="Z1865" i="12"/>
  <c r="AA1865" i="12"/>
  <c r="Z1866" i="12"/>
  <c r="AA1866" i="12"/>
  <c r="Z1867" i="12"/>
  <c r="Z1868" i="12"/>
  <c r="AA1867" i="12"/>
  <c r="AA1868" i="12"/>
  <c r="Z1869" i="12"/>
  <c r="AA1869" i="12"/>
  <c r="Z1870" i="12"/>
  <c r="AA1870" i="12"/>
  <c r="Z1871" i="12"/>
  <c r="Z1872" i="12"/>
  <c r="AA1871" i="12"/>
  <c r="AA1872" i="12"/>
  <c r="Z1873" i="12"/>
  <c r="Z1874" i="12"/>
  <c r="AA1873" i="12"/>
  <c r="AA1874" i="12"/>
  <c r="Z1875" i="12"/>
  <c r="AA1875" i="12"/>
  <c r="Z1876" i="12"/>
  <c r="Z1877" i="12"/>
  <c r="AA1876" i="12"/>
  <c r="Z1878" i="12"/>
  <c r="AA1877" i="12"/>
  <c r="AA1878" i="12"/>
  <c r="Z1879" i="12"/>
  <c r="Z1880" i="12"/>
  <c r="AA1879" i="12"/>
  <c r="Z1881" i="12"/>
  <c r="AA1880" i="12"/>
  <c r="Z1882" i="12"/>
  <c r="AA1881" i="12"/>
  <c r="Z1883" i="12"/>
  <c r="AA1882" i="12"/>
  <c r="AA1883" i="12"/>
  <c r="Z1884" i="12"/>
  <c r="Z1885" i="12"/>
  <c r="AA1884" i="12"/>
  <c r="Z1886" i="12"/>
  <c r="AA1885" i="12"/>
  <c r="AA1886" i="12"/>
  <c r="Z1887" i="12"/>
  <c r="AA1887" i="12"/>
  <c r="Z1888" i="12"/>
  <c r="AA1888" i="12"/>
  <c r="Z1889" i="12"/>
  <c r="Z1890" i="12"/>
  <c r="AA1889" i="12"/>
  <c r="Z1891" i="12"/>
  <c r="AA1890" i="12"/>
  <c r="AA1891" i="12"/>
  <c r="Z1892" i="12"/>
  <c r="AA1892" i="12"/>
  <c r="Z1893" i="12"/>
  <c r="AA1893" i="12"/>
  <c r="Z1894" i="12"/>
  <c r="AA1894" i="12"/>
  <c r="Z1895" i="12"/>
  <c r="Z1896" i="12"/>
  <c r="AA1895" i="12"/>
  <c r="Z1897" i="12"/>
  <c r="AA1896" i="12"/>
  <c r="AA1897" i="12"/>
  <c r="Z1898" i="12"/>
  <c r="Z1899" i="12"/>
  <c r="AA1898" i="12"/>
  <c r="Z1900" i="12"/>
  <c r="AA1899" i="12"/>
  <c r="AA1900" i="12"/>
  <c r="Z1901" i="12"/>
  <c r="Z1902" i="12"/>
  <c r="AA1901" i="12"/>
  <c r="Z1903" i="12"/>
  <c r="AA1902" i="12"/>
  <c r="AA1903" i="12"/>
  <c r="Z1904" i="12"/>
  <c r="Z1905" i="12"/>
  <c r="AA1904" i="12"/>
  <c r="Z1906" i="12"/>
  <c r="AA1905" i="12"/>
  <c r="Z1907" i="12"/>
  <c r="AA1906" i="12"/>
  <c r="Z1908" i="12"/>
  <c r="AA1907" i="12"/>
  <c r="Z1909" i="12"/>
  <c r="AA1908" i="12"/>
  <c r="Z1910" i="12"/>
  <c r="AA1909" i="12"/>
  <c r="Z1911" i="12"/>
  <c r="AA1910" i="12"/>
  <c r="AA1911" i="12"/>
  <c r="Z1912" i="12"/>
  <c r="AA1912" i="12"/>
  <c r="Z1913" i="12"/>
  <c r="AA1913" i="12"/>
  <c r="Z1914" i="12"/>
  <c r="AA1914" i="12"/>
  <c r="Z1915" i="12"/>
  <c r="AA1915" i="12"/>
  <c r="Z1916" i="12"/>
  <c r="AA1916" i="12"/>
  <c r="Z1917" i="12"/>
  <c r="Z1918" i="12"/>
  <c r="AA1917" i="12"/>
  <c r="AA1918" i="12"/>
  <c r="Z1919" i="12"/>
  <c r="Z1920" i="12"/>
  <c r="AA1919" i="12"/>
  <c r="AA1920" i="12"/>
  <c r="Z1921" i="12"/>
  <c r="AA1921" i="12"/>
  <c r="Z1922" i="12"/>
  <c r="Z1923" i="12"/>
  <c r="AA1922" i="12"/>
  <c r="AA1923" i="12"/>
  <c r="Z1924" i="12"/>
  <c r="AA1924" i="12"/>
  <c r="Z1925" i="12"/>
  <c r="Z1926" i="12"/>
  <c r="AA1925" i="12"/>
  <c r="Z1927" i="12"/>
  <c r="AA1926" i="12"/>
  <c r="Z1928" i="12"/>
  <c r="AA1927" i="12"/>
  <c r="Z1929" i="12"/>
  <c r="AA1928" i="12"/>
  <c r="Z1930" i="12"/>
  <c r="AA1929" i="12"/>
  <c r="AA1930" i="12"/>
  <c r="Z1931" i="12"/>
  <c r="AA1931" i="12"/>
  <c r="Z1932" i="12"/>
  <c r="Z1933" i="12"/>
  <c r="AA1932" i="12"/>
  <c r="Z1934" i="12"/>
  <c r="AA1933" i="12"/>
  <c r="AA1934" i="12"/>
  <c r="Z1935" i="12"/>
  <c r="Z1936" i="12"/>
  <c r="AA1935" i="12"/>
  <c r="Z1937" i="12"/>
  <c r="AA1936" i="12"/>
  <c r="Z1938" i="12"/>
  <c r="AA1937" i="12"/>
  <c r="Z1939" i="12"/>
  <c r="AA1938" i="12"/>
  <c r="Z1940" i="12"/>
  <c r="AA1939" i="12"/>
  <c r="Z1941" i="12"/>
  <c r="AA1940" i="12"/>
  <c r="AA1941" i="12"/>
  <c r="Z1942" i="12"/>
  <c r="Z1943" i="12"/>
  <c r="AA1942" i="12"/>
  <c r="Z1944" i="12"/>
  <c r="AA1943" i="12"/>
  <c r="Z1945" i="12"/>
  <c r="AA1944" i="12"/>
  <c r="AA1945" i="12"/>
  <c r="Z1946" i="12"/>
  <c r="AA1946" i="12"/>
  <c r="Z1947" i="12"/>
  <c r="Z1948" i="12"/>
  <c r="AA1947" i="12"/>
  <c r="AA1948" i="12"/>
  <c r="Z1949" i="12"/>
  <c r="Z1950" i="12"/>
  <c r="AA1949" i="12"/>
  <c r="AA1950" i="12"/>
  <c r="Z1951" i="12"/>
  <c r="Z1952" i="12"/>
  <c r="AA1951" i="12"/>
  <c r="Z1953" i="12"/>
  <c r="AA1952" i="12"/>
  <c r="Z1954" i="12"/>
  <c r="AA1953" i="12"/>
  <c r="AA1954" i="12"/>
  <c r="Z1955" i="12"/>
  <c r="Z1956" i="12"/>
  <c r="AA1955" i="12"/>
  <c r="AA1956" i="12"/>
  <c r="Z1957" i="12"/>
  <c r="AA1957" i="12"/>
  <c r="Z1958" i="12"/>
  <c r="Z1959" i="12"/>
  <c r="AA1958" i="12"/>
  <c r="AA1959" i="12"/>
  <c r="Z1960" i="12"/>
  <c r="AA1960" i="12"/>
  <c r="Z1961" i="12"/>
  <c r="Z1962" i="12"/>
  <c r="AA1961" i="12"/>
  <c r="AA1962" i="12"/>
  <c r="Z1963" i="12"/>
  <c r="Z1964" i="12"/>
  <c r="AA1963" i="12"/>
  <c r="Z1965" i="12"/>
  <c r="AA1964" i="12"/>
  <c r="Z1966" i="12"/>
  <c r="AA1965" i="12"/>
  <c r="Z1967" i="12"/>
  <c r="AA1966" i="12"/>
  <c r="Z1968" i="12"/>
  <c r="AA1967" i="12"/>
  <c r="AA1968" i="12"/>
  <c r="Z1969" i="12"/>
  <c r="AA1969" i="12"/>
  <c r="Z1970" i="12"/>
  <c r="Z1971" i="12"/>
  <c r="AA1970" i="12"/>
  <c r="AA1971" i="12"/>
  <c r="Z1972" i="12"/>
  <c r="Z1973" i="12"/>
  <c r="AA1972" i="12"/>
  <c r="Z1974" i="12"/>
  <c r="AA1973" i="12"/>
  <c r="Z1975" i="12"/>
  <c r="AA1974" i="12"/>
  <c r="Z1976" i="12"/>
  <c r="AA1975" i="12"/>
  <c r="Z1977" i="12"/>
  <c r="AA1976" i="12"/>
  <c r="AA1977" i="12"/>
  <c r="Z1978" i="12"/>
  <c r="Z1979" i="12"/>
  <c r="AA1978" i="12"/>
  <c r="Z1980" i="12"/>
  <c r="AA1979" i="12"/>
  <c r="AA1980" i="12"/>
  <c r="Z1981" i="12"/>
  <c r="AA1981" i="12"/>
  <c r="Z1982" i="12"/>
  <c r="Z1983" i="12"/>
  <c r="AA1982" i="12"/>
  <c r="Z1984" i="12"/>
  <c r="AA1983" i="12"/>
  <c r="Z1985" i="12"/>
  <c r="AA1984" i="12"/>
  <c r="Z1986" i="12"/>
  <c r="AA1985" i="12"/>
  <c r="Z1987" i="12"/>
  <c r="AA1986" i="12"/>
  <c r="Z1988" i="12"/>
  <c r="AA1987" i="12"/>
  <c r="AA1988" i="12"/>
  <c r="Z1989" i="12"/>
  <c r="Z1990" i="12"/>
  <c r="AA1989" i="12"/>
  <c r="AA1990" i="12"/>
  <c r="Z1991" i="12"/>
  <c r="AA1991" i="12"/>
  <c r="Z1992" i="12"/>
  <c r="AA1992" i="12"/>
  <c r="Z1993" i="12"/>
  <c r="Z1994" i="12"/>
  <c r="AA1993" i="12"/>
  <c r="Z1995" i="12"/>
  <c r="AA1994" i="12"/>
  <c r="Z1996" i="12"/>
  <c r="AA1995" i="12"/>
  <c r="AA1996" i="12"/>
  <c r="Z1997" i="12"/>
  <c r="Z1998" i="12"/>
  <c r="AA1997" i="12"/>
  <c r="Z1999" i="12"/>
  <c r="AA1998" i="12"/>
  <c r="Z2000" i="12"/>
  <c r="AA1999" i="12"/>
  <c r="Z2001" i="12"/>
  <c r="AA2000" i="12"/>
  <c r="AA2001" i="12"/>
  <c r="Z2002" i="12"/>
  <c r="AA2002" i="12"/>
  <c r="Z2003" i="12"/>
  <c r="AA2003" i="12"/>
  <c r="Z2004" i="12"/>
  <c r="Z2005" i="12"/>
  <c r="AA2004" i="12"/>
  <c r="Z2006" i="12"/>
  <c r="AA2005" i="12"/>
  <c r="Z2007" i="12"/>
  <c r="AA2006" i="12"/>
  <c r="AA2007" i="12"/>
  <c r="Z2008" i="12"/>
  <c r="Z2009" i="12"/>
  <c r="AA2008" i="12"/>
  <c r="Z2010" i="12"/>
  <c r="AA2009" i="12"/>
  <c r="AA2010" i="12"/>
  <c r="Z2011" i="12"/>
  <c r="Z2012" i="12"/>
  <c r="AA2011" i="12"/>
  <c r="AA2012" i="12"/>
  <c r="Z2013" i="12"/>
  <c r="Z2014" i="12"/>
  <c r="AA2013" i="12"/>
  <c r="Z2015" i="12"/>
  <c r="AA2014" i="12"/>
  <c r="Z2016" i="12"/>
  <c r="AA2015" i="12"/>
  <c r="Z2017" i="12"/>
  <c r="AA2016" i="12"/>
  <c r="Z2018" i="12"/>
  <c r="AA2017" i="12"/>
  <c r="Z2019" i="12"/>
  <c r="AA2018" i="12"/>
  <c r="Z2020" i="12"/>
  <c r="AA2019" i="12"/>
  <c r="AA2020" i="12"/>
  <c r="Z2021" i="12"/>
  <c r="AA2021" i="12"/>
  <c r="Z2022" i="12"/>
  <c r="Z2023" i="12"/>
  <c r="AA2022" i="12"/>
  <c r="AA2023" i="12"/>
  <c r="Z2024" i="12"/>
  <c r="Z2025" i="12"/>
  <c r="AA2024" i="12"/>
  <c r="AA2025" i="12"/>
  <c r="Z2026" i="12"/>
  <c r="Z2027" i="12"/>
  <c r="AA2026" i="12"/>
  <c r="AA2027" i="12"/>
  <c r="Z2028" i="12"/>
  <c r="AA2028" i="12"/>
  <c r="Z2029" i="12"/>
  <c r="Z2030" i="12"/>
  <c r="AA2029" i="12"/>
  <c r="AA2030" i="12"/>
  <c r="Z2031" i="12"/>
  <c r="AA2031" i="12"/>
  <c r="Z2032" i="12"/>
  <c r="AA2032" i="12"/>
  <c r="Z2033" i="12"/>
  <c r="AA2033" i="12"/>
  <c r="Z2034" i="12"/>
  <c r="AA2034" i="12"/>
  <c r="Z2035" i="12"/>
  <c r="AA2035" i="12"/>
  <c r="Z2036" i="12"/>
  <c r="Z2037" i="12"/>
  <c r="AA2036" i="12"/>
  <c r="Z2038" i="12"/>
  <c r="AA2037" i="12"/>
  <c r="Z2039" i="12"/>
  <c r="AA2038" i="12"/>
  <c r="AA2039" i="12"/>
  <c r="Z2040" i="12"/>
  <c r="Z2041" i="12"/>
  <c r="AA2040" i="12"/>
  <c r="Z2042" i="12"/>
  <c r="AA2041" i="12"/>
  <c r="AA2042" i="12"/>
  <c r="Z2043" i="12"/>
  <c r="Z2044" i="12"/>
  <c r="AA2043" i="12"/>
  <c r="AA2044" i="12"/>
  <c r="Z2045" i="12"/>
  <c r="AA2045" i="12"/>
  <c r="Z2046" i="12"/>
  <c r="Z2047" i="12"/>
  <c r="AA2046" i="12"/>
  <c r="AA2047" i="12"/>
  <c r="Z2048" i="12"/>
  <c r="AA2048" i="12"/>
  <c r="Z2049" i="12"/>
  <c r="AA2049" i="12"/>
  <c r="Z2050" i="12"/>
  <c r="Z2051" i="12"/>
  <c r="AA2050" i="12"/>
  <c r="Z2052" i="12"/>
  <c r="AA2051" i="12"/>
  <c r="AA2052" i="12"/>
  <c r="Z2053" i="12"/>
  <c r="Z2054" i="12"/>
  <c r="AA2053" i="12"/>
  <c r="Z2055" i="12"/>
  <c r="AA2054" i="12"/>
  <c r="Z2056" i="12"/>
  <c r="AA2055" i="12"/>
  <c r="AA2056" i="12"/>
  <c r="Z2057" i="12"/>
  <c r="AA2057" i="12"/>
  <c r="Z2058" i="12"/>
  <c r="AA2058" i="12"/>
  <c r="Z2059" i="12"/>
  <c r="AA2059" i="12"/>
  <c r="Z2060" i="12"/>
  <c r="Z2061" i="12"/>
  <c r="AA2060" i="12"/>
  <c r="AA2061" i="12"/>
  <c r="Z2062" i="12"/>
  <c r="AA2062" i="12"/>
  <c r="Z2063" i="12"/>
  <c r="AA2063" i="12"/>
  <c r="Z2064" i="12"/>
  <c r="AA2064" i="12"/>
  <c r="Z2065" i="12"/>
  <c r="Z2066" i="12"/>
  <c r="AA2065" i="12"/>
  <c r="AA2066" i="12"/>
  <c r="Z2067" i="12"/>
  <c r="AA2067" i="12"/>
  <c r="Z2068" i="12"/>
  <c r="Z2069" i="12"/>
  <c r="AA2068" i="12"/>
  <c r="AA2069" i="12"/>
  <c r="Z2070" i="12"/>
  <c r="AA2070" i="12"/>
  <c r="Z2071" i="12"/>
  <c r="AA2071" i="12"/>
  <c r="Z2072" i="12"/>
  <c r="Z2073" i="12"/>
  <c r="AA2072" i="12"/>
  <c r="Z2074" i="12"/>
  <c r="AA2073" i="12"/>
  <c r="AA2074" i="12"/>
  <c r="Z2075" i="12"/>
  <c r="Z2076" i="12"/>
  <c r="AA2075" i="12"/>
  <c r="AA2076" i="12"/>
  <c r="Z2077" i="12"/>
  <c r="AA2077" i="12"/>
  <c r="Z2078" i="12"/>
  <c r="AA2078" i="12"/>
  <c r="Z2079" i="12"/>
  <c r="AA2079" i="12"/>
  <c r="Z2080" i="12"/>
  <c r="AA2080" i="12"/>
  <c r="Z2081" i="12"/>
  <c r="Z2082" i="12"/>
  <c r="AA2081" i="12"/>
  <c r="AA2082" i="12"/>
  <c r="Z2083" i="12"/>
  <c r="Z2084" i="12"/>
  <c r="AA2083" i="12"/>
  <c r="Z2085" i="12"/>
  <c r="AA2084" i="12"/>
  <c r="Z2086" i="12"/>
  <c r="AA2085" i="12"/>
  <c r="Z2087" i="12"/>
  <c r="AA2086" i="12"/>
  <c r="Z2088" i="12"/>
  <c r="AA2087" i="12"/>
  <c r="Z2089" i="12"/>
  <c r="AA2088" i="12"/>
  <c r="Z2090" i="12"/>
  <c r="AA2089" i="12"/>
  <c r="AA2090" i="12"/>
  <c r="Z2091" i="12"/>
  <c r="AA2091" i="12"/>
  <c r="Z2092" i="12"/>
  <c r="Z2093" i="12"/>
  <c r="AA2092" i="12"/>
  <c r="AA2093" i="12"/>
  <c r="Z2094" i="12"/>
  <c r="AA2094" i="12"/>
  <c r="Z2095" i="12"/>
  <c r="AA2095" i="12"/>
  <c r="Z2096" i="12"/>
  <c r="AA2096" i="12"/>
  <c r="Z2097" i="12"/>
  <c r="AA2097" i="12"/>
  <c r="Z2098" i="12"/>
  <c r="AA2098" i="12"/>
  <c r="Z2099" i="12"/>
  <c r="AA2099" i="12"/>
  <c r="Z2100" i="12"/>
  <c r="AA2100" i="12"/>
  <c r="Z2101" i="12"/>
  <c r="AA2101" i="12"/>
  <c r="Z2102" i="12"/>
  <c r="Z2103" i="12"/>
  <c r="AA2102" i="12"/>
  <c r="AA2103" i="12"/>
  <c r="Z2104" i="12"/>
  <c r="AA2104" i="12"/>
  <c r="Z2105" i="12"/>
  <c r="AA2105" i="12"/>
  <c r="Z2106" i="12"/>
  <c r="AA2106" i="12"/>
  <c r="Z2107" i="12"/>
  <c r="AA2107" i="12"/>
  <c r="Z2108" i="12"/>
  <c r="AA2108" i="12"/>
  <c r="Z2109" i="12"/>
  <c r="AA2109" i="12"/>
  <c r="Z2110" i="12"/>
  <c r="Z2111" i="12"/>
  <c r="AA2110" i="12"/>
  <c r="AA2111" i="12"/>
  <c r="Z2112" i="12"/>
  <c r="Z2113" i="12"/>
  <c r="AA2112" i="12"/>
  <c r="AA2113" i="12"/>
  <c r="Z2114" i="12"/>
  <c r="AA2114" i="12"/>
  <c r="Z2115" i="12"/>
  <c r="Z2116" i="12"/>
  <c r="AA2115" i="12"/>
  <c r="Z2117" i="12"/>
  <c r="AA2116" i="12"/>
  <c r="Z2118" i="12"/>
  <c r="AA2117" i="12"/>
  <c r="AA2118" i="12"/>
  <c r="Z2119" i="12"/>
  <c r="Z2120" i="12"/>
  <c r="AA2119" i="12"/>
  <c r="Z2121" i="12"/>
  <c r="AA2120" i="12"/>
  <c r="Z2122" i="12"/>
  <c r="AA2121" i="12"/>
  <c r="Z2123" i="12"/>
  <c r="AA2122" i="12"/>
  <c r="AA2123" i="12"/>
  <c r="Z2124" i="12"/>
  <c r="AA2124" i="12"/>
  <c r="Z2125" i="12"/>
  <c r="AA2125" i="12"/>
  <c r="Z2126" i="12"/>
  <c r="AA2126" i="12"/>
  <c r="Z2127" i="12"/>
  <c r="AA2127" i="12"/>
  <c r="Z2128" i="12"/>
  <c r="AA2128" i="12"/>
  <c r="Z2129" i="12"/>
  <c r="Z2130" i="12"/>
  <c r="AA2129" i="12"/>
  <c r="Z2131" i="12"/>
  <c r="AA2130" i="12"/>
  <c r="Z2132" i="12"/>
  <c r="AA2131" i="12"/>
  <c r="Z2133" i="12"/>
  <c r="AA2132" i="12"/>
  <c r="AA2133" i="12"/>
  <c r="Z2134" i="12"/>
  <c r="AA2134" i="12"/>
  <c r="Z2135" i="12"/>
  <c r="Z2136" i="12"/>
  <c r="AA2135" i="12"/>
  <c r="Z2137" i="12"/>
  <c r="AA2136" i="12"/>
  <c r="Z2138" i="12"/>
  <c r="AA2137" i="12"/>
  <c r="AA2138" i="12"/>
  <c r="Z2139" i="12"/>
  <c r="AA2139" i="12"/>
  <c r="Z2140" i="12"/>
  <c r="AA2140" i="12"/>
  <c r="Z2141" i="12"/>
  <c r="AA2141" i="12"/>
  <c r="Z2142" i="12"/>
  <c r="Z2143" i="12"/>
  <c r="AA2142" i="12"/>
  <c r="Z2144" i="12"/>
  <c r="AA2143" i="12"/>
  <c r="Z2145" i="12"/>
  <c r="AA2144" i="12"/>
  <c r="Z2146" i="12"/>
  <c r="AA2145" i="12"/>
  <c r="Z2147" i="12"/>
  <c r="AA2146" i="12"/>
  <c r="AA2147" i="12"/>
  <c r="Z2148" i="12"/>
  <c r="AA2148" i="12"/>
  <c r="Z2149" i="12"/>
  <c r="Z2150" i="12"/>
  <c r="AA2149" i="12"/>
  <c r="AA2150" i="12"/>
  <c r="Z2151" i="12"/>
  <c r="Z2152" i="12"/>
  <c r="AA2151" i="12"/>
  <c r="Z2153" i="12"/>
  <c r="AA2152" i="12"/>
  <c r="Z2154" i="12"/>
  <c r="AA2153" i="12"/>
  <c r="AA2154" i="12"/>
  <c r="Z2155" i="12"/>
  <c r="Z2156" i="12"/>
  <c r="AA2155" i="12"/>
  <c r="AA2156" i="12"/>
  <c r="Z2157" i="12"/>
  <c r="Z2158" i="12"/>
  <c r="AA2157" i="12"/>
  <c r="Z2159" i="12"/>
  <c r="AA2158" i="12"/>
  <c r="Z2160" i="12"/>
  <c r="AA2159" i="12"/>
  <c r="Z2161" i="12"/>
  <c r="AA2160" i="12"/>
  <c r="AA2161" i="12"/>
  <c r="Z2162" i="12"/>
  <c r="AA2162" i="12"/>
  <c r="Z2163" i="12"/>
  <c r="AA2163" i="12"/>
  <c r="Z2164" i="12"/>
  <c r="Z2165" i="12"/>
  <c r="AA2164" i="12"/>
  <c r="AA2165" i="12"/>
  <c r="Z2166" i="12"/>
  <c r="Z2167" i="12"/>
  <c r="AA2166" i="12"/>
  <c r="AA2167" i="12"/>
  <c r="Z2168" i="12"/>
  <c r="AA2168" i="12"/>
  <c r="Z2169" i="12"/>
  <c r="Z2170" i="12"/>
  <c r="AA2169" i="12"/>
  <c r="AA2170" i="12"/>
  <c r="Z2171" i="12"/>
  <c r="Z2172" i="12"/>
  <c r="AA2171" i="12"/>
  <c r="Z2173" i="12"/>
  <c r="AA2172" i="12"/>
  <c r="Z2174" i="12"/>
  <c r="AA2173" i="12"/>
  <c r="AA2174" i="12"/>
  <c r="Z2175" i="12"/>
  <c r="AA2175" i="12"/>
  <c r="Z2176" i="12"/>
  <c r="AA2176" i="12"/>
  <c r="Z2177" i="12"/>
  <c r="AA2177" i="12"/>
  <c r="Z2178" i="12"/>
  <c r="AA2178" i="12"/>
  <c r="Z2179" i="12"/>
  <c r="AA2179" i="12"/>
  <c r="Z2180" i="12"/>
  <c r="AA2180" i="12"/>
  <c r="Z2181" i="12"/>
  <c r="AA2181" i="12"/>
  <c r="Z2182" i="12"/>
  <c r="Z2183" i="12"/>
  <c r="AA2182" i="12"/>
  <c r="Z2184" i="12"/>
  <c r="AA2183" i="12"/>
  <c r="AA2184" i="12"/>
  <c r="Z2185" i="12"/>
  <c r="Z2186" i="12"/>
  <c r="AA2185" i="12"/>
  <c r="AA2186" i="12"/>
  <c r="Z2187" i="12"/>
  <c r="AA2187" i="12"/>
  <c r="Z2188" i="12"/>
  <c r="AA2188" i="12"/>
  <c r="Z2189" i="12"/>
  <c r="Z2190" i="12"/>
  <c r="AA2189" i="12"/>
  <c r="AA2190" i="12"/>
  <c r="Z2191" i="12"/>
  <c r="AA2191" i="12"/>
  <c r="Z2192" i="12"/>
  <c r="Z2193" i="12"/>
  <c r="AA2192" i="12"/>
  <c r="Z2194" i="12"/>
  <c r="AA2193" i="12"/>
  <c r="AA2194" i="12"/>
  <c r="Z2195" i="12"/>
  <c r="Z2196" i="12"/>
  <c r="AA2195" i="12"/>
  <c r="AA2196" i="12"/>
  <c r="Z2197" i="12"/>
  <c r="Z2198" i="12"/>
  <c r="AA2197" i="12"/>
  <c r="AA2198" i="12"/>
  <c r="Z2199" i="12"/>
  <c r="Z2200" i="12"/>
  <c r="AA2199" i="12"/>
  <c r="Z2201" i="12"/>
  <c r="AA2200" i="12"/>
  <c r="Z2202" i="12"/>
  <c r="AA2201" i="12"/>
  <c r="Z2203" i="12"/>
  <c r="AA2202" i="12"/>
  <c r="Z2204" i="12"/>
  <c r="AA2203" i="12"/>
  <c r="AA2204" i="12"/>
  <c r="Z2205" i="12"/>
  <c r="AA2205" i="12"/>
  <c r="Z2206" i="12"/>
  <c r="AA2206" i="12"/>
  <c r="Z2207" i="12"/>
  <c r="Z2208" i="12"/>
  <c r="AA2207" i="12"/>
  <c r="AA2208" i="12"/>
  <c r="Z2209" i="12"/>
  <c r="AA2209" i="12"/>
  <c r="Z2210" i="12"/>
  <c r="AA2210" i="12"/>
  <c r="Z2211" i="12"/>
  <c r="AA2211" i="12"/>
  <c r="Z2212" i="12"/>
  <c r="Z2213" i="12"/>
  <c r="AA2212" i="12"/>
  <c r="AA2213" i="12"/>
  <c r="Z2214" i="12"/>
  <c r="Z2215" i="12"/>
  <c r="AA2214" i="12"/>
  <c r="AA2215" i="12"/>
  <c r="Z2216" i="12"/>
  <c r="AA2216" i="12"/>
  <c r="Z2217" i="12"/>
  <c r="AA2217" i="12"/>
  <c r="Z2218" i="12"/>
  <c r="AA2218" i="12"/>
  <c r="Z2219" i="12"/>
  <c r="AA2219" i="12"/>
  <c r="Z2220" i="12"/>
  <c r="AA2220" i="12"/>
  <c r="Z2221" i="12"/>
  <c r="Z2222" i="12"/>
  <c r="AA2221" i="12"/>
  <c r="Z2223" i="12"/>
  <c r="AA2222" i="12"/>
  <c r="AA2223" i="12"/>
  <c r="Z2224" i="12"/>
  <c r="Z2225" i="12"/>
  <c r="AA2224" i="12"/>
  <c r="AA2225" i="12"/>
  <c r="Z2226" i="12"/>
  <c r="AA2226" i="12"/>
  <c r="Z2227" i="12"/>
  <c r="AA2227" i="12"/>
  <c r="Z2228" i="12"/>
  <c r="AA2228" i="12"/>
  <c r="Z2229" i="12"/>
  <c r="Z2230" i="12"/>
  <c r="AA2229" i="12"/>
  <c r="Z2231" i="12"/>
  <c r="AA2230" i="12"/>
  <c r="AA2231" i="12"/>
  <c r="Z2232" i="12"/>
  <c r="Z2233" i="12"/>
  <c r="AA2232" i="12"/>
  <c r="AA2233" i="12"/>
  <c r="Z2234" i="12"/>
  <c r="AA2234" i="12"/>
  <c r="Z2235" i="12"/>
  <c r="Z2236" i="12"/>
  <c r="AA2235" i="12"/>
  <c r="AA2236" i="12"/>
  <c r="Z2237" i="12"/>
  <c r="AA2237" i="12"/>
  <c r="Z2238" i="12"/>
  <c r="AA2238" i="12"/>
  <c r="Z2239" i="12"/>
  <c r="AA2239" i="12"/>
  <c r="Z2240" i="12"/>
  <c r="AA2240" i="12"/>
  <c r="Z2241" i="12"/>
  <c r="AA2241" i="12"/>
  <c r="Z2242" i="12"/>
  <c r="AA2242" i="12"/>
  <c r="Z2243" i="12"/>
  <c r="AA2243" i="12"/>
  <c r="Z2244" i="12"/>
  <c r="AA2244" i="12"/>
  <c r="Z2245" i="12"/>
  <c r="AA2245" i="12"/>
  <c r="Z2246" i="12"/>
  <c r="AA2246" i="12"/>
  <c r="Z2247" i="12"/>
  <c r="AA2247" i="12"/>
  <c r="Z2248" i="12"/>
  <c r="AA2248" i="12"/>
  <c r="Z2249" i="12"/>
  <c r="AA2249" i="12"/>
  <c r="Z2250" i="12"/>
  <c r="Z2251" i="12"/>
  <c r="AA2250" i="12"/>
  <c r="Z2252" i="12"/>
  <c r="AA2251" i="12"/>
  <c r="Z2253" i="12"/>
  <c r="AA2252" i="12"/>
  <c r="Z2254" i="12"/>
  <c r="AA2253" i="12"/>
  <c r="AA2254" i="12"/>
  <c r="Z2255" i="12"/>
  <c r="Z2256" i="12"/>
  <c r="AA2255" i="12"/>
  <c r="Z2257" i="12"/>
  <c r="AA2256" i="12"/>
  <c r="Z2258" i="12"/>
  <c r="AA2257" i="12"/>
  <c r="Z2259" i="12"/>
  <c r="AA2258" i="12"/>
  <c r="Z2260" i="12"/>
  <c r="AA2259" i="12"/>
  <c r="Z2261" i="12"/>
  <c r="AA2260" i="12"/>
  <c r="AA2261" i="12"/>
  <c r="Z2262" i="12"/>
  <c r="Z2263" i="12"/>
  <c r="AA2262" i="12"/>
  <c r="Z2264" i="12"/>
  <c r="AA2263" i="12"/>
  <c r="Z2265" i="12"/>
  <c r="AA2264" i="12"/>
  <c r="AA2265" i="12"/>
  <c r="Z2266" i="12"/>
  <c r="Z2267" i="12"/>
  <c r="AA2266" i="12"/>
  <c r="Z2268" i="12"/>
  <c r="AA2267" i="12"/>
  <c r="Z2269" i="12"/>
  <c r="AA2268" i="12"/>
  <c r="AA2269" i="12"/>
  <c r="Z2270" i="12"/>
  <c r="Z2271" i="12"/>
  <c r="AA2270" i="12"/>
  <c r="AA2271" i="12"/>
  <c r="Z2272" i="12"/>
  <c r="Z2273" i="12"/>
  <c r="AA2272" i="12"/>
  <c r="AA2273" i="12"/>
  <c r="Z2274" i="12"/>
  <c r="AA2274" i="12"/>
  <c r="Z2275" i="12"/>
  <c r="AA2275" i="12"/>
  <c r="Z2276" i="12"/>
  <c r="Z2277" i="12"/>
  <c r="AA2276" i="12"/>
  <c r="Z2278" i="12"/>
  <c r="AA2277" i="12"/>
  <c r="Z2279" i="12"/>
  <c r="AA2278" i="12"/>
  <c r="Z2280" i="12"/>
  <c r="AA2279" i="12"/>
  <c r="Z2281" i="12"/>
  <c r="AA2280" i="12"/>
  <c r="AA2281" i="12"/>
  <c r="Z2282" i="12"/>
  <c r="Z2283" i="12"/>
  <c r="AA2282" i="12"/>
  <c r="AA2283" i="12"/>
  <c r="Z2284" i="12"/>
  <c r="Z2285" i="12"/>
  <c r="AA2284" i="12"/>
  <c r="Z2286" i="12"/>
  <c r="AA2285" i="12"/>
  <c r="Z2287" i="12"/>
  <c r="AA2286" i="12"/>
  <c r="Z2288" i="12"/>
  <c r="AA2287" i="12"/>
  <c r="Z2289" i="12"/>
  <c r="AA2288" i="12"/>
  <c r="AA2289" i="12"/>
  <c r="Z2290" i="12"/>
  <c r="Z2291" i="12"/>
  <c r="AA2290" i="12"/>
  <c r="Z2292" i="12"/>
  <c r="AA2291" i="12"/>
  <c r="AA2292" i="12"/>
  <c r="Z2293" i="12"/>
  <c r="AA2293" i="12"/>
  <c r="Z2294" i="12"/>
  <c r="Z2295" i="12"/>
  <c r="AA2294" i="12"/>
  <c r="AA2295" i="12"/>
  <c r="Z2296" i="12"/>
  <c r="AA2296" i="12"/>
  <c r="Z2297" i="12"/>
  <c r="AA2297" i="12"/>
  <c r="Z2298" i="12"/>
  <c r="AA2298" i="12"/>
  <c r="Z2299" i="12"/>
  <c r="AA2299" i="12"/>
  <c r="Z2300" i="12"/>
  <c r="AA2300" i="12"/>
  <c r="Z2301" i="12"/>
  <c r="AA2301" i="12"/>
  <c r="Z2302" i="12"/>
  <c r="AA2302" i="12"/>
  <c r="Z2303" i="12"/>
  <c r="AA2303" i="12"/>
  <c r="Z2304" i="12"/>
  <c r="Z2305" i="12"/>
  <c r="AA2304" i="12"/>
  <c r="Z2306" i="12"/>
  <c r="AA2305" i="12"/>
  <c r="Z2307" i="12"/>
  <c r="AA2306" i="12"/>
  <c r="AA2307" i="12"/>
  <c r="Z2308" i="12"/>
  <c r="AA2308" i="12"/>
  <c r="Z2309" i="12"/>
  <c r="Z2310" i="12"/>
  <c r="AA2309" i="12"/>
  <c r="AA2310" i="12"/>
  <c r="Z2311" i="12"/>
  <c r="AA2311" i="12"/>
  <c r="Z2312" i="12"/>
  <c r="Z2313" i="12"/>
  <c r="AA2312" i="12"/>
  <c r="AA2313" i="12"/>
  <c r="Z2314" i="12"/>
  <c r="AA2314" i="12"/>
  <c r="Z2315" i="12"/>
  <c r="Z2316" i="12"/>
  <c r="AA2315" i="12"/>
  <c r="AA2316" i="12"/>
  <c r="Z2317" i="12"/>
  <c r="AA2317" i="12"/>
  <c r="Z2318" i="12"/>
  <c r="AA2318" i="12"/>
  <c r="Z2319" i="12"/>
  <c r="AA2319" i="12"/>
  <c r="Z2320" i="12"/>
  <c r="AA2320" i="12"/>
  <c r="Z2321" i="12"/>
  <c r="AA2321" i="12"/>
  <c r="Z2322" i="12"/>
  <c r="Z2323" i="12"/>
  <c r="AA2322" i="12"/>
  <c r="AA2323" i="12"/>
  <c r="Z2324" i="12"/>
  <c r="AA2324" i="12"/>
  <c r="Z2325" i="12"/>
  <c r="Z2326" i="12"/>
  <c r="AA2325" i="12"/>
  <c r="AA2326" i="12"/>
  <c r="Z2327" i="12"/>
  <c r="AA2327" i="12"/>
  <c r="Z2328" i="12"/>
  <c r="AA2328" i="12"/>
  <c r="Z2329" i="12"/>
  <c r="Z2330" i="12"/>
  <c r="AA2329" i="12"/>
  <c r="AA2330" i="12"/>
  <c r="Z2331" i="12"/>
  <c r="AA2331" i="12"/>
  <c r="Z2332" i="12"/>
  <c r="AA2332" i="12"/>
  <c r="Z2333" i="12"/>
  <c r="AA2333" i="12"/>
  <c r="Z2334" i="12"/>
  <c r="Z2335" i="12"/>
  <c r="AA2334" i="12"/>
  <c r="AA2335" i="12"/>
  <c r="Z2336" i="12"/>
  <c r="Z2337" i="12"/>
  <c r="AA2336" i="12"/>
  <c r="Z2338" i="12"/>
  <c r="AA2337" i="12"/>
  <c r="Z2339" i="12"/>
  <c r="AA2338" i="12"/>
  <c r="AA2339" i="12"/>
  <c r="Z2340" i="12"/>
  <c r="AA2340" i="12"/>
  <c r="Z2341" i="12"/>
  <c r="AA2341" i="12"/>
  <c r="Z2342" i="12"/>
  <c r="Z2343" i="12"/>
  <c r="AA2342" i="12"/>
  <c r="AA2343" i="12"/>
  <c r="Z2344" i="12"/>
  <c r="AA2344" i="12"/>
  <c r="Z2345" i="12"/>
  <c r="Z2346" i="12"/>
  <c r="AA2345" i="12"/>
  <c r="AA2346" i="12"/>
  <c r="Z2347" i="12"/>
  <c r="AA2347" i="12"/>
  <c r="Z2348" i="12"/>
  <c r="AA2348" i="12"/>
  <c r="Z2349" i="12"/>
  <c r="AA2349" i="12"/>
  <c r="Z2350" i="12"/>
  <c r="Z2351" i="12"/>
  <c r="AA2350" i="12"/>
  <c r="AA2351" i="12"/>
  <c r="Z2352" i="12"/>
  <c r="Z2353" i="12"/>
  <c r="AA2352" i="12"/>
  <c r="AA2353" i="12"/>
  <c r="Z2354" i="12"/>
  <c r="Z2355" i="12"/>
  <c r="AA2354" i="12"/>
  <c r="Z2356" i="12"/>
  <c r="AA2355" i="12"/>
  <c r="Z2357" i="12"/>
  <c r="AA2356" i="12"/>
  <c r="Z2358" i="12"/>
  <c r="AA2357" i="12"/>
  <c r="AA2358" i="12"/>
  <c r="Z2359" i="12"/>
  <c r="Z2360" i="12"/>
  <c r="AA2359" i="12"/>
  <c r="AA2360" i="12"/>
  <c r="Z2361" i="12"/>
  <c r="Z2362" i="12"/>
  <c r="AA2361" i="12"/>
  <c r="AA2362" i="12"/>
  <c r="Z2363" i="12"/>
  <c r="AA2363" i="12"/>
  <c r="Z2364" i="12"/>
  <c r="AA2364" i="12"/>
  <c r="Z2365" i="12"/>
  <c r="AA2365" i="12"/>
  <c r="Z2366" i="12"/>
  <c r="Z2367" i="12"/>
  <c r="AA2366" i="12"/>
  <c r="AA2367" i="12"/>
  <c r="Z2368" i="12"/>
  <c r="AA2368" i="12"/>
  <c r="Z2369" i="12"/>
  <c r="AA2369" i="12"/>
  <c r="Z2370" i="12"/>
  <c r="Z2371" i="12"/>
  <c r="AA2370" i="12"/>
  <c r="Z2372" i="12"/>
  <c r="AA2371" i="12"/>
  <c r="Z2373" i="12"/>
  <c r="AA2372" i="12"/>
  <c r="AA2373" i="12"/>
  <c r="Z2374" i="12"/>
  <c r="AA2374" i="12"/>
  <c r="Z2375" i="12"/>
  <c r="Z2376" i="12"/>
  <c r="AA2375" i="12"/>
  <c r="Z2377" i="12"/>
  <c r="AA2376" i="12"/>
  <c r="Z2378" i="12"/>
  <c r="AA2377" i="12"/>
  <c r="Z2379" i="12"/>
  <c r="AA2378" i="12"/>
  <c r="AA2379" i="12"/>
  <c r="Z2380" i="12"/>
  <c r="AA2380" i="12"/>
  <c r="Z2381" i="12"/>
  <c r="Z2382" i="12"/>
  <c r="AA2381" i="12"/>
  <c r="AA2382" i="12"/>
  <c r="Z2383" i="12"/>
  <c r="Z2384" i="12"/>
  <c r="AA2383" i="12"/>
  <c r="Z2385" i="12"/>
  <c r="AA2384" i="12"/>
  <c r="AA2385" i="12"/>
  <c r="Z2386" i="12"/>
  <c r="Z2387" i="12"/>
  <c r="AA2386" i="12"/>
  <c r="Z2388" i="12"/>
  <c r="AA2387" i="12"/>
  <c r="Z2389" i="12"/>
  <c r="AA2388" i="12"/>
  <c r="Z2390" i="12"/>
  <c r="AA2389" i="12"/>
  <c r="Z2391" i="12"/>
  <c r="AA2390" i="12"/>
  <c r="Z2392" i="12"/>
  <c r="AA2391" i="12"/>
  <c r="Z2393" i="12"/>
  <c r="AA2392" i="12"/>
  <c r="AA2393" i="12"/>
  <c r="Z2394" i="12"/>
  <c r="Z2395" i="12"/>
  <c r="AA2394" i="12"/>
  <c r="Z2396" i="12"/>
  <c r="AA2395" i="12"/>
  <c r="Z2397" i="12"/>
  <c r="AA2396" i="12"/>
  <c r="AA2397" i="12"/>
  <c r="Z2398" i="12"/>
  <c r="AA2398" i="12"/>
  <c r="Z2399" i="12"/>
  <c r="AA2399" i="12"/>
  <c r="Z2400" i="12"/>
  <c r="Z2401" i="12"/>
  <c r="AA2400" i="12"/>
  <c r="Z2402" i="12"/>
  <c r="AA2401" i="12"/>
  <c r="Z2403" i="12"/>
  <c r="AA2402" i="12"/>
  <c r="Z2404" i="12"/>
  <c r="AA2403" i="12"/>
  <c r="AA2404" i="12"/>
  <c r="Z2405" i="12"/>
  <c r="Z2406" i="12"/>
  <c r="AA2405" i="12"/>
  <c r="AA2406" i="12"/>
  <c r="Z2407" i="12"/>
  <c r="AA2407" i="12"/>
  <c r="Z2408" i="12"/>
  <c r="Z2409" i="12"/>
  <c r="AA2408" i="12"/>
  <c r="AA2409" i="12"/>
  <c r="Z2410" i="12"/>
  <c r="Z2411" i="12"/>
  <c r="AA2410" i="12"/>
  <c r="Z2412" i="12"/>
  <c r="AA2411" i="12"/>
  <c r="AA2412" i="12"/>
  <c r="Z2413" i="12"/>
  <c r="Z2414" i="12"/>
  <c r="AA2413" i="12"/>
  <c r="AA2414" i="12"/>
  <c r="Z2415" i="12"/>
  <c r="AA2415" i="12"/>
  <c r="Z2416" i="12"/>
  <c r="Z2417" i="12"/>
  <c r="AA2416" i="12"/>
  <c r="AA2417" i="12"/>
  <c r="Z2418" i="12"/>
  <c r="AA2418" i="12"/>
  <c r="Z2419" i="12"/>
  <c r="AA2419" i="12"/>
  <c r="Z2420" i="12"/>
  <c r="AA2420" i="12"/>
  <c r="Z2421" i="12"/>
  <c r="Z2422" i="12"/>
  <c r="AA2421" i="12"/>
  <c r="Z2423" i="12"/>
  <c r="AA2422" i="12"/>
  <c r="Z2424" i="12"/>
  <c r="AA2423" i="12"/>
  <c r="Z2425" i="12"/>
  <c r="AA2424" i="12"/>
  <c r="Z2426" i="12"/>
  <c r="AA2425" i="12"/>
  <c r="AA2426" i="12"/>
  <c r="Z2427" i="12"/>
  <c r="Z2428" i="12"/>
  <c r="AA2427" i="12"/>
  <c r="Z2429" i="12"/>
  <c r="AA2428" i="12"/>
  <c r="AA2429" i="12"/>
  <c r="Z2430" i="12"/>
  <c r="AA2430" i="12"/>
  <c r="Z2431" i="12"/>
  <c r="AA2431" i="12"/>
  <c r="Z2432" i="12"/>
  <c r="Z2433" i="12"/>
  <c r="AA2432" i="12"/>
  <c r="Z2434" i="12"/>
  <c r="AA2433" i="12"/>
  <c r="AA2434" i="12"/>
  <c r="Z2435" i="12"/>
  <c r="AA2435" i="12"/>
  <c r="Z2436" i="12"/>
  <c r="Z2437" i="12"/>
  <c r="AA2436" i="12"/>
  <c r="AA2437" i="12"/>
  <c r="Z2438" i="12"/>
  <c r="AA2438" i="12"/>
  <c r="Z2439" i="12"/>
  <c r="Z2440" i="12"/>
  <c r="AA2439" i="12"/>
  <c r="Z2441" i="12"/>
  <c r="AA2440" i="12"/>
  <c r="Z2442" i="12"/>
  <c r="AA2441" i="12"/>
  <c r="AA2442" i="12"/>
  <c r="Z2443" i="12"/>
  <c r="Z2444" i="12"/>
  <c r="AA2443" i="12"/>
  <c r="Z2445" i="12"/>
  <c r="AA2444" i="12"/>
  <c r="AA2445" i="12"/>
  <c r="Z2446" i="12"/>
  <c r="Z2447" i="12"/>
  <c r="AA2446" i="12"/>
  <c r="Z2448" i="12"/>
  <c r="AA2447" i="12"/>
  <c r="AA2448" i="12"/>
  <c r="Z2449" i="12"/>
  <c r="Z2450" i="12"/>
  <c r="AA2449" i="12"/>
  <c r="Z2451" i="12"/>
  <c r="AA2450" i="12"/>
  <c r="AA2451" i="12"/>
  <c r="Z2452" i="12"/>
  <c r="AA2452" i="12"/>
  <c r="Z2453" i="12"/>
  <c r="AA2453" i="12"/>
  <c r="Z2454" i="12"/>
  <c r="AA2454" i="12"/>
  <c r="Z2455" i="12"/>
  <c r="AA2455" i="12"/>
  <c r="Z2456" i="12"/>
  <c r="Z2457" i="12"/>
  <c r="AA2456" i="12"/>
  <c r="AA2457" i="12"/>
  <c r="Z2458" i="12"/>
  <c r="Z2459" i="12"/>
  <c r="AA2458" i="12"/>
  <c r="Z2460" i="12"/>
  <c r="AA2459" i="12"/>
  <c r="AA2460" i="12"/>
  <c r="Z2461" i="12"/>
  <c r="Z2462" i="12"/>
  <c r="AA2461" i="12"/>
  <c r="AA2462" i="12"/>
  <c r="Z2463" i="12"/>
  <c r="Z2464" i="12"/>
  <c r="AA2463" i="12"/>
  <c r="AA2464" i="12"/>
  <c r="Z2465" i="12"/>
  <c r="Z2466" i="12"/>
  <c r="AA2465" i="12"/>
  <c r="Z2467" i="12"/>
  <c r="AA2466" i="12"/>
  <c r="AA2467" i="12"/>
  <c r="Z2468" i="12"/>
  <c r="Z2469" i="12"/>
  <c r="AA2468" i="12"/>
  <c r="AA2469" i="12"/>
  <c r="Z2470" i="12"/>
  <c r="AA2470" i="12"/>
  <c r="Z2471" i="12"/>
  <c r="AA2471" i="12"/>
  <c r="Z2472" i="12"/>
  <c r="Z2473" i="12"/>
  <c r="AA2472" i="12"/>
  <c r="Z2474" i="12"/>
  <c r="AA2473" i="12"/>
  <c r="Z2475" i="12"/>
  <c r="AA2474" i="12"/>
  <c r="Z2476" i="12"/>
  <c r="AA2475" i="12"/>
  <c r="Z2477" i="12"/>
  <c r="AA2476" i="12"/>
  <c r="AA2477" i="12"/>
  <c r="Z2478" i="12"/>
  <c r="Z2479" i="12"/>
  <c r="AA2478" i="12"/>
  <c r="AA2479" i="12"/>
  <c r="Z2480" i="12"/>
  <c r="Z2481" i="12"/>
  <c r="AA2480" i="12"/>
  <c r="AA2481" i="12"/>
  <c r="Z2482" i="12"/>
  <c r="Z2483" i="12"/>
  <c r="AA2482" i="12"/>
  <c r="AA2483" i="12"/>
  <c r="Z2484" i="12"/>
  <c r="Z2485" i="12"/>
  <c r="AA2484" i="12"/>
  <c r="AA2485" i="12"/>
  <c r="Z2486" i="12"/>
  <c r="Z2487" i="12"/>
  <c r="AA2486" i="12"/>
  <c r="AA2487" i="12"/>
  <c r="Z2488" i="12"/>
  <c r="AA2488" i="12"/>
  <c r="Z2489" i="12"/>
  <c r="AA2489" i="12"/>
  <c r="Z2490" i="12"/>
  <c r="Z2491" i="12"/>
  <c r="AA2490" i="12"/>
  <c r="Z2492" i="12"/>
  <c r="AA2491" i="12"/>
  <c r="AA2492" i="12"/>
  <c r="Z2493" i="12"/>
  <c r="Z2494" i="12"/>
  <c r="AA2493" i="12"/>
  <c r="AA2494" i="12"/>
  <c r="Z2495" i="12"/>
  <c r="AA2495" i="12"/>
  <c r="Z2496" i="12"/>
  <c r="AA2496" i="12"/>
  <c r="Z2497" i="12"/>
  <c r="AA2497" i="12"/>
  <c r="Z2498" i="12"/>
  <c r="Z2499" i="12"/>
  <c r="AA2498" i="12"/>
  <c r="Z2500" i="12"/>
  <c r="AA2499" i="12"/>
  <c r="AA2500" i="12"/>
  <c r="Z2501" i="12"/>
  <c r="AA2501" i="12"/>
  <c r="Z2502" i="12"/>
  <c r="Z2503" i="12"/>
  <c r="AA2502" i="12"/>
  <c r="AA2503" i="12"/>
  <c r="Z2504" i="12"/>
  <c r="Z2505" i="12"/>
  <c r="AA2504" i="12"/>
  <c r="Z2506" i="12"/>
  <c r="AA2505" i="12"/>
  <c r="AA2506" i="12"/>
  <c r="Z2507" i="12"/>
  <c r="AA2507" i="12"/>
  <c r="Z2508" i="12"/>
  <c r="Z2509" i="12"/>
  <c r="AA2508" i="12"/>
  <c r="AA2509" i="12"/>
  <c r="Z2510" i="12"/>
  <c r="Z2511" i="12"/>
  <c r="AA2510" i="12"/>
  <c r="AA2511" i="12"/>
  <c r="Z2512" i="12"/>
  <c r="AA2512" i="12"/>
  <c r="Z2513" i="12"/>
  <c r="AA2513" i="12"/>
  <c r="Z2514" i="12"/>
  <c r="Z2515" i="12"/>
  <c r="AA2514" i="12"/>
  <c r="Z2516" i="12"/>
  <c r="AA2515" i="12"/>
  <c r="Z2517" i="12"/>
  <c r="AA2516" i="12"/>
  <c r="Z2518" i="12"/>
  <c r="AA2517" i="12"/>
  <c r="AA2518" i="12"/>
  <c r="Z2519" i="12"/>
  <c r="Z2520" i="12"/>
  <c r="AA2519" i="12"/>
  <c r="Z2521" i="12"/>
  <c r="AA2520" i="12"/>
  <c r="Z2522" i="12"/>
  <c r="AA2521" i="12"/>
  <c r="AA2522" i="12"/>
  <c r="Z2523" i="12"/>
  <c r="Z2524" i="12"/>
  <c r="AA2523" i="12"/>
  <c r="AA2524" i="12"/>
  <c r="Z2525" i="12"/>
  <c r="AA2525" i="12"/>
  <c r="Z2526" i="12"/>
  <c r="AA2526" i="12"/>
  <c r="Z2527" i="12"/>
  <c r="Z2528" i="12"/>
  <c r="AA2527" i="12"/>
  <c r="Z2529" i="12"/>
  <c r="AA2528" i="12"/>
  <c r="AA2529" i="12"/>
  <c r="Z2530" i="12"/>
  <c r="AA2530" i="12"/>
  <c r="Z2531" i="12"/>
  <c r="AA2531" i="12"/>
  <c r="Z2532" i="12"/>
  <c r="Z2533" i="12"/>
  <c r="AA2532" i="12"/>
  <c r="AA2533" i="12"/>
  <c r="Z2534" i="12"/>
  <c r="Z2535" i="12"/>
  <c r="AA2534" i="12"/>
  <c r="Z2536" i="12"/>
  <c r="AA2535" i="12"/>
  <c r="Z2537" i="12"/>
  <c r="AA2536" i="12"/>
  <c r="AA2537" i="12"/>
  <c r="Z2538" i="12"/>
  <c r="AA2538" i="12"/>
  <c r="Z2539" i="12"/>
  <c r="AA2539" i="12"/>
  <c r="Z2540" i="12"/>
  <c r="AA2540" i="12"/>
  <c r="Z2541" i="12"/>
  <c r="AA2541" i="12"/>
  <c r="Z2542" i="12"/>
  <c r="AA2542" i="12"/>
  <c r="Z2543" i="12"/>
  <c r="Z2544" i="12"/>
  <c r="AA2543" i="12"/>
  <c r="Z2545" i="12"/>
  <c r="AA2544" i="12"/>
  <c r="AA2545" i="12"/>
  <c r="Z2546" i="12"/>
  <c r="Z2547" i="12"/>
  <c r="AA2546" i="12"/>
  <c r="Z2548" i="12"/>
  <c r="AA2547" i="12"/>
  <c r="AA2548" i="12"/>
  <c r="Z2549" i="12"/>
  <c r="AA2549" i="12"/>
  <c r="Z2550" i="12"/>
  <c r="AA2550" i="12"/>
  <c r="Z2551" i="12"/>
  <c r="Z2552" i="12"/>
  <c r="AA2551" i="12"/>
  <c r="Z2553" i="12"/>
  <c r="AA2552" i="12"/>
  <c r="AA2553" i="12"/>
  <c r="Z2554" i="12"/>
  <c r="AA2554" i="12"/>
  <c r="Z2555" i="12"/>
  <c r="AA2555" i="12"/>
  <c r="Z2556" i="12"/>
  <c r="AA2556" i="12"/>
  <c r="Z2557" i="12"/>
  <c r="AA2557" i="12"/>
  <c r="Z2558" i="12"/>
  <c r="Z2559" i="12"/>
  <c r="AA2558" i="12"/>
  <c r="Z2560" i="12"/>
  <c r="AA2559" i="12"/>
  <c r="AA2560" i="12"/>
  <c r="Z2561" i="12"/>
  <c r="AA2561" i="12"/>
  <c r="Z2562" i="12"/>
  <c r="Z2563" i="12"/>
  <c r="AA2562" i="12"/>
  <c r="Z2564" i="12"/>
  <c r="AA2563" i="12"/>
  <c r="AA2564" i="12"/>
  <c r="Z2565" i="12"/>
  <c r="Z2566" i="12"/>
  <c r="AA2565" i="12"/>
  <c r="Z2567" i="12"/>
  <c r="AA2566" i="12"/>
  <c r="AA2567" i="12"/>
  <c r="Z2568" i="12"/>
  <c r="AA2568" i="12"/>
  <c r="Z2569" i="12"/>
  <c r="Z2570" i="12"/>
  <c r="AA2569" i="12"/>
  <c r="AA2570" i="12"/>
  <c r="Z2571" i="12"/>
  <c r="Z2572" i="12"/>
  <c r="AA2571" i="12"/>
  <c r="AA2572" i="12"/>
  <c r="Z2573" i="12"/>
  <c r="Z2574" i="12"/>
  <c r="AA2573" i="12"/>
  <c r="AA2574" i="12"/>
  <c r="Z2575" i="12"/>
  <c r="Z2576" i="12"/>
  <c r="AA2575" i="12"/>
  <c r="Z2577" i="12"/>
  <c r="AA2576" i="12"/>
  <c r="Z2578" i="12"/>
  <c r="AA2577" i="12"/>
  <c r="Z2579" i="12"/>
  <c r="AA2578" i="12"/>
  <c r="AA2579" i="12"/>
  <c r="Z2580" i="12"/>
  <c r="AA2580" i="12"/>
  <c r="Z2581" i="12"/>
  <c r="Z2582" i="12"/>
  <c r="AA2581" i="12"/>
  <c r="Z2583" i="12"/>
  <c r="AA2582" i="12"/>
  <c r="Z2584" i="12"/>
  <c r="AA2583" i="12"/>
  <c r="AA2584" i="12"/>
  <c r="Z2585" i="12"/>
  <c r="Z2586" i="12"/>
  <c r="AA2585" i="12"/>
  <c r="Z2587" i="12"/>
  <c r="AA2586" i="12"/>
  <c r="AA2587" i="12"/>
  <c r="Z2588" i="12"/>
  <c r="AA2588" i="12"/>
  <c r="Z2589" i="12"/>
  <c r="Z2590" i="12"/>
  <c r="AA2589" i="12"/>
  <c r="AA2590" i="12"/>
  <c r="Z2591" i="12"/>
  <c r="Z2592" i="12"/>
  <c r="AA2591" i="12"/>
  <c r="AA2592" i="12"/>
  <c r="Z2593" i="12"/>
  <c r="Z2594" i="12"/>
  <c r="AA2593" i="12"/>
  <c r="AA2594" i="12"/>
  <c r="Z2595" i="12"/>
  <c r="Z2596" i="12"/>
  <c r="AA2595" i="12"/>
  <c r="Z2597" i="12"/>
  <c r="AA2596" i="12"/>
  <c r="Z2598" i="12"/>
  <c r="AA2597" i="12"/>
  <c r="AA2598" i="12"/>
  <c r="Z2599" i="12"/>
  <c r="Z2600" i="12"/>
  <c r="AA2599" i="12"/>
  <c r="Z2601" i="12"/>
  <c r="AA2600" i="12"/>
  <c r="Z2602" i="12"/>
  <c r="AA2601" i="12"/>
  <c r="AA2602" i="12"/>
  <c r="Z2603" i="12"/>
  <c r="AA2603" i="12"/>
  <c r="Z2604" i="12"/>
  <c r="Z2605" i="12"/>
  <c r="AA2604" i="12"/>
  <c r="Z2606" i="12"/>
  <c r="AA2605" i="12"/>
  <c r="AA2606" i="12"/>
  <c r="Z2607" i="12"/>
  <c r="AA2607" i="12"/>
  <c r="Z2608" i="12"/>
  <c r="Z2609" i="12"/>
  <c r="AA2608" i="12"/>
  <c r="AA2609" i="12"/>
  <c r="Z2610" i="12"/>
  <c r="AA2610" i="12"/>
  <c r="Z2611" i="12"/>
  <c r="Z2612" i="12"/>
  <c r="AA2611" i="12"/>
  <c r="Z2613" i="12"/>
  <c r="AA2612" i="12"/>
  <c r="Z2614" i="12"/>
  <c r="AA2613" i="12"/>
  <c r="Z2615" i="12"/>
  <c r="AA2614" i="12"/>
  <c r="Z2616" i="12"/>
  <c r="AA2615" i="12"/>
  <c r="AA2616" i="12"/>
  <c r="Z2617" i="12"/>
  <c r="AA2617" i="12"/>
  <c r="Z2618" i="12"/>
  <c r="Z2619" i="12"/>
  <c r="AA2618" i="12"/>
  <c r="AA2619" i="12"/>
  <c r="Z2620" i="12"/>
  <c r="AA2620" i="12"/>
  <c r="Z2621" i="12"/>
  <c r="AA2621" i="12"/>
  <c r="Z2622" i="12"/>
  <c r="Z2623" i="12"/>
  <c r="AA2622" i="12"/>
  <c r="AA2623" i="12"/>
  <c r="Z2624" i="12"/>
  <c r="Z2625" i="12"/>
  <c r="AA2624" i="12"/>
  <c r="AA2625" i="12"/>
  <c r="Z2626" i="12"/>
  <c r="AA2626" i="12"/>
  <c r="Z2627" i="12"/>
  <c r="Z2628" i="12"/>
  <c r="AA2627" i="12"/>
  <c r="AA2628" i="12"/>
  <c r="Z2629" i="12"/>
  <c r="AA2629" i="12"/>
  <c r="Z2630" i="12"/>
  <c r="Z2631" i="12"/>
  <c r="AA2630" i="12"/>
  <c r="AA2631" i="12"/>
  <c r="Z2632" i="12"/>
  <c r="Z2633" i="12"/>
  <c r="AA2632" i="12"/>
  <c r="AA2633" i="12"/>
  <c r="Z2634" i="12"/>
  <c r="AA2634" i="12"/>
  <c r="Z2635" i="12"/>
  <c r="AA2635" i="12"/>
  <c r="Z2636" i="12"/>
  <c r="Z2637" i="12"/>
  <c r="AA2636" i="12"/>
  <c r="Z2638" i="12"/>
  <c r="AA2637" i="12"/>
  <c r="Z2639" i="12"/>
  <c r="AA2638" i="12"/>
  <c r="AA2639" i="12"/>
  <c r="Z2640" i="12"/>
  <c r="Z2641" i="12"/>
  <c r="AA2640" i="12"/>
  <c r="Z2642" i="12"/>
  <c r="AA2641" i="12"/>
  <c r="Z2643" i="12"/>
  <c r="AA2642" i="12"/>
  <c r="Z2644" i="12"/>
  <c r="AA2643" i="12"/>
  <c r="Z2645" i="12"/>
  <c r="AA2644" i="12"/>
  <c r="Z2646" i="12"/>
  <c r="AA2645" i="12"/>
  <c r="AA2646" i="12"/>
  <c r="Z2647" i="12"/>
  <c r="Z2648" i="12"/>
  <c r="AA2647" i="12"/>
  <c r="AA2648" i="12"/>
  <c r="Z2649" i="12"/>
  <c r="AA2649" i="12"/>
  <c r="Z2650" i="12"/>
  <c r="Z2651" i="12"/>
  <c r="AA2650" i="12"/>
  <c r="Z2652" i="12"/>
  <c r="AA2651" i="12"/>
  <c r="AA2652" i="12"/>
  <c r="Z2653" i="12"/>
  <c r="AA2653" i="12"/>
  <c r="Z2654" i="12"/>
  <c r="AA2654" i="12"/>
  <c r="Z2655" i="12"/>
  <c r="AA2655" i="12"/>
  <c r="Z2656" i="12"/>
  <c r="Z2657" i="12"/>
  <c r="AA2656" i="12"/>
  <c r="AA2657" i="12"/>
  <c r="Z2658" i="12"/>
  <c r="AA2658" i="12"/>
  <c r="Z2659" i="12"/>
  <c r="AA2659" i="12"/>
  <c r="Z2660" i="12"/>
  <c r="Z2661" i="12"/>
  <c r="AA2660" i="12"/>
  <c r="AA2661" i="12"/>
  <c r="Z2662" i="12"/>
  <c r="Z2663" i="12"/>
  <c r="AA2662" i="12"/>
  <c r="AA2663" i="12"/>
  <c r="Z2664" i="12"/>
  <c r="AA2664" i="12"/>
  <c r="Z2665" i="12"/>
  <c r="Z2666" i="12"/>
  <c r="AA2665" i="12"/>
  <c r="Z2667" i="12"/>
  <c r="AA2666" i="12"/>
  <c r="AA2667" i="12"/>
  <c r="Z2668" i="12"/>
  <c r="Z2669" i="12"/>
  <c r="AA2668" i="12"/>
  <c r="AA2669" i="12"/>
  <c r="Z2670" i="12"/>
  <c r="AA2670" i="12"/>
  <c r="Z2671" i="12"/>
  <c r="Z2672" i="12"/>
  <c r="AA2671" i="12"/>
  <c r="AA2672" i="12"/>
  <c r="Z2673" i="12"/>
  <c r="Z2674" i="12"/>
  <c r="AA2673" i="12"/>
  <c r="Z2675" i="12"/>
  <c r="AA2674" i="12"/>
  <c r="AA2675" i="12"/>
  <c r="Z2676" i="12"/>
  <c r="AA2676" i="12"/>
  <c r="Z2677" i="12"/>
  <c r="AA2677" i="12"/>
  <c r="Z2678" i="12"/>
  <c r="Z2679" i="12"/>
  <c r="AA2678" i="12"/>
  <c r="Z2680" i="12"/>
  <c r="AA2679" i="12"/>
  <c r="Z2681" i="12"/>
  <c r="AA2680" i="12"/>
  <c r="Z2682" i="12"/>
  <c r="AA2681" i="12"/>
  <c r="AA2682" i="12"/>
  <c r="Z2683" i="12"/>
  <c r="AA2683" i="12"/>
  <c r="Z2684" i="12"/>
  <c r="Z2685" i="12"/>
  <c r="AA2684" i="12"/>
  <c r="Z2686" i="12"/>
  <c r="AA2685" i="12"/>
  <c r="AA2686" i="12"/>
  <c r="Z2687" i="12"/>
  <c r="AA2687" i="12"/>
  <c r="Z2688" i="12"/>
  <c r="Z2689" i="12"/>
  <c r="AA2688" i="12"/>
  <c r="Z2690" i="12"/>
  <c r="AA2689" i="12"/>
  <c r="AA2690" i="12"/>
  <c r="Z2691" i="12"/>
  <c r="Z2692" i="12"/>
  <c r="AA2691" i="12"/>
  <c r="AA2692" i="12"/>
  <c r="Z2693" i="12"/>
  <c r="Z2694" i="12"/>
  <c r="AA2693" i="12"/>
  <c r="AA2694" i="12"/>
  <c r="Z2695" i="12"/>
  <c r="Z2696" i="12"/>
  <c r="AA2695" i="12"/>
  <c r="Z2697" i="12"/>
  <c r="AA2696" i="12"/>
  <c r="Z2698" i="12"/>
  <c r="AA2697" i="12"/>
  <c r="Z2699" i="12"/>
  <c r="AA2698" i="12"/>
  <c r="Z2700" i="12"/>
  <c r="AA2699" i="12"/>
  <c r="Z2701" i="12"/>
  <c r="AA2700" i="12"/>
  <c r="AA2701" i="12"/>
  <c r="Z2702" i="12"/>
  <c r="AA2702" i="12"/>
  <c r="Z2703" i="12"/>
  <c r="AA2703" i="12"/>
  <c r="Z2704" i="12"/>
  <c r="Z2705" i="12"/>
  <c r="AA2704" i="12"/>
  <c r="AA2705" i="12"/>
  <c r="Z2706" i="12"/>
  <c r="AA2706" i="12"/>
  <c r="Z2707" i="12"/>
  <c r="AA2707" i="12"/>
  <c r="Z2708" i="12"/>
  <c r="AA2708" i="12"/>
  <c r="Z2709" i="12"/>
  <c r="AA2709" i="12"/>
  <c r="Z2710" i="12"/>
  <c r="Z2711" i="12"/>
  <c r="AA2710" i="12"/>
  <c r="AA2711" i="12"/>
  <c r="Z2712" i="12"/>
  <c r="AA2712" i="12"/>
  <c r="Z2713" i="12"/>
  <c r="AA2713" i="12"/>
  <c r="Z2714" i="12"/>
  <c r="AA2714" i="12"/>
  <c r="Z2715" i="12"/>
  <c r="Z2716" i="12"/>
  <c r="AA2715" i="12"/>
  <c r="AA2716" i="12"/>
  <c r="Z2717" i="12"/>
  <c r="Z2718" i="12"/>
  <c r="AA2717" i="12"/>
  <c r="AA2718" i="12"/>
  <c r="Z2719" i="12"/>
  <c r="Z2720" i="12"/>
  <c r="AA2719" i="12"/>
  <c r="AA2720" i="12"/>
  <c r="Z2721" i="12"/>
  <c r="Z2722" i="12"/>
  <c r="AA2721" i="12"/>
  <c r="Z2723" i="12"/>
  <c r="AA2722" i="12"/>
  <c r="AA2723" i="12"/>
  <c r="Z2724" i="12"/>
  <c r="Z2725" i="12"/>
  <c r="AA2724" i="12"/>
  <c r="AA2725" i="12"/>
  <c r="Z2726" i="12"/>
  <c r="Z2727" i="12"/>
  <c r="AA2726" i="12"/>
  <c r="Z2728" i="12"/>
  <c r="AA2727" i="12"/>
  <c r="Z2729" i="12"/>
  <c r="AA2728" i="12"/>
  <c r="AA2729" i="12"/>
  <c r="Z2730" i="12"/>
  <c r="Z2731" i="12"/>
  <c r="AA2730" i="12"/>
  <c r="Z2732" i="12"/>
  <c r="AA2731" i="12"/>
  <c r="Z2733" i="12"/>
  <c r="AA2732" i="12"/>
  <c r="Z2734" i="12"/>
  <c r="AA2733" i="12"/>
  <c r="Z2735" i="12"/>
  <c r="AA2734" i="12"/>
  <c r="AA2735" i="12"/>
  <c r="Z2736" i="12"/>
  <c r="Z2737" i="12"/>
  <c r="AA2736" i="12"/>
  <c r="Z2738" i="12"/>
  <c r="AA2737" i="12"/>
  <c r="AA2738" i="12"/>
  <c r="Z2739" i="12"/>
  <c r="AA2739" i="12"/>
  <c r="Z2740" i="12"/>
  <c r="Z2741" i="12"/>
  <c r="AA2740" i="12"/>
  <c r="Z2742" i="12"/>
  <c r="AA2741" i="12"/>
  <c r="AA2742" i="12"/>
  <c r="Z2743" i="12"/>
  <c r="AA2743" i="12"/>
  <c r="Z2744" i="12"/>
  <c r="Z2745" i="12"/>
  <c r="AA2744" i="12"/>
  <c r="AA2745" i="12"/>
  <c r="Z2746" i="12"/>
  <c r="AA2746" i="12"/>
  <c r="Z2747" i="12"/>
  <c r="AA2747" i="12"/>
  <c r="Z2748" i="12"/>
  <c r="AA2748" i="12"/>
  <c r="Z2749" i="12"/>
  <c r="Z2750" i="12"/>
  <c r="AA2749" i="12"/>
  <c r="AA2750" i="12"/>
  <c r="Z2751" i="12"/>
  <c r="Z2752" i="12"/>
  <c r="AA2751" i="12"/>
  <c r="AA2752" i="12"/>
  <c r="Z2753" i="12"/>
  <c r="AA2753" i="12"/>
  <c r="Z2754" i="12"/>
  <c r="AA2754" i="12"/>
  <c r="Z2755" i="12"/>
  <c r="AA2755" i="12"/>
  <c r="Z2756" i="12"/>
  <c r="Z2757" i="12"/>
  <c r="AA2756" i="12"/>
  <c r="AA2757" i="12"/>
  <c r="Z2758" i="12"/>
  <c r="AA2758" i="12"/>
  <c r="Z2759" i="12"/>
  <c r="Z2760" i="12"/>
  <c r="AA2759" i="12"/>
  <c r="Z2761" i="12"/>
  <c r="AA2760" i="12"/>
  <c r="Z2762" i="12"/>
  <c r="AA2761" i="12"/>
  <c r="AA2762" i="12"/>
  <c r="Z2763" i="12"/>
  <c r="Z2764" i="12"/>
  <c r="AA2763" i="12"/>
  <c r="Z2765" i="12"/>
  <c r="AA2764" i="12"/>
  <c r="AA2765" i="12"/>
  <c r="Z2766" i="12"/>
  <c r="AA2766" i="12"/>
  <c r="Z2767" i="12"/>
  <c r="AA2767" i="12"/>
  <c r="Z2768" i="12"/>
  <c r="AA2768" i="12"/>
  <c r="Z2769" i="12"/>
  <c r="Z2770" i="12"/>
  <c r="AA2769" i="12"/>
  <c r="AA2770" i="12"/>
  <c r="Z2771" i="12"/>
  <c r="AA2771" i="12"/>
  <c r="Z2772" i="12"/>
  <c r="AA2772" i="12"/>
  <c r="Z2773" i="12"/>
  <c r="AA2773" i="12"/>
  <c r="Z2774" i="12"/>
  <c r="Z2775" i="12"/>
  <c r="AA2774" i="12"/>
  <c r="Z2776" i="12"/>
  <c r="AA2775" i="12"/>
  <c r="AA2776" i="12"/>
  <c r="Z2777" i="12"/>
  <c r="AA2777" i="12"/>
  <c r="Z2778" i="12"/>
  <c r="Z2779" i="12"/>
  <c r="AA2778" i="12"/>
  <c r="Z2780" i="12"/>
  <c r="AA2779" i="12"/>
  <c r="AA2780" i="12"/>
  <c r="Z2781" i="12"/>
  <c r="AA2781" i="12"/>
  <c r="Z2782" i="12"/>
  <c r="AA2782" i="12"/>
  <c r="Z2783" i="12"/>
  <c r="AA2783" i="12"/>
  <c r="Z2784" i="12"/>
  <c r="AA2784" i="12"/>
  <c r="Z2785" i="12"/>
  <c r="AA2785" i="12"/>
  <c r="Z2786" i="12"/>
  <c r="Z2787" i="12"/>
  <c r="AA2786" i="12"/>
  <c r="Z2788" i="12"/>
  <c r="AA2787" i="12"/>
  <c r="Z2789" i="12"/>
  <c r="AA2788" i="12"/>
  <c r="AA2789" i="12"/>
  <c r="Z2790" i="12"/>
  <c r="AA2790" i="12"/>
  <c r="Z2791" i="12"/>
  <c r="AA2791" i="12"/>
  <c r="Z2792" i="12"/>
  <c r="AA2792" i="12"/>
  <c r="Z2793" i="12"/>
  <c r="Z2794" i="12"/>
  <c r="AA2793" i="12"/>
  <c r="AA2794" i="12"/>
  <c r="Z2795" i="12"/>
  <c r="Z2796" i="12"/>
  <c r="AA2795" i="12"/>
  <c r="Z2797" i="12"/>
  <c r="AA2796" i="12"/>
  <c r="Z2798" i="12"/>
  <c r="AA2797" i="12"/>
  <c r="AA2798" i="12"/>
  <c r="Z2799" i="12"/>
  <c r="Z2800" i="12"/>
  <c r="AA2799" i="12"/>
  <c r="AA2800" i="12"/>
  <c r="Z2801" i="12"/>
  <c r="AA2801" i="12"/>
  <c r="Z2802" i="12"/>
  <c r="Z2803" i="12"/>
  <c r="AA2802" i="12"/>
  <c r="Z2804" i="12"/>
  <c r="AA2803" i="12"/>
  <c r="Z2805" i="12"/>
  <c r="AA2804" i="12"/>
  <c r="AA2805" i="12"/>
  <c r="Z2806" i="12"/>
  <c r="AA2806" i="12"/>
  <c r="Z2807" i="12"/>
  <c r="AA2807" i="12"/>
  <c r="Z2808" i="12"/>
  <c r="AA2808" i="12"/>
  <c r="Z2809" i="12"/>
  <c r="AA2809" i="12"/>
  <c r="Z2810" i="12"/>
  <c r="Z2811" i="12"/>
  <c r="AA2810" i="12"/>
  <c r="Z2812" i="12"/>
  <c r="AA2811" i="12"/>
  <c r="Z2813" i="12"/>
  <c r="AA2812" i="12"/>
  <c r="AA2813" i="12"/>
  <c r="Z2814" i="12"/>
  <c r="AA2814" i="12"/>
  <c r="Z2815" i="12"/>
  <c r="AA2815" i="12"/>
  <c r="Z2816" i="12"/>
  <c r="AA2816" i="12"/>
  <c r="Z2817" i="12"/>
  <c r="Z2818" i="12"/>
  <c r="AA2817" i="12"/>
  <c r="Z2819" i="12"/>
  <c r="AA2818" i="12"/>
  <c r="Z2820" i="12"/>
  <c r="AA2819" i="12"/>
  <c r="Z2821" i="12"/>
  <c r="AA2820" i="12"/>
  <c r="AA2821" i="12"/>
  <c r="Z2822" i="12"/>
  <c r="Z2823" i="12"/>
  <c r="AA2822" i="12"/>
  <c r="AA2823" i="12"/>
  <c r="Z2824" i="12"/>
  <c r="Z2825" i="12"/>
  <c r="AA2824" i="12"/>
  <c r="AA2825" i="12"/>
  <c r="Z2826" i="12"/>
  <c r="AA2826" i="12"/>
  <c r="Z2827" i="12"/>
  <c r="Z2828" i="12"/>
  <c r="AA2827" i="12"/>
  <c r="AA2828" i="12"/>
  <c r="Z2829" i="12"/>
  <c r="AA2829" i="12"/>
  <c r="Z2830" i="12"/>
  <c r="Z2831" i="12"/>
  <c r="AA2830" i="12"/>
  <c r="Z2832" i="12"/>
  <c r="AA2831" i="12"/>
  <c r="AA2832" i="12"/>
  <c r="Z2833" i="12"/>
  <c r="AA2833" i="12"/>
  <c r="Z2834" i="12"/>
  <c r="AA2834" i="12"/>
  <c r="Z2835" i="12"/>
  <c r="AA2835" i="12"/>
  <c r="Z2836" i="12"/>
  <c r="Z2837" i="12"/>
  <c r="AA2836" i="12"/>
  <c r="AA2837" i="12"/>
  <c r="Z2838" i="12"/>
  <c r="AA2838" i="12"/>
  <c r="Z2839" i="12"/>
  <c r="AA2839" i="12"/>
  <c r="Z2840" i="12"/>
  <c r="AA2840" i="12"/>
  <c r="Z2841" i="12"/>
  <c r="AA2841" i="12"/>
  <c r="Z2842" i="12"/>
  <c r="AA2842" i="12"/>
  <c r="Z2843" i="12"/>
  <c r="Z2844" i="12"/>
  <c r="AA2843" i="12"/>
  <c r="Z2845" i="12"/>
  <c r="AA2844" i="12"/>
  <c r="Z2846" i="12"/>
  <c r="AA2845" i="12"/>
  <c r="Z2847" i="12"/>
  <c r="AA2846" i="12"/>
  <c r="AA2847" i="12"/>
  <c r="Z2848" i="12"/>
  <c r="Z2849" i="12"/>
  <c r="AA2848" i="12"/>
  <c r="AA2849" i="12"/>
  <c r="Z2850" i="12"/>
  <c r="Z2851" i="12"/>
  <c r="AA2850" i="12"/>
  <c r="Z2852" i="12"/>
  <c r="AA2851" i="12"/>
  <c r="AA2852" i="12"/>
  <c r="Z2853" i="12"/>
  <c r="AA2853" i="12"/>
  <c r="Z2854" i="12"/>
  <c r="AA2854" i="12"/>
  <c r="Z2855" i="12"/>
  <c r="AA2855" i="12"/>
  <c r="Z2856" i="12"/>
  <c r="Z2857" i="12"/>
  <c r="AA2856" i="12"/>
  <c r="Z2858" i="12"/>
  <c r="AA2857" i="12"/>
  <c r="AA2858" i="12"/>
  <c r="Z2859" i="12"/>
  <c r="Z2860" i="12"/>
  <c r="AA2859" i="12"/>
  <c r="AA2860" i="12"/>
  <c r="Z2861" i="12"/>
  <c r="AA2861" i="12"/>
  <c r="Z2862" i="12"/>
  <c r="AA2862" i="12"/>
  <c r="Z2863" i="12"/>
  <c r="AA2863" i="12"/>
  <c r="Z2864" i="12"/>
  <c r="AA2864" i="12"/>
  <c r="Z2865" i="12"/>
  <c r="AA2865" i="12"/>
  <c r="Z2866" i="12"/>
  <c r="AA2866" i="12"/>
  <c r="Z2867" i="12"/>
  <c r="Z2868" i="12"/>
  <c r="AA2867" i="12"/>
  <c r="AA2868" i="12"/>
  <c r="Z2869" i="12"/>
  <c r="AA2869" i="12"/>
  <c r="Z2870" i="12"/>
  <c r="Z2871" i="12"/>
  <c r="AA2870" i="12"/>
  <c r="Z2872" i="12"/>
  <c r="AA2871" i="12"/>
  <c r="Z2873" i="12"/>
  <c r="AA2872" i="12"/>
  <c r="AA2873" i="12"/>
  <c r="Z2874" i="12"/>
  <c r="Z2875" i="12"/>
  <c r="AA2874" i="12"/>
  <c r="Z2876" i="12"/>
  <c r="AA2875" i="12"/>
  <c r="Z2877" i="12"/>
  <c r="AA2876" i="12"/>
  <c r="Z2878" i="12"/>
  <c r="AA2877" i="12"/>
  <c r="AA2878" i="12"/>
  <c r="Z2879" i="12"/>
  <c r="Z2880" i="12"/>
  <c r="AA2879" i="12"/>
  <c r="Z2881" i="12"/>
  <c r="AA2880" i="12"/>
  <c r="AA2881" i="12"/>
  <c r="Z2882" i="12"/>
  <c r="Z2883" i="12"/>
  <c r="AA2882" i="12"/>
  <c r="Z2884" i="12"/>
  <c r="AA2883" i="12"/>
  <c r="AA2884" i="12"/>
  <c r="Z2885" i="12"/>
  <c r="Z2886" i="12"/>
  <c r="AA2885" i="12"/>
  <c r="AA2886" i="12"/>
  <c r="Z2887" i="12"/>
  <c r="AA2887" i="12"/>
  <c r="Z2888" i="12"/>
  <c r="Z2889" i="12"/>
  <c r="AA2888" i="12"/>
  <c r="AA2889" i="12"/>
  <c r="Z2890" i="12"/>
  <c r="AA2890" i="12"/>
  <c r="Z2891" i="12"/>
  <c r="AA2891" i="12"/>
  <c r="Z2892" i="12"/>
  <c r="Z2893" i="12"/>
  <c r="AA2892" i="12"/>
  <c r="Z2894" i="12"/>
  <c r="AA2893" i="12"/>
  <c r="AA2894" i="12"/>
  <c r="Z2895" i="12"/>
  <c r="AA2895" i="12"/>
  <c r="Z2896" i="12"/>
  <c r="Z2897" i="12"/>
  <c r="AA2896" i="12"/>
  <c r="Z2898" i="12"/>
  <c r="AA2897" i="12"/>
  <c r="Z2899" i="12"/>
  <c r="AA2898" i="12"/>
  <c r="Z2900" i="12"/>
  <c r="AA2899" i="12"/>
  <c r="Z2901" i="12"/>
  <c r="AA2900" i="12"/>
  <c r="Z2902" i="12"/>
  <c r="AA2901" i="12"/>
  <c r="Z2903" i="12"/>
  <c r="AA2902" i="12"/>
  <c r="Z2904" i="12"/>
  <c r="AA2903" i="12"/>
  <c r="Z2905" i="12"/>
  <c r="AA2904" i="12"/>
  <c r="Z2906" i="12"/>
  <c r="AA2905" i="12"/>
  <c r="Z2907" i="12"/>
  <c r="AA2906" i="12"/>
  <c r="Z2908" i="12"/>
  <c r="AA2907" i="12"/>
  <c r="Z2909" i="12"/>
  <c r="AA2908" i="12"/>
  <c r="AA2909" i="12"/>
  <c r="Z2910" i="12"/>
  <c r="AA2910" i="12"/>
  <c r="Z2911" i="12"/>
  <c r="Z2912" i="12"/>
  <c r="AA2911" i="12"/>
  <c r="Z2913" i="12"/>
  <c r="AA2912" i="12"/>
  <c r="Z2914" i="12"/>
  <c r="AA2913" i="12"/>
  <c r="Z2915" i="12"/>
  <c r="AA2914" i="12"/>
  <c r="AA2915" i="12"/>
  <c r="Z2916" i="12"/>
  <c r="AA2916" i="12"/>
  <c r="Z2917" i="12"/>
  <c r="Z2918" i="12"/>
  <c r="AA2917" i="12"/>
  <c r="AA2918" i="12"/>
  <c r="Z2919" i="12"/>
  <c r="AA2919" i="12"/>
  <c r="Z2920" i="12"/>
  <c r="Z2921" i="12"/>
  <c r="AA2920" i="12"/>
  <c r="AA2921" i="12"/>
  <c r="Z2922" i="12"/>
  <c r="Z2923" i="12"/>
  <c r="AA2922" i="12"/>
  <c r="Z2924" i="12"/>
  <c r="AA2923" i="12"/>
  <c r="Z2925" i="12"/>
  <c r="AA2924" i="12"/>
  <c r="Z2926" i="12"/>
  <c r="AA2925" i="12"/>
  <c r="AA2926" i="12"/>
  <c r="Z2927" i="12"/>
  <c r="AA2927" i="12"/>
  <c r="Z2928" i="12"/>
  <c r="Z2929" i="12"/>
  <c r="AA2928" i="12"/>
  <c r="Z2930" i="12"/>
  <c r="AA2929" i="12"/>
  <c r="AA2930" i="12"/>
  <c r="Z2931" i="12"/>
  <c r="AA2931" i="12"/>
  <c r="Z2932" i="12"/>
  <c r="Z2933" i="12"/>
  <c r="AA2932" i="12"/>
  <c r="Z2934" i="12"/>
  <c r="AA2933" i="12"/>
  <c r="AA2934" i="12"/>
  <c r="Z2935" i="12"/>
  <c r="AA2935" i="12"/>
  <c r="Z2936" i="12"/>
  <c r="AA2936" i="12"/>
  <c r="Z2937" i="12"/>
  <c r="AA2937" i="12"/>
  <c r="Z2938" i="12"/>
  <c r="AA2938" i="12"/>
  <c r="Z2939" i="12"/>
  <c r="AA2939" i="12"/>
  <c r="Z2940" i="12"/>
  <c r="Z2941" i="12"/>
  <c r="AA2940" i="12"/>
  <c r="AA2941" i="12"/>
  <c r="Z2942" i="12"/>
  <c r="Z2943" i="12"/>
  <c r="AA2942" i="12"/>
  <c r="Z2944" i="12"/>
  <c r="AA2943" i="12"/>
  <c r="AA2944" i="12"/>
  <c r="Z2945" i="12"/>
  <c r="AA2945" i="12"/>
  <c r="Z2946" i="12"/>
  <c r="Z2947" i="12"/>
  <c r="AA2946" i="12"/>
  <c r="Z2948" i="12"/>
  <c r="AA2947" i="12"/>
  <c r="AA2948" i="12"/>
  <c r="Z2949" i="12"/>
  <c r="Z2950" i="12"/>
  <c r="AA2949" i="12"/>
  <c r="Z2951" i="12"/>
  <c r="AA2950" i="12"/>
  <c r="AA2951" i="12"/>
  <c r="Z2952" i="12"/>
  <c r="Z2953" i="12"/>
  <c r="AA2952" i="12"/>
  <c r="AA2953" i="12"/>
  <c r="Z2954" i="12"/>
  <c r="Z2955" i="12"/>
  <c r="AA2954" i="12"/>
  <c r="Z2956" i="12"/>
  <c r="AA2955" i="12"/>
  <c r="AA2956" i="12"/>
  <c r="Z2957" i="12"/>
  <c r="Z2958" i="12"/>
  <c r="AA2957" i="12"/>
  <c r="Z2959" i="12"/>
  <c r="AA2958" i="12"/>
  <c r="Z2960" i="12"/>
  <c r="AA2959" i="12"/>
  <c r="AA2960" i="12"/>
  <c r="Z2961" i="12"/>
  <c r="AA2961" i="12"/>
  <c r="Z2962" i="12"/>
  <c r="Z2963" i="12"/>
  <c r="AA2962" i="12"/>
  <c r="AA2963" i="12"/>
  <c r="Z2964" i="12"/>
  <c r="AA2964" i="12"/>
  <c r="Z2965" i="12"/>
  <c r="Z2966" i="12"/>
  <c r="AA2965" i="12"/>
  <c r="AA2966" i="12"/>
  <c r="Z2967" i="12"/>
  <c r="AA2967" i="12"/>
  <c r="Z2968" i="12"/>
  <c r="Z2969" i="12"/>
  <c r="AA2968" i="12"/>
  <c r="Z2970" i="12"/>
  <c r="AA2969" i="12"/>
  <c r="AA2970" i="12"/>
  <c r="Z2971" i="12"/>
  <c r="AA2971" i="12"/>
  <c r="Z2972" i="12"/>
  <c r="Z2973" i="12"/>
  <c r="AA2972" i="12"/>
  <c r="AA2973" i="12"/>
  <c r="Z2974" i="12"/>
  <c r="AA2974" i="12"/>
  <c r="Z2975" i="12"/>
  <c r="AA2975" i="12"/>
  <c r="Z2976" i="12"/>
  <c r="Z2977" i="12"/>
  <c r="AA2976" i="12"/>
  <c r="Z2978" i="12"/>
  <c r="AA2977" i="12"/>
  <c r="Z2979" i="12"/>
  <c r="AA2978" i="12"/>
  <c r="AA2979" i="12"/>
  <c r="Z2980" i="12"/>
  <c r="Z2981" i="12"/>
  <c r="AA2980" i="12"/>
  <c r="AA2981" i="12"/>
  <c r="Z2982" i="12"/>
  <c r="Z2983" i="12"/>
  <c r="AA2982" i="12"/>
  <c r="AA2983" i="12"/>
  <c r="Z2984" i="12"/>
  <c r="Z2985" i="12"/>
  <c r="AA2984" i="12"/>
  <c r="Z2986" i="12"/>
  <c r="AA2985" i="12"/>
  <c r="Z2987" i="12"/>
  <c r="AA2986" i="12"/>
  <c r="AA2987" i="12"/>
  <c r="Z2988" i="12"/>
  <c r="AA2988" i="12"/>
  <c r="Z2989" i="12"/>
  <c r="AA2989" i="12"/>
  <c r="Z2990" i="12"/>
  <c r="AA2990" i="12"/>
  <c r="Z2991" i="12"/>
  <c r="Z2992" i="12"/>
  <c r="AA2991" i="12"/>
  <c r="AA2992" i="12"/>
  <c r="Z2993" i="12"/>
  <c r="AA2993" i="12"/>
  <c r="Z2994" i="12"/>
  <c r="Z2995" i="12"/>
  <c r="AA2994" i="12"/>
  <c r="Z2996" i="12"/>
  <c r="AA2995" i="12"/>
  <c r="Z2997" i="12"/>
  <c r="AA2996" i="12"/>
  <c r="AA2997" i="12"/>
  <c r="Z2998" i="12"/>
  <c r="AA2998" i="12"/>
  <c r="Z2999" i="12"/>
  <c r="AA2999" i="12"/>
  <c r="Z3000" i="12"/>
  <c r="Z3001" i="12"/>
  <c r="AA3000" i="12"/>
  <c r="Z3002" i="12"/>
  <c r="AA3001" i="12"/>
  <c r="AA3002" i="12"/>
  <c r="Z3003" i="12"/>
  <c r="Z3004" i="12"/>
  <c r="AA3003" i="12"/>
  <c r="AA3004" i="12"/>
  <c r="Z3005" i="12"/>
  <c r="AA3005" i="12"/>
  <c r="Z3006" i="12"/>
  <c r="Z3007" i="12"/>
  <c r="AA3006" i="12"/>
  <c r="AA3007" i="12"/>
  <c r="Z3008" i="12"/>
  <c r="Z3009" i="12"/>
  <c r="AA3008" i="12"/>
  <c r="Z3010" i="12"/>
  <c r="AA3009" i="12"/>
  <c r="Z3011" i="12"/>
  <c r="AA3010" i="12"/>
  <c r="Z3012" i="12"/>
  <c r="AA3011" i="12"/>
  <c r="AA3012" i="12"/>
  <c r="Z3013" i="12"/>
  <c r="AA3013" i="12"/>
  <c r="Z3014" i="12"/>
  <c r="AA3014" i="12"/>
  <c r="Z3015" i="12"/>
  <c r="AA3015" i="12"/>
  <c r="Z3016" i="12"/>
  <c r="Z3017" i="12"/>
  <c r="AA3016" i="12"/>
  <c r="AA3017" i="12"/>
  <c r="Z3018" i="12"/>
  <c r="Z3019" i="12"/>
  <c r="AA3018" i="12"/>
  <c r="Z3020" i="12"/>
  <c r="AA3019" i="12"/>
  <c r="Z3021" i="12"/>
  <c r="AA3020" i="12"/>
  <c r="AA3021" i="12"/>
  <c r="Z3022" i="12"/>
  <c r="Z3023" i="12"/>
  <c r="AA3022" i="12"/>
  <c r="AA3023" i="12"/>
  <c r="Z3024" i="12"/>
  <c r="Z3025" i="12"/>
  <c r="AA3024" i="12"/>
  <c r="Z3026" i="12"/>
  <c r="AA3025" i="12"/>
  <c r="AA3026" i="12"/>
  <c r="Z3027" i="12"/>
  <c r="AA3027" i="12"/>
  <c r="Z3028" i="12"/>
  <c r="AA3028" i="12"/>
  <c r="Z3029" i="12"/>
  <c r="Z3030" i="12"/>
  <c r="AA3029" i="12"/>
  <c r="AA3030" i="12"/>
  <c r="Z3031" i="12"/>
  <c r="Z3032" i="12"/>
  <c r="AA3031" i="12"/>
  <c r="AA3032" i="12"/>
  <c r="Z3033" i="12"/>
  <c r="Z3034" i="12"/>
  <c r="AA3033" i="12"/>
  <c r="AA3034" i="12"/>
  <c r="Z3035" i="12"/>
  <c r="Z3036" i="12"/>
  <c r="AA3035" i="12"/>
  <c r="AA3036" i="12"/>
  <c r="Z3037" i="12"/>
  <c r="AA3037" i="12"/>
  <c r="Z3038" i="12"/>
  <c r="AA3038" i="12"/>
  <c r="Z3039" i="12"/>
  <c r="AA3039" i="12"/>
  <c r="Z3040" i="12"/>
  <c r="AA3040" i="12"/>
  <c r="Z3041" i="12"/>
  <c r="Z3042" i="12"/>
  <c r="AA3041" i="12"/>
  <c r="Z3043" i="12"/>
  <c r="AA3042" i="12"/>
  <c r="Z3044" i="12"/>
  <c r="AA3043" i="12"/>
  <c r="Z3045" i="12"/>
  <c r="AA3044" i="12"/>
  <c r="AA3045" i="12"/>
  <c r="Z3046" i="12"/>
  <c r="Z3047" i="12"/>
  <c r="AA3046" i="12"/>
  <c r="AA3047" i="12"/>
  <c r="Z3048" i="12"/>
  <c r="AA3048" i="12"/>
  <c r="Z3049" i="12"/>
  <c r="Z3050" i="12"/>
  <c r="AA3049" i="12"/>
  <c r="AA3050" i="12"/>
  <c r="Z3051" i="12"/>
  <c r="AA3051" i="12"/>
  <c r="Z3052" i="12"/>
  <c r="AA3052" i="12"/>
  <c r="Z3053" i="12"/>
  <c r="AA3053" i="12"/>
  <c r="Z3054" i="12"/>
  <c r="AA3054" i="12"/>
  <c r="Z3055" i="12"/>
  <c r="AA3055" i="12"/>
  <c r="Z3056" i="12"/>
  <c r="Z3057" i="12"/>
  <c r="AA3056" i="12"/>
  <c r="Z3058" i="12"/>
  <c r="AA3057" i="12"/>
  <c r="AA3058" i="12"/>
  <c r="Z3059" i="12"/>
  <c r="AA3059" i="12"/>
  <c r="Z3060" i="12"/>
  <c r="AA3060" i="12"/>
  <c r="Z3061" i="12"/>
  <c r="AA3061" i="12"/>
  <c r="Z3062" i="12"/>
  <c r="Z3063" i="12"/>
  <c r="AA3062" i="12"/>
  <c r="AA3063" i="12"/>
  <c r="Z3064" i="12"/>
  <c r="AA3064" i="12"/>
  <c r="Z3065" i="12"/>
  <c r="Z3066" i="12"/>
  <c r="AA3065" i="12"/>
  <c r="AA3066" i="12"/>
  <c r="Z3067" i="12"/>
  <c r="Z3068" i="12"/>
  <c r="AA3067" i="12"/>
  <c r="Z3069" i="12"/>
  <c r="AA3068" i="12"/>
  <c r="AA3069" i="12"/>
  <c r="Z3070" i="12"/>
  <c r="AA3070" i="12"/>
  <c r="Z3071" i="12"/>
  <c r="AA3071" i="12"/>
  <c r="Z3072" i="12"/>
  <c r="Z3073" i="12"/>
  <c r="AA3072" i="12"/>
  <c r="AA3073" i="12"/>
  <c r="Z3074" i="12"/>
  <c r="AA3074" i="12"/>
  <c r="Z3075" i="12"/>
  <c r="Z3076" i="12"/>
  <c r="AA3075" i="12"/>
  <c r="Z3077" i="12"/>
  <c r="AA3076" i="12"/>
  <c r="AA3077" i="12"/>
  <c r="Z3078" i="12"/>
  <c r="Z3079" i="12"/>
  <c r="AA3078" i="12"/>
  <c r="Z3080" i="12"/>
  <c r="AA3079" i="12"/>
  <c r="Z3081" i="12"/>
  <c r="AA3080" i="12"/>
  <c r="Z3082" i="12"/>
  <c r="AA3081" i="12"/>
  <c r="AA3082" i="12"/>
  <c r="Z3083" i="12"/>
  <c r="Z3084" i="12"/>
  <c r="AA3083" i="12"/>
  <c r="AA3084" i="12"/>
  <c r="Z3085" i="12"/>
  <c r="AA3085" i="12"/>
  <c r="Z3086" i="12"/>
  <c r="Z3087" i="12"/>
  <c r="AA3086" i="12"/>
  <c r="Z3088" i="12"/>
  <c r="AA3087" i="12"/>
  <c r="AA3088" i="12"/>
  <c r="Z3089" i="12"/>
  <c r="AA3089" i="12"/>
  <c r="Z3090" i="12"/>
  <c r="Z3091" i="12"/>
  <c r="AA3090" i="12"/>
  <c r="AA3091" i="12"/>
  <c r="Z3092" i="12"/>
  <c r="AA3092" i="12"/>
  <c r="Z3093" i="12"/>
  <c r="Z3094" i="12"/>
  <c r="AA3093" i="12"/>
  <c r="AA3094" i="12"/>
  <c r="Z3095" i="12"/>
  <c r="Z3096" i="12"/>
  <c r="AA3095" i="12"/>
  <c r="Z3097" i="12"/>
  <c r="AA3096" i="12"/>
  <c r="AA3097" i="12"/>
  <c r="Z3098" i="12"/>
  <c r="Z3099" i="12"/>
  <c r="AA3098" i="12"/>
  <c r="AA3099" i="12"/>
  <c r="Z3100" i="12"/>
  <c r="AA3100" i="12"/>
  <c r="Z3101" i="12"/>
  <c r="AA3101" i="12"/>
  <c r="Z3102" i="12"/>
  <c r="Z3103" i="12"/>
  <c r="AA3102" i="12"/>
  <c r="AA3103" i="12"/>
  <c r="Z3104" i="12"/>
  <c r="AA3104" i="12"/>
  <c r="Z3105" i="12"/>
  <c r="Z3106" i="12"/>
  <c r="AA3105" i="12"/>
  <c r="AA3106" i="12"/>
  <c r="Z3107" i="12"/>
  <c r="AA3107" i="12"/>
  <c r="Z3108" i="12"/>
  <c r="AA3108" i="12"/>
  <c r="Z3109" i="12"/>
  <c r="Z3110" i="12"/>
  <c r="AA3109" i="12"/>
  <c r="AA3110" i="12"/>
  <c r="Z3111" i="12"/>
  <c r="Z3112" i="12"/>
  <c r="AA3111" i="12"/>
  <c r="Z3113" i="12"/>
  <c r="AA3112" i="12"/>
  <c r="AA3113" i="12"/>
  <c r="Z3114" i="12"/>
  <c r="Z3115" i="12"/>
  <c r="AA3114" i="12"/>
  <c r="AA3115" i="12"/>
  <c r="Z3116" i="12"/>
  <c r="AA3116" i="12"/>
  <c r="Z3117" i="12"/>
  <c r="AA3117" i="12"/>
  <c r="Z3118" i="12"/>
  <c r="AA3118" i="12"/>
  <c r="Z3119" i="12"/>
  <c r="Z3120" i="12"/>
  <c r="AA3119" i="12"/>
  <c r="AA3120" i="12"/>
  <c r="Z3121" i="12"/>
  <c r="Z3122" i="12"/>
  <c r="AA3121" i="12"/>
  <c r="Z3123" i="12"/>
  <c r="AA3122" i="12"/>
  <c r="AA3123" i="12"/>
  <c r="Z3124" i="12"/>
  <c r="Z3125" i="12"/>
  <c r="AA3124" i="12"/>
  <c r="Z3126" i="12"/>
  <c r="AA3125" i="12"/>
  <c r="AA3126" i="12"/>
  <c r="Z3127" i="12"/>
  <c r="AA3127" i="12"/>
  <c r="Z3128" i="12"/>
  <c r="AA3128" i="12"/>
  <c r="Z3129" i="12"/>
  <c r="Z3130" i="12"/>
  <c r="AA3129" i="12"/>
  <c r="Z3131" i="12"/>
  <c r="AA3130" i="12"/>
  <c r="AA3131" i="12"/>
  <c r="Z3132" i="12"/>
  <c r="AA3132" i="12"/>
  <c r="Z3133" i="12"/>
  <c r="AA3133" i="12"/>
  <c r="Z3134" i="12"/>
  <c r="Z3135" i="12"/>
  <c r="AA3134" i="12"/>
  <c r="Z3136" i="12"/>
  <c r="AA3135" i="12"/>
  <c r="AA3136" i="12"/>
  <c r="Z3137" i="12"/>
  <c r="AA3137" i="12"/>
  <c r="Z3138" i="12"/>
  <c r="AA3138" i="12"/>
  <c r="Z3139" i="12"/>
  <c r="AA3139" i="12"/>
  <c r="Z3140" i="12"/>
  <c r="AA3140" i="12"/>
  <c r="Z3141" i="12"/>
  <c r="AA3141" i="12"/>
  <c r="Z3142" i="12"/>
  <c r="AA3142" i="12"/>
  <c r="Z3143" i="12"/>
  <c r="Z3144" i="12"/>
  <c r="AA3143" i="12"/>
  <c r="AA3144" i="12"/>
  <c r="Z3145" i="12"/>
  <c r="AA3145" i="12"/>
  <c r="Z3146" i="12"/>
  <c r="AA3146" i="12"/>
  <c r="Z3147" i="12"/>
  <c r="AA3147" i="12"/>
  <c r="Z3148" i="12"/>
  <c r="Z3149" i="12"/>
  <c r="AA3148" i="12"/>
  <c r="AA3149" i="12"/>
  <c r="Z3150" i="12"/>
  <c r="AA3150" i="12"/>
  <c r="Z3151" i="12"/>
  <c r="Z3152" i="12"/>
  <c r="AA3151" i="12"/>
  <c r="Z3153" i="12"/>
  <c r="AA3152" i="12"/>
  <c r="AA3153" i="12"/>
  <c r="Z3154" i="12"/>
  <c r="Z3155" i="12"/>
  <c r="AA3154" i="12"/>
  <c r="AA3155" i="12"/>
  <c r="Z3156" i="12"/>
  <c r="AA3156" i="12"/>
  <c r="Z3157" i="12"/>
  <c r="AA3157" i="12"/>
  <c r="Z3158" i="12"/>
  <c r="AA3158" i="12"/>
  <c r="Z3159" i="12"/>
  <c r="Z3160" i="12"/>
  <c r="AA3159" i="12"/>
  <c r="Z3161" i="12"/>
  <c r="AA3160" i="12"/>
  <c r="Z3162" i="12"/>
  <c r="AA3161" i="12"/>
  <c r="Z3163" i="12"/>
  <c r="AA3162" i="12"/>
  <c r="AA3163" i="12"/>
  <c r="Z3164" i="12"/>
  <c r="Z3165" i="12"/>
  <c r="AA3164" i="12"/>
  <c r="Z3166" i="12"/>
  <c r="AA3165" i="12"/>
  <c r="Z3167" i="12"/>
  <c r="AA3166" i="12"/>
  <c r="AA3167" i="12"/>
  <c r="Z3168" i="12"/>
  <c r="Z3169" i="12"/>
  <c r="AA3168" i="12"/>
  <c r="AA3169" i="12"/>
  <c r="Z3170" i="12"/>
  <c r="Z3171" i="12"/>
  <c r="AA3170" i="12"/>
  <c r="Z3172" i="12"/>
  <c r="AA3171" i="12"/>
  <c r="Z3173" i="12"/>
  <c r="AA3172" i="12"/>
  <c r="AA3173" i="12"/>
  <c r="Z3174" i="12"/>
  <c r="AA3174" i="12"/>
  <c r="Z3175" i="12"/>
  <c r="AA3175" i="12"/>
  <c r="Z3176" i="12"/>
  <c r="AA3176" i="12"/>
  <c r="Z3177" i="12"/>
  <c r="AA3177" i="12"/>
  <c r="Z3178" i="12"/>
  <c r="Z3179" i="12"/>
  <c r="AA3178" i="12"/>
  <c r="AA3179" i="12"/>
  <c r="Z3180" i="12"/>
  <c r="AA3180" i="12"/>
  <c r="Z3181" i="12"/>
  <c r="AA3181" i="12"/>
  <c r="Z3182" i="12"/>
  <c r="AA3182" i="12"/>
  <c r="Z3183" i="12"/>
  <c r="AA3183" i="12"/>
  <c r="Z3184" i="12"/>
  <c r="Z3185" i="12"/>
  <c r="AA3184" i="12"/>
  <c r="Z3186" i="12"/>
  <c r="AA3185" i="12"/>
  <c r="AA3186" i="12"/>
  <c r="Z3187" i="12"/>
  <c r="AA3187" i="12"/>
  <c r="Z3188" i="12"/>
  <c r="Z3189" i="12"/>
  <c r="AA3188" i="12"/>
  <c r="AA3189" i="12"/>
  <c r="Z3190" i="12"/>
  <c r="Z3191" i="12"/>
  <c r="AA3190" i="12"/>
  <c r="Z3192" i="12"/>
  <c r="AA3191" i="12"/>
  <c r="Z3193" i="12"/>
  <c r="AA3192" i="12"/>
  <c r="AA3193" i="12"/>
  <c r="Z3194" i="12"/>
  <c r="Z3195" i="12"/>
  <c r="AA3194" i="12"/>
  <c r="Z3196" i="12"/>
  <c r="AA3195" i="12"/>
  <c r="AA3196" i="12"/>
  <c r="Z3197" i="12"/>
  <c r="Z3198" i="12"/>
  <c r="AA3197" i="12"/>
  <c r="AA3198" i="12"/>
  <c r="Z3199" i="12"/>
  <c r="AA3199" i="12"/>
  <c r="Z3200" i="12"/>
  <c r="AA3200" i="12"/>
  <c r="Z3201" i="12"/>
  <c r="Z3202" i="12"/>
  <c r="AA3201" i="12"/>
  <c r="Z3203" i="12"/>
  <c r="AA3202" i="12"/>
  <c r="Z3204" i="12"/>
  <c r="AA3203" i="12"/>
  <c r="Z3205" i="12"/>
  <c r="AA3204" i="12"/>
  <c r="Z3206" i="12"/>
  <c r="AA3205" i="12"/>
  <c r="Z3207" i="12"/>
  <c r="AA3206" i="12"/>
  <c r="Z3208" i="12"/>
  <c r="AA3207" i="12"/>
  <c r="AA3208" i="12"/>
  <c r="Z3209" i="12"/>
  <c r="AA3209" i="12"/>
  <c r="Z3210" i="12"/>
  <c r="AA3210" i="12"/>
  <c r="Z3211" i="12"/>
  <c r="AA3211" i="12"/>
  <c r="Z3212" i="12"/>
  <c r="AA3212" i="12"/>
  <c r="Z3213" i="12"/>
  <c r="AA3213" i="12"/>
  <c r="Z3214" i="12"/>
  <c r="AA3214" i="12"/>
  <c r="Z3215" i="12"/>
  <c r="Z3216" i="12"/>
  <c r="AA3215" i="12"/>
  <c r="Z3217" i="12"/>
  <c r="AA3216" i="12"/>
  <c r="Z3218" i="12"/>
  <c r="AA3217" i="12"/>
  <c r="AA3218" i="12"/>
  <c r="Z3219" i="12"/>
  <c r="Z3220" i="12"/>
  <c r="AA3219" i="12"/>
  <c r="Z3221" i="12"/>
  <c r="AA3220" i="12"/>
  <c r="Z3222" i="12"/>
  <c r="AA3221" i="12"/>
  <c r="Z3223" i="12"/>
  <c r="AA3222" i="12"/>
  <c r="AA3223" i="12"/>
  <c r="Z3224" i="12"/>
  <c r="AA3224" i="12"/>
  <c r="Z3225" i="12"/>
  <c r="AA3225" i="12"/>
  <c r="Z3226" i="12"/>
  <c r="AA3226" i="12"/>
  <c r="Z3227" i="12"/>
  <c r="Z3228" i="12"/>
  <c r="AA3227" i="12"/>
  <c r="Z3229" i="12"/>
  <c r="AA3228" i="12"/>
  <c r="Z3230" i="12"/>
  <c r="AA3229" i="12"/>
  <c r="Z3231" i="12"/>
  <c r="AA3230" i="12"/>
  <c r="AA3231" i="12"/>
  <c r="Z3232" i="12"/>
  <c r="AA3232" i="12"/>
  <c r="Z3233" i="12"/>
  <c r="AA3233" i="12"/>
  <c r="Z3234" i="12"/>
  <c r="Z3235" i="12"/>
  <c r="AA3234" i="12"/>
  <c r="Z3236" i="12"/>
  <c r="AA3235" i="12"/>
  <c r="Z3237" i="12"/>
  <c r="AA3236" i="12"/>
  <c r="Z3238" i="12"/>
  <c r="AA3237" i="12"/>
  <c r="AA3238" i="12"/>
  <c r="Z3239" i="12"/>
  <c r="Z3240" i="12"/>
  <c r="AA3239" i="12"/>
  <c r="AA3240" i="12"/>
  <c r="Z3241" i="12"/>
  <c r="Z3242" i="12"/>
  <c r="AA3241" i="12"/>
  <c r="Z3243" i="12"/>
  <c r="AA3242" i="12"/>
  <c r="AA3243" i="12"/>
  <c r="Z3244" i="12"/>
  <c r="AA3244" i="12"/>
  <c r="Z3245" i="12"/>
  <c r="AA3245" i="12"/>
  <c r="Z3246" i="12"/>
  <c r="AA3246" i="12"/>
  <c r="Z3247" i="12"/>
  <c r="Z3248" i="12"/>
  <c r="AA3247" i="12"/>
  <c r="AA3248" i="12"/>
  <c r="Z3249" i="12"/>
  <c r="Z3250" i="12"/>
  <c r="AA3249" i="12"/>
  <c r="Z3251" i="12"/>
  <c r="AA3250" i="12"/>
  <c r="AA3251" i="12"/>
  <c r="Z3252" i="12"/>
  <c r="Z3253" i="12"/>
  <c r="AA3252" i="12"/>
  <c r="AA3253" i="12"/>
  <c r="Z3254" i="12"/>
  <c r="AA3254" i="12"/>
  <c r="Z3255" i="12"/>
  <c r="Z3256" i="12"/>
  <c r="AA3255" i="12"/>
  <c r="Z3257" i="12"/>
  <c r="AA3256" i="12"/>
  <c r="AA3257" i="12"/>
  <c r="Z3258" i="12"/>
  <c r="AA3258" i="12"/>
  <c r="Z3259" i="12"/>
  <c r="Z3260" i="12"/>
  <c r="AA3259" i="12"/>
  <c r="AA3260" i="12"/>
  <c r="Z3261" i="12"/>
  <c r="Z3262" i="12"/>
  <c r="AA3261" i="12"/>
  <c r="Z3263" i="12"/>
  <c r="AA3262" i="12"/>
  <c r="Z3264" i="12"/>
  <c r="AA3263" i="12"/>
  <c r="Z3265" i="12"/>
  <c r="AA3264" i="12"/>
  <c r="Z3266" i="12"/>
  <c r="AA3265" i="12"/>
  <c r="AA3266" i="12"/>
  <c r="Z3267" i="12"/>
  <c r="AA3267" i="12"/>
  <c r="Z3268" i="12"/>
  <c r="Z3269" i="12"/>
  <c r="AA3268" i="12"/>
  <c r="AA3269" i="12"/>
  <c r="Z3270" i="12"/>
  <c r="AA3270" i="12"/>
  <c r="Z3271" i="12"/>
  <c r="AA3271" i="12"/>
  <c r="Z3272" i="12"/>
  <c r="Z3273" i="12"/>
  <c r="AA3272" i="12"/>
  <c r="AA3273" i="12"/>
  <c r="Z3274" i="12"/>
  <c r="Z3275" i="12"/>
  <c r="AA3274" i="12"/>
  <c r="Z3276" i="12"/>
  <c r="AA3275" i="12"/>
  <c r="AA3276" i="12"/>
  <c r="Z3277" i="12"/>
  <c r="Z3278" i="12"/>
  <c r="AA3277" i="12"/>
  <c r="AA3278" i="12"/>
  <c r="Z3279" i="12"/>
  <c r="AA3279" i="12"/>
  <c r="Z3280" i="12"/>
  <c r="Z3281" i="12"/>
  <c r="AA3280" i="12"/>
  <c r="Z3282" i="12"/>
  <c r="AA3281" i="12"/>
  <c r="AA3282" i="12"/>
  <c r="Z3283" i="12"/>
  <c r="AA3283" i="12"/>
  <c r="Z3284" i="12"/>
  <c r="AA3284" i="12"/>
  <c r="Z3285" i="12"/>
  <c r="Z3286" i="12"/>
  <c r="AA3285" i="12"/>
  <c r="Z3287" i="12"/>
  <c r="AA3286" i="12"/>
  <c r="AA3287" i="12"/>
  <c r="Z3288" i="12"/>
  <c r="Z3289" i="12"/>
  <c r="AA3288" i="12"/>
  <c r="AA3289" i="12"/>
  <c r="Z3290" i="12"/>
  <c r="AA3290" i="12"/>
  <c r="Z3291" i="12"/>
  <c r="AA3291" i="12"/>
  <c r="Z3292" i="12"/>
  <c r="Z3293" i="12"/>
  <c r="AA3292" i="12"/>
  <c r="Z3294" i="12"/>
  <c r="AA3293" i="12"/>
  <c r="Z3295" i="12"/>
  <c r="AA3294" i="12"/>
  <c r="Z3296" i="12"/>
  <c r="AA3295" i="12"/>
  <c r="AA3296" i="12"/>
  <c r="Z3297" i="12"/>
  <c r="AA3297" i="12"/>
  <c r="Z3298" i="12"/>
  <c r="AA3298" i="12"/>
  <c r="Z3299" i="12"/>
  <c r="AA3299" i="12"/>
  <c r="Z3300" i="12"/>
  <c r="Z3301" i="12"/>
  <c r="AA3300" i="12"/>
  <c r="AA3301" i="12"/>
  <c r="Z3302" i="12"/>
  <c r="AA3302" i="12"/>
  <c r="Z3303" i="12"/>
  <c r="Z3304" i="12"/>
  <c r="AA3303" i="12"/>
  <c r="AA3304" i="12"/>
  <c r="Z3305" i="12"/>
  <c r="AA3305" i="12"/>
  <c r="Z3306" i="12"/>
  <c r="Z3307" i="12"/>
  <c r="AA3306" i="12"/>
  <c r="AA3307" i="12"/>
  <c r="Z3308" i="12"/>
  <c r="Z3309" i="12"/>
  <c r="AA3308" i="12"/>
  <c r="Z3310" i="12"/>
  <c r="AA3309" i="12"/>
  <c r="AA3310" i="12"/>
  <c r="Z3311" i="12"/>
  <c r="AA3311" i="12"/>
  <c r="Z3312" i="12"/>
  <c r="AA3312" i="12"/>
  <c r="Z3313" i="12"/>
  <c r="AA3313" i="12"/>
  <c r="Z3314" i="12"/>
  <c r="Z3315" i="12"/>
  <c r="AA3314" i="12"/>
  <c r="Z3316" i="12"/>
  <c r="AA3315" i="12"/>
  <c r="Z3317" i="12"/>
  <c r="AA3316" i="12"/>
  <c r="AA3317" i="12"/>
  <c r="Z3318" i="12"/>
  <c r="Z3319" i="12"/>
  <c r="AA3318" i="12"/>
  <c r="AA3319" i="12"/>
  <c r="Z3320" i="12"/>
  <c r="AA3320" i="12"/>
  <c r="Z3321" i="12"/>
  <c r="AA3321" i="12"/>
  <c r="Z3322" i="12"/>
  <c r="Z3323" i="12"/>
  <c r="AA3322" i="12"/>
  <c r="Z3324" i="12"/>
  <c r="AA3323" i="12"/>
  <c r="Z3325" i="12"/>
  <c r="AA3324" i="12"/>
  <c r="Z3326" i="12"/>
  <c r="AA3325" i="12"/>
  <c r="Z3327" i="12"/>
  <c r="AA3326" i="12"/>
  <c r="AA3327" i="12"/>
  <c r="Z3328" i="12"/>
  <c r="AA3328" i="12"/>
  <c r="Z3329" i="12"/>
  <c r="AA3329" i="12"/>
  <c r="Z3330" i="12"/>
  <c r="Z3331" i="12"/>
  <c r="AA3330" i="12"/>
  <c r="Z3332" i="12"/>
  <c r="AA3331" i="12"/>
  <c r="Z3333" i="12"/>
  <c r="AA3332" i="12"/>
  <c r="Z3334" i="12"/>
  <c r="AA3333" i="12"/>
  <c r="Z3335" i="12"/>
  <c r="AA3334" i="12"/>
  <c r="Z3336" i="12"/>
  <c r="AA3335" i="12"/>
  <c r="AA3336" i="12"/>
  <c r="Z3337" i="12"/>
  <c r="Z3338" i="12"/>
  <c r="AA3337" i="12"/>
  <c r="Z3339" i="12"/>
  <c r="AA3338" i="12"/>
  <c r="AA3339" i="12"/>
  <c r="Z3340" i="12"/>
  <c r="Z3341" i="12"/>
  <c r="AA3340" i="12"/>
  <c r="AA3341" i="12"/>
  <c r="Z3342" i="12"/>
  <c r="Z3343" i="12"/>
  <c r="AA3342" i="12"/>
  <c r="AA3343" i="12"/>
  <c r="Z3344" i="12"/>
  <c r="AA3344" i="12"/>
  <c r="Z3345" i="12"/>
  <c r="Z3346" i="12"/>
  <c r="AA3345" i="12"/>
  <c r="Z3347" i="12"/>
  <c r="AA3346" i="12"/>
  <c r="Z3348" i="12"/>
  <c r="AA3347" i="12"/>
  <c r="Z3349" i="12"/>
  <c r="AA3348" i="12"/>
  <c r="AA3349" i="12"/>
  <c r="Z3350" i="12"/>
  <c r="AA3350" i="12"/>
  <c r="Z3351" i="12"/>
  <c r="AA3351" i="12"/>
  <c r="Z3352" i="12"/>
  <c r="Z3353" i="12"/>
  <c r="AA3352" i="12"/>
  <c r="Z3354" i="12"/>
  <c r="AA3353" i="12"/>
  <c r="AA3354" i="12"/>
  <c r="Z3355" i="12"/>
  <c r="Z3356" i="12"/>
  <c r="AA3355" i="12"/>
  <c r="Z3357" i="12"/>
  <c r="AA3356" i="12"/>
  <c r="Z3358" i="12"/>
  <c r="AA3357" i="12"/>
  <c r="AA3358" i="12"/>
  <c r="Z3359" i="12"/>
  <c r="AA3359" i="12"/>
  <c r="Z3360" i="12"/>
  <c r="Z3361" i="12"/>
  <c r="AA3360" i="12"/>
  <c r="Z3362" i="12"/>
  <c r="AA3361" i="12"/>
  <c r="AA3362" i="12"/>
  <c r="Z3363" i="12"/>
  <c r="AA3363" i="12"/>
  <c r="Z3364" i="12"/>
  <c r="AA3364" i="12"/>
  <c r="Z3365" i="12"/>
  <c r="AA3365" i="12"/>
  <c r="Z3366" i="12"/>
  <c r="Z3367" i="12"/>
  <c r="AA3366" i="12"/>
  <c r="AA3367" i="12"/>
  <c r="Z3368" i="12"/>
  <c r="AA3368" i="12"/>
  <c r="Z3369" i="12"/>
  <c r="AA3369" i="12"/>
  <c r="Z3370" i="12"/>
  <c r="Z3371" i="12"/>
  <c r="AA3370" i="12"/>
  <c r="AA3371" i="12"/>
  <c r="Z3372" i="12"/>
  <c r="Z3373" i="12"/>
  <c r="AA3372" i="12"/>
  <c r="Z3374" i="12"/>
  <c r="AA3373" i="12"/>
  <c r="Z3375" i="12"/>
  <c r="AA3374" i="12"/>
  <c r="Z3376" i="12"/>
  <c r="AA3375" i="12"/>
  <c r="AA3376" i="12"/>
  <c r="Z3377" i="12"/>
  <c r="AA3377" i="12"/>
  <c r="Z3378" i="12"/>
  <c r="AA3378" i="12"/>
  <c r="Z3379" i="12"/>
  <c r="Z3380" i="12"/>
  <c r="AA3379" i="12"/>
  <c r="Z3381" i="12"/>
  <c r="AA3380" i="12"/>
  <c r="Z3382" i="12"/>
  <c r="AA3381" i="12"/>
  <c r="AA3382" i="12"/>
  <c r="Z3383" i="12"/>
  <c r="Z3384" i="12"/>
  <c r="AA3383" i="12"/>
  <c r="Z3385" i="12"/>
  <c r="AA3384" i="12"/>
  <c r="Z3386" i="12"/>
  <c r="AA3385" i="12"/>
  <c r="AA3386" i="12"/>
  <c r="Z3387" i="12"/>
  <c r="AA3387" i="12"/>
  <c r="Z3388" i="12"/>
  <c r="Z3389" i="12"/>
  <c r="AA3388" i="12"/>
  <c r="AA3389" i="12"/>
  <c r="Z3390" i="12"/>
  <c r="AA3390" i="12"/>
  <c r="Z3391" i="12"/>
  <c r="AA3391" i="12"/>
  <c r="Z3392" i="12"/>
  <c r="AA3392" i="12"/>
  <c r="Z3393" i="12"/>
  <c r="Z3394" i="12"/>
  <c r="AA3393" i="12"/>
  <c r="AA3394" i="12"/>
  <c r="Z3395" i="12"/>
  <c r="Z3396" i="12"/>
  <c r="AA3395" i="12"/>
  <c r="AA3396" i="12"/>
  <c r="Z3397" i="12"/>
  <c r="AA3397" i="12"/>
  <c r="Z3398" i="12"/>
  <c r="Z3399" i="12"/>
  <c r="AA3398" i="12"/>
  <c r="AA3399" i="12"/>
  <c r="Z3400" i="12"/>
  <c r="AA3400" i="12"/>
  <c r="Z3401" i="12"/>
  <c r="Z3402" i="12"/>
  <c r="AA3401" i="12"/>
  <c r="Z3403" i="12"/>
  <c r="AA3402" i="12"/>
  <c r="Z3404" i="12"/>
  <c r="AA3403" i="12"/>
  <c r="AA3404" i="12"/>
  <c r="Z3405" i="12"/>
  <c r="AA3405" i="12"/>
  <c r="Z3406" i="12"/>
  <c r="Z3407" i="12"/>
  <c r="AA3406" i="12"/>
  <c r="AA3407" i="12"/>
  <c r="Z3408" i="12"/>
  <c r="AA3408" i="12"/>
  <c r="Z3409" i="12"/>
  <c r="AA3409" i="12"/>
  <c r="Z3410" i="12"/>
  <c r="AA3410" i="12"/>
  <c r="Z3411" i="12"/>
  <c r="Z3412" i="12"/>
  <c r="AA3411" i="12"/>
  <c r="Z3413" i="12"/>
  <c r="AA3412" i="12"/>
  <c r="Z3414" i="12"/>
  <c r="AA3413" i="12"/>
  <c r="Z3415" i="12"/>
  <c r="AA3414" i="12"/>
  <c r="Z3416" i="12"/>
  <c r="AA3415" i="12"/>
  <c r="AA3416" i="12"/>
  <c r="Z3417" i="12"/>
  <c r="AA3417" i="12"/>
  <c r="Z3418" i="12"/>
  <c r="AA3418" i="12"/>
  <c r="Z3419" i="12"/>
  <c r="AA3419" i="12"/>
  <c r="Z3420" i="12"/>
  <c r="Z3421" i="12"/>
  <c r="AA3420" i="12"/>
  <c r="AA3421" i="12"/>
  <c r="Z3422" i="12"/>
  <c r="AA3422" i="12"/>
  <c r="Z3423" i="12"/>
  <c r="AA3423" i="12"/>
  <c r="Z3424" i="12"/>
  <c r="AA3424" i="12"/>
  <c r="Z3425" i="12"/>
  <c r="AA3425" i="12"/>
  <c r="Z3426" i="12"/>
  <c r="AA3426" i="12"/>
  <c r="Z3427" i="12"/>
  <c r="AA3427" i="12"/>
  <c r="Z3428" i="12"/>
  <c r="Z3429" i="12"/>
  <c r="AA3428" i="12"/>
  <c r="Z3430" i="12"/>
  <c r="AA3429" i="12"/>
  <c r="Z3431" i="12"/>
  <c r="AA3430" i="12"/>
  <c r="AA3431" i="12"/>
  <c r="Z3432" i="12"/>
  <c r="Z3433" i="12"/>
  <c r="AA3432" i="12"/>
  <c r="AA3433" i="12"/>
  <c r="Z3434" i="12"/>
  <c r="Z3435" i="12"/>
  <c r="AA3434" i="12"/>
  <c r="AA3435" i="12"/>
  <c r="Z3436" i="12"/>
  <c r="AA3436" i="12"/>
  <c r="Z3437" i="12"/>
  <c r="AA3437" i="12"/>
  <c r="Z3438" i="12"/>
  <c r="Z3439" i="12"/>
  <c r="AA3438" i="12"/>
  <c r="AA3439" i="12"/>
  <c r="Z3440" i="12"/>
  <c r="Z3441" i="12"/>
  <c r="AA3440" i="12"/>
  <c r="Z3442" i="12"/>
  <c r="AA3441" i="12"/>
  <c r="AA3442" i="12"/>
  <c r="Z3443" i="12"/>
  <c r="Z3444" i="12"/>
  <c r="AA3443" i="12"/>
  <c r="AA3444" i="12"/>
  <c r="Z3445" i="12"/>
  <c r="Z3446" i="12"/>
  <c r="AA3445" i="12"/>
  <c r="AA3446" i="12"/>
  <c r="Z3447" i="12"/>
  <c r="AA3447" i="12"/>
  <c r="Z3448" i="12"/>
  <c r="Z3449" i="12"/>
  <c r="AA3448" i="12"/>
  <c r="AA3449" i="12"/>
  <c r="Z3450" i="12"/>
  <c r="Z3451" i="12"/>
  <c r="AA3450" i="12"/>
  <c r="Z3452" i="12"/>
  <c r="AA3451" i="12"/>
  <c r="Z3453" i="12"/>
  <c r="AA3452" i="12"/>
  <c r="AA3453" i="12"/>
  <c r="Z3454" i="12"/>
  <c r="Z3455" i="12"/>
  <c r="AA3454" i="12"/>
  <c r="Z3456" i="12"/>
  <c r="AA3455" i="12"/>
  <c r="AA3456" i="12"/>
  <c r="Z3457" i="12"/>
  <c r="Z3458" i="12"/>
  <c r="AA3457" i="12"/>
  <c r="Z3459" i="12"/>
  <c r="AA3458" i="12"/>
  <c r="AA3459" i="12"/>
  <c r="Z3460" i="12"/>
  <c r="Z3461" i="12"/>
  <c r="AA3460" i="12"/>
  <c r="Z3462" i="12"/>
  <c r="AA3461" i="12"/>
  <c r="AA3462" i="12"/>
  <c r="Z3463" i="12"/>
  <c r="Z3464" i="12"/>
  <c r="AA3463" i="12"/>
  <c r="AA3464" i="12"/>
  <c r="Z3465" i="12"/>
  <c r="Z3466" i="12"/>
  <c r="AA3465" i="12"/>
  <c r="AA3466" i="12"/>
  <c r="Z3467" i="12"/>
  <c r="Z3468" i="12"/>
  <c r="AA3467" i="12"/>
  <c r="Z3469" i="12"/>
  <c r="AA3468" i="12"/>
  <c r="Z3470" i="12"/>
  <c r="AA3469" i="12"/>
  <c r="AA3470" i="12"/>
  <c r="Z3471" i="12"/>
  <c r="Z3472" i="12"/>
  <c r="AA3471" i="12"/>
  <c r="AA3472" i="12"/>
  <c r="Z3473" i="12"/>
  <c r="AA3473" i="12"/>
  <c r="Z3474" i="12"/>
  <c r="AA3474" i="12"/>
  <c r="Z3475" i="12"/>
  <c r="AA3475" i="12"/>
  <c r="Z3476" i="12"/>
  <c r="Z3477" i="12"/>
  <c r="AA3476" i="12"/>
  <c r="Z3478" i="12"/>
  <c r="AA3477" i="12"/>
  <c r="Z3479" i="12"/>
  <c r="AA3478" i="12"/>
  <c r="Z3480" i="12"/>
  <c r="AA3479" i="12"/>
  <c r="AA3480" i="12"/>
  <c r="Z3481" i="12"/>
  <c r="AA3481" i="12"/>
  <c r="Z3482" i="12"/>
  <c r="AA3482" i="12"/>
  <c r="Z3483" i="12"/>
  <c r="AA3483" i="12"/>
  <c r="Z3484" i="12"/>
  <c r="Z3485" i="12"/>
  <c r="AA3484" i="12"/>
  <c r="AA3485" i="12"/>
  <c r="Z3486" i="12"/>
  <c r="Z3487" i="12"/>
  <c r="AA3486" i="12"/>
  <c r="AA3487" i="12"/>
  <c r="Z3488" i="12"/>
  <c r="Z3489" i="12"/>
  <c r="AA3488" i="12"/>
  <c r="AA3489" i="12"/>
  <c r="Z3490" i="12"/>
  <c r="AA3490" i="12"/>
  <c r="Z3491" i="12"/>
  <c r="Z3492" i="12"/>
  <c r="AA3491" i="12"/>
  <c r="AA3492" i="12"/>
  <c r="Z3493" i="12"/>
  <c r="Z3494" i="12"/>
  <c r="AA3493" i="12"/>
  <c r="AA3494" i="12"/>
  <c r="Z3495" i="12"/>
  <c r="AA3495" i="12"/>
  <c r="Z3496" i="12"/>
  <c r="Z3497" i="12"/>
  <c r="AA3496" i="12"/>
  <c r="AA3497" i="12"/>
  <c r="Z3498" i="12"/>
  <c r="Z3499" i="12"/>
  <c r="AA3498" i="12"/>
  <c r="AA3499" i="12"/>
  <c r="Z3500" i="12"/>
  <c r="AA3500" i="12"/>
  <c r="Z3501" i="12"/>
  <c r="AA3501" i="12"/>
  <c r="Z3502" i="12"/>
  <c r="Z3503" i="12"/>
  <c r="AA3502" i="12"/>
  <c r="Z3504" i="12"/>
  <c r="AA3503" i="12"/>
  <c r="AA3504" i="12"/>
  <c r="Z3505" i="12"/>
  <c r="AA3505" i="12"/>
  <c r="Z3506" i="12"/>
  <c r="Z3507" i="12"/>
  <c r="AA3506" i="12"/>
  <c r="Z3508" i="12"/>
  <c r="AA3507" i="12"/>
  <c r="AA3508" i="12"/>
  <c r="Z3509" i="12"/>
  <c r="Z3510" i="12"/>
  <c r="AA3509" i="12"/>
  <c r="AA3510" i="12"/>
  <c r="Z3511" i="12"/>
  <c r="AA3511" i="12"/>
  <c r="Z3512" i="12"/>
  <c r="Z3513" i="12"/>
  <c r="AA3512" i="12"/>
  <c r="AA3513" i="12"/>
  <c r="Z3514" i="12"/>
  <c r="Z3515" i="12"/>
  <c r="AA3514" i="12"/>
  <c r="AA3515" i="12"/>
  <c r="Z3516" i="12"/>
  <c r="AA3516" i="12"/>
  <c r="Z3517" i="12"/>
  <c r="AA3517" i="12"/>
  <c r="Z3518" i="12"/>
  <c r="Z3519" i="12"/>
  <c r="AA3518" i="12"/>
  <c r="Z3520" i="12"/>
  <c r="AA3519" i="12"/>
  <c r="AA3520" i="12"/>
  <c r="Z3521" i="12"/>
  <c r="Z3522" i="12"/>
  <c r="AA3521" i="12"/>
  <c r="Z3523" i="12"/>
  <c r="AA3522" i="12"/>
  <c r="AA3523" i="12"/>
  <c r="Z3524" i="12"/>
  <c r="AA3524" i="12"/>
  <c r="Z3525" i="12"/>
  <c r="AA3525" i="12"/>
  <c r="Z3526" i="12"/>
  <c r="AA3526" i="12"/>
  <c r="Z3527" i="12"/>
  <c r="Z3528" i="12"/>
  <c r="AA3527" i="12"/>
  <c r="AA3528" i="12"/>
  <c r="Z3529" i="12"/>
  <c r="Z3530" i="12"/>
  <c r="AA3529" i="12"/>
  <c r="AA3530" i="12"/>
  <c r="Z3531" i="12"/>
  <c r="Z3532" i="12"/>
  <c r="AA3531" i="12"/>
  <c r="Z3533" i="12"/>
  <c r="AA3532" i="12"/>
  <c r="AA3533" i="12"/>
  <c r="Z3534" i="12"/>
  <c r="Z3535" i="12"/>
  <c r="AA3534" i="12"/>
  <c r="AA3535" i="12"/>
  <c r="Z3536" i="12"/>
  <c r="AA3536" i="12"/>
  <c r="Z3537" i="12"/>
  <c r="Z3538" i="12"/>
  <c r="AA3537" i="12"/>
  <c r="AA3538" i="12"/>
  <c r="Z3539" i="12"/>
  <c r="AA3539" i="12"/>
  <c r="Z3540" i="12"/>
  <c r="Z3541" i="12"/>
  <c r="AA3540" i="12"/>
  <c r="AA3541" i="12"/>
  <c r="Z3542" i="12"/>
  <c r="AA3542" i="12"/>
  <c r="Z3543" i="12"/>
  <c r="Z3544" i="12"/>
  <c r="AA3543" i="12"/>
  <c r="Z3545" i="12"/>
  <c r="AA3544" i="12"/>
  <c r="Z3546" i="12"/>
  <c r="AA3545" i="12"/>
  <c r="AA3546" i="12"/>
  <c r="Z3547" i="12"/>
  <c r="Z3548" i="12"/>
  <c r="AA3547" i="12"/>
  <c r="AA3548" i="12"/>
  <c r="Z3549" i="12"/>
  <c r="Z3550" i="12"/>
  <c r="AA3549" i="12"/>
  <c r="AA3550" i="12"/>
  <c r="Z3551" i="12"/>
  <c r="AA3551" i="12"/>
  <c r="Z3552" i="12"/>
  <c r="AB19" i="12" a="1"/>
  <c r="AA3552" i="12"/>
  <c r="AB561" i="12" l="1"/>
  <c r="AB2070" i="12"/>
  <c r="AB2801" i="12"/>
  <c r="AB818" i="12"/>
  <c r="AB3157" i="12"/>
  <c r="AB47" i="12"/>
  <c r="AB1111" i="12"/>
  <c r="AB2474" i="12"/>
  <c r="AB1280" i="12"/>
  <c r="AB2900" i="12"/>
  <c r="AB1099" i="12"/>
  <c r="AB190" i="12"/>
  <c r="AB972" i="12"/>
  <c r="AB1044" i="12"/>
  <c r="AB381" i="12"/>
  <c r="AB2613" i="12"/>
  <c r="AB1062" i="12"/>
  <c r="AB2103" i="12"/>
  <c r="AB2504" i="12"/>
  <c r="AB1631" i="12"/>
  <c r="AB2185" i="12"/>
  <c r="AB2549" i="12"/>
  <c r="AB2932" i="12"/>
  <c r="AB2093" i="12"/>
  <c r="AB2408" i="12"/>
  <c r="AB366" i="12"/>
  <c r="AB75" i="12"/>
  <c r="AB576" i="12"/>
  <c r="AB2735" i="12"/>
  <c r="AB311" i="12"/>
  <c r="AB3118" i="12"/>
  <c r="AB1220" i="12"/>
  <c r="AB1973" i="12"/>
  <c r="AB711" i="12"/>
  <c r="AB1719" i="12"/>
  <c r="AB61" i="12"/>
  <c r="AB2244" i="12"/>
  <c r="AB187" i="12"/>
  <c r="AB2954" i="12"/>
  <c r="AB3283" i="12"/>
  <c r="AB1650" i="12"/>
  <c r="AB1992" i="12"/>
  <c r="AB1308" i="12"/>
  <c r="AB1295" i="12"/>
  <c r="AB2044" i="12"/>
  <c r="AB2841" i="12"/>
  <c r="AB155" i="12"/>
  <c r="AB3202" i="12"/>
  <c r="AB2127" i="12"/>
  <c r="AB3407" i="12"/>
  <c r="AB1300" i="12"/>
  <c r="AB2365" i="12"/>
  <c r="AB723" i="12"/>
  <c r="AB2418" i="12"/>
  <c r="AB1648" i="12"/>
  <c r="AB2666" i="12"/>
  <c r="AB2323" i="12"/>
  <c r="AB1460" i="12"/>
  <c r="AB1318" i="12"/>
  <c r="AB2720" i="12"/>
  <c r="AB3366" i="12"/>
  <c r="AB845" i="12"/>
  <c r="AB245" i="12"/>
  <c r="AB619" i="12"/>
  <c r="AB31" i="12"/>
  <c r="AB2906" i="12"/>
  <c r="AB921" i="12"/>
  <c r="AB912" i="12"/>
  <c r="AB959" i="12"/>
  <c r="AB3462" i="12"/>
  <c r="AB1630" i="12"/>
  <c r="AB990" i="12"/>
  <c r="AB3542" i="12"/>
  <c r="AB3198" i="12"/>
  <c r="AB1230" i="12"/>
  <c r="AB3107" i="12"/>
  <c r="AB1270" i="12"/>
  <c r="AB945" i="12"/>
  <c r="AB110" i="12"/>
  <c r="AB1776" i="12"/>
  <c r="AB1572" i="12"/>
  <c r="AB1732" i="12"/>
  <c r="AB2958" i="12"/>
  <c r="AB3165" i="12"/>
  <c r="AB3432" i="12"/>
  <c r="AB1326" i="12"/>
  <c r="AB2338" i="12"/>
  <c r="AB880" i="12"/>
  <c r="AB1264" i="12"/>
  <c r="AB1898" i="12"/>
  <c r="AB474" i="12"/>
  <c r="AB2781" i="12"/>
  <c r="AB2100" i="12"/>
  <c r="AB1000" i="12"/>
  <c r="AB258" i="12"/>
  <c r="AB3156" i="12"/>
  <c r="AB504" i="12"/>
  <c r="AB3017" i="12"/>
  <c r="AB924" i="12"/>
  <c r="AB1518" i="12"/>
  <c r="AB1042" i="12"/>
  <c r="AB1621" i="12"/>
  <c r="AB2688" i="12"/>
  <c r="AB3316" i="12"/>
  <c r="AB2756" i="12"/>
  <c r="AB1196" i="12"/>
  <c r="AB3513" i="12"/>
  <c r="AB2794" i="12"/>
  <c r="AB2742" i="12"/>
  <c r="AB1192" i="12"/>
  <c r="AB2690" i="12"/>
  <c r="AB240" i="12"/>
  <c r="AB1336" i="12"/>
  <c r="AB272" i="12"/>
  <c r="AB710" i="12"/>
  <c r="AB2943" i="12"/>
  <c r="AB3080" i="12"/>
  <c r="AB3072" i="12"/>
  <c r="AB1408" i="12"/>
  <c r="AB1663" i="12"/>
  <c r="AB2216" i="12"/>
  <c r="AB1577" i="12"/>
  <c r="AB95" i="12"/>
  <c r="AB2630" i="12"/>
  <c r="AB1227" i="12"/>
  <c r="AB175" i="12"/>
  <c r="AB2787" i="12"/>
  <c r="AB662" i="12"/>
  <c r="AB2845" i="12"/>
  <c r="AB1733" i="12"/>
  <c r="AB2028" i="12"/>
  <c r="AB2704" i="12"/>
  <c r="AB508" i="12"/>
  <c r="AB1594" i="12"/>
  <c r="AB869" i="12"/>
  <c r="AB1312" i="12"/>
  <c r="AB2470" i="12"/>
  <c r="AB2245" i="12"/>
  <c r="AB2228" i="12"/>
  <c r="AB1178" i="12"/>
  <c r="AB983" i="12"/>
  <c r="AB2208" i="12"/>
  <c r="AB1541" i="12"/>
  <c r="AB2570" i="12"/>
  <c r="AB602" i="12"/>
  <c r="AB867" i="12"/>
  <c r="AB713" i="12"/>
  <c r="AB674" i="12"/>
  <c r="AB2886" i="12"/>
  <c r="AB2743" i="12"/>
  <c r="AB377" i="12"/>
  <c r="AB981" i="12"/>
  <c r="AB2309" i="12"/>
  <c r="AB2836" i="12"/>
  <c r="AB1946" i="12"/>
  <c r="AB2929" i="12"/>
  <c r="AB1803" i="12"/>
  <c r="AB1512" i="12"/>
  <c r="AB1935" i="12"/>
  <c r="AB3491" i="12"/>
  <c r="AB3037" i="12"/>
  <c r="AB1269" i="12"/>
  <c r="AB2766" i="12"/>
  <c r="AB1171" i="12"/>
  <c r="AB174" i="12"/>
  <c r="AB1354" i="12"/>
  <c r="AB2942" i="12"/>
  <c r="AB3076" i="12"/>
  <c r="AB1522" i="12"/>
  <c r="AB1357" i="12"/>
  <c r="AB2448" i="12"/>
  <c r="AB1866" i="12"/>
  <c r="AB45" i="12"/>
  <c r="AB1952" i="12"/>
  <c r="AB1918" i="12"/>
  <c r="AB3321" i="12"/>
  <c r="AB161" i="12"/>
  <c r="AB214" i="12"/>
  <c r="AB316" i="12"/>
  <c r="AB2370" i="12"/>
  <c r="AB2908" i="12"/>
  <c r="AB1259" i="12"/>
  <c r="AB545" i="12"/>
  <c r="AB2897" i="12"/>
  <c r="AB1662" i="12"/>
  <c r="AB2205" i="12"/>
  <c r="AB2953" i="12"/>
  <c r="AB745" i="12"/>
  <c r="AB595" i="12"/>
  <c r="AB2260" i="12"/>
  <c r="AB1458" i="12"/>
  <c r="AB176" i="12"/>
  <c r="AB2951" i="12"/>
  <c r="AB3140" i="12"/>
  <c r="AB1016" i="12"/>
  <c r="AB2964" i="12"/>
  <c r="AB3329" i="12"/>
  <c r="AB2888" i="12"/>
  <c r="AB1101" i="12"/>
  <c r="AB3361" i="12"/>
  <c r="AB2901" i="12"/>
  <c r="AB2366" i="12"/>
  <c r="AB246" i="12"/>
  <c r="AB1500" i="12"/>
  <c r="AB2212" i="12"/>
  <c r="AB1799" i="12"/>
  <c r="AB424" i="12"/>
  <c r="AB821" i="12"/>
  <c r="AB411" i="12"/>
  <c r="AB223" i="12"/>
  <c r="AB3548" i="12"/>
  <c r="AB2484" i="12"/>
  <c r="AB910" i="12"/>
  <c r="AB3010" i="12"/>
  <c r="AB2394" i="12"/>
  <c r="AB2375" i="12"/>
  <c r="AB372" i="12"/>
  <c r="AB2895" i="12"/>
  <c r="AB3374" i="12"/>
  <c r="AB640" i="12"/>
  <c r="AB584" i="12"/>
  <c r="AB185" i="12"/>
  <c r="AB3389" i="12"/>
  <c r="AB2525" i="12"/>
  <c r="AB126" i="12"/>
  <c r="AB930" i="12"/>
  <c r="AB2096" i="12"/>
  <c r="AB3308" i="12"/>
  <c r="AB216" i="12"/>
  <c r="AB853" i="12"/>
  <c r="AB2198" i="12"/>
  <c r="AB2815" i="12"/>
  <c r="AB2054" i="12"/>
  <c r="AB2148" i="12"/>
  <c r="AB2562" i="12"/>
  <c r="AB3204" i="12"/>
  <c r="AB861" i="12"/>
  <c r="AB1850" i="12"/>
  <c r="AB944" i="12"/>
  <c r="AB1256" i="12"/>
  <c r="AB1811" i="12"/>
  <c r="AB1951" i="12"/>
  <c r="AB130" i="12"/>
  <c r="AB925" i="12"/>
  <c r="AB886" i="12"/>
  <c r="AB2004" i="12"/>
  <c r="AB1777" i="12"/>
  <c r="AB483" i="12"/>
  <c r="AB1854" i="12"/>
  <c r="AB825" i="12"/>
  <c r="AB1089" i="12"/>
  <c r="AB3395" i="12"/>
  <c r="AB235" i="12"/>
  <c r="AB2106" i="12"/>
  <c r="AB1540" i="12"/>
  <c r="AB173" i="12"/>
  <c r="AB2878" i="12"/>
  <c r="AB1658" i="12"/>
  <c r="AB249" i="12"/>
  <c r="AB841" i="12"/>
  <c r="AB2002" i="12"/>
  <c r="AB1870" i="12"/>
  <c r="AB120" i="12"/>
  <c r="AB1189" i="12"/>
  <c r="AB1635" i="12"/>
  <c r="AB456" i="12"/>
  <c r="AB2882" i="12"/>
  <c r="AB1543" i="12"/>
  <c r="AB434" i="12"/>
  <c r="AB3066" i="12"/>
  <c r="AB1145" i="12"/>
  <c r="AB2348" i="12"/>
  <c r="AB706" i="12"/>
  <c r="AB2404" i="12"/>
  <c r="AB1251" i="12"/>
  <c r="AB1795" i="12"/>
  <c r="AB2056" i="12"/>
  <c r="AB2478" i="12"/>
  <c r="AB807" i="12"/>
  <c r="AB1830" i="12"/>
  <c r="AB913" i="12"/>
  <c r="AB1687" i="12"/>
  <c r="AB1728" i="12"/>
  <c r="AB3240" i="12"/>
  <c r="AB3035" i="12"/>
  <c r="AB57" i="12"/>
  <c r="AB38" i="12"/>
  <c r="AB1253" i="12"/>
  <c r="AB801" i="12"/>
  <c r="AB2399" i="12"/>
  <c r="AB3384" i="12"/>
  <c r="AB2546" i="12"/>
  <c r="AB1531" i="12"/>
  <c r="AB3467" i="12"/>
  <c r="AB2593" i="12"/>
  <c r="AB2565" i="12"/>
  <c r="AB2822" i="12"/>
  <c r="AB3019" i="12"/>
  <c r="AB2617" i="12"/>
  <c r="AB1944" i="12"/>
  <c r="AB3150" i="12"/>
  <c r="AB2838" i="12"/>
  <c r="AB1634" i="12"/>
  <c r="AB2741" i="12"/>
  <c r="AB664" i="12"/>
  <c r="AB2360" i="12"/>
  <c r="AB1058" i="12"/>
  <c r="AB1681" i="12"/>
  <c r="AB1684" i="12"/>
  <c r="AB2324" i="12"/>
  <c r="AB1920" i="12"/>
  <c r="AB1620" i="12"/>
  <c r="AB2805" i="12"/>
  <c r="AB1612" i="12"/>
  <c r="AB1764" i="12"/>
  <c r="AB67" i="12"/>
  <c r="AB2276" i="12"/>
  <c r="AB1237" i="12"/>
  <c r="AB2402" i="12"/>
  <c r="AB2979" i="12"/>
  <c r="AB1093" i="12"/>
  <c r="AB1429" i="12"/>
  <c r="AB1967" i="12"/>
  <c r="AB803" i="12"/>
  <c r="AB752" i="12"/>
  <c r="AB2202" i="12"/>
  <c r="AB1103" i="12"/>
  <c r="AB1720" i="12"/>
  <c r="AB2695" i="12"/>
  <c r="AB2361" i="12"/>
  <c r="AB217" i="12"/>
  <c r="AB2025" i="12"/>
  <c r="AB1115" i="12"/>
  <c r="AB820" i="12"/>
  <c r="AB926" i="12"/>
  <c r="AB1426" i="12"/>
  <c r="AB2876" i="12"/>
  <c r="AB1478" i="12"/>
  <c r="AB529" i="12"/>
  <c r="AB2170" i="12"/>
  <c r="AB1291" i="12"/>
  <c r="AB298" i="12"/>
  <c r="AB2515" i="12"/>
  <c r="AB1029" i="12"/>
  <c r="AB1356" i="12"/>
  <c r="AB2804" i="12"/>
  <c r="AB1722" i="12"/>
  <c r="AB3241" i="12"/>
  <c r="AB2087" i="12"/>
  <c r="AB3086" i="12"/>
  <c r="AB2611" i="12"/>
  <c r="AB3276" i="12"/>
  <c r="AB2829" i="12"/>
  <c r="AB1553" i="12"/>
  <c r="AB683" i="12"/>
  <c r="AB254" i="12"/>
  <c r="AB3413" i="12"/>
  <c r="AB1629" i="12"/>
  <c r="AB1240" i="12"/>
  <c r="AB2651" i="12"/>
  <c r="AB2010" i="12"/>
  <c r="AB241" i="12"/>
  <c r="AB3440" i="12"/>
  <c r="AB2355" i="12"/>
  <c r="AB1587" i="12"/>
  <c r="AB458" i="12"/>
  <c r="AB2753" i="12"/>
  <c r="AB2140" i="12"/>
  <c r="AB975" i="12"/>
  <c r="AB2578" i="12"/>
  <c r="AB2327" i="12"/>
  <c r="AB476" i="12"/>
  <c r="AB1768" i="12"/>
  <c r="AB2489" i="12"/>
  <c r="AB742" i="12"/>
  <c r="AB940" i="12"/>
  <c r="AB600" i="12"/>
  <c r="AB1816" i="12"/>
  <c r="AB661" i="12"/>
  <c r="AB3012" i="12"/>
  <c r="AB3144" i="12"/>
  <c r="AB3474" i="12"/>
  <c r="AB1216" i="12"/>
  <c r="AB1482" i="12"/>
  <c r="AB605" i="12"/>
  <c r="AB159" i="12"/>
  <c r="AB1897" i="12"/>
  <c r="AB3512" i="12"/>
  <c r="AB546" i="12"/>
  <c r="AB3550" i="12"/>
  <c r="AB1465" i="12"/>
  <c r="AB2230" i="12"/>
  <c r="AB1376" i="12"/>
  <c r="AB905" i="12"/>
  <c r="AB2915" i="12"/>
  <c r="AB599" i="12"/>
  <c r="AB281" i="12"/>
  <c r="AB1085" i="12"/>
  <c r="AB1623" i="12"/>
  <c r="AB2757" i="12"/>
  <c r="AB108" i="12"/>
  <c r="AB2033" i="12"/>
  <c r="AB1782" i="12"/>
  <c r="AB2151" i="12"/>
  <c r="AB966" i="12"/>
  <c r="AB345" i="12"/>
  <c r="AB1739" i="12"/>
  <c r="AB658" i="12"/>
  <c r="AB54" i="12"/>
  <c r="AB2553" i="12"/>
  <c r="AB2875" i="12"/>
  <c r="AB269" i="12"/>
  <c r="AB2055" i="12"/>
  <c r="AB781" i="12"/>
  <c r="AB1506" i="12"/>
  <c r="AB2684" i="12"/>
  <c r="AB1975" i="12"/>
  <c r="AB1388" i="12"/>
  <c r="AB1028" i="12"/>
  <c r="AB1756" i="12"/>
  <c r="AB1827" i="12"/>
  <c r="AB37" i="12"/>
  <c r="AB2114" i="12"/>
  <c r="AB2145" i="12"/>
  <c r="AB2345" i="12"/>
  <c r="AB635" i="12"/>
  <c r="AB1160" i="12"/>
  <c r="AB143" i="12"/>
  <c r="AB1039" i="12"/>
  <c r="AB3455" i="12"/>
  <c r="AB1754" i="12"/>
  <c r="AB611" i="12"/>
  <c r="AB1047" i="12"/>
  <c r="AB2263" i="12"/>
  <c r="AB2591" i="12"/>
  <c r="AB3325" i="12"/>
  <c r="AB2522" i="12"/>
  <c r="AB2763" i="12"/>
  <c r="AB2850" i="12"/>
  <c r="AB156" i="12"/>
  <c r="AB3379" i="12"/>
  <c r="AB1502" i="12"/>
  <c r="AB3344" i="12"/>
  <c r="AB941" i="12"/>
  <c r="AB1978" i="12"/>
  <c r="AB2051" i="12"/>
  <c r="AB2533" i="12"/>
  <c r="AB344" i="12"/>
  <c r="AB2977" i="12"/>
  <c r="AB2589" i="12"/>
  <c r="AB2751" i="12"/>
  <c r="AB3526" i="12"/>
  <c r="AB3256" i="12"/>
  <c r="AB837" i="12"/>
  <c r="AB3018" i="12"/>
  <c r="AB624" i="12"/>
  <c r="AB1743" i="12"/>
  <c r="AB1342" i="12"/>
  <c r="AB2133" i="12"/>
  <c r="AB2089" i="12"/>
  <c r="AB1285" i="12"/>
  <c r="AB330" i="12"/>
  <c r="AB785" i="12"/>
  <c r="AB107" i="12"/>
  <c r="AB3005" i="12"/>
  <c r="AB2153" i="12"/>
  <c r="AB1391" i="12"/>
  <c r="AB560" i="12"/>
  <c r="AB1131" i="12"/>
  <c r="AB475" i="12"/>
  <c r="AB1345" i="12"/>
  <c r="AB760" i="12"/>
  <c r="AB846" i="12"/>
  <c r="AB830" i="12"/>
  <c r="AB707" i="12"/>
  <c r="AB3381" i="12"/>
  <c r="AB1713" i="12"/>
  <c r="AB259" i="12"/>
  <c r="AB51" i="12"/>
  <c r="AB557" i="12"/>
  <c r="AB252" i="12"/>
  <c r="AB2481" i="12"/>
  <c r="AB1019" i="12"/>
  <c r="AB265" i="12"/>
  <c r="AB1307" i="12"/>
  <c r="AB3122" i="12"/>
  <c r="AB528" i="12"/>
  <c r="AB2778" i="12"/>
  <c r="AB1396" i="12"/>
  <c r="AB2105" i="12"/>
  <c r="AB1943" i="12"/>
  <c r="AB2938" i="12"/>
  <c r="AB2436" i="12"/>
  <c r="AB1894" i="12"/>
  <c r="AB3015" i="12"/>
  <c r="AB1382" i="12"/>
  <c r="AB586" i="12"/>
  <c r="AB1432" i="12"/>
  <c r="AB784" i="12"/>
  <c r="AB2950" i="12"/>
  <c r="AB2113" i="12"/>
  <c r="AB1095" i="12"/>
  <c r="AB2396" i="12"/>
  <c r="AB2658" i="12"/>
  <c r="AB2210" i="12"/>
  <c r="AB76" i="12"/>
  <c r="AB3036" i="12"/>
  <c r="AB798" i="12"/>
  <c r="AB3265" i="12"/>
  <c r="AB1191" i="12"/>
  <c r="AB1529" i="12"/>
  <c r="AB1793" i="12"/>
  <c r="AB2464" i="12"/>
  <c r="AB1174" i="12"/>
  <c r="AB1007" i="12"/>
  <c r="AB2723" i="12"/>
  <c r="AB1380" i="12"/>
  <c r="AB1930" i="12"/>
  <c r="AB1785" i="12"/>
  <c r="AB639" i="12"/>
  <c r="AB3112" i="12"/>
  <c r="AB401" i="12"/>
  <c r="AB1942" i="12"/>
  <c r="AB261" i="12"/>
  <c r="AB2749" i="12"/>
  <c r="AB353" i="12"/>
  <c r="AB1390" i="12"/>
  <c r="AB1387" i="12"/>
  <c r="AB799" i="12"/>
  <c r="AB36" i="12"/>
  <c r="AB196" i="12"/>
  <c r="AB1486" i="12"/>
  <c r="AB892" i="12"/>
  <c r="AB2499" i="12"/>
  <c r="AB3160" i="12"/>
  <c r="AB2449" i="12"/>
  <c r="AB2480" i="12"/>
  <c r="AB2698" i="12"/>
  <c r="AB3147" i="12"/>
  <c r="AB1971" i="12"/>
  <c r="AB314" i="12"/>
  <c r="AB3293" i="12"/>
  <c r="AB1685" i="12"/>
  <c r="AB724" i="12"/>
  <c r="AB430" i="12"/>
  <c r="AB1410" i="12"/>
  <c r="AB2945" i="12"/>
  <c r="AB64" i="12"/>
  <c r="AB929" i="12"/>
  <c r="AB1622" i="12"/>
  <c r="AB2034" i="12"/>
  <c r="AB346" i="12"/>
  <c r="AB1252" i="12"/>
  <c r="AB2596" i="12"/>
  <c r="AB802" i="12"/>
  <c r="AB2727" i="12"/>
  <c r="AB3175" i="12"/>
  <c r="AB1173" i="12"/>
  <c r="AB2927" i="12"/>
  <c r="AB2604" i="12"/>
  <c r="AB3082" i="12"/>
  <c r="AB3251" i="12"/>
  <c r="AB1775" i="12"/>
  <c r="AB2490" i="12"/>
  <c r="AB1730" i="12"/>
  <c r="AB2475" i="12"/>
  <c r="AB2405" i="12"/>
  <c r="AB2733" i="12"/>
  <c r="AB2889" i="12"/>
  <c r="AB3045" i="12"/>
  <c r="AB1959" i="12"/>
  <c r="AB113" i="12"/>
  <c r="AB1869" i="12"/>
  <c r="AB1239" i="12"/>
  <c r="AB3050" i="12"/>
  <c r="AB1338" i="12"/>
  <c r="AB2851" i="12"/>
  <c r="AB1626" i="12"/>
  <c r="AB81" i="12"/>
  <c r="AB1637" i="12"/>
  <c r="AB1088" i="12"/>
  <c r="AB339" i="12"/>
  <c r="AB1532" i="12"/>
  <c r="AB2863" i="12"/>
  <c r="AB3073" i="12"/>
  <c r="AB1689" i="12"/>
  <c r="AB1596" i="12"/>
  <c r="AB1149" i="12"/>
  <c r="AB1831" i="12"/>
  <c r="AB287" i="12"/>
  <c r="AB3091" i="12"/>
  <c r="AB3303" i="12"/>
  <c r="AB2421" i="12"/>
  <c r="AB1867" i="12"/>
  <c r="AB405" i="12"/>
  <c r="AB1333" i="12"/>
  <c r="AB3047" i="12"/>
  <c r="AB2872" i="12"/>
  <c r="AB1923" i="12"/>
  <c r="AB2808" i="12"/>
  <c r="AB1011" i="12"/>
  <c r="AB1299" i="12"/>
  <c r="AB2701" i="12"/>
  <c r="AB3470" i="12"/>
  <c r="AB415" i="12"/>
  <c r="AB1119" i="12"/>
  <c r="AB445" i="12"/>
  <c r="AB2227" i="12"/>
  <c r="AB292" i="12"/>
  <c r="AB2840" i="12"/>
  <c r="AB2057" i="12"/>
  <c r="AB1665" i="12"/>
  <c r="AB2644" i="12"/>
  <c r="AB1857" i="12"/>
  <c r="AB3067" i="12"/>
  <c r="AB1087" i="12"/>
  <c r="AB1346" i="12"/>
  <c r="AB85" i="12"/>
  <c r="AB2710" i="12"/>
  <c r="AB1990" i="12"/>
  <c r="AB1021" i="12"/>
  <c r="AB1172" i="12"/>
  <c r="AB2844" i="12"/>
  <c r="AB3243" i="12"/>
  <c r="AB290" i="12"/>
  <c r="AB1812" i="12"/>
  <c r="AB89" i="12"/>
  <c r="AB231" i="12"/>
  <c r="AB3186" i="12"/>
  <c r="AB2411" i="12"/>
  <c r="AB402" i="12"/>
  <c r="AB1441" i="12"/>
  <c r="AB3203" i="12"/>
  <c r="AB2696" i="12"/>
  <c r="AB3201" i="12"/>
  <c r="AB2687" i="12"/>
  <c r="AB479" i="12"/>
  <c r="AB2438" i="12"/>
  <c r="AB1431" i="12"/>
  <c r="AB1586" i="12"/>
  <c r="AB437" i="12"/>
  <c r="AB761" i="12"/>
  <c r="AB2618" i="12"/>
  <c r="AB180" i="12"/>
  <c r="AB726" i="12"/>
  <c r="AB2931" i="12"/>
  <c r="AB856" i="12"/>
  <c r="AB2329" i="12"/>
  <c r="AB950" i="12"/>
  <c r="AB1224" i="12"/>
  <c r="AB3168" i="12"/>
  <c r="AB2788" i="12"/>
  <c r="AB1844" i="12"/>
  <c r="AB544" i="12"/>
  <c r="AB2746" i="12"/>
  <c r="AB780" i="12"/>
  <c r="AB2776" i="12"/>
  <c r="AB2928" i="12"/>
  <c r="AB647" i="12"/>
  <c r="AB1242" i="12"/>
  <c r="AB2459" i="12"/>
  <c r="AB934" i="12"/>
  <c r="AB717" i="12"/>
  <c r="AB3149" i="12"/>
  <c r="AB2732" i="12"/>
  <c r="AB1404" i="12"/>
  <c r="AB2597" i="12"/>
  <c r="AB859" i="12"/>
  <c r="AB2236" i="12"/>
  <c r="AB1747" i="12"/>
  <c r="AB1121" i="12"/>
  <c r="AB2157" i="12"/>
  <c r="AB3181" i="12"/>
  <c r="AB2061" i="12"/>
  <c r="AB953" i="12"/>
  <c r="AB1213" i="12"/>
  <c r="AB1399" i="12"/>
  <c r="AB3274" i="12"/>
  <c r="AB3426" i="12"/>
  <c r="AB25" i="12"/>
  <c r="AB1618" i="12"/>
  <c r="AB515" i="12"/>
  <c r="AB1717" i="12"/>
  <c r="AB3313" i="12"/>
  <c r="AB519" i="12"/>
  <c r="AB2182" i="12"/>
  <c r="AB1050" i="12"/>
  <c r="AB2273" i="12"/>
  <c r="AB1673" i="12"/>
  <c r="AB3378" i="12"/>
  <c r="AB1069" i="12"/>
  <c r="AB3551" i="12"/>
  <c r="AB645" i="12"/>
  <c r="AB2011" i="12"/>
  <c r="AB1175" i="12"/>
  <c r="AB3095" i="12"/>
  <c r="AB3040" i="12"/>
  <c r="AB2777" i="12"/>
  <c r="AB43" i="12"/>
  <c r="AB2719" i="12"/>
  <c r="AB2104" i="12"/>
  <c r="AB1164" i="12"/>
  <c r="AB2583" i="12"/>
  <c r="AB2465" i="12"/>
  <c r="AB2921" i="12"/>
  <c r="AB1579" i="12"/>
  <c r="AB181" i="12"/>
  <c r="AB3070" i="12"/>
  <c r="AB764" i="12"/>
  <c r="AB1001" i="12"/>
  <c r="AB898" i="12"/>
  <c r="AB667" i="12"/>
  <c r="AB995" i="12"/>
  <c r="AB2200" i="12"/>
  <c r="AB144" i="12"/>
  <c r="AB738" i="12"/>
  <c r="AB3414" i="12"/>
  <c r="AB1676" i="12"/>
  <c r="AB1194" i="12"/>
  <c r="AB1556" i="12"/>
  <c r="AB3247" i="12"/>
  <c r="AB1999" i="12"/>
  <c r="AB3224" i="12"/>
  <c r="AB565" i="12"/>
  <c r="AB2532" i="12"/>
  <c r="AB125" i="12"/>
  <c r="AB2846" i="12"/>
  <c r="AB2623" i="12"/>
  <c r="AB996" i="12"/>
  <c r="AB395" i="12"/>
  <c r="AB1659" i="12"/>
  <c r="AB1217" i="12"/>
  <c r="AB3184" i="12"/>
  <c r="AB1810" i="12"/>
  <c r="AB809" i="12"/>
  <c r="AB3495" i="12"/>
  <c r="AB1472" i="12"/>
  <c r="AB1130" i="12"/>
  <c r="AB847" i="12"/>
  <c r="AB3478" i="12"/>
  <c r="AB3249" i="12"/>
  <c r="AB3206" i="12"/>
  <c r="AB318" i="12"/>
  <c r="AB518" i="12"/>
  <c r="AB1081" i="12"/>
  <c r="AB3458" i="12"/>
  <c r="AB2035" i="12"/>
  <c r="AB692" i="12"/>
  <c r="AB2311" i="12"/>
  <c r="AB751" i="12"/>
  <c r="AB2559" i="12"/>
  <c r="AB1492" i="12"/>
  <c r="AB3477" i="12"/>
  <c r="AB1206" i="12"/>
  <c r="AB233" i="12"/>
  <c r="AB2972" i="12"/>
  <c r="AB1998" i="12"/>
  <c r="AB3304" i="12"/>
  <c r="AB1139" i="12"/>
  <c r="AB2029" i="12"/>
  <c r="AB2337" i="12"/>
  <c r="AB3489" i="12"/>
  <c r="AB365" i="12"/>
  <c r="AB1904" i="12"/>
  <c r="AB2500" i="12"/>
  <c r="AB582" i="12"/>
  <c r="AB2740" i="12"/>
  <c r="AB3552" i="12"/>
  <c r="AB104" i="12"/>
  <c r="AB2572" i="12"/>
  <c r="AB2786" i="12"/>
  <c r="AB1595" i="12"/>
  <c r="AB2556" i="12"/>
  <c r="AB3155" i="12"/>
  <c r="AB946" i="12"/>
  <c r="AB278" i="12"/>
  <c r="AB3233" i="12"/>
  <c r="AB1980" i="12"/>
  <c r="AB446" i="12"/>
  <c r="AB2120" i="12"/>
  <c r="AB1498" i="12"/>
  <c r="AB3400" i="12"/>
  <c r="AB1243" i="12"/>
  <c r="AB2573" i="12"/>
  <c r="AB1750" i="12"/>
  <c r="AB3362" i="12"/>
  <c r="AB486" i="12"/>
  <c r="AB82" i="12"/>
  <c r="AB1642" i="12"/>
  <c r="AB2731" i="12"/>
  <c r="AB2864" i="12"/>
  <c r="AB2678" i="12"/>
  <c r="AB1473" i="12"/>
  <c r="AB1573" i="12"/>
  <c r="AB172" i="12"/>
  <c r="AB308" i="12"/>
  <c r="AB3340" i="12"/>
  <c r="AB3473" i="12"/>
  <c r="AB2211" i="12"/>
  <c r="AB1559" i="12"/>
  <c r="AB3188" i="12"/>
  <c r="AB1106" i="12"/>
  <c r="AB3523" i="12"/>
  <c r="AB2632" i="12"/>
  <c r="AB1564" i="12"/>
  <c r="AB2810" i="12"/>
  <c r="AB2956" i="12"/>
  <c r="AB3461" i="12"/>
  <c r="AB1753" i="12"/>
  <c r="AB3016" i="12"/>
  <c r="AB2451" i="12"/>
  <c r="AB2609" i="12"/>
  <c r="AB855" i="12"/>
  <c r="AB2166" i="12"/>
  <c r="AB433" i="12"/>
  <c r="AB3429" i="12"/>
  <c r="AB19" i="12"/>
  <c r="AB1738" i="12"/>
  <c r="AB3484" i="12"/>
  <c r="AB2146" i="12"/>
  <c r="AB2960" i="12"/>
  <c r="AB3134" i="12"/>
  <c r="AB1229" i="12"/>
  <c r="AB2497" i="12"/>
  <c r="AB1337" i="12"/>
  <c r="AB439" i="12"/>
  <c r="AB3225" i="12"/>
  <c r="AB362" i="12"/>
  <c r="AB420" i="12"/>
  <c r="AB524" i="12"/>
  <c r="AB3226" i="12"/>
  <c r="AB1863" i="12"/>
  <c r="AB817" i="12"/>
  <c r="AB767" i="12"/>
  <c r="AB1692" i="12"/>
  <c r="AB3271" i="12"/>
  <c r="AB2758" i="12"/>
  <c r="AB255" i="12"/>
  <c r="AB1286" i="12"/>
  <c r="AB1527" i="12"/>
  <c r="AB303" i="12"/>
  <c r="AB1414" i="12"/>
  <c r="AB3178" i="12"/>
  <c r="AB3528" i="12"/>
  <c r="AB1133" i="12"/>
  <c r="AB839" i="12"/>
  <c r="AB3252" i="12"/>
  <c r="AB948" i="12"/>
  <c r="AB2130" i="12"/>
  <c r="AB331" i="12"/>
  <c r="AB293" i="12"/>
  <c r="AB2292" i="12"/>
  <c r="AB1876" i="12"/>
  <c r="AB398" i="12"/>
  <c r="AB322" i="12"/>
  <c r="AB3261" i="12"/>
  <c r="AB2417" i="12"/>
  <c r="AB2612" i="12"/>
  <c r="AB1327" i="12"/>
  <c r="AB1424" i="12"/>
  <c r="AB2347" i="12"/>
  <c r="AB3199" i="12"/>
  <c r="AB1834" i="12"/>
  <c r="AB1207" i="12"/>
  <c r="AB1398" i="12"/>
  <c r="AB3332" i="12"/>
  <c r="AB279" i="12"/>
  <c r="AB875" i="12"/>
  <c r="AB1651" i="12"/>
  <c r="AB968" i="12"/>
  <c r="AB2538" i="12"/>
  <c r="AB971" i="12"/>
  <c r="AB1110" i="12"/>
  <c r="AB1072" i="12"/>
  <c r="AB648" i="12"/>
  <c r="AB2078" i="12"/>
  <c r="AB1646" i="12"/>
  <c r="AB1590" i="12"/>
  <c r="AB882" i="12"/>
  <c r="AB44" i="12"/>
  <c r="AB3301" i="12"/>
  <c r="AB1583" i="12"/>
  <c r="AB719" i="12"/>
  <c r="AB2870" i="12"/>
  <c r="AB354" i="12"/>
  <c r="AB668" i="12"/>
  <c r="AB3267" i="12"/>
  <c r="AB734" i="12"/>
  <c r="AB1609" i="12"/>
  <c r="AB2997" i="12"/>
  <c r="AB2649" i="12"/>
  <c r="AB3244" i="12"/>
  <c r="AB1417" i="12"/>
  <c r="AB2482" i="12"/>
  <c r="AB2367" i="12"/>
  <c r="AB2531" i="12"/>
  <c r="AB1633" i="12"/>
  <c r="AB201" i="12"/>
  <c r="AB883" i="12"/>
  <c r="AB1190" i="12"/>
  <c r="AB1551" i="12"/>
  <c r="AB708" i="12"/>
  <c r="AB865" i="12"/>
  <c r="AB3207" i="12"/>
  <c r="AB2994" i="12"/>
  <c r="AB1034" i="12"/>
  <c r="AB30" i="12"/>
  <c r="AB3197" i="12"/>
  <c r="AB3343" i="12"/>
  <c r="AB2134" i="12"/>
  <c r="AB783" i="12"/>
  <c r="AB3307" i="12"/>
  <c r="AB759" i="12"/>
  <c r="AB1315" i="12"/>
  <c r="AB2441" i="12"/>
  <c r="AB3042" i="12"/>
  <c r="AB1640" i="12"/>
  <c r="AB2238" i="12"/>
  <c r="AB650" i="12"/>
  <c r="AB1639" i="12"/>
  <c r="AB3279" i="12"/>
  <c r="AB908" i="12"/>
  <c r="AB3087" i="12"/>
  <c r="AB628" i="12"/>
  <c r="AB400" i="12"/>
  <c r="AB1394" i="12"/>
  <c r="AB1678" i="12"/>
  <c r="AB3057" i="12"/>
  <c r="AB2529" i="12"/>
  <c r="AB2831" i="12"/>
  <c r="AB1023" i="12"/>
  <c r="AB3510" i="12"/>
  <c r="AB2047" i="12"/>
  <c r="AB2376" i="12"/>
  <c r="AB2998" i="12"/>
  <c r="AB685" i="12"/>
  <c r="AB3468" i="12"/>
  <c r="AB862" i="12"/>
  <c r="AB3041" i="12"/>
  <c r="AB829" i="12"/>
  <c r="AB198" i="12"/>
  <c r="AB1957" i="12"/>
  <c r="AB2312" i="12"/>
  <c r="AB195" i="12"/>
  <c r="AB1082" i="12"/>
  <c r="AB2995" i="12"/>
  <c r="AB2868" i="12"/>
  <c r="AB2213" i="12"/>
  <c r="AB753" i="12"/>
  <c r="AB495" i="12"/>
  <c r="AB205" i="12"/>
  <c r="AB1825" i="12"/>
  <c r="AB636" i="12"/>
  <c r="AB2983" i="12"/>
  <c r="AB2215" i="12"/>
  <c r="AB2165" i="12"/>
  <c r="AB1392" i="12"/>
  <c r="AB819" i="12"/>
  <c r="AB952" i="12"/>
  <c r="AB2516" i="12"/>
  <c r="AB2833" i="12"/>
  <c r="AB348" i="12"/>
  <c r="AB1403" i="12"/>
  <c r="AB3116" i="12"/>
  <c r="AB1090" i="12"/>
  <c r="AB3278" i="12"/>
  <c r="AB63" i="12"/>
  <c r="AB3423" i="12"/>
  <c r="AB2494" i="12"/>
  <c r="AB1683" i="12"/>
  <c r="AB2415" i="12"/>
  <c r="AB2426" i="12"/>
  <c r="AB2322" i="12"/>
  <c r="AB289" i="12"/>
  <c r="AB307" i="12"/>
  <c r="AB2024" i="12"/>
  <c r="AB1372" i="12"/>
  <c r="AB3450" i="12"/>
  <c r="AB384" i="12"/>
  <c r="AB1748" i="12"/>
  <c r="AB1526" i="12"/>
  <c r="AB1846" i="12"/>
  <c r="AB2048" i="12"/>
  <c r="AB137" i="12"/>
  <c r="AB1128" i="12"/>
  <c r="AB2353" i="12"/>
  <c r="AB2941" i="12"/>
  <c r="AB60" i="12"/>
  <c r="AB1941" i="12"/>
  <c r="AB1179" i="12"/>
  <c r="AB3006" i="12"/>
  <c r="AB956" i="12"/>
  <c r="AB133" i="12"/>
  <c r="AB2147" i="12"/>
  <c r="AB1447" i="12"/>
  <c r="AB1800" i="12"/>
  <c r="AB1567" i="12"/>
  <c r="AB1716" i="12"/>
  <c r="AB512" i="12"/>
  <c r="AB1977" i="12"/>
  <c r="AB34" i="12"/>
  <c r="AB1096" i="12"/>
  <c r="AB1263" i="12"/>
  <c r="AB1593" i="12"/>
  <c r="AB1182" i="12"/>
  <c r="AB3439" i="12"/>
  <c r="AB2062" i="12"/>
  <c r="AB358" i="12"/>
  <c r="AB2856" i="12"/>
  <c r="AB1744" i="12"/>
  <c r="AB890" i="12"/>
  <c r="AB1132" i="12"/>
  <c r="AB2721" i="12"/>
  <c r="AB887" i="12"/>
  <c r="AB2594" i="12"/>
  <c r="AB3014" i="12"/>
  <c r="AB3182" i="12"/>
  <c r="AB3411" i="12"/>
  <c r="AB634" i="12"/>
  <c r="AB3493" i="12"/>
  <c r="AB3058" i="12"/>
  <c r="AB992" i="12"/>
  <c r="AB2566" i="12"/>
  <c r="AB407" i="12"/>
  <c r="AB2760" i="12"/>
  <c r="AB540" i="12"/>
  <c r="AB404" i="12"/>
  <c r="AB150" i="12"/>
  <c r="AB1369" i="12"/>
  <c r="AB2626" i="12"/>
  <c r="AB351" i="12"/>
  <c r="AB1608" i="12"/>
  <c r="AB3522" i="12"/>
  <c r="AB1905" i="12"/>
  <c r="AB618" i="12"/>
  <c r="AB2261" i="12"/>
  <c r="AB2340" i="12"/>
  <c r="AB920" i="12"/>
  <c r="AB750" i="12"/>
  <c r="AB417" i="12"/>
  <c r="AB3089" i="12"/>
  <c r="AB792" i="12"/>
  <c r="AB689" i="12"/>
  <c r="AB771" i="12"/>
  <c r="AB3113" i="12"/>
  <c r="AB2654" i="12"/>
  <c r="AB499" i="12"/>
  <c r="AB1806" i="12"/>
  <c r="AB2118" i="12"/>
  <c r="AB1471" i="12"/>
  <c r="AB465" i="12"/>
  <c r="AB731" i="12"/>
  <c r="AB814" i="12"/>
  <c r="AB3315" i="12"/>
  <c r="AB3469" i="12"/>
  <c r="AB2827" i="12"/>
  <c r="AB3148" i="12"/>
  <c r="AB260" i="12"/>
  <c r="AB1772" i="12"/>
  <c r="AB1797" i="12"/>
  <c r="AB296" i="12"/>
  <c r="AB838" i="12"/>
  <c r="AB1610" i="12"/>
  <c r="AB1330" i="12"/>
  <c r="AB2692" i="12"/>
  <c r="AB625" i="12"/>
  <c r="AB2986" i="12"/>
  <c r="AB2141" i="12"/>
  <c r="AB2523" i="12"/>
  <c r="AB2854" i="12"/>
  <c r="AB461" i="12"/>
  <c r="AB1762" i="12"/>
  <c r="AB1247" i="12"/>
  <c r="AB2326" i="12"/>
  <c r="AB167" i="12"/>
  <c r="AB2996" i="12"/>
  <c r="AB3297" i="12"/>
  <c r="AB3367" i="12"/>
  <c r="AB455" i="12"/>
  <c r="AB1701" i="12"/>
  <c r="AB895" i="12"/>
  <c r="AB2279" i="12"/>
  <c r="AB473" i="12"/>
  <c r="AB1435" i="12"/>
  <c r="AB816" i="12"/>
  <c r="AB3190" i="12"/>
  <c r="AB1076" i="12"/>
  <c r="AB2633" i="12"/>
  <c r="AB3305" i="12"/>
  <c r="AB3376" i="12"/>
  <c r="AB3482" i="12"/>
  <c r="AB152" i="12"/>
  <c r="AB2231" i="12"/>
  <c r="AB581" i="12"/>
  <c r="AB2308" i="12"/>
  <c r="AB3334" i="12"/>
  <c r="AB1708" i="12"/>
  <c r="AB2655" i="12"/>
  <c r="AB106" i="12"/>
  <c r="AB623" i="12"/>
  <c r="AB1221" i="12"/>
  <c r="AB631" i="12"/>
  <c r="AB79" i="12"/>
  <c r="AB1760" i="12"/>
  <c r="AB1885" i="12"/>
  <c r="AB1916" i="12"/>
  <c r="AB72" i="12"/>
  <c r="AB1109" i="12"/>
  <c r="AB3069" i="12"/>
  <c r="AB253" i="12"/>
  <c r="AB2699" i="12"/>
  <c r="AB904" i="12"/>
  <c r="AB436" i="12"/>
  <c r="AB1153" i="12"/>
  <c r="AB3480" i="12"/>
  <c r="AB1317" i="12"/>
  <c r="AB2189" i="12"/>
  <c r="AB317" i="12"/>
  <c r="AB3358" i="12"/>
  <c r="AB735" i="12"/>
  <c r="AB1168" i="12"/>
  <c r="AB1751" i="12"/>
  <c r="AB1378" i="12"/>
  <c r="AB2156" i="12"/>
  <c r="AB2109" i="12"/>
  <c r="AB889" i="12"/>
  <c r="AB276" i="12"/>
  <c r="AB2877" i="12"/>
  <c r="AB2317" i="12"/>
  <c r="AB444" i="12"/>
  <c r="AB1499" i="12"/>
  <c r="AB1987" i="12"/>
  <c r="AB1402" i="12"/>
  <c r="AB1052" i="12"/>
  <c r="AB2412" i="12"/>
  <c r="AB3346" i="12"/>
  <c r="AB2076" i="12"/>
  <c r="AB776" i="12"/>
  <c r="AB1735" i="12"/>
  <c r="AB2694" i="12"/>
  <c r="AB3479" i="12"/>
  <c r="AB46" i="12"/>
  <c r="AB2318" i="12"/>
  <c r="AB610" i="12"/>
  <c r="AB2967" i="12"/>
  <c r="AB1250" i="12"/>
  <c r="AB2625" i="12"/>
  <c r="AB1027" i="12"/>
  <c r="AB2540" i="12"/>
  <c r="AB394" i="12"/>
  <c r="AB1127" i="12"/>
  <c r="AB3355" i="12"/>
  <c r="AB1036" i="12"/>
  <c r="AB530" i="12"/>
  <c r="AB1183" i="12"/>
  <c r="AB694" i="12"/>
  <c r="AB873" i="12"/>
  <c r="AB657" i="12"/>
  <c r="AB2700" i="12"/>
  <c r="AB244" i="12"/>
  <c r="AB932" i="12"/>
  <c r="AB2479" i="12"/>
  <c r="AB1214" i="12"/>
  <c r="AB1323" i="12"/>
  <c r="AB250" i="12"/>
  <c r="AB349" i="12"/>
  <c r="AB1449" i="12"/>
  <c r="AB936" i="12"/>
  <c r="AB2017" i="12"/>
  <c r="AB894" i="12"/>
  <c r="AB1809" i="12"/>
  <c r="AB854" i="12"/>
  <c r="AB2255" i="12"/>
  <c r="AB2332" i="12"/>
  <c r="AB1955" i="12"/>
  <c r="AB2682" i="12"/>
  <c r="AB3238" i="12"/>
  <c r="AB2391" i="12"/>
  <c r="AB551" i="12"/>
  <c r="AB927" i="12"/>
  <c r="AB687" i="12"/>
  <c r="AB1786" i="12"/>
  <c r="AB896" i="12"/>
  <c r="AB2343" i="12"/>
  <c r="AB119" i="12"/>
  <c r="AB2086" i="12"/>
  <c r="AB670" i="12"/>
  <c r="AB1055" i="12"/>
  <c r="AB2669" i="12"/>
  <c r="AB1405" i="12"/>
  <c r="AB414" i="12"/>
  <c r="AB3277" i="12"/>
  <c r="AB3515" i="12"/>
  <c r="AB139" i="12"/>
  <c r="AB2817" i="12"/>
  <c r="AB899" i="12"/>
  <c r="AB2192" i="12"/>
  <c r="AB337" i="12"/>
  <c r="AB1624" i="12"/>
  <c r="AB1781" i="12"/>
  <c r="AB160" i="12"/>
  <c r="AB3098" i="12"/>
  <c r="AB2132" i="12"/>
  <c r="AB2767" i="12"/>
  <c r="AB462" i="12"/>
  <c r="AB1694" i="12"/>
  <c r="AB2307" i="12"/>
  <c r="AB2264" i="12"/>
  <c r="AB2305" i="12"/>
  <c r="AB532" i="12"/>
  <c r="AB2940" i="12"/>
  <c r="AB2398" i="12"/>
  <c r="AB3387" i="12"/>
  <c r="AB117" i="12"/>
  <c r="AB2957" i="12"/>
  <c r="AB805" i="12"/>
  <c r="AB2178" i="12"/>
  <c r="AB827" i="12"/>
  <c r="AB1613" i="12"/>
  <c r="AB2158" i="12"/>
  <c r="AB1865" i="12"/>
  <c r="AB1400" i="12"/>
  <c r="AB2235" i="12"/>
  <c r="AB3255" i="12"/>
  <c r="AB383" i="12"/>
  <c r="AB782" i="12"/>
  <c r="AB513" i="12"/>
  <c r="AB1840" i="12"/>
  <c r="AB1341" i="12"/>
  <c r="AB2752" i="12"/>
  <c r="AB3485" i="12"/>
  <c r="AB2905" i="12"/>
  <c r="AB868" i="12"/>
  <c r="AB2288" i="12"/>
  <c r="AB2917" i="12"/>
  <c r="AB2262" i="12"/>
  <c r="AB3284" i="12"/>
  <c r="AB2457" i="12"/>
  <c r="AB3214" i="12"/>
  <c r="AB3234" i="12"/>
  <c r="AB572" i="12"/>
  <c r="AB1715" i="12"/>
  <c r="AB730" i="12"/>
  <c r="AB2031" i="12"/>
  <c r="AB2797" i="12"/>
  <c r="AB2330" i="12"/>
  <c r="AB3053" i="12"/>
  <c r="AB1143" i="12"/>
  <c r="AB421" i="12"/>
  <c r="AB2620" i="12"/>
  <c r="AB915" i="12"/>
  <c r="AB2622" i="12"/>
  <c r="AB2714" i="12"/>
  <c r="AB1137" i="12"/>
  <c r="AB800" i="12"/>
  <c r="AB1695" i="12"/>
  <c r="AB2295" i="12"/>
  <c r="AB2703" i="12"/>
  <c r="AB1434" i="12"/>
  <c r="AB918" i="12"/>
  <c r="AB410" i="12"/>
  <c r="AB677" i="12"/>
  <c r="AB2274" i="12"/>
  <c r="AB1855" i="12"/>
  <c r="AB1794" i="12"/>
  <c r="AB1505" i="12"/>
  <c r="AB553" i="12"/>
  <c r="AB1906" i="12"/>
  <c r="AB3545" i="12"/>
  <c r="AB3404" i="12"/>
  <c r="AB3193" i="12"/>
  <c r="AB2243" i="12"/>
  <c r="AB1688" i="12"/>
  <c r="AB3128" i="12"/>
  <c r="AB1790" i="12"/>
  <c r="AB116" i="12"/>
  <c r="AB3119" i="12"/>
  <c r="AB1049" i="12"/>
  <c r="AB2935" i="12"/>
  <c r="AB470" i="12"/>
  <c r="AB2961" i="12"/>
  <c r="AB3459" i="12"/>
  <c r="AB90" i="12"/>
  <c r="AB1820" i="12"/>
  <c r="AB960" i="12"/>
  <c r="AB2142" i="12"/>
  <c r="AB96" i="12"/>
  <c r="AB2019" i="12"/>
  <c r="AB210" i="12"/>
  <c r="AB80" i="12"/>
  <c r="AB1907" i="12"/>
  <c r="AB2430" i="12"/>
  <c r="AB1487" i="12"/>
  <c r="AB2971" i="12"/>
  <c r="AB1079" i="12"/>
  <c r="AB291" i="12"/>
  <c r="AB363" i="12"/>
  <c r="AB1565" i="12"/>
  <c r="AB1524" i="12"/>
  <c r="AB3506" i="12"/>
  <c r="AB2443" i="12"/>
  <c r="AB1461" i="12"/>
  <c r="AB3444" i="12"/>
  <c r="AB796" i="12"/>
  <c r="AB1456" i="12"/>
  <c r="AB2422" i="12"/>
  <c r="AB559" i="12"/>
  <c r="AB2420" i="12"/>
  <c r="AB1314" i="12"/>
  <c r="AB1156" i="12"/>
  <c r="AB428" i="12"/>
  <c r="AB2237" i="12"/>
  <c r="AB3516" i="12"/>
  <c r="AB3059" i="12"/>
  <c r="AB2535" i="12"/>
  <c r="AB487" i="12"/>
  <c r="AB3529" i="12"/>
  <c r="AB2232" i="12"/>
  <c r="AB1671" i="12"/>
  <c r="AB3403" i="12"/>
  <c r="AB906" i="12"/>
  <c r="AB53" i="12"/>
  <c r="AB728" i="12"/>
  <c r="AB2250" i="12"/>
  <c r="AB2860" i="12"/>
  <c r="AB621" i="12"/>
  <c r="AB1184" i="12"/>
  <c r="AB1043" i="12"/>
  <c r="AB2161" i="12"/>
  <c r="AB1734" i="12"/>
  <c r="AB2934" i="12"/>
  <c r="AB1289" i="12"/>
  <c r="AB1819" i="12"/>
  <c r="AB1125" i="12"/>
  <c r="AB234" i="12"/>
  <c r="AB2060" i="12"/>
  <c r="AB3121" i="12"/>
  <c r="AB1562" i="12"/>
  <c r="AB2601" i="12"/>
  <c r="AB703" i="12"/>
  <c r="AB3505" i="12"/>
  <c r="AB696" i="12"/>
  <c r="AB3520" i="12"/>
  <c r="AB2980" i="12"/>
  <c r="AB3094" i="12"/>
  <c r="AB1266" i="12"/>
  <c r="AB1140" i="12"/>
  <c r="AB2393" i="12"/>
  <c r="AB2085" i="12"/>
  <c r="AB2652" i="12"/>
  <c r="AB1453" i="12"/>
  <c r="AB2071" i="12"/>
  <c r="AB284" i="12"/>
  <c r="AB1056" i="12"/>
  <c r="AB463" i="12"/>
  <c r="AB2121" i="12"/>
  <c r="AB1690" i="12"/>
  <c r="AB2919" i="12"/>
  <c r="AB3187" i="12"/>
  <c r="AB1108" i="12"/>
  <c r="AB2729" i="12"/>
  <c r="AB2115" i="12"/>
  <c r="AB2278" i="12"/>
  <c r="AB3205" i="12"/>
  <c r="AB3539" i="12"/>
  <c r="AB3335" i="12"/>
  <c r="AB1749" i="12"/>
  <c r="AB1787" i="12"/>
  <c r="AB2221" i="12"/>
  <c r="AB2608" i="12"/>
  <c r="AB3541" i="12"/>
  <c r="AB907" i="12"/>
  <c r="AB3055" i="12"/>
  <c r="AB2519" i="12"/>
  <c r="AB555" i="12"/>
  <c r="AB2944" i="12"/>
  <c r="AB2032" i="12"/>
  <c r="AB2862" i="12"/>
  <c r="AB3454" i="12"/>
  <c r="AB1584" i="12"/>
  <c r="AB2587" i="12"/>
  <c r="AB2325" i="12"/>
  <c r="AB2310" i="12"/>
  <c r="AB3163" i="12"/>
  <c r="AB368" i="12"/>
  <c r="AB1792" i="12"/>
  <c r="AB788" i="12"/>
  <c r="AB901" i="12"/>
  <c r="AB1815" i="12"/>
  <c r="AB478" i="12"/>
  <c r="AB1165" i="12"/>
  <c r="AB2194" i="12"/>
  <c r="AB1858" i="12"/>
  <c r="AB1788" i="12"/>
  <c r="AB521" i="12"/>
  <c r="AB617" i="12"/>
  <c r="AB606" i="12"/>
  <c r="AB454" i="12"/>
  <c r="AB1208" i="12"/>
  <c r="AB1349" i="12"/>
  <c r="AB1832" i="12"/>
  <c r="AB2455" i="12"/>
  <c r="AB542" i="12"/>
  <c r="AB1704" i="12"/>
  <c r="AB2824" i="12"/>
  <c r="AB3078" i="12"/>
  <c r="AB2793" i="12"/>
  <c r="AB1340" i="12"/>
  <c r="AB2356" i="12"/>
  <c r="AB435" i="12"/>
  <c r="AB3218" i="12"/>
  <c r="AB3167" i="12"/>
  <c r="AB1677" i="12"/>
  <c r="AB165" i="12"/>
  <c r="AB312" i="12"/>
  <c r="AB2045" i="12"/>
  <c r="AB3486" i="12"/>
  <c r="AB1796" i="12"/>
  <c r="AB1481" i="12"/>
  <c r="AB3109" i="12"/>
  <c r="AB691" i="12"/>
  <c r="AB1490" i="12"/>
  <c r="AB3288" i="12"/>
  <c r="AB2339" i="12"/>
  <c r="AB328" i="12"/>
  <c r="AB1202" i="12"/>
  <c r="AB746" i="12"/>
  <c r="AB2373" i="12"/>
  <c r="AB1234" i="12"/>
  <c r="AB488" i="12"/>
  <c r="AB2681" i="12"/>
  <c r="AB68" i="12"/>
  <c r="AB1548" i="12"/>
  <c r="AB1324" i="12"/>
  <c r="AB2933" i="12"/>
  <c r="AB1510" i="12"/>
  <c r="AB864" i="12"/>
  <c r="AB114" i="12"/>
  <c r="AB1476" i="12"/>
  <c r="AB1808" i="12"/>
  <c r="AB2635" i="12"/>
  <c r="AB2101" i="12"/>
  <c r="AB986" i="12"/>
  <c r="AB2037" i="12"/>
  <c r="AB1703" i="12"/>
  <c r="AB1528" i="12"/>
  <c r="AB2135" i="12"/>
  <c r="AB3437" i="12"/>
  <c r="AB207" i="12"/>
  <c r="AB229" i="12"/>
  <c r="AB1364" i="12"/>
  <c r="AB1032" i="12"/>
  <c r="AB741" i="12"/>
  <c r="AB2564" i="12"/>
  <c r="AB2569" i="12"/>
  <c r="AB931" i="12"/>
  <c r="AB2544" i="12"/>
  <c r="AB498" i="12"/>
  <c r="AB1516" i="12"/>
  <c r="AB957" i="12"/>
  <c r="AB2386" i="12"/>
  <c r="AB2639" i="12"/>
  <c r="AB2930" i="12"/>
  <c r="AB2306" i="12"/>
  <c r="AB1311" i="12"/>
  <c r="AB3453" i="12"/>
  <c r="AB1578" i="12"/>
  <c r="AB2425" i="12"/>
  <c r="AB2217" i="12"/>
  <c r="AB3341" i="12"/>
  <c r="AB2077" i="12"/>
  <c r="AB702" i="12"/>
  <c r="AB1766" i="12"/>
  <c r="AB2270" i="12"/>
  <c r="AB835" i="12"/>
  <c r="AB2456" i="12"/>
  <c r="AB3419" i="12"/>
  <c r="AB1350" i="12"/>
  <c r="AB1938" i="12"/>
  <c r="AB2849" i="12"/>
  <c r="AB638" i="12"/>
  <c r="AB2621" i="12"/>
  <c r="AB2628" i="12"/>
  <c r="AB3281" i="12"/>
  <c r="AB2333" i="12"/>
  <c r="AB1083" i="12"/>
  <c r="AB916" i="12"/>
  <c r="AB2796" i="12"/>
  <c r="AB2580" i="12"/>
  <c r="AB215" i="12"/>
  <c r="AB1037" i="12"/>
  <c r="AB2331" i="12"/>
  <c r="AB770" i="12"/>
  <c r="AB3039" i="12"/>
  <c r="AB3525" i="12"/>
  <c r="AB1195" i="12"/>
  <c r="AB2401" i="12"/>
  <c r="AB2629" i="12"/>
  <c r="AB2765" i="12"/>
  <c r="AB2315" i="12"/>
  <c r="AB1020" i="12"/>
  <c r="AB2702" i="12"/>
  <c r="AB1711" i="12"/>
  <c r="AB450" i="12"/>
  <c r="AB2657" i="12"/>
  <c r="AB2188" i="12"/>
  <c r="AB189" i="12"/>
  <c r="AB2272" i="12"/>
  <c r="AB2539" i="12"/>
  <c r="AB1991" i="12"/>
  <c r="AB2706" i="12"/>
  <c r="AB3146" i="12"/>
  <c r="AB1068" i="12"/>
  <c r="AB332" i="12"/>
  <c r="AB1954" i="12"/>
  <c r="AB2557" i="12"/>
  <c r="AB423" i="12"/>
  <c r="AB323" i="12"/>
  <c r="AB2183" i="12"/>
  <c r="AB701" i="12"/>
  <c r="AB3060" i="12"/>
  <c r="AB2984" i="12"/>
  <c r="AB758" i="12"/>
  <c r="AB823" i="12"/>
  <c r="AB2063" i="12"/>
  <c r="AB919" i="12"/>
  <c r="AB2717" i="12"/>
  <c r="AB3166" i="12"/>
  <c r="AB138" i="12"/>
  <c r="AB2739" i="12"/>
  <c r="AB182" i="12"/>
  <c r="AB251" i="12"/>
  <c r="AB2668" i="12"/>
  <c r="AB3285" i="12"/>
  <c r="AB1675" i="12"/>
  <c r="AB2460" i="12"/>
  <c r="AB3296" i="12"/>
  <c r="AB336" i="12"/>
  <c r="AB1627" i="12"/>
  <c r="AB3280" i="12"/>
  <c r="AB1262" i="12"/>
  <c r="AB3538" i="12"/>
  <c r="AB768" i="12"/>
  <c r="AB1899" i="12"/>
  <c r="AB1654" i="12"/>
  <c r="AB1064" i="12"/>
  <c r="AB1686" i="12"/>
  <c r="AB2884" i="12"/>
  <c r="AB2662" i="12"/>
  <c r="AB1002" i="12"/>
  <c r="AB3151" i="12"/>
  <c r="AB1223" i="12"/>
  <c r="AB3547" i="12"/>
  <c r="AB197" i="12"/>
  <c r="AB2042" i="12"/>
  <c r="AB688" i="12"/>
  <c r="AB1533" i="12"/>
  <c r="AB1073" i="12"/>
  <c r="AB3237" i="12"/>
  <c r="AB1439" i="12"/>
  <c r="AB65" i="12"/>
  <c r="AB1558" i="12"/>
  <c r="AB151" i="12"/>
  <c r="AB3213" i="12"/>
  <c r="AB1200" i="12"/>
  <c r="AB2923" i="12"/>
  <c r="AB3245" i="12"/>
  <c r="AB633" i="12"/>
  <c r="AB1177" i="12"/>
  <c r="AB438" i="12"/>
  <c r="AB460" i="12"/>
  <c r="AB1006" i="12"/>
  <c r="AB577" i="12"/>
  <c r="AB874" i="12"/>
  <c r="AB2584" i="12"/>
  <c r="AB359" i="12"/>
  <c r="AB3496" i="12"/>
  <c r="AB2444" i="12"/>
  <c r="AB1994" i="12"/>
  <c r="AB1367" i="12"/>
  <c r="AB3209" i="12"/>
  <c r="AB797" i="12"/>
  <c r="AB1298" i="12"/>
  <c r="AB955" i="12"/>
  <c r="AB3543" i="12"/>
  <c r="AB222" i="12"/>
  <c r="AB2536" i="12"/>
  <c r="AB1862" i="12"/>
  <c r="AB860" i="12"/>
  <c r="AB2800" i="12"/>
  <c r="AB2674" i="12"/>
  <c r="AB2122" i="12"/>
  <c r="AB3397" i="12"/>
  <c r="AB1575" i="12"/>
  <c r="AB3294" i="12"/>
  <c r="AB2385" i="12"/>
  <c r="AB1501" i="12"/>
  <c r="AB1666" i="12"/>
  <c r="AB2784" i="12"/>
  <c r="AB1373" i="12"/>
  <c r="AB1836" i="12"/>
  <c r="AB1480" i="12"/>
  <c r="AB3174" i="12"/>
  <c r="AB2955" i="12"/>
  <c r="AB2975" i="12"/>
  <c r="AB1970" i="12"/>
  <c r="AB2689" i="12"/>
  <c r="AB720" i="12"/>
  <c r="AB979" i="12"/>
  <c r="AB2496" i="12"/>
  <c r="AB1257" i="12"/>
  <c r="AB2374" i="12"/>
  <c r="AB891" i="12"/>
  <c r="AB1868" i="12"/>
  <c r="AB347" i="12"/>
  <c r="AB1829" i="12"/>
  <c r="AB594" i="12"/>
  <c r="AB681" i="12"/>
  <c r="AB3345" i="12"/>
  <c r="AB1305" i="12"/>
  <c r="AB1926" i="12"/>
  <c r="AB3312" i="12"/>
  <c r="AB777" i="12"/>
  <c r="AB1845" i="12"/>
  <c r="AB3424" i="12"/>
  <c r="AB665" i="12"/>
  <c r="AB3311" i="12"/>
  <c r="AB2362" i="12"/>
  <c r="AB2179" i="12"/>
  <c r="AB1603" i="12"/>
  <c r="AB225" i="12"/>
  <c r="AB1537" i="12"/>
  <c r="AB1615" i="12"/>
  <c r="AB86" i="12"/>
  <c r="AB2005" i="12"/>
  <c r="AB2090" i="12"/>
  <c r="AB1968" i="12"/>
  <c r="AB3071" i="12"/>
  <c r="AB2043" i="12"/>
  <c r="AB1604" i="12"/>
  <c r="AB3509" i="12"/>
  <c r="AB1347" i="12"/>
  <c r="AB2371" i="12"/>
  <c r="AB3327" i="12"/>
  <c r="AB3416" i="12"/>
  <c r="AB3549" i="12"/>
  <c r="AB146" i="12"/>
  <c r="AB3007" i="12"/>
  <c r="AB2320" i="12"/>
  <c r="AB3101" i="12"/>
  <c r="AB2554" i="12"/>
  <c r="AB3544" i="12"/>
  <c r="AB2298" i="12"/>
  <c r="AB2952" i="12"/>
  <c r="AB1914" i="12"/>
  <c r="AB1656" i="12"/>
  <c r="AB2524" i="12"/>
  <c r="AB812" i="12"/>
  <c r="AB831" i="12"/>
  <c r="AB2435" i="12"/>
  <c r="AB2439" i="12"/>
  <c r="AB2304" i="12"/>
  <c r="AB1181" i="12"/>
  <c r="AB3211" i="12"/>
  <c r="AB1065" i="12"/>
  <c r="AB3273" i="12"/>
  <c r="AB2281" i="12"/>
  <c r="AB399" i="12"/>
  <c r="AB2125" i="12"/>
  <c r="AB142" i="12"/>
  <c r="AB2503" i="12"/>
  <c r="AB1040" i="12"/>
  <c r="AB589" i="12"/>
  <c r="AB2513" i="12"/>
  <c r="AB2429" i="12"/>
  <c r="AB3264" i="12"/>
  <c r="AB2548" i="12"/>
  <c r="AB3216" i="12"/>
  <c r="AB1616" i="12"/>
  <c r="AB2392" i="12"/>
  <c r="AB2136" i="12"/>
  <c r="AB386" i="12"/>
  <c r="AB852" i="12"/>
  <c r="AB2748" i="12"/>
  <c r="AB403" i="12"/>
  <c r="AB564" i="12"/>
  <c r="AB2447" i="12"/>
  <c r="AB2607" i="12"/>
  <c r="AB24" i="12"/>
  <c r="AB500" i="12"/>
  <c r="AB2013" i="12"/>
  <c r="AB3208" i="12"/>
  <c r="AB1423" i="12"/>
  <c r="AB3530" i="12"/>
  <c r="AB888" i="12"/>
  <c r="AB26" i="12"/>
  <c r="AB1948" i="12"/>
  <c r="AB1071" i="12"/>
  <c r="AB2505" i="12"/>
  <c r="AB2807" i="12"/>
  <c r="AB2585" i="12"/>
  <c r="AB1150" i="12"/>
  <c r="AB1993" i="12"/>
  <c r="AB2346" i="12"/>
  <c r="AB1004" i="12"/>
  <c r="AB2123" i="12"/>
  <c r="AB1679" i="12"/>
  <c r="AB663" i="12"/>
  <c r="AB1881" i="12"/>
  <c r="AB1535" i="12"/>
  <c r="AB2664" i="12"/>
  <c r="AB468" i="12"/>
  <c r="AB2545" i="12"/>
  <c r="AB653" i="12"/>
  <c r="AB369" i="12"/>
  <c r="AB549" i="12"/>
  <c r="AB1680" i="12"/>
  <c r="AB1947" i="12"/>
  <c r="AB380" i="12"/>
  <c r="AB1940" i="12"/>
  <c r="AB543" i="12"/>
  <c r="AB3024" i="12"/>
  <c r="AB1005" i="12"/>
  <c r="AB2095" i="12"/>
  <c r="AB3527" i="12"/>
  <c r="AB304" i="12"/>
  <c r="AB1231" i="12"/>
  <c r="AB2407" i="12"/>
  <c r="AB324" i="12"/>
  <c r="AB23" i="12"/>
  <c r="AB1219" i="12"/>
  <c r="AB3195" i="12"/>
  <c r="AB3320" i="12"/>
  <c r="AB371" i="12"/>
  <c r="AB527" i="12"/>
  <c r="AB928" i="12"/>
  <c r="AB574" i="12"/>
  <c r="AB329" i="12"/>
  <c r="AB2377" i="12"/>
  <c r="AB1344" i="12"/>
  <c r="AB2728" i="12"/>
  <c r="AB2009" i="12"/>
  <c r="AB3221" i="12"/>
  <c r="AB2378" i="12"/>
  <c r="AB179" i="12"/>
  <c r="AB2107" i="12"/>
  <c r="AB897" i="12"/>
  <c r="AB978" i="12"/>
  <c r="AB3011" i="12"/>
  <c r="AB101" i="12"/>
  <c r="AB153" i="12"/>
  <c r="AB1902" i="12"/>
  <c r="AB2424" i="12"/>
  <c r="AB1873" i="12"/>
  <c r="AB148" i="12"/>
  <c r="AB1180" i="12"/>
  <c r="AB280" i="12"/>
  <c r="AB128" i="12"/>
  <c r="AB3300" i="12"/>
  <c r="AB3239" i="12"/>
  <c r="AB1477" i="12"/>
  <c r="AB523" i="12"/>
  <c r="AB3111" i="12"/>
  <c r="AB1273" i="12"/>
  <c r="AB3492" i="12"/>
  <c r="AB1588" i="12"/>
  <c r="AB1245" i="12"/>
  <c r="AB1051" i="12"/>
  <c r="AB1415" i="12"/>
  <c r="AB2937" i="12"/>
  <c r="AB192" i="12"/>
  <c r="AB3535" i="12"/>
  <c r="AB1837" i="12"/>
  <c r="AB3438" i="12"/>
  <c r="AB626" i="12"/>
  <c r="AB168" i="12"/>
  <c r="AB923" i="12"/>
  <c r="AB2169" i="12"/>
  <c r="AB193" i="12"/>
  <c r="AB2379" i="12"/>
  <c r="AB3494" i="12"/>
  <c r="AB1075" i="12"/>
  <c r="AB2619" i="12"/>
  <c r="AB3131" i="12"/>
  <c r="AB3295" i="12"/>
  <c r="AB1306" i="12"/>
  <c r="AB1534" i="12"/>
  <c r="AB3133" i="12"/>
  <c r="AB2154" i="12"/>
  <c r="AB879" i="12"/>
  <c r="AB1682" i="12"/>
  <c r="AB2406" i="12"/>
  <c r="AB1375" i="12"/>
  <c r="AB2586" i="12"/>
  <c r="AB3342" i="12"/>
  <c r="AB3375" i="12"/>
  <c r="AB274" i="12"/>
  <c r="AB1911" i="12"/>
  <c r="AB1370" i="12"/>
  <c r="AB1934" i="12"/>
  <c r="AB1024" i="12"/>
  <c r="AB1723" i="12"/>
  <c r="AB2220" i="12"/>
  <c r="AB2711" i="12"/>
  <c r="AB1828" i="12"/>
  <c r="AB505" i="12"/>
  <c r="AB300" i="12"/>
  <c r="AB1444" i="12"/>
  <c r="AB118" i="12"/>
  <c r="AB1784" i="12"/>
  <c r="AB3056" i="12"/>
  <c r="AB3159" i="12"/>
  <c r="AB1331" i="12"/>
  <c r="AB1979" i="12"/>
  <c r="AB935" i="12"/>
  <c r="AB2131" i="12"/>
  <c r="AB1030" i="12"/>
  <c r="AB1822" i="12"/>
  <c r="AB1059" i="12"/>
  <c r="AB389" i="12"/>
  <c r="AB3425" i="12"/>
  <c r="AB3420" i="12"/>
  <c r="AB3242" i="12"/>
  <c r="AB391" i="12"/>
  <c r="AB335" i="12"/>
  <c r="AB1303" i="12"/>
  <c r="AB844" i="12"/>
  <c r="AB1697" i="12"/>
  <c r="AB1724" i="12"/>
  <c r="AB1521" i="12"/>
  <c r="AB580" i="12"/>
  <c r="AB1320" i="12"/>
  <c r="AB2843" i="12"/>
  <c r="AB2334" i="12"/>
  <c r="AB1098" i="12"/>
  <c r="AB2857" i="12"/>
  <c r="AB1893" i="12"/>
  <c r="AB1560" i="12"/>
  <c r="AB857" i="12"/>
  <c r="AB2222" i="12"/>
  <c r="AB413" i="12"/>
  <c r="AB1745" i="12"/>
  <c r="AB810" i="12"/>
  <c r="AB302" i="12"/>
  <c r="AB2014" i="12"/>
  <c r="AB1319" i="12"/>
  <c r="AB2501" i="12"/>
  <c r="AB1134" i="12"/>
  <c r="AB1395" i="12"/>
  <c r="AB2162" i="12"/>
  <c r="AB790" i="12"/>
  <c r="AB1985" i="12"/>
  <c r="AB660" i="12"/>
  <c r="AB1045" i="12"/>
  <c r="AB74" i="12"/>
  <c r="AB482" i="12"/>
  <c r="AB334" i="12"/>
  <c r="AB1112" i="12"/>
  <c r="AB3290" i="12"/>
  <c r="AB2069" i="12"/>
  <c r="AB3152" i="12"/>
  <c r="AB2487" i="12"/>
  <c r="AB2551" i="12"/>
  <c r="AB77" i="12"/>
  <c r="AB1244" i="12"/>
  <c r="AB949" i="12"/>
  <c r="AB2517" i="12"/>
  <c r="AB1856" i="12"/>
  <c r="AB590" i="12"/>
  <c r="AB2196" i="12"/>
  <c r="AB1752" i="12"/>
  <c r="AB248" i="12"/>
  <c r="AB489" i="12"/>
  <c r="AB374" i="12"/>
  <c r="AB1582" i="12"/>
  <c r="AB2253" i="12"/>
  <c r="AB267" i="12"/>
  <c r="AB1597" i="12"/>
  <c r="AB477" i="12"/>
  <c r="AB208" i="12"/>
  <c r="AB1287" i="12"/>
  <c r="AB1155" i="12"/>
  <c r="AB722" i="12"/>
  <c r="AB3349" i="12"/>
  <c r="AB2660" i="12"/>
  <c r="AB791" i="12"/>
  <c r="AB1571" i="12"/>
  <c r="AB3533" i="12"/>
  <c r="AB1767" i="12"/>
  <c r="AB1922" i="12"/>
  <c r="AB1710" i="12"/>
  <c r="AB849" i="12"/>
  <c r="AB2289" i="12"/>
  <c r="AB2738" i="12"/>
  <c r="AB1601" i="12"/>
  <c r="AB2673" i="12"/>
  <c r="AB2848" i="12"/>
  <c r="AB3449" i="12"/>
  <c r="AB1359" i="12"/>
  <c r="AB522" i="12"/>
  <c r="AB3052" i="12"/>
  <c r="AB2963" i="12"/>
  <c r="AB1436" i="12"/>
  <c r="AB2599" i="12"/>
  <c r="AB3185" i="12"/>
  <c r="AB3222" i="12"/>
  <c r="AB697" i="12"/>
  <c r="AB1709" i="12"/>
  <c r="AB2670" i="12"/>
  <c r="AB178" i="12"/>
  <c r="AB2825" i="12"/>
  <c r="AB202" i="12"/>
  <c r="AB1536" i="12"/>
  <c r="AB2946" i="12"/>
  <c r="AB2820" i="12"/>
  <c r="AB2867" i="12"/>
  <c r="AB3081" i="12"/>
  <c r="AB842" i="12"/>
  <c r="AB2040" i="12"/>
  <c r="AB1107" i="12"/>
  <c r="AB392" i="12"/>
  <c r="AB2409" i="12"/>
  <c r="AB1563" i="12"/>
  <c r="AB1100" i="12"/>
  <c r="AB2737" i="12"/>
  <c r="AB2138" i="12"/>
  <c r="AB789" i="12"/>
  <c r="AB103" i="12"/>
  <c r="AB630" i="12"/>
  <c r="AB984" i="12"/>
  <c r="AB340" i="12"/>
  <c r="AB2642" i="12"/>
  <c r="AB1418" i="12"/>
  <c r="AB2936" i="12"/>
  <c r="AB2855" i="12"/>
  <c r="AB325" i="12"/>
  <c r="AB2816" i="12"/>
  <c r="AB1371" i="12"/>
  <c r="AB141" i="12"/>
  <c r="AB1643" i="12"/>
  <c r="AB1077" i="12"/>
  <c r="AB3445" i="12"/>
  <c r="AB2124" i="12"/>
  <c r="AB1913" i="12"/>
  <c r="AB3488" i="12"/>
  <c r="AB1142" i="12"/>
  <c r="AB933" i="12"/>
  <c r="AB1419" i="12"/>
  <c r="AB1448" i="12"/>
  <c r="AB2468" i="12"/>
  <c r="AB1199" i="12"/>
  <c r="AB1118" i="12"/>
  <c r="AB2555" i="12"/>
  <c r="AB480" i="12"/>
  <c r="AB2537" i="12"/>
  <c r="AB2321" i="12"/>
  <c r="AB2679" i="12"/>
  <c r="AB3398" i="12"/>
  <c r="AB2296" i="12"/>
  <c r="AB492" i="12"/>
  <c r="AB698" i="12"/>
  <c r="AB3370" i="12"/>
  <c r="AB2647" i="12"/>
  <c r="AB716" i="12"/>
  <c r="AB227" i="12"/>
  <c r="AB1146" i="12"/>
  <c r="AB2691" i="12"/>
  <c r="AB585" i="12"/>
  <c r="AB1255" i="12"/>
  <c r="AB2454" i="12"/>
  <c r="AB2472" i="12"/>
  <c r="AB1416" i="12"/>
  <c r="AB3272" i="12"/>
  <c r="AB3319" i="12"/>
  <c r="AB613" i="12"/>
  <c r="AB937" i="12"/>
  <c r="AB547" i="12"/>
  <c r="AB1248" i="12"/>
  <c r="AB1407" i="12"/>
  <c r="AB283" i="12"/>
  <c r="AB872" i="12"/>
  <c r="AB2595" i="12"/>
  <c r="AB3465" i="12"/>
  <c r="AB2395" i="12"/>
  <c r="AB1205" i="12"/>
  <c r="AB3259" i="12"/>
  <c r="AB3139" i="12"/>
  <c r="AB2233" i="12"/>
  <c r="AB69" i="12"/>
  <c r="AB3171" i="12"/>
  <c r="AB1124" i="12"/>
  <c r="AB2300" i="12"/>
  <c r="AB1104" i="12"/>
  <c r="AB2012" i="12"/>
  <c r="AB2403" i="12"/>
  <c r="AB320" i="12"/>
  <c r="AB422" i="12"/>
  <c r="AB1136" i="12"/>
  <c r="AB804" i="12"/>
  <c r="AB2839" i="12"/>
  <c r="AB3347" i="12"/>
  <c r="AB2423" i="12"/>
  <c r="AB2259" i="12"/>
  <c r="AB1924" i="12"/>
  <c r="AB3000" i="12"/>
  <c r="AB704" i="12"/>
  <c r="AB3100" i="12"/>
  <c r="AB2498" i="12"/>
  <c r="AB2229" i="12"/>
  <c r="AB1823" i="12"/>
  <c r="AB3141" i="12"/>
  <c r="AB409" i="12"/>
  <c r="AB1771" i="12"/>
  <c r="AB2168" i="12"/>
  <c r="AB3004" i="12"/>
  <c r="AB92" i="12"/>
  <c r="AB1154" i="12"/>
  <c r="AB277" i="12"/>
  <c r="AB3105" i="12"/>
  <c r="AB3326" i="12"/>
  <c r="AB2027" i="12"/>
  <c r="AB2993" i="12"/>
  <c r="AB3409" i="12"/>
  <c r="AB1698" i="12"/>
  <c r="AB778" i="12"/>
  <c r="AB194" i="12"/>
  <c r="AB2736" i="12"/>
  <c r="AB453" i="12"/>
  <c r="AB129" i="12"/>
  <c r="AB1446" i="12"/>
  <c r="AB145" i="12"/>
  <c r="AB3003" i="12"/>
  <c r="AB2676" i="12"/>
  <c r="AB3521" i="12"/>
  <c r="AB2636" i="12"/>
  <c r="AB2512" i="12"/>
  <c r="AB3502" i="12"/>
  <c r="AB3044" i="12"/>
  <c r="AB2049" i="12"/>
  <c r="AB1598" i="12"/>
  <c r="AB2271" i="12"/>
  <c r="AB2511" i="12"/>
  <c r="AB3054" i="12"/>
  <c r="AB382" i="12"/>
  <c r="AB3219" i="12"/>
  <c r="AB3074" i="12"/>
  <c r="AB675" i="12"/>
  <c r="AB786" i="12"/>
  <c r="AB562" i="12"/>
  <c r="AB2502" i="12"/>
  <c r="AB2007" i="12"/>
  <c r="AB3330" i="12"/>
  <c r="AB2351" i="12"/>
  <c r="AB3096" i="12"/>
  <c r="AB326" i="12"/>
  <c r="AB3043" i="12"/>
  <c r="AB2073" i="12"/>
  <c r="AB418" i="12"/>
  <c r="AB1193" i="12"/>
  <c r="AB352" i="12"/>
  <c r="AB2543" i="12"/>
  <c r="AB491" i="12"/>
  <c r="AB2981" i="12"/>
  <c r="AB2893" i="12"/>
  <c r="AB848" i="12"/>
  <c r="AB1014" i="12"/>
  <c r="AB1484" i="12"/>
  <c r="AB1741" i="12"/>
  <c r="AB539" i="12"/>
  <c r="AB3260" i="12"/>
  <c r="AB893" i="12"/>
  <c r="AB793" i="12"/>
  <c r="AB1814" i="12"/>
  <c r="AB464" i="12"/>
  <c r="AB3173" i="12"/>
  <c r="AB954" i="12"/>
  <c r="AB2111" i="12"/>
  <c r="AB2697" i="12"/>
  <c r="AB3392" i="12"/>
  <c r="AB2483" i="12"/>
  <c r="AB2461" i="12"/>
  <c r="AB743" i="12"/>
  <c r="AB2665" i="12"/>
  <c r="AB2313" i="12"/>
  <c r="AB1406" i="12"/>
  <c r="AB2390" i="12"/>
  <c r="AB811" i="12"/>
  <c r="AB1187" i="12"/>
  <c r="AB3085" i="12"/>
  <c r="AB1761" i="12"/>
  <c r="AB1122" i="12"/>
  <c r="AB2431" i="12"/>
  <c r="AB2466" i="12"/>
  <c r="AB3497" i="12"/>
  <c r="AB112" i="12"/>
  <c r="AB1569" i="12"/>
  <c r="AB1495" i="12"/>
  <c r="AB136" i="12"/>
  <c r="AB1228" i="12"/>
  <c r="AB643" i="12"/>
  <c r="AB1335" i="12"/>
  <c r="AB597" i="12"/>
  <c r="AB2526" i="12"/>
  <c r="AB608" i="12"/>
  <c r="AB833" i="12"/>
  <c r="AB3511" i="12"/>
  <c r="AB806" i="12"/>
  <c r="AB3410" i="12"/>
  <c r="AB1144" i="12"/>
  <c r="AB1138" i="12"/>
  <c r="AB299" i="12"/>
  <c r="AB2779" i="12"/>
  <c r="AB1833" i="12"/>
  <c r="AB1742" i="12"/>
  <c r="AB1241" i="12"/>
  <c r="AB236" i="12"/>
  <c r="AB2912" i="12"/>
  <c r="AB1203" i="12"/>
  <c r="AB1910" i="12"/>
  <c r="AB3360" i="12"/>
  <c r="AB2352" i="12"/>
  <c r="AB2747" i="12"/>
  <c r="AB226" i="12"/>
  <c r="AB3368" i="12"/>
  <c r="AB2914" i="12"/>
  <c r="AB3068" i="12"/>
  <c r="AB2514" i="12"/>
  <c r="AB682" i="12"/>
  <c r="AB2627" i="12"/>
  <c r="AB206" i="12"/>
  <c r="AB3501" i="12"/>
  <c r="AB964" i="12"/>
  <c r="AB1438" i="12"/>
  <c r="AB1412" i="12"/>
  <c r="AB1919" i="12"/>
  <c r="AB1409" i="12"/>
  <c r="AB1915" i="12"/>
  <c r="AB1070" i="12"/>
  <c r="AB1789" i="12"/>
  <c r="AB2266" i="12"/>
  <c r="AB1261" i="12"/>
  <c r="AB3104" i="12"/>
  <c r="AB1393" i="12"/>
  <c r="AB2910" i="12"/>
  <c r="AB406" i="12"/>
  <c r="AB1566" i="12"/>
  <c r="AB2491" i="12"/>
  <c r="AB247" i="12"/>
  <c r="AB212" i="12"/>
  <c r="AB343" i="12"/>
  <c r="AB714" i="12"/>
  <c r="AB721" i="12"/>
  <c r="AB3369" i="12"/>
  <c r="AB2858" i="12"/>
  <c r="AB49" i="12"/>
  <c r="AB3153" i="12"/>
  <c r="AB651" i="12"/>
  <c r="AB1141" i="12"/>
  <c r="AB2287" i="12"/>
  <c r="AB209" i="12"/>
  <c r="AB3350" i="12"/>
  <c r="AB1925" i="12"/>
  <c r="AB2792" i="12"/>
  <c r="AB2119" i="12"/>
  <c r="AB2416" i="12"/>
  <c r="AB2432" i="12"/>
  <c r="AB271" i="12"/>
  <c r="AB2368" i="12"/>
  <c r="AB2488" i="12"/>
  <c r="AB969" i="12"/>
  <c r="AB2802" i="12"/>
  <c r="AB3310" i="12"/>
  <c r="AB680" i="12"/>
  <c r="AB1297" i="12"/>
  <c r="AB2969" i="12"/>
  <c r="AB2605" i="12"/>
  <c r="AB1929" i="12"/>
  <c r="AB1147" i="12"/>
  <c r="AB1791" i="12"/>
  <c r="AB732" i="12"/>
  <c r="AB2771" i="12"/>
  <c r="AB1965" i="12"/>
  <c r="AB1411" i="12"/>
  <c r="AB3338" i="12"/>
  <c r="AB3033" i="12"/>
  <c r="AB1008" i="12"/>
  <c r="AB2661" i="12"/>
  <c r="AB364" i="12"/>
  <c r="AB1469" i="12"/>
  <c r="AB766" i="12"/>
  <c r="AB3172" i="12"/>
  <c r="AB2656" i="12"/>
  <c r="AB962" i="12"/>
  <c r="AB3441" i="12"/>
  <c r="AB3405" i="12"/>
  <c r="AB321" i="12"/>
  <c r="AB988" i="12"/>
  <c r="AB3287" i="12"/>
  <c r="AB485" i="12"/>
  <c r="AB2812" i="12"/>
  <c r="AB2152" i="12"/>
  <c r="AB66" i="12"/>
  <c r="AB1519" i="12"/>
  <c r="AB2890" i="12"/>
  <c r="AB2384" i="12"/>
  <c r="AB980" i="12"/>
  <c r="AB1813" i="12"/>
  <c r="AB2173" i="12"/>
  <c r="AB1210" i="12"/>
  <c r="AB1351" i="12"/>
  <c r="AB824" i="12"/>
  <c r="AB2223" i="12"/>
  <c r="AB1159" i="12"/>
  <c r="AB1552" i="12"/>
  <c r="AB2707" i="12"/>
  <c r="AB2036" i="12"/>
  <c r="AB2637" i="12"/>
  <c r="AB239" i="12"/>
  <c r="AB2467" i="12"/>
  <c r="AB1304" i="12"/>
  <c r="AB2819" i="12"/>
  <c r="AB1293" i="12"/>
  <c r="AB672" i="12"/>
  <c r="AB2382" i="12"/>
  <c r="AB1592" i="12"/>
  <c r="AB1841" i="12"/>
  <c r="AB2257" i="12"/>
  <c r="AB70" i="12"/>
  <c r="AB1670" i="12"/>
  <c r="AB533" i="12"/>
  <c r="AB1550" i="12"/>
  <c r="AB556" i="12"/>
  <c r="AB3132" i="12"/>
  <c r="AB690" i="12"/>
  <c r="AB3270" i="12"/>
  <c r="AB1520" i="12"/>
  <c r="AB3189" i="12"/>
  <c r="AB1589" i="12"/>
  <c r="AB3537" i="12"/>
  <c r="AB2677" i="12"/>
  <c r="AB2582" i="12"/>
  <c r="AB3406" i="12"/>
  <c r="AB3102" i="12"/>
  <c r="AB2730" i="12"/>
  <c r="AB709" i="12"/>
  <c r="AB2254" i="12"/>
  <c r="AB593" i="12"/>
  <c r="AB3183" i="12"/>
  <c r="AB2290" i="12"/>
  <c r="AB3356" i="12"/>
  <c r="AB1871" i="12"/>
  <c r="AB3382" i="12"/>
  <c r="AB1933" i="12"/>
  <c r="AB242" i="12"/>
  <c r="AB1463" i="12"/>
  <c r="AB493" i="12"/>
  <c r="AB3433" i="12"/>
  <c r="AB1094" i="12"/>
  <c r="AB1343" i="12"/>
  <c r="AB712" i="12"/>
  <c r="AB1725" i="12"/>
  <c r="AB666" i="12"/>
  <c r="AB452" i="12"/>
  <c r="AB1727" i="12"/>
  <c r="AB1485" i="12"/>
  <c r="AB1585" i="12"/>
  <c r="AB2433" i="12"/>
  <c r="AB2172" i="12"/>
  <c r="AB1974" i="12"/>
  <c r="AB876" i="12"/>
  <c r="AB1605" i="12"/>
  <c r="AB2240" i="12"/>
  <c r="AB1557" i="12"/>
  <c r="AB1757" i="12"/>
  <c r="AB375" i="12"/>
  <c r="AB3498" i="12"/>
  <c r="AB1013" i="12"/>
  <c r="AB2065" i="12"/>
  <c r="AB2823" i="12"/>
  <c r="AB749" i="12"/>
  <c r="AB2052" i="12"/>
  <c r="AB2755" i="12"/>
  <c r="AB2297" i="12"/>
  <c r="AB877" i="12"/>
  <c r="AB2349" i="12"/>
  <c r="AB1707" i="12"/>
  <c r="AB3130" i="12"/>
  <c r="AB3262" i="12"/>
  <c r="AB1368" i="12"/>
  <c r="AB3027" i="12"/>
  <c r="AB843" i="12"/>
  <c r="AB1091" i="12"/>
  <c r="AB772" i="12"/>
  <c r="AB3292" i="12"/>
  <c r="AB3351" i="12"/>
  <c r="AB1067" i="12"/>
  <c r="AB1123" i="12"/>
  <c r="AB1895" i="12"/>
  <c r="AB342" i="12"/>
  <c r="AB1161" i="12"/>
  <c r="AB1513" i="12"/>
  <c r="AB1033" i="12"/>
  <c r="AB541" i="12"/>
  <c r="AB264" i="12"/>
  <c r="AB2834" i="12"/>
  <c r="AB850" i="12"/>
  <c r="AB3169" i="12"/>
  <c r="AB1497" i="12"/>
  <c r="AB3158" i="12"/>
  <c r="AB73" i="12"/>
  <c r="AB2560" i="12"/>
  <c r="AB1545" i="12"/>
  <c r="AB3443" i="12"/>
  <c r="AB32" i="12"/>
  <c r="AB2873" i="12"/>
  <c r="AB3390" i="12"/>
  <c r="AB1157" i="12"/>
  <c r="AB808" i="12"/>
  <c r="AB3077" i="12"/>
  <c r="AB163" i="12"/>
  <c r="AB2785" i="12"/>
  <c r="AB840" i="12"/>
  <c r="AB2761" i="12"/>
  <c r="AB2358" i="12"/>
  <c r="AB2859" i="12"/>
  <c r="AB2671" i="12"/>
  <c r="AB1442" i="12"/>
  <c r="AB1468" i="12"/>
  <c r="AB1290" i="12"/>
  <c r="AB754" i="12"/>
  <c r="AB3318" i="12"/>
  <c r="AB1235" i="12"/>
  <c r="AB3456" i="12"/>
  <c r="AB2175" i="12"/>
  <c r="AB2015" i="12"/>
  <c r="AB987" i="12"/>
  <c r="AB2507" i="12"/>
  <c r="AB669" i="12"/>
  <c r="AB2646" i="12"/>
  <c r="AB2795" i="12"/>
  <c r="AB2440" i="12"/>
  <c r="AB1647" i="12"/>
  <c r="AB2453" i="12"/>
  <c r="AB1847" i="12"/>
  <c r="AB2387" i="12"/>
  <c r="AB3357" i="12"/>
  <c r="AB3481" i="12"/>
  <c r="AB3048" i="12"/>
  <c r="AB1824" i="12"/>
  <c r="AB2008" i="12"/>
  <c r="AB1657" i="12"/>
  <c r="AB282" i="12"/>
  <c r="AB871" i="12"/>
  <c r="AB2949" i="12"/>
  <c r="AB3337" i="12"/>
  <c r="AB2026" i="12"/>
  <c r="AB1945" i="12"/>
  <c r="AB1632" i="12"/>
  <c r="AB426" i="12"/>
  <c r="AB1765" i="12"/>
  <c r="AB243" i="12"/>
  <c r="AB2561" i="12"/>
  <c r="AB612" i="12"/>
  <c r="AB2907" i="12"/>
  <c r="AB1570" i="12"/>
  <c r="AB1066" i="12"/>
  <c r="AB3108" i="12"/>
  <c r="AB1875" i="12"/>
  <c r="AB736" i="12"/>
  <c r="AB3487" i="12"/>
  <c r="AB516" i="12"/>
  <c r="AB285" i="12"/>
  <c r="AB1549" i="12"/>
  <c r="AB2576" i="12"/>
  <c r="AB2098" i="12"/>
  <c r="AB686" i="12"/>
  <c r="AB534" i="12"/>
  <c r="AB2659" i="12"/>
  <c r="AB2083" i="12"/>
  <c r="AB1953" i="12"/>
  <c r="AB1296" i="12"/>
  <c r="AB3466" i="12"/>
  <c r="AB1129" i="12"/>
  <c r="AB503" i="12"/>
  <c r="AB3114" i="12"/>
  <c r="AB2680" i="12"/>
  <c r="AB3372" i="12"/>
  <c r="AB851" i="12"/>
  <c r="AB568" i="12"/>
  <c r="AB1462" i="12"/>
  <c r="AB171" i="12"/>
  <c r="AB2400" i="12"/>
  <c r="AB536" i="12"/>
  <c r="AB1464" i="12"/>
  <c r="AB993" i="12"/>
  <c r="AB2164" i="12"/>
  <c r="AB3009" i="12"/>
  <c r="AB3363" i="12"/>
  <c r="AB587" i="12"/>
  <c r="AB2267" i="12"/>
  <c r="AB2180" i="12"/>
  <c r="AB1939" i="12"/>
  <c r="AB2359" i="12"/>
  <c r="AB1352" i="12"/>
  <c r="AB2193" i="12"/>
  <c r="AB501" i="12"/>
  <c r="AB1691" i="12"/>
  <c r="AB3090" i="12"/>
  <c r="AB1360" i="12"/>
  <c r="AB903" i="12"/>
  <c r="AB3490" i="12"/>
  <c r="AB3322" i="12"/>
  <c r="AB3180" i="12"/>
  <c r="AB2080" i="12"/>
  <c r="AB3176" i="12"/>
  <c r="AB989" i="12"/>
  <c r="AB762" i="12"/>
  <c r="AB1705" i="12"/>
  <c r="AB659" i="12"/>
  <c r="AB2550" i="12"/>
  <c r="AB774" i="12"/>
  <c r="AB1238" i="12"/>
  <c r="AB1384" i="12"/>
  <c r="AB2046" i="12"/>
  <c r="AB256" i="12"/>
  <c r="AB1909" i="12"/>
  <c r="AB2099" i="12"/>
  <c r="AB1209" i="12"/>
  <c r="AB3442" i="12"/>
  <c r="AB164" i="12"/>
  <c r="AB656" i="12"/>
  <c r="AB2102" i="12"/>
  <c r="AB1272" i="12"/>
  <c r="AB2904" i="12"/>
  <c r="AB1515" i="12"/>
  <c r="AB3179" i="12"/>
  <c r="AB2799" i="12"/>
  <c r="AB472" i="12"/>
  <c r="AB2918" i="12"/>
  <c r="AB2383" i="12"/>
  <c r="AB1116" i="12"/>
  <c r="AB1084" i="12"/>
  <c r="AB3254" i="12"/>
  <c r="AB2108" i="12"/>
  <c r="AB3503" i="12"/>
  <c r="AB3075" i="12"/>
  <c r="AB1729" i="12"/>
  <c r="AB942" i="12"/>
  <c r="AB834" i="12"/>
  <c r="AB1433" i="12"/>
  <c r="AB537" i="12"/>
  <c r="AB2280" i="12"/>
  <c r="AB2219" i="12"/>
  <c r="AB2634" i="12"/>
  <c r="AB601" i="12"/>
  <c r="AB3299" i="12"/>
  <c r="AB1652" i="12"/>
  <c r="AB166" i="12"/>
  <c r="AB2970" i="12"/>
  <c r="AB3401" i="12"/>
  <c r="AB457" i="12"/>
  <c r="AB1773" i="12"/>
  <c r="AB140" i="12"/>
  <c r="AB591" i="12"/>
  <c r="AB2143" i="12"/>
  <c r="AB985" i="12"/>
  <c r="AB2252" i="12"/>
  <c r="AB705" i="12"/>
  <c r="AB2506" i="12"/>
  <c r="AB3123" i="12"/>
  <c r="AB3170" i="12"/>
  <c r="AB1961" i="12"/>
  <c r="AB2568" i="12"/>
  <c r="AB3103" i="12"/>
  <c r="AB552" i="12"/>
  <c r="AB1818" i="12"/>
  <c r="AB3025" i="12"/>
  <c r="AB3021" i="12"/>
  <c r="AB3519" i="12"/>
  <c r="AB1325" i="12"/>
  <c r="AB122" i="12"/>
  <c r="AB3022" i="12"/>
  <c r="AB2602" i="12"/>
  <c r="AB387" i="12"/>
  <c r="AB1917" i="12"/>
  <c r="AB427" i="12"/>
  <c r="AB620" i="12"/>
  <c r="AB1321" i="12"/>
  <c r="AB863" i="12"/>
  <c r="AB3142" i="12"/>
  <c r="AB1997" i="12"/>
  <c r="AB2492" i="12"/>
  <c r="AB2939" i="12"/>
  <c r="AB1972" i="12"/>
  <c r="AB1246" i="12"/>
  <c r="AB2088" i="12"/>
  <c r="AB2542" i="12"/>
  <c r="AB3008" i="12"/>
  <c r="AB2641" i="12"/>
  <c r="AB2381" i="12"/>
  <c r="AB3062" i="12"/>
  <c r="AB2811" i="12"/>
  <c r="AB3223" i="12"/>
  <c r="AB3348" i="12"/>
  <c r="AB2520" i="12"/>
  <c r="AB2342" i="12"/>
  <c r="AB3447" i="12"/>
  <c r="AB2084" i="12"/>
  <c r="AB355" i="12"/>
  <c r="AB157" i="12"/>
  <c r="AB1896" i="12"/>
  <c r="AB2966" i="12"/>
  <c r="AB131" i="12"/>
  <c r="AB2922" i="12"/>
  <c r="AB727" i="12"/>
  <c r="AB3282" i="12"/>
  <c r="AB93" i="12"/>
  <c r="AB3499" i="12"/>
  <c r="AB1080" i="12"/>
  <c r="AB2813" i="12"/>
  <c r="AB2992" i="12"/>
  <c r="AB1162" i="12"/>
  <c r="AB471" i="12"/>
  <c r="AB2006" i="12"/>
  <c r="AB1361" i="12"/>
  <c r="AB3536" i="12"/>
  <c r="AB642" i="12"/>
  <c r="AB1798" i="12"/>
  <c r="AB1712" i="12"/>
  <c r="AB1877" i="12"/>
  <c r="AB1401" i="12"/>
  <c r="AB2258" i="12"/>
  <c r="AB1204" i="12"/>
  <c r="AB2301" i="12"/>
  <c r="AB1693" i="12"/>
  <c r="AB3061" i="12"/>
  <c r="AB2226" i="12"/>
  <c r="AB1278" i="12"/>
  <c r="AB2445" i="12"/>
  <c r="AB3143" i="12"/>
  <c r="AB3524" i="12"/>
  <c r="AB2190" i="12"/>
  <c r="AB644" i="12"/>
  <c r="AB2176" i="12"/>
  <c r="AB3391" i="12"/>
  <c r="AB1113" i="12"/>
  <c r="AB2177" i="12"/>
  <c r="AB1580" i="12"/>
  <c r="AB3084" i="12"/>
  <c r="AB2380" i="12"/>
  <c r="AB2186" i="12"/>
  <c r="AB858" i="12"/>
  <c r="AB451" i="12"/>
  <c r="AB2909" i="12"/>
  <c r="AB2094" i="12"/>
  <c r="AB1282" i="12"/>
  <c r="AB1860" i="12"/>
  <c r="AB350" i="12"/>
  <c r="AB490" i="12"/>
  <c r="AB1989" i="12"/>
  <c r="AB123" i="12"/>
  <c r="AB2485" i="12"/>
  <c r="AB3097" i="12"/>
  <c r="AB262" i="12"/>
  <c r="AB1310" i="12"/>
  <c r="AB571" i="12"/>
  <c r="AB2458" i="12"/>
  <c r="AB2442" i="12"/>
  <c r="AB3127" i="12"/>
  <c r="AB1218" i="12"/>
  <c r="AB963" i="12"/>
  <c r="AB2663" i="12"/>
  <c r="AB1301" i="12"/>
  <c r="AB1908" i="12"/>
  <c r="AB1504" i="12"/>
  <c r="AB2903" i="12"/>
  <c r="AB467" i="12"/>
  <c r="AB699" i="12"/>
  <c r="AB1731" i="12"/>
  <c r="AB614" i="12"/>
  <c r="AB729" i="12"/>
  <c r="AB2167" i="12"/>
  <c r="AB1699" i="12"/>
  <c r="AB1576" i="12"/>
  <c r="AB1903" i="12"/>
  <c r="AB3138" i="12"/>
  <c r="AB2774" i="12"/>
  <c r="AB3154" i="12"/>
  <c r="AB3417" i="12"/>
  <c r="AB2495" i="12"/>
  <c r="AB2038" i="12"/>
  <c r="AB1882" i="12"/>
  <c r="AB1211" i="12"/>
  <c r="AB124" i="12"/>
  <c r="AB297" i="12"/>
  <c r="AB604" i="12"/>
  <c r="AB2624" i="12"/>
  <c r="AB3289" i="12"/>
  <c r="AB2916" i="12"/>
  <c r="AB2473" i="12"/>
  <c r="AB598" i="12"/>
  <c r="AB1912" i="12"/>
  <c r="AB1848" i="12"/>
  <c r="AB2389" i="12"/>
  <c r="AB1606" i="12"/>
  <c r="AB2769" i="12"/>
  <c r="AB2350" i="12"/>
  <c r="AB2299" i="12"/>
  <c r="AB213" i="12"/>
  <c r="AB2861" i="12"/>
  <c r="AB1092" i="12"/>
  <c r="AB2610" i="12"/>
  <c r="AB100" i="12"/>
  <c r="AB2541" i="12"/>
  <c r="AB2759" i="12"/>
  <c r="AB3268" i="12"/>
  <c r="AB2450" i="12"/>
  <c r="AB2879" i="12"/>
  <c r="AB2686" i="12"/>
  <c r="AB1483" i="12"/>
  <c r="AB1611" i="12"/>
  <c r="AB230" i="12"/>
  <c r="AB497" i="12"/>
  <c r="AB1763" i="12"/>
  <c r="AB607" i="12"/>
  <c r="AB2581" i="12"/>
  <c r="AB2319" i="12"/>
  <c r="AB1843" i="12"/>
  <c r="AB3371" i="12"/>
  <c r="AB1329" i="12"/>
  <c r="AB2286" i="12"/>
  <c r="AB1450" i="12"/>
  <c r="AB361" i="12"/>
  <c r="AB2902" i="12"/>
  <c r="AB2615" i="12"/>
  <c r="AB1086" i="12"/>
  <c r="AB2770" i="12"/>
  <c r="AB2372" i="12"/>
  <c r="AB1322" i="12"/>
  <c r="AB3472" i="12"/>
  <c r="AB2968" i="12"/>
  <c r="AB2518" i="12"/>
  <c r="AB1805" i="12"/>
  <c r="AB1928" i="12"/>
  <c r="AB2149" i="12"/>
  <c r="AB3354" i="12"/>
  <c r="AB2948" i="12"/>
  <c r="AB2493" i="12"/>
  <c r="AB98" i="12"/>
  <c r="AB2880" i="12"/>
  <c r="AB2075" i="12"/>
  <c r="AB3117" i="12"/>
  <c r="AB2251" i="12"/>
  <c r="AB3083" i="12"/>
  <c r="AB1385" i="12"/>
  <c r="AB2874" i="12"/>
  <c r="AB548" i="12"/>
  <c r="AB419" i="12"/>
  <c r="AB1186" i="12"/>
  <c r="AB48" i="12"/>
  <c r="AB2344" i="12"/>
  <c r="AB21" i="12"/>
  <c r="AB1714" i="12"/>
  <c r="AB1839" i="12"/>
  <c r="AB970" i="12"/>
  <c r="AB3464" i="12"/>
  <c r="AB3507" i="12"/>
  <c r="AB3336" i="12"/>
  <c r="AB1281" i="12"/>
  <c r="AB2675" i="12"/>
  <c r="AB563" i="12"/>
  <c r="AB902" i="12"/>
  <c r="AB1061" i="12"/>
  <c r="AB2000" i="12"/>
  <c r="AB3263" i="12"/>
  <c r="AB2247" i="12"/>
  <c r="AB3200" i="12"/>
  <c r="AB652" i="12"/>
  <c r="AB1581" i="12"/>
  <c r="AB775" i="12"/>
  <c r="AB2791" i="12"/>
  <c r="AB2547" i="12"/>
  <c r="AB2891" i="12"/>
  <c r="AB1422" i="12"/>
  <c r="AB2718" i="12"/>
  <c r="AB459" i="12"/>
  <c r="AB2976" i="12"/>
  <c r="AB592" i="12"/>
  <c r="AB1365" i="12"/>
  <c r="AB1879" i="12"/>
  <c r="AB3215" i="12"/>
  <c r="AB700" i="12"/>
  <c r="AB884" i="12"/>
  <c r="AB1852" i="12"/>
  <c r="AB2869" i="12"/>
  <c r="AB2302" i="12"/>
  <c r="AB1421" i="12"/>
  <c r="AB2832" i="12"/>
  <c r="AB3352" i="12"/>
  <c r="AB1886" i="12"/>
  <c r="AB1397" i="12"/>
  <c r="AB994" i="12"/>
  <c r="AB1097" i="12"/>
  <c r="AB2693" i="12"/>
  <c r="AB310" i="12"/>
  <c r="AB2214" i="12"/>
  <c r="AB958" i="12"/>
  <c r="AB1249" i="12"/>
  <c r="AB3124" i="12"/>
  <c r="AB2294" i="12"/>
  <c r="AB1644" i="12"/>
  <c r="AB1054" i="12"/>
  <c r="AB2982" i="12"/>
  <c r="AB1479" i="12"/>
  <c r="AB517" i="12"/>
  <c r="AB1026" i="12"/>
  <c r="AB826" i="12"/>
  <c r="AB2528" i="12"/>
  <c r="AB1185" i="12"/>
  <c r="AB885" i="12"/>
  <c r="AB94" i="12"/>
  <c r="AB219" i="12"/>
  <c r="AB3079" i="12"/>
  <c r="AB1284" i="12"/>
  <c r="AB3373" i="12"/>
  <c r="AB1591" i="12"/>
  <c r="AB822" i="12"/>
  <c r="AB2016" i="12"/>
  <c r="AB3092" i="12"/>
  <c r="AB2853" i="12"/>
  <c r="AB1523" i="12"/>
  <c r="AB3125" i="12"/>
  <c r="AB1374" i="12"/>
  <c r="AB2369" i="12"/>
  <c r="AB3210" i="12"/>
  <c r="AB2865" i="12"/>
  <c r="AB2072" i="12"/>
  <c r="AB1706" i="12"/>
  <c r="AB2363" i="12"/>
  <c r="AB1226" i="12"/>
  <c r="AB220" i="12"/>
  <c r="AB360" i="12"/>
  <c r="AB1574" i="12"/>
  <c r="AB3448" i="12"/>
  <c r="AB535" i="12"/>
  <c r="AB579" i="12"/>
  <c r="AB199" i="12"/>
  <c r="AB2066" i="12"/>
  <c r="AB2068" i="12"/>
  <c r="AB1316" i="12"/>
  <c r="AB1274" i="12"/>
  <c r="AB578" i="12"/>
  <c r="AB943" i="12"/>
  <c r="AB385" i="12"/>
  <c r="AB567" i="12"/>
  <c r="AB3046" i="12"/>
  <c r="AB1232" i="12"/>
  <c r="AB1283" i="12"/>
  <c r="AB1783" i="12"/>
  <c r="AB881" i="12"/>
  <c r="AB183" i="12"/>
  <c r="AB1851" i="12"/>
  <c r="AB2925" i="12"/>
  <c r="AB977" i="12"/>
  <c r="AB569" i="12"/>
  <c r="AB2293" i="12"/>
  <c r="AB3436" i="12"/>
  <c r="AB1619" i="12"/>
  <c r="AB2509" i="12"/>
  <c r="AB2892" i="12"/>
  <c r="AB3191" i="12"/>
  <c r="AB2427" i="12"/>
  <c r="AB1888" i="12"/>
  <c r="AB319" i="12"/>
  <c r="AB397" i="12"/>
  <c r="AB3253" i="12"/>
  <c r="AB2265" i="12"/>
  <c r="AB1328" i="12"/>
  <c r="AB42" i="12"/>
  <c r="AB2050" i="12"/>
  <c r="AB3298" i="12"/>
  <c r="AB744" i="12"/>
  <c r="AB177" i="12"/>
  <c r="AB1117" i="12"/>
  <c r="AB1641" i="12"/>
  <c r="AB1958" i="12"/>
  <c r="AB671" i="12"/>
  <c r="AB755" i="12"/>
  <c r="AB1568" i="12"/>
  <c r="AB425" i="12"/>
  <c r="AB1539" i="12"/>
  <c r="AB2563" i="12"/>
  <c r="AB1878" i="12"/>
  <c r="AB2003" i="12"/>
  <c r="AB3434" i="12"/>
  <c r="AB3032" i="12"/>
  <c r="AB3385" i="12"/>
  <c r="AB3415" i="12"/>
  <c r="AB84" i="12"/>
  <c r="AB2064" i="12"/>
  <c r="AB2803" i="12"/>
  <c r="AB466" i="12"/>
  <c r="AB370" i="12"/>
  <c r="AB917" i="12"/>
  <c r="AB3217" i="12"/>
  <c r="AB2328" i="12"/>
  <c r="AB2023" i="12"/>
  <c r="AB1383" i="12"/>
  <c r="AB388" i="12"/>
  <c r="AB616" i="12"/>
  <c r="AB1602" i="12"/>
  <c r="AB3031" i="12"/>
  <c r="AB315" i="12"/>
  <c r="AB2590" i="12"/>
  <c r="AB1736" i="12"/>
  <c r="AB2020" i="12"/>
  <c r="AB1201" i="12"/>
  <c r="AB3135" i="12"/>
  <c r="AB1661" i="12"/>
  <c r="AB3500" i="12"/>
  <c r="AB2567" i="12"/>
  <c r="AB2828" i="12"/>
  <c r="AB1995" i="12"/>
  <c r="AB1607" i="12"/>
  <c r="AB1880" i="12"/>
  <c r="AB1780" i="12"/>
  <c r="AB1012" i="12"/>
  <c r="AB33" i="12"/>
  <c r="AB2606" i="12"/>
  <c r="AB1660" i="12"/>
  <c r="AB1636" i="12"/>
  <c r="AB627" i="12"/>
  <c r="AB2899" i="12"/>
  <c r="AB2973" i="12"/>
  <c r="AB1222" i="12"/>
  <c r="AB2898" i="12"/>
  <c r="AB520" i="12"/>
  <c r="AB1530" i="12"/>
  <c r="AB1041" i="12"/>
  <c r="AB1003" i="12"/>
  <c r="AB1538" i="12"/>
  <c r="AB1053" i="12"/>
  <c r="AB3120" i="12"/>
  <c r="AB2911" i="12"/>
  <c r="AB1489" i="12"/>
  <c r="AB947" i="12"/>
  <c r="AB2001" i="12"/>
  <c r="AB56" i="12"/>
  <c r="AB71" i="12"/>
  <c r="AB1949" i="12"/>
  <c r="AB184" i="12"/>
  <c r="AB1363" i="12"/>
  <c r="AB646" i="12"/>
  <c r="AB779" i="12"/>
  <c r="AB1779" i="12"/>
  <c r="AB2643" i="12"/>
  <c r="AB2097" i="12"/>
  <c r="AB3380" i="12"/>
  <c r="AB378" i="12"/>
  <c r="AB2039" i="12"/>
  <c r="AB2206" i="12"/>
  <c r="AB1849" i="12"/>
  <c r="AB2144" i="12"/>
  <c r="AB2650" i="12"/>
  <c r="AB3137" i="12"/>
  <c r="AB3063" i="12"/>
  <c r="AB2397" i="12"/>
  <c r="AB641" i="12"/>
  <c r="AB203" i="12"/>
  <c r="AB2171" i="12"/>
  <c r="AB3269" i="12"/>
  <c r="AB1188" i="12"/>
  <c r="AB1358" i="12"/>
  <c r="AB815" i="12"/>
  <c r="AB2991" i="12"/>
  <c r="AB2924" i="12"/>
  <c r="AB1348" i="12"/>
  <c r="AB1700" i="12"/>
  <c r="AB813" i="12"/>
  <c r="AB1010" i="12"/>
  <c r="AB2780" i="12"/>
  <c r="AB127" i="12"/>
  <c r="AB1475" i="12"/>
  <c r="AB1554" i="12"/>
  <c r="AB938" i="12"/>
  <c r="AB2631" i="12"/>
  <c r="AB654" i="12"/>
  <c r="AB525" i="12"/>
  <c r="AB684" i="12"/>
  <c r="AB341" i="12"/>
  <c r="AB2476" i="12"/>
  <c r="AB162" i="12"/>
  <c r="AB1265" i="12"/>
  <c r="AB3323" i="12"/>
  <c r="AB1428" i="12"/>
  <c r="AB976" i="12"/>
  <c r="AB1009" i="12"/>
  <c r="AB1981" i="12"/>
  <c r="AB379" i="12"/>
  <c r="AB1427" i="12"/>
  <c r="AB1386" i="12"/>
  <c r="AB1212" i="12"/>
  <c r="AB1166" i="12"/>
  <c r="AB2745" i="12"/>
  <c r="AB2204" i="12"/>
  <c r="AB3393" i="12"/>
  <c r="AB2648" i="12"/>
  <c r="AB1778" i="12"/>
  <c r="AB99" i="12"/>
  <c r="AB3258" i="12"/>
  <c r="AB1268" i="12"/>
  <c r="AB2837" i="12"/>
  <c r="AB3402" i="12"/>
  <c r="AB2195" i="12"/>
  <c r="AB1853" i="12"/>
  <c r="AB3030" i="12"/>
  <c r="AB1466" i="12"/>
  <c r="AB2887" i="12"/>
  <c r="AB2030" i="12"/>
  <c r="AB1309" i="12"/>
  <c r="AB1746" i="12"/>
  <c r="AB3412" i="12"/>
  <c r="AB1544" i="12"/>
  <c r="AB2357" i="12"/>
  <c r="AB2184" i="12"/>
  <c r="AB3508" i="12"/>
  <c r="AB733" i="12"/>
  <c r="AB1963" i="12"/>
  <c r="AB357" i="12"/>
  <c r="AB2577" i="12"/>
  <c r="AB2092" i="12"/>
  <c r="AB58" i="12"/>
  <c r="AB3020" i="12"/>
  <c r="AB1966" i="12"/>
  <c r="AB2277" i="12"/>
  <c r="AB3353" i="12"/>
  <c r="AB135" i="12"/>
  <c r="AB3306" i="12"/>
  <c r="AB2486" i="12"/>
  <c r="AB2809" i="12"/>
  <c r="AB3471" i="12"/>
  <c r="AB1887" i="12"/>
  <c r="AB2246" i="12"/>
  <c r="AB1936" i="12"/>
  <c r="AB2645" i="12"/>
  <c r="AB1962" i="12"/>
  <c r="AB3446" i="12"/>
  <c r="AB2510" i="12"/>
  <c r="AB3302" i="12"/>
  <c r="AB1801" i="12"/>
  <c r="AB3250" i="12"/>
  <c r="AB2814" i="12"/>
  <c r="AB2750" i="12"/>
  <c r="AB3230" i="12"/>
  <c r="AB1494" i="12"/>
  <c r="AB1960" i="12"/>
  <c r="AB1859" i="12"/>
  <c r="AB550" i="12"/>
  <c r="AB763" i="12"/>
  <c r="AB1048" i="12"/>
  <c r="AB3309" i="12"/>
  <c r="AB2018" i="12"/>
  <c r="AB538" i="12"/>
  <c r="AB2207" i="12"/>
  <c r="AB1638" i="12"/>
  <c r="AB1892" i="12"/>
  <c r="AB3257" i="12"/>
  <c r="AB3093" i="12"/>
  <c r="AB982" i="12"/>
  <c r="AB1260" i="12"/>
  <c r="AB221" i="12"/>
  <c r="AB2022" i="12"/>
  <c r="AB2225" i="12"/>
  <c r="AB1672" i="12"/>
  <c r="AB1668" i="12"/>
  <c r="AB999" i="12"/>
  <c r="AB186" i="12"/>
  <c r="AB3394" i="12"/>
  <c r="AB866" i="12"/>
  <c r="AB3275" i="12"/>
  <c r="AB35" i="12"/>
  <c r="AB1275" i="12"/>
  <c r="AB3065" i="12"/>
  <c r="AB3428" i="12"/>
  <c r="AB3291" i="12"/>
  <c r="AB2041" i="12"/>
  <c r="AB1649" i="12"/>
  <c r="AB2410" i="12"/>
  <c r="AB257" i="12"/>
  <c r="AB1804" i="12"/>
  <c r="AB3145" i="12"/>
  <c r="AB526" i="12"/>
  <c r="AB991" i="12"/>
  <c r="AB3029" i="12"/>
  <c r="AB967" i="12"/>
  <c r="AB1555" i="12"/>
  <c r="AB484" i="12"/>
  <c r="AB2268" i="12"/>
  <c r="AB1838" i="12"/>
  <c r="AB3064" i="12"/>
  <c r="AB2117" i="12"/>
  <c r="AB1063" i="12"/>
  <c r="AB1198" i="12"/>
  <c r="AB376" i="12"/>
  <c r="AB1332" i="12"/>
  <c r="AB1254" i="12"/>
  <c r="AB2715" i="12"/>
  <c r="AB88" i="12"/>
  <c r="AB2600" i="12"/>
  <c r="AB2974" i="12"/>
  <c r="AB1459" i="12"/>
  <c r="AB50" i="12"/>
  <c r="AB2079" i="12"/>
  <c r="AB3399" i="12"/>
  <c r="AB1950" i="12"/>
  <c r="AB2603" i="12"/>
  <c r="AB1509" i="12"/>
  <c r="AB2959" i="12"/>
  <c r="AB695" i="12"/>
  <c r="AB2999" i="12"/>
  <c r="AB2926" i="12"/>
  <c r="AB2335" i="12"/>
  <c r="AB2159" i="12"/>
  <c r="AB1457" i="12"/>
  <c r="AB481" i="12"/>
  <c r="AB1547" i="12"/>
  <c r="AB2139" i="12"/>
  <c r="AB1508" i="12"/>
  <c r="AB769" i="12"/>
  <c r="AB2199" i="12"/>
  <c r="AB2283" i="12"/>
  <c r="AB1102" i="12"/>
  <c r="AB1276" i="12"/>
  <c r="AB2314" i="12"/>
  <c r="AB1927" i="12"/>
  <c r="AB2571" i="12"/>
  <c r="AB78" i="12"/>
  <c r="AB1271" i="12"/>
  <c r="AB2913" i="12"/>
  <c r="AB1884" i="12"/>
  <c r="AB1759" i="12"/>
  <c r="AB2896" i="12"/>
  <c r="AB87" i="12"/>
  <c r="AB2790" i="12"/>
  <c r="AB2234" i="12"/>
  <c r="AB2725" i="12"/>
  <c r="AB2414" i="12"/>
  <c r="AB2201" i="12"/>
  <c r="AB1105" i="12"/>
  <c r="AB1891" i="12"/>
  <c r="AB275" i="12"/>
  <c r="AB211" i="12"/>
  <c r="AB1452" i="12"/>
  <c r="AB2894" i="12"/>
  <c r="AB1169" i="12"/>
  <c r="AB40" i="12"/>
  <c r="AB1258" i="12"/>
  <c r="AB1986" i="12"/>
  <c r="AB828" i="12"/>
  <c r="AB1025" i="12"/>
  <c r="AB1379" i="12"/>
  <c r="AB1430" i="12"/>
  <c r="AB531" i="12"/>
  <c r="AB2112" i="12"/>
  <c r="AB2249" i="12"/>
  <c r="AB1503" i="12"/>
  <c r="AB3088" i="12"/>
  <c r="AB3246" i="12"/>
  <c r="AB2744" i="12"/>
  <c r="AB3049" i="12"/>
  <c r="AB1807" i="12"/>
  <c r="AB1983" i="12"/>
  <c r="AB1046" i="12"/>
  <c r="AB2241" i="12"/>
  <c r="AB1151" i="12"/>
  <c r="AB1546" i="12"/>
  <c r="AB2413" i="12"/>
  <c r="AB237" i="12"/>
  <c r="AB794" i="12"/>
  <c r="AB3359" i="12"/>
  <c r="AB443" i="12"/>
  <c r="AB1334" i="12"/>
  <c r="AB765" i="12"/>
  <c r="AB2341" i="12"/>
  <c r="AB2722" i="12"/>
  <c r="AB1267" i="12"/>
  <c r="AB1802" i="12"/>
  <c r="AB3514" i="12"/>
  <c r="AB3196" i="12"/>
  <c r="AB2434" i="12"/>
  <c r="AB121" i="12"/>
  <c r="AB2074" i="12"/>
  <c r="AB3001" i="12"/>
  <c r="AB2336" i="12"/>
  <c r="AB1353" i="12"/>
  <c r="AB1988" i="12"/>
  <c r="AB3396" i="12"/>
  <c r="AB1355" i="12"/>
  <c r="AB3317" i="12"/>
  <c r="AB1035" i="12"/>
  <c r="AB188" i="12"/>
  <c r="AB494" i="12"/>
  <c r="AB1057" i="12"/>
  <c r="AB3532" i="12"/>
  <c r="AB2978" i="12"/>
  <c r="AB649" i="12"/>
  <c r="AB2137" i="12"/>
  <c r="AB2291" i="12"/>
  <c r="AB2285" i="12"/>
  <c r="AB2726" i="12"/>
  <c r="AB3177" i="12"/>
  <c r="AB678" i="12"/>
  <c r="AB132" i="12"/>
  <c r="AB870" i="12"/>
  <c r="AB2789" i="12"/>
  <c r="AB1770" i="12"/>
  <c r="AB2239" i="12"/>
  <c r="AB373" i="12"/>
  <c r="AB1542" i="12"/>
  <c r="AB2248" i="12"/>
  <c r="AB2672" i="12"/>
  <c r="AB2282" i="12"/>
  <c r="AB1445" i="12"/>
  <c r="AB1031" i="12"/>
  <c r="AB615" i="12"/>
  <c r="AB1114" i="12"/>
  <c r="AB2754" i="12"/>
  <c r="AB2885" i="12"/>
  <c r="AB2712" i="12"/>
  <c r="AB588" i="12"/>
  <c r="AB2806" i="12"/>
  <c r="AB558" i="12"/>
  <c r="AB1921" i="12"/>
  <c r="AB1491" i="12"/>
  <c r="AB1901" i="12"/>
  <c r="AB575" i="12"/>
  <c r="AB22" i="12"/>
  <c r="AB2842" i="12"/>
  <c r="AB2191" i="12"/>
  <c r="AB1514" i="12"/>
  <c r="AB412" i="12"/>
  <c r="AB1443" i="12"/>
  <c r="AB1362" i="12"/>
  <c r="AB679" i="12"/>
  <c r="AB1667" i="12"/>
  <c r="AB637" i="12"/>
  <c r="AB3028" i="12"/>
  <c r="AB836" i="12"/>
  <c r="AB1022" i="12"/>
  <c r="AB62" i="12"/>
  <c r="AB1017" i="12"/>
  <c r="AB2653" i="12"/>
  <c r="AB305" i="12"/>
  <c r="AB3331" i="12"/>
  <c r="AB1842" i="12"/>
  <c r="AB2575" i="12"/>
  <c r="AB3002" i="12"/>
  <c r="AB288" i="12"/>
  <c r="AB1167" i="12"/>
  <c r="AB2764" i="12"/>
  <c r="AB2783" i="12"/>
  <c r="AB1015" i="12"/>
  <c r="AB1152" i="12"/>
  <c r="AB2419" i="12"/>
  <c r="AB2574" i="12"/>
  <c r="AB998" i="12"/>
  <c r="AB270" i="12"/>
  <c r="AB2920" i="12"/>
  <c r="AB1451" i="12"/>
  <c r="AB2990" i="12"/>
  <c r="AB603" i="12"/>
  <c r="AB2364" i="12"/>
  <c r="AB715" i="12"/>
  <c r="AB2734" i="12"/>
  <c r="AB1664" i="12"/>
  <c r="AB29" i="12"/>
  <c r="AB191" i="12"/>
  <c r="AB2082" i="12"/>
  <c r="AB3333" i="12"/>
  <c r="AB725" i="12"/>
  <c r="AB3365" i="12"/>
  <c r="AB1890" i="12"/>
  <c r="AB1074" i="12"/>
  <c r="AB3161" i="12"/>
  <c r="AB3164" i="12"/>
  <c r="AB3324" i="12"/>
  <c r="AB655" i="12"/>
  <c r="AB757" i="12"/>
  <c r="AB170" i="12"/>
  <c r="AB396" i="12"/>
  <c r="AB3364" i="12"/>
  <c r="AB1437" i="12"/>
  <c r="AB2067" i="12"/>
  <c r="AB2683" i="12"/>
  <c r="AB2965" i="12"/>
  <c r="AB2256" i="12"/>
  <c r="AB1964" i="12"/>
  <c r="AB2830" i="12"/>
  <c r="AB511" i="12"/>
  <c r="AB3431" i="12"/>
  <c r="AB2989" i="12"/>
  <c r="AB2187" i="12"/>
  <c r="AB3099" i="12"/>
  <c r="AB1078" i="12"/>
  <c r="AB951" i="12"/>
  <c r="AB570" i="12"/>
  <c r="AB338" i="12"/>
  <c r="AB2709" i="12"/>
  <c r="AB3476" i="12"/>
  <c r="AB900" i="12"/>
  <c r="AB1197" i="12"/>
  <c r="AB3418" i="12"/>
  <c r="AB1769" i="12"/>
  <c r="AB1900" i="12"/>
  <c r="AB1158" i="12"/>
  <c r="AB2174" i="12"/>
  <c r="AB432" i="12"/>
  <c r="AB795" i="12"/>
  <c r="AB3546" i="12"/>
  <c r="AB286" i="12"/>
  <c r="AB224" i="12"/>
  <c r="AB596" i="12"/>
  <c r="AB3229" i="12"/>
  <c r="AB2163" i="12"/>
  <c r="AB1600" i="12"/>
  <c r="AB3422" i="12"/>
  <c r="AB997" i="12"/>
  <c r="AB3452" i="12"/>
  <c r="AB878" i="12"/>
  <c r="AB1467" i="12"/>
  <c r="AB718" i="12"/>
  <c r="AB2110" i="12"/>
  <c r="AB1233" i="12"/>
  <c r="AB3328" i="12"/>
  <c r="AB429" i="12"/>
  <c r="AB448" i="12"/>
  <c r="AB1038" i="12"/>
  <c r="AB3421" i="12"/>
  <c r="AB3460" i="12"/>
  <c r="AB1625" i="12"/>
  <c r="AB2477" i="12"/>
  <c r="AB693" i="12"/>
  <c r="AB1874" i="12"/>
  <c r="AB1826" i="12"/>
  <c r="AB3314" i="12"/>
  <c r="AB2947" i="12"/>
  <c r="AB2598" i="12"/>
  <c r="AB514" i="12"/>
  <c r="AB232" i="12"/>
  <c r="AB3286" i="12"/>
  <c r="AB2059" i="12"/>
  <c r="AB2616" i="12"/>
  <c r="AB2821" i="12"/>
  <c r="AB3339" i="12"/>
  <c r="AB961" i="12"/>
  <c r="AB3110" i="12"/>
  <c r="AB134" i="12"/>
  <c r="AB3232" i="12"/>
  <c r="AB1294" i="12"/>
  <c r="AB2988" i="12"/>
  <c r="AB2640" i="12"/>
  <c r="AB2428" i="12"/>
  <c r="AB3051" i="12"/>
  <c r="AB1976" i="12"/>
  <c r="AB1645" i="12"/>
  <c r="AB1737" i="12"/>
  <c r="AB2667" i="12"/>
  <c r="AB3023" i="12"/>
  <c r="AB2592" i="12"/>
  <c r="AB2852" i="12"/>
  <c r="AB3192" i="12"/>
  <c r="AB111" i="12"/>
  <c r="AB1517" i="12"/>
  <c r="AB3435" i="12"/>
  <c r="AB1511" i="12"/>
  <c r="AB3451" i="12"/>
  <c r="AB832" i="12"/>
  <c r="AB1982" i="12"/>
  <c r="AB787" i="12"/>
  <c r="AB510" i="12"/>
  <c r="AB3236" i="12"/>
  <c r="AB2126" i="12"/>
  <c r="AB440" i="12"/>
  <c r="AB333" i="12"/>
  <c r="AB1758" i="12"/>
  <c r="AB2866" i="12"/>
  <c r="AB3531" i="12"/>
  <c r="AB747" i="12"/>
  <c r="AB3115" i="12"/>
  <c r="AB1932" i="12"/>
  <c r="AB2437" i="12"/>
  <c r="AB2871" i="12"/>
  <c r="AB1864" i="12"/>
  <c r="AB97" i="12"/>
  <c r="AB1126" i="12"/>
  <c r="AB149" i="12"/>
  <c r="AB1455" i="12"/>
  <c r="AB1135" i="12"/>
  <c r="AB1821" i="12"/>
  <c r="AB2705" i="12"/>
  <c r="AB2638" i="12"/>
  <c r="AB3266" i="12"/>
  <c r="AB914" i="12"/>
  <c r="AB393" i="12"/>
  <c r="AB3212" i="12"/>
  <c r="AB2847" i="12"/>
  <c r="AB2883" i="12"/>
  <c r="AB442" i="12"/>
  <c r="AB2269" i="12"/>
  <c r="AB3504" i="12"/>
  <c r="AB102" i="12"/>
  <c r="AB2521" i="12"/>
  <c r="AB228" i="12"/>
  <c r="AB301" i="12"/>
  <c r="AB1440" i="12"/>
  <c r="AB2826" i="12"/>
  <c r="AB2708" i="12"/>
  <c r="AB2209" i="12"/>
  <c r="AB3518" i="12"/>
  <c r="AB2962" i="12"/>
  <c r="AB2160" i="12"/>
  <c r="AB91" i="12"/>
  <c r="AB3235" i="12"/>
  <c r="AB3034" i="12"/>
  <c r="AB3463" i="12"/>
  <c r="AB2462" i="12"/>
  <c r="AB1420" i="12"/>
  <c r="AB147" i="12"/>
  <c r="AB2552" i="12"/>
  <c r="AB431" i="12"/>
  <c r="AB2224" i="12"/>
  <c r="AB327" i="12"/>
  <c r="AB1425" i="12"/>
  <c r="AB115" i="12"/>
  <c r="AB273" i="12"/>
  <c r="AB3475" i="12"/>
  <c r="AB2181" i="12"/>
  <c r="AB506" i="12"/>
  <c r="AB52" i="12"/>
  <c r="AB3227" i="12"/>
  <c r="AB2242" i="12"/>
  <c r="AB306" i="12"/>
  <c r="AB973" i="12"/>
  <c r="AB3129" i="12"/>
  <c r="AB1755" i="12"/>
  <c r="AB1774" i="12"/>
  <c r="AB109" i="12"/>
  <c r="AB2881" i="12"/>
  <c r="AB2469" i="12"/>
  <c r="AB2685" i="12"/>
  <c r="AB3377" i="12"/>
  <c r="AB469" i="12"/>
  <c r="AB367" i="12"/>
  <c r="AB2471" i="12"/>
  <c r="AB1277" i="12"/>
  <c r="AB3162" i="12"/>
  <c r="AB3136" i="12"/>
  <c r="AB974" i="12"/>
  <c r="AB1120" i="12"/>
  <c r="AB2197" i="12"/>
  <c r="AB1148" i="12"/>
  <c r="AB1377" i="12"/>
  <c r="AB169" i="12"/>
  <c r="AB2713" i="12"/>
  <c r="AB1883" i="12"/>
  <c r="AB204" i="12"/>
  <c r="AB2053" i="12"/>
  <c r="AB1628" i="12"/>
  <c r="AB27" i="12"/>
  <c r="AB313" i="12"/>
  <c r="AB1413" i="12"/>
  <c r="AB39" i="12"/>
  <c r="AB3038" i="12"/>
  <c r="AB154" i="12"/>
  <c r="AB1389" i="12"/>
  <c r="AB449" i="12"/>
  <c r="AB441" i="12"/>
  <c r="AB3228" i="12"/>
  <c r="AB3220" i="12"/>
  <c r="AB748" i="12"/>
  <c r="AB1655" i="12"/>
  <c r="AB294" i="12"/>
  <c r="AB1861" i="12"/>
  <c r="AB1817" i="12"/>
  <c r="AB447" i="12"/>
  <c r="AB2775" i="12"/>
  <c r="AB3013" i="12"/>
  <c r="AB1872" i="12"/>
  <c r="AB3534" i="12"/>
  <c r="AB2316" i="12"/>
  <c r="AB2782" i="12"/>
  <c r="AB1474" i="12"/>
  <c r="AB573" i="12"/>
  <c r="AB41" i="12"/>
  <c r="AB1525" i="12"/>
  <c r="AB2798" i="12"/>
  <c r="AB1956" i="12"/>
  <c r="AB673" i="12"/>
  <c r="AB1176" i="12"/>
  <c r="AB28" i="12"/>
  <c r="AB105" i="12"/>
  <c r="AB1996" i="12"/>
  <c r="AB2218" i="12"/>
  <c r="AB2446" i="12"/>
  <c r="AB1696" i="12"/>
  <c r="AB2150" i="12"/>
  <c r="AB266" i="12"/>
  <c r="AB1279" i="12"/>
  <c r="AB1718" i="12"/>
  <c r="AB1060" i="12"/>
  <c r="AB2588" i="12"/>
  <c r="AB2388" i="12"/>
  <c r="AB1215" i="12"/>
  <c r="AB583" i="12"/>
  <c r="AB268" i="12"/>
  <c r="AB2128" i="12"/>
  <c r="AB737" i="12"/>
  <c r="AB158" i="12"/>
  <c r="AB911" i="12"/>
  <c r="AB1721" i="12"/>
  <c r="AB2818" i="12"/>
  <c r="AB1236" i="12"/>
  <c r="AB1984" i="12"/>
  <c r="AB309" i="12"/>
  <c r="AB1599" i="12"/>
  <c r="AB3231" i="12"/>
  <c r="AB1726" i="12"/>
  <c r="AB1702" i="12"/>
  <c r="AB238" i="12"/>
  <c r="AB3248" i="12"/>
  <c r="AB2985" i="12"/>
  <c r="AB1302" i="12"/>
  <c r="AB740" i="12"/>
  <c r="AB2579" i="12"/>
  <c r="AB1288" i="12"/>
  <c r="AB1366" i="12"/>
  <c r="AB1653" i="12"/>
  <c r="AB1740" i="12"/>
  <c r="AB263" i="12"/>
  <c r="AB509" i="12"/>
  <c r="AB739" i="12"/>
  <c r="AB2452" i="12"/>
  <c r="AB1937" i="12"/>
  <c r="AB2354" i="12"/>
  <c r="AB2129" i="12"/>
  <c r="AB2530" i="12"/>
  <c r="AB1614" i="12"/>
  <c r="AB2527" i="12"/>
  <c r="AB2716" i="12"/>
  <c r="AB3126" i="12"/>
  <c r="AB1225" i="12"/>
  <c r="AB756" i="12"/>
  <c r="AB2155" i="12"/>
  <c r="AB1835" i="12"/>
  <c r="AB2558" i="12"/>
  <c r="AB965" i="12"/>
  <c r="AB3457" i="12"/>
  <c r="AB2275" i="12"/>
  <c r="AB632" i="12"/>
  <c r="AB629" i="12"/>
  <c r="AB3386" i="12"/>
  <c r="AB1669" i="12"/>
  <c r="AB502" i="12"/>
  <c r="AB2835" i="12"/>
  <c r="AB939" i="12"/>
  <c r="AB3540" i="12"/>
  <c r="AB2724" i="12"/>
  <c r="AB2284" i="12"/>
  <c r="AB2303" i="12"/>
  <c r="AB2508" i="12"/>
  <c r="AB356" i="12"/>
  <c r="AB20" i="12"/>
  <c r="AB3026" i="12"/>
  <c r="AB2116" i="12"/>
  <c r="AB676" i="12"/>
  <c r="AB2773" i="12"/>
  <c r="AB1339" i="12"/>
  <c r="AB83" i="12"/>
  <c r="AB390" i="12"/>
  <c r="AB55" i="12"/>
  <c r="AB1170" i="12"/>
  <c r="AB3430" i="12"/>
  <c r="AB218" i="12"/>
  <c r="AB1561" i="12"/>
  <c r="AB609" i="12"/>
  <c r="AB416" i="12"/>
  <c r="AB1969" i="12"/>
  <c r="AB3383" i="12"/>
  <c r="AB496" i="12"/>
  <c r="AB2081" i="12"/>
  <c r="AB408" i="12"/>
  <c r="AB295" i="12"/>
  <c r="AB2021" i="12"/>
  <c r="AB1674" i="12"/>
  <c r="AB1931" i="12"/>
  <c r="AB2091" i="12"/>
  <c r="AB200" i="12"/>
  <c r="AB59" i="12"/>
  <c r="AB1507" i="12"/>
  <c r="AB2058" i="12"/>
  <c r="AB2203" i="12"/>
  <c r="AB3106" i="12"/>
  <c r="AB1292" i="12"/>
  <c r="AB1313" i="12"/>
  <c r="AB1889" i="12"/>
  <c r="AB773" i="12"/>
  <c r="AB1454" i="12"/>
  <c r="AB1381" i="12"/>
  <c r="AB1493" i="12"/>
  <c r="AB1163" i="12"/>
  <c r="AB3408" i="12"/>
  <c r="AB3483" i="12"/>
  <c r="AB909" i="12"/>
  <c r="AB3388" i="12"/>
  <c r="AB1496" i="12"/>
  <c r="AB3517" i="12"/>
  <c r="AB2534" i="12"/>
  <c r="AB2768" i="12"/>
  <c r="AB2614" i="12"/>
  <c r="AB1617" i="12"/>
  <c r="AB2987" i="12"/>
  <c r="AB507" i="12"/>
  <c r="AB3427" i="12"/>
  <c r="AB1470" i="12"/>
  <c r="AB922" i="12"/>
  <c r="AB1018" i="12"/>
  <c r="AB554" i="12"/>
  <c r="AB1488" i="12"/>
  <c r="AB2463" i="12"/>
  <c r="AB622" i="12"/>
  <c r="AB2772" i="12"/>
  <c r="AB3194" i="12"/>
  <c r="AB566" i="12"/>
  <c r="AB2762" i="12"/>
  <c r="V383" i="12"/>
  <c r="W78" i="12" s="1"/>
  <c r="AA33" i="12"/>
  <c r="AC19" i="12" s="1" a="1"/>
  <c r="D25" i="6"/>
  <c r="D24" i="6"/>
  <c r="AC1011" i="12" l="1"/>
  <c r="AC2580" i="12"/>
  <c r="AC1682" i="12"/>
  <c r="AC2276" i="12"/>
  <c r="AC1717" i="12"/>
  <c r="AC1010" i="12"/>
  <c r="AC3250" i="12"/>
  <c r="AC1355" i="12"/>
  <c r="AC523" i="12"/>
  <c r="AC215" i="12"/>
  <c r="AC3447" i="12"/>
  <c r="AC2219" i="12"/>
  <c r="AC1764" i="12"/>
  <c r="AC3487" i="12"/>
  <c r="AC2882" i="12"/>
  <c r="AC1319" i="12"/>
  <c r="AC2919" i="12"/>
  <c r="AC226" i="12"/>
  <c r="AC2442" i="12"/>
  <c r="AC3251" i="12"/>
  <c r="AC3370" i="12"/>
  <c r="AC1360" i="12"/>
  <c r="AC1825" i="12"/>
  <c r="AC3471" i="12"/>
  <c r="AC279" i="12"/>
  <c r="AC2247" i="12"/>
  <c r="AC1748" i="12"/>
  <c r="AC1583" i="12"/>
  <c r="AC1508" i="12"/>
  <c r="AC2488" i="12"/>
  <c r="AC149" i="12"/>
  <c r="AC2459" i="12"/>
  <c r="AC1441" i="12"/>
  <c r="AC3033" i="12"/>
  <c r="AC2439" i="12"/>
  <c r="AC154" i="12"/>
  <c r="AC2618" i="12"/>
  <c r="AC384" i="12"/>
  <c r="AC2678" i="12"/>
  <c r="AC1601" i="12"/>
  <c r="AC1288" i="12"/>
  <c r="AC1960" i="12"/>
  <c r="AC2023" i="12"/>
  <c r="AC1296" i="12"/>
  <c r="AC3000" i="12"/>
  <c r="AC1345" i="12"/>
  <c r="AC1321" i="12"/>
  <c r="AC1518" i="12"/>
  <c r="AC2916" i="12"/>
  <c r="AC1939" i="12"/>
  <c r="AC664" i="12"/>
  <c r="AC956" i="12"/>
  <c r="AC820" i="12"/>
  <c r="AC2475" i="12"/>
  <c r="AC1733" i="12"/>
  <c r="AC3045" i="12"/>
  <c r="AC3232" i="12"/>
  <c r="AC1474" i="12"/>
  <c r="AC1022" i="12"/>
  <c r="AC3161" i="12"/>
  <c r="AC2017" i="12"/>
  <c r="AC1326" i="12"/>
  <c r="AC1822" i="12"/>
  <c r="AC1482" i="12"/>
  <c r="AC743" i="12"/>
  <c r="AC2928" i="12"/>
  <c r="AC3167" i="12"/>
  <c r="AC1966" i="12"/>
  <c r="AC1479" i="12"/>
  <c r="AC2524" i="12"/>
  <c r="AC3425" i="12"/>
  <c r="AC3290" i="12"/>
  <c r="AC405" i="12"/>
  <c r="AC2673" i="12"/>
  <c r="AC2364" i="12"/>
  <c r="AC2194" i="12"/>
  <c r="AC1588" i="12"/>
  <c r="AC1134" i="12"/>
  <c r="AC1131" i="12"/>
  <c r="AC1638" i="12"/>
  <c r="AC229" i="12"/>
  <c r="AC343" i="12"/>
  <c r="AC2152" i="12"/>
  <c r="AC608" i="12"/>
  <c r="AC2672" i="12"/>
  <c r="AC2437" i="12"/>
  <c r="AC3051" i="12"/>
  <c r="AC553" i="12"/>
  <c r="AC3208" i="12"/>
  <c r="AC2185" i="12"/>
  <c r="AC1876" i="12"/>
  <c r="AC1662" i="12"/>
  <c r="AC1730" i="12"/>
  <c r="AC3339" i="12"/>
  <c r="AC861" i="12"/>
  <c r="AC1830" i="12"/>
  <c r="AC3481" i="12"/>
  <c r="AC2501" i="12"/>
  <c r="AC1423" i="12"/>
  <c r="AC1128" i="12"/>
  <c r="AC1500" i="12"/>
  <c r="AC642" i="12"/>
  <c r="AC388" i="12"/>
  <c r="AC3018" i="12"/>
  <c r="AC2601" i="12"/>
  <c r="AC3493" i="12"/>
  <c r="AC1109" i="12"/>
  <c r="AC1849" i="12"/>
  <c r="AC32" i="12"/>
  <c r="AC1439" i="12"/>
  <c r="AC652" i="12"/>
  <c r="AC733" i="12"/>
  <c r="AC2525" i="12"/>
  <c r="AC676" i="12"/>
  <c r="AC2982" i="12"/>
  <c r="AC375" i="12"/>
  <c r="AC1769" i="12"/>
  <c r="AC1886" i="12"/>
  <c r="AC1527" i="12"/>
  <c r="AC585" i="12"/>
  <c r="AC435" i="12"/>
  <c r="AC490" i="12"/>
  <c r="AC184" i="12"/>
  <c r="AC1461" i="12"/>
  <c r="AC2094" i="12"/>
  <c r="AC2812" i="12"/>
  <c r="AC1712" i="12"/>
  <c r="AC807" i="12"/>
  <c r="AC2794" i="12"/>
  <c r="AC1264" i="12"/>
  <c r="AC2745" i="12"/>
  <c r="AC144" i="12"/>
  <c r="AC85" i="12"/>
  <c r="AC321" i="12"/>
  <c r="AC2333" i="12"/>
  <c r="AC2983" i="12"/>
  <c r="AC3454" i="12"/>
  <c r="AC34" i="12"/>
  <c r="AC1911" i="12"/>
  <c r="AC2810" i="12"/>
  <c r="AC298" i="12"/>
  <c r="AC484" i="12"/>
  <c r="AC1745" i="12"/>
  <c r="AC3074" i="12"/>
  <c r="AC1942" i="12"/>
  <c r="AC2935" i="12"/>
  <c r="AC2945" i="12"/>
  <c r="AC2000" i="12"/>
  <c r="AC2868" i="12"/>
  <c r="AC488" i="12"/>
  <c r="AC874" i="12"/>
  <c r="AC2092" i="12"/>
  <c r="AC1058" i="12"/>
  <c r="AC2331" i="12"/>
  <c r="AC1620" i="12"/>
  <c r="AC1695" i="12"/>
  <c r="AC2766" i="12"/>
  <c r="AC28" i="12"/>
  <c r="AC3344" i="12"/>
  <c r="AC3533" i="12"/>
  <c r="AC3412" i="12"/>
  <c r="AC1357" i="12"/>
  <c r="AC2197" i="12"/>
  <c r="AC1163" i="12"/>
  <c r="AC2762" i="12"/>
  <c r="AC1897" i="12"/>
  <c r="AC1092" i="12"/>
  <c r="AC1987" i="12"/>
  <c r="AC2487" i="12"/>
  <c r="AC1127" i="12"/>
  <c r="AC1449" i="12"/>
  <c r="AC3409" i="12"/>
  <c r="AC1699" i="12"/>
  <c r="AC814" i="12"/>
  <c r="AC462" i="12"/>
  <c r="AC2816" i="12"/>
  <c r="AC1999" i="12"/>
  <c r="AC314" i="12"/>
  <c r="AC1189" i="12"/>
  <c r="AC815" i="12"/>
  <c r="AC363" i="12"/>
  <c r="AC1359" i="12"/>
  <c r="AC231" i="12"/>
  <c r="AC2477" i="12"/>
  <c r="AC2865" i="12"/>
  <c r="AC1549" i="12"/>
  <c r="AC3334" i="12"/>
  <c r="AC2480" i="12"/>
  <c r="AC1819" i="12"/>
  <c r="AC1905" i="12"/>
  <c r="AC301" i="12"/>
  <c r="AC699" i="12"/>
  <c r="AC120" i="12"/>
  <c r="AC3522" i="12"/>
  <c r="AC1623" i="12"/>
  <c r="AC133" i="12"/>
  <c r="AC3345" i="12"/>
  <c r="AC2541" i="12"/>
  <c r="AC143" i="12"/>
  <c r="AC3476" i="12"/>
  <c r="AC353" i="12"/>
  <c r="AC1736" i="12"/>
  <c r="AC3475" i="12"/>
  <c r="AC3341" i="12"/>
  <c r="AC2407" i="12"/>
  <c r="AC137" i="12"/>
  <c r="AC1722" i="12"/>
  <c r="AC319" i="12"/>
  <c r="AC2464" i="12"/>
  <c r="AC2604" i="12"/>
  <c r="AC432" i="12"/>
  <c r="AC525" i="12"/>
  <c r="AC1340" i="12"/>
  <c r="AC639" i="12"/>
  <c r="AC3519" i="12"/>
  <c r="AC823" i="12"/>
  <c r="AC2657" i="12"/>
  <c r="AC2417" i="12"/>
  <c r="AC3056" i="12"/>
  <c r="AC3367" i="12"/>
  <c r="AC3453" i="12"/>
  <c r="AC198" i="12"/>
  <c r="AC1514" i="12"/>
  <c r="AC3282" i="12"/>
  <c r="AC895" i="12"/>
  <c r="AC3203" i="12"/>
  <c r="AC1487" i="12"/>
  <c r="AC2049" i="12"/>
  <c r="AC1729" i="12"/>
  <c r="AC1642" i="12"/>
  <c r="AC1473" i="12"/>
  <c r="AC141" i="12"/>
  <c r="AC1995" i="12"/>
  <c r="AC3047" i="12"/>
  <c r="AC2503" i="12"/>
  <c r="AC1256" i="12"/>
  <c r="AC596" i="12"/>
  <c r="AC164" i="12"/>
  <c r="AC726" i="12"/>
  <c r="AC1603" i="12"/>
  <c r="AC3356" i="12"/>
  <c r="AC348" i="12"/>
  <c r="AC1677" i="12"/>
  <c r="AC1364" i="12"/>
  <c r="AC3378" i="12"/>
  <c r="AC2748" i="12"/>
  <c r="AC2391" i="12"/>
  <c r="AC210" i="12"/>
  <c r="AC833" i="12"/>
  <c r="AC2771" i="12"/>
  <c r="AC297" i="12"/>
  <c r="AC2648" i="12"/>
  <c r="AC981" i="12"/>
  <c r="AC1015" i="12"/>
  <c r="AC1085" i="12"/>
  <c r="AC1416" i="12"/>
  <c r="AC1789" i="12"/>
  <c r="AC794" i="12"/>
  <c r="AC753" i="12"/>
  <c r="AC2387" i="12"/>
  <c r="AC3259" i="12"/>
  <c r="AC3540" i="12"/>
  <c r="AC2273" i="12"/>
  <c r="AC1522" i="12"/>
  <c r="AC3428" i="12"/>
  <c r="AC1392" i="12"/>
  <c r="AC3547" i="12"/>
  <c r="AC1064" i="12"/>
  <c r="AC755" i="12"/>
  <c r="AC160" i="12"/>
  <c r="AC3360" i="12"/>
  <c r="AC1756" i="12"/>
  <c r="AC1018" i="12"/>
  <c r="AC1903" i="12"/>
  <c r="AC1126" i="12"/>
  <c r="AC3013" i="12"/>
  <c r="AC1139" i="12"/>
  <c r="AC644" i="12"/>
  <c r="AC3460" i="12"/>
  <c r="AC2386" i="12"/>
  <c r="AC2494" i="12"/>
  <c r="AC2710" i="12"/>
  <c r="AC2560" i="12"/>
  <c r="AC419" i="12"/>
  <c r="AC170" i="12"/>
  <c r="AC406" i="12"/>
  <c r="AC2622" i="12"/>
  <c r="AC787" i="12"/>
  <c r="AC1183" i="12"/>
  <c r="AC3212" i="12"/>
  <c r="AC1803" i="12"/>
  <c r="AC1265" i="12"/>
  <c r="AC1701" i="12"/>
  <c r="AC3122" i="12"/>
  <c r="AC2404" i="12"/>
  <c r="AC2856" i="12"/>
  <c r="AC557" i="12"/>
  <c r="AC1613" i="12"/>
  <c r="AC1732" i="12"/>
  <c r="AC2834" i="12"/>
  <c r="AC2231" i="12"/>
  <c r="AC3402" i="12"/>
  <c r="AC2520" i="12"/>
  <c r="AC183" i="12"/>
  <c r="AC2780" i="12"/>
  <c r="AC3545" i="12"/>
  <c r="AC2087" i="12"/>
  <c r="AC547" i="12"/>
  <c r="AC455" i="12"/>
  <c r="AC1187" i="12"/>
  <c r="AC52" i="12"/>
  <c r="AC1083" i="12"/>
  <c r="AC3038" i="12"/>
  <c r="AC3284" i="12"/>
  <c r="AC821" i="12"/>
  <c r="AC1940" i="12"/>
  <c r="AC1051" i="12"/>
  <c r="AC400" i="12"/>
  <c r="AC1220" i="12"/>
  <c r="AC1900" i="12"/>
  <c r="AC827" i="12"/>
  <c r="AC3026" i="12"/>
  <c r="AC2937" i="12"/>
  <c r="AC2895" i="12"/>
  <c r="AC3127" i="12"/>
  <c r="AC437" i="12"/>
  <c r="AC2538" i="12"/>
  <c r="AC2702" i="12"/>
  <c r="AC2467" i="12"/>
  <c r="AC3123" i="12"/>
  <c r="AC441" i="12"/>
  <c r="AC1839" i="12"/>
  <c r="AC2180" i="12"/>
  <c r="AC766" i="12"/>
  <c r="AC1665" i="12"/>
  <c r="AC2376" i="12"/>
  <c r="AC3286" i="12"/>
  <c r="AC2564" i="12"/>
  <c r="AC889" i="12"/>
  <c r="AC2738" i="12"/>
  <c r="AC1176" i="12"/>
  <c r="AC3312" i="12"/>
  <c r="AC617" i="12"/>
  <c r="AC379" i="12"/>
  <c r="AC2245" i="12"/>
  <c r="AC445" i="12"/>
  <c r="AC2925" i="12"/>
  <c r="AC2783" i="12"/>
  <c r="AC469" i="12"/>
  <c r="AC1161" i="12"/>
  <c r="AC2785" i="12"/>
  <c r="AC526" i="12"/>
  <c r="AC2462" i="12"/>
  <c r="AC1661" i="12"/>
  <c r="AC2781" i="12"/>
  <c r="AC3521" i="12"/>
  <c r="AC2346" i="12"/>
  <c r="AC3439" i="12"/>
  <c r="AC2819" i="12"/>
  <c r="AC945" i="12"/>
  <c r="AC2989" i="12"/>
  <c r="AC3210" i="12"/>
  <c r="AC2306" i="12"/>
  <c r="AC1865" i="12"/>
  <c r="AC2729" i="12"/>
  <c r="AC344" i="12"/>
  <c r="AC2409" i="12"/>
  <c r="AC663" i="12"/>
  <c r="AC2091" i="12"/>
  <c r="AC2259" i="12"/>
  <c r="AC858" i="12"/>
  <c r="AC2131" i="12"/>
  <c r="AC3133" i="12"/>
  <c r="AC1171" i="12"/>
  <c r="AC712" i="12"/>
  <c r="AC1852" i="12"/>
  <c r="AC3285" i="12"/>
  <c r="AC2320" i="12"/>
  <c r="AC3423" i="12"/>
  <c r="AC3080" i="12"/>
  <c r="AC2324" i="12"/>
  <c r="AC1125" i="12"/>
  <c r="AC3347" i="12"/>
  <c r="AC46" i="12"/>
  <c r="AC2378" i="12"/>
  <c r="AC1653" i="12"/>
  <c r="AC2552" i="12"/>
  <c r="AC24" i="12"/>
  <c r="AC1547" i="12"/>
  <c r="AC1994" i="12"/>
  <c r="AC225" i="12"/>
  <c r="AC1042" i="12"/>
  <c r="AC408" i="12"/>
  <c r="AC62" i="12"/>
  <c r="AC1154" i="12"/>
  <c r="AC535" i="12"/>
  <c r="AC2241" i="12"/>
  <c r="AC2394" i="12"/>
  <c r="AC260" i="12"/>
  <c r="AC691" i="12"/>
  <c r="AC1048" i="12"/>
  <c r="AC440" i="12"/>
  <c r="AC2041" i="12"/>
  <c r="AC1310" i="12"/>
  <c r="AC738" i="12"/>
  <c r="AC1663" i="12"/>
  <c r="AC217" i="12"/>
  <c r="AC61" i="12"/>
  <c r="AC306" i="12"/>
  <c r="AC94" i="12"/>
  <c r="AC2402" i="12"/>
  <c r="AC510" i="12"/>
  <c r="AC1926" i="12"/>
  <c r="AC493" i="12"/>
  <c r="AC2637" i="12"/>
  <c r="AC3340" i="12"/>
  <c r="AC2881" i="12"/>
  <c r="AC309" i="12"/>
  <c r="AC843" i="12"/>
  <c r="AC3171" i="12"/>
  <c r="AC2319" i="12"/>
  <c r="AC3016" i="12"/>
  <c r="AC1765" i="12"/>
  <c r="AC2253" i="12"/>
  <c r="AC3009" i="12"/>
  <c r="AC66" i="12"/>
  <c r="AC930" i="12"/>
  <c r="AC396" i="12"/>
  <c r="AC3479" i="12"/>
  <c r="AC145" i="12"/>
  <c r="AC3182" i="12"/>
  <c r="AC1116" i="12"/>
  <c r="AC2181" i="12"/>
  <c r="AC1001" i="12"/>
  <c r="AC2626" i="12"/>
  <c r="AC3176" i="12"/>
  <c r="AC330" i="12"/>
  <c r="AC1931" i="12"/>
  <c r="AC1854" i="12"/>
  <c r="AC2528" i="12"/>
  <c r="AC2086" i="12"/>
  <c r="AC1290" i="12"/>
  <c r="AC3062" i="12"/>
  <c r="AC552" i="12"/>
  <c r="AC2044" i="12"/>
  <c r="AC2037" i="12"/>
  <c r="AC2603" i="12"/>
  <c r="AC2744" i="12"/>
  <c r="AC2760" i="12"/>
  <c r="AC1337" i="12"/>
  <c r="AC3508" i="12"/>
  <c r="AC813" i="12"/>
  <c r="AC240" i="12"/>
  <c r="AC591" i="12"/>
  <c r="AC1934" i="12"/>
  <c r="AC777" i="12"/>
  <c r="AC2081" i="12"/>
  <c r="AC2777" i="12"/>
  <c r="AC3511" i="12"/>
  <c r="AC1507" i="12"/>
  <c r="AC2705" i="12"/>
  <c r="AC2449" i="12"/>
  <c r="AC1626" i="12"/>
  <c r="AC2005" i="12"/>
  <c r="AC3258" i="12"/>
  <c r="AC581" i="12"/>
  <c r="AC2257" i="12"/>
  <c r="AC2746" i="12"/>
  <c r="AC1674" i="12"/>
  <c r="AC1177" i="12"/>
  <c r="AC105" i="12"/>
  <c r="AC2620" i="12"/>
  <c r="AC2526" i="12"/>
  <c r="AC2484" i="12"/>
  <c r="AC2426" i="12"/>
  <c r="AC3135" i="12"/>
  <c r="AC965" i="12"/>
  <c r="AC1175" i="12"/>
  <c r="AC322" i="12"/>
  <c r="AC1100" i="12"/>
  <c r="AC3512" i="12"/>
  <c r="AC3305" i="12"/>
  <c r="AC2795" i="12"/>
  <c r="AC824" i="12"/>
  <c r="AC1809" i="12"/>
  <c r="AC730" i="12"/>
  <c r="AC1316" i="12"/>
  <c r="AC1098" i="12"/>
  <c r="AC729" i="12"/>
  <c r="AC775" i="12"/>
  <c r="AC3032" i="12"/>
  <c r="AC1576" i="12"/>
  <c r="AC1029" i="12"/>
  <c r="AC2757" i="12"/>
  <c r="AC1534" i="12"/>
  <c r="AC1917" i="12"/>
  <c r="AC175" i="12"/>
  <c r="AC931" i="12"/>
  <c r="AC2582" i="12"/>
  <c r="AC1257" i="12"/>
  <c r="AC2326" i="12"/>
  <c r="AC1332" i="12"/>
  <c r="AC1872" i="12"/>
  <c r="AC305" i="12"/>
  <c r="AC3404" i="12"/>
  <c r="AC1498" i="12"/>
  <c r="AC976" i="12"/>
  <c r="AC867" i="12"/>
  <c r="AC1361" i="12"/>
  <c r="AC1772" i="12"/>
  <c r="AC2471" i="12"/>
  <c r="AC2288" i="12"/>
  <c r="AC529" i="12"/>
  <c r="AC2875" i="12"/>
  <c r="AC498" i="12"/>
  <c r="AC2617" i="12"/>
  <c r="AC2645" i="12"/>
  <c r="AC1331" i="12"/>
  <c r="AC1704" i="12"/>
  <c r="AC2756" i="12"/>
  <c r="AC2739" i="12"/>
  <c r="AC2201" i="12"/>
  <c r="AC354" i="12"/>
  <c r="AC2224" i="12"/>
  <c r="AC880" i="12"/>
  <c r="AC2406" i="12"/>
  <c r="AC1898" i="12"/>
  <c r="AC342" i="12"/>
  <c r="AC1493" i="12"/>
  <c r="AC2922" i="12"/>
  <c r="AC3042" i="12"/>
  <c r="AC2845" i="12"/>
  <c r="AC368" i="12"/>
  <c r="AC2910" i="12"/>
  <c r="AC2866" i="12"/>
  <c r="AC764" i="12"/>
  <c r="AC1944" i="12"/>
  <c r="AC317" i="12"/>
  <c r="AC2532" i="12"/>
  <c r="AC415" i="12"/>
  <c r="AC3320" i="12"/>
  <c r="AC912" i="12"/>
  <c r="AC1643" i="12"/>
  <c r="AC232" i="12"/>
  <c r="AC146" i="12"/>
  <c r="AC2676" i="12"/>
  <c r="AC994" i="12"/>
  <c r="AC1427" i="12"/>
  <c r="AC640" i="12"/>
  <c r="AC520" i="12"/>
  <c r="AC514" i="12"/>
  <c r="AC3386" i="12"/>
  <c r="AC3372" i="12"/>
  <c r="AC2440" i="12"/>
  <c r="AC1228" i="12"/>
  <c r="AC1890" i="12"/>
  <c r="AC1866" i="12"/>
  <c r="AC168" i="12"/>
  <c r="AC3191" i="12"/>
  <c r="AC3530" i="12"/>
  <c r="AC1589" i="12"/>
  <c r="AC1119" i="12"/>
  <c r="AC2055" i="12"/>
  <c r="AC1884" i="12"/>
  <c r="AC771" i="12"/>
  <c r="AC1709" i="12"/>
  <c r="AC1953" i="12"/>
  <c r="AC3119" i="12"/>
  <c r="AC2275" i="12"/>
  <c r="AC3419" i="12"/>
  <c r="AC2806" i="12"/>
  <c r="AC2112" i="12"/>
  <c r="AC1771" i="12"/>
  <c r="AC2754" i="12"/>
  <c r="AC73" i="12"/>
  <c r="AC1071" i="12"/>
  <c r="AC3461" i="12"/>
  <c r="AC3291" i="12"/>
  <c r="AC3011" i="12"/>
  <c r="AC684" i="12"/>
  <c r="AC2736" i="12"/>
  <c r="AC2367" i="12"/>
  <c r="AC2064" i="12"/>
  <c r="AC702" i="12"/>
  <c r="AC1919" i="12"/>
  <c r="AC410" i="12"/>
  <c r="AC748" i="12"/>
  <c r="AC1382" i="12"/>
  <c r="AC205" i="12"/>
  <c r="AC1587" i="12"/>
  <c r="AC22" i="12"/>
  <c r="AC3004" i="12"/>
  <c r="AC64" i="12"/>
  <c r="AC151" i="12"/>
  <c r="AC3478" i="12"/>
  <c r="AC1060" i="12"/>
  <c r="AC3268" i="12"/>
  <c r="AC2507" i="12"/>
  <c r="AC109" i="12"/>
  <c r="AC925" i="12"/>
  <c r="AC189" i="12"/>
  <c r="AC711" i="12"/>
  <c r="AC206" i="12"/>
  <c r="AC1805" i="12"/>
  <c r="AC303" i="12"/>
  <c r="AC1902" i="12"/>
  <c r="AC1430" i="12"/>
  <c r="AC444" i="12"/>
  <c r="AC863" i="12"/>
  <c r="AC2864" i="12"/>
  <c r="AC1807" i="12"/>
  <c r="AC3385" i="12"/>
  <c r="AC332" i="12"/>
  <c r="AC954" i="12"/>
  <c r="AC2322" i="12"/>
  <c r="AC3255" i="12"/>
  <c r="AC2614" i="12"/>
  <c r="AC1399" i="12"/>
  <c r="AC2048" i="12"/>
  <c r="AC1155" i="12"/>
  <c r="AC2839" i="12"/>
  <c r="AC2703" i="12"/>
  <c r="AC1585" i="12"/>
  <c r="AC2933" i="12"/>
  <c r="AC1209" i="12"/>
  <c r="AC2909" i="12"/>
  <c r="AC196" i="12"/>
  <c r="AC482" i="12"/>
  <c r="AC1799" i="12"/>
  <c r="AC1113" i="12"/>
  <c r="AC2718" i="12"/>
  <c r="AC1146" i="12"/>
  <c r="AC2343" i="12"/>
  <c r="AC3398" i="12"/>
  <c r="AC169" i="12"/>
  <c r="AC1135" i="12"/>
  <c r="AC902" i="12"/>
  <c r="AC2577" i="12"/>
  <c r="AC86" i="12"/>
  <c r="AC2266" i="12"/>
  <c r="AC1281" i="12"/>
  <c r="AC2134" i="12"/>
  <c r="AC1166" i="12"/>
  <c r="AC1244" i="12"/>
  <c r="AC984" i="12"/>
  <c r="AC1837" i="12"/>
  <c r="AC3527" i="12"/>
  <c r="AC1870" i="12"/>
  <c r="AC1808" i="12"/>
  <c r="AC1019" i="12"/>
  <c r="AC999" i="12"/>
  <c r="AC1045" i="12"/>
  <c r="AC2519" i="12"/>
  <c r="AC942" i="12"/>
  <c r="AC1680" i="12"/>
  <c r="AC1086" i="12"/>
  <c r="AC2093" i="12"/>
  <c r="AC1333" i="12"/>
  <c r="AC2773" i="12"/>
  <c r="AC1033" i="12"/>
  <c r="AC2948" i="12"/>
  <c r="AC472" i="12"/>
  <c r="AC291" i="12"/>
  <c r="AC1655" i="12"/>
  <c r="AC2915" i="12"/>
  <c r="AC23" i="12"/>
  <c r="AC1274" i="12"/>
  <c r="AC1090" i="12"/>
  <c r="AC26" i="12"/>
  <c r="AC2713" i="12"/>
  <c r="AC1827" i="12"/>
  <c r="AC524" i="12"/>
  <c r="AC409" i="12"/>
  <c r="AC969" i="12"/>
  <c r="AC2080" i="12"/>
  <c r="AC159" i="12"/>
  <c r="AC1901" i="12"/>
  <c r="AC3005" i="12"/>
  <c r="AC2616" i="12"/>
  <c r="AC2262" i="12"/>
  <c r="AC2384" i="12"/>
  <c r="AC1099" i="12"/>
  <c r="AC194" i="12"/>
  <c r="AC3467" i="12"/>
  <c r="AC2039" i="12"/>
  <c r="AC3035" i="12"/>
  <c r="AC2647" i="12"/>
  <c r="AC706" i="12"/>
  <c r="AC1122" i="12"/>
  <c r="AC2482" i="12"/>
  <c r="AC2498" i="12"/>
  <c r="AC1530" i="12"/>
  <c r="AC3240" i="12"/>
  <c r="AC1726" i="12"/>
  <c r="AC507" i="12"/>
  <c r="AC1327" i="12"/>
  <c r="AC1489" i="12"/>
  <c r="AC2038" i="12"/>
  <c r="AC504" i="12"/>
  <c r="AC857" i="12"/>
  <c r="AC158" i="12"/>
  <c r="AC1673" i="12"/>
  <c r="AC2318" i="12"/>
  <c r="AC740" i="12"/>
  <c r="AC2611" i="12"/>
  <c r="AC380" i="12"/>
  <c r="AC3445" i="12"/>
  <c r="AC222" i="12"/>
  <c r="AC3187" i="12"/>
  <c r="AC3177" i="12"/>
  <c r="AC1275" i="12"/>
  <c r="AC2154" i="12"/>
  <c r="AC434" i="12"/>
  <c r="AC3319" i="12"/>
  <c r="AC506" i="12"/>
  <c r="AC2115" i="12"/>
  <c r="AC1740" i="12"/>
  <c r="AC121" i="12"/>
  <c r="AC2815" i="12"/>
  <c r="AC2052" i="12"/>
  <c r="AC2143" i="12"/>
  <c r="AC1379" i="12"/>
  <c r="AC2020" i="12"/>
  <c r="AC1469" i="12"/>
  <c r="AC2078" i="12"/>
  <c r="AC2899" i="12"/>
  <c r="AC2393" i="12"/>
  <c r="AC3523" i="12"/>
  <c r="AC2067" i="12"/>
  <c r="AC2040" i="12"/>
  <c r="AC1404" i="12"/>
  <c r="AC3057" i="12"/>
  <c r="AC838" i="12"/>
  <c r="AC563" i="12"/>
  <c r="AC805" i="12"/>
  <c r="AC3280" i="12"/>
  <c r="AC3465" i="12"/>
  <c r="AC1574" i="12"/>
  <c r="AC2954" i="12"/>
  <c r="AC3115" i="12"/>
  <c r="AC1226" i="12"/>
  <c r="AC2956" i="12"/>
  <c r="AC3350" i="12"/>
  <c r="AC1446" i="12"/>
  <c r="AC138" i="12"/>
  <c r="AC2077" i="12"/>
  <c r="AC1167" i="12"/>
  <c r="AC3436" i="12"/>
  <c r="AC3036" i="12"/>
  <c r="AC869" i="12"/>
  <c r="AC564" i="12"/>
  <c r="AC2761" i="12"/>
  <c r="AC3375" i="12"/>
  <c r="AC3265" i="12"/>
  <c r="AC2809" i="12"/>
  <c r="AC2517" i="12"/>
  <c r="AC839" i="12"/>
  <c r="AC1554" i="12"/>
  <c r="AC1101" i="12"/>
  <c r="AC2643" i="12"/>
  <c r="AC1743" i="12"/>
  <c r="AC2588" i="12"/>
  <c r="AC1267" i="12"/>
  <c r="AC414" i="12"/>
  <c r="AC1144" i="12"/>
  <c r="AC2625" i="12"/>
  <c r="AC2058" i="12"/>
  <c r="AC118" i="12"/>
  <c r="AC1969" i="12"/>
  <c r="AC2782" i="12"/>
  <c r="AC128" i="12"/>
  <c r="AC2292" i="12"/>
  <c r="AC289" i="12"/>
  <c r="AC1437" i="12"/>
  <c r="AC2833" i="12"/>
  <c r="AC2223" i="12"/>
  <c r="AC3430" i="12"/>
  <c r="AC696" i="12"/>
  <c r="AC82" i="12"/>
  <c r="AC2001" i="12"/>
  <c r="AC1593" i="12"/>
  <c r="AC2975" i="12"/>
  <c r="AC2098" i="12"/>
  <c r="AC3002" i="12"/>
  <c r="AC560" i="12"/>
  <c r="AC1658" i="12"/>
  <c r="AC2623" i="12"/>
  <c r="AC991" i="12"/>
  <c r="AC2530" i="12"/>
  <c r="AC83" i="12"/>
  <c r="AC1262" i="12"/>
  <c r="AC1773" i="12"/>
  <c r="AC2859" i="12"/>
  <c r="AC459" i="12"/>
  <c r="AC2289" i="12"/>
  <c r="AC1182" i="12"/>
  <c r="AC1617" i="12"/>
  <c r="AC3034" i="12"/>
  <c r="AC365" i="12"/>
  <c r="AC799" i="12"/>
  <c r="AC1971" i="12"/>
  <c r="AC2453" i="12"/>
  <c r="AC1222" i="12"/>
  <c r="AC1510" i="12"/>
  <c r="AC2979" i="12"/>
  <c r="AC1114" i="12"/>
  <c r="AC1276" i="12"/>
  <c r="AC3054" i="12"/>
  <c r="AC1235" i="12"/>
  <c r="AC3195" i="12"/>
  <c r="AC2504" i="12"/>
  <c r="AC2095" i="12"/>
  <c r="AC391" i="12"/>
  <c r="AC33" i="12"/>
  <c r="AC2609" i="12"/>
  <c r="AC1068" i="12"/>
  <c r="AC117" i="12"/>
  <c r="AC134" i="12"/>
  <c r="AC1239" i="12"/>
  <c r="AC422" i="12"/>
  <c r="AC2811" i="12"/>
  <c r="AC3283" i="12"/>
  <c r="AC1575" i="12"/>
  <c r="AC2823" i="12"/>
  <c r="AC2206" i="12"/>
  <c r="AC2998" i="12"/>
  <c r="AC1679" i="12"/>
  <c r="AC2334" i="12"/>
  <c r="AC2159" i="12"/>
  <c r="AC2774" i="12"/>
  <c r="AC1880" i="12"/>
  <c r="AC772" i="12"/>
  <c r="AC3403" i="12"/>
  <c r="AC938" i="12"/>
  <c r="AC2110" i="12"/>
  <c r="AC1117" i="12"/>
  <c r="AC669" i="12"/>
  <c r="AC2290" i="12"/>
  <c r="AC259" i="12"/>
  <c r="AC1344" i="12"/>
  <c r="AC2381" i="12"/>
  <c r="AC769" i="12"/>
  <c r="AC3107" i="12"/>
  <c r="AC2360" i="12"/>
  <c r="AC2561" i="12"/>
  <c r="AC2779" i="12"/>
  <c r="AC2142" i="12"/>
  <c r="AC3271" i="12"/>
  <c r="AC3048" i="12"/>
  <c r="AC3170" i="12"/>
  <c r="AC358" i="12"/>
  <c r="AC1797" i="12"/>
  <c r="AC157" i="12"/>
  <c r="AC2341" i="12"/>
  <c r="AC1531" i="12"/>
  <c r="AC747" i="12"/>
  <c r="AC683" i="12"/>
  <c r="AC2013" i="12"/>
  <c r="AC1738" i="12"/>
  <c r="AC3087" i="12"/>
  <c r="AC3152" i="12"/>
  <c r="AC2723" i="12"/>
  <c r="AC3138" i="12"/>
  <c r="AC1813" i="12"/>
  <c r="AC2354" i="12"/>
  <c r="AC3015" i="12"/>
  <c r="AC2964" i="12"/>
  <c r="AC2022" i="12"/>
  <c r="AC1543" i="12"/>
  <c r="AC1457" i="12"/>
  <c r="AC1570" i="12"/>
  <c r="AC390" i="12"/>
  <c r="AC3140" i="12"/>
  <c r="AC3390" i="12"/>
  <c r="AC798" i="12"/>
  <c r="AC2855" i="12"/>
  <c r="AC2125" i="12"/>
  <c r="AC2139" i="12"/>
  <c r="AC2141" i="12"/>
  <c r="AC412" i="12"/>
  <c r="AC1078" i="12"/>
  <c r="AC746" i="12"/>
  <c r="AC1200" i="12"/>
  <c r="AC2824" i="12"/>
  <c r="AC234" i="12"/>
  <c r="AC3275" i="12"/>
  <c r="AC2374" i="12"/>
  <c r="AC1721" i="12"/>
  <c r="AC3552" i="12"/>
  <c r="AC2302" i="12"/>
  <c r="AC3426" i="12"/>
  <c r="AC2184" i="12"/>
  <c r="AC1938" i="12"/>
  <c r="AC3126" i="12"/>
  <c r="AC1302" i="12"/>
  <c r="AC1039" i="12"/>
  <c r="AC1273" i="12"/>
  <c r="AC460" i="12"/>
  <c r="AC2769" i="12"/>
  <c r="AC3121" i="12"/>
  <c r="AC1017" i="12"/>
  <c r="AC1599" i="12"/>
  <c r="AC3041" i="12"/>
  <c r="AC1410" i="12"/>
  <c r="AC1857" i="12"/>
  <c r="AC1378" i="12"/>
  <c r="AC2019" i="12"/>
  <c r="AC3352" i="12"/>
  <c r="AC1696" i="12"/>
  <c r="AC2646" i="12"/>
  <c r="AC2332" i="12"/>
  <c r="AC3408" i="12"/>
  <c r="AC1241" i="12"/>
  <c r="AC2300" i="12"/>
  <c r="AC2686" i="12"/>
  <c r="AC3156" i="12"/>
  <c r="AC35" i="12"/>
  <c r="AC878" i="12"/>
  <c r="AC1353" i="12"/>
  <c r="AC3382" i="12"/>
  <c r="AC2974" i="12"/>
  <c r="AC2470" i="12"/>
  <c r="AC3316" i="12"/>
  <c r="AC3261" i="12"/>
  <c r="AC1529" i="12"/>
  <c r="AC3358" i="12"/>
  <c r="AC3387" i="12"/>
  <c r="AC2888" i="12"/>
  <c r="AC1619" i="12"/>
  <c r="AC2107" i="12"/>
  <c r="AC2111" i="12"/>
  <c r="AC1608" i="12"/>
  <c r="AC1957" i="12"/>
  <c r="AC3124" i="12"/>
  <c r="AC2298" i="12"/>
  <c r="AC1794" i="12"/>
  <c r="AC1477" i="12"/>
  <c r="AC1817" i="12"/>
  <c r="AC3173" i="12"/>
  <c r="AC1542" i="12"/>
  <c r="AC2981" i="12"/>
  <c r="AC1105" i="12"/>
  <c r="AC1657" i="12"/>
  <c r="AC1036" i="12"/>
  <c r="AC3432" i="12"/>
  <c r="AC3146" i="12"/>
  <c r="AC1381" i="12"/>
  <c r="AC868" i="12"/>
  <c r="AC2455" i="12"/>
  <c r="AC1458" i="12"/>
  <c r="AC2963" i="12"/>
  <c r="AC763" i="12"/>
  <c r="AC2610" i="12"/>
  <c r="AC2018" i="12"/>
  <c r="AC2457" i="12"/>
  <c r="AC859" i="12"/>
  <c r="AC2329" i="12"/>
  <c r="AC1308" i="12"/>
  <c r="AC3163" i="12"/>
  <c r="AC829" i="12"/>
  <c r="AC658" i="12"/>
  <c r="AC2221" i="12"/>
  <c r="AC1850" i="12"/>
  <c r="AC2135" i="12"/>
  <c r="AC428" i="12"/>
  <c r="AC2244" i="12"/>
  <c r="AC3184" i="12"/>
  <c r="AC211" i="12"/>
  <c r="AC166" i="12"/>
  <c r="AC3201" i="12"/>
  <c r="AC1978" i="12"/>
  <c r="AC261" i="12"/>
  <c r="AC1668" i="12"/>
  <c r="AC3548" i="12"/>
  <c r="AC1075" i="12"/>
  <c r="AC2215" i="12"/>
  <c r="AC913" i="12"/>
  <c r="AC1391" i="12"/>
  <c r="AC2188" i="12"/>
  <c r="AC1062" i="12"/>
  <c r="AC1291" i="12"/>
  <c r="AC703" i="12"/>
  <c r="AC587" i="12"/>
  <c r="AC429" i="12"/>
  <c r="AC1450" i="12"/>
  <c r="AC2624" i="12"/>
  <c r="AC191" i="12"/>
  <c r="AC223" i="12"/>
  <c r="AC347" i="12"/>
  <c r="AC2750" i="12"/>
  <c r="AC2808" i="12"/>
  <c r="AC538" i="12"/>
  <c r="AC2082" i="12"/>
  <c r="AC2863" i="12"/>
  <c r="AC2316" i="12"/>
  <c r="AC3490" i="12"/>
  <c r="AC3180" i="12"/>
  <c r="AC781" i="12"/>
  <c r="AC41" i="12"/>
  <c r="AC3451" i="12"/>
  <c r="AC1928" i="12"/>
  <c r="AC2548" i="12"/>
  <c r="AC659" i="12"/>
  <c r="AC894" i="12"/>
  <c r="AC1956" i="12"/>
  <c r="AC1247" i="12"/>
  <c r="AC3330" i="12"/>
  <c r="AC3120" i="12"/>
  <c r="AC2172" i="12"/>
  <c r="AC1497" i="12"/>
  <c r="AC3484" i="12"/>
  <c r="AC474" i="12"/>
  <c r="AC1389" i="12"/>
  <c r="AC3393" i="12"/>
  <c r="AC3014" i="12"/>
  <c r="AC112" i="12"/>
  <c r="AC3294" i="12"/>
  <c r="AC3266" i="12"/>
  <c r="AC2857" i="12"/>
  <c r="AC2587" i="12"/>
  <c r="AC3132" i="12"/>
  <c r="AC1224" i="12"/>
  <c r="AC834" i="12"/>
  <c r="AC996" i="12"/>
  <c r="AC673" i="12"/>
  <c r="AC2423" i="12"/>
  <c r="AC1462" i="12"/>
  <c r="AC1234" i="12"/>
  <c r="AC75" i="12"/>
  <c r="AC1506" i="12"/>
  <c r="AC2968" i="12"/>
  <c r="AC2240" i="12"/>
  <c r="AC1124" i="12"/>
  <c r="AC1958" i="12"/>
  <c r="AC2213" i="12"/>
  <c r="AC3435" i="12"/>
  <c r="AC2226" i="12"/>
  <c r="AC2168" i="12"/>
  <c r="AC394" i="12"/>
  <c r="AC2036" i="12"/>
  <c r="AC602" i="12"/>
  <c r="AC3237" i="12"/>
  <c r="AC130" i="12"/>
  <c r="AC1633" i="12"/>
  <c r="AC126" i="12"/>
  <c r="AC1400" i="12"/>
  <c r="AC40" i="12"/>
  <c r="AC3497" i="12"/>
  <c r="AC203" i="12"/>
  <c r="AC2555" i="12"/>
  <c r="AC1306" i="12"/>
  <c r="AC3017" i="12"/>
  <c r="AC1698" i="12"/>
  <c r="AC202" i="12"/>
  <c r="AC393" i="12"/>
  <c r="AC2784" i="12"/>
  <c r="AC923" i="12"/>
  <c r="AC1318" i="12"/>
  <c r="AC2483" i="12"/>
  <c r="AC1253" i="12"/>
  <c r="AC1091" i="12"/>
  <c r="AC216" i="12"/>
  <c r="AC909" i="12"/>
  <c r="AC1561" i="12"/>
  <c r="AC2516" i="12"/>
  <c r="AC2443" i="12"/>
  <c r="AC80" i="12"/>
  <c r="AC2220" i="12"/>
  <c r="AC3458" i="12"/>
  <c r="AC919" i="12"/>
  <c r="AC1422" i="12"/>
  <c r="AC3153" i="12"/>
  <c r="AC2778" i="12"/>
  <c r="AC632" i="12"/>
  <c r="AC430" i="12"/>
  <c r="AC2521" i="12"/>
  <c r="AC2950" i="12"/>
  <c r="AC29" i="12"/>
  <c r="AC653" i="12"/>
  <c r="AC3189" i="12"/>
  <c r="AC386" i="12"/>
  <c r="AC3470" i="12"/>
  <c r="AC131" i="12"/>
  <c r="AC245" i="12"/>
  <c r="AC327" i="12"/>
  <c r="AC2083" i="12"/>
  <c r="AC443" i="12"/>
  <c r="AC924" i="12"/>
  <c r="AC701" i="12"/>
  <c r="AC362" i="12"/>
  <c r="AC3509" i="12"/>
  <c r="AC2650" i="12"/>
  <c r="AC3207" i="12"/>
  <c r="AC2789" i="12"/>
  <c r="AC1607" i="12"/>
  <c r="AC3204" i="12"/>
  <c r="AC1777" i="12"/>
  <c r="AC1387" i="12"/>
  <c r="AC55" i="12"/>
  <c r="AC1996" i="12"/>
  <c r="AC122" i="12"/>
  <c r="AC2340" i="12"/>
  <c r="AC3147" i="12"/>
  <c r="AC2338" i="12"/>
  <c r="AC668" i="12"/>
  <c r="AC2130" i="12"/>
  <c r="AC265" i="12"/>
  <c r="AC1823" i="12"/>
  <c r="AC1524" i="12"/>
  <c r="AC1881" i="12"/>
  <c r="AC2121" i="12"/>
  <c r="AC287" i="12"/>
  <c r="AC100" i="12"/>
  <c r="AC1754" i="12"/>
  <c r="AC1559" i="12"/>
  <c r="AC326" i="12"/>
  <c r="AC537" i="12"/>
  <c r="AC1582" i="12"/>
  <c r="AC3279" i="12"/>
  <c r="AC3006" i="12"/>
  <c r="AC3449" i="12"/>
  <c r="AC532" i="12"/>
  <c r="AC2658" i="12"/>
  <c r="AC2793" i="12"/>
  <c r="AC2523" i="12"/>
  <c r="AC533" i="12"/>
  <c r="AC179" i="12"/>
  <c r="AC1690" i="12"/>
  <c r="AC693" i="12"/>
  <c r="AC3256" i="12"/>
  <c r="AC3366" i="12"/>
  <c r="AC1371" i="12"/>
  <c r="AC2708" i="12"/>
  <c r="AC1032" i="12"/>
  <c r="AC25" i="12"/>
  <c r="AC2270" i="12"/>
  <c r="AC1591" i="12"/>
  <c r="AC1330" i="12"/>
  <c r="AC3325" i="12"/>
  <c r="AC1885" i="12"/>
  <c r="AC2249" i="12"/>
  <c r="AC2908" i="12"/>
  <c r="AC2186" i="12"/>
  <c r="AC1718" i="12"/>
  <c r="AC1286" i="12"/>
  <c r="AC737" i="12"/>
  <c r="AC871" i="12"/>
  <c r="AC1464" i="12"/>
  <c r="AC470" i="12"/>
  <c r="AC3304" i="12"/>
  <c r="AC1398" i="12"/>
  <c r="AC2732" i="12"/>
  <c r="AC605" i="12"/>
  <c r="AC2994" i="12"/>
  <c r="AC2946" i="12"/>
  <c r="AC2562" i="12"/>
  <c r="AC2414" i="12"/>
  <c r="AC531" i="12"/>
  <c r="AC1478" i="12"/>
  <c r="AC3379" i="12"/>
  <c r="AC3526" i="12"/>
  <c r="AC3288" i="12"/>
  <c r="AC616" i="12"/>
  <c r="AC2128" i="12"/>
  <c r="AC1452" i="12"/>
  <c r="AC885" i="12"/>
  <c r="AC1412" i="12"/>
  <c r="AC3438" i="12"/>
  <c r="AC2829" i="12"/>
  <c r="AC2163" i="12"/>
  <c r="AC2514" i="12"/>
  <c r="AC2802" i="12"/>
  <c r="AC2613" i="12"/>
  <c r="AC1193" i="12"/>
  <c r="AC2942" i="12"/>
  <c r="AC2674" i="12"/>
  <c r="AC2722" i="12"/>
  <c r="AC1385" i="12"/>
  <c r="AC2684" i="12"/>
  <c r="AC2986" i="12"/>
  <c r="AC174" i="12"/>
  <c r="AC497" i="12"/>
  <c r="AC1831" i="12"/>
  <c r="AC2177" i="12"/>
  <c r="AC468" i="12"/>
  <c r="AC1687" i="12"/>
  <c r="AC2892" i="12"/>
  <c r="AC1869" i="12"/>
  <c r="AC427" i="12"/>
  <c r="AC1802" i="12"/>
  <c r="AC209" i="12"/>
  <c r="AC2103" i="12"/>
  <c r="AC713" i="12"/>
  <c r="AC3105" i="12"/>
  <c r="AC1305" i="12"/>
  <c r="AC2198" i="12"/>
  <c r="AC2433" i="12"/>
  <c r="AC2943" i="12"/>
  <c r="AC3544" i="12"/>
  <c r="AC1108" i="12"/>
  <c r="AC3030" i="12"/>
  <c r="AC556" i="12"/>
  <c r="AC1298" i="12"/>
  <c r="AC378" i="12"/>
  <c r="AC1132" i="12"/>
  <c r="AC1959" i="12"/>
  <c r="AC2006" i="12"/>
  <c r="AC3058" i="12"/>
  <c r="AC1250" i="12"/>
  <c r="AC2590" i="12"/>
  <c r="AC2438" i="12"/>
  <c r="AC736" i="12"/>
  <c r="AC836" i="12"/>
  <c r="AC214" i="12"/>
  <c r="AC3068" i="12"/>
  <c r="AC3225" i="12"/>
  <c r="AC275" i="12"/>
  <c r="AC2788" i="12"/>
  <c r="AC758" i="12"/>
  <c r="AC2730" i="12"/>
  <c r="AC284" i="12"/>
  <c r="AC2597" i="12"/>
  <c r="AC3059" i="12"/>
  <c r="AC1130" i="12"/>
  <c r="AC761" i="12"/>
  <c r="AC147" i="12"/>
  <c r="AC2286" i="12"/>
  <c r="AC1413" i="12"/>
  <c r="AC2505" i="12"/>
  <c r="AC2101" i="12"/>
  <c r="AC986" i="12"/>
  <c r="AC2307" i="12"/>
  <c r="AC2851" i="12"/>
  <c r="AC918" i="12"/>
  <c r="AC2921" i="12"/>
  <c r="AC3391" i="12"/>
  <c r="AC1762" i="12"/>
  <c r="AC1710" i="12"/>
  <c r="AC2003" i="12"/>
  <c r="AC877" i="12"/>
  <c r="AC3456" i="12"/>
  <c r="AC1829" i="12"/>
  <c r="AC1742" i="12"/>
  <c r="AC685" i="12"/>
  <c r="AC1059" i="12"/>
  <c r="AC626" i="12"/>
  <c r="AC2821" i="12"/>
  <c r="AC1118" i="12"/>
  <c r="AC197" i="12"/>
  <c r="AC2688" i="12"/>
  <c r="AC92" i="12"/>
  <c r="AC3241" i="12"/>
  <c r="AC1436" i="12"/>
  <c r="AC1268" i="12"/>
  <c r="AC56" i="12"/>
  <c r="AC1258" i="12"/>
  <c r="AC3040" i="12"/>
  <c r="AC1539" i="12"/>
  <c r="AC3262" i="12"/>
  <c r="AC3216" i="12"/>
  <c r="AC208" i="12"/>
  <c r="AC3374" i="12"/>
  <c r="AC1047" i="12"/>
  <c r="AC2175" i="12"/>
  <c r="AC69" i="12"/>
  <c r="AC935" i="12"/>
  <c r="AC2551" i="12"/>
  <c r="AC790" i="12"/>
  <c r="AC817" i="12"/>
  <c r="AC262" i="12"/>
  <c r="AC958" i="12"/>
  <c r="AC2182" i="12"/>
  <c r="AC1650" i="12"/>
  <c r="AC447" i="12"/>
  <c r="AC503" i="12"/>
  <c r="AC3186" i="12"/>
  <c r="AC1160" i="12"/>
  <c r="AC2492" i="12"/>
  <c r="AC2991" i="12"/>
  <c r="AC78" i="12"/>
  <c r="AC1328" i="12"/>
  <c r="AC1967" i="12"/>
  <c r="AC2767" i="12"/>
  <c r="AC1998" i="12"/>
  <c r="AC1836" i="12"/>
  <c r="AC3546" i="12"/>
  <c r="AC1475" i="12"/>
  <c r="AC3012" i="12"/>
  <c r="AC3433" i="12"/>
  <c r="AC1055" i="12"/>
  <c r="AC1640" i="12"/>
  <c r="AC2828" i="12"/>
  <c r="AC272" i="12"/>
  <c r="AC1063" i="12"/>
  <c r="AC1780" i="12"/>
  <c r="AC545" i="12"/>
  <c r="AC2537" i="12"/>
  <c r="AC2281" i="12"/>
  <c r="AC2509" i="12"/>
  <c r="AC1034" i="12"/>
  <c r="AC21" i="12"/>
  <c r="AC1986" i="12"/>
  <c r="AC3514" i="12"/>
  <c r="AC2731" i="12"/>
  <c r="AC302" i="12"/>
  <c r="AC3336" i="12"/>
  <c r="AC1899" i="12"/>
  <c r="AC2105" i="12"/>
  <c r="AC1192" i="12"/>
  <c r="AC2695" i="12"/>
  <c r="AC1602" i="12"/>
  <c r="AC1215" i="12"/>
  <c r="AC1546" i="12"/>
  <c r="AC993" i="12"/>
  <c r="AC2436" i="12"/>
  <c r="AC1752" i="12"/>
  <c r="AC3272" i="12"/>
  <c r="AC2236" i="12"/>
  <c r="AC3477" i="12"/>
  <c r="AC2903" i="12"/>
  <c r="AC3188" i="12"/>
  <c r="AC2852" i="12"/>
  <c r="AC1120" i="12"/>
  <c r="AC370" i="12"/>
  <c r="AC1637" i="12"/>
  <c r="AC173" i="12"/>
  <c r="AC108" i="12"/>
  <c r="AC3100" i="12"/>
  <c r="AC2869" i="12"/>
  <c r="AC1466" i="12"/>
  <c r="AC955" i="12"/>
  <c r="AC674" i="12"/>
  <c r="AC2659" i="12"/>
  <c r="AC249" i="12"/>
  <c r="AC3420" i="12"/>
  <c r="AC3101" i="12"/>
  <c r="AC941" i="12"/>
  <c r="AC204" i="12"/>
  <c r="AC2515" i="12"/>
  <c r="AC1232" i="12"/>
  <c r="AC1816" i="12"/>
  <c r="AC2372" i="12"/>
  <c r="AC1266" i="12"/>
  <c r="AC2066" i="12"/>
  <c r="AC1933" i="12"/>
  <c r="AC2230" i="12"/>
  <c r="AC2518" i="12"/>
  <c r="AC1676" i="12"/>
  <c r="AC3214" i="12"/>
  <c r="AC65" i="12"/>
  <c r="AC946" i="12"/>
  <c r="AC2563" i="12"/>
  <c r="AC1295" i="12"/>
  <c r="AC1894" i="12"/>
  <c r="AC47" i="12"/>
  <c r="AC48" i="12"/>
  <c r="AC3149" i="12"/>
  <c r="AC1552" i="12"/>
  <c r="AC1734" i="12"/>
  <c r="AC3007" i="12"/>
  <c r="AC636" i="12"/>
  <c r="AC2630" i="12"/>
  <c r="AC1259" i="12"/>
  <c r="AC3021" i="12"/>
  <c r="AC1292" i="12"/>
  <c r="AC3022" i="12"/>
  <c r="AC43" i="12"/>
  <c r="AC1788" i="12"/>
  <c r="AC420" i="12"/>
  <c r="AC521" i="12"/>
  <c r="AC601" i="12"/>
  <c r="AC3473" i="12"/>
  <c r="AC3020" i="12"/>
  <c r="AC832" i="12"/>
  <c r="AC1194" i="12"/>
  <c r="AC1270" i="12"/>
  <c r="AC2639" i="12"/>
  <c r="AC2264" i="12"/>
  <c r="AC2199" i="12"/>
  <c r="AC2344" i="12"/>
  <c r="AC2104" i="12"/>
  <c r="AC2999" i="12"/>
  <c r="AC88" i="12"/>
  <c r="AC1198" i="12"/>
  <c r="AC1495" i="12"/>
  <c r="AC3440" i="12"/>
  <c r="AC3084" i="12"/>
  <c r="AC1993" i="12"/>
  <c r="AC2906" i="12"/>
  <c r="AC1632" i="12"/>
  <c r="AC1818" i="12"/>
  <c r="AC3377" i="12"/>
  <c r="AC238" i="12"/>
  <c r="AC952" i="12"/>
  <c r="AC1009" i="12"/>
  <c r="AC962" i="12"/>
  <c r="AC1115" i="12"/>
  <c r="AC30" i="12"/>
  <c r="AC1541" i="12"/>
  <c r="AC1158" i="12"/>
  <c r="AC927" i="12"/>
  <c r="AC1577" i="12"/>
  <c r="AC495" i="12"/>
  <c r="AC1974" i="12"/>
  <c r="AC567" i="12"/>
  <c r="AC1711" i="12"/>
  <c r="AC2486" i="12"/>
  <c r="AC1556" i="12"/>
  <c r="AC2924" i="12"/>
  <c r="AC1076" i="12"/>
  <c r="AC2837" i="12"/>
  <c r="AC3235" i="12"/>
  <c r="AC3503" i="12"/>
  <c r="AC840" i="12"/>
  <c r="AC1669" i="12"/>
  <c r="AC463" i="12"/>
  <c r="AC1141" i="12"/>
  <c r="AC1237" i="12"/>
  <c r="AC2667" i="12"/>
  <c r="AC479" i="12"/>
  <c r="AC1149" i="12"/>
  <c r="AC1492" i="12"/>
  <c r="AC1396" i="12"/>
  <c r="AC501" i="12"/>
  <c r="AC2243" i="12"/>
  <c r="AC3066" i="12"/>
  <c r="AC1072" i="12"/>
  <c r="AC1782" i="12"/>
  <c r="AC1428" i="12"/>
  <c r="AC76" i="12"/>
  <c r="AC1749" i="12"/>
  <c r="AC2227" i="12"/>
  <c r="AC2293" i="12"/>
  <c r="AC1873" i="12"/>
  <c r="AC1895" i="12"/>
  <c r="AC2576" i="12"/>
  <c r="AC1862" i="12"/>
  <c r="AC625" i="12"/>
  <c r="AC500" i="12"/>
  <c r="AC2428" i="12"/>
  <c r="AC1941" i="12"/>
  <c r="AC641" i="12"/>
  <c r="AC3444" i="12"/>
  <c r="AC2805" i="12"/>
  <c r="AC177" i="12"/>
  <c r="AC3234" i="12"/>
  <c r="AC1142" i="12"/>
  <c r="AC267" i="12"/>
  <c r="AC1356" i="12"/>
  <c r="AC2161" i="12"/>
  <c r="AC2025" i="12"/>
  <c r="AC2114" i="12"/>
  <c r="AC2279" i="12"/>
  <c r="AC614" i="12"/>
  <c r="AC1879" i="12"/>
  <c r="AC2380" i="12"/>
  <c r="AC399" i="12"/>
  <c r="AC3169" i="12"/>
  <c r="AC2419" i="12"/>
  <c r="AC90" i="12"/>
  <c r="AC1191" i="12"/>
  <c r="AC316" i="12"/>
  <c r="AC3213" i="12"/>
  <c r="AC2836" i="12"/>
  <c r="AC2742" i="12"/>
  <c r="AC1455" i="12"/>
  <c r="AC1988" i="12"/>
  <c r="AC615" i="12"/>
  <c r="AC3489" i="12"/>
  <c r="AC3088" i="12"/>
  <c r="AC2090" i="12"/>
  <c r="AC739" i="12"/>
  <c r="AC2362" i="12"/>
  <c r="AC271" i="12"/>
  <c r="AC599" i="12"/>
  <c r="AC304" i="12"/>
  <c r="AC1460" i="12"/>
  <c r="AC801" i="12"/>
  <c r="AC3314" i="12"/>
  <c r="AC1339" i="12"/>
  <c r="AC3253" i="12"/>
  <c r="AC2352" i="12"/>
  <c r="AC1622" i="12"/>
  <c r="AC1932" i="12"/>
  <c r="AC808" i="12"/>
  <c r="AC800" i="12"/>
  <c r="AC3446" i="12"/>
  <c r="AC2683" i="12"/>
  <c r="AC1407" i="12"/>
  <c r="AC3141" i="12"/>
  <c r="AC1300" i="12"/>
  <c r="AC1725" i="12"/>
  <c r="AC235" i="12"/>
  <c r="AC1723" i="12"/>
  <c r="AC392" i="12"/>
  <c r="AC290" i="12"/>
  <c r="AC864" i="12"/>
  <c r="AC2466" i="12"/>
  <c r="AC413" i="12"/>
  <c r="AC936" i="12"/>
  <c r="AC2116" i="12"/>
  <c r="AC856" i="12"/>
  <c r="AC2051" i="12"/>
  <c r="AC250" i="12"/>
  <c r="AC2024" i="12"/>
  <c r="AC1548" i="12"/>
  <c r="AC2522" i="12"/>
  <c r="AC1233" i="12"/>
  <c r="AC672" i="12"/>
  <c r="AC1307" i="12"/>
  <c r="AC3181" i="12"/>
  <c r="AC1909" i="12"/>
  <c r="AC974" i="12"/>
  <c r="AC1731" i="12"/>
  <c r="AC917" i="12"/>
  <c r="AC1791" i="12"/>
  <c r="AC1153" i="12"/>
  <c r="AC3067" i="12"/>
  <c r="AC236" i="12"/>
  <c r="AC2075" i="12"/>
  <c r="AC350" i="12"/>
  <c r="AC280" i="12"/>
  <c r="AC3496" i="12"/>
  <c r="AC1180" i="12"/>
  <c r="AC186" i="12"/>
  <c r="AC2698" i="12"/>
  <c r="AC1828" i="12"/>
  <c r="AC3427" i="12"/>
  <c r="AC3029" i="12"/>
  <c r="AC252" i="12"/>
  <c r="AC2640" i="12"/>
  <c r="AC299" i="12"/>
  <c r="AC2308" i="12"/>
  <c r="AC2169" i="12"/>
  <c r="AC1985" i="12"/>
  <c r="AC1341" i="12"/>
  <c r="AC720" i="12"/>
  <c r="AC3513" i="12"/>
  <c r="AC3151" i="12"/>
  <c r="AC1790" i="12"/>
  <c r="AC1102" i="12"/>
  <c r="AC1164" i="12"/>
  <c r="AC3518" i="12"/>
  <c r="AC2941" i="12"/>
  <c r="AC783" i="12"/>
  <c r="AC2366" i="12"/>
  <c r="AC1133" i="12"/>
  <c r="AC3348" i="12"/>
  <c r="AC242" i="12"/>
  <c r="AC579" i="12"/>
  <c r="AC3273" i="12"/>
  <c r="AC1798" i="12"/>
  <c r="AC2144" i="12"/>
  <c r="AC3227" i="12"/>
  <c r="AC19" i="12"/>
  <c r="AC1066" i="12"/>
  <c r="AC239" i="12"/>
  <c r="AC3110" i="12"/>
  <c r="AC872" i="12"/>
  <c r="AC1432" i="12"/>
  <c r="AC721" i="12"/>
  <c r="AC997" i="12"/>
  <c r="AC1138" i="12"/>
  <c r="AC1760" i="12"/>
  <c r="AC1041" i="12"/>
  <c r="AC2225" i="12"/>
  <c r="AC1358" i="12"/>
  <c r="AC1568" i="12"/>
  <c r="AC1645" i="12"/>
  <c r="AC774" i="12"/>
  <c r="AC2904" i="12"/>
  <c r="AC1989" i="12"/>
  <c r="AC3462" i="12"/>
  <c r="AC2550" i="12"/>
  <c r="AC522" i="12"/>
  <c r="AC489" i="12"/>
  <c r="AC2854" i="12"/>
  <c r="AC572" i="12"/>
  <c r="AC1157" i="12"/>
  <c r="AC172" i="12"/>
  <c r="AC2660" i="12"/>
  <c r="AC2106" i="12"/>
  <c r="AC989" i="12"/>
  <c r="AC2411" i="12"/>
  <c r="AC1841" i="12"/>
  <c r="AC570" i="12"/>
  <c r="AC1689" i="12"/>
  <c r="AC446" i="12"/>
  <c r="AC1238" i="12"/>
  <c r="AC3276" i="12"/>
  <c r="AC1891" i="12"/>
  <c r="AC2210" i="12"/>
  <c r="AC1137" i="12"/>
  <c r="AC2030" i="12"/>
  <c r="AC1667" i="12"/>
  <c r="AC2959" i="12"/>
  <c r="AC1390" i="12"/>
  <c r="AC1735" i="12"/>
  <c r="AC2238" i="12"/>
  <c r="AC1052" i="12"/>
  <c r="AC1596" i="12"/>
  <c r="AC336" i="12"/>
  <c r="AC3039" i="12"/>
  <c r="AC2694" i="12"/>
  <c r="AC3049" i="12"/>
  <c r="AC1206" i="12"/>
  <c r="AC2796" i="12"/>
  <c r="AC819" i="12"/>
  <c r="AC1681" i="12"/>
  <c r="AC2335" i="12"/>
  <c r="AC2936" i="12"/>
  <c r="AC967" i="12"/>
  <c r="AC2096" i="12"/>
  <c r="AC3538" i="12"/>
  <c r="AC851" i="12"/>
  <c r="AC1737" i="12"/>
  <c r="AC1084" i="12"/>
  <c r="AC373" i="12"/>
  <c r="AC2451" i="12"/>
  <c r="AC2826" i="12"/>
  <c r="AC1425" i="12"/>
  <c r="AC1567" i="12"/>
  <c r="AC2817" i="12"/>
  <c r="AC1706" i="12"/>
  <c r="AC3069" i="12"/>
  <c r="AC1242" i="12"/>
  <c r="AC3055" i="12"/>
  <c r="AC519" i="12"/>
  <c r="AC1821" i="12"/>
  <c r="AC1647" i="12"/>
  <c r="AC1700" i="12"/>
  <c r="AC943" i="12"/>
  <c r="AC534" i="12"/>
  <c r="AC1646" i="12"/>
  <c r="AC1781" i="12"/>
  <c r="AC213" i="12"/>
  <c r="AC2400" i="12"/>
  <c r="AC1983" i="12"/>
  <c r="AC1741" i="12"/>
  <c r="AC1380" i="12"/>
  <c r="AC2885" i="12"/>
  <c r="AC3085" i="12"/>
  <c r="AC3175" i="12"/>
  <c r="AC1248" i="12"/>
  <c r="AC294" i="12"/>
  <c r="AC1707" i="12"/>
  <c r="AC387" i="12"/>
  <c r="AC1952" i="12"/>
  <c r="AC3108" i="12"/>
  <c r="AC2870" i="12"/>
  <c r="AC1035" i="12"/>
  <c r="AC920" i="12"/>
  <c r="AC1000" i="12"/>
  <c r="AC853" i="12"/>
  <c r="AC1846" i="12"/>
  <c r="AC3550" i="12"/>
  <c r="AC1628" i="12"/>
  <c r="AC1907" i="12"/>
  <c r="AC1419" i="12"/>
  <c r="AC2675" i="12"/>
  <c r="AC1526" i="12"/>
  <c r="AC2431" i="12"/>
  <c r="AC651" i="12"/>
  <c r="AC1249" i="12"/>
  <c r="AC3455" i="12"/>
  <c r="AC2421" i="12"/>
  <c r="AC1367" i="12"/>
  <c r="AC2445" i="12"/>
  <c r="AC450" i="12"/>
  <c r="AC3457" i="12"/>
  <c r="AC1501" i="12"/>
  <c r="AC3254" i="12"/>
  <c r="AC2592" i="12"/>
  <c r="AC346" i="12"/>
  <c r="AC3263" i="12"/>
  <c r="AC2791" i="12"/>
  <c r="AC508" i="12"/>
  <c r="AC1851" i="12"/>
  <c r="AC2011" i="12"/>
  <c r="AC2749" i="12"/>
  <c r="AC3529" i="12"/>
  <c r="AC879" i="12"/>
  <c r="AC190" i="12"/>
  <c r="AC3248" i="12"/>
  <c r="AC53" i="12"/>
  <c r="AC3504" i="12"/>
  <c r="AC770" i="12"/>
  <c r="AC1499" i="12"/>
  <c r="AC1021" i="12"/>
  <c r="AC1079" i="12"/>
  <c r="AC87" i="12"/>
  <c r="AC1747" i="12"/>
  <c r="AC1311" i="12"/>
  <c r="AC2790" i="12"/>
  <c r="AC2958" i="12"/>
  <c r="AC2681" i="12"/>
  <c r="AC3486" i="12"/>
  <c r="AC1666" i="12"/>
  <c r="AC2568" i="12"/>
  <c r="AC2534" i="12"/>
  <c r="AC1190" i="12"/>
  <c r="AC1963" i="12"/>
  <c r="AC2913" i="12"/>
  <c r="AC398" i="12"/>
  <c r="AC2853" i="12"/>
  <c r="AC3307" i="12"/>
  <c r="AC266" i="12"/>
  <c r="AC1470" i="12"/>
  <c r="AC485" i="12"/>
  <c r="AC3106" i="12"/>
  <c r="AC1334" i="12"/>
  <c r="AC153" i="12"/>
  <c r="AC1697" i="12"/>
  <c r="AC2424" i="12"/>
  <c r="AC543" i="12"/>
  <c r="AC3219" i="12"/>
  <c r="AC750" i="12"/>
  <c r="AC1863" i="12"/>
  <c r="AC3215" i="12"/>
  <c r="AC2743" i="12"/>
  <c r="AC2715" i="12"/>
  <c r="AC2545" i="12"/>
  <c r="AC2735" i="12"/>
  <c r="AC2846" i="12"/>
  <c r="AC2398" i="12"/>
  <c r="AC81" i="12"/>
  <c r="AC2927" i="12"/>
  <c r="AC731" i="12"/>
  <c r="AC1685" i="12"/>
  <c r="AC2068" i="12"/>
  <c r="AC3337" i="12"/>
  <c r="AC571" i="12"/>
  <c r="AC3354" i="12"/>
  <c r="AC1263" i="12"/>
  <c r="AC1320" i="12"/>
  <c r="AC1580" i="12"/>
  <c r="AC3158" i="12"/>
  <c r="AC2841" i="12"/>
  <c r="AC512" i="12"/>
  <c r="AC2461" i="12"/>
  <c r="AC2631" i="12"/>
  <c r="AC3197" i="12"/>
  <c r="AC295" i="12"/>
  <c r="AC584" i="12"/>
  <c r="AC1216" i="12"/>
  <c r="AC2193" i="12"/>
  <c r="AC604" i="12"/>
  <c r="AC944" i="12"/>
  <c r="AC2463" i="12"/>
  <c r="AC2162" i="12"/>
  <c r="AC846" i="12"/>
  <c r="AC156" i="12"/>
  <c r="AC72" i="12"/>
  <c r="AC2911" i="12"/>
  <c r="AC583" i="12"/>
  <c r="AC352" i="12"/>
  <c r="AC2978" i="12"/>
  <c r="AC1946" i="12"/>
  <c r="AC2741" i="12"/>
  <c r="AC2212" i="12"/>
  <c r="AC2014" i="12"/>
  <c r="AC3516" i="12"/>
  <c r="AC2775" i="12"/>
  <c r="AC1123" i="12"/>
  <c r="AC371" i="12"/>
  <c r="AC1402" i="12"/>
  <c r="AC3510" i="12"/>
  <c r="AC1213" i="12"/>
  <c r="AC990" i="12"/>
  <c r="AC2929" i="12"/>
  <c r="AC124" i="12"/>
  <c r="AC3413" i="12"/>
  <c r="AC3459" i="12"/>
  <c r="AC333" i="12"/>
  <c r="AC3185" i="12"/>
  <c r="AC1255" i="12"/>
  <c r="AC2129" i="12"/>
  <c r="AC2476" i="12"/>
  <c r="AC2200" i="12"/>
  <c r="AC2153" i="12"/>
  <c r="AC3102" i="12"/>
  <c r="AC1346" i="12"/>
  <c r="AC2962" i="12"/>
  <c r="AC2636" i="12"/>
  <c r="AC2662" i="12"/>
  <c r="AC411" i="12"/>
  <c r="AC451" i="12"/>
  <c r="AC2894" i="12"/>
  <c r="AC890" i="12"/>
  <c r="AC2282" i="12"/>
  <c r="AC1801" i="12"/>
  <c r="AC74" i="12"/>
  <c r="AC2136" i="12"/>
  <c r="AC2165" i="12"/>
  <c r="AC3109" i="12"/>
  <c r="AC554" i="12"/>
  <c r="AC2074" i="12"/>
  <c r="AC2489" i="12"/>
  <c r="AC3003" i="12"/>
  <c r="AC3532" i="12"/>
  <c r="AC2432" i="12"/>
  <c r="AC802" i="12"/>
  <c r="AC2579" i="12"/>
  <c r="AC2124" i="12"/>
  <c r="AC1212" i="12"/>
  <c r="AC1922" i="12"/>
  <c r="AC2383" i="12"/>
  <c r="AC3515" i="12"/>
  <c r="AC1670" i="12"/>
  <c r="AC1309" i="12"/>
  <c r="AC1581" i="12"/>
  <c r="AC2691" i="12"/>
  <c r="AC382" i="12"/>
  <c r="AC2955" i="12"/>
  <c r="AC1889" i="12"/>
  <c r="AC3296" i="12"/>
  <c r="AC735" i="12"/>
  <c r="AC1616" i="12"/>
  <c r="AC2690" i="12"/>
  <c r="AC1714" i="12"/>
  <c r="AC3333" i="12"/>
  <c r="AC3027" i="12"/>
  <c r="AC884" i="12"/>
  <c r="AC1611" i="12"/>
  <c r="AC3535" i="12"/>
  <c r="AC2032" i="12"/>
  <c r="AC496" i="12"/>
  <c r="AC2416" i="12"/>
  <c r="AC2898" i="12"/>
  <c r="AC1156" i="12"/>
  <c r="AC244" i="12"/>
  <c r="AC220" i="12"/>
  <c r="AC2235" i="12"/>
  <c r="AC3190" i="12"/>
  <c r="AC2949" i="12"/>
  <c r="AC2880" i="12"/>
  <c r="AC635" i="12"/>
  <c r="AC3165" i="12"/>
  <c r="AC2140" i="12"/>
  <c r="AC3483" i="12"/>
  <c r="AC3223" i="12"/>
  <c r="AC1420" i="12"/>
  <c r="AC916" i="12"/>
  <c r="AC3092" i="12"/>
  <c r="AC1363" i="12"/>
  <c r="AC2615" i="12"/>
  <c r="AC2649" i="12"/>
  <c r="AC897" i="12"/>
  <c r="AC3117" i="12"/>
  <c r="AC1020" i="12"/>
  <c r="AC2879" i="12"/>
  <c r="AC1908" i="12"/>
  <c r="AC199" i="12"/>
  <c r="AC125" i="12"/>
  <c r="AC555" i="12"/>
  <c r="AC3373" i="12"/>
  <c r="AC3079" i="12"/>
  <c r="AC219" i="12"/>
  <c r="AC776" i="12"/>
  <c r="AC3342" i="12"/>
  <c r="AC79" i="12"/>
  <c r="AC3289" i="12"/>
  <c r="AC837" i="12"/>
  <c r="AC2403" i="12"/>
  <c r="AC2473" i="12"/>
  <c r="AC1415" i="12"/>
  <c r="AC1578" i="12"/>
  <c r="AC1203" i="12"/>
  <c r="AC2554" i="12"/>
  <c r="AC3050" i="12"/>
  <c r="AC1037" i="12"/>
  <c r="AC2173" i="12"/>
  <c r="AC351" i="12"/>
  <c r="AC2508" i="12"/>
  <c r="AC188" i="12"/>
  <c r="AC842" i="12"/>
  <c r="AC2546" i="12"/>
  <c r="AC3329" i="12"/>
  <c r="AC2357" i="12"/>
  <c r="AC3309" i="12"/>
  <c r="AC162" i="12"/>
  <c r="AC751" i="12"/>
  <c r="AC1031" i="12"/>
  <c r="AC2984" i="12"/>
  <c r="AC732" i="12"/>
  <c r="AC2716" i="12"/>
  <c r="AC442" i="12"/>
  <c r="AC1251" i="12"/>
  <c r="AC2725" i="12"/>
  <c r="AC345" i="12"/>
  <c r="AC1627" i="12"/>
  <c r="AC2430" i="12"/>
  <c r="AC3500" i="12"/>
  <c r="AC2932" i="12"/>
  <c r="AC1796" i="12"/>
  <c r="AC1394" i="12"/>
  <c r="AC1936" i="12"/>
  <c r="AC2638" i="12"/>
  <c r="AC1089" i="12"/>
  <c r="AC2062" i="12"/>
  <c r="AC385" i="12"/>
  <c r="AC1486" i="12"/>
  <c r="AC3131" i="12"/>
  <c r="AC1635" i="12"/>
  <c r="AC2422" i="12"/>
  <c r="AC1557" i="12"/>
  <c r="AC1980" i="12"/>
  <c r="AC2088" i="12"/>
  <c r="AC1223" i="12"/>
  <c r="AC513" i="12"/>
  <c r="AC187" i="12"/>
  <c r="AC1372" i="12"/>
  <c r="AC1197" i="12"/>
  <c r="AC2061" i="12"/>
  <c r="AC903" i="12"/>
  <c r="AC3384" i="12"/>
  <c r="AC499" i="12"/>
  <c r="AC1443" i="12"/>
  <c r="AC1804" i="12"/>
  <c r="AC2578" i="12"/>
  <c r="AC2073" i="12"/>
  <c r="AC1324" i="12"/>
  <c r="AC1097" i="12"/>
  <c r="AC2427" i="12"/>
  <c r="AC2216" i="12"/>
  <c r="AC904" i="12"/>
  <c r="AC292" i="12"/>
  <c r="AC3164" i="12"/>
  <c r="AC2309" i="12"/>
  <c r="AC887" i="12"/>
  <c r="AC2122" i="12"/>
  <c r="AC481" i="12"/>
  <c r="AC487" i="12"/>
  <c r="AC2697" i="12"/>
  <c r="AC624" i="12"/>
  <c r="AC2682" i="12"/>
  <c r="AC1007" i="12"/>
  <c r="AC3424" i="12"/>
  <c r="AC1783" i="12"/>
  <c r="AC2799" i="12"/>
  <c r="AC995" i="12"/>
  <c r="AC785" i="12"/>
  <c r="AC3097" i="12"/>
  <c r="AC1779" i="12"/>
  <c r="AC3363" i="12"/>
  <c r="AC3405" i="12"/>
  <c r="AC102" i="12"/>
  <c r="AC1948" i="12"/>
  <c r="AC3230" i="12"/>
  <c r="AC2726" i="12"/>
  <c r="AC2408" i="12"/>
  <c r="AC1792" i="12"/>
  <c r="AC1373" i="12"/>
  <c r="AC195" i="12"/>
  <c r="AC2472" i="12"/>
  <c r="AC1301" i="12"/>
  <c r="AC1858" i="12"/>
  <c r="AC1352" i="12"/>
  <c r="AC2057" i="12"/>
  <c r="AC3249" i="12"/>
  <c r="AC37" i="12"/>
  <c r="AC2123" i="12"/>
  <c r="AC1186" i="12"/>
  <c r="AC779" i="12"/>
  <c r="AC436" i="12"/>
  <c r="AC1692" i="12"/>
  <c r="AC2399" i="12"/>
  <c r="AC966" i="12"/>
  <c r="AC2843" i="12"/>
  <c r="AC1496" i="12"/>
  <c r="AC620" i="12"/>
  <c r="AC2628" i="12"/>
  <c r="AC1261" i="12"/>
  <c r="AC1719" i="12"/>
  <c r="AC3368" i="12"/>
  <c r="AC2304" i="12"/>
  <c r="AC643" i="12"/>
  <c r="AC2371" i="12"/>
  <c r="AC2314" i="12"/>
  <c r="AC1342" i="12"/>
  <c r="AC3551" i="12"/>
  <c r="AC2600" i="12"/>
  <c r="AC1683" i="12"/>
  <c r="AC1121" i="12"/>
  <c r="AC725" i="12"/>
  <c r="AC1990" i="12"/>
  <c r="AC281" i="12"/>
  <c r="AC1054" i="12"/>
  <c r="AC527" i="12"/>
  <c r="AC947" i="12"/>
  <c r="AC1868" i="12"/>
  <c r="AC182" i="12"/>
  <c r="AC1476" i="12"/>
  <c r="AC518" i="12"/>
  <c r="AC416" i="12"/>
  <c r="AC1159" i="12"/>
  <c r="AC3044" i="12"/>
  <c r="AC2232" i="12"/>
  <c r="AC2559" i="12"/>
  <c r="AC2719" i="12"/>
  <c r="AC1435" i="12"/>
  <c r="AC2009" i="12"/>
  <c r="AC1369" i="12"/>
  <c r="AC1512" i="12"/>
  <c r="AC2425" i="12"/>
  <c r="AC756" i="12"/>
  <c r="AC689" i="12"/>
  <c r="AC381" i="12"/>
  <c r="AC705" i="12"/>
  <c r="AC2977" i="12"/>
  <c r="AC2237" i="12"/>
  <c r="AC2214" i="12"/>
  <c r="AC1012" i="12"/>
  <c r="AC404" i="12"/>
  <c r="AC759" i="12"/>
  <c r="AC1686" i="12"/>
  <c r="AC888" i="12"/>
  <c r="AC3541" i="12"/>
  <c r="AC2145" i="12"/>
  <c r="AC2147" i="12"/>
  <c r="AC2356" i="12"/>
  <c r="AC1848" i="12"/>
  <c r="AC2693" i="12"/>
  <c r="AC1656" i="12"/>
  <c r="AC2830" i="12"/>
  <c r="AC2842" i="12"/>
  <c r="AC1485" i="12"/>
  <c r="AC285" i="12"/>
  <c r="AC457" i="12"/>
  <c r="AC325" i="12"/>
  <c r="AC1375" i="12"/>
  <c r="AC3239" i="12"/>
  <c r="AC106" i="12"/>
  <c r="AC2677" i="12"/>
  <c r="AC2900" i="12"/>
  <c r="AC1408" i="12"/>
  <c r="AC2734" i="12"/>
  <c r="AC480" i="12"/>
  <c r="AC152" i="12"/>
  <c r="AC2558" i="12"/>
  <c r="AC2460" i="12"/>
  <c r="AC1043" i="12"/>
  <c r="AC1211" i="12"/>
  <c r="AC1484" i="12"/>
  <c r="AC140" i="12"/>
  <c r="AC1927" i="12"/>
  <c r="AC452" i="12"/>
  <c r="AC3096" i="12"/>
  <c r="AC2988" i="12"/>
  <c r="AC3183" i="12"/>
  <c r="AC3111" i="12"/>
  <c r="AC2957" i="12"/>
  <c r="AC675" i="12"/>
  <c r="AC2704" i="12"/>
  <c r="AC3380" i="12"/>
  <c r="AC539" i="12"/>
  <c r="AC1855" i="12"/>
  <c r="AC397" i="12"/>
  <c r="AC1753" i="12"/>
  <c r="AC3353" i="12"/>
  <c r="AC2079" i="12"/>
  <c r="AC1173" i="12"/>
  <c r="AC1715" i="12"/>
  <c r="AC1095" i="12"/>
  <c r="AC589" i="12"/>
  <c r="AC3485" i="12"/>
  <c r="AC687" i="12"/>
  <c r="AC645" i="12"/>
  <c r="AC2388" i="12"/>
  <c r="AC2712" i="12"/>
  <c r="AC2589" i="12"/>
  <c r="AC1785" i="12"/>
  <c r="AC1006" i="12"/>
  <c r="AC1438" i="12"/>
  <c r="AC3327" i="12"/>
  <c r="AC1947" i="12"/>
  <c r="AC1648" i="12"/>
  <c r="AC101" i="12"/>
  <c r="AC1354" i="12"/>
  <c r="AC1024" i="12"/>
  <c r="AC135" i="12"/>
  <c r="AC51" i="12"/>
  <c r="AC905" i="12"/>
  <c r="AC200" i="12"/>
  <c r="AC2594" i="12"/>
  <c r="AC1532" i="12"/>
  <c r="AC449" i="12"/>
  <c r="AC1536" i="12"/>
  <c r="AC3396" i="12"/>
  <c r="AC1227" i="12"/>
  <c r="AC1562" i="12"/>
  <c r="AC1820" i="12"/>
  <c r="AC985" i="12"/>
  <c r="AC2373" i="12"/>
  <c r="AC1148" i="12"/>
  <c r="AC1604" i="12"/>
  <c r="AC2606" i="12"/>
  <c r="AC1028" i="12"/>
  <c r="AC3281" i="12"/>
  <c r="AC1770" i="12"/>
  <c r="AC1615" i="12"/>
  <c r="AC1810" i="12"/>
  <c r="AC3091" i="12"/>
  <c r="AC349" i="12"/>
  <c r="AC270" i="12"/>
  <c r="AC1287" i="12"/>
  <c r="AC2204" i="12"/>
  <c r="AC2980" i="12"/>
  <c r="AC1279" i="12"/>
  <c r="AC3505" i="12"/>
  <c r="AC1491" i="12"/>
  <c r="AC1976" i="12"/>
  <c r="AC1906" i="12"/>
  <c r="AC875" i="12"/>
  <c r="AC1910" i="12"/>
  <c r="AC3144" i="12"/>
  <c r="AC2918" i="12"/>
  <c r="AC2952" i="12"/>
  <c r="AC647" i="12"/>
  <c r="AC937" i="12"/>
  <c r="AC679" i="12"/>
  <c r="AC2844" i="12"/>
  <c r="AC979" i="12"/>
  <c r="AC3362" i="12"/>
  <c r="AC2337" i="12"/>
  <c r="AC3221" i="12"/>
  <c r="AC1205" i="12"/>
  <c r="AC688" i="12"/>
  <c r="AC3278" i="12"/>
  <c r="AC876" i="12"/>
  <c r="AC3196" i="12"/>
  <c r="AC900" i="12"/>
  <c r="AC1240" i="12"/>
  <c r="AC248" i="12"/>
  <c r="AC542" i="12"/>
  <c r="AC1618" i="12"/>
  <c r="AC3028" i="12"/>
  <c r="AC1269" i="12"/>
  <c r="AC2976" i="12"/>
  <c r="AC1806" i="12"/>
  <c r="AC1664" i="12"/>
  <c r="AC3098" i="12"/>
  <c r="AC2930" i="12"/>
  <c r="AC3192" i="12"/>
  <c r="AC2553" i="12"/>
  <c r="AC77" i="12"/>
  <c r="AC3060" i="12"/>
  <c r="AC2246" i="12"/>
  <c r="AC2256" i="12"/>
  <c r="AC1915" i="12"/>
  <c r="AC1297" i="12"/>
  <c r="AC2350" i="12"/>
  <c r="AC2931" i="12"/>
  <c r="AC3437" i="12"/>
  <c r="AC2755" i="12"/>
  <c r="AC315" i="12"/>
  <c r="AC649" i="12"/>
  <c r="AC466" i="12"/>
  <c r="AC2711" i="12"/>
  <c r="AC3154" i="12"/>
  <c r="AC2706" i="12"/>
  <c r="AC3114" i="12"/>
  <c r="AC550" i="12"/>
  <c r="AC509" i="12"/>
  <c r="AC656" i="12"/>
  <c r="AC3025" i="12"/>
  <c r="AC1614" i="12"/>
  <c r="AC3534" i="12"/>
  <c r="AC2317" i="12"/>
  <c r="AC848" i="12"/>
  <c r="AC562" i="12"/>
  <c r="AC1694" i="12"/>
  <c r="AC438" i="12"/>
  <c r="AC2137" i="12"/>
  <c r="AC1566" i="12"/>
  <c r="AC2621" i="12"/>
  <c r="AC2089" i="12"/>
  <c r="AC2109" i="12"/>
  <c r="AC2328" i="12"/>
  <c r="AC3274" i="12"/>
  <c r="AC2033" i="12"/>
  <c r="AC1535" i="12"/>
  <c r="AC1586" i="12"/>
  <c r="AC2752" i="12"/>
  <c r="AC1625" i="12"/>
  <c r="AC395" i="12"/>
  <c r="AC1195" i="12"/>
  <c r="AC2599" i="12"/>
  <c r="AC588" i="12"/>
  <c r="AC2997" i="12"/>
  <c r="AC273" i="12"/>
  <c r="AC1853" i="12"/>
  <c r="AC3128" i="12"/>
  <c r="AC3078" i="12"/>
  <c r="AC908" i="12"/>
  <c r="AC2456" i="12"/>
  <c r="AC1219" i="12"/>
  <c r="AC2527" i="12"/>
  <c r="AC2379" i="12"/>
  <c r="AC631" i="12"/>
  <c r="AC2155" i="12"/>
  <c r="AC31" i="12"/>
  <c r="AC822" i="12"/>
  <c r="AC1945" i="12"/>
  <c r="AC2458" i="12"/>
  <c r="AC841" i="12"/>
  <c r="AC68" i="12"/>
  <c r="AC1795" i="12"/>
  <c r="AC1672" i="12"/>
  <c r="AC1409" i="12"/>
  <c r="AC3301" i="12"/>
  <c r="AC3103" i="12"/>
  <c r="AC2575" i="12"/>
  <c r="AC2002" i="12"/>
  <c r="AC812" i="12"/>
  <c r="AC2570" i="12"/>
  <c r="AC972" i="12"/>
  <c r="AC1652" i="12"/>
  <c r="AC773" i="12"/>
  <c r="AC1202" i="12"/>
  <c r="AC1260" i="12"/>
  <c r="AC318" i="12"/>
  <c r="AC648" i="12"/>
  <c r="AC1751" i="12"/>
  <c r="AC2873" i="12"/>
  <c r="AC3236" i="12"/>
  <c r="AC2669" i="12"/>
  <c r="AC89" i="12"/>
  <c r="AC3531" i="12"/>
  <c r="AC1376" i="12"/>
  <c r="AC2724" i="12"/>
  <c r="AC1878" i="12"/>
  <c r="AC3315" i="12"/>
  <c r="AC646" i="12"/>
  <c r="AC1471" i="12"/>
  <c r="AC374" i="12"/>
  <c r="AC3113" i="12"/>
  <c r="AC678" i="12"/>
  <c r="AC2465" i="12"/>
  <c r="AC2547" i="12"/>
  <c r="AC3549" i="12"/>
  <c r="AC1463" i="12"/>
  <c r="AC1429" i="12"/>
  <c r="AC1008" i="12"/>
  <c r="AC970" i="12"/>
  <c r="AC293" i="12"/>
  <c r="AC3306" i="12"/>
  <c r="AC1230" i="12"/>
  <c r="AC760" i="12"/>
  <c r="AC2499" i="12"/>
  <c r="AC1374" i="12"/>
  <c r="AC1277" i="12"/>
  <c r="AC1188" i="12"/>
  <c r="AC611" i="12"/>
  <c r="AC2027" i="12"/>
  <c r="AC1067" i="12"/>
  <c r="AC2133" i="12"/>
  <c r="AC1882" i="12"/>
  <c r="AC2759" i="12"/>
  <c r="AC2972" i="12"/>
  <c r="AC2502" i="12"/>
  <c r="AC1016" i="12"/>
  <c r="AC1811" i="12"/>
  <c r="AC2353" i="12"/>
  <c r="AC402" i="12"/>
  <c r="AC2042" i="12"/>
  <c r="AC27" i="12"/>
  <c r="AC1252" i="12"/>
  <c r="AC3277" i="12"/>
  <c r="AC1503" i="12"/>
  <c r="AC492" i="12"/>
  <c r="AC619" i="12"/>
  <c r="AC694" i="12"/>
  <c r="AC566" i="12"/>
  <c r="AC2010" i="12"/>
  <c r="AC2008" i="12"/>
  <c r="AC418" i="12"/>
  <c r="AC1597" i="12"/>
  <c r="AC1893" i="12"/>
  <c r="AC1569" i="12"/>
  <c r="AC1965" i="12"/>
  <c r="AC2497" i="12"/>
  <c r="AC1558" i="12"/>
  <c r="AC1178" i="12"/>
  <c r="AC2717" i="12"/>
  <c r="AC3528" i="12"/>
  <c r="AC2629" i="12"/>
  <c r="AC1335" i="12"/>
  <c r="AC621" i="12"/>
  <c r="AC3150" i="12"/>
  <c r="AC3335" i="12"/>
  <c r="AC2701" i="12"/>
  <c r="AC1606" i="12"/>
  <c r="AC2687" i="12"/>
  <c r="AC356" i="12"/>
  <c r="AC577" i="12"/>
  <c r="AC2566" i="12"/>
  <c r="AC3416" i="12"/>
  <c r="AC2832" i="12"/>
  <c r="AC483" i="12"/>
  <c r="AC2531" i="12"/>
  <c r="AC361" i="12"/>
  <c r="AC2158" i="12"/>
  <c r="AC964" i="12"/>
  <c r="AC1082" i="12"/>
  <c r="AC3179" i="12"/>
  <c r="AC2889" i="12"/>
  <c r="AC2990" i="12"/>
  <c r="AC600" i="12"/>
  <c r="AC929" i="12"/>
  <c r="AC2641" i="12"/>
  <c r="AC228" i="12"/>
  <c r="AC2944" i="12"/>
  <c r="AC1459" i="12"/>
  <c r="AC2540" i="12"/>
  <c r="AC193" i="12"/>
  <c r="AC2654" i="12"/>
  <c r="AC165" i="12"/>
  <c r="AC865" i="12"/>
  <c r="AC407" i="12"/>
  <c r="AC816" i="12"/>
  <c r="AC2330" i="12"/>
  <c r="AC3168" i="12"/>
  <c r="AC2233" i="12"/>
  <c r="AC2278" i="12"/>
  <c r="AC569" i="12"/>
  <c r="AC2100" i="12"/>
  <c r="AC2045" i="12"/>
  <c r="AC3310" i="12"/>
  <c r="AC716" i="12"/>
  <c r="AC2549" i="12"/>
  <c r="AC883" i="12"/>
  <c r="AC1271" i="12"/>
  <c r="AC254" i="12"/>
  <c r="AC637" i="12"/>
  <c r="AC1787" i="12"/>
  <c r="AC3328" i="12"/>
  <c r="AC1073" i="12"/>
  <c r="AC2612" i="12"/>
  <c r="AC313" i="12"/>
  <c r="AC3228" i="12"/>
  <c r="AC3303" i="12"/>
  <c r="AC277" i="12"/>
  <c r="AC2196" i="12"/>
  <c r="AC1057" i="12"/>
  <c r="AC2655" i="12"/>
  <c r="AC2584" i="12"/>
  <c r="AC1815" i="12"/>
  <c r="AC765" i="12"/>
  <c r="AC1705" i="12"/>
  <c r="AC1594" i="12"/>
  <c r="AC2271" i="12"/>
  <c r="AC136" i="12"/>
  <c r="AC2063" i="12"/>
  <c r="AC3371" i="12"/>
  <c r="AC2327" i="12"/>
  <c r="AC2268" i="12"/>
  <c r="AC1511" i="12"/>
  <c r="AC2893" i="12"/>
  <c r="AC1842" i="12"/>
  <c r="AC3411" i="12"/>
  <c r="AC2274" i="12"/>
  <c r="AC1728" i="12"/>
  <c r="AC3361" i="12"/>
  <c r="AC666" i="12"/>
  <c r="AC2035" i="12"/>
  <c r="AC1454" i="12"/>
  <c r="AC2222" i="12"/>
  <c r="AC628" i="12"/>
  <c r="AC2902" i="12"/>
  <c r="AC3501" i="12"/>
  <c r="AC3202" i="12"/>
  <c r="AC2072" i="12"/>
  <c r="AC2820" i="12"/>
  <c r="AC546" i="12"/>
  <c r="AC454" i="12"/>
  <c r="AC1871" i="12"/>
  <c r="AC3104" i="12"/>
  <c r="AC1210" i="12"/>
  <c r="AC2119" i="12"/>
  <c r="AC2358" i="12"/>
  <c r="AC2850" i="12"/>
  <c r="AC2666" i="12"/>
  <c r="AC110" i="12"/>
  <c r="AC1214" i="12"/>
  <c r="AC2632" i="12"/>
  <c r="AC324" i="12"/>
  <c r="AC2285" i="12"/>
  <c r="AC1293" i="12"/>
  <c r="AC2452" i="12"/>
  <c r="AC892" i="12"/>
  <c r="AC3346" i="12"/>
  <c r="AC911" i="12"/>
  <c r="AC528" i="12"/>
  <c r="AC2814" i="12"/>
  <c r="AC2753" i="12"/>
  <c r="AC288" i="12"/>
  <c r="AC1184" i="12"/>
  <c r="AC1434" i="12"/>
  <c r="AC1383" i="12"/>
  <c r="AC310" i="12"/>
  <c r="AC2076" i="12"/>
  <c r="AC2896" i="12"/>
  <c r="AC960" i="12"/>
  <c r="AC167" i="12"/>
  <c r="AC1678" i="12"/>
  <c r="AC2339" i="12"/>
  <c r="AC3019" i="12"/>
  <c r="AC3324" i="12"/>
  <c r="AC1814" i="12"/>
  <c r="AC910" i="12"/>
  <c r="AC613" i="12"/>
  <c r="AC2015" i="12"/>
  <c r="AC1913" i="12"/>
  <c r="AC2157" i="12"/>
  <c r="AC1023" i="12"/>
  <c r="AC3422" i="12"/>
  <c r="AC431" i="12"/>
  <c r="AC2840" i="12"/>
  <c r="AC2827" i="12"/>
  <c r="AC1727" i="12"/>
  <c r="AC1472" i="12"/>
  <c r="AC3331" i="12"/>
  <c r="AC2884" i="12"/>
  <c r="AC1560" i="12"/>
  <c r="AC2454" i="12"/>
  <c r="AC1272" i="12"/>
  <c r="AC2792" i="12"/>
  <c r="AC2533" i="12"/>
  <c r="AC2405" i="12"/>
  <c r="AC825" i="12"/>
  <c r="AC1053" i="12"/>
  <c r="AC3448" i="12"/>
  <c r="AC1299" i="12"/>
  <c r="AC425" i="12"/>
  <c r="AC2277" i="12"/>
  <c r="AC2605" i="12"/>
  <c r="AC1892" i="12"/>
  <c r="AC308" i="12"/>
  <c r="AC609" i="12"/>
  <c r="AC2170" i="12"/>
  <c r="AC1755" i="12"/>
  <c r="AC811" i="12"/>
  <c r="AC3308" i="12"/>
  <c r="AC3008" i="12"/>
  <c r="AC2849" i="12"/>
  <c r="AC592" i="12"/>
  <c r="AC2410" i="12"/>
  <c r="AC2325" i="12"/>
  <c r="AC3298" i="12"/>
  <c r="AC3053" i="12"/>
  <c r="AC2146" i="12"/>
  <c r="AC1405" i="12"/>
  <c r="AC1564" i="12"/>
  <c r="AC320" i="12"/>
  <c r="AC3238" i="12"/>
  <c r="AC1350" i="12"/>
  <c r="AC886" i="12"/>
  <c r="AC1937" i="12"/>
  <c r="AC113" i="12"/>
  <c r="AC218" i="12"/>
  <c r="AC2940" i="12"/>
  <c r="AC1030" i="12"/>
  <c r="AC3502" i="12"/>
  <c r="AC2174" i="12"/>
  <c r="AC780" i="12"/>
  <c r="AC742" i="12"/>
  <c r="AC982" i="12"/>
  <c r="AC1207" i="12"/>
  <c r="AC612" i="12"/>
  <c r="AC2176" i="12"/>
  <c r="AC3543" i="12"/>
  <c r="AC3037" i="12"/>
  <c r="AC372" i="12"/>
  <c r="AC630" i="12"/>
  <c r="AC654" i="12"/>
  <c r="AC3094" i="12"/>
  <c r="AC3287" i="12"/>
  <c r="AC1774" i="12"/>
  <c r="AC3267" i="12"/>
  <c r="AC1003" i="12"/>
  <c r="AC2295" i="12"/>
  <c r="AC2294" i="12"/>
  <c r="AC2804" i="12"/>
  <c r="AC3166" i="12"/>
  <c r="AC548" i="12"/>
  <c r="AC1172" i="12"/>
  <c r="AC2581" i="12"/>
  <c r="AC3070" i="12"/>
  <c r="AC1992" i="12"/>
  <c r="AC1201" i="12"/>
  <c r="AC1545" i="12"/>
  <c r="AC150" i="12"/>
  <c r="AC1236" i="12"/>
  <c r="AC1826" i="12"/>
  <c r="AC992" i="12"/>
  <c r="AC2269" i="12"/>
  <c r="AC1106" i="12"/>
  <c r="AC1644" i="12"/>
  <c r="AC3364" i="12"/>
  <c r="AC598" i="12"/>
  <c r="AC1856" i="12"/>
  <c r="AC792" i="12"/>
  <c r="AC2258" i="12"/>
  <c r="AC1370" i="12"/>
  <c r="AC3242" i="12"/>
  <c r="AC1294" i="12"/>
  <c r="AC3252" i="12"/>
  <c r="AC1968" i="12"/>
  <c r="AC1962" i="12"/>
  <c r="AC3231" i="12"/>
  <c r="AC2644" i="12"/>
  <c r="AC3392" i="12"/>
  <c r="AC939" i="12"/>
  <c r="AC367" i="12"/>
  <c r="AC3172" i="12"/>
  <c r="AC2252" i="12"/>
  <c r="AC1610" i="12"/>
  <c r="AC1847" i="12"/>
  <c r="AC3429" i="12"/>
  <c r="AC1874" i="12"/>
  <c r="AC3466" i="12"/>
  <c r="AC1351" i="12"/>
  <c r="AC2272" i="12"/>
  <c r="AC2938" i="12"/>
  <c r="AC2301" i="12"/>
  <c r="AC115" i="12"/>
  <c r="AC403" i="12"/>
  <c r="AC1110" i="12"/>
  <c r="AC2557" i="12"/>
  <c r="AC1708" i="12"/>
  <c r="AC2218" i="12"/>
  <c r="AC1315" i="12"/>
  <c r="AC276" i="12"/>
  <c r="AC1955" i="12"/>
  <c r="AC3498" i="12"/>
  <c r="AC1784" i="12"/>
  <c r="AC1778" i="12"/>
  <c r="AC2478" i="12"/>
  <c r="AC1246" i="12"/>
  <c r="AC1521" i="12"/>
  <c r="AC795" i="12"/>
  <c r="AC2113" i="12"/>
  <c r="AC1077" i="12"/>
  <c r="AC873" i="12"/>
  <c r="AC3376" i="12"/>
  <c r="AC59" i="12"/>
  <c r="AC597" i="12"/>
  <c r="AC2583" i="12"/>
  <c r="AC2692" i="12"/>
  <c r="AC2661" i="12"/>
  <c r="AC1283" i="12"/>
  <c r="AC1312" i="12"/>
  <c r="AC3297" i="12"/>
  <c r="AC2485" i="12"/>
  <c r="AC2056" i="12"/>
  <c r="AC744" i="12"/>
  <c r="AC328" i="12"/>
  <c r="AC2569" i="12"/>
  <c r="AC1675" i="12"/>
  <c r="AC3071" i="12"/>
  <c r="AC1151" i="12"/>
  <c r="AC590" i="12"/>
  <c r="AC1111" i="12"/>
  <c r="AC2971" i="12"/>
  <c r="AC2108" i="12"/>
  <c r="AC2967" i="12"/>
  <c r="AC3383" i="12"/>
  <c r="AC3488" i="12"/>
  <c r="AC1304" i="12"/>
  <c r="AC2450" i="12"/>
  <c r="AC1074" i="12"/>
  <c r="AC2907" i="12"/>
  <c r="AC104" i="12"/>
  <c r="AC2770" i="12"/>
  <c r="AC3472" i="12"/>
  <c r="AC2966" i="12"/>
  <c r="AC1713" i="12"/>
  <c r="AC2665" i="12"/>
  <c r="AC2060" i="12"/>
  <c r="AC1768" i="12"/>
  <c r="AC849" i="12"/>
  <c r="AC2953" i="12"/>
  <c r="AC1533" i="12"/>
  <c r="AC3495" i="12"/>
  <c r="AC401" i="12"/>
  <c r="AC3414" i="12"/>
  <c r="AC3001" i="12"/>
  <c r="AC3542" i="12"/>
  <c r="AC2418" i="12"/>
  <c r="AC2435" i="12"/>
  <c r="AC741" i="12"/>
  <c r="AC1660" i="12"/>
  <c r="AC686" i="12"/>
  <c r="AC359" i="12"/>
  <c r="AC3099" i="12"/>
  <c r="AC3338" i="12"/>
  <c r="AC2029" i="12"/>
  <c r="AC2043" i="12"/>
  <c r="AC2890" i="12"/>
  <c r="AC155" i="12"/>
  <c r="AC662" i="12"/>
  <c r="AC573" i="12"/>
  <c r="AC2607" i="12"/>
  <c r="AC2412" i="12"/>
  <c r="AC767" i="12"/>
  <c r="AC3226" i="12"/>
  <c r="AC3406" i="12"/>
  <c r="AC1693" i="12"/>
  <c r="AC2993" i="12"/>
  <c r="AC227" i="12"/>
  <c r="AC932" i="12"/>
  <c r="AC2847" i="12"/>
  <c r="AC2251" i="12"/>
  <c r="AC667" i="12"/>
  <c r="AC1636" i="12"/>
  <c r="AC1914" i="12"/>
  <c r="AC67" i="12"/>
  <c r="AC3463" i="12"/>
  <c r="AC491" i="12"/>
  <c r="AC3143" i="12"/>
  <c r="AC1494" i="12"/>
  <c r="AC3482" i="12"/>
  <c r="AC1468" i="12"/>
  <c r="AC715" i="12"/>
  <c r="AC1520" i="12"/>
  <c r="AC690" i="12"/>
  <c r="AC881" i="12"/>
  <c r="AC2696" i="12"/>
  <c r="AC2653" i="12"/>
  <c r="AC103" i="12"/>
  <c r="AC2633" i="12"/>
  <c r="AC963" i="12"/>
  <c r="AC3194" i="12"/>
  <c r="AC329" i="12"/>
  <c r="AC1147" i="12"/>
  <c r="AC710" i="12"/>
  <c r="AC2071" i="12"/>
  <c r="AC119" i="12"/>
  <c r="AC456" i="12"/>
  <c r="AC1759" i="12"/>
  <c r="AC3157" i="12"/>
  <c r="AC1573" i="12"/>
  <c r="AC1027" i="12"/>
  <c r="AC835" i="12"/>
  <c r="AC1366" i="12"/>
  <c r="AC1800" i="12"/>
  <c r="AC1590" i="12"/>
  <c r="AC1393" i="12"/>
  <c r="AC1684" i="12"/>
  <c r="AC723" i="12"/>
  <c r="AC2069" i="12"/>
  <c r="AC933" i="12"/>
  <c r="AC178" i="12"/>
  <c r="AC1504" i="12"/>
  <c r="AC3401" i="12"/>
  <c r="AC2969" i="12"/>
  <c r="AC461" i="12"/>
  <c r="AC1481" i="12"/>
  <c r="AC3244" i="12"/>
  <c r="AC84" i="12"/>
  <c r="AC2229" i="12"/>
  <c r="AC3491" i="12"/>
  <c r="AC465" i="12"/>
  <c r="AC719" i="12"/>
  <c r="AC1013" i="12"/>
  <c r="AC2495" i="12"/>
  <c r="AC2679" i="12"/>
  <c r="AC2021" i="12"/>
  <c r="AC3469" i="12"/>
  <c r="AC2663" i="12"/>
  <c r="AC2951" i="12"/>
  <c r="AC511" i="12"/>
  <c r="AC655" i="12"/>
  <c r="AC1924" i="12"/>
  <c r="AC1861" i="12"/>
  <c r="AC661" i="12"/>
  <c r="AC2195" i="12"/>
  <c r="AC629" i="12"/>
  <c r="AC2365" i="12"/>
  <c r="AC2596" i="12"/>
  <c r="AC1282" i="12"/>
  <c r="AC831" i="12"/>
  <c r="AC58" i="12"/>
  <c r="AC2397" i="12"/>
  <c r="AC915" i="12"/>
  <c r="AC1641" i="12"/>
  <c r="AC417" i="12"/>
  <c r="AC1388" i="12"/>
  <c r="AC2721" i="12"/>
  <c r="AC116" i="12"/>
  <c r="AC961" i="12"/>
  <c r="AC1875" i="12"/>
  <c r="AC3162" i="12"/>
  <c r="AC2207" i="12"/>
  <c r="AC907" i="12"/>
  <c r="AC3155" i="12"/>
  <c r="AC1162" i="12"/>
  <c r="AC671" i="12"/>
  <c r="AC1196" i="12"/>
  <c r="AC323" i="12"/>
  <c r="AC752" i="12"/>
  <c r="AC341" i="12"/>
  <c r="AC1362" i="12"/>
  <c r="AC502" i="12"/>
  <c r="AC2004" i="12"/>
  <c r="AC1954" i="12"/>
  <c r="AC627" i="12"/>
  <c r="AC940" i="12"/>
  <c r="AC3093" i="12"/>
  <c r="AC695" i="12"/>
  <c r="AC45" i="12"/>
  <c r="AC255" i="12"/>
  <c r="AC2797" i="12"/>
  <c r="AC1951" i="12"/>
  <c r="AC2905" i="12"/>
  <c r="AC2758" i="12"/>
  <c r="AC2355" i="12"/>
  <c r="AC2737" i="12"/>
  <c r="AC3394" i="12"/>
  <c r="AC3499" i="12"/>
  <c r="AC692" i="12"/>
  <c r="AC2740" i="12"/>
  <c r="AC707" i="12"/>
  <c r="AC1168" i="12"/>
  <c r="AC2491" i="12"/>
  <c r="AC3199" i="12"/>
  <c r="AC2369" i="12"/>
  <c r="AC2321" i="12"/>
  <c r="AC2183" i="12"/>
  <c r="AC1348" i="12"/>
  <c r="AC2208" i="12"/>
  <c r="AC2315" i="12"/>
  <c r="AC565" i="12"/>
  <c r="AC782" i="12"/>
  <c r="AC2917" i="12"/>
  <c r="AC618" i="12"/>
  <c r="AC300" i="12"/>
  <c r="AC1445" i="12"/>
  <c r="AC680" i="12"/>
  <c r="AC1975" i="12"/>
  <c r="AC95" i="12"/>
  <c r="AC2261" i="12"/>
  <c r="AC544" i="12"/>
  <c r="AC657" i="12"/>
  <c r="AC1750" i="12"/>
  <c r="AC3148" i="12"/>
  <c r="AC473" i="12"/>
  <c r="AC467" i="12"/>
  <c r="AC1313" i="12"/>
  <c r="AC1284" i="12"/>
  <c r="AC1540" i="12"/>
  <c r="AC536" i="12"/>
  <c r="AC1609" i="12"/>
  <c r="AC3076" i="12"/>
  <c r="AC192" i="12"/>
  <c r="AC2059" i="12"/>
  <c r="AC1702" i="12"/>
  <c r="AC983" i="12"/>
  <c r="AC3061" i="12"/>
  <c r="AC2912" i="12"/>
  <c r="AC2876" i="12"/>
  <c r="AC2190" i="12"/>
  <c r="AC2441" i="12"/>
  <c r="AC1671" i="12"/>
  <c r="AC2891" i="12"/>
  <c r="AC578" i="12"/>
  <c r="AC891" i="12"/>
  <c r="AC2619" i="12"/>
  <c r="AC1336" i="12"/>
  <c r="AC1929" i="12"/>
  <c r="AC3452" i="12"/>
  <c r="AC1080" i="12"/>
  <c r="AC1112" i="12"/>
  <c r="AC2192" i="12"/>
  <c r="AC2171" i="12"/>
  <c r="AC2217" i="12"/>
  <c r="AC1488" i="12"/>
  <c r="AC2034" i="12"/>
  <c r="AC2867" i="12"/>
  <c r="AC2390" i="12"/>
  <c r="AC2970" i="12"/>
  <c r="AC2939" i="12"/>
  <c r="AC1225" i="12"/>
  <c r="AC1981" i="12"/>
  <c r="AC3351" i="12"/>
  <c r="AC1555" i="12"/>
  <c r="AC714" i="12"/>
  <c r="AC2670" i="12"/>
  <c r="AC1208" i="12"/>
  <c r="AC847" i="12"/>
  <c r="AC734" i="12"/>
  <c r="AC111" i="12"/>
  <c r="AC338" i="12"/>
  <c r="AC950" i="12"/>
  <c r="AC2474" i="12"/>
  <c r="AC505" i="12"/>
  <c r="AC677" i="12"/>
  <c r="AC921" i="12"/>
  <c r="AC38" i="12"/>
  <c r="AC3494" i="12"/>
  <c r="AC1845" i="12"/>
  <c r="AC1600" i="12"/>
  <c r="AC2444" i="12"/>
  <c r="AC1347" i="12"/>
  <c r="AC340" i="12"/>
  <c r="AC471" i="12"/>
  <c r="AC978" i="12"/>
  <c r="AC2102" i="12"/>
  <c r="AC2242" i="12"/>
  <c r="AC2934" i="12"/>
  <c r="AC2535" i="12"/>
  <c r="AC3388" i="12"/>
  <c r="AC1528" i="12"/>
  <c r="AC3125" i="12"/>
  <c r="AC2813" i="12"/>
  <c r="AC139" i="12"/>
  <c r="AC2803" i="12"/>
  <c r="AC926" i="12"/>
  <c r="AC1757" i="12"/>
  <c r="AC50" i="12"/>
  <c r="AC708" i="12"/>
  <c r="AC2798" i="12"/>
  <c r="AC724" i="12"/>
  <c r="AC1746" i="12"/>
  <c r="AC3507" i="12"/>
  <c r="AC1724" i="12"/>
  <c r="AC3139" i="12"/>
  <c r="AC2363" i="12"/>
  <c r="AC2572" i="12"/>
  <c r="AC1229" i="12"/>
  <c r="AC1245" i="12"/>
  <c r="AC634" i="12"/>
  <c r="AC475" i="12"/>
  <c r="AC426" i="12"/>
  <c r="AC163" i="12"/>
  <c r="AC142" i="12"/>
  <c r="AC3159" i="12"/>
  <c r="AC1844" i="12"/>
  <c r="AC129" i="12"/>
  <c r="AC3211" i="12"/>
  <c r="AC3468" i="12"/>
  <c r="AC171" i="12"/>
  <c r="AC1447" i="12"/>
  <c r="AC530" i="12"/>
  <c r="AC1930" i="12"/>
  <c r="AC366" i="12"/>
  <c r="AC3082" i="12"/>
  <c r="AC1325" i="12"/>
  <c r="AC247" i="12"/>
  <c r="AC582" i="12"/>
  <c r="AC949" i="12"/>
  <c r="AC1451" i="12"/>
  <c r="AC575" i="12"/>
  <c r="AC2886" i="12"/>
  <c r="AC2598" i="12"/>
  <c r="AC709" i="12"/>
  <c r="AC2871" i="12"/>
  <c r="AC1050" i="12"/>
  <c r="AC3073" i="12"/>
  <c r="AC959" i="12"/>
  <c r="AC1867" i="12"/>
  <c r="AC2800" i="12"/>
  <c r="AC1181" i="12"/>
  <c r="AC3369" i="12"/>
  <c r="AC258" i="12"/>
  <c r="AC2084" i="12"/>
  <c r="AC2727" i="12"/>
  <c r="AC568" i="12"/>
  <c r="AC2469" i="12"/>
  <c r="AC516" i="12"/>
  <c r="AC681" i="12"/>
  <c r="AC3052" i="12"/>
  <c r="AC2700" i="12"/>
  <c r="AC2336" i="12"/>
  <c r="AC2671" i="12"/>
  <c r="AC2861" i="12"/>
  <c r="AC2446" i="12"/>
  <c r="AC1838" i="12"/>
  <c r="AC3130" i="12"/>
  <c r="AC2396" i="12"/>
  <c r="AC1843" i="12"/>
  <c r="AC901" i="12"/>
  <c r="AC2359" i="12"/>
  <c r="AC2305" i="12"/>
  <c r="AC3539" i="12"/>
  <c r="AC1104" i="12"/>
  <c r="AC3464" i="12"/>
  <c r="AC2284" i="12"/>
  <c r="AC1565" i="12"/>
  <c r="AC1544" i="12"/>
  <c r="AC580" i="12"/>
  <c r="AC922" i="12"/>
  <c r="AC2265" i="12"/>
  <c r="AC2818" i="12"/>
  <c r="AC2481" i="12"/>
  <c r="AC3145" i="12"/>
  <c r="AC334" i="12"/>
  <c r="AC1513" i="12"/>
  <c r="AC3332" i="12"/>
  <c r="AC1916" i="12"/>
  <c r="AC977" i="12"/>
  <c r="AC2506" i="12"/>
  <c r="AC2574" i="12"/>
  <c r="AC540" i="12"/>
  <c r="AC1483" i="12"/>
  <c r="AC3537" i="12"/>
  <c r="AC3517" i="12"/>
  <c r="AC3415" i="12"/>
  <c r="AC3293" i="12"/>
  <c r="AC3137" i="12"/>
  <c r="AC2342" i="12"/>
  <c r="AC1509" i="12"/>
  <c r="AC828" i="12"/>
  <c r="AC476" i="12"/>
  <c r="AC896" i="12"/>
  <c r="AC2680" i="12"/>
  <c r="AC2395" i="12"/>
  <c r="AC3506" i="12"/>
  <c r="AC2248" i="12"/>
  <c r="AC2858" i="12"/>
  <c r="AC3095" i="12"/>
  <c r="AC2311" i="12"/>
  <c r="AC3243" i="12"/>
  <c r="AC1204" i="12"/>
  <c r="AC2160" i="12"/>
  <c r="AC278" i="12"/>
  <c r="AC1912" i="12"/>
  <c r="AC2838" i="12"/>
  <c r="AC268" i="12"/>
  <c r="AC551" i="12"/>
  <c r="AC2260" i="12"/>
  <c r="AC928" i="12"/>
  <c r="AC576" i="12"/>
  <c r="AC70" i="12"/>
  <c r="AC3441" i="12"/>
  <c r="AC3357" i="12"/>
  <c r="AC1595" i="12"/>
  <c r="AC3205" i="12"/>
  <c r="AC3209" i="12"/>
  <c r="AC1766" i="12"/>
  <c r="AC1935" i="12"/>
  <c r="AC2007" i="12"/>
  <c r="AC1490" i="12"/>
  <c r="AC1317" i="12"/>
  <c r="AC3400" i="12"/>
  <c r="AC2296" i="12"/>
  <c r="AC63" i="12"/>
  <c r="AC1444" i="12"/>
  <c r="AC3206" i="12"/>
  <c r="AC2512" i="12"/>
  <c r="AC2202" i="12"/>
  <c r="AC241" i="12"/>
  <c r="AC893" i="12"/>
  <c r="AC987" i="12"/>
  <c r="AC1605" i="12"/>
  <c r="AC1888" i="12"/>
  <c r="AC2707" i="12"/>
  <c r="AC1323" i="12"/>
  <c r="AC2556" i="12"/>
  <c r="AC2361" i="12"/>
  <c r="AC44" i="12"/>
  <c r="AC2054" i="12"/>
  <c r="AC586" i="12"/>
  <c r="AC486" i="12"/>
  <c r="AC2209" i="12"/>
  <c r="AC3365" i="12"/>
  <c r="AC852" i="12"/>
  <c r="AC2996" i="12"/>
  <c r="AC3399" i="12"/>
  <c r="AC453" i="12"/>
  <c r="AC806" i="12"/>
  <c r="AC1864" i="12"/>
  <c r="AC2591" i="12"/>
  <c r="AC2496" i="12"/>
  <c r="AC283" i="12"/>
  <c r="AC830" i="12"/>
  <c r="AC1426" i="12"/>
  <c r="AC2543" i="12"/>
  <c r="AC1004" i="12"/>
  <c r="AC844" i="12"/>
  <c r="AC1943" i="12"/>
  <c r="AC2085" i="12"/>
  <c r="AC2099" i="12"/>
  <c r="AC1505" i="12"/>
  <c r="AC2595" i="12"/>
  <c r="AC1519" i="12"/>
  <c r="AC2878" i="12"/>
  <c r="AC1973" i="12"/>
  <c r="AC3311" i="12"/>
  <c r="AC980" i="12"/>
  <c r="AC1921" i="12"/>
  <c r="AC1517" i="12"/>
  <c r="AC3525" i="12"/>
  <c r="AC1551" i="12"/>
  <c r="AC3257" i="12"/>
  <c r="AC364" i="12"/>
  <c r="AC3178" i="12"/>
  <c r="AC2685" i="12"/>
  <c r="AC845" i="12"/>
  <c r="AC3075" i="12"/>
  <c r="AC622" i="12"/>
  <c r="AC2510" i="12"/>
  <c r="AC99" i="12"/>
  <c r="AC850" i="12"/>
  <c r="AC1877" i="12"/>
  <c r="AC975" i="12"/>
  <c r="AC810" i="12"/>
  <c r="AC2375" i="12"/>
  <c r="AC2065" i="12"/>
  <c r="AC2323" i="12"/>
  <c r="AC549" i="12"/>
  <c r="AC282" i="12"/>
  <c r="AC3299" i="12"/>
  <c r="AC1289" i="12"/>
  <c r="AC1688" i="12"/>
  <c r="AC2191" i="12"/>
  <c r="AC2234" i="12"/>
  <c r="AC1834" i="12"/>
  <c r="AC2120" i="12"/>
  <c r="AC633" i="12"/>
  <c r="AC1129" i="12"/>
  <c r="AC389" i="12"/>
  <c r="AC331" i="12"/>
  <c r="AC1538" i="12"/>
  <c r="AC3193" i="12"/>
  <c r="AC1254" i="12"/>
  <c r="AC1639" i="12"/>
  <c r="AC786" i="12"/>
  <c r="AC91" i="12"/>
  <c r="AC660" i="12"/>
  <c r="AC1970" i="12"/>
  <c r="AC898" i="12"/>
  <c r="AC3063" i="12"/>
  <c r="AC312" i="12"/>
  <c r="AC2050" i="12"/>
  <c r="AC2126" i="12"/>
  <c r="AC3292" i="12"/>
  <c r="AC595" i="12"/>
  <c r="AC797" i="12"/>
  <c r="AC1103" i="12"/>
  <c r="AC3072" i="12"/>
  <c r="AC1278" i="12"/>
  <c r="AC2156" i="12"/>
  <c r="AC2389" i="12"/>
  <c r="AC337" i="12"/>
  <c r="AC2656" i="12"/>
  <c r="AC335" i="12"/>
  <c r="AC727" i="12"/>
  <c r="AC1654" i="12"/>
  <c r="AC1537" i="12"/>
  <c r="AC1169" i="12"/>
  <c r="AC2429" i="12"/>
  <c r="AC3077" i="12"/>
  <c r="AC1840" i="12"/>
  <c r="AC2254" i="12"/>
  <c r="AC96" i="12"/>
  <c r="AC1280" i="12"/>
  <c r="AC1403" i="12"/>
  <c r="AC3524" i="12"/>
  <c r="AC3023" i="12"/>
  <c r="AC1584" i="12"/>
  <c r="AC1465" i="12"/>
  <c r="AC2720" i="12"/>
  <c r="AC1739" i="12"/>
  <c r="AC2149" i="12"/>
  <c r="AC2699" i="12"/>
  <c r="AC3349" i="12"/>
  <c r="AC307" i="12"/>
  <c r="AC3323" i="12"/>
  <c r="AC2012" i="12"/>
  <c r="AC561" i="12"/>
  <c r="AC1598" i="12"/>
  <c r="AC2447" i="12"/>
  <c r="AC2926" i="12"/>
  <c r="AC2349" i="12"/>
  <c r="AC2513" i="12"/>
  <c r="AC1431" i="12"/>
  <c r="AC1972" i="12"/>
  <c r="AC2571" i="12"/>
  <c r="AC2586" i="12"/>
  <c r="AC2542" i="12"/>
  <c r="AC1061" i="12"/>
  <c r="AC1523" i="12"/>
  <c r="AC2914" i="12"/>
  <c r="AC3064" i="12"/>
  <c r="AC2642" i="12"/>
  <c r="AC60" i="12"/>
  <c r="AC3480" i="12"/>
  <c r="AC3295" i="12"/>
  <c r="AC3417" i="12"/>
  <c r="AC700" i="12"/>
  <c r="AC650" i="12"/>
  <c r="AC3397" i="12"/>
  <c r="AC1630" i="12"/>
  <c r="AC1649" i="12"/>
  <c r="AC762" i="12"/>
  <c r="AC212" i="12"/>
  <c r="AC1221" i="12"/>
  <c r="AC2377" i="12"/>
  <c r="AC2608" i="12"/>
  <c r="AC464" i="12"/>
  <c r="AC3024" i="12"/>
  <c r="AC3246" i="12"/>
  <c r="AC2995" i="12"/>
  <c r="AC638" i="12"/>
  <c r="AC2923" i="12"/>
  <c r="AC1887" i="12"/>
  <c r="AC1516" i="12"/>
  <c r="AC1322" i="12"/>
  <c r="AC3089" i="12"/>
  <c r="AC3229" i="12"/>
  <c r="AC1338" i="12"/>
  <c r="AC2887" i="12"/>
  <c r="AC1629" i="12"/>
  <c r="AC768" i="12"/>
  <c r="AC1480" i="12"/>
  <c r="AC3389" i="12"/>
  <c r="AC3359" i="12"/>
  <c r="AC2280" i="12"/>
  <c r="AC256" i="12"/>
  <c r="AC517" i="12"/>
  <c r="AC665" i="12"/>
  <c r="AC951" i="12"/>
  <c r="AC1977" i="12"/>
  <c r="AC2602" i="12"/>
  <c r="AC882" i="12"/>
  <c r="AC2097" i="12"/>
  <c r="AC2382" i="12"/>
  <c r="AC682" i="12"/>
  <c r="AC2031" i="12"/>
  <c r="AC1571" i="12"/>
  <c r="AC3443" i="12"/>
  <c r="AC269" i="12"/>
  <c r="AC2415" i="12"/>
  <c r="AC2751" i="12"/>
  <c r="AC3536" i="12"/>
  <c r="AC2897" i="12"/>
  <c r="AC3129" i="12"/>
  <c r="AC2536" i="12"/>
  <c r="AC421" i="12"/>
  <c r="AC237" i="12"/>
  <c r="AC3160" i="12"/>
  <c r="AC478" i="12"/>
  <c r="AC1096" i="12"/>
  <c r="AC803" i="12"/>
  <c r="AC251" i="12"/>
  <c r="AC3431" i="12"/>
  <c r="AC862" i="12"/>
  <c r="AC1453" i="12"/>
  <c r="AC1716" i="12"/>
  <c r="AC3264" i="12"/>
  <c r="AC2765" i="12"/>
  <c r="AC2831" i="12"/>
  <c r="AC3043" i="12"/>
  <c r="AC1401" i="12"/>
  <c r="AC2164" i="12"/>
  <c r="AC3321" i="12"/>
  <c r="AC355" i="12"/>
  <c r="AC423" i="12"/>
  <c r="AC123" i="12"/>
  <c r="AC3317" i="12"/>
  <c r="AC1065" i="12"/>
  <c r="AC1456" i="12"/>
  <c r="AC1070" i="12"/>
  <c r="AC1984" i="12"/>
  <c r="AC784" i="12"/>
  <c r="AC754" i="12"/>
  <c r="AC1720" i="12"/>
  <c r="AC2920" i="12"/>
  <c r="AC1046" i="12"/>
  <c r="AC3434" i="12"/>
  <c r="AC339" i="12"/>
  <c r="AC855" i="12"/>
  <c r="AC1835" i="12"/>
  <c r="AC377" i="12"/>
  <c r="AC3395" i="12"/>
  <c r="AC2420" i="12"/>
  <c r="AC1386" i="12"/>
  <c r="AC1832" i="12"/>
  <c r="AC3410" i="12"/>
  <c r="AC263" i="12"/>
  <c r="AC3381" i="12"/>
  <c r="AC1170" i="12"/>
  <c r="AC1152" i="12"/>
  <c r="AC2348" i="12"/>
  <c r="AC2965" i="12"/>
  <c r="AC2807" i="12"/>
  <c r="AC2028" i="12"/>
  <c r="AC230" i="12"/>
  <c r="AC818" i="12"/>
  <c r="AC3065" i="12"/>
  <c r="AC2053" i="12"/>
  <c r="AC1025" i="12"/>
  <c r="AC1368" i="12"/>
  <c r="AC1550" i="12"/>
  <c r="AC2874" i="12"/>
  <c r="AC2585" i="12"/>
  <c r="AC914" i="12"/>
  <c r="AC2250" i="12"/>
  <c r="AC424" i="12"/>
  <c r="AC1442" i="12"/>
  <c r="AC1651" i="12"/>
  <c r="AC3218" i="12"/>
  <c r="AC2960" i="12"/>
  <c r="AC745" i="12"/>
  <c r="AC3112" i="12"/>
  <c r="AC93" i="12"/>
  <c r="AC2565" i="12"/>
  <c r="AC2132" i="12"/>
  <c r="AC2046" i="12"/>
  <c r="AC39" i="12"/>
  <c r="AC2593" i="12"/>
  <c r="AC2047" i="12"/>
  <c r="AC1056" i="12"/>
  <c r="AC2539" i="12"/>
  <c r="AC541" i="12"/>
  <c r="AC383" i="12"/>
  <c r="AC1767" i="12"/>
  <c r="AC1961" i="12"/>
  <c r="AC1087" i="12"/>
  <c r="AC1088" i="12"/>
  <c r="AC257" i="12"/>
  <c r="AC3355" i="12"/>
  <c r="AC207" i="12"/>
  <c r="AC185" i="12"/>
  <c r="AC698" i="12"/>
  <c r="AC224" i="12"/>
  <c r="AC42" i="12"/>
  <c r="AC296" i="12"/>
  <c r="AC623" i="12"/>
  <c r="AC2151" i="12"/>
  <c r="AC2973" i="12"/>
  <c r="AC1384" i="12"/>
  <c r="AC2567" i="12"/>
  <c r="AC221" i="12"/>
  <c r="AC2148" i="12"/>
  <c r="AC3031" i="12"/>
  <c r="AC2167" i="12"/>
  <c r="AC1107" i="12"/>
  <c r="AC1572" i="12"/>
  <c r="AC2544" i="12"/>
  <c r="AC1179" i="12"/>
  <c r="AC998" i="12"/>
  <c r="AC107" i="12"/>
  <c r="AC1411" i="12"/>
  <c r="AC2189" i="12"/>
  <c r="AC2728" i="12"/>
  <c r="AC1659" i="12"/>
  <c r="AC1612" i="12"/>
  <c r="AC36" i="12"/>
  <c r="AC1744" i="12"/>
  <c r="AC793" i="12"/>
  <c r="AC181" i="12"/>
  <c r="AC1081" i="12"/>
  <c r="AC1579" i="12"/>
  <c r="AC1634" i="12"/>
  <c r="AC1150" i="12"/>
  <c r="AC1982" i="12"/>
  <c r="AC610" i="12"/>
  <c r="AC1883" i="12"/>
  <c r="AC1833" i="12"/>
  <c r="AC1775" i="12"/>
  <c r="AC2985" i="12"/>
  <c r="AC1793" i="12"/>
  <c r="AC866" i="12"/>
  <c r="AC594" i="12"/>
  <c r="AC2947" i="12"/>
  <c r="AC1417" i="12"/>
  <c r="AC98" i="12"/>
  <c r="AC2872" i="12"/>
  <c r="AC2668" i="12"/>
  <c r="AC132" i="12"/>
  <c r="AC2228" i="12"/>
  <c r="AC2150" i="12"/>
  <c r="AC3118" i="12"/>
  <c r="AC20" i="12"/>
  <c r="AC606" i="12"/>
  <c r="AC791" i="12"/>
  <c r="AC3010" i="12"/>
  <c r="AC3222" i="12"/>
  <c r="AC559" i="12"/>
  <c r="AC3217" i="12"/>
  <c r="AC3492" i="12"/>
  <c r="AC1918" i="12"/>
  <c r="AC127" i="12"/>
  <c r="AC264" i="12"/>
  <c r="AC2434" i="12"/>
  <c r="AC357" i="12"/>
  <c r="AC3136" i="12"/>
  <c r="AC1525" i="12"/>
  <c r="AC1950" i="12"/>
  <c r="AC2652" i="12"/>
  <c r="AC2413" i="12"/>
  <c r="AC1044" i="12"/>
  <c r="AC2772" i="12"/>
  <c r="AC3116" i="12"/>
  <c r="AC1014" i="12"/>
  <c r="AC1185" i="12"/>
  <c r="AC1991" i="12"/>
  <c r="AC697" i="12"/>
  <c r="AC369" i="12"/>
  <c r="AC2178" i="12"/>
  <c r="AC2263" i="12"/>
  <c r="AC2529" i="12"/>
  <c r="AC1786" i="12"/>
  <c r="AC3313" i="12"/>
  <c r="AC2987" i="12"/>
  <c r="AC2733" i="12"/>
  <c r="AC376" i="12"/>
  <c r="AC1761" i="12"/>
  <c r="AC2747" i="12"/>
  <c r="AC953" i="12"/>
  <c r="AC286" i="12"/>
  <c r="AC826" i="12"/>
  <c r="AC3200" i="12"/>
  <c r="AC2118" i="12"/>
  <c r="AC1758" i="12"/>
  <c r="AC2370" i="12"/>
  <c r="AC1136" i="12"/>
  <c r="AC49" i="12"/>
  <c r="AC2291" i="12"/>
  <c r="AC2689" i="12"/>
  <c r="AC2479" i="12"/>
  <c r="AC161" i="12"/>
  <c r="AC1285" i="12"/>
  <c r="AC2026" i="12"/>
  <c r="AC728" i="12"/>
  <c r="AC3090" i="12"/>
  <c r="AC1414" i="12"/>
  <c r="AC1145" i="12"/>
  <c r="AC870" i="12"/>
  <c r="AC809" i="12"/>
  <c r="AC71" i="12"/>
  <c r="AC1763" i="12"/>
  <c r="AC477" i="12"/>
  <c r="AC515" i="12"/>
  <c r="AC1143" i="12"/>
  <c r="AC1904" i="12"/>
  <c r="AC3233" i="12"/>
  <c r="AC2347" i="12"/>
  <c r="AC2203" i="12"/>
  <c r="AC1563" i="12"/>
  <c r="AC243" i="12"/>
  <c r="AC2345" i="12"/>
  <c r="AC2883" i="12"/>
  <c r="AC1140" i="12"/>
  <c r="AC3083" i="12"/>
  <c r="AC2179" i="12"/>
  <c r="AC2763" i="12"/>
  <c r="AC749" i="12"/>
  <c r="AC2709" i="12"/>
  <c r="AC968" i="12"/>
  <c r="AC2776" i="12"/>
  <c r="AC2138" i="12"/>
  <c r="AC717" i="12"/>
  <c r="AC778" i="12"/>
  <c r="AC1377" i="12"/>
  <c r="AC3142" i="12"/>
  <c r="AC3046" i="12"/>
  <c r="AC246" i="12"/>
  <c r="AC3198" i="12"/>
  <c r="AC494" i="12"/>
  <c r="AC704" i="12"/>
  <c r="AC2303" i="12"/>
  <c r="AC2351" i="12"/>
  <c r="AC1979" i="12"/>
  <c r="AC1243" i="12"/>
  <c r="AC1069" i="12"/>
  <c r="AC2500" i="12"/>
  <c r="AC3300" i="12"/>
  <c r="AC1859" i="12"/>
  <c r="AC448" i="12"/>
  <c r="AC2297" i="12"/>
  <c r="AC2267" i="12"/>
  <c r="AC3520" i="12"/>
  <c r="AC433" i="12"/>
  <c r="AC360" i="12"/>
  <c r="AC1349" i="12"/>
  <c r="AC2016" i="12"/>
  <c r="AC1502" i="12"/>
  <c r="AC2901" i="12"/>
  <c r="AC1553" i="12"/>
  <c r="AC1812" i="12"/>
  <c r="AC1094" i="12"/>
  <c r="AC1343" i="12"/>
  <c r="AC1964" i="12"/>
  <c r="AC757" i="12"/>
  <c r="AC1165" i="12"/>
  <c r="AC1002" i="12"/>
  <c r="AC2313" i="12"/>
  <c r="AC439" i="12"/>
  <c r="AC718" i="12"/>
  <c r="AC3318" i="12"/>
  <c r="AC1448" i="12"/>
  <c r="AC176" i="12"/>
  <c r="AC1691" i="12"/>
  <c r="AC3326" i="12"/>
  <c r="AC180" i="12"/>
  <c r="AC2299" i="12"/>
  <c r="AC788" i="12"/>
  <c r="AC2310" i="12"/>
  <c r="AC1896" i="12"/>
  <c r="AC1397" i="12"/>
  <c r="AC574" i="12"/>
  <c r="AC860" i="12"/>
  <c r="AC3134" i="12"/>
  <c r="AC3302" i="12"/>
  <c r="AC1231" i="12"/>
  <c r="AC1923" i="12"/>
  <c r="AC3450" i="12"/>
  <c r="AC2401" i="12"/>
  <c r="AC2877" i="12"/>
  <c r="AC274" i="12"/>
  <c r="AC2573" i="12"/>
  <c r="AC148" i="12"/>
  <c r="AC2392" i="12"/>
  <c r="AC2117" i="12"/>
  <c r="AC2634" i="12"/>
  <c r="AC1703" i="12"/>
  <c r="AC607" i="12"/>
  <c r="AC2786" i="12"/>
  <c r="AC1621" i="12"/>
  <c r="AC804" i="12"/>
  <c r="AC2493" i="12"/>
  <c r="AC1199" i="12"/>
  <c r="AC3442" i="12"/>
  <c r="AC934" i="12"/>
  <c r="AC3418" i="12"/>
  <c r="AC2787" i="12"/>
  <c r="AC2627" i="12"/>
  <c r="AC593" i="12"/>
  <c r="AC2205" i="12"/>
  <c r="AC2287" i="12"/>
  <c r="AC2764" i="12"/>
  <c r="AC906" i="12"/>
  <c r="AC670" i="12"/>
  <c r="AC1440" i="12"/>
  <c r="AC1418" i="12"/>
  <c r="AC114" i="12"/>
  <c r="AC1515" i="12"/>
  <c r="AC1217" i="12"/>
  <c r="AC1433" i="12"/>
  <c r="AC2211" i="12"/>
  <c r="AC3474" i="12"/>
  <c r="AC973" i="12"/>
  <c r="AC1038" i="12"/>
  <c r="AC1776" i="12"/>
  <c r="AC1592" i="12"/>
  <c r="AC1329" i="12"/>
  <c r="AC854" i="12"/>
  <c r="AC3086" i="12"/>
  <c r="AC3343" i="12"/>
  <c r="AC1467" i="12"/>
  <c r="AC796" i="12"/>
  <c r="AC2848" i="12"/>
  <c r="AC971" i="12"/>
  <c r="AC957" i="12"/>
  <c r="AC3224" i="12"/>
  <c r="AC57" i="12"/>
  <c r="AC899" i="12"/>
  <c r="AC1395" i="12"/>
  <c r="AC2862" i="12"/>
  <c r="AC3269" i="12"/>
  <c r="AC1406" i="12"/>
  <c r="AC1421" i="12"/>
  <c r="AC1365" i="12"/>
  <c r="AC3407" i="12"/>
  <c r="AC3322" i="12"/>
  <c r="AC54" i="12"/>
  <c r="AC458" i="12"/>
  <c r="AC1005" i="12"/>
  <c r="AC2714" i="12"/>
  <c r="AC2070" i="12"/>
  <c r="AC948" i="12"/>
  <c r="AC2961" i="12"/>
  <c r="AC2255" i="12"/>
  <c r="AC2127" i="12"/>
  <c r="AC1174" i="12"/>
  <c r="AC2822" i="12"/>
  <c r="AC2385" i="12"/>
  <c r="AC1824" i="12"/>
  <c r="AC1920" i="12"/>
  <c r="AC1424" i="12"/>
  <c r="AC2490" i="12"/>
  <c r="AC201" i="12"/>
  <c r="AC1997" i="12"/>
  <c r="AC1314" i="12"/>
  <c r="AC253" i="12"/>
  <c r="AC1631" i="12"/>
  <c r="AC722" i="12"/>
  <c r="AC1093" i="12"/>
  <c r="AC2511" i="12"/>
  <c r="AC2860" i="12"/>
  <c r="AC988" i="12"/>
  <c r="AC97" i="12"/>
  <c r="AC2992" i="12"/>
  <c r="AC3081" i="12"/>
  <c r="AC558" i="12"/>
  <c r="AC2166" i="12"/>
  <c r="AC1026" i="12"/>
  <c r="AC603" i="12"/>
  <c r="AC3174" i="12"/>
  <c r="AC2312" i="12"/>
  <c r="AC2651" i="12"/>
  <c r="AC2825" i="12"/>
  <c r="AC3270" i="12"/>
  <c r="AC3220" i="12"/>
  <c r="AC3245" i="12"/>
  <c r="AC1949" i="12"/>
  <c r="AC1303" i="12"/>
  <c r="AC3421" i="12"/>
  <c r="AC2768" i="12"/>
  <c r="AC2664" i="12"/>
  <c r="AC789" i="12"/>
  <c r="AC2468" i="12"/>
  <c r="AC1925" i="12"/>
  <c r="AC1218" i="12"/>
  <c r="AC1860" i="12"/>
  <c r="AC2801" i="12"/>
  <c r="AC1040" i="12"/>
  <c r="AC2368" i="12"/>
  <c r="AC2239" i="12"/>
  <c r="AC3247" i="12"/>
  <c r="AC2187" i="12"/>
  <c r="AC2635" i="12"/>
  <c r="AC1624" i="12"/>
  <c r="AC2283" i="12"/>
  <c r="AC311" i="12"/>
  <c r="AC3260" i="12"/>
  <c r="AC233" i="12"/>
  <c r="AC2835" i="12"/>
  <c r="AC2448" i="12"/>
  <c r="AC1049" i="12"/>
  <c r="J6" i="12"/>
  <c r="J13" i="12"/>
  <c r="K14" i="12"/>
  <c r="K15" i="12"/>
  <c r="J3" i="12"/>
  <c r="J15" i="12"/>
  <c r="K12" i="12"/>
  <c r="K5" i="12"/>
  <c r="K11" i="12"/>
  <c r="J14" i="12"/>
  <c r="K9" i="12"/>
  <c r="K3" i="12"/>
  <c r="J16" i="12"/>
  <c r="K6" i="12"/>
  <c r="J12" i="12"/>
  <c r="J10" i="12"/>
  <c r="K10" i="12"/>
  <c r="J9" i="12"/>
  <c r="J5" i="12"/>
  <c r="J8" i="12"/>
  <c r="J11" i="12"/>
  <c r="K7" i="12"/>
  <c r="K13" i="12"/>
  <c r="J7" i="12"/>
  <c r="K16" i="12"/>
  <c r="J4" i="12"/>
  <c r="K8" i="12"/>
  <c r="K4" i="12"/>
  <c r="H4" i="12" l="1"/>
  <c r="H8" i="12"/>
  <c r="G4" i="12"/>
  <c r="I4" i="12" s="1"/>
  <c r="H16" i="12"/>
  <c r="G7" i="12"/>
  <c r="H13" i="12"/>
  <c r="I13" i="12" s="1"/>
  <c r="H7" i="12"/>
  <c r="I7" i="12" s="1"/>
  <c r="G11" i="12"/>
  <c r="G8" i="12"/>
  <c r="G5" i="12"/>
  <c r="G9" i="12"/>
  <c r="H10" i="12"/>
  <c r="G10" i="12"/>
  <c r="G12" i="12"/>
  <c r="H6" i="12"/>
  <c r="I6" i="12" s="1"/>
  <c r="G16" i="12"/>
  <c r="H3" i="12"/>
  <c r="H9" i="12"/>
  <c r="G14" i="12"/>
  <c r="H11" i="12"/>
  <c r="H5" i="12"/>
  <c r="I5" i="12" s="1"/>
  <c r="H12" i="12"/>
  <c r="I12" i="12" s="1"/>
  <c r="G15" i="12"/>
  <c r="G3" i="12"/>
  <c r="H15" i="12"/>
  <c r="H14" i="12"/>
  <c r="G13" i="12"/>
  <c r="G6" i="12"/>
  <c r="I8" i="12" l="1"/>
  <c r="I11" i="12"/>
  <c r="I10" i="12"/>
  <c r="I16" i="12"/>
  <c r="I14" i="12"/>
  <c r="I9" i="12"/>
  <c r="I15" i="12"/>
  <c r="I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<sst xmlns="http://schemas.openxmlformats.org/spreadsheetml/2006/main" count="1927" uniqueCount="172">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</sst>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i/>
      <sz val="8"/>
      <name val="Courier New"/>
      <family val="3"/>
    </font>
    <font>
      <u/>
      <sz val="8"/>
      <name val="Courier New"/>
      <family val="3"/>
    </font>
    <font>
      <sz val="10"/>
      <name val="Courier New"/>
      <family val="3"/>
    </font>
    <font>
      <u/>
      <sz val="10"/>
      <name val="Courier New"/>
      <family val="3"/>
    </font>
    <font>
      <sz val="8"/>
      <color indexed="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8" tint="0.59999389629810485"/>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8"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xf numFmtId="0" fontId="17" fillId="0" borderId="0"/>
    <xf numFmtId="9" fontId="1" fillId="0" borderId="0" applyFont="0" applyFill="0" applyBorder="0" applyAlignment="0" applyProtection="0"/>
  </cellStyleXfs>
  <cellXfs count="32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6" fillId="0" borderId="0" xfId="1" applyFont="1"/>
    <xf numFmtId="0" fontId="1" fillId="2" borderId="11" xfId="1" applyFill="1" applyBorder="1"/>
    <xf numFmtId="0" fontId="1" fillId="2" borderId="12" xfId="1" applyFill="1" applyBorder="1"/>
    <xf numFmtId="0" fontId="1" fillId="2" borderId="13" xfId="1" applyFill="1" applyBorder="1"/>
    <xf numFmtId="0" fontId="15" fillId="2" borderId="14"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5"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1" xfId="1" applyFont="1" applyFill="1" applyBorder="1"/>
    <xf numFmtId="0" fontId="11" fillId="2" borderId="12" xfId="1" applyFont="1" applyFill="1" applyBorder="1"/>
    <xf numFmtId="0" fontId="11" fillId="2" borderId="13" xfId="1" applyFont="1" applyFill="1" applyBorder="1"/>
    <xf numFmtId="15" fontId="11" fillId="2" borderId="14" xfId="1" applyNumberFormat="1" applyFont="1" applyFill="1" applyBorder="1"/>
    <xf numFmtId="0" fontId="11" fillId="5" borderId="9" xfId="1" applyNumberFormat="1" applyFont="1" applyFill="1" applyBorder="1"/>
    <xf numFmtId="0" fontId="11" fillId="2" borderId="15" xfId="1" applyFont="1" applyFill="1" applyBorder="1"/>
    <xf numFmtId="170" fontId="11" fillId="4" borderId="10" xfId="1" quotePrefix="1" applyNumberFormat="1" applyFont="1" applyFill="1" applyBorder="1" applyAlignment="1" applyProtection="1">
      <alignment horizontal="left"/>
    </xf>
    <xf numFmtId="0" fontId="11" fillId="2" borderId="14" xfId="1" applyFont="1" applyFill="1" applyBorder="1"/>
    <xf numFmtId="0" fontId="11" fillId="2" borderId="0" xfId="1" applyFont="1" applyFill="1" applyBorder="1"/>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2" borderId="29" xfId="1" applyFont="1" applyFill="1" applyBorder="1" applyAlignment="1">
      <alignment horizontal="center"/>
    </xf>
    <xf numFmtId="0" fontId="7" fillId="12" borderId="31" xfId="1" applyFont="1" applyFill="1" applyBorder="1" applyAlignment="1">
      <alignment horizontal="center"/>
    </xf>
    <xf numFmtId="167" fontId="6" fillId="0" borderId="33" xfId="1" applyNumberFormat="1" applyFont="1" applyBorder="1" applyAlignment="1"/>
    <xf numFmtId="167" fontId="6" fillId="0" borderId="15" xfId="1" applyNumberFormat="1" applyFont="1" applyBorder="1"/>
    <xf numFmtId="165" fontId="6" fillId="0" borderId="14" xfId="2" quotePrefix="1" applyNumberFormat="1" applyFont="1" applyBorder="1" applyAlignment="1"/>
    <xf numFmtId="167" fontId="6" fillId="0" borderId="13" xfId="1" applyNumberFormat="1" applyFont="1" applyBorder="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2" borderId="31" xfId="1" applyFont="1" applyFill="1" applyBorder="1" applyAlignment="1">
      <alignment horizontal="right"/>
    </xf>
    <xf numFmtId="0" fontId="7" fillId="12" borderId="28" xfId="1" applyFont="1" applyFill="1" applyBorder="1" applyAlignment="1">
      <alignment horizontal="center"/>
    </xf>
    <xf numFmtId="165" fontId="6" fillId="0" borderId="0" xfId="10" applyNumberFormat="1" applyFont="1" applyBorder="1"/>
    <xf numFmtId="165" fontId="6" fillId="0" borderId="14" xfId="1" applyNumberFormat="1" applyFont="1" applyBorder="1"/>
    <xf numFmtId="165" fontId="6" fillId="0" borderId="12" xfId="10" applyNumberFormat="1" applyFont="1" applyBorder="1"/>
    <xf numFmtId="165" fontId="6" fillId="0" borderId="11" xfId="1" applyNumberFormat="1" applyFont="1" applyBorder="1"/>
    <xf numFmtId="0" fontId="7" fillId="11"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165" fontId="6" fillId="0" borderId="12"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2" xfId="1" applyFont="1" applyBorder="1"/>
    <xf numFmtId="0" fontId="7" fillId="12" borderId="36" xfId="1" applyFont="1" applyFill="1" applyBorder="1" applyAlignment="1">
      <alignment horizontal="center"/>
    </xf>
    <xf numFmtId="167" fontId="6" fillId="0" borderId="12" xfId="1" applyNumberFormat="1" applyFont="1" applyBorder="1" applyAlignment="1"/>
    <xf numFmtId="0" fontId="7" fillId="12" borderId="24"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3" xfId="1" applyFont="1" applyFill="1" applyBorder="1" applyAlignment="1">
      <alignment horizontal="center" vertical="center"/>
    </xf>
    <xf numFmtId="0" fontId="6" fillId="10" borderId="26" xfId="1" applyFont="1" applyFill="1" applyBorder="1"/>
    <xf numFmtId="0" fontId="7" fillId="11" borderId="29" xfId="1" applyFont="1" applyFill="1" applyBorder="1" applyAlignment="1">
      <alignment horizontal="center"/>
    </xf>
    <xf numFmtId="0" fontId="7" fillId="12" borderId="31" xfId="1" applyFont="1" applyFill="1" applyBorder="1" applyAlignment="1">
      <alignment horizontal="centerContinuous"/>
    </xf>
    <xf numFmtId="0" fontId="7" fillId="12" borderId="24" xfId="1" applyFont="1" applyFill="1" applyBorder="1" applyAlignment="1">
      <alignment horizontal="centerContinuous"/>
    </xf>
    <xf numFmtId="0" fontId="7" fillId="11" borderId="35" xfId="1" applyFont="1" applyFill="1" applyBorder="1" applyAlignment="1">
      <alignment horizontal="center"/>
    </xf>
    <xf numFmtId="0" fontId="6" fillId="0" borderId="36" xfId="1" applyFont="1" applyBorder="1" applyAlignment="1">
      <alignment horizontal="center"/>
    </xf>
    <xf numFmtId="165" fontId="20" fillId="0" borderId="15" xfId="2" applyNumberFormat="1" applyFont="1" applyBorder="1"/>
    <xf numFmtId="0" fontId="6" fillId="10" borderId="39" xfId="1" applyFont="1" applyFill="1" applyBorder="1"/>
    <xf numFmtId="0" fontId="7" fillId="12" borderId="32" xfId="1" applyFont="1" applyFill="1" applyBorder="1" applyAlignment="1">
      <alignment horizontal="centerContinuous"/>
    </xf>
    <xf numFmtId="0" fontId="7" fillId="11" borderId="15" xfId="1" applyFont="1" applyFill="1" applyBorder="1" applyAlignment="1">
      <alignment horizontal="center"/>
    </xf>
    <xf numFmtId="167" fontId="6" fillId="13" borderId="39" xfId="1" applyNumberFormat="1" applyFont="1" applyFill="1" applyBorder="1"/>
    <xf numFmtId="167" fontId="6" fillId="13" borderId="26" xfId="1" applyNumberFormat="1" applyFont="1" applyFill="1" applyBorder="1"/>
    <xf numFmtId="165" fontId="6" fillId="0" borderId="7" xfId="2" quotePrefix="1" applyNumberFormat="1" applyFont="1" applyBorder="1" applyAlignment="1"/>
    <xf numFmtId="10" fontId="6" fillId="0" borderId="34" xfId="1" applyNumberFormat="1" applyFont="1" applyBorder="1" applyAlignment="1"/>
    <xf numFmtId="10" fontId="6" fillId="0" borderId="14" xfId="1" applyNumberFormat="1" applyFont="1" applyBorder="1"/>
    <xf numFmtId="10" fontId="6" fillId="0" borderId="11" xfId="1" applyNumberFormat="1" applyFont="1" applyBorder="1"/>
    <xf numFmtId="167" fontId="6" fillId="13" borderId="42" xfId="1" applyNumberFormat="1" applyFont="1" applyFill="1" applyBorder="1"/>
    <xf numFmtId="0" fontId="6" fillId="10" borderId="42" xfId="1" applyFont="1" applyFill="1" applyBorder="1"/>
    <xf numFmtId="0" fontId="7" fillId="3" borderId="24" xfId="1" applyFont="1" applyFill="1" applyBorder="1" applyAlignment="1">
      <alignment horizontal="center" vertical="center" wrapText="1"/>
    </xf>
    <xf numFmtId="10" fontId="6" fillId="13" borderId="39" xfId="1" applyNumberFormat="1" applyFont="1" applyFill="1" applyBorder="1"/>
    <xf numFmtId="10" fontId="6" fillId="13" borderId="26" xfId="1" applyNumberFormat="1" applyFont="1" applyFill="1" applyBorder="1"/>
    <xf numFmtId="10" fontId="6" fillId="13" borderId="42" xfId="1" applyNumberFormat="1" applyFont="1" applyFill="1" applyBorder="1"/>
    <xf numFmtId="0" fontId="6" fillId="13" borderId="29" xfId="1" applyFont="1" applyFill="1" applyBorder="1" applyAlignment="1">
      <alignment vertical="center"/>
    </xf>
    <xf numFmtId="0" fontId="6" fillId="13" borderId="15" xfId="1" applyFont="1" applyFill="1" applyBorder="1" applyAlignment="1">
      <alignment vertical="center"/>
    </xf>
    <xf numFmtId="0" fontId="6" fillId="13" borderId="15" xfId="1" applyFont="1" applyFill="1" applyBorder="1" applyAlignment="1">
      <alignment horizontal="center" vertical="center"/>
    </xf>
    <xf numFmtId="0" fontId="6" fillId="13" borderId="13" xfId="1" applyFont="1" applyFill="1" applyBorder="1" applyAlignment="1">
      <alignment vertical="center"/>
    </xf>
    <xf numFmtId="0" fontId="6" fillId="13" borderId="38" xfId="1" applyFont="1" applyFill="1" applyBorder="1"/>
    <xf numFmtId="0" fontId="6" fillId="13" borderId="37" xfId="1" applyFont="1" applyFill="1" applyBorder="1"/>
    <xf numFmtId="0" fontId="6" fillId="13" borderId="41" xfId="1" applyFont="1" applyFill="1" applyBorder="1"/>
    <xf numFmtId="0" fontId="6" fillId="13" borderId="43" xfId="1" applyNumberFormat="1" applyFont="1" applyFill="1" applyBorder="1"/>
    <xf numFmtId="0" fontId="6" fillId="13" borderId="5" xfId="1" applyNumberFormat="1" applyFont="1" applyFill="1" applyBorder="1"/>
    <xf numFmtId="0" fontId="18" fillId="13" borderId="5" xfId="0" applyFont="1" applyFill="1" applyBorder="1"/>
    <xf numFmtId="0" fontId="18" fillId="13" borderId="44" xfId="0" applyFont="1" applyFill="1" applyBorder="1"/>
    <xf numFmtId="0" fontId="18" fillId="0" borderId="15" xfId="0" applyFont="1" applyBorder="1"/>
    <xf numFmtId="10" fontId="6" fillId="13" borderId="43" xfId="1" applyNumberFormat="1" applyFont="1" applyFill="1" applyBorder="1"/>
    <xf numFmtId="10" fontId="6" fillId="13" borderId="5" xfId="1" applyNumberFormat="1" applyFont="1" applyFill="1" applyBorder="1"/>
    <xf numFmtId="10" fontId="6" fillId="13" borderId="44" xfId="1" applyNumberFormat="1" applyFont="1" applyFill="1" applyBorder="1"/>
    <xf numFmtId="0" fontId="7" fillId="11" borderId="40" xfId="1" applyFont="1" applyFill="1" applyBorder="1" applyAlignment="1">
      <alignment horizontal="center"/>
    </xf>
    <xf numFmtId="10" fontId="18" fillId="13" borderId="26" xfId="0" applyNumberFormat="1" applyFont="1" applyFill="1" applyBorder="1"/>
    <xf numFmtId="10" fontId="18" fillId="13" borderId="42" xfId="0" applyNumberFormat="1" applyFont="1" applyFill="1" applyBorder="1"/>
    <xf numFmtId="10" fontId="6" fillId="13" borderId="38" xfId="1" applyNumberFormat="1" applyFont="1" applyFill="1" applyBorder="1"/>
    <xf numFmtId="10" fontId="6" fillId="13" borderId="37" xfId="1" applyNumberFormat="1" applyFont="1" applyFill="1" applyBorder="1"/>
    <xf numFmtId="10" fontId="6" fillId="13" borderId="41"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0" borderId="32" xfId="1" applyFont="1" applyBorder="1"/>
    <xf numFmtId="0" fontId="6" fillId="0" borderId="33" xfId="1" applyFont="1" applyBorder="1"/>
    <xf numFmtId="0" fontId="6" fillId="2" borderId="7" xfId="1" applyFont="1" applyFill="1" applyBorder="1" applyAlignment="1">
      <alignment horizontal="left"/>
    </xf>
    <xf numFmtId="165" fontId="22" fillId="0" borderId="0" xfId="1"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2" xfId="1" applyFont="1" applyBorder="1" applyAlignment="1">
      <alignment horizontal="right" vertical="center"/>
    </xf>
    <xf numFmtId="0" fontId="7" fillId="12" borderId="35" xfId="1" applyFont="1" applyFill="1" applyBorder="1" applyAlignment="1">
      <alignment horizontal="center"/>
    </xf>
    <xf numFmtId="0" fontId="6" fillId="0" borderId="31" xfId="1" applyFont="1" applyBorder="1"/>
    <xf numFmtId="167" fontId="6" fillId="0" borderId="31" xfId="1" applyNumberFormat="1" applyFont="1" applyBorder="1"/>
    <xf numFmtId="165" fontId="6" fillId="0" borderId="31" xfId="2" applyNumberFormat="1" applyFont="1" applyBorder="1"/>
    <xf numFmtId="165" fontId="6" fillId="0" borderId="31" xfId="10" applyNumberFormat="1" applyFont="1" applyBorder="1"/>
    <xf numFmtId="0" fontId="6" fillId="0" borderId="29" xfId="1" applyFont="1" applyBorder="1"/>
    <xf numFmtId="0" fontId="6" fillId="10" borderId="0" xfId="1" applyFont="1" applyFill="1" applyBorder="1" applyAlignment="1">
      <alignment horizontal="left"/>
    </xf>
    <xf numFmtId="165" fontId="6" fillId="10" borderId="0" xfId="2" applyNumberFormat="1" applyFont="1" applyFill="1" applyBorder="1" applyAlignment="1">
      <alignment horizontal="right"/>
    </xf>
    <xf numFmtId="0" fontId="6" fillId="10" borderId="0" xfId="1" applyFont="1" applyFill="1" applyBorder="1" applyAlignment="1">
      <alignment horizontal="center"/>
    </xf>
    <xf numFmtId="167" fontId="6" fillId="10" borderId="0" xfId="1" applyNumberFormat="1" applyFont="1" applyFill="1" applyBorder="1" applyAlignment="1">
      <alignment horizontal="right"/>
    </xf>
    <xf numFmtId="167" fontId="6" fillId="10" borderId="4" xfId="1" applyNumberFormat="1" applyFont="1" applyFill="1" applyBorder="1" applyAlignment="1">
      <alignment horizontal="right"/>
    </xf>
    <xf numFmtId="0" fontId="6" fillId="10" borderId="7" xfId="1" applyFont="1" applyFill="1" applyBorder="1" applyAlignment="1">
      <alignment horizontal="left"/>
    </xf>
    <xf numFmtId="165" fontId="6" fillId="10" borderId="7" xfId="2" applyNumberFormat="1" applyFont="1" applyFill="1" applyBorder="1" applyAlignment="1">
      <alignment horizontal="right"/>
    </xf>
    <xf numFmtId="0" fontId="6" fillId="10" borderId="7" xfId="1" applyFont="1" applyFill="1" applyBorder="1" applyAlignment="1">
      <alignment horizontal="center"/>
    </xf>
    <xf numFmtId="167" fontId="6" fillId="10" borderId="7" xfId="1" applyNumberFormat="1" applyFont="1" applyFill="1" applyBorder="1" applyAlignment="1">
      <alignment horizontal="right"/>
    </xf>
    <xf numFmtId="167" fontId="6" fillId="10" borderId="6" xfId="1" applyNumberFormat="1" applyFont="1" applyFill="1" applyBorder="1" applyAlignment="1">
      <alignment horizontal="right"/>
    </xf>
    <xf numFmtId="10" fontId="6" fillId="0" borderId="14" xfId="1" applyNumberFormat="1" applyFont="1" applyBorder="1" applyAlignment="1">
      <alignment horizontal="right"/>
    </xf>
    <xf numFmtId="10" fontId="6" fillId="0" borderId="11" xfId="1" applyNumberFormat="1" applyFont="1" applyBorder="1" applyAlignment="1">
      <alignment horizontal="right"/>
    </xf>
    <xf numFmtId="10" fontId="6" fillId="0" borderId="28" xfId="1" applyNumberFormat="1" applyFont="1" applyBorder="1" applyAlignment="1">
      <alignment horizontal="right"/>
    </xf>
    <xf numFmtId="0" fontId="6" fillId="0" borderId="45" xfId="0" applyFont="1" applyBorder="1"/>
    <xf numFmtId="0" fontId="6" fillId="0" borderId="46" xfId="0" applyFont="1" applyBorder="1"/>
    <xf numFmtId="0" fontId="6" fillId="0" borderId="35" xfId="0" applyFont="1" applyBorder="1"/>
    <xf numFmtId="0" fontId="6" fillId="0" borderId="36" xfId="1" applyFont="1" applyBorder="1" applyAlignment="1">
      <alignment horizontal="center"/>
    </xf>
    <xf numFmtId="0" fontId="7" fillId="12" borderId="35" xfId="1" applyFont="1" applyFill="1" applyBorder="1" applyAlignment="1">
      <alignment horizontal="center" wrapText="1"/>
    </xf>
    <xf numFmtId="178" fontId="18" fillId="13" borderId="27" xfId="0" applyNumberFormat="1" applyFont="1" applyFill="1" applyBorder="1"/>
    <xf numFmtId="178" fontId="18" fillId="13" borderId="26" xfId="0" applyNumberFormat="1" applyFont="1" applyFill="1" applyBorder="1"/>
    <xf numFmtId="178" fontId="18" fillId="13" borderId="25" xfId="0" applyNumberFormat="1" applyFont="1" applyFill="1" applyBorder="1"/>
    <xf numFmtId="0" fontId="18" fillId="10" borderId="0" xfId="0" applyFont="1" applyFill="1"/>
    <xf numFmtId="0" fontId="18" fillId="10" borderId="0" xfId="0" applyFont="1" applyFill="1" applyBorder="1"/>
    <xf numFmtId="0" fontId="18" fillId="10" borderId="14" xfId="0" applyFont="1" applyFill="1" applyBorder="1"/>
    <xf numFmtId="0" fontId="18" fillId="10" borderId="12" xfId="0" applyFont="1" applyFill="1" applyBorder="1"/>
    <xf numFmtId="0" fontId="18" fillId="10" borderId="11" xfId="0" applyFont="1" applyFill="1" applyBorder="1"/>
    <xf numFmtId="0" fontId="18" fillId="10" borderId="27" xfId="0" applyFont="1" applyFill="1" applyBorder="1"/>
    <xf numFmtId="167" fontId="18" fillId="10" borderId="27" xfId="0" applyNumberFormat="1" applyFont="1" applyFill="1" applyBorder="1"/>
    <xf numFmtId="178" fontId="18" fillId="10" borderId="27" xfId="0" applyNumberFormat="1" applyFont="1" applyFill="1" applyBorder="1"/>
    <xf numFmtId="0" fontId="18" fillId="10" borderId="26" xfId="0" applyFont="1" applyFill="1" applyBorder="1"/>
    <xf numFmtId="167" fontId="18" fillId="10" borderId="26" xfId="0" applyNumberFormat="1" applyFont="1" applyFill="1" applyBorder="1"/>
    <xf numFmtId="178" fontId="18" fillId="10" borderId="26" xfId="0" applyNumberFormat="1" applyFont="1" applyFill="1" applyBorder="1"/>
    <xf numFmtId="0" fontId="18" fillId="10" borderId="25" xfId="0" applyFont="1" applyFill="1" applyBorder="1"/>
    <xf numFmtId="167" fontId="18" fillId="10" borderId="25" xfId="0" applyNumberFormat="1" applyFont="1" applyFill="1" applyBorder="1"/>
    <xf numFmtId="178" fontId="18" fillId="10" borderId="25" xfId="0" applyNumberFormat="1" applyFont="1" applyFill="1" applyBorder="1"/>
    <xf numFmtId="0" fontId="6" fillId="2" borderId="15" xfId="1" applyFont="1" applyFill="1" applyBorder="1" applyAlignment="1">
      <alignment horizontal="center"/>
    </xf>
    <xf numFmtId="0" fontId="6" fillId="2" borderId="0" xfId="1" applyFont="1" applyFill="1" applyBorder="1"/>
    <xf numFmtId="0" fontId="23" fillId="2" borderId="9" xfId="1" applyFont="1" applyFill="1" applyBorder="1" applyAlignment="1">
      <alignment horizontal="left" vertical="center"/>
    </xf>
    <xf numFmtId="0" fontId="24" fillId="2" borderId="14" xfId="1" applyFont="1" applyFill="1" applyBorder="1"/>
    <xf numFmtId="0" fontId="25" fillId="0" borderId="0" xfId="1" applyFont="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6" fillId="2" borderId="14" xfId="1" applyFont="1" applyFill="1" applyBorder="1"/>
    <xf numFmtId="0" fontId="6" fillId="2" borderId="15" xfId="1" applyFont="1" applyFill="1" applyBorder="1"/>
    <xf numFmtId="0" fontId="6" fillId="2" borderId="9" xfId="1" applyFont="1" applyFill="1" applyBorder="1"/>
    <xf numFmtId="171" fontId="27" fillId="4" borderId="9" xfId="1" applyNumberFormat="1" applyFont="1" applyFill="1" applyBorder="1" applyAlignment="1" applyProtection="1">
      <alignment horizontal="left"/>
    </xf>
    <xf numFmtId="0" fontId="6" fillId="2" borderId="27" xfId="1" applyNumberFormat="1" applyFont="1" applyFill="1" applyBorder="1" applyAlignment="1">
      <alignment horizontal="center"/>
    </xf>
    <xf numFmtId="0" fontId="6" fillId="2" borderId="27" xfId="1" applyFont="1" applyFill="1" applyBorder="1" applyAlignment="1">
      <alignment horizontal="center"/>
    </xf>
    <xf numFmtId="165" fontId="6" fillId="2" borderId="27" xfId="1" applyNumberFormat="1" applyFont="1" applyFill="1" applyBorder="1" applyAlignment="1"/>
    <xf numFmtId="0" fontId="6" fillId="2" borderId="27" xfId="1" applyFont="1" applyFill="1" applyBorder="1" applyAlignment="1"/>
    <xf numFmtId="0" fontId="6" fillId="2"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0" borderId="31" xfId="1" applyFont="1" applyBorder="1" applyAlignment="1">
      <alignment horizontal="center"/>
    </xf>
    <xf numFmtId="0" fontId="6" fillId="0" borderId="28" xfId="1" applyFont="1" applyBorder="1" applyAlignment="1">
      <alignment horizontal="center"/>
    </xf>
    <xf numFmtId="0" fontId="6" fillId="2" borderId="26" xfId="1" applyNumberFormat="1" applyFont="1" applyFill="1" applyBorder="1" applyAlignment="1">
      <alignment horizontal="center"/>
    </xf>
    <xf numFmtId="0" fontId="6" fillId="2" borderId="26" xfId="1" applyFont="1" applyFill="1" applyBorder="1" applyAlignment="1">
      <alignment horizontal="center"/>
    </xf>
    <xf numFmtId="165" fontId="6" fillId="2" borderId="26" xfId="1" applyNumberFormat="1" applyFont="1" applyFill="1" applyBorder="1" applyAlignment="1"/>
    <xf numFmtId="0" fontId="6" fillId="2" borderId="26" xfId="1" applyFont="1" applyFill="1" applyBorder="1" applyAlignment="1"/>
    <xf numFmtId="0" fontId="6" fillId="2"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0" borderId="0" xfId="1" applyFont="1" applyBorder="1" applyAlignment="1">
      <alignment horizontal="center"/>
    </xf>
    <xf numFmtId="0" fontId="6" fillId="0" borderId="14" xfId="1" applyFont="1" applyBorder="1" applyAlignment="1">
      <alignment horizontal="center"/>
    </xf>
    <xf numFmtId="0" fontId="6" fillId="0" borderId="12" xfId="1" applyFont="1" applyBorder="1" applyAlignment="1">
      <alignment horizontal="center"/>
    </xf>
    <xf numFmtId="0" fontId="6" fillId="0" borderId="11" xfId="1" applyFont="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5" xfId="1" applyFont="1" applyFill="1" applyBorder="1" applyAlignment="1"/>
    <xf numFmtId="0" fontId="6" fillId="2"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2" borderId="13" xfId="1" applyFont="1" applyFill="1" applyBorder="1"/>
    <xf numFmtId="0" fontId="6" fillId="2" borderId="12" xfId="1" applyFont="1" applyFill="1" applyBorder="1"/>
    <xf numFmtId="0" fontId="6" fillId="2" borderId="12" xfId="1" applyFont="1" applyFill="1" applyBorder="1" applyAlignment="1">
      <alignment horizontal="left"/>
    </xf>
    <xf numFmtId="0" fontId="6" fillId="2" borderId="11" xfId="1" applyFont="1" applyFill="1" applyBorder="1" applyAlignment="1">
      <alignment horizontal="left"/>
    </xf>
    <xf numFmtId="0" fontId="25" fillId="0" borderId="0" xfId="1" applyFont="1" applyAlignment="1">
      <alignment horizontal="left"/>
    </xf>
    <xf numFmtId="0" fontId="6" fillId="2" borderId="29" xfId="1" applyFont="1" applyFill="1" applyBorder="1" applyAlignment="1">
      <alignment horizontal="left"/>
    </xf>
    <xf numFmtId="0" fontId="6" fillId="2" borderId="31" xfId="1" applyFont="1" applyFill="1" applyBorder="1"/>
    <xf numFmtId="0" fontId="24" fillId="2" borderId="28" xfId="1" applyFont="1" applyFill="1" applyBorder="1"/>
    <xf numFmtId="165" fontId="25" fillId="0" borderId="0" xfId="10" applyNumberFormat="1" applyFont="1"/>
    <xf numFmtId="0" fontId="6" fillId="2" borderId="31" xfId="1" applyFont="1" applyFill="1" applyBorder="1" applyAlignment="1">
      <alignment horizontal="center"/>
    </xf>
    <xf numFmtId="0" fontId="23" fillId="2" borderId="27" xfId="1" applyFont="1" applyFill="1" applyBorder="1" applyAlignment="1">
      <alignment horizontal="center" vertical="center"/>
    </xf>
    <xf numFmtId="0" fontId="6" fillId="2" borderId="28" xfId="1" applyFont="1" applyFill="1" applyBorder="1"/>
    <xf numFmtId="0" fontId="6" fillId="2" borderId="6" xfId="1" applyFont="1" applyFill="1" applyBorder="1" applyAlignment="1">
      <alignment horizontal="center" vertical="center" wrapText="1"/>
    </xf>
    <xf numFmtId="0" fontId="6" fillId="4" borderId="27" xfId="1" applyNumberFormat="1" applyFont="1" applyFill="1" applyBorder="1" applyAlignment="1" applyProtection="1">
      <alignment horizontal="center" vertical="center"/>
    </xf>
    <xf numFmtId="0" fontId="27" fillId="4" borderId="6" xfId="1" applyNumberFormat="1" applyFont="1" applyFill="1" applyBorder="1" applyAlignment="1" applyProtection="1">
      <alignment vertical="center"/>
    </xf>
    <xf numFmtId="0" fontId="6" fillId="2" borderId="14" xfId="1" applyFont="1" applyFill="1" applyBorder="1"/>
    <xf numFmtId="0" fontId="6" fillId="2" borderId="27"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27" fillId="4" borderId="6" xfId="1" applyNumberFormat="1" applyFont="1" applyFill="1" applyBorder="1" applyAlignment="1" applyProtection="1"/>
    <xf numFmtId="0" fontId="6" fillId="2" borderId="26"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27" fillId="4" borderId="4" xfId="1" applyNumberFormat="1" applyFont="1" applyFill="1" applyBorder="1" applyAlignment="1" applyProtection="1"/>
    <xf numFmtId="0" fontId="6" fillId="2" borderId="30" xfId="1" applyFont="1" applyFill="1" applyBorder="1"/>
    <xf numFmtId="0" fontId="6" fillId="2" borderId="30" xfId="1" applyFont="1" applyFill="1" applyBorder="1" applyAlignment="1">
      <alignment horizontal="left"/>
    </xf>
    <xf numFmtId="0" fontId="6" fillId="2" borderId="11" xfId="1" applyFont="1" applyFill="1" applyBorder="1"/>
    <xf numFmtId="0" fontId="6" fillId="2" borderId="8" xfId="1" applyFont="1" applyFill="1" applyBorder="1" applyAlignment="1">
      <alignment horizontal="center" vertical="center" wrapText="1"/>
    </xf>
    <xf numFmtId="0" fontId="6" fillId="2" borderId="27" xfId="1" applyFont="1" applyFill="1" applyBorder="1" applyAlignment="1">
      <alignment horizontal="center" vertical="center" wrapText="1"/>
    </xf>
    <xf numFmtId="172" fontId="6" fillId="2" borderId="25" xfId="1" applyNumberFormat="1" applyFont="1" applyFill="1" applyBorder="1" applyAlignment="1"/>
    <xf numFmtId="0" fontId="6" fillId="0" borderId="0" xfId="1" applyFont="1" applyAlignment="1">
      <alignment horizontal="center"/>
    </xf>
    <xf numFmtId="0" fontId="23" fillId="2" borderId="9" xfId="1" applyFont="1" applyFill="1" applyBorder="1" applyAlignment="1">
      <alignment horizontal="center" vertical="center"/>
    </xf>
    <xf numFmtId="0" fontId="6" fillId="4" borderId="10" xfId="1" applyNumberFormat="1" applyFont="1" applyFill="1" applyBorder="1" applyAlignment="1" applyProtection="1">
      <alignment horizontal="center" vertical="center"/>
    </xf>
    <xf numFmtId="0" fontId="27" fillId="4" borderId="9" xfId="1" applyNumberFormat="1" applyFont="1" applyFill="1" applyBorder="1" applyAlignment="1" applyProtection="1">
      <alignment horizontal="left" vertical="center"/>
    </xf>
    <xf numFmtId="172" fontId="6" fillId="2" borderId="27" xfId="1" applyNumberFormat="1" applyFont="1" applyFill="1" applyBorder="1" applyAlignment="1"/>
    <xf numFmtId="172" fontId="6" fillId="10" borderId="27" xfId="1" applyNumberFormat="1" applyFont="1" applyFill="1" applyBorder="1" applyAlignment="1">
      <alignment horizontal="left"/>
    </xf>
    <xf numFmtId="171" fontId="27" fillId="4" borderId="6" xfId="1" applyNumberFormat="1" applyFont="1" applyFill="1" applyBorder="1" applyAlignment="1" applyProtection="1">
      <alignment horizontal="left"/>
    </xf>
    <xf numFmtId="172" fontId="6" fillId="2" borderId="26" xfId="1" applyNumberFormat="1" applyFont="1" applyFill="1" applyBorder="1" applyAlignment="1"/>
    <xf numFmtId="172" fontId="6" fillId="10" borderId="26" xfId="1" applyNumberFormat="1" applyFont="1" applyFill="1" applyBorder="1" applyAlignment="1">
      <alignment horizontal="left"/>
    </xf>
    <xf numFmtId="171" fontId="27" fillId="4" borderId="4" xfId="1" applyNumberFormat="1" applyFont="1" applyFill="1" applyBorder="1" applyAlignment="1" applyProtection="1">
      <alignment horizontal="left"/>
    </xf>
    <xf numFmtId="172"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171" fontId="27" fillId="4" borderId="1" xfId="1" applyNumberFormat="1" applyFont="1" applyFill="1" applyBorder="1" applyAlignment="1" applyProtection="1">
      <alignment horizontal="left"/>
    </xf>
    <xf numFmtId="0" fontId="6" fillId="2" borderId="5" xfId="1" applyFont="1" applyFill="1" applyBorder="1" applyAlignment="1">
      <alignment horizontal="center"/>
    </xf>
    <xf numFmtId="0" fontId="6" fillId="2" borderId="3" xfId="1" applyFont="1" applyFill="1" applyBorder="1" applyAlignment="1">
      <alignment horizontal="center"/>
    </xf>
    <xf numFmtId="0" fontId="6" fillId="14" borderId="9" xfId="0" applyFont="1" applyFill="1" applyBorder="1" applyAlignment="1">
      <alignment wrapText="1"/>
    </xf>
    <xf numFmtId="167" fontId="6" fillId="10" borderId="9" xfId="0" applyNumberFormat="1" applyFont="1" applyFill="1" applyBorder="1"/>
    <xf numFmtId="167" fontId="6" fillId="10" borderId="9" xfId="0" applyNumberFormat="1" applyFont="1" applyFill="1" applyBorder="1" applyAlignment="1">
      <alignment vertical="center"/>
    </xf>
    <xf numFmtId="0" fontId="6" fillId="14" borderId="9" xfId="0" applyFont="1" applyFill="1" applyBorder="1" applyAlignment="1">
      <alignment horizontal="center" vertical="center" wrapText="1"/>
    </xf>
    <xf numFmtId="0" fontId="10" fillId="7" borderId="24" xfId="3" applyFont="1" applyFill="1" applyBorder="1" applyAlignment="1">
      <alignment horizontal="center"/>
    </xf>
    <xf numFmtId="0" fontId="10" fillId="7" borderId="32"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Monitor!$AB$18</c:f>
              <c:strCache>
                <c:ptCount val="1"/>
                <c:pt idx="0">
                  <c:v>6M Fwd</c:v>
                </c:pt>
              </c:strCache>
            </c:strRef>
          </c:tx>
          <c:spPr>
            <a:ln>
              <a:noFill/>
            </a:ln>
          </c:spPr>
          <c:marker>
            <c:symbol val="square"/>
            <c:size val="2"/>
            <c:spPr>
              <a:solidFill>
                <a:schemeClr val="accent1"/>
              </a:solidFill>
            </c:spPr>
          </c:marker>
          <c:cat>
            <c:numRef>
              <c:f>Monitor!$AA$19:$AA$3552</c:f>
              <c:numCache>
                <c:formatCode>ddd\,\ dd\-mmm\-yyyy</c:formatCode>
                <c:ptCount val="3534"/>
                <c:pt idx="0">
                  <c:v>42187</c:v>
                </c:pt>
                <c:pt idx="1">
                  <c:v>42188</c:v>
                </c:pt>
                <c:pt idx="2">
                  <c:v>42191</c:v>
                </c:pt>
                <c:pt idx="3">
                  <c:v>42192</c:v>
                </c:pt>
                <c:pt idx="4">
                  <c:v>42193</c:v>
                </c:pt>
                <c:pt idx="5">
                  <c:v>42194</c:v>
                </c:pt>
                <c:pt idx="6">
                  <c:v>42195</c:v>
                </c:pt>
                <c:pt idx="7">
                  <c:v>42198</c:v>
                </c:pt>
                <c:pt idx="8">
                  <c:v>42199</c:v>
                </c:pt>
                <c:pt idx="9">
                  <c:v>42200</c:v>
                </c:pt>
                <c:pt idx="10">
                  <c:v>42201</c:v>
                </c:pt>
                <c:pt idx="11">
                  <c:v>42202</c:v>
                </c:pt>
                <c:pt idx="12">
                  <c:v>42205</c:v>
                </c:pt>
                <c:pt idx="13">
                  <c:v>42206</c:v>
                </c:pt>
                <c:pt idx="14">
                  <c:v>42207</c:v>
                </c:pt>
                <c:pt idx="15">
                  <c:v>42208</c:v>
                </c:pt>
                <c:pt idx="16">
                  <c:v>42209</c:v>
                </c:pt>
                <c:pt idx="17">
                  <c:v>42212</c:v>
                </c:pt>
                <c:pt idx="18">
                  <c:v>42213</c:v>
                </c:pt>
                <c:pt idx="19">
                  <c:v>42214</c:v>
                </c:pt>
                <c:pt idx="20">
                  <c:v>42215</c:v>
                </c:pt>
                <c:pt idx="21">
                  <c:v>42216</c:v>
                </c:pt>
                <c:pt idx="22">
                  <c:v>42219</c:v>
                </c:pt>
                <c:pt idx="23">
                  <c:v>42220</c:v>
                </c:pt>
                <c:pt idx="24">
                  <c:v>42221</c:v>
                </c:pt>
                <c:pt idx="25">
                  <c:v>42222</c:v>
                </c:pt>
                <c:pt idx="26">
                  <c:v>42223</c:v>
                </c:pt>
                <c:pt idx="27">
                  <c:v>42226</c:v>
                </c:pt>
                <c:pt idx="28">
                  <c:v>42227</c:v>
                </c:pt>
                <c:pt idx="29">
                  <c:v>42228</c:v>
                </c:pt>
                <c:pt idx="30">
                  <c:v>42229</c:v>
                </c:pt>
                <c:pt idx="31">
                  <c:v>42230</c:v>
                </c:pt>
                <c:pt idx="32">
                  <c:v>42233</c:v>
                </c:pt>
                <c:pt idx="33">
                  <c:v>42234</c:v>
                </c:pt>
                <c:pt idx="34">
                  <c:v>42235</c:v>
                </c:pt>
                <c:pt idx="35">
                  <c:v>42236</c:v>
                </c:pt>
                <c:pt idx="36">
                  <c:v>42237</c:v>
                </c:pt>
                <c:pt idx="37">
                  <c:v>42240</c:v>
                </c:pt>
                <c:pt idx="38">
                  <c:v>42241</c:v>
                </c:pt>
                <c:pt idx="39">
                  <c:v>42242</c:v>
                </c:pt>
                <c:pt idx="40">
                  <c:v>42243</c:v>
                </c:pt>
                <c:pt idx="41">
                  <c:v>42244</c:v>
                </c:pt>
                <c:pt idx="42">
                  <c:v>42247</c:v>
                </c:pt>
                <c:pt idx="43">
                  <c:v>42248</c:v>
                </c:pt>
                <c:pt idx="44">
                  <c:v>42249</c:v>
                </c:pt>
                <c:pt idx="45">
                  <c:v>42250</c:v>
                </c:pt>
                <c:pt idx="46">
                  <c:v>42251</c:v>
                </c:pt>
                <c:pt idx="47">
                  <c:v>42254</c:v>
                </c:pt>
                <c:pt idx="48">
                  <c:v>42255</c:v>
                </c:pt>
                <c:pt idx="49">
                  <c:v>42256</c:v>
                </c:pt>
                <c:pt idx="50">
                  <c:v>42257</c:v>
                </c:pt>
                <c:pt idx="51">
                  <c:v>42258</c:v>
                </c:pt>
                <c:pt idx="52">
                  <c:v>42261</c:v>
                </c:pt>
                <c:pt idx="53">
                  <c:v>42262</c:v>
                </c:pt>
                <c:pt idx="54">
                  <c:v>42263</c:v>
                </c:pt>
                <c:pt idx="55">
                  <c:v>42264</c:v>
                </c:pt>
                <c:pt idx="56">
                  <c:v>42265</c:v>
                </c:pt>
                <c:pt idx="57">
                  <c:v>42268</c:v>
                </c:pt>
                <c:pt idx="58">
                  <c:v>42269</c:v>
                </c:pt>
                <c:pt idx="59">
                  <c:v>42270</c:v>
                </c:pt>
                <c:pt idx="60">
                  <c:v>42271</c:v>
                </c:pt>
                <c:pt idx="61">
                  <c:v>42272</c:v>
                </c:pt>
                <c:pt idx="62">
                  <c:v>42275</c:v>
                </c:pt>
                <c:pt idx="63">
                  <c:v>42276</c:v>
                </c:pt>
                <c:pt idx="64">
                  <c:v>42277</c:v>
                </c:pt>
                <c:pt idx="65">
                  <c:v>42278</c:v>
                </c:pt>
                <c:pt idx="66">
                  <c:v>42279</c:v>
                </c:pt>
                <c:pt idx="67">
                  <c:v>42282</c:v>
                </c:pt>
                <c:pt idx="68">
                  <c:v>42283</c:v>
                </c:pt>
                <c:pt idx="69">
                  <c:v>42284</c:v>
                </c:pt>
                <c:pt idx="70">
                  <c:v>42285</c:v>
                </c:pt>
                <c:pt idx="71">
                  <c:v>42286</c:v>
                </c:pt>
                <c:pt idx="72">
                  <c:v>42289</c:v>
                </c:pt>
                <c:pt idx="73">
                  <c:v>42290</c:v>
                </c:pt>
                <c:pt idx="74">
                  <c:v>42291</c:v>
                </c:pt>
                <c:pt idx="75">
                  <c:v>42292</c:v>
                </c:pt>
                <c:pt idx="76">
                  <c:v>42293</c:v>
                </c:pt>
                <c:pt idx="77">
                  <c:v>42296</c:v>
                </c:pt>
                <c:pt idx="78">
                  <c:v>42297</c:v>
                </c:pt>
                <c:pt idx="79">
                  <c:v>42298</c:v>
                </c:pt>
                <c:pt idx="80">
                  <c:v>42299</c:v>
                </c:pt>
                <c:pt idx="81">
                  <c:v>42300</c:v>
                </c:pt>
                <c:pt idx="82">
                  <c:v>42303</c:v>
                </c:pt>
                <c:pt idx="83">
                  <c:v>42304</c:v>
                </c:pt>
                <c:pt idx="84">
                  <c:v>42305</c:v>
                </c:pt>
                <c:pt idx="85">
                  <c:v>42306</c:v>
                </c:pt>
                <c:pt idx="86">
                  <c:v>42307</c:v>
                </c:pt>
                <c:pt idx="87">
                  <c:v>42310</c:v>
                </c:pt>
                <c:pt idx="88">
                  <c:v>42311</c:v>
                </c:pt>
                <c:pt idx="89">
                  <c:v>42312</c:v>
                </c:pt>
                <c:pt idx="90">
                  <c:v>42313</c:v>
                </c:pt>
                <c:pt idx="91">
                  <c:v>42314</c:v>
                </c:pt>
                <c:pt idx="92">
                  <c:v>42317</c:v>
                </c:pt>
                <c:pt idx="93">
                  <c:v>42318</c:v>
                </c:pt>
                <c:pt idx="94">
                  <c:v>42319</c:v>
                </c:pt>
                <c:pt idx="95">
                  <c:v>42320</c:v>
                </c:pt>
                <c:pt idx="96">
                  <c:v>42321</c:v>
                </c:pt>
                <c:pt idx="97">
                  <c:v>42324</c:v>
                </c:pt>
                <c:pt idx="98">
                  <c:v>42325</c:v>
                </c:pt>
                <c:pt idx="99">
                  <c:v>42326</c:v>
                </c:pt>
                <c:pt idx="100">
                  <c:v>42327</c:v>
                </c:pt>
                <c:pt idx="101">
                  <c:v>42328</c:v>
                </c:pt>
                <c:pt idx="102">
                  <c:v>42331</c:v>
                </c:pt>
                <c:pt idx="103">
                  <c:v>42332</c:v>
                </c:pt>
                <c:pt idx="104">
                  <c:v>42333</c:v>
                </c:pt>
                <c:pt idx="105">
                  <c:v>42334</c:v>
                </c:pt>
                <c:pt idx="106">
                  <c:v>42335</c:v>
                </c:pt>
                <c:pt idx="107">
                  <c:v>42338</c:v>
                </c:pt>
                <c:pt idx="108">
                  <c:v>42339</c:v>
                </c:pt>
                <c:pt idx="109">
                  <c:v>42340</c:v>
                </c:pt>
                <c:pt idx="110">
                  <c:v>42341</c:v>
                </c:pt>
                <c:pt idx="111">
                  <c:v>42342</c:v>
                </c:pt>
                <c:pt idx="112">
                  <c:v>42345</c:v>
                </c:pt>
                <c:pt idx="113">
                  <c:v>42346</c:v>
                </c:pt>
                <c:pt idx="114">
                  <c:v>42347</c:v>
                </c:pt>
                <c:pt idx="115">
                  <c:v>42348</c:v>
                </c:pt>
                <c:pt idx="116">
                  <c:v>42349</c:v>
                </c:pt>
                <c:pt idx="117">
                  <c:v>42352</c:v>
                </c:pt>
                <c:pt idx="118">
                  <c:v>42353</c:v>
                </c:pt>
                <c:pt idx="119">
                  <c:v>42354</c:v>
                </c:pt>
                <c:pt idx="120">
                  <c:v>42355</c:v>
                </c:pt>
                <c:pt idx="121">
                  <c:v>42356</c:v>
                </c:pt>
                <c:pt idx="122">
                  <c:v>42359</c:v>
                </c:pt>
                <c:pt idx="123">
                  <c:v>42360</c:v>
                </c:pt>
                <c:pt idx="124">
                  <c:v>42361</c:v>
                </c:pt>
                <c:pt idx="125">
                  <c:v>42362</c:v>
                </c:pt>
                <c:pt idx="126">
                  <c:v>42366</c:v>
                </c:pt>
                <c:pt idx="127">
                  <c:v>42367</c:v>
                </c:pt>
                <c:pt idx="128">
                  <c:v>42368</c:v>
                </c:pt>
                <c:pt idx="129">
                  <c:v>42369</c:v>
                </c:pt>
                <c:pt idx="130">
                  <c:v>42373</c:v>
                </c:pt>
                <c:pt idx="131">
                  <c:v>42374</c:v>
                </c:pt>
                <c:pt idx="132">
                  <c:v>42375</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42495</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42520</c:v>
                </c:pt>
                <c:pt idx="234">
                  <c:v>42521</c:v>
                </c:pt>
                <c:pt idx="235">
                  <c:v>42522</c:v>
                </c:pt>
                <c:pt idx="236">
                  <c:v>42523</c:v>
                </c:pt>
                <c:pt idx="237">
                  <c:v>42524</c:v>
                </c:pt>
                <c:pt idx="238">
                  <c:v>42527</c:v>
                </c:pt>
                <c:pt idx="239">
                  <c:v>42528</c:v>
                </c:pt>
                <c:pt idx="240">
                  <c:v>42529</c:v>
                </c:pt>
                <c:pt idx="241">
                  <c:v>42530</c:v>
                </c:pt>
                <c:pt idx="242">
                  <c:v>42531</c:v>
                </c:pt>
                <c:pt idx="243">
                  <c:v>42534</c:v>
                </c:pt>
                <c:pt idx="244">
                  <c:v>42535</c:v>
                </c:pt>
                <c:pt idx="245">
                  <c:v>42536</c:v>
                </c:pt>
                <c:pt idx="246">
                  <c:v>42537</c:v>
                </c:pt>
                <c:pt idx="247">
                  <c:v>42538</c:v>
                </c:pt>
                <c:pt idx="248">
                  <c:v>42541</c:v>
                </c:pt>
                <c:pt idx="249">
                  <c:v>42542</c:v>
                </c:pt>
                <c:pt idx="250">
                  <c:v>42543</c:v>
                </c:pt>
                <c:pt idx="251">
                  <c:v>42544</c:v>
                </c:pt>
                <c:pt idx="252">
                  <c:v>42545</c:v>
                </c:pt>
                <c:pt idx="253">
                  <c:v>42548</c:v>
                </c:pt>
                <c:pt idx="254">
                  <c:v>42549</c:v>
                </c:pt>
                <c:pt idx="255">
                  <c:v>42550</c:v>
                </c:pt>
                <c:pt idx="256">
                  <c:v>42551</c:v>
                </c:pt>
                <c:pt idx="257">
                  <c:v>42552</c:v>
                </c:pt>
                <c:pt idx="258">
                  <c:v>42555</c:v>
                </c:pt>
                <c:pt idx="259">
                  <c:v>42556</c:v>
                </c:pt>
                <c:pt idx="260">
                  <c:v>42557</c:v>
                </c:pt>
                <c:pt idx="261">
                  <c:v>42558</c:v>
                </c:pt>
                <c:pt idx="262">
                  <c:v>42559</c:v>
                </c:pt>
                <c:pt idx="263">
                  <c:v>42562</c:v>
                </c:pt>
                <c:pt idx="264">
                  <c:v>42563</c:v>
                </c:pt>
                <c:pt idx="265">
                  <c:v>42564</c:v>
                </c:pt>
                <c:pt idx="266">
                  <c:v>42565</c:v>
                </c:pt>
                <c:pt idx="267">
                  <c:v>42566</c:v>
                </c:pt>
                <c:pt idx="268">
                  <c:v>42569</c:v>
                </c:pt>
                <c:pt idx="269">
                  <c:v>42570</c:v>
                </c:pt>
                <c:pt idx="270">
                  <c:v>42571</c:v>
                </c:pt>
                <c:pt idx="271">
                  <c:v>42572</c:v>
                </c:pt>
                <c:pt idx="272">
                  <c:v>42573</c:v>
                </c:pt>
                <c:pt idx="273">
                  <c:v>42576</c:v>
                </c:pt>
                <c:pt idx="274">
                  <c:v>42577</c:v>
                </c:pt>
                <c:pt idx="275">
                  <c:v>42578</c:v>
                </c:pt>
                <c:pt idx="276">
                  <c:v>42579</c:v>
                </c:pt>
                <c:pt idx="277">
                  <c:v>42580</c:v>
                </c:pt>
                <c:pt idx="278">
                  <c:v>42583</c:v>
                </c:pt>
                <c:pt idx="279">
                  <c:v>42584</c:v>
                </c:pt>
                <c:pt idx="280">
                  <c:v>42585</c:v>
                </c:pt>
                <c:pt idx="281">
                  <c:v>42586</c:v>
                </c:pt>
                <c:pt idx="282">
                  <c:v>42587</c:v>
                </c:pt>
                <c:pt idx="283">
                  <c:v>42590</c:v>
                </c:pt>
                <c:pt idx="284">
                  <c:v>42591</c:v>
                </c:pt>
                <c:pt idx="285">
                  <c:v>42592</c:v>
                </c:pt>
                <c:pt idx="286">
                  <c:v>42593</c:v>
                </c:pt>
                <c:pt idx="287">
                  <c:v>42594</c:v>
                </c:pt>
                <c:pt idx="288">
                  <c:v>42597</c:v>
                </c:pt>
                <c:pt idx="289">
                  <c:v>42598</c:v>
                </c:pt>
                <c:pt idx="290">
                  <c:v>42599</c:v>
                </c:pt>
                <c:pt idx="291">
                  <c:v>42600</c:v>
                </c:pt>
                <c:pt idx="292">
                  <c:v>42601</c:v>
                </c:pt>
                <c:pt idx="293">
                  <c:v>42604</c:v>
                </c:pt>
                <c:pt idx="294">
                  <c:v>42605</c:v>
                </c:pt>
                <c:pt idx="295">
                  <c:v>42606</c:v>
                </c:pt>
                <c:pt idx="296">
                  <c:v>42607</c:v>
                </c:pt>
                <c:pt idx="297">
                  <c:v>42608</c:v>
                </c:pt>
                <c:pt idx="298">
                  <c:v>42611</c:v>
                </c:pt>
                <c:pt idx="299">
                  <c:v>42612</c:v>
                </c:pt>
                <c:pt idx="300">
                  <c:v>42613</c:v>
                </c:pt>
                <c:pt idx="301">
                  <c:v>42614</c:v>
                </c:pt>
                <c:pt idx="302">
                  <c:v>42615</c:v>
                </c:pt>
                <c:pt idx="303">
                  <c:v>42618</c:v>
                </c:pt>
                <c:pt idx="304">
                  <c:v>42619</c:v>
                </c:pt>
                <c:pt idx="305">
                  <c:v>42620</c:v>
                </c:pt>
                <c:pt idx="306">
                  <c:v>42621</c:v>
                </c:pt>
                <c:pt idx="307">
                  <c:v>42622</c:v>
                </c:pt>
                <c:pt idx="308">
                  <c:v>42625</c:v>
                </c:pt>
                <c:pt idx="309">
                  <c:v>42626</c:v>
                </c:pt>
                <c:pt idx="310">
                  <c:v>42627</c:v>
                </c:pt>
                <c:pt idx="311">
                  <c:v>42628</c:v>
                </c:pt>
                <c:pt idx="312">
                  <c:v>42629</c:v>
                </c:pt>
                <c:pt idx="313">
                  <c:v>42632</c:v>
                </c:pt>
                <c:pt idx="314">
                  <c:v>42633</c:v>
                </c:pt>
                <c:pt idx="315">
                  <c:v>42634</c:v>
                </c:pt>
                <c:pt idx="316">
                  <c:v>42635</c:v>
                </c:pt>
                <c:pt idx="317">
                  <c:v>42636</c:v>
                </c:pt>
                <c:pt idx="318">
                  <c:v>42639</c:v>
                </c:pt>
                <c:pt idx="319">
                  <c:v>42640</c:v>
                </c:pt>
                <c:pt idx="320">
                  <c:v>42641</c:v>
                </c:pt>
                <c:pt idx="321">
                  <c:v>42642</c:v>
                </c:pt>
                <c:pt idx="322">
                  <c:v>42643</c:v>
                </c:pt>
                <c:pt idx="323">
                  <c:v>42646</c:v>
                </c:pt>
                <c:pt idx="324">
                  <c:v>42647</c:v>
                </c:pt>
                <c:pt idx="325">
                  <c:v>42648</c:v>
                </c:pt>
                <c:pt idx="326">
                  <c:v>42649</c:v>
                </c:pt>
                <c:pt idx="327">
                  <c:v>42650</c:v>
                </c:pt>
                <c:pt idx="328">
                  <c:v>42653</c:v>
                </c:pt>
                <c:pt idx="329">
                  <c:v>42654</c:v>
                </c:pt>
                <c:pt idx="330">
                  <c:v>42655</c:v>
                </c:pt>
                <c:pt idx="331">
                  <c:v>42656</c:v>
                </c:pt>
                <c:pt idx="332">
                  <c:v>42657</c:v>
                </c:pt>
                <c:pt idx="333">
                  <c:v>42660</c:v>
                </c:pt>
                <c:pt idx="334">
                  <c:v>42661</c:v>
                </c:pt>
                <c:pt idx="335">
                  <c:v>42662</c:v>
                </c:pt>
                <c:pt idx="336">
                  <c:v>42663</c:v>
                </c:pt>
                <c:pt idx="337">
                  <c:v>42664</c:v>
                </c:pt>
                <c:pt idx="338">
                  <c:v>42667</c:v>
                </c:pt>
                <c:pt idx="339">
                  <c:v>42668</c:v>
                </c:pt>
                <c:pt idx="340">
                  <c:v>42669</c:v>
                </c:pt>
                <c:pt idx="341">
                  <c:v>42670</c:v>
                </c:pt>
                <c:pt idx="342">
                  <c:v>42671</c:v>
                </c:pt>
                <c:pt idx="343">
                  <c:v>42674</c:v>
                </c:pt>
                <c:pt idx="344">
                  <c:v>42675</c:v>
                </c:pt>
                <c:pt idx="345">
                  <c:v>42676</c:v>
                </c:pt>
                <c:pt idx="346">
                  <c:v>42677</c:v>
                </c:pt>
                <c:pt idx="347">
                  <c:v>42678</c:v>
                </c:pt>
                <c:pt idx="348">
                  <c:v>42681</c:v>
                </c:pt>
                <c:pt idx="349">
                  <c:v>42682</c:v>
                </c:pt>
                <c:pt idx="350">
                  <c:v>42683</c:v>
                </c:pt>
                <c:pt idx="351">
                  <c:v>42684</c:v>
                </c:pt>
                <c:pt idx="352">
                  <c:v>42685</c:v>
                </c:pt>
                <c:pt idx="353">
                  <c:v>42688</c:v>
                </c:pt>
                <c:pt idx="354">
                  <c:v>42689</c:v>
                </c:pt>
                <c:pt idx="355">
                  <c:v>42690</c:v>
                </c:pt>
                <c:pt idx="356">
                  <c:v>42691</c:v>
                </c:pt>
                <c:pt idx="357">
                  <c:v>42692</c:v>
                </c:pt>
                <c:pt idx="358">
                  <c:v>42695</c:v>
                </c:pt>
                <c:pt idx="359">
                  <c:v>42696</c:v>
                </c:pt>
                <c:pt idx="360">
                  <c:v>42697</c:v>
                </c:pt>
                <c:pt idx="361">
                  <c:v>42698</c:v>
                </c:pt>
                <c:pt idx="362">
                  <c:v>42699</c:v>
                </c:pt>
                <c:pt idx="363">
                  <c:v>42702</c:v>
                </c:pt>
                <c:pt idx="364">
                  <c:v>42703</c:v>
                </c:pt>
                <c:pt idx="365">
                  <c:v>42704</c:v>
                </c:pt>
                <c:pt idx="366">
                  <c:v>42705</c:v>
                </c:pt>
                <c:pt idx="367">
                  <c:v>42706</c:v>
                </c:pt>
                <c:pt idx="368">
                  <c:v>42709</c:v>
                </c:pt>
                <c:pt idx="369">
                  <c:v>42710</c:v>
                </c:pt>
                <c:pt idx="370">
                  <c:v>42711</c:v>
                </c:pt>
                <c:pt idx="371">
                  <c:v>42712</c:v>
                </c:pt>
                <c:pt idx="372">
                  <c:v>42713</c:v>
                </c:pt>
                <c:pt idx="373">
                  <c:v>42716</c:v>
                </c:pt>
                <c:pt idx="374">
                  <c:v>42717</c:v>
                </c:pt>
                <c:pt idx="375">
                  <c:v>42718</c:v>
                </c:pt>
                <c:pt idx="376">
                  <c:v>42719</c:v>
                </c:pt>
                <c:pt idx="377">
                  <c:v>42720</c:v>
                </c:pt>
                <c:pt idx="378">
                  <c:v>42723</c:v>
                </c:pt>
                <c:pt idx="379">
                  <c:v>42724</c:v>
                </c:pt>
                <c:pt idx="380">
                  <c:v>42725</c:v>
                </c:pt>
                <c:pt idx="381">
                  <c:v>42726</c:v>
                </c:pt>
                <c:pt idx="382">
                  <c:v>42727</c:v>
                </c:pt>
                <c:pt idx="383">
                  <c:v>42731</c:v>
                </c:pt>
                <c:pt idx="384">
                  <c:v>42732</c:v>
                </c:pt>
                <c:pt idx="385">
                  <c:v>42733</c:v>
                </c:pt>
                <c:pt idx="386">
                  <c:v>42734</c:v>
                </c:pt>
                <c:pt idx="387">
                  <c:v>42737</c:v>
                </c:pt>
                <c:pt idx="388">
                  <c:v>42738</c:v>
                </c:pt>
                <c:pt idx="389">
                  <c:v>42739</c:v>
                </c:pt>
                <c:pt idx="390">
                  <c:v>42740</c:v>
                </c:pt>
                <c:pt idx="391">
                  <c:v>42741</c:v>
                </c:pt>
                <c:pt idx="392">
                  <c:v>42744</c:v>
                </c:pt>
                <c:pt idx="393">
                  <c:v>42745</c:v>
                </c:pt>
                <c:pt idx="394">
                  <c:v>42746</c:v>
                </c:pt>
                <c:pt idx="395">
                  <c:v>42747</c:v>
                </c:pt>
                <c:pt idx="396">
                  <c:v>42748</c:v>
                </c:pt>
                <c:pt idx="397">
                  <c:v>42751</c:v>
                </c:pt>
                <c:pt idx="398">
                  <c:v>42752</c:v>
                </c:pt>
                <c:pt idx="399">
                  <c:v>42753</c:v>
                </c:pt>
                <c:pt idx="400">
                  <c:v>42754</c:v>
                </c:pt>
                <c:pt idx="401">
                  <c:v>42755</c:v>
                </c:pt>
                <c:pt idx="402">
                  <c:v>42758</c:v>
                </c:pt>
                <c:pt idx="403">
                  <c:v>42759</c:v>
                </c:pt>
                <c:pt idx="404">
                  <c:v>42760</c:v>
                </c:pt>
                <c:pt idx="405">
                  <c:v>42761</c:v>
                </c:pt>
                <c:pt idx="406">
                  <c:v>42762</c:v>
                </c:pt>
                <c:pt idx="407">
                  <c:v>42765</c:v>
                </c:pt>
                <c:pt idx="408">
                  <c:v>42766</c:v>
                </c:pt>
                <c:pt idx="409">
                  <c:v>42767</c:v>
                </c:pt>
                <c:pt idx="410">
                  <c:v>42768</c:v>
                </c:pt>
                <c:pt idx="411">
                  <c:v>42769</c:v>
                </c:pt>
                <c:pt idx="412">
                  <c:v>42772</c:v>
                </c:pt>
                <c:pt idx="413">
                  <c:v>42773</c:v>
                </c:pt>
                <c:pt idx="414">
                  <c:v>42774</c:v>
                </c:pt>
                <c:pt idx="415">
                  <c:v>42775</c:v>
                </c:pt>
                <c:pt idx="416">
                  <c:v>42776</c:v>
                </c:pt>
                <c:pt idx="417">
                  <c:v>42779</c:v>
                </c:pt>
                <c:pt idx="418">
                  <c:v>42780</c:v>
                </c:pt>
                <c:pt idx="419">
                  <c:v>42781</c:v>
                </c:pt>
                <c:pt idx="420">
                  <c:v>42782</c:v>
                </c:pt>
                <c:pt idx="421">
                  <c:v>42783</c:v>
                </c:pt>
                <c:pt idx="422">
                  <c:v>42786</c:v>
                </c:pt>
                <c:pt idx="423">
                  <c:v>42787</c:v>
                </c:pt>
                <c:pt idx="424">
                  <c:v>42788</c:v>
                </c:pt>
                <c:pt idx="425">
                  <c:v>42789</c:v>
                </c:pt>
                <c:pt idx="426">
                  <c:v>42790</c:v>
                </c:pt>
                <c:pt idx="427">
                  <c:v>42793</c:v>
                </c:pt>
                <c:pt idx="428">
                  <c:v>42794</c:v>
                </c:pt>
                <c:pt idx="429">
                  <c:v>42795</c:v>
                </c:pt>
                <c:pt idx="430">
                  <c:v>42796</c:v>
                </c:pt>
                <c:pt idx="431">
                  <c:v>42797</c:v>
                </c:pt>
                <c:pt idx="432">
                  <c:v>42800</c:v>
                </c:pt>
                <c:pt idx="433">
                  <c:v>42801</c:v>
                </c:pt>
                <c:pt idx="434">
                  <c:v>42802</c:v>
                </c:pt>
                <c:pt idx="435">
                  <c:v>42803</c:v>
                </c:pt>
                <c:pt idx="436">
                  <c:v>42804</c:v>
                </c:pt>
                <c:pt idx="437">
                  <c:v>42807</c:v>
                </c:pt>
                <c:pt idx="438">
                  <c:v>42808</c:v>
                </c:pt>
                <c:pt idx="439">
                  <c:v>42809</c:v>
                </c:pt>
                <c:pt idx="440">
                  <c:v>42810</c:v>
                </c:pt>
                <c:pt idx="441">
                  <c:v>42811</c:v>
                </c:pt>
                <c:pt idx="442">
                  <c:v>42814</c:v>
                </c:pt>
                <c:pt idx="443">
                  <c:v>42815</c:v>
                </c:pt>
                <c:pt idx="444">
                  <c:v>42816</c:v>
                </c:pt>
                <c:pt idx="445">
                  <c:v>42817</c:v>
                </c:pt>
                <c:pt idx="446">
                  <c:v>42818</c:v>
                </c:pt>
                <c:pt idx="447">
                  <c:v>42821</c:v>
                </c:pt>
                <c:pt idx="448">
                  <c:v>42822</c:v>
                </c:pt>
                <c:pt idx="449">
                  <c:v>42823</c:v>
                </c:pt>
                <c:pt idx="450">
                  <c:v>42824</c:v>
                </c:pt>
                <c:pt idx="451">
                  <c:v>42825</c:v>
                </c:pt>
                <c:pt idx="452">
                  <c:v>42828</c:v>
                </c:pt>
                <c:pt idx="453">
                  <c:v>42829</c:v>
                </c:pt>
                <c:pt idx="454">
                  <c:v>42830</c:v>
                </c:pt>
                <c:pt idx="455">
                  <c:v>42831</c:v>
                </c:pt>
                <c:pt idx="456">
                  <c:v>42832</c:v>
                </c:pt>
                <c:pt idx="457">
                  <c:v>42835</c:v>
                </c:pt>
                <c:pt idx="458">
                  <c:v>42836</c:v>
                </c:pt>
                <c:pt idx="459">
                  <c:v>42837</c:v>
                </c:pt>
                <c:pt idx="460">
                  <c:v>42838</c:v>
                </c:pt>
                <c:pt idx="461">
                  <c:v>42843</c:v>
                </c:pt>
                <c:pt idx="462">
                  <c:v>42844</c:v>
                </c:pt>
                <c:pt idx="463">
                  <c:v>42845</c:v>
                </c:pt>
                <c:pt idx="464">
                  <c:v>42846</c:v>
                </c:pt>
                <c:pt idx="465">
                  <c:v>42849</c:v>
                </c:pt>
                <c:pt idx="466">
                  <c:v>42850</c:v>
                </c:pt>
                <c:pt idx="467">
                  <c:v>42851</c:v>
                </c:pt>
                <c:pt idx="468">
                  <c:v>42852</c:v>
                </c:pt>
                <c:pt idx="469">
                  <c:v>42853</c:v>
                </c:pt>
                <c:pt idx="470">
                  <c:v>42857</c:v>
                </c:pt>
                <c:pt idx="471">
                  <c:v>42858</c:v>
                </c:pt>
                <c:pt idx="472">
                  <c:v>42859</c:v>
                </c:pt>
                <c:pt idx="473">
                  <c:v>42860</c:v>
                </c:pt>
                <c:pt idx="474">
                  <c:v>42863</c:v>
                </c:pt>
                <c:pt idx="475">
                  <c:v>42864</c:v>
                </c:pt>
                <c:pt idx="476">
                  <c:v>42865</c:v>
                </c:pt>
                <c:pt idx="477">
                  <c:v>42866</c:v>
                </c:pt>
                <c:pt idx="478">
                  <c:v>42867</c:v>
                </c:pt>
                <c:pt idx="479">
                  <c:v>42870</c:v>
                </c:pt>
                <c:pt idx="480">
                  <c:v>42871</c:v>
                </c:pt>
                <c:pt idx="481">
                  <c:v>42872</c:v>
                </c:pt>
                <c:pt idx="482">
                  <c:v>42873</c:v>
                </c:pt>
                <c:pt idx="483">
                  <c:v>42874</c:v>
                </c:pt>
                <c:pt idx="484">
                  <c:v>42877</c:v>
                </c:pt>
                <c:pt idx="485">
                  <c:v>42878</c:v>
                </c:pt>
                <c:pt idx="486">
                  <c:v>42879</c:v>
                </c:pt>
                <c:pt idx="487">
                  <c:v>42880</c:v>
                </c:pt>
                <c:pt idx="488">
                  <c:v>42881</c:v>
                </c:pt>
                <c:pt idx="489">
                  <c:v>42884</c:v>
                </c:pt>
                <c:pt idx="490">
                  <c:v>42885</c:v>
                </c:pt>
                <c:pt idx="491">
                  <c:v>42886</c:v>
                </c:pt>
                <c:pt idx="492">
                  <c:v>42887</c:v>
                </c:pt>
                <c:pt idx="493">
                  <c:v>42888</c:v>
                </c:pt>
                <c:pt idx="494">
                  <c:v>42891</c:v>
                </c:pt>
                <c:pt idx="495">
                  <c:v>42892</c:v>
                </c:pt>
                <c:pt idx="496">
                  <c:v>42893</c:v>
                </c:pt>
                <c:pt idx="497">
                  <c:v>42894</c:v>
                </c:pt>
                <c:pt idx="498">
                  <c:v>42895</c:v>
                </c:pt>
                <c:pt idx="499">
                  <c:v>42898</c:v>
                </c:pt>
                <c:pt idx="500">
                  <c:v>42899</c:v>
                </c:pt>
                <c:pt idx="501">
                  <c:v>42900</c:v>
                </c:pt>
                <c:pt idx="502">
                  <c:v>42901</c:v>
                </c:pt>
                <c:pt idx="503">
                  <c:v>42902</c:v>
                </c:pt>
                <c:pt idx="504">
                  <c:v>42905</c:v>
                </c:pt>
                <c:pt idx="505">
                  <c:v>42906</c:v>
                </c:pt>
                <c:pt idx="506">
                  <c:v>42907</c:v>
                </c:pt>
                <c:pt idx="507">
                  <c:v>42908</c:v>
                </c:pt>
                <c:pt idx="508">
                  <c:v>42909</c:v>
                </c:pt>
                <c:pt idx="509">
                  <c:v>42912</c:v>
                </c:pt>
                <c:pt idx="510">
                  <c:v>42913</c:v>
                </c:pt>
                <c:pt idx="511">
                  <c:v>42914</c:v>
                </c:pt>
                <c:pt idx="512">
                  <c:v>42915</c:v>
                </c:pt>
                <c:pt idx="513">
                  <c:v>42916</c:v>
                </c:pt>
                <c:pt idx="514">
                  <c:v>42919</c:v>
                </c:pt>
                <c:pt idx="515">
                  <c:v>42920</c:v>
                </c:pt>
                <c:pt idx="516">
                  <c:v>42921</c:v>
                </c:pt>
                <c:pt idx="517">
                  <c:v>42922</c:v>
                </c:pt>
                <c:pt idx="518">
                  <c:v>42929</c:v>
                </c:pt>
                <c:pt idx="519">
                  <c:v>42936</c:v>
                </c:pt>
                <c:pt idx="520">
                  <c:v>42943</c:v>
                </c:pt>
                <c:pt idx="521">
                  <c:v>42950</c:v>
                </c:pt>
                <c:pt idx="522">
                  <c:v>42957</c:v>
                </c:pt>
                <c:pt idx="523">
                  <c:v>42964</c:v>
                </c:pt>
                <c:pt idx="524">
                  <c:v>42971</c:v>
                </c:pt>
                <c:pt idx="525">
                  <c:v>42978</c:v>
                </c:pt>
                <c:pt idx="526">
                  <c:v>42985</c:v>
                </c:pt>
                <c:pt idx="527">
                  <c:v>42992</c:v>
                </c:pt>
                <c:pt idx="528">
                  <c:v>42999</c:v>
                </c:pt>
                <c:pt idx="529">
                  <c:v>43006</c:v>
                </c:pt>
                <c:pt idx="530">
                  <c:v>43013</c:v>
                </c:pt>
                <c:pt idx="531">
                  <c:v>43020</c:v>
                </c:pt>
                <c:pt idx="532">
                  <c:v>43027</c:v>
                </c:pt>
                <c:pt idx="533">
                  <c:v>43034</c:v>
                </c:pt>
                <c:pt idx="534">
                  <c:v>43041</c:v>
                </c:pt>
                <c:pt idx="535">
                  <c:v>43048</c:v>
                </c:pt>
                <c:pt idx="536">
                  <c:v>43055</c:v>
                </c:pt>
                <c:pt idx="537">
                  <c:v>43062</c:v>
                </c:pt>
                <c:pt idx="538">
                  <c:v>43069</c:v>
                </c:pt>
                <c:pt idx="539">
                  <c:v>43076</c:v>
                </c:pt>
                <c:pt idx="540">
                  <c:v>43083</c:v>
                </c:pt>
                <c:pt idx="541">
                  <c:v>43090</c:v>
                </c:pt>
                <c:pt idx="542">
                  <c:v>43098</c:v>
                </c:pt>
                <c:pt idx="543">
                  <c:v>43105</c:v>
                </c:pt>
                <c:pt idx="544">
                  <c:v>43112</c:v>
                </c:pt>
                <c:pt idx="545">
                  <c:v>43119</c:v>
                </c:pt>
                <c:pt idx="546">
                  <c:v>43126</c:v>
                </c:pt>
                <c:pt idx="547">
                  <c:v>43133</c:v>
                </c:pt>
                <c:pt idx="548">
                  <c:v>43140</c:v>
                </c:pt>
                <c:pt idx="549">
                  <c:v>43147</c:v>
                </c:pt>
                <c:pt idx="550">
                  <c:v>43154</c:v>
                </c:pt>
                <c:pt idx="551">
                  <c:v>43161</c:v>
                </c:pt>
                <c:pt idx="552">
                  <c:v>43168</c:v>
                </c:pt>
                <c:pt idx="553">
                  <c:v>43175</c:v>
                </c:pt>
                <c:pt idx="554">
                  <c:v>43182</c:v>
                </c:pt>
                <c:pt idx="555">
                  <c:v>43193</c:v>
                </c:pt>
                <c:pt idx="556">
                  <c:v>43196</c:v>
                </c:pt>
                <c:pt idx="557">
                  <c:v>43203</c:v>
                </c:pt>
                <c:pt idx="558">
                  <c:v>43210</c:v>
                </c:pt>
                <c:pt idx="559">
                  <c:v>43217</c:v>
                </c:pt>
                <c:pt idx="560">
                  <c:v>43224</c:v>
                </c:pt>
                <c:pt idx="561">
                  <c:v>43231</c:v>
                </c:pt>
                <c:pt idx="562">
                  <c:v>43238</c:v>
                </c:pt>
                <c:pt idx="563">
                  <c:v>43245</c:v>
                </c:pt>
                <c:pt idx="564">
                  <c:v>43252</c:v>
                </c:pt>
                <c:pt idx="565">
                  <c:v>43259</c:v>
                </c:pt>
                <c:pt idx="566">
                  <c:v>43266</c:v>
                </c:pt>
                <c:pt idx="567">
                  <c:v>43273</c:v>
                </c:pt>
                <c:pt idx="568">
                  <c:v>43280</c:v>
                </c:pt>
                <c:pt idx="569">
                  <c:v>43287</c:v>
                </c:pt>
                <c:pt idx="570">
                  <c:v>43294</c:v>
                </c:pt>
                <c:pt idx="571">
                  <c:v>43301</c:v>
                </c:pt>
                <c:pt idx="572">
                  <c:v>43308</c:v>
                </c:pt>
                <c:pt idx="573">
                  <c:v>43315</c:v>
                </c:pt>
                <c:pt idx="574">
                  <c:v>43322</c:v>
                </c:pt>
                <c:pt idx="575">
                  <c:v>43329</c:v>
                </c:pt>
                <c:pt idx="576">
                  <c:v>43336</c:v>
                </c:pt>
                <c:pt idx="577">
                  <c:v>43343</c:v>
                </c:pt>
                <c:pt idx="578">
                  <c:v>43350</c:v>
                </c:pt>
                <c:pt idx="579">
                  <c:v>43357</c:v>
                </c:pt>
                <c:pt idx="580">
                  <c:v>43364</c:v>
                </c:pt>
                <c:pt idx="581">
                  <c:v>43371</c:v>
                </c:pt>
                <c:pt idx="582">
                  <c:v>43378</c:v>
                </c:pt>
                <c:pt idx="583">
                  <c:v>43385</c:v>
                </c:pt>
                <c:pt idx="584">
                  <c:v>43392</c:v>
                </c:pt>
                <c:pt idx="585">
                  <c:v>43399</c:v>
                </c:pt>
                <c:pt idx="586">
                  <c:v>43406</c:v>
                </c:pt>
                <c:pt idx="587">
                  <c:v>43413</c:v>
                </c:pt>
                <c:pt idx="588">
                  <c:v>43420</c:v>
                </c:pt>
                <c:pt idx="589">
                  <c:v>43427</c:v>
                </c:pt>
                <c:pt idx="590">
                  <c:v>43434</c:v>
                </c:pt>
                <c:pt idx="591">
                  <c:v>43441</c:v>
                </c:pt>
                <c:pt idx="592">
                  <c:v>43448</c:v>
                </c:pt>
                <c:pt idx="593">
                  <c:v>43455</c:v>
                </c:pt>
                <c:pt idx="594">
                  <c:v>43465</c:v>
                </c:pt>
                <c:pt idx="595">
                  <c:v>43472</c:v>
                </c:pt>
                <c:pt idx="596">
                  <c:v>43479</c:v>
                </c:pt>
                <c:pt idx="597">
                  <c:v>43486</c:v>
                </c:pt>
                <c:pt idx="598">
                  <c:v>43493</c:v>
                </c:pt>
                <c:pt idx="599">
                  <c:v>43500</c:v>
                </c:pt>
                <c:pt idx="600">
                  <c:v>43507</c:v>
                </c:pt>
                <c:pt idx="601">
                  <c:v>43514</c:v>
                </c:pt>
                <c:pt idx="602">
                  <c:v>43521</c:v>
                </c:pt>
                <c:pt idx="603">
                  <c:v>43528</c:v>
                </c:pt>
                <c:pt idx="604">
                  <c:v>43535</c:v>
                </c:pt>
                <c:pt idx="605">
                  <c:v>43542</c:v>
                </c:pt>
                <c:pt idx="606">
                  <c:v>43549</c:v>
                </c:pt>
                <c:pt idx="607">
                  <c:v>43556</c:v>
                </c:pt>
                <c:pt idx="608">
                  <c:v>43563</c:v>
                </c:pt>
                <c:pt idx="609">
                  <c:v>43570</c:v>
                </c:pt>
                <c:pt idx="610">
                  <c:v>43579</c:v>
                </c:pt>
                <c:pt idx="611">
                  <c:v>43584</c:v>
                </c:pt>
                <c:pt idx="612">
                  <c:v>43591</c:v>
                </c:pt>
                <c:pt idx="613">
                  <c:v>43598</c:v>
                </c:pt>
                <c:pt idx="614">
                  <c:v>43605</c:v>
                </c:pt>
                <c:pt idx="615">
                  <c:v>43612</c:v>
                </c:pt>
                <c:pt idx="616">
                  <c:v>43619</c:v>
                </c:pt>
                <c:pt idx="617">
                  <c:v>43626</c:v>
                </c:pt>
                <c:pt idx="618">
                  <c:v>43633</c:v>
                </c:pt>
                <c:pt idx="619">
                  <c:v>43640</c:v>
                </c:pt>
                <c:pt idx="620">
                  <c:v>43647</c:v>
                </c:pt>
                <c:pt idx="621">
                  <c:v>43654</c:v>
                </c:pt>
                <c:pt idx="622">
                  <c:v>43661</c:v>
                </c:pt>
                <c:pt idx="623">
                  <c:v>43668</c:v>
                </c:pt>
                <c:pt idx="624">
                  <c:v>43675</c:v>
                </c:pt>
                <c:pt idx="625">
                  <c:v>43682</c:v>
                </c:pt>
                <c:pt idx="626">
                  <c:v>43689</c:v>
                </c:pt>
                <c:pt idx="627">
                  <c:v>43696</c:v>
                </c:pt>
                <c:pt idx="628">
                  <c:v>43703</c:v>
                </c:pt>
                <c:pt idx="629">
                  <c:v>43710</c:v>
                </c:pt>
                <c:pt idx="630">
                  <c:v>43717</c:v>
                </c:pt>
                <c:pt idx="631">
                  <c:v>43724</c:v>
                </c:pt>
                <c:pt idx="632">
                  <c:v>43731</c:v>
                </c:pt>
                <c:pt idx="633">
                  <c:v>43738</c:v>
                </c:pt>
                <c:pt idx="634">
                  <c:v>43745</c:v>
                </c:pt>
                <c:pt idx="635">
                  <c:v>43752</c:v>
                </c:pt>
                <c:pt idx="636">
                  <c:v>43759</c:v>
                </c:pt>
                <c:pt idx="637">
                  <c:v>43766</c:v>
                </c:pt>
                <c:pt idx="638">
                  <c:v>43773</c:v>
                </c:pt>
                <c:pt idx="639">
                  <c:v>43780</c:v>
                </c:pt>
                <c:pt idx="640">
                  <c:v>43787</c:v>
                </c:pt>
                <c:pt idx="641">
                  <c:v>43794</c:v>
                </c:pt>
                <c:pt idx="642">
                  <c:v>43801</c:v>
                </c:pt>
                <c:pt idx="643">
                  <c:v>43808</c:v>
                </c:pt>
                <c:pt idx="644">
                  <c:v>43815</c:v>
                </c:pt>
                <c:pt idx="645">
                  <c:v>43822</c:v>
                </c:pt>
                <c:pt idx="646">
                  <c:v>43830</c:v>
                </c:pt>
                <c:pt idx="647">
                  <c:v>43837</c:v>
                </c:pt>
                <c:pt idx="648">
                  <c:v>43844</c:v>
                </c:pt>
                <c:pt idx="649">
                  <c:v>43851</c:v>
                </c:pt>
                <c:pt idx="650">
                  <c:v>43858</c:v>
                </c:pt>
                <c:pt idx="651">
                  <c:v>43865</c:v>
                </c:pt>
                <c:pt idx="652">
                  <c:v>43872</c:v>
                </c:pt>
                <c:pt idx="653">
                  <c:v>43879</c:v>
                </c:pt>
                <c:pt idx="654">
                  <c:v>43886</c:v>
                </c:pt>
                <c:pt idx="655">
                  <c:v>43893</c:v>
                </c:pt>
                <c:pt idx="656">
                  <c:v>43900</c:v>
                </c:pt>
                <c:pt idx="657">
                  <c:v>43907</c:v>
                </c:pt>
                <c:pt idx="658">
                  <c:v>43914</c:v>
                </c:pt>
                <c:pt idx="659">
                  <c:v>43921</c:v>
                </c:pt>
                <c:pt idx="660">
                  <c:v>43928</c:v>
                </c:pt>
                <c:pt idx="661">
                  <c:v>43937</c:v>
                </c:pt>
                <c:pt idx="662">
                  <c:v>43944</c:v>
                </c:pt>
                <c:pt idx="663">
                  <c:v>43951</c:v>
                </c:pt>
                <c:pt idx="664">
                  <c:v>43958</c:v>
                </c:pt>
                <c:pt idx="665">
                  <c:v>43965</c:v>
                </c:pt>
                <c:pt idx="666">
                  <c:v>43972</c:v>
                </c:pt>
                <c:pt idx="667">
                  <c:v>43979</c:v>
                </c:pt>
                <c:pt idx="668">
                  <c:v>43986</c:v>
                </c:pt>
                <c:pt idx="669">
                  <c:v>43993</c:v>
                </c:pt>
                <c:pt idx="670">
                  <c:v>44000</c:v>
                </c:pt>
                <c:pt idx="671">
                  <c:v>44007</c:v>
                </c:pt>
                <c:pt idx="672">
                  <c:v>44014</c:v>
                </c:pt>
                <c:pt idx="673">
                  <c:v>44021</c:v>
                </c:pt>
                <c:pt idx="674">
                  <c:v>44028</c:v>
                </c:pt>
                <c:pt idx="675">
                  <c:v>44035</c:v>
                </c:pt>
                <c:pt idx="676">
                  <c:v>44042</c:v>
                </c:pt>
                <c:pt idx="677">
                  <c:v>44049</c:v>
                </c:pt>
                <c:pt idx="678">
                  <c:v>44056</c:v>
                </c:pt>
                <c:pt idx="679">
                  <c:v>44063</c:v>
                </c:pt>
                <c:pt idx="680">
                  <c:v>44070</c:v>
                </c:pt>
                <c:pt idx="681">
                  <c:v>44077</c:v>
                </c:pt>
                <c:pt idx="682">
                  <c:v>44084</c:v>
                </c:pt>
                <c:pt idx="683">
                  <c:v>44091</c:v>
                </c:pt>
                <c:pt idx="684">
                  <c:v>44098</c:v>
                </c:pt>
                <c:pt idx="685">
                  <c:v>44105</c:v>
                </c:pt>
                <c:pt idx="686">
                  <c:v>44112</c:v>
                </c:pt>
                <c:pt idx="687">
                  <c:v>44119</c:v>
                </c:pt>
                <c:pt idx="688">
                  <c:v>44126</c:v>
                </c:pt>
                <c:pt idx="689">
                  <c:v>44133</c:v>
                </c:pt>
                <c:pt idx="690">
                  <c:v>44140</c:v>
                </c:pt>
                <c:pt idx="691">
                  <c:v>44147</c:v>
                </c:pt>
                <c:pt idx="692">
                  <c:v>44154</c:v>
                </c:pt>
                <c:pt idx="693">
                  <c:v>44161</c:v>
                </c:pt>
                <c:pt idx="694">
                  <c:v>44168</c:v>
                </c:pt>
                <c:pt idx="695">
                  <c:v>44175</c:v>
                </c:pt>
                <c:pt idx="696">
                  <c:v>44182</c:v>
                </c:pt>
                <c:pt idx="697">
                  <c:v>44189</c:v>
                </c:pt>
                <c:pt idx="698">
                  <c:v>44196</c:v>
                </c:pt>
                <c:pt idx="699">
                  <c:v>44203</c:v>
                </c:pt>
                <c:pt idx="700">
                  <c:v>44210</c:v>
                </c:pt>
                <c:pt idx="701">
                  <c:v>44217</c:v>
                </c:pt>
                <c:pt idx="702">
                  <c:v>44224</c:v>
                </c:pt>
                <c:pt idx="703">
                  <c:v>44231</c:v>
                </c:pt>
                <c:pt idx="704">
                  <c:v>44238</c:v>
                </c:pt>
                <c:pt idx="705">
                  <c:v>44245</c:v>
                </c:pt>
                <c:pt idx="706">
                  <c:v>44252</c:v>
                </c:pt>
                <c:pt idx="707">
                  <c:v>44259</c:v>
                </c:pt>
                <c:pt idx="708">
                  <c:v>44266</c:v>
                </c:pt>
                <c:pt idx="709">
                  <c:v>44273</c:v>
                </c:pt>
                <c:pt idx="710">
                  <c:v>44280</c:v>
                </c:pt>
                <c:pt idx="711">
                  <c:v>44287</c:v>
                </c:pt>
                <c:pt idx="712">
                  <c:v>44294</c:v>
                </c:pt>
                <c:pt idx="713">
                  <c:v>44301</c:v>
                </c:pt>
                <c:pt idx="714">
                  <c:v>44308</c:v>
                </c:pt>
                <c:pt idx="715">
                  <c:v>44315</c:v>
                </c:pt>
                <c:pt idx="716">
                  <c:v>44322</c:v>
                </c:pt>
                <c:pt idx="717">
                  <c:v>44329</c:v>
                </c:pt>
                <c:pt idx="718">
                  <c:v>44336</c:v>
                </c:pt>
                <c:pt idx="719">
                  <c:v>44343</c:v>
                </c:pt>
                <c:pt idx="720">
                  <c:v>44350</c:v>
                </c:pt>
                <c:pt idx="721">
                  <c:v>44357</c:v>
                </c:pt>
                <c:pt idx="722">
                  <c:v>44364</c:v>
                </c:pt>
                <c:pt idx="723">
                  <c:v>44371</c:v>
                </c:pt>
                <c:pt idx="724">
                  <c:v>44378</c:v>
                </c:pt>
                <c:pt idx="725">
                  <c:v>44385</c:v>
                </c:pt>
                <c:pt idx="726">
                  <c:v>44392</c:v>
                </c:pt>
                <c:pt idx="727">
                  <c:v>44399</c:v>
                </c:pt>
                <c:pt idx="728">
                  <c:v>44406</c:v>
                </c:pt>
                <c:pt idx="729">
                  <c:v>44413</c:v>
                </c:pt>
                <c:pt idx="730">
                  <c:v>44420</c:v>
                </c:pt>
                <c:pt idx="731">
                  <c:v>44427</c:v>
                </c:pt>
                <c:pt idx="732">
                  <c:v>44434</c:v>
                </c:pt>
                <c:pt idx="733">
                  <c:v>44441</c:v>
                </c:pt>
                <c:pt idx="734">
                  <c:v>44448</c:v>
                </c:pt>
                <c:pt idx="735">
                  <c:v>44455</c:v>
                </c:pt>
                <c:pt idx="736">
                  <c:v>44462</c:v>
                </c:pt>
                <c:pt idx="737">
                  <c:v>44469</c:v>
                </c:pt>
                <c:pt idx="738">
                  <c:v>44476</c:v>
                </c:pt>
                <c:pt idx="739">
                  <c:v>44483</c:v>
                </c:pt>
                <c:pt idx="740">
                  <c:v>44490</c:v>
                </c:pt>
                <c:pt idx="741">
                  <c:v>44497</c:v>
                </c:pt>
                <c:pt idx="742">
                  <c:v>44504</c:v>
                </c:pt>
                <c:pt idx="743">
                  <c:v>44511</c:v>
                </c:pt>
                <c:pt idx="744">
                  <c:v>44518</c:v>
                </c:pt>
                <c:pt idx="745">
                  <c:v>44525</c:v>
                </c:pt>
                <c:pt idx="746">
                  <c:v>44532</c:v>
                </c:pt>
                <c:pt idx="747">
                  <c:v>44539</c:v>
                </c:pt>
                <c:pt idx="748">
                  <c:v>44546</c:v>
                </c:pt>
                <c:pt idx="749">
                  <c:v>44553</c:v>
                </c:pt>
                <c:pt idx="750">
                  <c:v>44560</c:v>
                </c:pt>
                <c:pt idx="751">
                  <c:v>44567</c:v>
                </c:pt>
                <c:pt idx="752">
                  <c:v>44574</c:v>
                </c:pt>
                <c:pt idx="753">
                  <c:v>44581</c:v>
                </c:pt>
                <c:pt idx="754">
                  <c:v>44588</c:v>
                </c:pt>
                <c:pt idx="755">
                  <c:v>44595</c:v>
                </c:pt>
                <c:pt idx="756">
                  <c:v>44602</c:v>
                </c:pt>
                <c:pt idx="757">
                  <c:v>44609</c:v>
                </c:pt>
                <c:pt idx="758">
                  <c:v>44616</c:v>
                </c:pt>
                <c:pt idx="759">
                  <c:v>44623</c:v>
                </c:pt>
                <c:pt idx="760">
                  <c:v>44630</c:v>
                </c:pt>
                <c:pt idx="761">
                  <c:v>44637</c:v>
                </c:pt>
                <c:pt idx="762">
                  <c:v>44644</c:v>
                </c:pt>
                <c:pt idx="763">
                  <c:v>44651</c:v>
                </c:pt>
                <c:pt idx="764">
                  <c:v>44658</c:v>
                </c:pt>
                <c:pt idx="765">
                  <c:v>44665</c:v>
                </c:pt>
                <c:pt idx="766">
                  <c:v>44672</c:v>
                </c:pt>
                <c:pt idx="767">
                  <c:v>44679</c:v>
                </c:pt>
                <c:pt idx="768">
                  <c:v>44686</c:v>
                </c:pt>
                <c:pt idx="769">
                  <c:v>44693</c:v>
                </c:pt>
                <c:pt idx="770">
                  <c:v>44700</c:v>
                </c:pt>
                <c:pt idx="771">
                  <c:v>44707</c:v>
                </c:pt>
                <c:pt idx="772">
                  <c:v>44714</c:v>
                </c:pt>
                <c:pt idx="773">
                  <c:v>44721</c:v>
                </c:pt>
                <c:pt idx="774">
                  <c:v>44728</c:v>
                </c:pt>
                <c:pt idx="775">
                  <c:v>44735</c:v>
                </c:pt>
                <c:pt idx="776">
                  <c:v>44742</c:v>
                </c:pt>
                <c:pt idx="777">
                  <c:v>44749</c:v>
                </c:pt>
                <c:pt idx="778">
                  <c:v>44756</c:v>
                </c:pt>
                <c:pt idx="779">
                  <c:v>44763</c:v>
                </c:pt>
                <c:pt idx="780">
                  <c:v>44770</c:v>
                </c:pt>
                <c:pt idx="781">
                  <c:v>44777</c:v>
                </c:pt>
                <c:pt idx="782">
                  <c:v>44784</c:v>
                </c:pt>
                <c:pt idx="783">
                  <c:v>44791</c:v>
                </c:pt>
                <c:pt idx="784">
                  <c:v>44798</c:v>
                </c:pt>
                <c:pt idx="785">
                  <c:v>44805</c:v>
                </c:pt>
                <c:pt idx="786">
                  <c:v>44812</c:v>
                </c:pt>
                <c:pt idx="787">
                  <c:v>44819</c:v>
                </c:pt>
                <c:pt idx="788">
                  <c:v>44826</c:v>
                </c:pt>
                <c:pt idx="789">
                  <c:v>44833</c:v>
                </c:pt>
                <c:pt idx="790">
                  <c:v>44840</c:v>
                </c:pt>
                <c:pt idx="791">
                  <c:v>44847</c:v>
                </c:pt>
                <c:pt idx="792">
                  <c:v>44854</c:v>
                </c:pt>
                <c:pt idx="793">
                  <c:v>44861</c:v>
                </c:pt>
                <c:pt idx="794">
                  <c:v>44868</c:v>
                </c:pt>
                <c:pt idx="795">
                  <c:v>44875</c:v>
                </c:pt>
                <c:pt idx="796">
                  <c:v>44882</c:v>
                </c:pt>
                <c:pt idx="797">
                  <c:v>44889</c:v>
                </c:pt>
                <c:pt idx="798">
                  <c:v>44896</c:v>
                </c:pt>
                <c:pt idx="799">
                  <c:v>44903</c:v>
                </c:pt>
                <c:pt idx="800">
                  <c:v>44910</c:v>
                </c:pt>
                <c:pt idx="801">
                  <c:v>44917</c:v>
                </c:pt>
                <c:pt idx="802">
                  <c:v>44924</c:v>
                </c:pt>
                <c:pt idx="803">
                  <c:v>44931</c:v>
                </c:pt>
                <c:pt idx="804">
                  <c:v>44938</c:v>
                </c:pt>
                <c:pt idx="805">
                  <c:v>44945</c:v>
                </c:pt>
                <c:pt idx="806">
                  <c:v>44952</c:v>
                </c:pt>
                <c:pt idx="807">
                  <c:v>44959</c:v>
                </c:pt>
                <c:pt idx="808">
                  <c:v>44966</c:v>
                </c:pt>
                <c:pt idx="809">
                  <c:v>44973</c:v>
                </c:pt>
                <c:pt idx="810">
                  <c:v>44980</c:v>
                </c:pt>
                <c:pt idx="811">
                  <c:v>44987</c:v>
                </c:pt>
                <c:pt idx="812">
                  <c:v>44994</c:v>
                </c:pt>
                <c:pt idx="813">
                  <c:v>45001</c:v>
                </c:pt>
                <c:pt idx="814">
                  <c:v>45008</c:v>
                </c:pt>
                <c:pt idx="815">
                  <c:v>45015</c:v>
                </c:pt>
                <c:pt idx="816">
                  <c:v>45022</c:v>
                </c:pt>
                <c:pt idx="817">
                  <c:v>45029</c:v>
                </c:pt>
                <c:pt idx="818">
                  <c:v>45036</c:v>
                </c:pt>
                <c:pt idx="819">
                  <c:v>45043</c:v>
                </c:pt>
                <c:pt idx="820">
                  <c:v>45050</c:v>
                </c:pt>
                <c:pt idx="821">
                  <c:v>45057</c:v>
                </c:pt>
                <c:pt idx="822">
                  <c:v>45064</c:v>
                </c:pt>
                <c:pt idx="823">
                  <c:v>45071</c:v>
                </c:pt>
                <c:pt idx="824">
                  <c:v>45078</c:v>
                </c:pt>
                <c:pt idx="825">
                  <c:v>45085</c:v>
                </c:pt>
                <c:pt idx="826">
                  <c:v>45092</c:v>
                </c:pt>
                <c:pt idx="827">
                  <c:v>45099</c:v>
                </c:pt>
                <c:pt idx="828">
                  <c:v>45106</c:v>
                </c:pt>
                <c:pt idx="829">
                  <c:v>45113</c:v>
                </c:pt>
                <c:pt idx="830">
                  <c:v>45120</c:v>
                </c:pt>
                <c:pt idx="831">
                  <c:v>45127</c:v>
                </c:pt>
                <c:pt idx="832">
                  <c:v>45134</c:v>
                </c:pt>
                <c:pt idx="833">
                  <c:v>45141</c:v>
                </c:pt>
                <c:pt idx="834">
                  <c:v>45148</c:v>
                </c:pt>
                <c:pt idx="835">
                  <c:v>45155</c:v>
                </c:pt>
                <c:pt idx="836">
                  <c:v>45162</c:v>
                </c:pt>
                <c:pt idx="837">
                  <c:v>45169</c:v>
                </c:pt>
                <c:pt idx="838">
                  <c:v>45176</c:v>
                </c:pt>
                <c:pt idx="839">
                  <c:v>45183</c:v>
                </c:pt>
                <c:pt idx="840">
                  <c:v>45190</c:v>
                </c:pt>
                <c:pt idx="841">
                  <c:v>45197</c:v>
                </c:pt>
                <c:pt idx="842">
                  <c:v>45204</c:v>
                </c:pt>
                <c:pt idx="843">
                  <c:v>45211</c:v>
                </c:pt>
                <c:pt idx="844">
                  <c:v>45218</c:v>
                </c:pt>
                <c:pt idx="845">
                  <c:v>45225</c:v>
                </c:pt>
                <c:pt idx="846">
                  <c:v>45232</c:v>
                </c:pt>
                <c:pt idx="847">
                  <c:v>45239</c:v>
                </c:pt>
                <c:pt idx="848">
                  <c:v>45246</c:v>
                </c:pt>
                <c:pt idx="849">
                  <c:v>45253</c:v>
                </c:pt>
                <c:pt idx="850">
                  <c:v>45260</c:v>
                </c:pt>
                <c:pt idx="851">
                  <c:v>45267</c:v>
                </c:pt>
                <c:pt idx="852">
                  <c:v>45274</c:v>
                </c:pt>
                <c:pt idx="853">
                  <c:v>45281</c:v>
                </c:pt>
                <c:pt idx="854">
                  <c:v>45289</c:v>
                </c:pt>
                <c:pt idx="855">
                  <c:v>45296</c:v>
                </c:pt>
                <c:pt idx="856">
                  <c:v>45303</c:v>
                </c:pt>
                <c:pt idx="857">
                  <c:v>45310</c:v>
                </c:pt>
                <c:pt idx="858">
                  <c:v>45317</c:v>
                </c:pt>
                <c:pt idx="859">
                  <c:v>45324</c:v>
                </c:pt>
                <c:pt idx="860">
                  <c:v>45331</c:v>
                </c:pt>
                <c:pt idx="861">
                  <c:v>45338</c:v>
                </c:pt>
                <c:pt idx="862">
                  <c:v>45345</c:v>
                </c:pt>
                <c:pt idx="863">
                  <c:v>45352</c:v>
                </c:pt>
                <c:pt idx="864">
                  <c:v>45359</c:v>
                </c:pt>
                <c:pt idx="865">
                  <c:v>45366</c:v>
                </c:pt>
                <c:pt idx="866">
                  <c:v>45373</c:v>
                </c:pt>
                <c:pt idx="867">
                  <c:v>45384</c:v>
                </c:pt>
                <c:pt idx="868">
                  <c:v>45387</c:v>
                </c:pt>
                <c:pt idx="869">
                  <c:v>45394</c:v>
                </c:pt>
                <c:pt idx="870">
                  <c:v>45401</c:v>
                </c:pt>
                <c:pt idx="871">
                  <c:v>45408</c:v>
                </c:pt>
                <c:pt idx="872">
                  <c:v>45418</c:v>
                </c:pt>
                <c:pt idx="873">
                  <c:v>45425</c:v>
                </c:pt>
                <c:pt idx="874">
                  <c:v>45432</c:v>
                </c:pt>
                <c:pt idx="875">
                  <c:v>45439</c:v>
                </c:pt>
                <c:pt idx="876">
                  <c:v>45446</c:v>
                </c:pt>
                <c:pt idx="877">
                  <c:v>45453</c:v>
                </c:pt>
                <c:pt idx="878">
                  <c:v>45460</c:v>
                </c:pt>
                <c:pt idx="879">
                  <c:v>45467</c:v>
                </c:pt>
                <c:pt idx="880">
                  <c:v>45474</c:v>
                </c:pt>
                <c:pt idx="881">
                  <c:v>45481</c:v>
                </c:pt>
                <c:pt idx="882">
                  <c:v>45488</c:v>
                </c:pt>
                <c:pt idx="883">
                  <c:v>45495</c:v>
                </c:pt>
                <c:pt idx="884">
                  <c:v>45502</c:v>
                </c:pt>
                <c:pt idx="885">
                  <c:v>45509</c:v>
                </c:pt>
                <c:pt idx="886">
                  <c:v>45516</c:v>
                </c:pt>
                <c:pt idx="887">
                  <c:v>45523</c:v>
                </c:pt>
                <c:pt idx="888">
                  <c:v>45530</c:v>
                </c:pt>
                <c:pt idx="889">
                  <c:v>45537</c:v>
                </c:pt>
                <c:pt idx="890">
                  <c:v>45544</c:v>
                </c:pt>
                <c:pt idx="891">
                  <c:v>45551</c:v>
                </c:pt>
                <c:pt idx="892">
                  <c:v>45558</c:v>
                </c:pt>
                <c:pt idx="893">
                  <c:v>45565</c:v>
                </c:pt>
                <c:pt idx="894">
                  <c:v>45572</c:v>
                </c:pt>
                <c:pt idx="895">
                  <c:v>45579</c:v>
                </c:pt>
                <c:pt idx="896">
                  <c:v>45586</c:v>
                </c:pt>
                <c:pt idx="897">
                  <c:v>45593</c:v>
                </c:pt>
                <c:pt idx="898">
                  <c:v>45600</c:v>
                </c:pt>
                <c:pt idx="899">
                  <c:v>45607</c:v>
                </c:pt>
                <c:pt idx="900">
                  <c:v>45614</c:v>
                </c:pt>
                <c:pt idx="901">
                  <c:v>45621</c:v>
                </c:pt>
                <c:pt idx="902">
                  <c:v>45628</c:v>
                </c:pt>
                <c:pt idx="903">
                  <c:v>45635</c:v>
                </c:pt>
                <c:pt idx="904">
                  <c:v>45642</c:v>
                </c:pt>
                <c:pt idx="905">
                  <c:v>45649</c:v>
                </c:pt>
                <c:pt idx="906">
                  <c:v>45657</c:v>
                </c:pt>
                <c:pt idx="907">
                  <c:v>45664</c:v>
                </c:pt>
                <c:pt idx="908">
                  <c:v>45671</c:v>
                </c:pt>
                <c:pt idx="909">
                  <c:v>45678</c:v>
                </c:pt>
                <c:pt idx="910">
                  <c:v>45685</c:v>
                </c:pt>
                <c:pt idx="911">
                  <c:v>45692</c:v>
                </c:pt>
                <c:pt idx="912">
                  <c:v>45699</c:v>
                </c:pt>
                <c:pt idx="913">
                  <c:v>45706</c:v>
                </c:pt>
                <c:pt idx="914">
                  <c:v>45713</c:v>
                </c:pt>
                <c:pt idx="915">
                  <c:v>45720</c:v>
                </c:pt>
                <c:pt idx="916">
                  <c:v>45727</c:v>
                </c:pt>
                <c:pt idx="917">
                  <c:v>45734</c:v>
                </c:pt>
                <c:pt idx="918">
                  <c:v>45741</c:v>
                </c:pt>
                <c:pt idx="919">
                  <c:v>45748</c:v>
                </c:pt>
                <c:pt idx="920">
                  <c:v>45755</c:v>
                </c:pt>
                <c:pt idx="921">
                  <c:v>45762</c:v>
                </c:pt>
                <c:pt idx="922">
                  <c:v>45771</c:v>
                </c:pt>
                <c:pt idx="923">
                  <c:v>45779</c:v>
                </c:pt>
                <c:pt idx="924">
                  <c:v>45785</c:v>
                </c:pt>
                <c:pt idx="925">
                  <c:v>45792</c:v>
                </c:pt>
                <c:pt idx="926">
                  <c:v>45799</c:v>
                </c:pt>
                <c:pt idx="927">
                  <c:v>45806</c:v>
                </c:pt>
                <c:pt idx="928">
                  <c:v>45813</c:v>
                </c:pt>
                <c:pt idx="929">
                  <c:v>45820</c:v>
                </c:pt>
                <c:pt idx="930">
                  <c:v>45827</c:v>
                </c:pt>
                <c:pt idx="931">
                  <c:v>45834</c:v>
                </c:pt>
                <c:pt idx="932">
                  <c:v>45841</c:v>
                </c:pt>
                <c:pt idx="933">
                  <c:v>45848</c:v>
                </c:pt>
                <c:pt idx="934">
                  <c:v>45855</c:v>
                </c:pt>
                <c:pt idx="935">
                  <c:v>45862</c:v>
                </c:pt>
                <c:pt idx="936">
                  <c:v>45869</c:v>
                </c:pt>
                <c:pt idx="937">
                  <c:v>45876</c:v>
                </c:pt>
                <c:pt idx="938">
                  <c:v>45883</c:v>
                </c:pt>
                <c:pt idx="939">
                  <c:v>45890</c:v>
                </c:pt>
                <c:pt idx="940">
                  <c:v>45897</c:v>
                </c:pt>
                <c:pt idx="941">
                  <c:v>45904</c:v>
                </c:pt>
                <c:pt idx="942">
                  <c:v>45911</c:v>
                </c:pt>
                <c:pt idx="943">
                  <c:v>45918</c:v>
                </c:pt>
                <c:pt idx="944">
                  <c:v>45925</c:v>
                </c:pt>
                <c:pt idx="945">
                  <c:v>45932</c:v>
                </c:pt>
                <c:pt idx="946">
                  <c:v>45939</c:v>
                </c:pt>
                <c:pt idx="947">
                  <c:v>45946</c:v>
                </c:pt>
                <c:pt idx="948">
                  <c:v>45953</c:v>
                </c:pt>
                <c:pt idx="949">
                  <c:v>45960</c:v>
                </c:pt>
                <c:pt idx="950">
                  <c:v>45967</c:v>
                </c:pt>
                <c:pt idx="951">
                  <c:v>45974</c:v>
                </c:pt>
                <c:pt idx="952">
                  <c:v>45981</c:v>
                </c:pt>
                <c:pt idx="953">
                  <c:v>45988</c:v>
                </c:pt>
                <c:pt idx="954">
                  <c:v>45995</c:v>
                </c:pt>
                <c:pt idx="955">
                  <c:v>46002</c:v>
                </c:pt>
                <c:pt idx="956">
                  <c:v>46009</c:v>
                </c:pt>
                <c:pt idx="957">
                  <c:v>46020</c:v>
                </c:pt>
                <c:pt idx="958">
                  <c:v>46024</c:v>
                </c:pt>
                <c:pt idx="959">
                  <c:v>46030</c:v>
                </c:pt>
                <c:pt idx="960">
                  <c:v>46037</c:v>
                </c:pt>
                <c:pt idx="961">
                  <c:v>46044</c:v>
                </c:pt>
                <c:pt idx="962">
                  <c:v>46051</c:v>
                </c:pt>
                <c:pt idx="963">
                  <c:v>46058</c:v>
                </c:pt>
                <c:pt idx="964">
                  <c:v>46065</c:v>
                </c:pt>
                <c:pt idx="965">
                  <c:v>46072</c:v>
                </c:pt>
                <c:pt idx="966">
                  <c:v>46079</c:v>
                </c:pt>
                <c:pt idx="967">
                  <c:v>46086</c:v>
                </c:pt>
                <c:pt idx="968">
                  <c:v>46093</c:v>
                </c:pt>
                <c:pt idx="969">
                  <c:v>46100</c:v>
                </c:pt>
                <c:pt idx="970">
                  <c:v>46107</c:v>
                </c:pt>
                <c:pt idx="971">
                  <c:v>46114</c:v>
                </c:pt>
                <c:pt idx="972">
                  <c:v>46121</c:v>
                </c:pt>
                <c:pt idx="973">
                  <c:v>46128</c:v>
                </c:pt>
                <c:pt idx="974">
                  <c:v>46135</c:v>
                </c:pt>
                <c:pt idx="975">
                  <c:v>46142</c:v>
                </c:pt>
                <c:pt idx="976">
                  <c:v>46149</c:v>
                </c:pt>
                <c:pt idx="977">
                  <c:v>46156</c:v>
                </c:pt>
                <c:pt idx="978">
                  <c:v>46163</c:v>
                </c:pt>
                <c:pt idx="979">
                  <c:v>46170</c:v>
                </c:pt>
                <c:pt idx="980">
                  <c:v>46177</c:v>
                </c:pt>
                <c:pt idx="981">
                  <c:v>46184</c:v>
                </c:pt>
                <c:pt idx="982">
                  <c:v>46191</c:v>
                </c:pt>
                <c:pt idx="983">
                  <c:v>46198</c:v>
                </c:pt>
                <c:pt idx="984">
                  <c:v>46205</c:v>
                </c:pt>
                <c:pt idx="985">
                  <c:v>46212</c:v>
                </c:pt>
                <c:pt idx="986">
                  <c:v>46219</c:v>
                </c:pt>
                <c:pt idx="987">
                  <c:v>46226</c:v>
                </c:pt>
                <c:pt idx="988">
                  <c:v>46233</c:v>
                </c:pt>
                <c:pt idx="989">
                  <c:v>46240</c:v>
                </c:pt>
                <c:pt idx="990">
                  <c:v>46247</c:v>
                </c:pt>
                <c:pt idx="991">
                  <c:v>46254</c:v>
                </c:pt>
                <c:pt idx="992">
                  <c:v>46261</c:v>
                </c:pt>
                <c:pt idx="993">
                  <c:v>46268</c:v>
                </c:pt>
                <c:pt idx="994">
                  <c:v>46275</c:v>
                </c:pt>
                <c:pt idx="995">
                  <c:v>46282</c:v>
                </c:pt>
                <c:pt idx="996">
                  <c:v>46289</c:v>
                </c:pt>
                <c:pt idx="997">
                  <c:v>46296</c:v>
                </c:pt>
                <c:pt idx="998">
                  <c:v>46303</c:v>
                </c:pt>
                <c:pt idx="999">
                  <c:v>46310</c:v>
                </c:pt>
                <c:pt idx="1000">
                  <c:v>46317</c:v>
                </c:pt>
                <c:pt idx="1001">
                  <c:v>46324</c:v>
                </c:pt>
                <c:pt idx="1002">
                  <c:v>46331</c:v>
                </c:pt>
                <c:pt idx="1003">
                  <c:v>46338</c:v>
                </c:pt>
                <c:pt idx="1004">
                  <c:v>46345</c:v>
                </c:pt>
                <c:pt idx="1005">
                  <c:v>46352</c:v>
                </c:pt>
                <c:pt idx="1006">
                  <c:v>46359</c:v>
                </c:pt>
                <c:pt idx="1007">
                  <c:v>46366</c:v>
                </c:pt>
                <c:pt idx="1008">
                  <c:v>46373</c:v>
                </c:pt>
                <c:pt idx="1009">
                  <c:v>46380</c:v>
                </c:pt>
                <c:pt idx="1010">
                  <c:v>46387</c:v>
                </c:pt>
                <c:pt idx="1011">
                  <c:v>46394</c:v>
                </c:pt>
                <c:pt idx="1012">
                  <c:v>46401</c:v>
                </c:pt>
                <c:pt idx="1013">
                  <c:v>46408</c:v>
                </c:pt>
                <c:pt idx="1014">
                  <c:v>46415</c:v>
                </c:pt>
                <c:pt idx="1015">
                  <c:v>46422</c:v>
                </c:pt>
                <c:pt idx="1016">
                  <c:v>46429</c:v>
                </c:pt>
                <c:pt idx="1017">
                  <c:v>46436</c:v>
                </c:pt>
                <c:pt idx="1018">
                  <c:v>46443</c:v>
                </c:pt>
                <c:pt idx="1019">
                  <c:v>46450</c:v>
                </c:pt>
                <c:pt idx="1020">
                  <c:v>46457</c:v>
                </c:pt>
                <c:pt idx="1021">
                  <c:v>46464</c:v>
                </c:pt>
                <c:pt idx="1022">
                  <c:v>46471</c:v>
                </c:pt>
                <c:pt idx="1023">
                  <c:v>46478</c:v>
                </c:pt>
                <c:pt idx="1024">
                  <c:v>46485</c:v>
                </c:pt>
                <c:pt idx="1025">
                  <c:v>46492</c:v>
                </c:pt>
                <c:pt idx="1026">
                  <c:v>46499</c:v>
                </c:pt>
                <c:pt idx="1027">
                  <c:v>46506</c:v>
                </c:pt>
                <c:pt idx="1028">
                  <c:v>46513</c:v>
                </c:pt>
                <c:pt idx="1029">
                  <c:v>46520</c:v>
                </c:pt>
                <c:pt idx="1030">
                  <c:v>46527</c:v>
                </c:pt>
                <c:pt idx="1031">
                  <c:v>46534</c:v>
                </c:pt>
                <c:pt idx="1032">
                  <c:v>46541</c:v>
                </c:pt>
                <c:pt idx="1033">
                  <c:v>46548</c:v>
                </c:pt>
                <c:pt idx="1034">
                  <c:v>46555</c:v>
                </c:pt>
                <c:pt idx="1035">
                  <c:v>46562</c:v>
                </c:pt>
                <c:pt idx="1036">
                  <c:v>46569</c:v>
                </c:pt>
                <c:pt idx="1037">
                  <c:v>46576</c:v>
                </c:pt>
                <c:pt idx="1038">
                  <c:v>46583</c:v>
                </c:pt>
                <c:pt idx="1039">
                  <c:v>46590</c:v>
                </c:pt>
                <c:pt idx="1040">
                  <c:v>46597</c:v>
                </c:pt>
                <c:pt idx="1041">
                  <c:v>46604</c:v>
                </c:pt>
                <c:pt idx="1042">
                  <c:v>46611</c:v>
                </c:pt>
                <c:pt idx="1043">
                  <c:v>46618</c:v>
                </c:pt>
                <c:pt idx="1044">
                  <c:v>46625</c:v>
                </c:pt>
                <c:pt idx="1045">
                  <c:v>46632</c:v>
                </c:pt>
                <c:pt idx="1046">
                  <c:v>46639</c:v>
                </c:pt>
                <c:pt idx="1047">
                  <c:v>46646</c:v>
                </c:pt>
                <c:pt idx="1048">
                  <c:v>46653</c:v>
                </c:pt>
                <c:pt idx="1049">
                  <c:v>46660</c:v>
                </c:pt>
                <c:pt idx="1050">
                  <c:v>46667</c:v>
                </c:pt>
                <c:pt idx="1051">
                  <c:v>46674</c:v>
                </c:pt>
                <c:pt idx="1052">
                  <c:v>46681</c:v>
                </c:pt>
                <c:pt idx="1053">
                  <c:v>46688</c:v>
                </c:pt>
                <c:pt idx="1054">
                  <c:v>46695</c:v>
                </c:pt>
                <c:pt idx="1055">
                  <c:v>46702</c:v>
                </c:pt>
                <c:pt idx="1056">
                  <c:v>46709</c:v>
                </c:pt>
                <c:pt idx="1057">
                  <c:v>46716</c:v>
                </c:pt>
                <c:pt idx="1058">
                  <c:v>46723</c:v>
                </c:pt>
                <c:pt idx="1059">
                  <c:v>46730</c:v>
                </c:pt>
                <c:pt idx="1060">
                  <c:v>46737</c:v>
                </c:pt>
                <c:pt idx="1061">
                  <c:v>46744</c:v>
                </c:pt>
                <c:pt idx="1062">
                  <c:v>46751</c:v>
                </c:pt>
                <c:pt idx="1063">
                  <c:v>46758</c:v>
                </c:pt>
                <c:pt idx="1064">
                  <c:v>46765</c:v>
                </c:pt>
                <c:pt idx="1065">
                  <c:v>46772</c:v>
                </c:pt>
                <c:pt idx="1066">
                  <c:v>46779</c:v>
                </c:pt>
                <c:pt idx="1067">
                  <c:v>46786</c:v>
                </c:pt>
                <c:pt idx="1068">
                  <c:v>46793</c:v>
                </c:pt>
                <c:pt idx="1069">
                  <c:v>46800</c:v>
                </c:pt>
                <c:pt idx="1070">
                  <c:v>46807</c:v>
                </c:pt>
                <c:pt idx="1071">
                  <c:v>46814</c:v>
                </c:pt>
                <c:pt idx="1072">
                  <c:v>46821</c:v>
                </c:pt>
                <c:pt idx="1073">
                  <c:v>46828</c:v>
                </c:pt>
                <c:pt idx="1074">
                  <c:v>46835</c:v>
                </c:pt>
                <c:pt idx="1075">
                  <c:v>46842</c:v>
                </c:pt>
                <c:pt idx="1076">
                  <c:v>46849</c:v>
                </c:pt>
                <c:pt idx="1077">
                  <c:v>46856</c:v>
                </c:pt>
                <c:pt idx="1078">
                  <c:v>46863</c:v>
                </c:pt>
                <c:pt idx="1079">
                  <c:v>46870</c:v>
                </c:pt>
                <c:pt idx="1080">
                  <c:v>46877</c:v>
                </c:pt>
                <c:pt idx="1081">
                  <c:v>46884</c:v>
                </c:pt>
                <c:pt idx="1082">
                  <c:v>46891</c:v>
                </c:pt>
                <c:pt idx="1083">
                  <c:v>46898</c:v>
                </c:pt>
                <c:pt idx="1084">
                  <c:v>46905</c:v>
                </c:pt>
                <c:pt idx="1085">
                  <c:v>46912</c:v>
                </c:pt>
                <c:pt idx="1086">
                  <c:v>46919</c:v>
                </c:pt>
                <c:pt idx="1087">
                  <c:v>46926</c:v>
                </c:pt>
                <c:pt idx="1088">
                  <c:v>46933</c:v>
                </c:pt>
                <c:pt idx="1089">
                  <c:v>46940</c:v>
                </c:pt>
                <c:pt idx="1090">
                  <c:v>46947</c:v>
                </c:pt>
                <c:pt idx="1091">
                  <c:v>46954</c:v>
                </c:pt>
                <c:pt idx="1092">
                  <c:v>46961</c:v>
                </c:pt>
                <c:pt idx="1093">
                  <c:v>46968</c:v>
                </c:pt>
                <c:pt idx="1094">
                  <c:v>46975</c:v>
                </c:pt>
                <c:pt idx="1095">
                  <c:v>46982</c:v>
                </c:pt>
                <c:pt idx="1096">
                  <c:v>46989</c:v>
                </c:pt>
                <c:pt idx="1097">
                  <c:v>46996</c:v>
                </c:pt>
                <c:pt idx="1098">
                  <c:v>47003</c:v>
                </c:pt>
                <c:pt idx="1099">
                  <c:v>47010</c:v>
                </c:pt>
                <c:pt idx="1100">
                  <c:v>47017</c:v>
                </c:pt>
                <c:pt idx="1101">
                  <c:v>47024</c:v>
                </c:pt>
                <c:pt idx="1102">
                  <c:v>47031</c:v>
                </c:pt>
                <c:pt idx="1103">
                  <c:v>47038</c:v>
                </c:pt>
                <c:pt idx="1104">
                  <c:v>47045</c:v>
                </c:pt>
                <c:pt idx="1105">
                  <c:v>47052</c:v>
                </c:pt>
                <c:pt idx="1106">
                  <c:v>47059</c:v>
                </c:pt>
                <c:pt idx="1107">
                  <c:v>47066</c:v>
                </c:pt>
                <c:pt idx="1108">
                  <c:v>47073</c:v>
                </c:pt>
                <c:pt idx="1109">
                  <c:v>47080</c:v>
                </c:pt>
                <c:pt idx="1110">
                  <c:v>47087</c:v>
                </c:pt>
                <c:pt idx="1111">
                  <c:v>47094</c:v>
                </c:pt>
                <c:pt idx="1112">
                  <c:v>47101</c:v>
                </c:pt>
                <c:pt idx="1113">
                  <c:v>47108</c:v>
                </c:pt>
                <c:pt idx="1114">
                  <c:v>47116</c:v>
                </c:pt>
                <c:pt idx="1115">
                  <c:v>47123</c:v>
                </c:pt>
                <c:pt idx="1116">
                  <c:v>47130</c:v>
                </c:pt>
                <c:pt idx="1117">
                  <c:v>47137</c:v>
                </c:pt>
                <c:pt idx="1118">
                  <c:v>47144</c:v>
                </c:pt>
                <c:pt idx="1119">
                  <c:v>47151</c:v>
                </c:pt>
                <c:pt idx="1120">
                  <c:v>47158</c:v>
                </c:pt>
                <c:pt idx="1121">
                  <c:v>47165</c:v>
                </c:pt>
                <c:pt idx="1122">
                  <c:v>47172</c:v>
                </c:pt>
                <c:pt idx="1123">
                  <c:v>47179</c:v>
                </c:pt>
                <c:pt idx="1124">
                  <c:v>47186</c:v>
                </c:pt>
                <c:pt idx="1125">
                  <c:v>47193</c:v>
                </c:pt>
                <c:pt idx="1126">
                  <c:v>47200</c:v>
                </c:pt>
                <c:pt idx="1127">
                  <c:v>47211</c:v>
                </c:pt>
                <c:pt idx="1128">
                  <c:v>47214</c:v>
                </c:pt>
                <c:pt idx="1129">
                  <c:v>47221</c:v>
                </c:pt>
                <c:pt idx="1130">
                  <c:v>47228</c:v>
                </c:pt>
                <c:pt idx="1131">
                  <c:v>47235</c:v>
                </c:pt>
                <c:pt idx="1132">
                  <c:v>47242</c:v>
                </c:pt>
                <c:pt idx="1133">
                  <c:v>47249</c:v>
                </c:pt>
                <c:pt idx="1134">
                  <c:v>47256</c:v>
                </c:pt>
                <c:pt idx="1135">
                  <c:v>47263</c:v>
                </c:pt>
                <c:pt idx="1136">
                  <c:v>47270</c:v>
                </c:pt>
                <c:pt idx="1137">
                  <c:v>47277</c:v>
                </c:pt>
                <c:pt idx="1138">
                  <c:v>47284</c:v>
                </c:pt>
                <c:pt idx="1139">
                  <c:v>47291</c:v>
                </c:pt>
                <c:pt idx="1140">
                  <c:v>47298</c:v>
                </c:pt>
                <c:pt idx="1141">
                  <c:v>47305</c:v>
                </c:pt>
                <c:pt idx="1142">
                  <c:v>47312</c:v>
                </c:pt>
                <c:pt idx="1143">
                  <c:v>47319</c:v>
                </c:pt>
                <c:pt idx="1144">
                  <c:v>47326</c:v>
                </c:pt>
                <c:pt idx="1145">
                  <c:v>47333</c:v>
                </c:pt>
                <c:pt idx="1146">
                  <c:v>47340</c:v>
                </c:pt>
                <c:pt idx="1147">
                  <c:v>47347</c:v>
                </c:pt>
                <c:pt idx="1148">
                  <c:v>47354</c:v>
                </c:pt>
                <c:pt idx="1149">
                  <c:v>47361</c:v>
                </c:pt>
                <c:pt idx="1150">
                  <c:v>47368</c:v>
                </c:pt>
                <c:pt idx="1151">
                  <c:v>47375</c:v>
                </c:pt>
                <c:pt idx="1152">
                  <c:v>47382</c:v>
                </c:pt>
                <c:pt idx="1153">
                  <c:v>47389</c:v>
                </c:pt>
                <c:pt idx="1154">
                  <c:v>47396</c:v>
                </c:pt>
                <c:pt idx="1155">
                  <c:v>47403</c:v>
                </c:pt>
                <c:pt idx="1156">
                  <c:v>47410</c:v>
                </c:pt>
                <c:pt idx="1157">
                  <c:v>47417</c:v>
                </c:pt>
                <c:pt idx="1158">
                  <c:v>47424</c:v>
                </c:pt>
                <c:pt idx="1159">
                  <c:v>47431</c:v>
                </c:pt>
                <c:pt idx="1160">
                  <c:v>47438</c:v>
                </c:pt>
                <c:pt idx="1161">
                  <c:v>47445</c:v>
                </c:pt>
                <c:pt idx="1162">
                  <c:v>47452</c:v>
                </c:pt>
                <c:pt idx="1163">
                  <c:v>47459</c:v>
                </c:pt>
                <c:pt idx="1164">
                  <c:v>47466</c:v>
                </c:pt>
                <c:pt idx="1165">
                  <c:v>47473</c:v>
                </c:pt>
                <c:pt idx="1166">
                  <c:v>47483</c:v>
                </c:pt>
                <c:pt idx="1167">
                  <c:v>47490</c:v>
                </c:pt>
                <c:pt idx="1168">
                  <c:v>47497</c:v>
                </c:pt>
                <c:pt idx="1169">
                  <c:v>47504</c:v>
                </c:pt>
                <c:pt idx="1170">
                  <c:v>47511</c:v>
                </c:pt>
                <c:pt idx="1171">
                  <c:v>47518</c:v>
                </c:pt>
                <c:pt idx="1172">
                  <c:v>47525</c:v>
                </c:pt>
                <c:pt idx="1173">
                  <c:v>47532</c:v>
                </c:pt>
                <c:pt idx="1174">
                  <c:v>47539</c:v>
                </c:pt>
                <c:pt idx="1175">
                  <c:v>47546</c:v>
                </c:pt>
                <c:pt idx="1176">
                  <c:v>47553</c:v>
                </c:pt>
                <c:pt idx="1177">
                  <c:v>47560</c:v>
                </c:pt>
                <c:pt idx="1178">
                  <c:v>47567</c:v>
                </c:pt>
                <c:pt idx="1179">
                  <c:v>47574</c:v>
                </c:pt>
                <c:pt idx="1180">
                  <c:v>47581</c:v>
                </c:pt>
                <c:pt idx="1181">
                  <c:v>47588</c:v>
                </c:pt>
                <c:pt idx="1182">
                  <c:v>47597</c:v>
                </c:pt>
                <c:pt idx="1183">
                  <c:v>47602</c:v>
                </c:pt>
                <c:pt idx="1184">
                  <c:v>47609</c:v>
                </c:pt>
                <c:pt idx="1185">
                  <c:v>47616</c:v>
                </c:pt>
                <c:pt idx="1186">
                  <c:v>47623</c:v>
                </c:pt>
                <c:pt idx="1187">
                  <c:v>47630</c:v>
                </c:pt>
                <c:pt idx="1188">
                  <c:v>47637</c:v>
                </c:pt>
                <c:pt idx="1189">
                  <c:v>47644</c:v>
                </c:pt>
                <c:pt idx="1190">
                  <c:v>47651</c:v>
                </c:pt>
                <c:pt idx="1191">
                  <c:v>47658</c:v>
                </c:pt>
                <c:pt idx="1192">
                  <c:v>47665</c:v>
                </c:pt>
                <c:pt idx="1193">
                  <c:v>47672</c:v>
                </c:pt>
                <c:pt idx="1194">
                  <c:v>47679</c:v>
                </c:pt>
                <c:pt idx="1195">
                  <c:v>47686</c:v>
                </c:pt>
                <c:pt idx="1196">
                  <c:v>47693</c:v>
                </c:pt>
                <c:pt idx="1197">
                  <c:v>47700</c:v>
                </c:pt>
                <c:pt idx="1198">
                  <c:v>47707</c:v>
                </c:pt>
                <c:pt idx="1199">
                  <c:v>47714</c:v>
                </c:pt>
                <c:pt idx="1200">
                  <c:v>47721</c:v>
                </c:pt>
                <c:pt idx="1201">
                  <c:v>47728</c:v>
                </c:pt>
                <c:pt idx="1202">
                  <c:v>47735</c:v>
                </c:pt>
                <c:pt idx="1203">
                  <c:v>47742</c:v>
                </c:pt>
                <c:pt idx="1204">
                  <c:v>47749</c:v>
                </c:pt>
                <c:pt idx="1205">
                  <c:v>47756</c:v>
                </c:pt>
                <c:pt idx="1206">
                  <c:v>47763</c:v>
                </c:pt>
                <c:pt idx="1207">
                  <c:v>47770</c:v>
                </c:pt>
                <c:pt idx="1208">
                  <c:v>47777</c:v>
                </c:pt>
                <c:pt idx="1209">
                  <c:v>47784</c:v>
                </c:pt>
                <c:pt idx="1210">
                  <c:v>47791</c:v>
                </c:pt>
                <c:pt idx="1211">
                  <c:v>47798</c:v>
                </c:pt>
                <c:pt idx="1212">
                  <c:v>47805</c:v>
                </c:pt>
                <c:pt idx="1213">
                  <c:v>47812</c:v>
                </c:pt>
                <c:pt idx="1214">
                  <c:v>47819</c:v>
                </c:pt>
                <c:pt idx="1215">
                  <c:v>47826</c:v>
                </c:pt>
                <c:pt idx="1216">
                  <c:v>47833</c:v>
                </c:pt>
                <c:pt idx="1217">
                  <c:v>47840</c:v>
                </c:pt>
                <c:pt idx="1218">
                  <c:v>47848</c:v>
                </c:pt>
                <c:pt idx="1219">
                  <c:v>47855</c:v>
                </c:pt>
                <c:pt idx="1220">
                  <c:v>47862</c:v>
                </c:pt>
                <c:pt idx="1221">
                  <c:v>47869</c:v>
                </c:pt>
                <c:pt idx="1222">
                  <c:v>47876</c:v>
                </c:pt>
                <c:pt idx="1223">
                  <c:v>47883</c:v>
                </c:pt>
                <c:pt idx="1224">
                  <c:v>47890</c:v>
                </c:pt>
                <c:pt idx="1225">
                  <c:v>47897</c:v>
                </c:pt>
                <c:pt idx="1226">
                  <c:v>47904</c:v>
                </c:pt>
                <c:pt idx="1227">
                  <c:v>47911</c:v>
                </c:pt>
                <c:pt idx="1228">
                  <c:v>47918</c:v>
                </c:pt>
                <c:pt idx="1229">
                  <c:v>47925</c:v>
                </c:pt>
                <c:pt idx="1230">
                  <c:v>47932</c:v>
                </c:pt>
                <c:pt idx="1231">
                  <c:v>47939</c:v>
                </c:pt>
                <c:pt idx="1232">
                  <c:v>47946</c:v>
                </c:pt>
                <c:pt idx="1233">
                  <c:v>47955</c:v>
                </c:pt>
                <c:pt idx="1234">
                  <c:v>47962</c:v>
                </c:pt>
                <c:pt idx="1235">
                  <c:v>47970</c:v>
                </c:pt>
                <c:pt idx="1236">
                  <c:v>47976</c:v>
                </c:pt>
                <c:pt idx="1237">
                  <c:v>47983</c:v>
                </c:pt>
                <c:pt idx="1238">
                  <c:v>47990</c:v>
                </c:pt>
                <c:pt idx="1239">
                  <c:v>47997</c:v>
                </c:pt>
                <c:pt idx="1240">
                  <c:v>48004</c:v>
                </c:pt>
                <c:pt idx="1241">
                  <c:v>48011</c:v>
                </c:pt>
                <c:pt idx="1242">
                  <c:v>48018</c:v>
                </c:pt>
                <c:pt idx="1243">
                  <c:v>48025</c:v>
                </c:pt>
                <c:pt idx="1244">
                  <c:v>48032</c:v>
                </c:pt>
                <c:pt idx="1245">
                  <c:v>48039</c:v>
                </c:pt>
                <c:pt idx="1246">
                  <c:v>48046</c:v>
                </c:pt>
                <c:pt idx="1247">
                  <c:v>48053</c:v>
                </c:pt>
                <c:pt idx="1248">
                  <c:v>48060</c:v>
                </c:pt>
                <c:pt idx="1249">
                  <c:v>48067</c:v>
                </c:pt>
                <c:pt idx="1250">
                  <c:v>48074</c:v>
                </c:pt>
                <c:pt idx="1251">
                  <c:v>48081</c:v>
                </c:pt>
                <c:pt idx="1252">
                  <c:v>48088</c:v>
                </c:pt>
                <c:pt idx="1253">
                  <c:v>48095</c:v>
                </c:pt>
                <c:pt idx="1254">
                  <c:v>48102</c:v>
                </c:pt>
                <c:pt idx="1255">
                  <c:v>48109</c:v>
                </c:pt>
                <c:pt idx="1256">
                  <c:v>48116</c:v>
                </c:pt>
                <c:pt idx="1257">
                  <c:v>48123</c:v>
                </c:pt>
                <c:pt idx="1258">
                  <c:v>48130</c:v>
                </c:pt>
                <c:pt idx="1259">
                  <c:v>48137</c:v>
                </c:pt>
                <c:pt idx="1260">
                  <c:v>48144</c:v>
                </c:pt>
                <c:pt idx="1261">
                  <c:v>48151</c:v>
                </c:pt>
                <c:pt idx="1262">
                  <c:v>48158</c:v>
                </c:pt>
                <c:pt idx="1263">
                  <c:v>48165</c:v>
                </c:pt>
                <c:pt idx="1264">
                  <c:v>48172</c:v>
                </c:pt>
                <c:pt idx="1265">
                  <c:v>48179</c:v>
                </c:pt>
                <c:pt idx="1266">
                  <c:v>48186</c:v>
                </c:pt>
                <c:pt idx="1267">
                  <c:v>48193</c:v>
                </c:pt>
                <c:pt idx="1268">
                  <c:v>48200</c:v>
                </c:pt>
                <c:pt idx="1269">
                  <c:v>48211</c:v>
                </c:pt>
                <c:pt idx="1270">
                  <c:v>48215</c:v>
                </c:pt>
                <c:pt idx="1271">
                  <c:v>48221</c:v>
                </c:pt>
                <c:pt idx="1272">
                  <c:v>48228</c:v>
                </c:pt>
                <c:pt idx="1273">
                  <c:v>48235</c:v>
                </c:pt>
                <c:pt idx="1274">
                  <c:v>48242</c:v>
                </c:pt>
                <c:pt idx="1275">
                  <c:v>48249</c:v>
                </c:pt>
                <c:pt idx="1276">
                  <c:v>48256</c:v>
                </c:pt>
                <c:pt idx="1277">
                  <c:v>48263</c:v>
                </c:pt>
                <c:pt idx="1278">
                  <c:v>48270</c:v>
                </c:pt>
                <c:pt idx="1279">
                  <c:v>48277</c:v>
                </c:pt>
                <c:pt idx="1280">
                  <c:v>48284</c:v>
                </c:pt>
                <c:pt idx="1281">
                  <c:v>48291</c:v>
                </c:pt>
                <c:pt idx="1282">
                  <c:v>48298</c:v>
                </c:pt>
                <c:pt idx="1283">
                  <c:v>48305</c:v>
                </c:pt>
                <c:pt idx="1284">
                  <c:v>48312</c:v>
                </c:pt>
                <c:pt idx="1285">
                  <c:v>48319</c:v>
                </c:pt>
                <c:pt idx="1286">
                  <c:v>48326</c:v>
                </c:pt>
                <c:pt idx="1287">
                  <c:v>48333</c:v>
                </c:pt>
                <c:pt idx="1288">
                  <c:v>48340</c:v>
                </c:pt>
                <c:pt idx="1289">
                  <c:v>48347</c:v>
                </c:pt>
                <c:pt idx="1290">
                  <c:v>48354</c:v>
                </c:pt>
                <c:pt idx="1291">
                  <c:v>48361</c:v>
                </c:pt>
                <c:pt idx="1292">
                  <c:v>48368</c:v>
                </c:pt>
                <c:pt idx="1293">
                  <c:v>48375</c:v>
                </c:pt>
                <c:pt idx="1294">
                  <c:v>48382</c:v>
                </c:pt>
                <c:pt idx="1295">
                  <c:v>48389</c:v>
                </c:pt>
                <c:pt idx="1296">
                  <c:v>48396</c:v>
                </c:pt>
                <c:pt idx="1297">
                  <c:v>48403</c:v>
                </c:pt>
                <c:pt idx="1298">
                  <c:v>48410</c:v>
                </c:pt>
                <c:pt idx="1299">
                  <c:v>48417</c:v>
                </c:pt>
                <c:pt idx="1300">
                  <c:v>48424</c:v>
                </c:pt>
                <c:pt idx="1301">
                  <c:v>48431</c:v>
                </c:pt>
                <c:pt idx="1302">
                  <c:v>48438</c:v>
                </c:pt>
                <c:pt idx="1303">
                  <c:v>48445</c:v>
                </c:pt>
                <c:pt idx="1304">
                  <c:v>48452</c:v>
                </c:pt>
                <c:pt idx="1305">
                  <c:v>48459</c:v>
                </c:pt>
                <c:pt idx="1306">
                  <c:v>48466</c:v>
                </c:pt>
                <c:pt idx="1307">
                  <c:v>48473</c:v>
                </c:pt>
                <c:pt idx="1308">
                  <c:v>48480</c:v>
                </c:pt>
                <c:pt idx="1309">
                  <c:v>48487</c:v>
                </c:pt>
                <c:pt idx="1310">
                  <c:v>48494</c:v>
                </c:pt>
                <c:pt idx="1311">
                  <c:v>48501</c:v>
                </c:pt>
                <c:pt idx="1312">
                  <c:v>48508</c:v>
                </c:pt>
                <c:pt idx="1313">
                  <c:v>48515</c:v>
                </c:pt>
                <c:pt idx="1314">
                  <c:v>48522</c:v>
                </c:pt>
                <c:pt idx="1315">
                  <c:v>48529</c:v>
                </c:pt>
                <c:pt idx="1316">
                  <c:v>48536</c:v>
                </c:pt>
                <c:pt idx="1317">
                  <c:v>48543</c:v>
                </c:pt>
                <c:pt idx="1318">
                  <c:v>48550</c:v>
                </c:pt>
                <c:pt idx="1319">
                  <c:v>48557</c:v>
                </c:pt>
                <c:pt idx="1320">
                  <c:v>48564</c:v>
                </c:pt>
                <c:pt idx="1321">
                  <c:v>48571</c:v>
                </c:pt>
                <c:pt idx="1322">
                  <c:v>48578</c:v>
                </c:pt>
                <c:pt idx="1323">
                  <c:v>48585</c:v>
                </c:pt>
                <c:pt idx="1324">
                  <c:v>48592</c:v>
                </c:pt>
                <c:pt idx="1325">
                  <c:v>48599</c:v>
                </c:pt>
                <c:pt idx="1326">
                  <c:v>48606</c:v>
                </c:pt>
                <c:pt idx="1327">
                  <c:v>48613</c:v>
                </c:pt>
                <c:pt idx="1328">
                  <c:v>48620</c:v>
                </c:pt>
                <c:pt idx="1329">
                  <c:v>48627</c:v>
                </c:pt>
                <c:pt idx="1330">
                  <c:v>48634</c:v>
                </c:pt>
                <c:pt idx="1331">
                  <c:v>48641</c:v>
                </c:pt>
                <c:pt idx="1332">
                  <c:v>48648</c:v>
                </c:pt>
                <c:pt idx="1333">
                  <c:v>48655</c:v>
                </c:pt>
                <c:pt idx="1334">
                  <c:v>48662</c:v>
                </c:pt>
                <c:pt idx="1335">
                  <c:v>48669</c:v>
                </c:pt>
                <c:pt idx="1336">
                  <c:v>48676</c:v>
                </c:pt>
                <c:pt idx="1337">
                  <c:v>48683</c:v>
                </c:pt>
                <c:pt idx="1338">
                  <c:v>48690</c:v>
                </c:pt>
                <c:pt idx="1339">
                  <c:v>48697</c:v>
                </c:pt>
                <c:pt idx="1340">
                  <c:v>48704</c:v>
                </c:pt>
                <c:pt idx="1341">
                  <c:v>48711</c:v>
                </c:pt>
                <c:pt idx="1342">
                  <c:v>48718</c:v>
                </c:pt>
                <c:pt idx="1343">
                  <c:v>48725</c:v>
                </c:pt>
                <c:pt idx="1344">
                  <c:v>48732</c:v>
                </c:pt>
                <c:pt idx="1345">
                  <c:v>48739</c:v>
                </c:pt>
                <c:pt idx="1346">
                  <c:v>48746</c:v>
                </c:pt>
                <c:pt idx="1347">
                  <c:v>48753</c:v>
                </c:pt>
                <c:pt idx="1348">
                  <c:v>48760</c:v>
                </c:pt>
                <c:pt idx="1349">
                  <c:v>48767</c:v>
                </c:pt>
                <c:pt idx="1350">
                  <c:v>48774</c:v>
                </c:pt>
                <c:pt idx="1351">
                  <c:v>48781</c:v>
                </c:pt>
                <c:pt idx="1352">
                  <c:v>48788</c:v>
                </c:pt>
                <c:pt idx="1353">
                  <c:v>48795</c:v>
                </c:pt>
                <c:pt idx="1354">
                  <c:v>48802</c:v>
                </c:pt>
                <c:pt idx="1355">
                  <c:v>48809</c:v>
                </c:pt>
                <c:pt idx="1356">
                  <c:v>48816</c:v>
                </c:pt>
                <c:pt idx="1357">
                  <c:v>48823</c:v>
                </c:pt>
                <c:pt idx="1358">
                  <c:v>48830</c:v>
                </c:pt>
                <c:pt idx="1359">
                  <c:v>48837</c:v>
                </c:pt>
                <c:pt idx="1360">
                  <c:v>48844</c:v>
                </c:pt>
                <c:pt idx="1361">
                  <c:v>48851</c:v>
                </c:pt>
                <c:pt idx="1362">
                  <c:v>48858</c:v>
                </c:pt>
                <c:pt idx="1363">
                  <c:v>48865</c:v>
                </c:pt>
                <c:pt idx="1364">
                  <c:v>48872</c:v>
                </c:pt>
                <c:pt idx="1365">
                  <c:v>48879</c:v>
                </c:pt>
                <c:pt idx="1366">
                  <c:v>48886</c:v>
                </c:pt>
                <c:pt idx="1367">
                  <c:v>48893</c:v>
                </c:pt>
                <c:pt idx="1368">
                  <c:v>48900</c:v>
                </c:pt>
                <c:pt idx="1369">
                  <c:v>48907</c:v>
                </c:pt>
                <c:pt idx="1370">
                  <c:v>48914</c:v>
                </c:pt>
                <c:pt idx="1371">
                  <c:v>48921</c:v>
                </c:pt>
                <c:pt idx="1372">
                  <c:v>48928</c:v>
                </c:pt>
                <c:pt idx="1373">
                  <c:v>48935</c:v>
                </c:pt>
                <c:pt idx="1374">
                  <c:v>48942</c:v>
                </c:pt>
                <c:pt idx="1375">
                  <c:v>48949</c:v>
                </c:pt>
                <c:pt idx="1376">
                  <c:v>48956</c:v>
                </c:pt>
                <c:pt idx="1377">
                  <c:v>48963</c:v>
                </c:pt>
                <c:pt idx="1378">
                  <c:v>48970</c:v>
                </c:pt>
                <c:pt idx="1379">
                  <c:v>48977</c:v>
                </c:pt>
                <c:pt idx="1380">
                  <c:v>48984</c:v>
                </c:pt>
                <c:pt idx="1381">
                  <c:v>48991</c:v>
                </c:pt>
                <c:pt idx="1382">
                  <c:v>48998</c:v>
                </c:pt>
                <c:pt idx="1383">
                  <c:v>49005</c:v>
                </c:pt>
                <c:pt idx="1384">
                  <c:v>49012</c:v>
                </c:pt>
                <c:pt idx="1385">
                  <c:v>49019</c:v>
                </c:pt>
                <c:pt idx="1386">
                  <c:v>49026</c:v>
                </c:pt>
                <c:pt idx="1387">
                  <c:v>49033</c:v>
                </c:pt>
                <c:pt idx="1388">
                  <c:v>49040</c:v>
                </c:pt>
                <c:pt idx="1389">
                  <c:v>49047</c:v>
                </c:pt>
                <c:pt idx="1390">
                  <c:v>49054</c:v>
                </c:pt>
                <c:pt idx="1391">
                  <c:v>49061</c:v>
                </c:pt>
                <c:pt idx="1392">
                  <c:v>49068</c:v>
                </c:pt>
                <c:pt idx="1393">
                  <c:v>49075</c:v>
                </c:pt>
                <c:pt idx="1394">
                  <c:v>49082</c:v>
                </c:pt>
                <c:pt idx="1395">
                  <c:v>49089</c:v>
                </c:pt>
                <c:pt idx="1396">
                  <c:v>49096</c:v>
                </c:pt>
                <c:pt idx="1397">
                  <c:v>49103</c:v>
                </c:pt>
                <c:pt idx="1398">
                  <c:v>49110</c:v>
                </c:pt>
                <c:pt idx="1399">
                  <c:v>49117</c:v>
                </c:pt>
                <c:pt idx="1400">
                  <c:v>49124</c:v>
                </c:pt>
                <c:pt idx="1401">
                  <c:v>49131</c:v>
                </c:pt>
                <c:pt idx="1402">
                  <c:v>49138</c:v>
                </c:pt>
                <c:pt idx="1403">
                  <c:v>49145</c:v>
                </c:pt>
                <c:pt idx="1404">
                  <c:v>49152</c:v>
                </c:pt>
                <c:pt idx="1405">
                  <c:v>49159</c:v>
                </c:pt>
                <c:pt idx="1406">
                  <c:v>49166</c:v>
                </c:pt>
                <c:pt idx="1407">
                  <c:v>49173</c:v>
                </c:pt>
                <c:pt idx="1408">
                  <c:v>49180</c:v>
                </c:pt>
                <c:pt idx="1409">
                  <c:v>49187</c:v>
                </c:pt>
                <c:pt idx="1410">
                  <c:v>49194</c:v>
                </c:pt>
                <c:pt idx="1411">
                  <c:v>49201</c:v>
                </c:pt>
                <c:pt idx="1412">
                  <c:v>49208</c:v>
                </c:pt>
                <c:pt idx="1413">
                  <c:v>49215</c:v>
                </c:pt>
                <c:pt idx="1414">
                  <c:v>49222</c:v>
                </c:pt>
                <c:pt idx="1415">
                  <c:v>49229</c:v>
                </c:pt>
                <c:pt idx="1416">
                  <c:v>49236</c:v>
                </c:pt>
                <c:pt idx="1417">
                  <c:v>49243</c:v>
                </c:pt>
                <c:pt idx="1418">
                  <c:v>49250</c:v>
                </c:pt>
                <c:pt idx="1419">
                  <c:v>49257</c:v>
                </c:pt>
                <c:pt idx="1420">
                  <c:v>49264</c:v>
                </c:pt>
                <c:pt idx="1421">
                  <c:v>49271</c:v>
                </c:pt>
                <c:pt idx="1422">
                  <c:v>49278</c:v>
                </c:pt>
                <c:pt idx="1423">
                  <c:v>49285</c:v>
                </c:pt>
                <c:pt idx="1424">
                  <c:v>49292</c:v>
                </c:pt>
                <c:pt idx="1425">
                  <c:v>49299</c:v>
                </c:pt>
                <c:pt idx="1426">
                  <c:v>49307</c:v>
                </c:pt>
                <c:pt idx="1427">
                  <c:v>49314</c:v>
                </c:pt>
                <c:pt idx="1428">
                  <c:v>49321</c:v>
                </c:pt>
                <c:pt idx="1429">
                  <c:v>49328</c:v>
                </c:pt>
                <c:pt idx="1430">
                  <c:v>49335</c:v>
                </c:pt>
                <c:pt idx="1431">
                  <c:v>49342</c:v>
                </c:pt>
                <c:pt idx="1432">
                  <c:v>49349</c:v>
                </c:pt>
                <c:pt idx="1433">
                  <c:v>49356</c:v>
                </c:pt>
                <c:pt idx="1434">
                  <c:v>49363</c:v>
                </c:pt>
                <c:pt idx="1435">
                  <c:v>49370</c:v>
                </c:pt>
                <c:pt idx="1436">
                  <c:v>49377</c:v>
                </c:pt>
                <c:pt idx="1437">
                  <c:v>49384</c:v>
                </c:pt>
                <c:pt idx="1438">
                  <c:v>49395</c:v>
                </c:pt>
                <c:pt idx="1439">
                  <c:v>49398</c:v>
                </c:pt>
                <c:pt idx="1440">
                  <c:v>49405</c:v>
                </c:pt>
                <c:pt idx="1441">
                  <c:v>49412</c:v>
                </c:pt>
                <c:pt idx="1442">
                  <c:v>49419</c:v>
                </c:pt>
                <c:pt idx="1443">
                  <c:v>49426</c:v>
                </c:pt>
                <c:pt idx="1444">
                  <c:v>49433</c:v>
                </c:pt>
                <c:pt idx="1445">
                  <c:v>49440</c:v>
                </c:pt>
                <c:pt idx="1446">
                  <c:v>49447</c:v>
                </c:pt>
                <c:pt idx="1447">
                  <c:v>49454</c:v>
                </c:pt>
                <c:pt idx="1448">
                  <c:v>49461</c:v>
                </c:pt>
                <c:pt idx="1449">
                  <c:v>49468</c:v>
                </c:pt>
                <c:pt idx="1450">
                  <c:v>49475</c:v>
                </c:pt>
                <c:pt idx="1451">
                  <c:v>49482</c:v>
                </c:pt>
                <c:pt idx="1452">
                  <c:v>49489</c:v>
                </c:pt>
                <c:pt idx="1453">
                  <c:v>49496</c:v>
                </c:pt>
                <c:pt idx="1454">
                  <c:v>49503</c:v>
                </c:pt>
                <c:pt idx="1455">
                  <c:v>49510</c:v>
                </c:pt>
                <c:pt idx="1456">
                  <c:v>49517</c:v>
                </c:pt>
                <c:pt idx="1457">
                  <c:v>49524</c:v>
                </c:pt>
                <c:pt idx="1458">
                  <c:v>49531</c:v>
                </c:pt>
                <c:pt idx="1459">
                  <c:v>49538</c:v>
                </c:pt>
                <c:pt idx="1460">
                  <c:v>49545</c:v>
                </c:pt>
                <c:pt idx="1461">
                  <c:v>49552</c:v>
                </c:pt>
                <c:pt idx="1462">
                  <c:v>49559</c:v>
                </c:pt>
                <c:pt idx="1463">
                  <c:v>49566</c:v>
                </c:pt>
                <c:pt idx="1464">
                  <c:v>49573</c:v>
                </c:pt>
                <c:pt idx="1465">
                  <c:v>49580</c:v>
                </c:pt>
                <c:pt idx="1466">
                  <c:v>49587</c:v>
                </c:pt>
                <c:pt idx="1467">
                  <c:v>49594</c:v>
                </c:pt>
                <c:pt idx="1468">
                  <c:v>49601</c:v>
                </c:pt>
                <c:pt idx="1469">
                  <c:v>49608</c:v>
                </c:pt>
                <c:pt idx="1470">
                  <c:v>49615</c:v>
                </c:pt>
                <c:pt idx="1471">
                  <c:v>49622</c:v>
                </c:pt>
                <c:pt idx="1472">
                  <c:v>49629</c:v>
                </c:pt>
                <c:pt idx="1473">
                  <c:v>49636</c:v>
                </c:pt>
                <c:pt idx="1474">
                  <c:v>49643</c:v>
                </c:pt>
                <c:pt idx="1475">
                  <c:v>49650</c:v>
                </c:pt>
                <c:pt idx="1476">
                  <c:v>49657</c:v>
                </c:pt>
                <c:pt idx="1477">
                  <c:v>49664</c:v>
                </c:pt>
                <c:pt idx="1478">
                  <c:v>49674</c:v>
                </c:pt>
                <c:pt idx="1479">
                  <c:v>49681</c:v>
                </c:pt>
                <c:pt idx="1480">
                  <c:v>49688</c:v>
                </c:pt>
                <c:pt idx="1481">
                  <c:v>49695</c:v>
                </c:pt>
                <c:pt idx="1482">
                  <c:v>49702</c:v>
                </c:pt>
                <c:pt idx="1483">
                  <c:v>49709</c:v>
                </c:pt>
                <c:pt idx="1484">
                  <c:v>49716</c:v>
                </c:pt>
                <c:pt idx="1485">
                  <c:v>49723</c:v>
                </c:pt>
                <c:pt idx="1486">
                  <c:v>49730</c:v>
                </c:pt>
                <c:pt idx="1487">
                  <c:v>49737</c:v>
                </c:pt>
                <c:pt idx="1488">
                  <c:v>49744</c:v>
                </c:pt>
                <c:pt idx="1489">
                  <c:v>49751</c:v>
                </c:pt>
                <c:pt idx="1490">
                  <c:v>49758</c:v>
                </c:pt>
                <c:pt idx="1491">
                  <c:v>49765</c:v>
                </c:pt>
                <c:pt idx="1492">
                  <c:v>49772</c:v>
                </c:pt>
                <c:pt idx="1493">
                  <c:v>49781</c:v>
                </c:pt>
                <c:pt idx="1494">
                  <c:v>49786</c:v>
                </c:pt>
                <c:pt idx="1495">
                  <c:v>49793</c:v>
                </c:pt>
                <c:pt idx="1496">
                  <c:v>49801</c:v>
                </c:pt>
                <c:pt idx="1497">
                  <c:v>49808</c:v>
                </c:pt>
                <c:pt idx="1498">
                  <c:v>49815</c:v>
                </c:pt>
                <c:pt idx="1499">
                  <c:v>49822</c:v>
                </c:pt>
                <c:pt idx="1500">
                  <c:v>49829</c:v>
                </c:pt>
                <c:pt idx="1501">
                  <c:v>49836</c:v>
                </c:pt>
                <c:pt idx="1502">
                  <c:v>49843</c:v>
                </c:pt>
                <c:pt idx="1503">
                  <c:v>49850</c:v>
                </c:pt>
                <c:pt idx="1504">
                  <c:v>49857</c:v>
                </c:pt>
                <c:pt idx="1505">
                  <c:v>49864</c:v>
                </c:pt>
                <c:pt idx="1506">
                  <c:v>49871</c:v>
                </c:pt>
                <c:pt idx="1507">
                  <c:v>49878</c:v>
                </c:pt>
                <c:pt idx="1508">
                  <c:v>49885</c:v>
                </c:pt>
                <c:pt idx="1509">
                  <c:v>49892</c:v>
                </c:pt>
                <c:pt idx="1510">
                  <c:v>49899</c:v>
                </c:pt>
                <c:pt idx="1511">
                  <c:v>49906</c:v>
                </c:pt>
                <c:pt idx="1512">
                  <c:v>49913</c:v>
                </c:pt>
                <c:pt idx="1513">
                  <c:v>49920</c:v>
                </c:pt>
                <c:pt idx="1514">
                  <c:v>49927</c:v>
                </c:pt>
                <c:pt idx="1515">
                  <c:v>49934</c:v>
                </c:pt>
                <c:pt idx="1516">
                  <c:v>49941</c:v>
                </c:pt>
                <c:pt idx="1517">
                  <c:v>49948</c:v>
                </c:pt>
                <c:pt idx="1518">
                  <c:v>49955</c:v>
                </c:pt>
                <c:pt idx="1519">
                  <c:v>49962</c:v>
                </c:pt>
                <c:pt idx="1520">
                  <c:v>49969</c:v>
                </c:pt>
                <c:pt idx="1521">
                  <c:v>49976</c:v>
                </c:pt>
                <c:pt idx="1522">
                  <c:v>49983</c:v>
                </c:pt>
                <c:pt idx="1523">
                  <c:v>49990</c:v>
                </c:pt>
                <c:pt idx="1524">
                  <c:v>49997</c:v>
                </c:pt>
                <c:pt idx="1525">
                  <c:v>50004</c:v>
                </c:pt>
                <c:pt idx="1526">
                  <c:v>50011</c:v>
                </c:pt>
                <c:pt idx="1527">
                  <c:v>50018</c:v>
                </c:pt>
                <c:pt idx="1528">
                  <c:v>50025</c:v>
                </c:pt>
                <c:pt idx="1529">
                  <c:v>50032</c:v>
                </c:pt>
                <c:pt idx="1530">
                  <c:v>50040</c:v>
                </c:pt>
                <c:pt idx="1531">
                  <c:v>50047</c:v>
                </c:pt>
                <c:pt idx="1532">
                  <c:v>50054</c:v>
                </c:pt>
                <c:pt idx="1533">
                  <c:v>50061</c:v>
                </c:pt>
                <c:pt idx="1534">
                  <c:v>50068</c:v>
                </c:pt>
                <c:pt idx="1535">
                  <c:v>50075</c:v>
                </c:pt>
                <c:pt idx="1536">
                  <c:v>50082</c:v>
                </c:pt>
                <c:pt idx="1537">
                  <c:v>50089</c:v>
                </c:pt>
                <c:pt idx="1538">
                  <c:v>50096</c:v>
                </c:pt>
                <c:pt idx="1539">
                  <c:v>50103</c:v>
                </c:pt>
                <c:pt idx="1540">
                  <c:v>50110</c:v>
                </c:pt>
                <c:pt idx="1541">
                  <c:v>50117</c:v>
                </c:pt>
                <c:pt idx="1542">
                  <c:v>50124</c:v>
                </c:pt>
                <c:pt idx="1543">
                  <c:v>50131</c:v>
                </c:pt>
                <c:pt idx="1544">
                  <c:v>50139</c:v>
                </c:pt>
                <c:pt idx="1545">
                  <c:v>50146</c:v>
                </c:pt>
                <c:pt idx="1546">
                  <c:v>50153</c:v>
                </c:pt>
                <c:pt idx="1547">
                  <c:v>50160</c:v>
                </c:pt>
                <c:pt idx="1548">
                  <c:v>50167</c:v>
                </c:pt>
                <c:pt idx="1549">
                  <c:v>50174</c:v>
                </c:pt>
                <c:pt idx="1550">
                  <c:v>50181</c:v>
                </c:pt>
                <c:pt idx="1551">
                  <c:v>50188</c:v>
                </c:pt>
                <c:pt idx="1552">
                  <c:v>50195</c:v>
                </c:pt>
                <c:pt idx="1553">
                  <c:v>50202</c:v>
                </c:pt>
                <c:pt idx="1554">
                  <c:v>50209</c:v>
                </c:pt>
                <c:pt idx="1555">
                  <c:v>50216</c:v>
                </c:pt>
                <c:pt idx="1556">
                  <c:v>50223</c:v>
                </c:pt>
                <c:pt idx="1557">
                  <c:v>50230</c:v>
                </c:pt>
                <c:pt idx="1558">
                  <c:v>50237</c:v>
                </c:pt>
                <c:pt idx="1559">
                  <c:v>50244</c:v>
                </c:pt>
                <c:pt idx="1560">
                  <c:v>50251</c:v>
                </c:pt>
                <c:pt idx="1561">
                  <c:v>50258</c:v>
                </c:pt>
                <c:pt idx="1562">
                  <c:v>50265</c:v>
                </c:pt>
                <c:pt idx="1563">
                  <c:v>50272</c:v>
                </c:pt>
                <c:pt idx="1564">
                  <c:v>50279</c:v>
                </c:pt>
                <c:pt idx="1565">
                  <c:v>50286</c:v>
                </c:pt>
                <c:pt idx="1566">
                  <c:v>50293</c:v>
                </c:pt>
                <c:pt idx="1567">
                  <c:v>50300</c:v>
                </c:pt>
                <c:pt idx="1568">
                  <c:v>50307</c:v>
                </c:pt>
                <c:pt idx="1569">
                  <c:v>50314</c:v>
                </c:pt>
                <c:pt idx="1570">
                  <c:v>50321</c:v>
                </c:pt>
                <c:pt idx="1571">
                  <c:v>50328</c:v>
                </c:pt>
                <c:pt idx="1572">
                  <c:v>50335</c:v>
                </c:pt>
                <c:pt idx="1573">
                  <c:v>50342</c:v>
                </c:pt>
                <c:pt idx="1574">
                  <c:v>50349</c:v>
                </c:pt>
                <c:pt idx="1575">
                  <c:v>50356</c:v>
                </c:pt>
                <c:pt idx="1576">
                  <c:v>50363</c:v>
                </c:pt>
                <c:pt idx="1577">
                  <c:v>50370</c:v>
                </c:pt>
                <c:pt idx="1578">
                  <c:v>50377</c:v>
                </c:pt>
                <c:pt idx="1579">
                  <c:v>50384</c:v>
                </c:pt>
                <c:pt idx="1580">
                  <c:v>50391</c:v>
                </c:pt>
                <c:pt idx="1581">
                  <c:v>50398</c:v>
                </c:pt>
                <c:pt idx="1582">
                  <c:v>50405</c:v>
                </c:pt>
                <c:pt idx="1583">
                  <c:v>50412</c:v>
                </c:pt>
                <c:pt idx="1584">
                  <c:v>50419</c:v>
                </c:pt>
                <c:pt idx="1585">
                  <c:v>50426</c:v>
                </c:pt>
                <c:pt idx="1586">
                  <c:v>50433</c:v>
                </c:pt>
                <c:pt idx="1587">
                  <c:v>50440</c:v>
                </c:pt>
                <c:pt idx="1588">
                  <c:v>50447</c:v>
                </c:pt>
                <c:pt idx="1589">
                  <c:v>50454</c:v>
                </c:pt>
                <c:pt idx="1590">
                  <c:v>50461</c:v>
                </c:pt>
                <c:pt idx="1591">
                  <c:v>50468</c:v>
                </c:pt>
                <c:pt idx="1592">
                  <c:v>50475</c:v>
                </c:pt>
                <c:pt idx="1593">
                  <c:v>50482</c:v>
                </c:pt>
                <c:pt idx="1594">
                  <c:v>50489</c:v>
                </c:pt>
                <c:pt idx="1595">
                  <c:v>50496</c:v>
                </c:pt>
                <c:pt idx="1596">
                  <c:v>50503</c:v>
                </c:pt>
                <c:pt idx="1597">
                  <c:v>50510</c:v>
                </c:pt>
                <c:pt idx="1598">
                  <c:v>50517</c:v>
                </c:pt>
                <c:pt idx="1599">
                  <c:v>50524</c:v>
                </c:pt>
                <c:pt idx="1600">
                  <c:v>50531</c:v>
                </c:pt>
                <c:pt idx="1601">
                  <c:v>50538</c:v>
                </c:pt>
                <c:pt idx="1602">
                  <c:v>50545</c:v>
                </c:pt>
                <c:pt idx="1603">
                  <c:v>50552</c:v>
                </c:pt>
                <c:pt idx="1604">
                  <c:v>50559</c:v>
                </c:pt>
                <c:pt idx="1605">
                  <c:v>50566</c:v>
                </c:pt>
                <c:pt idx="1606">
                  <c:v>50573</c:v>
                </c:pt>
                <c:pt idx="1607">
                  <c:v>50580</c:v>
                </c:pt>
                <c:pt idx="1608">
                  <c:v>50587</c:v>
                </c:pt>
                <c:pt idx="1609">
                  <c:v>50594</c:v>
                </c:pt>
                <c:pt idx="1610">
                  <c:v>50601</c:v>
                </c:pt>
                <c:pt idx="1611">
                  <c:v>50608</c:v>
                </c:pt>
                <c:pt idx="1612">
                  <c:v>50615</c:v>
                </c:pt>
                <c:pt idx="1613">
                  <c:v>50622</c:v>
                </c:pt>
                <c:pt idx="1614">
                  <c:v>50629</c:v>
                </c:pt>
                <c:pt idx="1615">
                  <c:v>50636</c:v>
                </c:pt>
                <c:pt idx="1616">
                  <c:v>50643</c:v>
                </c:pt>
                <c:pt idx="1617">
                  <c:v>50650</c:v>
                </c:pt>
                <c:pt idx="1618">
                  <c:v>50657</c:v>
                </c:pt>
                <c:pt idx="1619">
                  <c:v>50664</c:v>
                </c:pt>
                <c:pt idx="1620">
                  <c:v>50671</c:v>
                </c:pt>
                <c:pt idx="1621">
                  <c:v>50678</c:v>
                </c:pt>
                <c:pt idx="1622">
                  <c:v>50685</c:v>
                </c:pt>
                <c:pt idx="1623">
                  <c:v>50692</c:v>
                </c:pt>
                <c:pt idx="1624">
                  <c:v>50699</c:v>
                </c:pt>
                <c:pt idx="1625">
                  <c:v>50706</c:v>
                </c:pt>
                <c:pt idx="1626">
                  <c:v>50713</c:v>
                </c:pt>
                <c:pt idx="1627">
                  <c:v>50720</c:v>
                </c:pt>
                <c:pt idx="1628">
                  <c:v>50727</c:v>
                </c:pt>
                <c:pt idx="1629">
                  <c:v>50734</c:v>
                </c:pt>
                <c:pt idx="1630">
                  <c:v>50741</c:v>
                </c:pt>
                <c:pt idx="1631">
                  <c:v>50748</c:v>
                </c:pt>
                <c:pt idx="1632">
                  <c:v>50755</c:v>
                </c:pt>
                <c:pt idx="1633">
                  <c:v>50762</c:v>
                </c:pt>
                <c:pt idx="1634">
                  <c:v>50769</c:v>
                </c:pt>
                <c:pt idx="1635">
                  <c:v>50776</c:v>
                </c:pt>
                <c:pt idx="1636">
                  <c:v>50783</c:v>
                </c:pt>
                <c:pt idx="1637">
                  <c:v>50790</c:v>
                </c:pt>
                <c:pt idx="1638">
                  <c:v>50797</c:v>
                </c:pt>
                <c:pt idx="1639">
                  <c:v>50804</c:v>
                </c:pt>
                <c:pt idx="1640">
                  <c:v>50811</c:v>
                </c:pt>
                <c:pt idx="1641">
                  <c:v>50818</c:v>
                </c:pt>
                <c:pt idx="1642">
                  <c:v>50825</c:v>
                </c:pt>
                <c:pt idx="1643">
                  <c:v>50832</c:v>
                </c:pt>
                <c:pt idx="1644">
                  <c:v>50839</c:v>
                </c:pt>
                <c:pt idx="1645">
                  <c:v>50846</c:v>
                </c:pt>
                <c:pt idx="1646">
                  <c:v>50853</c:v>
                </c:pt>
                <c:pt idx="1647">
                  <c:v>50860</c:v>
                </c:pt>
                <c:pt idx="1648">
                  <c:v>50867</c:v>
                </c:pt>
                <c:pt idx="1649">
                  <c:v>50874</c:v>
                </c:pt>
                <c:pt idx="1650">
                  <c:v>50881</c:v>
                </c:pt>
                <c:pt idx="1651">
                  <c:v>50888</c:v>
                </c:pt>
                <c:pt idx="1652">
                  <c:v>50895</c:v>
                </c:pt>
                <c:pt idx="1653">
                  <c:v>50902</c:v>
                </c:pt>
                <c:pt idx="1654">
                  <c:v>50909</c:v>
                </c:pt>
                <c:pt idx="1655">
                  <c:v>50916</c:v>
                </c:pt>
                <c:pt idx="1656">
                  <c:v>50923</c:v>
                </c:pt>
                <c:pt idx="1657">
                  <c:v>50930</c:v>
                </c:pt>
                <c:pt idx="1658">
                  <c:v>50937</c:v>
                </c:pt>
                <c:pt idx="1659">
                  <c:v>50944</c:v>
                </c:pt>
                <c:pt idx="1660">
                  <c:v>50951</c:v>
                </c:pt>
                <c:pt idx="1661">
                  <c:v>50958</c:v>
                </c:pt>
                <c:pt idx="1662">
                  <c:v>50965</c:v>
                </c:pt>
                <c:pt idx="1663">
                  <c:v>50972</c:v>
                </c:pt>
                <c:pt idx="1664">
                  <c:v>50979</c:v>
                </c:pt>
                <c:pt idx="1665">
                  <c:v>50986</c:v>
                </c:pt>
                <c:pt idx="1666">
                  <c:v>50993</c:v>
                </c:pt>
                <c:pt idx="1667">
                  <c:v>51000</c:v>
                </c:pt>
                <c:pt idx="1668">
                  <c:v>51007</c:v>
                </c:pt>
                <c:pt idx="1669">
                  <c:v>51014</c:v>
                </c:pt>
                <c:pt idx="1670">
                  <c:v>51021</c:v>
                </c:pt>
                <c:pt idx="1671">
                  <c:v>51028</c:v>
                </c:pt>
                <c:pt idx="1672">
                  <c:v>51035</c:v>
                </c:pt>
                <c:pt idx="1673">
                  <c:v>51042</c:v>
                </c:pt>
                <c:pt idx="1674">
                  <c:v>51049</c:v>
                </c:pt>
                <c:pt idx="1675">
                  <c:v>51056</c:v>
                </c:pt>
                <c:pt idx="1676">
                  <c:v>51063</c:v>
                </c:pt>
                <c:pt idx="1677">
                  <c:v>51070</c:v>
                </c:pt>
                <c:pt idx="1678">
                  <c:v>51077</c:v>
                </c:pt>
                <c:pt idx="1679">
                  <c:v>51084</c:v>
                </c:pt>
                <c:pt idx="1680">
                  <c:v>51091</c:v>
                </c:pt>
                <c:pt idx="1681">
                  <c:v>51098</c:v>
                </c:pt>
                <c:pt idx="1682">
                  <c:v>51105</c:v>
                </c:pt>
                <c:pt idx="1683">
                  <c:v>51112</c:v>
                </c:pt>
                <c:pt idx="1684">
                  <c:v>51119</c:v>
                </c:pt>
                <c:pt idx="1685">
                  <c:v>51126</c:v>
                </c:pt>
                <c:pt idx="1686">
                  <c:v>51133</c:v>
                </c:pt>
                <c:pt idx="1687">
                  <c:v>51140</c:v>
                </c:pt>
                <c:pt idx="1688">
                  <c:v>51147</c:v>
                </c:pt>
                <c:pt idx="1689">
                  <c:v>51154</c:v>
                </c:pt>
                <c:pt idx="1690">
                  <c:v>51161</c:v>
                </c:pt>
                <c:pt idx="1691">
                  <c:v>51168</c:v>
                </c:pt>
                <c:pt idx="1692">
                  <c:v>51175</c:v>
                </c:pt>
                <c:pt idx="1693">
                  <c:v>51182</c:v>
                </c:pt>
                <c:pt idx="1694">
                  <c:v>51189</c:v>
                </c:pt>
                <c:pt idx="1695">
                  <c:v>51196</c:v>
                </c:pt>
                <c:pt idx="1696">
                  <c:v>51203</c:v>
                </c:pt>
                <c:pt idx="1697">
                  <c:v>51210</c:v>
                </c:pt>
                <c:pt idx="1698">
                  <c:v>51217</c:v>
                </c:pt>
                <c:pt idx="1699">
                  <c:v>51224</c:v>
                </c:pt>
                <c:pt idx="1700">
                  <c:v>51231</c:v>
                </c:pt>
                <c:pt idx="1701">
                  <c:v>51238</c:v>
                </c:pt>
                <c:pt idx="1702">
                  <c:v>51245</c:v>
                </c:pt>
                <c:pt idx="1703">
                  <c:v>51252</c:v>
                </c:pt>
                <c:pt idx="1704">
                  <c:v>51260</c:v>
                </c:pt>
                <c:pt idx="1705">
                  <c:v>51267</c:v>
                </c:pt>
                <c:pt idx="1706">
                  <c:v>51274</c:v>
                </c:pt>
                <c:pt idx="1707">
                  <c:v>51281</c:v>
                </c:pt>
                <c:pt idx="1708">
                  <c:v>51288</c:v>
                </c:pt>
                <c:pt idx="1709">
                  <c:v>51295</c:v>
                </c:pt>
                <c:pt idx="1710">
                  <c:v>51302</c:v>
                </c:pt>
                <c:pt idx="1711">
                  <c:v>51309</c:v>
                </c:pt>
                <c:pt idx="1712">
                  <c:v>51316</c:v>
                </c:pt>
                <c:pt idx="1713">
                  <c:v>51323</c:v>
                </c:pt>
                <c:pt idx="1714">
                  <c:v>51330</c:v>
                </c:pt>
                <c:pt idx="1715">
                  <c:v>51337</c:v>
                </c:pt>
                <c:pt idx="1716">
                  <c:v>51344</c:v>
                </c:pt>
                <c:pt idx="1717">
                  <c:v>51351</c:v>
                </c:pt>
                <c:pt idx="1718">
                  <c:v>51358</c:v>
                </c:pt>
                <c:pt idx="1719">
                  <c:v>51365</c:v>
                </c:pt>
                <c:pt idx="1720">
                  <c:v>51372</c:v>
                </c:pt>
                <c:pt idx="1721">
                  <c:v>51379</c:v>
                </c:pt>
                <c:pt idx="1722">
                  <c:v>51386</c:v>
                </c:pt>
                <c:pt idx="1723">
                  <c:v>51393</c:v>
                </c:pt>
                <c:pt idx="1724">
                  <c:v>51400</c:v>
                </c:pt>
                <c:pt idx="1725">
                  <c:v>51407</c:v>
                </c:pt>
                <c:pt idx="1726">
                  <c:v>51414</c:v>
                </c:pt>
                <c:pt idx="1727">
                  <c:v>51421</c:v>
                </c:pt>
                <c:pt idx="1728">
                  <c:v>51428</c:v>
                </c:pt>
                <c:pt idx="1729">
                  <c:v>51435</c:v>
                </c:pt>
                <c:pt idx="1730">
                  <c:v>51442</c:v>
                </c:pt>
                <c:pt idx="1731">
                  <c:v>51449</c:v>
                </c:pt>
                <c:pt idx="1732">
                  <c:v>51456</c:v>
                </c:pt>
                <c:pt idx="1733">
                  <c:v>51463</c:v>
                </c:pt>
                <c:pt idx="1734">
                  <c:v>51470</c:v>
                </c:pt>
                <c:pt idx="1735">
                  <c:v>51477</c:v>
                </c:pt>
                <c:pt idx="1736">
                  <c:v>51484</c:v>
                </c:pt>
                <c:pt idx="1737">
                  <c:v>51491</c:v>
                </c:pt>
                <c:pt idx="1738">
                  <c:v>51501</c:v>
                </c:pt>
                <c:pt idx="1739">
                  <c:v>51508</c:v>
                </c:pt>
                <c:pt idx="1740">
                  <c:v>51515</c:v>
                </c:pt>
                <c:pt idx="1741">
                  <c:v>51522</c:v>
                </c:pt>
                <c:pt idx="1742">
                  <c:v>51529</c:v>
                </c:pt>
                <c:pt idx="1743">
                  <c:v>51536</c:v>
                </c:pt>
                <c:pt idx="1744">
                  <c:v>51543</c:v>
                </c:pt>
                <c:pt idx="1745">
                  <c:v>51550</c:v>
                </c:pt>
                <c:pt idx="1746">
                  <c:v>51557</c:v>
                </c:pt>
                <c:pt idx="1747">
                  <c:v>51564</c:v>
                </c:pt>
                <c:pt idx="1748">
                  <c:v>51571</c:v>
                </c:pt>
                <c:pt idx="1749">
                  <c:v>51578</c:v>
                </c:pt>
                <c:pt idx="1750">
                  <c:v>51585</c:v>
                </c:pt>
                <c:pt idx="1751">
                  <c:v>51592</c:v>
                </c:pt>
                <c:pt idx="1752">
                  <c:v>51599</c:v>
                </c:pt>
                <c:pt idx="1753">
                  <c:v>51606</c:v>
                </c:pt>
                <c:pt idx="1754">
                  <c:v>51615</c:v>
                </c:pt>
                <c:pt idx="1755">
                  <c:v>51620</c:v>
                </c:pt>
                <c:pt idx="1756">
                  <c:v>51627</c:v>
                </c:pt>
                <c:pt idx="1757">
                  <c:v>51634</c:v>
                </c:pt>
                <c:pt idx="1758">
                  <c:v>51641</c:v>
                </c:pt>
                <c:pt idx="1759">
                  <c:v>51648</c:v>
                </c:pt>
                <c:pt idx="1760">
                  <c:v>51655</c:v>
                </c:pt>
                <c:pt idx="1761">
                  <c:v>51662</c:v>
                </c:pt>
                <c:pt idx="1762">
                  <c:v>51669</c:v>
                </c:pt>
                <c:pt idx="1763">
                  <c:v>51676</c:v>
                </c:pt>
                <c:pt idx="1764">
                  <c:v>51683</c:v>
                </c:pt>
                <c:pt idx="1765">
                  <c:v>51690</c:v>
                </c:pt>
                <c:pt idx="1766">
                  <c:v>51697</c:v>
                </c:pt>
                <c:pt idx="1767">
                  <c:v>51704</c:v>
                </c:pt>
                <c:pt idx="1768">
                  <c:v>51711</c:v>
                </c:pt>
                <c:pt idx="1769">
                  <c:v>51718</c:v>
                </c:pt>
                <c:pt idx="1770">
                  <c:v>51725</c:v>
                </c:pt>
                <c:pt idx="1771">
                  <c:v>51732</c:v>
                </c:pt>
                <c:pt idx="1772">
                  <c:v>51739</c:v>
                </c:pt>
                <c:pt idx="1773">
                  <c:v>51746</c:v>
                </c:pt>
                <c:pt idx="1774">
                  <c:v>51753</c:v>
                </c:pt>
                <c:pt idx="1775">
                  <c:v>51760</c:v>
                </c:pt>
                <c:pt idx="1776">
                  <c:v>51767</c:v>
                </c:pt>
                <c:pt idx="1777">
                  <c:v>51774</c:v>
                </c:pt>
                <c:pt idx="1778">
                  <c:v>51781</c:v>
                </c:pt>
                <c:pt idx="1779">
                  <c:v>51788</c:v>
                </c:pt>
                <c:pt idx="1780">
                  <c:v>51795</c:v>
                </c:pt>
                <c:pt idx="1781">
                  <c:v>51802</c:v>
                </c:pt>
                <c:pt idx="1782">
                  <c:v>51809</c:v>
                </c:pt>
                <c:pt idx="1783">
                  <c:v>51816</c:v>
                </c:pt>
                <c:pt idx="1784">
                  <c:v>51823</c:v>
                </c:pt>
                <c:pt idx="1785">
                  <c:v>51830</c:v>
                </c:pt>
                <c:pt idx="1786">
                  <c:v>51837</c:v>
                </c:pt>
                <c:pt idx="1787">
                  <c:v>51844</c:v>
                </c:pt>
                <c:pt idx="1788">
                  <c:v>51851</c:v>
                </c:pt>
                <c:pt idx="1789">
                  <c:v>51858</c:v>
                </c:pt>
                <c:pt idx="1790">
                  <c:v>51866</c:v>
                </c:pt>
                <c:pt idx="1791">
                  <c:v>51873</c:v>
                </c:pt>
                <c:pt idx="1792">
                  <c:v>51880</c:v>
                </c:pt>
                <c:pt idx="1793">
                  <c:v>51887</c:v>
                </c:pt>
                <c:pt idx="1794">
                  <c:v>51894</c:v>
                </c:pt>
                <c:pt idx="1795">
                  <c:v>51901</c:v>
                </c:pt>
                <c:pt idx="1796">
                  <c:v>51908</c:v>
                </c:pt>
                <c:pt idx="1797">
                  <c:v>51915</c:v>
                </c:pt>
                <c:pt idx="1798">
                  <c:v>51922</c:v>
                </c:pt>
                <c:pt idx="1799">
                  <c:v>51929</c:v>
                </c:pt>
                <c:pt idx="1800">
                  <c:v>51936</c:v>
                </c:pt>
                <c:pt idx="1801">
                  <c:v>51943</c:v>
                </c:pt>
                <c:pt idx="1802">
                  <c:v>51950</c:v>
                </c:pt>
                <c:pt idx="1803">
                  <c:v>51957</c:v>
                </c:pt>
                <c:pt idx="1804">
                  <c:v>51966</c:v>
                </c:pt>
                <c:pt idx="1805">
                  <c:v>51973</c:v>
                </c:pt>
                <c:pt idx="1806">
                  <c:v>51980</c:v>
                </c:pt>
                <c:pt idx="1807">
                  <c:v>51988</c:v>
                </c:pt>
                <c:pt idx="1808">
                  <c:v>51994</c:v>
                </c:pt>
                <c:pt idx="1809">
                  <c:v>52001</c:v>
                </c:pt>
                <c:pt idx="1810">
                  <c:v>52008</c:v>
                </c:pt>
                <c:pt idx="1811">
                  <c:v>52015</c:v>
                </c:pt>
                <c:pt idx="1812">
                  <c:v>52022</c:v>
                </c:pt>
                <c:pt idx="1813">
                  <c:v>52029</c:v>
                </c:pt>
                <c:pt idx="1814">
                  <c:v>52036</c:v>
                </c:pt>
                <c:pt idx="1815">
                  <c:v>52043</c:v>
                </c:pt>
                <c:pt idx="1816">
                  <c:v>52050</c:v>
                </c:pt>
                <c:pt idx="1817">
                  <c:v>52057</c:v>
                </c:pt>
                <c:pt idx="1818">
                  <c:v>52064</c:v>
                </c:pt>
                <c:pt idx="1819">
                  <c:v>52071</c:v>
                </c:pt>
                <c:pt idx="1820">
                  <c:v>52078</c:v>
                </c:pt>
                <c:pt idx="1821">
                  <c:v>52085</c:v>
                </c:pt>
                <c:pt idx="1822">
                  <c:v>52092</c:v>
                </c:pt>
                <c:pt idx="1823">
                  <c:v>52099</c:v>
                </c:pt>
                <c:pt idx="1824">
                  <c:v>52106</c:v>
                </c:pt>
                <c:pt idx="1825">
                  <c:v>52113</c:v>
                </c:pt>
                <c:pt idx="1826">
                  <c:v>52120</c:v>
                </c:pt>
                <c:pt idx="1827">
                  <c:v>52127</c:v>
                </c:pt>
                <c:pt idx="1828">
                  <c:v>52134</c:v>
                </c:pt>
                <c:pt idx="1829">
                  <c:v>52141</c:v>
                </c:pt>
                <c:pt idx="1830">
                  <c:v>52148</c:v>
                </c:pt>
                <c:pt idx="1831">
                  <c:v>52155</c:v>
                </c:pt>
                <c:pt idx="1832">
                  <c:v>52162</c:v>
                </c:pt>
                <c:pt idx="1833">
                  <c:v>52169</c:v>
                </c:pt>
                <c:pt idx="1834">
                  <c:v>52176</c:v>
                </c:pt>
                <c:pt idx="1835">
                  <c:v>52183</c:v>
                </c:pt>
                <c:pt idx="1836">
                  <c:v>52190</c:v>
                </c:pt>
                <c:pt idx="1837">
                  <c:v>52197</c:v>
                </c:pt>
                <c:pt idx="1838">
                  <c:v>52204</c:v>
                </c:pt>
                <c:pt idx="1839">
                  <c:v>52211</c:v>
                </c:pt>
                <c:pt idx="1840">
                  <c:v>52218</c:v>
                </c:pt>
                <c:pt idx="1841">
                  <c:v>52229</c:v>
                </c:pt>
                <c:pt idx="1842">
                  <c:v>52233</c:v>
                </c:pt>
                <c:pt idx="1843">
                  <c:v>52239</c:v>
                </c:pt>
                <c:pt idx="1844">
                  <c:v>52246</c:v>
                </c:pt>
                <c:pt idx="1845">
                  <c:v>52253</c:v>
                </c:pt>
                <c:pt idx="1846">
                  <c:v>52260</c:v>
                </c:pt>
                <c:pt idx="1847">
                  <c:v>52267</c:v>
                </c:pt>
                <c:pt idx="1848">
                  <c:v>52274</c:v>
                </c:pt>
                <c:pt idx="1849">
                  <c:v>52281</c:v>
                </c:pt>
                <c:pt idx="1850">
                  <c:v>52288</c:v>
                </c:pt>
                <c:pt idx="1851">
                  <c:v>52295</c:v>
                </c:pt>
                <c:pt idx="1852">
                  <c:v>52302</c:v>
                </c:pt>
                <c:pt idx="1853">
                  <c:v>52309</c:v>
                </c:pt>
                <c:pt idx="1854">
                  <c:v>52316</c:v>
                </c:pt>
                <c:pt idx="1855">
                  <c:v>52323</c:v>
                </c:pt>
                <c:pt idx="1856">
                  <c:v>52330</c:v>
                </c:pt>
                <c:pt idx="1857">
                  <c:v>52337</c:v>
                </c:pt>
                <c:pt idx="1858">
                  <c:v>52344</c:v>
                </c:pt>
                <c:pt idx="1859">
                  <c:v>52351</c:v>
                </c:pt>
                <c:pt idx="1860">
                  <c:v>52358</c:v>
                </c:pt>
                <c:pt idx="1861">
                  <c:v>52365</c:v>
                </c:pt>
                <c:pt idx="1862">
                  <c:v>52372</c:v>
                </c:pt>
                <c:pt idx="1863">
                  <c:v>52379</c:v>
                </c:pt>
                <c:pt idx="1864">
                  <c:v>52386</c:v>
                </c:pt>
                <c:pt idx="1865">
                  <c:v>52393</c:v>
                </c:pt>
                <c:pt idx="1866">
                  <c:v>52400</c:v>
                </c:pt>
                <c:pt idx="1867">
                  <c:v>52407</c:v>
                </c:pt>
                <c:pt idx="1868">
                  <c:v>52414</c:v>
                </c:pt>
                <c:pt idx="1869">
                  <c:v>52421</c:v>
                </c:pt>
                <c:pt idx="1870">
                  <c:v>52428</c:v>
                </c:pt>
                <c:pt idx="1871">
                  <c:v>52435</c:v>
                </c:pt>
                <c:pt idx="1872">
                  <c:v>52442</c:v>
                </c:pt>
                <c:pt idx="1873">
                  <c:v>52449</c:v>
                </c:pt>
                <c:pt idx="1874">
                  <c:v>52456</c:v>
                </c:pt>
                <c:pt idx="1875">
                  <c:v>52463</c:v>
                </c:pt>
                <c:pt idx="1876">
                  <c:v>52470</c:v>
                </c:pt>
                <c:pt idx="1877">
                  <c:v>52477</c:v>
                </c:pt>
                <c:pt idx="1878">
                  <c:v>52484</c:v>
                </c:pt>
                <c:pt idx="1879">
                  <c:v>52491</c:v>
                </c:pt>
                <c:pt idx="1880">
                  <c:v>52498</c:v>
                </c:pt>
                <c:pt idx="1881">
                  <c:v>52505</c:v>
                </c:pt>
                <c:pt idx="1882">
                  <c:v>52512</c:v>
                </c:pt>
                <c:pt idx="1883">
                  <c:v>52519</c:v>
                </c:pt>
                <c:pt idx="1884">
                  <c:v>52526</c:v>
                </c:pt>
                <c:pt idx="1885">
                  <c:v>52533</c:v>
                </c:pt>
                <c:pt idx="1886">
                  <c:v>52540</c:v>
                </c:pt>
                <c:pt idx="1887">
                  <c:v>52547</c:v>
                </c:pt>
                <c:pt idx="1888">
                  <c:v>52554</c:v>
                </c:pt>
                <c:pt idx="1889">
                  <c:v>52561</c:v>
                </c:pt>
                <c:pt idx="1890">
                  <c:v>52568</c:v>
                </c:pt>
                <c:pt idx="1891">
                  <c:v>52575</c:v>
                </c:pt>
                <c:pt idx="1892">
                  <c:v>52582</c:v>
                </c:pt>
                <c:pt idx="1893">
                  <c:v>52589</c:v>
                </c:pt>
                <c:pt idx="1894">
                  <c:v>52596</c:v>
                </c:pt>
                <c:pt idx="1895">
                  <c:v>52603</c:v>
                </c:pt>
                <c:pt idx="1896">
                  <c:v>52610</c:v>
                </c:pt>
                <c:pt idx="1897">
                  <c:v>52617</c:v>
                </c:pt>
                <c:pt idx="1898">
                  <c:v>52624</c:v>
                </c:pt>
                <c:pt idx="1899">
                  <c:v>52631</c:v>
                </c:pt>
                <c:pt idx="1900">
                  <c:v>52638</c:v>
                </c:pt>
                <c:pt idx="1901">
                  <c:v>52645</c:v>
                </c:pt>
                <c:pt idx="1902">
                  <c:v>52652</c:v>
                </c:pt>
                <c:pt idx="1903">
                  <c:v>52659</c:v>
                </c:pt>
                <c:pt idx="1904">
                  <c:v>52666</c:v>
                </c:pt>
                <c:pt idx="1905">
                  <c:v>52673</c:v>
                </c:pt>
                <c:pt idx="1906">
                  <c:v>52680</c:v>
                </c:pt>
                <c:pt idx="1907">
                  <c:v>52687</c:v>
                </c:pt>
                <c:pt idx="1908">
                  <c:v>52694</c:v>
                </c:pt>
                <c:pt idx="1909">
                  <c:v>52701</c:v>
                </c:pt>
                <c:pt idx="1910">
                  <c:v>52708</c:v>
                </c:pt>
                <c:pt idx="1911">
                  <c:v>52715</c:v>
                </c:pt>
                <c:pt idx="1912">
                  <c:v>52722</c:v>
                </c:pt>
                <c:pt idx="1913">
                  <c:v>52729</c:v>
                </c:pt>
                <c:pt idx="1914">
                  <c:v>52736</c:v>
                </c:pt>
                <c:pt idx="1915">
                  <c:v>52743</c:v>
                </c:pt>
                <c:pt idx="1916">
                  <c:v>52750</c:v>
                </c:pt>
                <c:pt idx="1917">
                  <c:v>52757</c:v>
                </c:pt>
                <c:pt idx="1918">
                  <c:v>52764</c:v>
                </c:pt>
                <c:pt idx="1919">
                  <c:v>52771</c:v>
                </c:pt>
                <c:pt idx="1920">
                  <c:v>52778</c:v>
                </c:pt>
                <c:pt idx="1921">
                  <c:v>52785</c:v>
                </c:pt>
                <c:pt idx="1922">
                  <c:v>52792</c:v>
                </c:pt>
                <c:pt idx="1923">
                  <c:v>52799</c:v>
                </c:pt>
                <c:pt idx="1924">
                  <c:v>52806</c:v>
                </c:pt>
                <c:pt idx="1925">
                  <c:v>52813</c:v>
                </c:pt>
                <c:pt idx="1926">
                  <c:v>52820</c:v>
                </c:pt>
                <c:pt idx="1927">
                  <c:v>52827</c:v>
                </c:pt>
                <c:pt idx="1928">
                  <c:v>52834</c:v>
                </c:pt>
                <c:pt idx="1929">
                  <c:v>52841</c:v>
                </c:pt>
                <c:pt idx="1930">
                  <c:v>52848</c:v>
                </c:pt>
                <c:pt idx="1931">
                  <c:v>52855</c:v>
                </c:pt>
                <c:pt idx="1932">
                  <c:v>52862</c:v>
                </c:pt>
                <c:pt idx="1933">
                  <c:v>52869</c:v>
                </c:pt>
                <c:pt idx="1934">
                  <c:v>52876</c:v>
                </c:pt>
                <c:pt idx="1935">
                  <c:v>52883</c:v>
                </c:pt>
                <c:pt idx="1936">
                  <c:v>52890</c:v>
                </c:pt>
                <c:pt idx="1937">
                  <c:v>52897</c:v>
                </c:pt>
                <c:pt idx="1938">
                  <c:v>52904</c:v>
                </c:pt>
                <c:pt idx="1939">
                  <c:v>52911</c:v>
                </c:pt>
                <c:pt idx="1940">
                  <c:v>52918</c:v>
                </c:pt>
                <c:pt idx="1941">
                  <c:v>52925</c:v>
                </c:pt>
                <c:pt idx="1942">
                  <c:v>52932</c:v>
                </c:pt>
                <c:pt idx="1943">
                  <c:v>52939</c:v>
                </c:pt>
                <c:pt idx="1944">
                  <c:v>52946</c:v>
                </c:pt>
                <c:pt idx="1945">
                  <c:v>52953</c:v>
                </c:pt>
                <c:pt idx="1946">
                  <c:v>52960</c:v>
                </c:pt>
                <c:pt idx="1947">
                  <c:v>52967</c:v>
                </c:pt>
                <c:pt idx="1948">
                  <c:v>52974</c:v>
                </c:pt>
                <c:pt idx="1949">
                  <c:v>52981</c:v>
                </c:pt>
                <c:pt idx="1950">
                  <c:v>52988</c:v>
                </c:pt>
                <c:pt idx="1951">
                  <c:v>52995</c:v>
                </c:pt>
                <c:pt idx="1952">
                  <c:v>53002</c:v>
                </c:pt>
                <c:pt idx="1953">
                  <c:v>53009</c:v>
                </c:pt>
                <c:pt idx="1954">
                  <c:v>53016</c:v>
                </c:pt>
                <c:pt idx="1955">
                  <c:v>53023</c:v>
                </c:pt>
                <c:pt idx="1956">
                  <c:v>53030</c:v>
                </c:pt>
                <c:pt idx="1957">
                  <c:v>53037</c:v>
                </c:pt>
                <c:pt idx="1958">
                  <c:v>53044</c:v>
                </c:pt>
                <c:pt idx="1959">
                  <c:v>53051</c:v>
                </c:pt>
                <c:pt idx="1960">
                  <c:v>53058</c:v>
                </c:pt>
                <c:pt idx="1961">
                  <c:v>53065</c:v>
                </c:pt>
                <c:pt idx="1962">
                  <c:v>53072</c:v>
                </c:pt>
                <c:pt idx="1963">
                  <c:v>53079</c:v>
                </c:pt>
                <c:pt idx="1964">
                  <c:v>53086</c:v>
                </c:pt>
                <c:pt idx="1965">
                  <c:v>53093</c:v>
                </c:pt>
                <c:pt idx="1966">
                  <c:v>53100</c:v>
                </c:pt>
                <c:pt idx="1967">
                  <c:v>53107</c:v>
                </c:pt>
                <c:pt idx="1968">
                  <c:v>53114</c:v>
                </c:pt>
                <c:pt idx="1969">
                  <c:v>53121</c:v>
                </c:pt>
                <c:pt idx="1970">
                  <c:v>53128</c:v>
                </c:pt>
                <c:pt idx="1971">
                  <c:v>53135</c:v>
                </c:pt>
                <c:pt idx="1972">
                  <c:v>53142</c:v>
                </c:pt>
                <c:pt idx="1973">
                  <c:v>53149</c:v>
                </c:pt>
                <c:pt idx="1974">
                  <c:v>53156</c:v>
                </c:pt>
                <c:pt idx="1975">
                  <c:v>53163</c:v>
                </c:pt>
                <c:pt idx="1976">
                  <c:v>53170</c:v>
                </c:pt>
                <c:pt idx="1977">
                  <c:v>53177</c:v>
                </c:pt>
                <c:pt idx="1978">
                  <c:v>53184</c:v>
                </c:pt>
                <c:pt idx="1979">
                  <c:v>53191</c:v>
                </c:pt>
                <c:pt idx="1980">
                  <c:v>53198</c:v>
                </c:pt>
                <c:pt idx="1981">
                  <c:v>53205</c:v>
                </c:pt>
                <c:pt idx="1982">
                  <c:v>53212</c:v>
                </c:pt>
                <c:pt idx="1983">
                  <c:v>53219</c:v>
                </c:pt>
                <c:pt idx="1984">
                  <c:v>53226</c:v>
                </c:pt>
                <c:pt idx="1985">
                  <c:v>53233</c:v>
                </c:pt>
                <c:pt idx="1986">
                  <c:v>53240</c:v>
                </c:pt>
                <c:pt idx="1987">
                  <c:v>53247</c:v>
                </c:pt>
                <c:pt idx="1988">
                  <c:v>53254</c:v>
                </c:pt>
                <c:pt idx="1989">
                  <c:v>53261</c:v>
                </c:pt>
                <c:pt idx="1990">
                  <c:v>53268</c:v>
                </c:pt>
                <c:pt idx="1991">
                  <c:v>53275</c:v>
                </c:pt>
                <c:pt idx="1992">
                  <c:v>53282</c:v>
                </c:pt>
                <c:pt idx="1993">
                  <c:v>53289</c:v>
                </c:pt>
                <c:pt idx="1994">
                  <c:v>53296</c:v>
                </c:pt>
                <c:pt idx="1995">
                  <c:v>53303</c:v>
                </c:pt>
                <c:pt idx="1996">
                  <c:v>53310</c:v>
                </c:pt>
                <c:pt idx="1997">
                  <c:v>53317</c:v>
                </c:pt>
                <c:pt idx="1998">
                  <c:v>53325</c:v>
                </c:pt>
                <c:pt idx="1999">
                  <c:v>53332</c:v>
                </c:pt>
                <c:pt idx="2000">
                  <c:v>53339</c:v>
                </c:pt>
                <c:pt idx="2001">
                  <c:v>53346</c:v>
                </c:pt>
                <c:pt idx="2002">
                  <c:v>53353</c:v>
                </c:pt>
                <c:pt idx="2003">
                  <c:v>53360</c:v>
                </c:pt>
                <c:pt idx="2004">
                  <c:v>53367</c:v>
                </c:pt>
                <c:pt idx="2005">
                  <c:v>53374</c:v>
                </c:pt>
                <c:pt idx="2006">
                  <c:v>53381</c:v>
                </c:pt>
                <c:pt idx="2007">
                  <c:v>53388</c:v>
                </c:pt>
                <c:pt idx="2008">
                  <c:v>53395</c:v>
                </c:pt>
                <c:pt idx="2009">
                  <c:v>53402</c:v>
                </c:pt>
                <c:pt idx="2010">
                  <c:v>53413</c:v>
                </c:pt>
                <c:pt idx="2011">
                  <c:v>53416</c:v>
                </c:pt>
                <c:pt idx="2012">
                  <c:v>53423</c:v>
                </c:pt>
                <c:pt idx="2013">
                  <c:v>53430</c:v>
                </c:pt>
                <c:pt idx="2014">
                  <c:v>53437</c:v>
                </c:pt>
                <c:pt idx="2015">
                  <c:v>53444</c:v>
                </c:pt>
                <c:pt idx="2016">
                  <c:v>53451</c:v>
                </c:pt>
                <c:pt idx="2017">
                  <c:v>53458</c:v>
                </c:pt>
                <c:pt idx="2018">
                  <c:v>53465</c:v>
                </c:pt>
                <c:pt idx="2019">
                  <c:v>53472</c:v>
                </c:pt>
                <c:pt idx="2020">
                  <c:v>53479</c:v>
                </c:pt>
                <c:pt idx="2021">
                  <c:v>53486</c:v>
                </c:pt>
                <c:pt idx="2022">
                  <c:v>53493</c:v>
                </c:pt>
                <c:pt idx="2023">
                  <c:v>53500</c:v>
                </c:pt>
                <c:pt idx="2024">
                  <c:v>53507</c:v>
                </c:pt>
                <c:pt idx="2025">
                  <c:v>53514</c:v>
                </c:pt>
                <c:pt idx="2026">
                  <c:v>53521</c:v>
                </c:pt>
                <c:pt idx="2027">
                  <c:v>53528</c:v>
                </c:pt>
                <c:pt idx="2028">
                  <c:v>53535</c:v>
                </c:pt>
                <c:pt idx="2029">
                  <c:v>53542</c:v>
                </c:pt>
                <c:pt idx="2030">
                  <c:v>53549</c:v>
                </c:pt>
                <c:pt idx="2031">
                  <c:v>53556</c:v>
                </c:pt>
                <c:pt idx="2032">
                  <c:v>53563</c:v>
                </c:pt>
                <c:pt idx="2033">
                  <c:v>53570</c:v>
                </c:pt>
                <c:pt idx="2034">
                  <c:v>53577</c:v>
                </c:pt>
                <c:pt idx="2035">
                  <c:v>53584</c:v>
                </c:pt>
                <c:pt idx="2036">
                  <c:v>53591</c:v>
                </c:pt>
                <c:pt idx="2037">
                  <c:v>53598</c:v>
                </c:pt>
                <c:pt idx="2038">
                  <c:v>53605</c:v>
                </c:pt>
                <c:pt idx="2039">
                  <c:v>53612</c:v>
                </c:pt>
                <c:pt idx="2040">
                  <c:v>53619</c:v>
                </c:pt>
                <c:pt idx="2041">
                  <c:v>53626</c:v>
                </c:pt>
                <c:pt idx="2042">
                  <c:v>53633</c:v>
                </c:pt>
                <c:pt idx="2043">
                  <c:v>53640</c:v>
                </c:pt>
                <c:pt idx="2044">
                  <c:v>53647</c:v>
                </c:pt>
                <c:pt idx="2045">
                  <c:v>53654</c:v>
                </c:pt>
                <c:pt idx="2046">
                  <c:v>53661</c:v>
                </c:pt>
                <c:pt idx="2047">
                  <c:v>53668</c:v>
                </c:pt>
                <c:pt idx="2048">
                  <c:v>53675</c:v>
                </c:pt>
                <c:pt idx="2049">
                  <c:v>53682</c:v>
                </c:pt>
                <c:pt idx="2050">
                  <c:v>53692</c:v>
                </c:pt>
                <c:pt idx="2051">
                  <c:v>53699</c:v>
                </c:pt>
                <c:pt idx="2052">
                  <c:v>53706</c:v>
                </c:pt>
                <c:pt idx="2053">
                  <c:v>53713</c:v>
                </c:pt>
                <c:pt idx="2054">
                  <c:v>53720</c:v>
                </c:pt>
                <c:pt idx="2055">
                  <c:v>53727</c:v>
                </c:pt>
                <c:pt idx="2056">
                  <c:v>53734</c:v>
                </c:pt>
                <c:pt idx="2057">
                  <c:v>53741</c:v>
                </c:pt>
                <c:pt idx="2058">
                  <c:v>53748</c:v>
                </c:pt>
                <c:pt idx="2059">
                  <c:v>53755</c:v>
                </c:pt>
                <c:pt idx="2060">
                  <c:v>53762</c:v>
                </c:pt>
                <c:pt idx="2061">
                  <c:v>53769</c:v>
                </c:pt>
                <c:pt idx="2062">
                  <c:v>53776</c:v>
                </c:pt>
                <c:pt idx="2063">
                  <c:v>53783</c:v>
                </c:pt>
                <c:pt idx="2064">
                  <c:v>53790</c:v>
                </c:pt>
                <c:pt idx="2065">
                  <c:v>53799</c:v>
                </c:pt>
                <c:pt idx="2066">
                  <c:v>53804</c:v>
                </c:pt>
                <c:pt idx="2067">
                  <c:v>53811</c:v>
                </c:pt>
                <c:pt idx="2068">
                  <c:v>53818</c:v>
                </c:pt>
                <c:pt idx="2069">
                  <c:v>53825</c:v>
                </c:pt>
                <c:pt idx="2070">
                  <c:v>53832</c:v>
                </c:pt>
                <c:pt idx="2071">
                  <c:v>53839</c:v>
                </c:pt>
                <c:pt idx="2072">
                  <c:v>53846</c:v>
                </c:pt>
                <c:pt idx="2073">
                  <c:v>53853</c:v>
                </c:pt>
                <c:pt idx="2074">
                  <c:v>53860</c:v>
                </c:pt>
                <c:pt idx="2075">
                  <c:v>53867</c:v>
                </c:pt>
                <c:pt idx="2076">
                  <c:v>53874</c:v>
                </c:pt>
                <c:pt idx="2077">
                  <c:v>53881</c:v>
                </c:pt>
                <c:pt idx="2078">
                  <c:v>53888</c:v>
                </c:pt>
                <c:pt idx="2079">
                  <c:v>53895</c:v>
                </c:pt>
                <c:pt idx="2080">
                  <c:v>53902</c:v>
                </c:pt>
                <c:pt idx="2081">
                  <c:v>53909</c:v>
                </c:pt>
                <c:pt idx="2082">
                  <c:v>53916</c:v>
                </c:pt>
                <c:pt idx="2083">
                  <c:v>53923</c:v>
                </c:pt>
                <c:pt idx="2084">
                  <c:v>53930</c:v>
                </c:pt>
                <c:pt idx="2085">
                  <c:v>53937</c:v>
                </c:pt>
                <c:pt idx="2086">
                  <c:v>53944</c:v>
                </c:pt>
                <c:pt idx="2087">
                  <c:v>53951</c:v>
                </c:pt>
                <c:pt idx="2088">
                  <c:v>53958</c:v>
                </c:pt>
                <c:pt idx="2089">
                  <c:v>53965</c:v>
                </c:pt>
                <c:pt idx="2090">
                  <c:v>53972</c:v>
                </c:pt>
                <c:pt idx="2091">
                  <c:v>53979</c:v>
                </c:pt>
                <c:pt idx="2092">
                  <c:v>53986</c:v>
                </c:pt>
                <c:pt idx="2093">
                  <c:v>53993</c:v>
                </c:pt>
                <c:pt idx="2094">
                  <c:v>54000</c:v>
                </c:pt>
                <c:pt idx="2095">
                  <c:v>54007</c:v>
                </c:pt>
                <c:pt idx="2096">
                  <c:v>54014</c:v>
                </c:pt>
                <c:pt idx="2097">
                  <c:v>54021</c:v>
                </c:pt>
                <c:pt idx="2098">
                  <c:v>54028</c:v>
                </c:pt>
                <c:pt idx="2099">
                  <c:v>54035</c:v>
                </c:pt>
                <c:pt idx="2100">
                  <c:v>54042</c:v>
                </c:pt>
                <c:pt idx="2101">
                  <c:v>54049</c:v>
                </c:pt>
                <c:pt idx="2102">
                  <c:v>54057</c:v>
                </c:pt>
                <c:pt idx="2103">
                  <c:v>54064</c:v>
                </c:pt>
                <c:pt idx="2104">
                  <c:v>54071</c:v>
                </c:pt>
                <c:pt idx="2105">
                  <c:v>54078</c:v>
                </c:pt>
                <c:pt idx="2106">
                  <c:v>54085</c:v>
                </c:pt>
                <c:pt idx="2107">
                  <c:v>54092</c:v>
                </c:pt>
                <c:pt idx="2108">
                  <c:v>54099</c:v>
                </c:pt>
                <c:pt idx="2109">
                  <c:v>54106</c:v>
                </c:pt>
                <c:pt idx="2110">
                  <c:v>54113</c:v>
                </c:pt>
                <c:pt idx="2111">
                  <c:v>54120</c:v>
                </c:pt>
                <c:pt idx="2112">
                  <c:v>54127</c:v>
                </c:pt>
                <c:pt idx="2113">
                  <c:v>54134</c:v>
                </c:pt>
                <c:pt idx="2114">
                  <c:v>54141</c:v>
                </c:pt>
                <c:pt idx="2115">
                  <c:v>54148</c:v>
                </c:pt>
                <c:pt idx="2116">
                  <c:v>54157</c:v>
                </c:pt>
                <c:pt idx="2117">
                  <c:v>54164</c:v>
                </c:pt>
                <c:pt idx="2118">
                  <c:v>54171</c:v>
                </c:pt>
                <c:pt idx="2119">
                  <c:v>54178</c:v>
                </c:pt>
                <c:pt idx="2120">
                  <c:v>54185</c:v>
                </c:pt>
                <c:pt idx="2121">
                  <c:v>54192</c:v>
                </c:pt>
                <c:pt idx="2122">
                  <c:v>54199</c:v>
                </c:pt>
                <c:pt idx="2123">
                  <c:v>54206</c:v>
                </c:pt>
                <c:pt idx="2124">
                  <c:v>54213</c:v>
                </c:pt>
                <c:pt idx="2125">
                  <c:v>54220</c:v>
                </c:pt>
                <c:pt idx="2126">
                  <c:v>54227</c:v>
                </c:pt>
                <c:pt idx="2127">
                  <c:v>54234</c:v>
                </c:pt>
                <c:pt idx="2128">
                  <c:v>54241</c:v>
                </c:pt>
                <c:pt idx="2129">
                  <c:v>54248</c:v>
                </c:pt>
                <c:pt idx="2130">
                  <c:v>54255</c:v>
                </c:pt>
                <c:pt idx="2131">
                  <c:v>54262</c:v>
                </c:pt>
                <c:pt idx="2132">
                  <c:v>54269</c:v>
                </c:pt>
                <c:pt idx="2133">
                  <c:v>54276</c:v>
                </c:pt>
                <c:pt idx="2134">
                  <c:v>54283</c:v>
                </c:pt>
                <c:pt idx="2135">
                  <c:v>54290</c:v>
                </c:pt>
                <c:pt idx="2136">
                  <c:v>54297</c:v>
                </c:pt>
                <c:pt idx="2137">
                  <c:v>54304</c:v>
                </c:pt>
                <c:pt idx="2138">
                  <c:v>54311</c:v>
                </c:pt>
                <c:pt idx="2139">
                  <c:v>54318</c:v>
                </c:pt>
                <c:pt idx="2140">
                  <c:v>54325</c:v>
                </c:pt>
                <c:pt idx="2141">
                  <c:v>54332</c:v>
                </c:pt>
                <c:pt idx="2142">
                  <c:v>54339</c:v>
                </c:pt>
                <c:pt idx="2143">
                  <c:v>54346</c:v>
                </c:pt>
                <c:pt idx="2144">
                  <c:v>54353</c:v>
                </c:pt>
                <c:pt idx="2145">
                  <c:v>54360</c:v>
                </c:pt>
                <c:pt idx="2146">
                  <c:v>54367</c:v>
                </c:pt>
                <c:pt idx="2147">
                  <c:v>54374</c:v>
                </c:pt>
                <c:pt idx="2148">
                  <c:v>54381</c:v>
                </c:pt>
                <c:pt idx="2149">
                  <c:v>54388</c:v>
                </c:pt>
                <c:pt idx="2150">
                  <c:v>54395</c:v>
                </c:pt>
                <c:pt idx="2151">
                  <c:v>54402</c:v>
                </c:pt>
                <c:pt idx="2152">
                  <c:v>54409</c:v>
                </c:pt>
                <c:pt idx="2153">
                  <c:v>54416</c:v>
                </c:pt>
                <c:pt idx="2154">
                  <c:v>54423</c:v>
                </c:pt>
                <c:pt idx="2155">
                  <c:v>54430</c:v>
                </c:pt>
                <c:pt idx="2156">
                  <c:v>54437</c:v>
                </c:pt>
                <c:pt idx="2157">
                  <c:v>54444</c:v>
                </c:pt>
                <c:pt idx="2158">
                  <c:v>54451</c:v>
                </c:pt>
                <c:pt idx="2159">
                  <c:v>54458</c:v>
                </c:pt>
                <c:pt idx="2160">
                  <c:v>54465</c:v>
                </c:pt>
                <c:pt idx="2161">
                  <c:v>54472</c:v>
                </c:pt>
                <c:pt idx="2162">
                  <c:v>54479</c:v>
                </c:pt>
                <c:pt idx="2163">
                  <c:v>54486</c:v>
                </c:pt>
                <c:pt idx="2164">
                  <c:v>54493</c:v>
                </c:pt>
                <c:pt idx="2165">
                  <c:v>54500</c:v>
                </c:pt>
                <c:pt idx="2166">
                  <c:v>54507</c:v>
                </c:pt>
                <c:pt idx="2167">
                  <c:v>54514</c:v>
                </c:pt>
                <c:pt idx="2168">
                  <c:v>54521</c:v>
                </c:pt>
                <c:pt idx="2169">
                  <c:v>54528</c:v>
                </c:pt>
                <c:pt idx="2170">
                  <c:v>54535</c:v>
                </c:pt>
                <c:pt idx="2171">
                  <c:v>54542</c:v>
                </c:pt>
                <c:pt idx="2172">
                  <c:v>54549</c:v>
                </c:pt>
                <c:pt idx="2173">
                  <c:v>54556</c:v>
                </c:pt>
                <c:pt idx="2174">
                  <c:v>54563</c:v>
                </c:pt>
                <c:pt idx="2175">
                  <c:v>54570</c:v>
                </c:pt>
                <c:pt idx="2176">
                  <c:v>54577</c:v>
                </c:pt>
                <c:pt idx="2177">
                  <c:v>54584</c:v>
                </c:pt>
                <c:pt idx="2178">
                  <c:v>54591</c:v>
                </c:pt>
                <c:pt idx="2179">
                  <c:v>54598</c:v>
                </c:pt>
                <c:pt idx="2180">
                  <c:v>54605</c:v>
                </c:pt>
                <c:pt idx="2181">
                  <c:v>54612</c:v>
                </c:pt>
                <c:pt idx="2182">
                  <c:v>54619</c:v>
                </c:pt>
                <c:pt idx="2183">
                  <c:v>54626</c:v>
                </c:pt>
                <c:pt idx="2184">
                  <c:v>54633</c:v>
                </c:pt>
                <c:pt idx="2185">
                  <c:v>54640</c:v>
                </c:pt>
                <c:pt idx="2186">
                  <c:v>54647</c:v>
                </c:pt>
                <c:pt idx="2187">
                  <c:v>54654</c:v>
                </c:pt>
                <c:pt idx="2188">
                  <c:v>54661</c:v>
                </c:pt>
                <c:pt idx="2189">
                  <c:v>54668</c:v>
                </c:pt>
                <c:pt idx="2190">
                  <c:v>54675</c:v>
                </c:pt>
                <c:pt idx="2191">
                  <c:v>54682</c:v>
                </c:pt>
                <c:pt idx="2192">
                  <c:v>54689</c:v>
                </c:pt>
                <c:pt idx="2193">
                  <c:v>54696</c:v>
                </c:pt>
                <c:pt idx="2194">
                  <c:v>54703</c:v>
                </c:pt>
                <c:pt idx="2195">
                  <c:v>54710</c:v>
                </c:pt>
                <c:pt idx="2196">
                  <c:v>54717</c:v>
                </c:pt>
                <c:pt idx="2197">
                  <c:v>54724</c:v>
                </c:pt>
                <c:pt idx="2198">
                  <c:v>54731</c:v>
                </c:pt>
                <c:pt idx="2199">
                  <c:v>54738</c:v>
                </c:pt>
                <c:pt idx="2200">
                  <c:v>54745</c:v>
                </c:pt>
                <c:pt idx="2201">
                  <c:v>54752</c:v>
                </c:pt>
                <c:pt idx="2202">
                  <c:v>54759</c:v>
                </c:pt>
                <c:pt idx="2203">
                  <c:v>54766</c:v>
                </c:pt>
                <c:pt idx="2204">
                  <c:v>54773</c:v>
                </c:pt>
                <c:pt idx="2205">
                  <c:v>54780</c:v>
                </c:pt>
                <c:pt idx="2206">
                  <c:v>54787</c:v>
                </c:pt>
                <c:pt idx="2207">
                  <c:v>54794</c:v>
                </c:pt>
                <c:pt idx="2208">
                  <c:v>54801</c:v>
                </c:pt>
                <c:pt idx="2209">
                  <c:v>54808</c:v>
                </c:pt>
                <c:pt idx="2210">
                  <c:v>54815</c:v>
                </c:pt>
                <c:pt idx="2211">
                  <c:v>54822</c:v>
                </c:pt>
                <c:pt idx="2212">
                  <c:v>54829</c:v>
                </c:pt>
                <c:pt idx="2213">
                  <c:v>54836</c:v>
                </c:pt>
                <c:pt idx="2214">
                  <c:v>54843</c:v>
                </c:pt>
                <c:pt idx="2215">
                  <c:v>54850</c:v>
                </c:pt>
                <c:pt idx="2216">
                  <c:v>54857</c:v>
                </c:pt>
                <c:pt idx="2217">
                  <c:v>54864</c:v>
                </c:pt>
                <c:pt idx="2218">
                  <c:v>54871</c:v>
                </c:pt>
                <c:pt idx="2219">
                  <c:v>54878</c:v>
                </c:pt>
                <c:pt idx="2220">
                  <c:v>54885</c:v>
                </c:pt>
                <c:pt idx="2221">
                  <c:v>54892</c:v>
                </c:pt>
                <c:pt idx="2222">
                  <c:v>54899</c:v>
                </c:pt>
                <c:pt idx="2223">
                  <c:v>54906</c:v>
                </c:pt>
                <c:pt idx="2224">
                  <c:v>54913</c:v>
                </c:pt>
                <c:pt idx="2225">
                  <c:v>54920</c:v>
                </c:pt>
                <c:pt idx="2226">
                  <c:v>54927</c:v>
                </c:pt>
                <c:pt idx="2227">
                  <c:v>54934</c:v>
                </c:pt>
                <c:pt idx="2228">
                  <c:v>54941</c:v>
                </c:pt>
                <c:pt idx="2229">
                  <c:v>54948</c:v>
                </c:pt>
                <c:pt idx="2230">
                  <c:v>54955</c:v>
                </c:pt>
                <c:pt idx="2231">
                  <c:v>54962</c:v>
                </c:pt>
                <c:pt idx="2232">
                  <c:v>54969</c:v>
                </c:pt>
                <c:pt idx="2233">
                  <c:v>54976</c:v>
                </c:pt>
                <c:pt idx="2234">
                  <c:v>54983</c:v>
                </c:pt>
                <c:pt idx="2235">
                  <c:v>54990</c:v>
                </c:pt>
                <c:pt idx="2236">
                  <c:v>54997</c:v>
                </c:pt>
                <c:pt idx="2237">
                  <c:v>55004</c:v>
                </c:pt>
                <c:pt idx="2238">
                  <c:v>55011</c:v>
                </c:pt>
                <c:pt idx="2239">
                  <c:v>55018</c:v>
                </c:pt>
                <c:pt idx="2240">
                  <c:v>55025</c:v>
                </c:pt>
                <c:pt idx="2241">
                  <c:v>55032</c:v>
                </c:pt>
                <c:pt idx="2242">
                  <c:v>55039</c:v>
                </c:pt>
                <c:pt idx="2243">
                  <c:v>55046</c:v>
                </c:pt>
                <c:pt idx="2244">
                  <c:v>55053</c:v>
                </c:pt>
                <c:pt idx="2245">
                  <c:v>55060</c:v>
                </c:pt>
                <c:pt idx="2246">
                  <c:v>55067</c:v>
                </c:pt>
                <c:pt idx="2247">
                  <c:v>55074</c:v>
                </c:pt>
                <c:pt idx="2248">
                  <c:v>55081</c:v>
                </c:pt>
                <c:pt idx="2249">
                  <c:v>55088</c:v>
                </c:pt>
                <c:pt idx="2250">
                  <c:v>55095</c:v>
                </c:pt>
                <c:pt idx="2251">
                  <c:v>55102</c:v>
                </c:pt>
                <c:pt idx="2252">
                  <c:v>55109</c:v>
                </c:pt>
                <c:pt idx="2253">
                  <c:v>55116</c:v>
                </c:pt>
                <c:pt idx="2254">
                  <c:v>55123</c:v>
                </c:pt>
                <c:pt idx="2255">
                  <c:v>55130</c:v>
                </c:pt>
                <c:pt idx="2256">
                  <c:v>55137</c:v>
                </c:pt>
                <c:pt idx="2257">
                  <c:v>55144</c:v>
                </c:pt>
                <c:pt idx="2258">
                  <c:v>55151</c:v>
                </c:pt>
                <c:pt idx="2259">
                  <c:v>55158</c:v>
                </c:pt>
                <c:pt idx="2260">
                  <c:v>55165</c:v>
                </c:pt>
                <c:pt idx="2261">
                  <c:v>55172</c:v>
                </c:pt>
                <c:pt idx="2262">
                  <c:v>55179</c:v>
                </c:pt>
                <c:pt idx="2263">
                  <c:v>55186</c:v>
                </c:pt>
                <c:pt idx="2264">
                  <c:v>55193</c:v>
                </c:pt>
                <c:pt idx="2265">
                  <c:v>55200</c:v>
                </c:pt>
                <c:pt idx="2266">
                  <c:v>55207</c:v>
                </c:pt>
                <c:pt idx="2267">
                  <c:v>55214</c:v>
                </c:pt>
                <c:pt idx="2268">
                  <c:v>55221</c:v>
                </c:pt>
                <c:pt idx="2269">
                  <c:v>55228</c:v>
                </c:pt>
                <c:pt idx="2270">
                  <c:v>55235</c:v>
                </c:pt>
                <c:pt idx="2271">
                  <c:v>55242</c:v>
                </c:pt>
                <c:pt idx="2272">
                  <c:v>55249</c:v>
                </c:pt>
                <c:pt idx="2273">
                  <c:v>55256</c:v>
                </c:pt>
                <c:pt idx="2274">
                  <c:v>55263</c:v>
                </c:pt>
                <c:pt idx="2275">
                  <c:v>55270</c:v>
                </c:pt>
                <c:pt idx="2276">
                  <c:v>55277</c:v>
                </c:pt>
                <c:pt idx="2277">
                  <c:v>55284</c:v>
                </c:pt>
                <c:pt idx="2278">
                  <c:v>55291</c:v>
                </c:pt>
                <c:pt idx="2279">
                  <c:v>55298</c:v>
                </c:pt>
                <c:pt idx="2280">
                  <c:v>55305</c:v>
                </c:pt>
                <c:pt idx="2281">
                  <c:v>55312</c:v>
                </c:pt>
                <c:pt idx="2282">
                  <c:v>55319</c:v>
                </c:pt>
                <c:pt idx="2283">
                  <c:v>55326</c:v>
                </c:pt>
                <c:pt idx="2284">
                  <c:v>55333</c:v>
                </c:pt>
                <c:pt idx="2285">
                  <c:v>55340</c:v>
                </c:pt>
                <c:pt idx="2286">
                  <c:v>55347</c:v>
                </c:pt>
                <c:pt idx="2287">
                  <c:v>55354</c:v>
                </c:pt>
                <c:pt idx="2288">
                  <c:v>55361</c:v>
                </c:pt>
                <c:pt idx="2289">
                  <c:v>55368</c:v>
                </c:pt>
                <c:pt idx="2290">
                  <c:v>55375</c:v>
                </c:pt>
                <c:pt idx="2291">
                  <c:v>55382</c:v>
                </c:pt>
                <c:pt idx="2292">
                  <c:v>55389</c:v>
                </c:pt>
                <c:pt idx="2293">
                  <c:v>55396</c:v>
                </c:pt>
                <c:pt idx="2294">
                  <c:v>55403</c:v>
                </c:pt>
                <c:pt idx="2295">
                  <c:v>55410</c:v>
                </c:pt>
                <c:pt idx="2296">
                  <c:v>55417</c:v>
                </c:pt>
                <c:pt idx="2297">
                  <c:v>55424</c:v>
                </c:pt>
                <c:pt idx="2298">
                  <c:v>55431</c:v>
                </c:pt>
                <c:pt idx="2299">
                  <c:v>55438</c:v>
                </c:pt>
                <c:pt idx="2300">
                  <c:v>55445</c:v>
                </c:pt>
                <c:pt idx="2301">
                  <c:v>55452</c:v>
                </c:pt>
                <c:pt idx="2302">
                  <c:v>55459</c:v>
                </c:pt>
                <c:pt idx="2303">
                  <c:v>55466</c:v>
                </c:pt>
                <c:pt idx="2304">
                  <c:v>55473</c:v>
                </c:pt>
                <c:pt idx="2305">
                  <c:v>55480</c:v>
                </c:pt>
                <c:pt idx="2306">
                  <c:v>55487</c:v>
                </c:pt>
                <c:pt idx="2307">
                  <c:v>55494</c:v>
                </c:pt>
                <c:pt idx="2308">
                  <c:v>55501</c:v>
                </c:pt>
                <c:pt idx="2309">
                  <c:v>55508</c:v>
                </c:pt>
                <c:pt idx="2310">
                  <c:v>55516</c:v>
                </c:pt>
                <c:pt idx="2311">
                  <c:v>55523</c:v>
                </c:pt>
                <c:pt idx="2312">
                  <c:v>55530</c:v>
                </c:pt>
                <c:pt idx="2313">
                  <c:v>55537</c:v>
                </c:pt>
                <c:pt idx="2314">
                  <c:v>55544</c:v>
                </c:pt>
                <c:pt idx="2315">
                  <c:v>55551</c:v>
                </c:pt>
                <c:pt idx="2316">
                  <c:v>55558</c:v>
                </c:pt>
                <c:pt idx="2317">
                  <c:v>55565</c:v>
                </c:pt>
                <c:pt idx="2318">
                  <c:v>55572</c:v>
                </c:pt>
                <c:pt idx="2319">
                  <c:v>55579</c:v>
                </c:pt>
                <c:pt idx="2320">
                  <c:v>55586</c:v>
                </c:pt>
                <c:pt idx="2321">
                  <c:v>55593</c:v>
                </c:pt>
                <c:pt idx="2322">
                  <c:v>55600</c:v>
                </c:pt>
                <c:pt idx="2323">
                  <c:v>55607</c:v>
                </c:pt>
                <c:pt idx="2324">
                  <c:v>55614</c:v>
                </c:pt>
                <c:pt idx="2325">
                  <c:v>55621</c:v>
                </c:pt>
                <c:pt idx="2326">
                  <c:v>55632</c:v>
                </c:pt>
                <c:pt idx="2327">
                  <c:v>55635</c:v>
                </c:pt>
                <c:pt idx="2328">
                  <c:v>55645</c:v>
                </c:pt>
                <c:pt idx="2329">
                  <c:v>55652</c:v>
                </c:pt>
                <c:pt idx="2330">
                  <c:v>55659</c:v>
                </c:pt>
                <c:pt idx="2331">
                  <c:v>55666</c:v>
                </c:pt>
                <c:pt idx="2332">
                  <c:v>55673</c:v>
                </c:pt>
                <c:pt idx="2333">
                  <c:v>55680</c:v>
                </c:pt>
                <c:pt idx="2334">
                  <c:v>55687</c:v>
                </c:pt>
                <c:pt idx="2335">
                  <c:v>55694</c:v>
                </c:pt>
                <c:pt idx="2336">
                  <c:v>55701</c:v>
                </c:pt>
                <c:pt idx="2337">
                  <c:v>55708</c:v>
                </c:pt>
                <c:pt idx="2338">
                  <c:v>55715</c:v>
                </c:pt>
                <c:pt idx="2339">
                  <c:v>55722</c:v>
                </c:pt>
                <c:pt idx="2340">
                  <c:v>55729</c:v>
                </c:pt>
                <c:pt idx="2341">
                  <c:v>55736</c:v>
                </c:pt>
                <c:pt idx="2342">
                  <c:v>55743</c:v>
                </c:pt>
                <c:pt idx="2343">
                  <c:v>55750</c:v>
                </c:pt>
                <c:pt idx="2344">
                  <c:v>55757</c:v>
                </c:pt>
                <c:pt idx="2345">
                  <c:v>55764</c:v>
                </c:pt>
                <c:pt idx="2346">
                  <c:v>55771</c:v>
                </c:pt>
                <c:pt idx="2347">
                  <c:v>55778</c:v>
                </c:pt>
                <c:pt idx="2348">
                  <c:v>55785</c:v>
                </c:pt>
                <c:pt idx="2349">
                  <c:v>55792</c:v>
                </c:pt>
                <c:pt idx="2350">
                  <c:v>55799</c:v>
                </c:pt>
                <c:pt idx="2351">
                  <c:v>55806</c:v>
                </c:pt>
                <c:pt idx="2352">
                  <c:v>55813</c:v>
                </c:pt>
                <c:pt idx="2353">
                  <c:v>55820</c:v>
                </c:pt>
                <c:pt idx="2354">
                  <c:v>55827</c:v>
                </c:pt>
                <c:pt idx="2355">
                  <c:v>55834</c:v>
                </c:pt>
                <c:pt idx="2356">
                  <c:v>55841</c:v>
                </c:pt>
                <c:pt idx="2357">
                  <c:v>55848</c:v>
                </c:pt>
                <c:pt idx="2358">
                  <c:v>55855</c:v>
                </c:pt>
                <c:pt idx="2359">
                  <c:v>55862</c:v>
                </c:pt>
                <c:pt idx="2360">
                  <c:v>55869</c:v>
                </c:pt>
                <c:pt idx="2361">
                  <c:v>55876</c:v>
                </c:pt>
                <c:pt idx="2362">
                  <c:v>55884</c:v>
                </c:pt>
                <c:pt idx="2363">
                  <c:v>55891</c:v>
                </c:pt>
                <c:pt idx="2364">
                  <c:v>55898</c:v>
                </c:pt>
                <c:pt idx="2365">
                  <c:v>55905</c:v>
                </c:pt>
                <c:pt idx="2366">
                  <c:v>55912</c:v>
                </c:pt>
                <c:pt idx="2367">
                  <c:v>55919</c:v>
                </c:pt>
                <c:pt idx="2368">
                  <c:v>55926</c:v>
                </c:pt>
                <c:pt idx="2369">
                  <c:v>55933</c:v>
                </c:pt>
                <c:pt idx="2370">
                  <c:v>55940</c:v>
                </c:pt>
                <c:pt idx="2371">
                  <c:v>55947</c:v>
                </c:pt>
                <c:pt idx="2372">
                  <c:v>55954</c:v>
                </c:pt>
                <c:pt idx="2373">
                  <c:v>55961</c:v>
                </c:pt>
                <c:pt idx="2374">
                  <c:v>55968</c:v>
                </c:pt>
                <c:pt idx="2375">
                  <c:v>55975</c:v>
                </c:pt>
                <c:pt idx="2376">
                  <c:v>55984</c:v>
                </c:pt>
                <c:pt idx="2377">
                  <c:v>55991</c:v>
                </c:pt>
                <c:pt idx="2378">
                  <c:v>55998</c:v>
                </c:pt>
                <c:pt idx="2379">
                  <c:v>56006</c:v>
                </c:pt>
                <c:pt idx="2380">
                  <c:v>56012</c:v>
                </c:pt>
                <c:pt idx="2381">
                  <c:v>56019</c:v>
                </c:pt>
                <c:pt idx="2382">
                  <c:v>56026</c:v>
                </c:pt>
                <c:pt idx="2383">
                  <c:v>56033</c:v>
                </c:pt>
                <c:pt idx="2384">
                  <c:v>56040</c:v>
                </c:pt>
                <c:pt idx="2385">
                  <c:v>56047</c:v>
                </c:pt>
                <c:pt idx="2386">
                  <c:v>56054</c:v>
                </c:pt>
                <c:pt idx="2387">
                  <c:v>56061</c:v>
                </c:pt>
                <c:pt idx="2388">
                  <c:v>56068</c:v>
                </c:pt>
                <c:pt idx="2389">
                  <c:v>56075</c:v>
                </c:pt>
                <c:pt idx="2390">
                  <c:v>56082</c:v>
                </c:pt>
                <c:pt idx="2391">
                  <c:v>56089</c:v>
                </c:pt>
                <c:pt idx="2392">
                  <c:v>56096</c:v>
                </c:pt>
                <c:pt idx="2393">
                  <c:v>56103</c:v>
                </c:pt>
                <c:pt idx="2394">
                  <c:v>56110</c:v>
                </c:pt>
                <c:pt idx="2395">
                  <c:v>56117</c:v>
                </c:pt>
                <c:pt idx="2396">
                  <c:v>56124</c:v>
                </c:pt>
                <c:pt idx="2397">
                  <c:v>56131</c:v>
                </c:pt>
                <c:pt idx="2398">
                  <c:v>56138</c:v>
                </c:pt>
                <c:pt idx="2399">
                  <c:v>56145</c:v>
                </c:pt>
                <c:pt idx="2400">
                  <c:v>56152</c:v>
                </c:pt>
                <c:pt idx="2401">
                  <c:v>56159</c:v>
                </c:pt>
                <c:pt idx="2402">
                  <c:v>56166</c:v>
                </c:pt>
                <c:pt idx="2403">
                  <c:v>56173</c:v>
                </c:pt>
                <c:pt idx="2404">
                  <c:v>56180</c:v>
                </c:pt>
                <c:pt idx="2405">
                  <c:v>56187</c:v>
                </c:pt>
                <c:pt idx="2406">
                  <c:v>56194</c:v>
                </c:pt>
                <c:pt idx="2407">
                  <c:v>56201</c:v>
                </c:pt>
                <c:pt idx="2408">
                  <c:v>56208</c:v>
                </c:pt>
                <c:pt idx="2409">
                  <c:v>56215</c:v>
                </c:pt>
                <c:pt idx="2410">
                  <c:v>56222</c:v>
                </c:pt>
                <c:pt idx="2411">
                  <c:v>56229</c:v>
                </c:pt>
                <c:pt idx="2412">
                  <c:v>56236</c:v>
                </c:pt>
                <c:pt idx="2413">
                  <c:v>56247</c:v>
                </c:pt>
                <c:pt idx="2414">
                  <c:v>56251</c:v>
                </c:pt>
                <c:pt idx="2415">
                  <c:v>56257</c:v>
                </c:pt>
                <c:pt idx="2416">
                  <c:v>56264</c:v>
                </c:pt>
                <c:pt idx="2417">
                  <c:v>56271</c:v>
                </c:pt>
                <c:pt idx="2418">
                  <c:v>56278</c:v>
                </c:pt>
                <c:pt idx="2419">
                  <c:v>56285</c:v>
                </c:pt>
                <c:pt idx="2420">
                  <c:v>56292</c:v>
                </c:pt>
                <c:pt idx="2421">
                  <c:v>56299</c:v>
                </c:pt>
                <c:pt idx="2422">
                  <c:v>56306</c:v>
                </c:pt>
                <c:pt idx="2423">
                  <c:v>56313</c:v>
                </c:pt>
                <c:pt idx="2424">
                  <c:v>56320</c:v>
                </c:pt>
                <c:pt idx="2425">
                  <c:v>56327</c:v>
                </c:pt>
                <c:pt idx="2426">
                  <c:v>56334</c:v>
                </c:pt>
                <c:pt idx="2427">
                  <c:v>56341</c:v>
                </c:pt>
                <c:pt idx="2428">
                  <c:v>56348</c:v>
                </c:pt>
                <c:pt idx="2429">
                  <c:v>56355</c:v>
                </c:pt>
                <c:pt idx="2430">
                  <c:v>56362</c:v>
                </c:pt>
                <c:pt idx="2431">
                  <c:v>56369</c:v>
                </c:pt>
                <c:pt idx="2432">
                  <c:v>56376</c:v>
                </c:pt>
                <c:pt idx="2433">
                  <c:v>56383</c:v>
                </c:pt>
                <c:pt idx="2434">
                  <c:v>56390</c:v>
                </c:pt>
                <c:pt idx="2435">
                  <c:v>56397</c:v>
                </c:pt>
                <c:pt idx="2436">
                  <c:v>56404</c:v>
                </c:pt>
                <c:pt idx="2437">
                  <c:v>56411</c:v>
                </c:pt>
                <c:pt idx="2438">
                  <c:v>56418</c:v>
                </c:pt>
                <c:pt idx="2439">
                  <c:v>56425</c:v>
                </c:pt>
                <c:pt idx="2440">
                  <c:v>56432</c:v>
                </c:pt>
                <c:pt idx="2441">
                  <c:v>56439</c:v>
                </c:pt>
                <c:pt idx="2442">
                  <c:v>56446</c:v>
                </c:pt>
                <c:pt idx="2443">
                  <c:v>56453</c:v>
                </c:pt>
                <c:pt idx="2444">
                  <c:v>56460</c:v>
                </c:pt>
                <c:pt idx="2445">
                  <c:v>56467</c:v>
                </c:pt>
                <c:pt idx="2446">
                  <c:v>56474</c:v>
                </c:pt>
                <c:pt idx="2447">
                  <c:v>56481</c:v>
                </c:pt>
                <c:pt idx="2448">
                  <c:v>56488</c:v>
                </c:pt>
                <c:pt idx="2449">
                  <c:v>56495</c:v>
                </c:pt>
                <c:pt idx="2450">
                  <c:v>56502</c:v>
                </c:pt>
                <c:pt idx="2451">
                  <c:v>56509</c:v>
                </c:pt>
                <c:pt idx="2452">
                  <c:v>56516</c:v>
                </c:pt>
                <c:pt idx="2453">
                  <c:v>56523</c:v>
                </c:pt>
                <c:pt idx="2454">
                  <c:v>56530</c:v>
                </c:pt>
                <c:pt idx="2455">
                  <c:v>56537</c:v>
                </c:pt>
                <c:pt idx="2456">
                  <c:v>56544</c:v>
                </c:pt>
                <c:pt idx="2457">
                  <c:v>56551</c:v>
                </c:pt>
                <c:pt idx="2458">
                  <c:v>56558</c:v>
                </c:pt>
                <c:pt idx="2459">
                  <c:v>56565</c:v>
                </c:pt>
                <c:pt idx="2460">
                  <c:v>56572</c:v>
                </c:pt>
                <c:pt idx="2461">
                  <c:v>56579</c:v>
                </c:pt>
                <c:pt idx="2462">
                  <c:v>56586</c:v>
                </c:pt>
                <c:pt idx="2463">
                  <c:v>56593</c:v>
                </c:pt>
                <c:pt idx="2464">
                  <c:v>56600</c:v>
                </c:pt>
                <c:pt idx="2465">
                  <c:v>56607</c:v>
                </c:pt>
                <c:pt idx="2466">
                  <c:v>56614</c:v>
                </c:pt>
                <c:pt idx="2467">
                  <c:v>56621</c:v>
                </c:pt>
                <c:pt idx="2468">
                  <c:v>56628</c:v>
                </c:pt>
                <c:pt idx="2469">
                  <c:v>56635</c:v>
                </c:pt>
                <c:pt idx="2470">
                  <c:v>56642</c:v>
                </c:pt>
                <c:pt idx="2471">
                  <c:v>56649</c:v>
                </c:pt>
                <c:pt idx="2472">
                  <c:v>56656</c:v>
                </c:pt>
                <c:pt idx="2473">
                  <c:v>56663</c:v>
                </c:pt>
                <c:pt idx="2474">
                  <c:v>56670</c:v>
                </c:pt>
                <c:pt idx="2475">
                  <c:v>56677</c:v>
                </c:pt>
                <c:pt idx="2476">
                  <c:v>56684</c:v>
                </c:pt>
                <c:pt idx="2477">
                  <c:v>56691</c:v>
                </c:pt>
                <c:pt idx="2478">
                  <c:v>56698</c:v>
                </c:pt>
                <c:pt idx="2479">
                  <c:v>56705</c:v>
                </c:pt>
                <c:pt idx="2480">
                  <c:v>56712</c:v>
                </c:pt>
                <c:pt idx="2481">
                  <c:v>56719</c:v>
                </c:pt>
                <c:pt idx="2482">
                  <c:v>56726</c:v>
                </c:pt>
                <c:pt idx="2483">
                  <c:v>56733</c:v>
                </c:pt>
                <c:pt idx="2484">
                  <c:v>56740</c:v>
                </c:pt>
                <c:pt idx="2485">
                  <c:v>56747</c:v>
                </c:pt>
                <c:pt idx="2486">
                  <c:v>56754</c:v>
                </c:pt>
                <c:pt idx="2487">
                  <c:v>56761</c:v>
                </c:pt>
                <c:pt idx="2488">
                  <c:v>56768</c:v>
                </c:pt>
                <c:pt idx="2489">
                  <c:v>56775</c:v>
                </c:pt>
                <c:pt idx="2490">
                  <c:v>56782</c:v>
                </c:pt>
                <c:pt idx="2491">
                  <c:v>56789</c:v>
                </c:pt>
                <c:pt idx="2492">
                  <c:v>56796</c:v>
                </c:pt>
                <c:pt idx="2493">
                  <c:v>56803</c:v>
                </c:pt>
                <c:pt idx="2494">
                  <c:v>56810</c:v>
                </c:pt>
                <c:pt idx="2495">
                  <c:v>56817</c:v>
                </c:pt>
                <c:pt idx="2496">
                  <c:v>56824</c:v>
                </c:pt>
                <c:pt idx="2497">
                  <c:v>56831</c:v>
                </c:pt>
                <c:pt idx="2498">
                  <c:v>56838</c:v>
                </c:pt>
                <c:pt idx="2499">
                  <c:v>56845</c:v>
                </c:pt>
                <c:pt idx="2500">
                  <c:v>56852</c:v>
                </c:pt>
                <c:pt idx="2501">
                  <c:v>56859</c:v>
                </c:pt>
                <c:pt idx="2502">
                  <c:v>56866</c:v>
                </c:pt>
                <c:pt idx="2503">
                  <c:v>56873</c:v>
                </c:pt>
                <c:pt idx="2504">
                  <c:v>56880</c:v>
                </c:pt>
                <c:pt idx="2505">
                  <c:v>56887</c:v>
                </c:pt>
                <c:pt idx="2506">
                  <c:v>56894</c:v>
                </c:pt>
                <c:pt idx="2507">
                  <c:v>56901</c:v>
                </c:pt>
                <c:pt idx="2508">
                  <c:v>56908</c:v>
                </c:pt>
                <c:pt idx="2509">
                  <c:v>56915</c:v>
                </c:pt>
                <c:pt idx="2510">
                  <c:v>56922</c:v>
                </c:pt>
                <c:pt idx="2511">
                  <c:v>56929</c:v>
                </c:pt>
                <c:pt idx="2512">
                  <c:v>56936</c:v>
                </c:pt>
                <c:pt idx="2513">
                  <c:v>56943</c:v>
                </c:pt>
                <c:pt idx="2514">
                  <c:v>56950</c:v>
                </c:pt>
                <c:pt idx="2515">
                  <c:v>56957</c:v>
                </c:pt>
                <c:pt idx="2516">
                  <c:v>56964</c:v>
                </c:pt>
                <c:pt idx="2517">
                  <c:v>56971</c:v>
                </c:pt>
                <c:pt idx="2518">
                  <c:v>56978</c:v>
                </c:pt>
                <c:pt idx="2519">
                  <c:v>56985</c:v>
                </c:pt>
                <c:pt idx="2520">
                  <c:v>56992</c:v>
                </c:pt>
                <c:pt idx="2521">
                  <c:v>56999</c:v>
                </c:pt>
                <c:pt idx="2522">
                  <c:v>57006</c:v>
                </c:pt>
                <c:pt idx="2523">
                  <c:v>57013</c:v>
                </c:pt>
                <c:pt idx="2524">
                  <c:v>57020</c:v>
                </c:pt>
                <c:pt idx="2525">
                  <c:v>57027</c:v>
                </c:pt>
                <c:pt idx="2526">
                  <c:v>57034</c:v>
                </c:pt>
                <c:pt idx="2527">
                  <c:v>57041</c:v>
                </c:pt>
                <c:pt idx="2528">
                  <c:v>57048</c:v>
                </c:pt>
                <c:pt idx="2529">
                  <c:v>57055</c:v>
                </c:pt>
                <c:pt idx="2530">
                  <c:v>57062</c:v>
                </c:pt>
                <c:pt idx="2531">
                  <c:v>57069</c:v>
                </c:pt>
                <c:pt idx="2532">
                  <c:v>57076</c:v>
                </c:pt>
                <c:pt idx="2533">
                  <c:v>57083</c:v>
                </c:pt>
                <c:pt idx="2534">
                  <c:v>57090</c:v>
                </c:pt>
                <c:pt idx="2535">
                  <c:v>57097</c:v>
                </c:pt>
                <c:pt idx="2536">
                  <c:v>57104</c:v>
                </c:pt>
                <c:pt idx="2537">
                  <c:v>57111</c:v>
                </c:pt>
                <c:pt idx="2538">
                  <c:v>57118</c:v>
                </c:pt>
                <c:pt idx="2539">
                  <c:v>57125</c:v>
                </c:pt>
                <c:pt idx="2540">
                  <c:v>57132</c:v>
                </c:pt>
                <c:pt idx="2541">
                  <c:v>57139</c:v>
                </c:pt>
                <c:pt idx="2542">
                  <c:v>57146</c:v>
                </c:pt>
                <c:pt idx="2543">
                  <c:v>57153</c:v>
                </c:pt>
                <c:pt idx="2544">
                  <c:v>57160</c:v>
                </c:pt>
                <c:pt idx="2545">
                  <c:v>57167</c:v>
                </c:pt>
                <c:pt idx="2546">
                  <c:v>57174</c:v>
                </c:pt>
                <c:pt idx="2547">
                  <c:v>57181</c:v>
                </c:pt>
                <c:pt idx="2548">
                  <c:v>57188</c:v>
                </c:pt>
                <c:pt idx="2549">
                  <c:v>57195</c:v>
                </c:pt>
                <c:pt idx="2550">
                  <c:v>57202</c:v>
                </c:pt>
                <c:pt idx="2551">
                  <c:v>57209</c:v>
                </c:pt>
                <c:pt idx="2552">
                  <c:v>57216</c:v>
                </c:pt>
                <c:pt idx="2553">
                  <c:v>57223</c:v>
                </c:pt>
                <c:pt idx="2554">
                  <c:v>57230</c:v>
                </c:pt>
                <c:pt idx="2555">
                  <c:v>57237</c:v>
                </c:pt>
                <c:pt idx="2556">
                  <c:v>57244</c:v>
                </c:pt>
                <c:pt idx="2557">
                  <c:v>57251</c:v>
                </c:pt>
                <c:pt idx="2558">
                  <c:v>57258</c:v>
                </c:pt>
                <c:pt idx="2559">
                  <c:v>57265</c:v>
                </c:pt>
                <c:pt idx="2560">
                  <c:v>57272</c:v>
                </c:pt>
                <c:pt idx="2561">
                  <c:v>57279</c:v>
                </c:pt>
                <c:pt idx="2562">
                  <c:v>57286</c:v>
                </c:pt>
                <c:pt idx="2563">
                  <c:v>57293</c:v>
                </c:pt>
                <c:pt idx="2564">
                  <c:v>57300</c:v>
                </c:pt>
                <c:pt idx="2565">
                  <c:v>57307</c:v>
                </c:pt>
                <c:pt idx="2566">
                  <c:v>57314</c:v>
                </c:pt>
                <c:pt idx="2567">
                  <c:v>57321</c:v>
                </c:pt>
                <c:pt idx="2568">
                  <c:v>57328</c:v>
                </c:pt>
                <c:pt idx="2569">
                  <c:v>57335</c:v>
                </c:pt>
                <c:pt idx="2570">
                  <c:v>57343</c:v>
                </c:pt>
                <c:pt idx="2571">
                  <c:v>57350</c:v>
                </c:pt>
                <c:pt idx="2572">
                  <c:v>57357</c:v>
                </c:pt>
                <c:pt idx="2573">
                  <c:v>57364</c:v>
                </c:pt>
                <c:pt idx="2574">
                  <c:v>57371</c:v>
                </c:pt>
                <c:pt idx="2575">
                  <c:v>57378</c:v>
                </c:pt>
                <c:pt idx="2576">
                  <c:v>57385</c:v>
                </c:pt>
                <c:pt idx="2577">
                  <c:v>57392</c:v>
                </c:pt>
                <c:pt idx="2578">
                  <c:v>57399</c:v>
                </c:pt>
                <c:pt idx="2579">
                  <c:v>57406</c:v>
                </c:pt>
                <c:pt idx="2580">
                  <c:v>57413</c:v>
                </c:pt>
                <c:pt idx="2581">
                  <c:v>57420</c:v>
                </c:pt>
                <c:pt idx="2582">
                  <c:v>57427</c:v>
                </c:pt>
                <c:pt idx="2583">
                  <c:v>57434</c:v>
                </c:pt>
                <c:pt idx="2584">
                  <c:v>57441</c:v>
                </c:pt>
                <c:pt idx="2585">
                  <c:v>57448</c:v>
                </c:pt>
                <c:pt idx="2586">
                  <c:v>57459</c:v>
                </c:pt>
                <c:pt idx="2587">
                  <c:v>57462</c:v>
                </c:pt>
                <c:pt idx="2588">
                  <c:v>57469</c:v>
                </c:pt>
                <c:pt idx="2589">
                  <c:v>57476</c:v>
                </c:pt>
                <c:pt idx="2590">
                  <c:v>57483</c:v>
                </c:pt>
                <c:pt idx="2591">
                  <c:v>57490</c:v>
                </c:pt>
                <c:pt idx="2592">
                  <c:v>57497</c:v>
                </c:pt>
                <c:pt idx="2593">
                  <c:v>57504</c:v>
                </c:pt>
                <c:pt idx="2594">
                  <c:v>57511</c:v>
                </c:pt>
                <c:pt idx="2595">
                  <c:v>57518</c:v>
                </c:pt>
                <c:pt idx="2596">
                  <c:v>57525</c:v>
                </c:pt>
                <c:pt idx="2597">
                  <c:v>57532</c:v>
                </c:pt>
                <c:pt idx="2598">
                  <c:v>57539</c:v>
                </c:pt>
                <c:pt idx="2599">
                  <c:v>57546</c:v>
                </c:pt>
                <c:pt idx="2600">
                  <c:v>57553</c:v>
                </c:pt>
                <c:pt idx="2601">
                  <c:v>57560</c:v>
                </c:pt>
                <c:pt idx="2602">
                  <c:v>57567</c:v>
                </c:pt>
                <c:pt idx="2603">
                  <c:v>57574</c:v>
                </c:pt>
                <c:pt idx="2604">
                  <c:v>57581</c:v>
                </c:pt>
                <c:pt idx="2605">
                  <c:v>57588</c:v>
                </c:pt>
                <c:pt idx="2606">
                  <c:v>57595</c:v>
                </c:pt>
                <c:pt idx="2607">
                  <c:v>57602</c:v>
                </c:pt>
                <c:pt idx="2608">
                  <c:v>57609</c:v>
                </c:pt>
                <c:pt idx="2609">
                  <c:v>57616</c:v>
                </c:pt>
                <c:pt idx="2610">
                  <c:v>57623</c:v>
                </c:pt>
                <c:pt idx="2611">
                  <c:v>57630</c:v>
                </c:pt>
                <c:pt idx="2612">
                  <c:v>57637</c:v>
                </c:pt>
                <c:pt idx="2613">
                  <c:v>57644</c:v>
                </c:pt>
                <c:pt idx="2614">
                  <c:v>57651</c:v>
                </c:pt>
                <c:pt idx="2615">
                  <c:v>57658</c:v>
                </c:pt>
                <c:pt idx="2616">
                  <c:v>57665</c:v>
                </c:pt>
                <c:pt idx="2617">
                  <c:v>57672</c:v>
                </c:pt>
                <c:pt idx="2618">
                  <c:v>57679</c:v>
                </c:pt>
                <c:pt idx="2619">
                  <c:v>57686</c:v>
                </c:pt>
                <c:pt idx="2620">
                  <c:v>57693</c:v>
                </c:pt>
                <c:pt idx="2621">
                  <c:v>57700</c:v>
                </c:pt>
                <c:pt idx="2622">
                  <c:v>57710</c:v>
                </c:pt>
                <c:pt idx="2623">
                  <c:v>57717</c:v>
                </c:pt>
                <c:pt idx="2624">
                  <c:v>57724</c:v>
                </c:pt>
                <c:pt idx="2625">
                  <c:v>57731</c:v>
                </c:pt>
                <c:pt idx="2626">
                  <c:v>57738</c:v>
                </c:pt>
                <c:pt idx="2627">
                  <c:v>57745</c:v>
                </c:pt>
                <c:pt idx="2628">
                  <c:v>57752</c:v>
                </c:pt>
                <c:pt idx="2629">
                  <c:v>57759</c:v>
                </c:pt>
                <c:pt idx="2630">
                  <c:v>57766</c:v>
                </c:pt>
                <c:pt idx="2631">
                  <c:v>57773</c:v>
                </c:pt>
                <c:pt idx="2632">
                  <c:v>57780</c:v>
                </c:pt>
                <c:pt idx="2633">
                  <c:v>57787</c:v>
                </c:pt>
                <c:pt idx="2634">
                  <c:v>57794</c:v>
                </c:pt>
                <c:pt idx="2635">
                  <c:v>57801</c:v>
                </c:pt>
                <c:pt idx="2636">
                  <c:v>57808</c:v>
                </c:pt>
                <c:pt idx="2637">
                  <c:v>57817</c:v>
                </c:pt>
                <c:pt idx="2638">
                  <c:v>57822</c:v>
                </c:pt>
                <c:pt idx="2639">
                  <c:v>57829</c:v>
                </c:pt>
                <c:pt idx="2640">
                  <c:v>57836</c:v>
                </c:pt>
                <c:pt idx="2641">
                  <c:v>57843</c:v>
                </c:pt>
                <c:pt idx="2642">
                  <c:v>57850</c:v>
                </c:pt>
                <c:pt idx="2643">
                  <c:v>57857</c:v>
                </c:pt>
                <c:pt idx="2644">
                  <c:v>57864</c:v>
                </c:pt>
                <c:pt idx="2645">
                  <c:v>57871</c:v>
                </c:pt>
                <c:pt idx="2646">
                  <c:v>57878</c:v>
                </c:pt>
                <c:pt idx="2647">
                  <c:v>57885</c:v>
                </c:pt>
                <c:pt idx="2648">
                  <c:v>57892</c:v>
                </c:pt>
                <c:pt idx="2649">
                  <c:v>57899</c:v>
                </c:pt>
                <c:pt idx="2650">
                  <c:v>57906</c:v>
                </c:pt>
                <c:pt idx="2651">
                  <c:v>57913</c:v>
                </c:pt>
                <c:pt idx="2652">
                  <c:v>57920</c:v>
                </c:pt>
                <c:pt idx="2653">
                  <c:v>57927</c:v>
                </c:pt>
                <c:pt idx="2654">
                  <c:v>57934</c:v>
                </c:pt>
                <c:pt idx="2655">
                  <c:v>57941</c:v>
                </c:pt>
                <c:pt idx="2656">
                  <c:v>57948</c:v>
                </c:pt>
                <c:pt idx="2657">
                  <c:v>57955</c:v>
                </c:pt>
                <c:pt idx="2658">
                  <c:v>57962</c:v>
                </c:pt>
                <c:pt idx="2659">
                  <c:v>57969</c:v>
                </c:pt>
                <c:pt idx="2660">
                  <c:v>57976</c:v>
                </c:pt>
                <c:pt idx="2661">
                  <c:v>57983</c:v>
                </c:pt>
                <c:pt idx="2662">
                  <c:v>57990</c:v>
                </c:pt>
                <c:pt idx="2663">
                  <c:v>57997</c:v>
                </c:pt>
                <c:pt idx="2664">
                  <c:v>58004</c:v>
                </c:pt>
                <c:pt idx="2665">
                  <c:v>58011</c:v>
                </c:pt>
                <c:pt idx="2666">
                  <c:v>58018</c:v>
                </c:pt>
                <c:pt idx="2667">
                  <c:v>58025</c:v>
                </c:pt>
                <c:pt idx="2668">
                  <c:v>58032</c:v>
                </c:pt>
                <c:pt idx="2669">
                  <c:v>58039</c:v>
                </c:pt>
                <c:pt idx="2670">
                  <c:v>58046</c:v>
                </c:pt>
                <c:pt idx="2671">
                  <c:v>58053</c:v>
                </c:pt>
                <c:pt idx="2672">
                  <c:v>58060</c:v>
                </c:pt>
                <c:pt idx="2673">
                  <c:v>58067</c:v>
                </c:pt>
                <c:pt idx="2674">
                  <c:v>58075</c:v>
                </c:pt>
                <c:pt idx="2675">
                  <c:v>58082</c:v>
                </c:pt>
                <c:pt idx="2676">
                  <c:v>58089</c:v>
                </c:pt>
                <c:pt idx="2677">
                  <c:v>58096</c:v>
                </c:pt>
                <c:pt idx="2678">
                  <c:v>58103</c:v>
                </c:pt>
                <c:pt idx="2679">
                  <c:v>58110</c:v>
                </c:pt>
                <c:pt idx="2680">
                  <c:v>58117</c:v>
                </c:pt>
                <c:pt idx="2681">
                  <c:v>58124</c:v>
                </c:pt>
                <c:pt idx="2682">
                  <c:v>58131</c:v>
                </c:pt>
                <c:pt idx="2683">
                  <c:v>58138</c:v>
                </c:pt>
                <c:pt idx="2684">
                  <c:v>58145</c:v>
                </c:pt>
                <c:pt idx="2685">
                  <c:v>58152</c:v>
                </c:pt>
                <c:pt idx="2686">
                  <c:v>58159</c:v>
                </c:pt>
                <c:pt idx="2687">
                  <c:v>58168</c:v>
                </c:pt>
                <c:pt idx="2688">
                  <c:v>58175</c:v>
                </c:pt>
                <c:pt idx="2689">
                  <c:v>58182</c:v>
                </c:pt>
                <c:pt idx="2690">
                  <c:v>58189</c:v>
                </c:pt>
                <c:pt idx="2691">
                  <c:v>58197</c:v>
                </c:pt>
                <c:pt idx="2692">
                  <c:v>58203</c:v>
                </c:pt>
                <c:pt idx="2693">
                  <c:v>58210</c:v>
                </c:pt>
                <c:pt idx="2694">
                  <c:v>58217</c:v>
                </c:pt>
                <c:pt idx="2695">
                  <c:v>58224</c:v>
                </c:pt>
                <c:pt idx="2696">
                  <c:v>58231</c:v>
                </c:pt>
                <c:pt idx="2697">
                  <c:v>58238</c:v>
                </c:pt>
                <c:pt idx="2698">
                  <c:v>58245</c:v>
                </c:pt>
                <c:pt idx="2699">
                  <c:v>58252</c:v>
                </c:pt>
                <c:pt idx="2700">
                  <c:v>58259</c:v>
                </c:pt>
                <c:pt idx="2701">
                  <c:v>58266</c:v>
                </c:pt>
                <c:pt idx="2702">
                  <c:v>58273</c:v>
                </c:pt>
                <c:pt idx="2703">
                  <c:v>58280</c:v>
                </c:pt>
                <c:pt idx="2704">
                  <c:v>58287</c:v>
                </c:pt>
                <c:pt idx="2705">
                  <c:v>58294</c:v>
                </c:pt>
                <c:pt idx="2706">
                  <c:v>58301</c:v>
                </c:pt>
                <c:pt idx="2707">
                  <c:v>58308</c:v>
                </c:pt>
                <c:pt idx="2708">
                  <c:v>58315</c:v>
                </c:pt>
                <c:pt idx="2709">
                  <c:v>58322</c:v>
                </c:pt>
                <c:pt idx="2710">
                  <c:v>58329</c:v>
                </c:pt>
                <c:pt idx="2711">
                  <c:v>58336</c:v>
                </c:pt>
                <c:pt idx="2712">
                  <c:v>58343</c:v>
                </c:pt>
                <c:pt idx="2713">
                  <c:v>58350</c:v>
                </c:pt>
                <c:pt idx="2714">
                  <c:v>58357</c:v>
                </c:pt>
                <c:pt idx="2715">
                  <c:v>58364</c:v>
                </c:pt>
                <c:pt idx="2716">
                  <c:v>58371</c:v>
                </c:pt>
                <c:pt idx="2717">
                  <c:v>58378</c:v>
                </c:pt>
                <c:pt idx="2718">
                  <c:v>58385</c:v>
                </c:pt>
                <c:pt idx="2719">
                  <c:v>58392</c:v>
                </c:pt>
                <c:pt idx="2720">
                  <c:v>58399</c:v>
                </c:pt>
                <c:pt idx="2721">
                  <c:v>58406</c:v>
                </c:pt>
                <c:pt idx="2722">
                  <c:v>58413</c:v>
                </c:pt>
                <c:pt idx="2723">
                  <c:v>58420</c:v>
                </c:pt>
                <c:pt idx="2724">
                  <c:v>58427</c:v>
                </c:pt>
                <c:pt idx="2725">
                  <c:v>58438</c:v>
                </c:pt>
                <c:pt idx="2726">
                  <c:v>58442</c:v>
                </c:pt>
                <c:pt idx="2727">
                  <c:v>58448</c:v>
                </c:pt>
                <c:pt idx="2728">
                  <c:v>58455</c:v>
                </c:pt>
                <c:pt idx="2729">
                  <c:v>58462</c:v>
                </c:pt>
                <c:pt idx="2730">
                  <c:v>58469</c:v>
                </c:pt>
                <c:pt idx="2731">
                  <c:v>58476</c:v>
                </c:pt>
                <c:pt idx="2732">
                  <c:v>58483</c:v>
                </c:pt>
                <c:pt idx="2733">
                  <c:v>58490</c:v>
                </c:pt>
                <c:pt idx="2734">
                  <c:v>58497</c:v>
                </c:pt>
                <c:pt idx="2735">
                  <c:v>58504</c:v>
                </c:pt>
                <c:pt idx="2736">
                  <c:v>58511</c:v>
                </c:pt>
                <c:pt idx="2737">
                  <c:v>58518</c:v>
                </c:pt>
                <c:pt idx="2738">
                  <c:v>58525</c:v>
                </c:pt>
                <c:pt idx="2739">
                  <c:v>58532</c:v>
                </c:pt>
                <c:pt idx="2740">
                  <c:v>58539</c:v>
                </c:pt>
                <c:pt idx="2741">
                  <c:v>58546</c:v>
                </c:pt>
                <c:pt idx="2742">
                  <c:v>58553</c:v>
                </c:pt>
                <c:pt idx="2743">
                  <c:v>58560</c:v>
                </c:pt>
                <c:pt idx="2744">
                  <c:v>58567</c:v>
                </c:pt>
                <c:pt idx="2745">
                  <c:v>58574</c:v>
                </c:pt>
                <c:pt idx="2746">
                  <c:v>58581</c:v>
                </c:pt>
                <c:pt idx="2747">
                  <c:v>58588</c:v>
                </c:pt>
                <c:pt idx="2748">
                  <c:v>58595</c:v>
                </c:pt>
                <c:pt idx="2749">
                  <c:v>58602</c:v>
                </c:pt>
                <c:pt idx="2750">
                  <c:v>58609</c:v>
                </c:pt>
                <c:pt idx="2751">
                  <c:v>58616</c:v>
                </c:pt>
                <c:pt idx="2752">
                  <c:v>58623</c:v>
                </c:pt>
                <c:pt idx="2753">
                  <c:v>58630</c:v>
                </c:pt>
                <c:pt idx="2754">
                  <c:v>58637</c:v>
                </c:pt>
                <c:pt idx="2755">
                  <c:v>58644</c:v>
                </c:pt>
                <c:pt idx="2756">
                  <c:v>58651</c:v>
                </c:pt>
                <c:pt idx="2757">
                  <c:v>58658</c:v>
                </c:pt>
                <c:pt idx="2758">
                  <c:v>58665</c:v>
                </c:pt>
                <c:pt idx="2759">
                  <c:v>58672</c:v>
                </c:pt>
                <c:pt idx="2760">
                  <c:v>58679</c:v>
                </c:pt>
                <c:pt idx="2761">
                  <c:v>58686</c:v>
                </c:pt>
                <c:pt idx="2762">
                  <c:v>58693</c:v>
                </c:pt>
                <c:pt idx="2763">
                  <c:v>58700</c:v>
                </c:pt>
                <c:pt idx="2764">
                  <c:v>58707</c:v>
                </c:pt>
                <c:pt idx="2765">
                  <c:v>58714</c:v>
                </c:pt>
                <c:pt idx="2766">
                  <c:v>58721</c:v>
                </c:pt>
                <c:pt idx="2767">
                  <c:v>58728</c:v>
                </c:pt>
                <c:pt idx="2768">
                  <c:v>58735</c:v>
                </c:pt>
                <c:pt idx="2769">
                  <c:v>58742</c:v>
                </c:pt>
                <c:pt idx="2770">
                  <c:v>58749</c:v>
                </c:pt>
                <c:pt idx="2771">
                  <c:v>58756</c:v>
                </c:pt>
                <c:pt idx="2772">
                  <c:v>58763</c:v>
                </c:pt>
                <c:pt idx="2773">
                  <c:v>58770</c:v>
                </c:pt>
                <c:pt idx="2774">
                  <c:v>58777</c:v>
                </c:pt>
                <c:pt idx="2775">
                  <c:v>58784</c:v>
                </c:pt>
                <c:pt idx="2776">
                  <c:v>58791</c:v>
                </c:pt>
                <c:pt idx="2777">
                  <c:v>58798</c:v>
                </c:pt>
                <c:pt idx="2778">
                  <c:v>58805</c:v>
                </c:pt>
                <c:pt idx="2779">
                  <c:v>58812</c:v>
                </c:pt>
                <c:pt idx="2780">
                  <c:v>58819</c:v>
                </c:pt>
                <c:pt idx="2781">
                  <c:v>58826</c:v>
                </c:pt>
                <c:pt idx="2782">
                  <c:v>58833</c:v>
                </c:pt>
                <c:pt idx="2783">
                  <c:v>58840</c:v>
                </c:pt>
                <c:pt idx="2784">
                  <c:v>58847</c:v>
                </c:pt>
                <c:pt idx="2785">
                  <c:v>58854</c:v>
                </c:pt>
                <c:pt idx="2786">
                  <c:v>58861</c:v>
                </c:pt>
                <c:pt idx="2787">
                  <c:v>58868</c:v>
                </c:pt>
                <c:pt idx="2788">
                  <c:v>58875</c:v>
                </c:pt>
                <c:pt idx="2789">
                  <c:v>58882</c:v>
                </c:pt>
                <c:pt idx="2790">
                  <c:v>58889</c:v>
                </c:pt>
                <c:pt idx="2791">
                  <c:v>58896</c:v>
                </c:pt>
                <c:pt idx="2792">
                  <c:v>58903</c:v>
                </c:pt>
                <c:pt idx="2793">
                  <c:v>58910</c:v>
                </c:pt>
                <c:pt idx="2794">
                  <c:v>58917</c:v>
                </c:pt>
                <c:pt idx="2795">
                  <c:v>58924</c:v>
                </c:pt>
                <c:pt idx="2796">
                  <c:v>58931</c:v>
                </c:pt>
                <c:pt idx="2797">
                  <c:v>58938</c:v>
                </c:pt>
                <c:pt idx="2798">
                  <c:v>58945</c:v>
                </c:pt>
                <c:pt idx="2799">
                  <c:v>58952</c:v>
                </c:pt>
                <c:pt idx="2800">
                  <c:v>58959</c:v>
                </c:pt>
                <c:pt idx="2801">
                  <c:v>58966</c:v>
                </c:pt>
                <c:pt idx="2802">
                  <c:v>58973</c:v>
                </c:pt>
                <c:pt idx="2803">
                  <c:v>58980</c:v>
                </c:pt>
                <c:pt idx="2804">
                  <c:v>58987</c:v>
                </c:pt>
                <c:pt idx="2805">
                  <c:v>58994</c:v>
                </c:pt>
                <c:pt idx="2806">
                  <c:v>59001</c:v>
                </c:pt>
                <c:pt idx="2807">
                  <c:v>59008</c:v>
                </c:pt>
                <c:pt idx="2808">
                  <c:v>59015</c:v>
                </c:pt>
                <c:pt idx="2809">
                  <c:v>59022</c:v>
                </c:pt>
                <c:pt idx="2810">
                  <c:v>59029</c:v>
                </c:pt>
                <c:pt idx="2811">
                  <c:v>59036</c:v>
                </c:pt>
                <c:pt idx="2812">
                  <c:v>59043</c:v>
                </c:pt>
                <c:pt idx="2813">
                  <c:v>59050</c:v>
                </c:pt>
                <c:pt idx="2814">
                  <c:v>59057</c:v>
                </c:pt>
                <c:pt idx="2815">
                  <c:v>59064</c:v>
                </c:pt>
                <c:pt idx="2816">
                  <c:v>59071</c:v>
                </c:pt>
                <c:pt idx="2817">
                  <c:v>59078</c:v>
                </c:pt>
                <c:pt idx="2818">
                  <c:v>59085</c:v>
                </c:pt>
                <c:pt idx="2819">
                  <c:v>59092</c:v>
                </c:pt>
                <c:pt idx="2820">
                  <c:v>59099</c:v>
                </c:pt>
                <c:pt idx="2821">
                  <c:v>59106</c:v>
                </c:pt>
                <c:pt idx="2822">
                  <c:v>59113</c:v>
                </c:pt>
                <c:pt idx="2823">
                  <c:v>59120</c:v>
                </c:pt>
                <c:pt idx="2824">
                  <c:v>59127</c:v>
                </c:pt>
                <c:pt idx="2825">
                  <c:v>59134</c:v>
                </c:pt>
                <c:pt idx="2826">
                  <c:v>59141</c:v>
                </c:pt>
                <c:pt idx="2827">
                  <c:v>59148</c:v>
                </c:pt>
                <c:pt idx="2828">
                  <c:v>59155</c:v>
                </c:pt>
                <c:pt idx="2829">
                  <c:v>59162</c:v>
                </c:pt>
                <c:pt idx="2830">
                  <c:v>59169</c:v>
                </c:pt>
                <c:pt idx="2831">
                  <c:v>59176</c:v>
                </c:pt>
                <c:pt idx="2832">
                  <c:v>59183</c:v>
                </c:pt>
                <c:pt idx="2833">
                  <c:v>59190</c:v>
                </c:pt>
                <c:pt idx="2834">
                  <c:v>59197</c:v>
                </c:pt>
                <c:pt idx="2835">
                  <c:v>59204</c:v>
                </c:pt>
                <c:pt idx="2836">
                  <c:v>59211</c:v>
                </c:pt>
                <c:pt idx="2837">
                  <c:v>59218</c:v>
                </c:pt>
                <c:pt idx="2838">
                  <c:v>59225</c:v>
                </c:pt>
                <c:pt idx="2839">
                  <c:v>59232</c:v>
                </c:pt>
                <c:pt idx="2840">
                  <c:v>59239</c:v>
                </c:pt>
                <c:pt idx="2841">
                  <c:v>59246</c:v>
                </c:pt>
                <c:pt idx="2842">
                  <c:v>59253</c:v>
                </c:pt>
                <c:pt idx="2843">
                  <c:v>59260</c:v>
                </c:pt>
                <c:pt idx="2844">
                  <c:v>59267</c:v>
                </c:pt>
                <c:pt idx="2845">
                  <c:v>59274</c:v>
                </c:pt>
                <c:pt idx="2846">
                  <c:v>59281</c:v>
                </c:pt>
                <c:pt idx="2847">
                  <c:v>59288</c:v>
                </c:pt>
                <c:pt idx="2848">
                  <c:v>59295</c:v>
                </c:pt>
                <c:pt idx="2849">
                  <c:v>59302</c:v>
                </c:pt>
                <c:pt idx="2850">
                  <c:v>59309</c:v>
                </c:pt>
                <c:pt idx="2851">
                  <c:v>59316</c:v>
                </c:pt>
                <c:pt idx="2852">
                  <c:v>59323</c:v>
                </c:pt>
                <c:pt idx="2853">
                  <c:v>59330</c:v>
                </c:pt>
                <c:pt idx="2854">
                  <c:v>59337</c:v>
                </c:pt>
                <c:pt idx="2855">
                  <c:v>59344</c:v>
                </c:pt>
                <c:pt idx="2856">
                  <c:v>59351</c:v>
                </c:pt>
                <c:pt idx="2857">
                  <c:v>59358</c:v>
                </c:pt>
                <c:pt idx="2858">
                  <c:v>59365</c:v>
                </c:pt>
                <c:pt idx="2859">
                  <c:v>59372</c:v>
                </c:pt>
                <c:pt idx="2860">
                  <c:v>59379</c:v>
                </c:pt>
                <c:pt idx="2861">
                  <c:v>59386</c:v>
                </c:pt>
                <c:pt idx="2862">
                  <c:v>59393</c:v>
                </c:pt>
                <c:pt idx="2863">
                  <c:v>59400</c:v>
                </c:pt>
                <c:pt idx="2864">
                  <c:v>59407</c:v>
                </c:pt>
                <c:pt idx="2865">
                  <c:v>59414</c:v>
                </c:pt>
                <c:pt idx="2866">
                  <c:v>59421</c:v>
                </c:pt>
                <c:pt idx="2867">
                  <c:v>59428</c:v>
                </c:pt>
                <c:pt idx="2868">
                  <c:v>59435</c:v>
                </c:pt>
                <c:pt idx="2869">
                  <c:v>59442</c:v>
                </c:pt>
                <c:pt idx="2870">
                  <c:v>59449</c:v>
                </c:pt>
                <c:pt idx="2871">
                  <c:v>59456</c:v>
                </c:pt>
                <c:pt idx="2872">
                  <c:v>59463</c:v>
                </c:pt>
                <c:pt idx="2873">
                  <c:v>59470</c:v>
                </c:pt>
                <c:pt idx="2874">
                  <c:v>59477</c:v>
                </c:pt>
                <c:pt idx="2875">
                  <c:v>59484</c:v>
                </c:pt>
                <c:pt idx="2876">
                  <c:v>59491</c:v>
                </c:pt>
                <c:pt idx="2877">
                  <c:v>59498</c:v>
                </c:pt>
                <c:pt idx="2878">
                  <c:v>59505</c:v>
                </c:pt>
                <c:pt idx="2879">
                  <c:v>59512</c:v>
                </c:pt>
                <c:pt idx="2880">
                  <c:v>59519</c:v>
                </c:pt>
                <c:pt idx="2881">
                  <c:v>59526</c:v>
                </c:pt>
                <c:pt idx="2882">
                  <c:v>59534</c:v>
                </c:pt>
                <c:pt idx="2883">
                  <c:v>59541</c:v>
                </c:pt>
                <c:pt idx="2884">
                  <c:v>59548</c:v>
                </c:pt>
                <c:pt idx="2885">
                  <c:v>59555</c:v>
                </c:pt>
                <c:pt idx="2886">
                  <c:v>59562</c:v>
                </c:pt>
                <c:pt idx="2887">
                  <c:v>59569</c:v>
                </c:pt>
                <c:pt idx="2888">
                  <c:v>59576</c:v>
                </c:pt>
                <c:pt idx="2889">
                  <c:v>59583</c:v>
                </c:pt>
                <c:pt idx="2890">
                  <c:v>59590</c:v>
                </c:pt>
                <c:pt idx="2891">
                  <c:v>59597</c:v>
                </c:pt>
                <c:pt idx="2892">
                  <c:v>59604</c:v>
                </c:pt>
                <c:pt idx="2893">
                  <c:v>59611</c:v>
                </c:pt>
                <c:pt idx="2894">
                  <c:v>59618</c:v>
                </c:pt>
                <c:pt idx="2895">
                  <c:v>59625</c:v>
                </c:pt>
                <c:pt idx="2896">
                  <c:v>59632</c:v>
                </c:pt>
                <c:pt idx="2897">
                  <c:v>59643</c:v>
                </c:pt>
                <c:pt idx="2898">
                  <c:v>59646</c:v>
                </c:pt>
                <c:pt idx="2899">
                  <c:v>59653</c:v>
                </c:pt>
                <c:pt idx="2900">
                  <c:v>59660</c:v>
                </c:pt>
                <c:pt idx="2901">
                  <c:v>59667</c:v>
                </c:pt>
                <c:pt idx="2902">
                  <c:v>59674</c:v>
                </c:pt>
                <c:pt idx="2903">
                  <c:v>59681</c:v>
                </c:pt>
                <c:pt idx="2904">
                  <c:v>59688</c:v>
                </c:pt>
                <c:pt idx="2905">
                  <c:v>59695</c:v>
                </c:pt>
                <c:pt idx="2906">
                  <c:v>59702</c:v>
                </c:pt>
                <c:pt idx="2907">
                  <c:v>59709</c:v>
                </c:pt>
                <c:pt idx="2908">
                  <c:v>59716</c:v>
                </c:pt>
                <c:pt idx="2909">
                  <c:v>59723</c:v>
                </c:pt>
                <c:pt idx="2910">
                  <c:v>59730</c:v>
                </c:pt>
                <c:pt idx="2911">
                  <c:v>59737</c:v>
                </c:pt>
                <c:pt idx="2912">
                  <c:v>59744</c:v>
                </c:pt>
                <c:pt idx="2913">
                  <c:v>59751</c:v>
                </c:pt>
                <c:pt idx="2914">
                  <c:v>59758</c:v>
                </c:pt>
                <c:pt idx="2915">
                  <c:v>59765</c:v>
                </c:pt>
                <c:pt idx="2916">
                  <c:v>59772</c:v>
                </c:pt>
                <c:pt idx="2917">
                  <c:v>59779</c:v>
                </c:pt>
                <c:pt idx="2918">
                  <c:v>59786</c:v>
                </c:pt>
                <c:pt idx="2919">
                  <c:v>59793</c:v>
                </c:pt>
                <c:pt idx="2920">
                  <c:v>59800</c:v>
                </c:pt>
                <c:pt idx="2921">
                  <c:v>59807</c:v>
                </c:pt>
                <c:pt idx="2922">
                  <c:v>59814</c:v>
                </c:pt>
                <c:pt idx="2923">
                  <c:v>59821</c:v>
                </c:pt>
                <c:pt idx="2924">
                  <c:v>59828</c:v>
                </c:pt>
                <c:pt idx="2925">
                  <c:v>59835</c:v>
                </c:pt>
                <c:pt idx="2926">
                  <c:v>59842</c:v>
                </c:pt>
                <c:pt idx="2927">
                  <c:v>59849</c:v>
                </c:pt>
                <c:pt idx="2928">
                  <c:v>59856</c:v>
                </c:pt>
                <c:pt idx="2929">
                  <c:v>59863</c:v>
                </c:pt>
                <c:pt idx="2930">
                  <c:v>59870</c:v>
                </c:pt>
                <c:pt idx="2931">
                  <c:v>59877</c:v>
                </c:pt>
                <c:pt idx="2932">
                  <c:v>59884</c:v>
                </c:pt>
                <c:pt idx="2933">
                  <c:v>59891</c:v>
                </c:pt>
                <c:pt idx="2934">
                  <c:v>59901</c:v>
                </c:pt>
                <c:pt idx="2935">
                  <c:v>59908</c:v>
                </c:pt>
                <c:pt idx="2936">
                  <c:v>59915</c:v>
                </c:pt>
                <c:pt idx="2937">
                  <c:v>59922</c:v>
                </c:pt>
                <c:pt idx="2938">
                  <c:v>59929</c:v>
                </c:pt>
                <c:pt idx="2939">
                  <c:v>59936</c:v>
                </c:pt>
                <c:pt idx="2940">
                  <c:v>59943</c:v>
                </c:pt>
                <c:pt idx="2941">
                  <c:v>59950</c:v>
                </c:pt>
                <c:pt idx="2942">
                  <c:v>59957</c:v>
                </c:pt>
                <c:pt idx="2943">
                  <c:v>59964</c:v>
                </c:pt>
                <c:pt idx="2944">
                  <c:v>59971</c:v>
                </c:pt>
                <c:pt idx="2945">
                  <c:v>59978</c:v>
                </c:pt>
                <c:pt idx="2946">
                  <c:v>59985</c:v>
                </c:pt>
                <c:pt idx="2947">
                  <c:v>59992</c:v>
                </c:pt>
                <c:pt idx="2948">
                  <c:v>60001</c:v>
                </c:pt>
                <c:pt idx="2949">
                  <c:v>60006</c:v>
                </c:pt>
                <c:pt idx="2950">
                  <c:v>60013</c:v>
                </c:pt>
                <c:pt idx="2951">
                  <c:v>60020</c:v>
                </c:pt>
                <c:pt idx="2952">
                  <c:v>60028</c:v>
                </c:pt>
                <c:pt idx="2953">
                  <c:v>60035</c:v>
                </c:pt>
                <c:pt idx="2954">
                  <c:v>60042</c:v>
                </c:pt>
                <c:pt idx="2955">
                  <c:v>60049</c:v>
                </c:pt>
                <c:pt idx="2956">
                  <c:v>60056</c:v>
                </c:pt>
                <c:pt idx="2957">
                  <c:v>60063</c:v>
                </c:pt>
                <c:pt idx="2958">
                  <c:v>60070</c:v>
                </c:pt>
                <c:pt idx="2959">
                  <c:v>60077</c:v>
                </c:pt>
                <c:pt idx="2960">
                  <c:v>60084</c:v>
                </c:pt>
                <c:pt idx="2961">
                  <c:v>60091</c:v>
                </c:pt>
                <c:pt idx="2962">
                  <c:v>60098</c:v>
                </c:pt>
                <c:pt idx="2963">
                  <c:v>60105</c:v>
                </c:pt>
                <c:pt idx="2964">
                  <c:v>60112</c:v>
                </c:pt>
                <c:pt idx="2965">
                  <c:v>60119</c:v>
                </c:pt>
                <c:pt idx="2966">
                  <c:v>60126</c:v>
                </c:pt>
                <c:pt idx="2967">
                  <c:v>60133</c:v>
                </c:pt>
                <c:pt idx="2968">
                  <c:v>60140</c:v>
                </c:pt>
                <c:pt idx="2969">
                  <c:v>60147</c:v>
                </c:pt>
                <c:pt idx="2970">
                  <c:v>60154</c:v>
                </c:pt>
                <c:pt idx="2971">
                  <c:v>60161</c:v>
                </c:pt>
                <c:pt idx="2972">
                  <c:v>60168</c:v>
                </c:pt>
                <c:pt idx="2973">
                  <c:v>60175</c:v>
                </c:pt>
                <c:pt idx="2974">
                  <c:v>60182</c:v>
                </c:pt>
                <c:pt idx="2975">
                  <c:v>60189</c:v>
                </c:pt>
                <c:pt idx="2976">
                  <c:v>60196</c:v>
                </c:pt>
                <c:pt idx="2977">
                  <c:v>60203</c:v>
                </c:pt>
                <c:pt idx="2978">
                  <c:v>60210</c:v>
                </c:pt>
                <c:pt idx="2979">
                  <c:v>60217</c:v>
                </c:pt>
                <c:pt idx="2980">
                  <c:v>60224</c:v>
                </c:pt>
                <c:pt idx="2981">
                  <c:v>60231</c:v>
                </c:pt>
                <c:pt idx="2982">
                  <c:v>60238</c:v>
                </c:pt>
                <c:pt idx="2983">
                  <c:v>60245</c:v>
                </c:pt>
                <c:pt idx="2984">
                  <c:v>60252</c:v>
                </c:pt>
                <c:pt idx="2985">
                  <c:v>60259</c:v>
                </c:pt>
                <c:pt idx="2986">
                  <c:v>60267</c:v>
                </c:pt>
                <c:pt idx="2987">
                  <c:v>60274</c:v>
                </c:pt>
                <c:pt idx="2988">
                  <c:v>60281</c:v>
                </c:pt>
                <c:pt idx="2989">
                  <c:v>60288</c:v>
                </c:pt>
                <c:pt idx="2990">
                  <c:v>60295</c:v>
                </c:pt>
                <c:pt idx="2991">
                  <c:v>60302</c:v>
                </c:pt>
                <c:pt idx="2992">
                  <c:v>60309</c:v>
                </c:pt>
                <c:pt idx="2993">
                  <c:v>60316</c:v>
                </c:pt>
                <c:pt idx="2994">
                  <c:v>60323</c:v>
                </c:pt>
                <c:pt idx="2995">
                  <c:v>60330</c:v>
                </c:pt>
                <c:pt idx="2996">
                  <c:v>60337</c:v>
                </c:pt>
                <c:pt idx="2997">
                  <c:v>60344</c:v>
                </c:pt>
                <c:pt idx="2998">
                  <c:v>60351</c:v>
                </c:pt>
                <c:pt idx="2999">
                  <c:v>60359</c:v>
                </c:pt>
                <c:pt idx="3000">
                  <c:v>60366</c:v>
                </c:pt>
                <c:pt idx="3001">
                  <c:v>60373</c:v>
                </c:pt>
                <c:pt idx="3002">
                  <c:v>60380</c:v>
                </c:pt>
                <c:pt idx="3003">
                  <c:v>60387</c:v>
                </c:pt>
                <c:pt idx="3004">
                  <c:v>60394</c:v>
                </c:pt>
                <c:pt idx="3005">
                  <c:v>60401</c:v>
                </c:pt>
                <c:pt idx="3006">
                  <c:v>60408</c:v>
                </c:pt>
                <c:pt idx="3007">
                  <c:v>60415</c:v>
                </c:pt>
                <c:pt idx="3008">
                  <c:v>60422</c:v>
                </c:pt>
                <c:pt idx="3009">
                  <c:v>60429</c:v>
                </c:pt>
                <c:pt idx="3010">
                  <c:v>60436</c:v>
                </c:pt>
                <c:pt idx="3011">
                  <c:v>60443</c:v>
                </c:pt>
                <c:pt idx="3012">
                  <c:v>60450</c:v>
                </c:pt>
                <c:pt idx="3013">
                  <c:v>60457</c:v>
                </c:pt>
                <c:pt idx="3014">
                  <c:v>60464</c:v>
                </c:pt>
                <c:pt idx="3015">
                  <c:v>60471</c:v>
                </c:pt>
                <c:pt idx="3016">
                  <c:v>60478</c:v>
                </c:pt>
                <c:pt idx="3017">
                  <c:v>60485</c:v>
                </c:pt>
                <c:pt idx="3018">
                  <c:v>60492</c:v>
                </c:pt>
                <c:pt idx="3019">
                  <c:v>60499</c:v>
                </c:pt>
                <c:pt idx="3020">
                  <c:v>60506</c:v>
                </c:pt>
                <c:pt idx="3021">
                  <c:v>60513</c:v>
                </c:pt>
                <c:pt idx="3022">
                  <c:v>60520</c:v>
                </c:pt>
                <c:pt idx="3023">
                  <c:v>60527</c:v>
                </c:pt>
                <c:pt idx="3024">
                  <c:v>60534</c:v>
                </c:pt>
                <c:pt idx="3025">
                  <c:v>60541</c:v>
                </c:pt>
                <c:pt idx="3026">
                  <c:v>60548</c:v>
                </c:pt>
                <c:pt idx="3027">
                  <c:v>60555</c:v>
                </c:pt>
                <c:pt idx="3028">
                  <c:v>60562</c:v>
                </c:pt>
                <c:pt idx="3029">
                  <c:v>60569</c:v>
                </c:pt>
                <c:pt idx="3030">
                  <c:v>60576</c:v>
                </c:pt>
                <c:pt idx="3031">
                  <c:v>60583</c:v>
                </c:pt>
                <c:pt idx="3032">
                  <c:v>60590</c:v>
                </c:pt>
                <c:pt idx="3033">
                  <c:v>60597</c:v>
                </c:pt>
                <c:pt idx="3034">
                  <c:v>60604</c:v>
                </c:pt>
                <c:pt idx="3035">
                  <c:v>60611</c:v>
                </c:pt>
                <c:pt idx="3036">
                  <c:v>60618</c:v>
                </c:pt>
                <c:pt idx="3037">
                  <c:v>60625</c:v>
                </c:pt>
                <c:pt idx="3038">
                  <c:v>60632</c:v>
                </c:pt>
                <c:pt idx="3039">
                  <c:v>60639</c:v>
                </c:pt>
                <c:pt idx="3040">
                  <c:v>60646</c:v>
                </c:pt>
                <c:pt idx="3041">
                  <c:v>60653</c:v>
                </c:pt>
                <c:pt idx="3042">
                  <c:v>60660</c:v>
                </c:pt>
                <c:pt idx="3043">
                  <c:v>60667</c:v>
                </c:pt>
                <c:pt idx="3044">
                  <c:v>60674</c:v>
                </c:pt>
                <c:pt idx="3045">
                  <c:v>60681</c:v>
                </c:pt>
                <c:pt idx="3046">
                  <c:v>60688</c:v>
                </c:pt>
                <c:pt idx="3047">
                  <c:v>60695</c:v>
                </c:pt>
                <c:pt idx="3048">
                  <c:v>60702</c:v>
                </c:pt>
                <c:pt idx="3049">
                  <c:v>60709</c:v>
                </c:pt>
                <c:pt idx="3050">
                  <c:v>60716</c:v>
                </c:pt>
                <c:pt idx="3051">
                  <c:v>60723</c:v>
                </c:pt>
                <c:pt idx="3052">
                  <c:v>60730</c:v>
                </c:pt>
                <c:pt idx="3053">
                  <c:v>60737</c:v>
                </c:pt>
                <c:pt idx="3054">
                  <c:v>60744</c:v>
                </c:pt>
                <c:pt idx="3055">
                  <c:v>60751</c:v>
                </c:pt>
                <c:pt idx="3056">
                  <c:v>60758</c:v>
                </c:pt>
                <c:pt idx="3057">
                  <c:v>60765</c:v>
                </c:pt>
                <c:pt idx="3058">
                  <c:v>60772</c:v>
                </c:pt>
                <c:pt idx="3059">
                  <c:v>60779</c:v>
                </c:pt>
                <c:pt idx="3060">
                  <c:v>60786</c:v>
                </c:pt>
                <c:pt idx="3061">
                  <c:v>60793</c:v>
                </c:pt>
                <c:pt idx="3062">
                  <c:v>60800</c:v>
                </c:pt>
                <c:pt idx="3063">
                  <c:v>60807</c:v>
                </c:pt>
                <c:pt idx="3064">
                  <c:v>60814</c:v>
                </c:pt>
                <c:pt idx="3065">
                  <c:v>60821</c:v>
                </c:pt>
                <c:pt idx="3066">
                  <c:v>60828</c:v>
                </c:pt>
                <c:pt idx="3067">
                  <c:v>60835</c:v>
                </c:pt>
                <c:pt idx="3068">
                  <c:v>60842</c:v>
                </c:pt>
                <c:pt idx="3069">
                  <c:v>60849</c:v>
                </c:pt>
                <c:pt idx="3070">
                  <c:v>60856</c:v>
                </c:pt>
                <c:pt idx="3071">
                  <c:v>60863</c:v>
                </c:pt>
                <c:pt idx="3072">
                  <c:v>60870</c:v>
                </c:pt>
                <c:pt idx="3073">
                  <c:v>60877</c:v>
                </c:pt>
                <c:pt idx="3074">
                  <c:v>60884</c:v>
                </c:pt>
                <c:pt idx="3075">
                  <c:v>60891</c:v>
                </c:pt>
                <c:pt idx="3076">
                  <c:v>60898</c:v>
                </c:pt>
                <c:pt idx="3077">
                  <c:v>60905</c:v>
                </c:pt>
                <c:pt idx="3078">
                  <c:v>60912</c:v>
                </c:pt>
                <c:pt idx="3079">
                  <c:v>60919</c:v>
                </c:pt>
                <c:pt idx="3080">
                  <c:v>60926</c:v>
                </c:pt>
                <c:pt idx="3081">
                  <c:v>60933</c:v>
                </c:pt>
                <c:pt idx="3082">
                  <c:v>60940</c:v>
                </c:pt>
                <c:pt idx="3083">
                  <c:v>60947</c:v>
                </c:pt>
                <c:pt idx="3084">
                  <c:v>60954</c:v>
                </c:pt>
                <c:pt idx="3085">
                  <c:v>60961</c:v>
                </c:pt>
                <c:pt idx="3086">
                  <c:v>60968</c:v>
                </c:pt>
                <c:pt idx="3087">
                  <c:v>60975</c:v>
                </c:pt>
                <c:pt idx="3088">
                  <c:v>60982</c:v>
                </c:pt>
                <c:pt idx="3089">
                  <c:v>60989</c:v>
                </c:pt>
                <c:pt idx="3090">
                  <c:v>60996</c:v>
                </c:pt>
                <c:pt idx="3091">
                  <c:v>61003</c:v>
                </c:pt>
                <c:pt idx="3092">
                  <c:v>61010</c:v>
                </c:pt>
                <c:pt idx="3093">
                  <c:v>61017</c:v>
                </c:pt>
                <c:pt idx="3094">
                  <c:v>61024</c:v>
                </c:pt>
                <c:pt idx="3095">
                  <c:v>61031</c:v>
                </c:pt>
                <c:pt idx="3096">
                  <c:v>61038</c:v>
                </c:pt>
                <c:pt idx="3097">
                  <c:v>61045</c:v>
                </c:pt>
                <c:pt idx="3098">
                  <c:v>61052</c:v>
                </c:pt>
                <c:pt idx="3099">
                  <c:v>61059</c:v>
                </c:pt>
                <c:pt idx="3100">
                  <c:v>61066</c:v>
                </c:pt>
                <c:pt idx="3101">
                  <c:v>61073</c:v>
                </c:pt>
                <c:pt idx="3102">
                  <c:v>61080</c:v>
                </c:pt>
                <c:pt idx="3103">
                  <c:v>61087</c:v>
                </c:pt>
                <c:pt idx="3104">
                  <c:v>61094</c:v>
                </c:pt>
                <c:pt idx="3105">
                  <c:v>61101</c:v>
                </c:pt>
                <c:pt idx="3106">
                  <c:v>61108</c:v>
                </c:pt>
                <c:pt idx="3107">
                  <c:v>61115</c:v>
                </c:pt>
                <c:pt idx="3108">
                  <c:v>61122</c:v>
                </c:pt>
                <c:pt idx="3109">
                  <c:v>61129</c:v>
                </c:pt>
                <c:pt idx="3110">
                  <c:v>61136</c:v>
                </c:pt>
                <c:pt idx="3111">
                  <c:v>61143</c:v>
                </c:pt>
                <c:pt idx="3112">
                  <c:v>61150</c:v>
                </c:pt>
                <c:pt idx="3113">
                  <c:v>61157</c:v>
                </c:pt>
                <c:pt idx="3114">
                  <c:v>61164</c:v>
                </c:pt>
                <c:pt idx="3115">
                  <c:v>61171</c:v>
                </c:pt>
                <c:pt idx="3116">
                  <c:v>61178</c:v>
                </c:pt>
                <c:pt idx="3117">
                  <c:v>61185</c:v>
                </c:pt>
                <c:pt idx="3118">
                  <c:v>61192</c:v>
                </c:pt>
                <c:pt idx="3119">
                  <c:v>61199</c:v>
                </c:pt>
                <c:pt idx="3120">
                  <c:v>61206</c:v>
                </c:pt>
                <c:pt idx="3121">
                  <c:v>61213</c:v>
                </c:pt>
                <c:pt idx="3122">
                  <c:v>61220</c:v>
                </c:pt>
                <c:pt idx="3123">
                  <c:v>61227</c:v>
                </c:pt>
                <c:pt idx="3124">
                  <c:v>61234</c:v>
                </c:pt>
                <c:pt idx="3125">
                  <c:v>61241</c:v>
                </c:pt>
                <c:pt idx="3126">
                  <c:v>61248</c:v>
                </c:pt>
                <c:pt idx="3127">
                  <c:v>61255</c:v>
                </c:pt>
                <c:pt idx="3128">
                  <c:v>61262</c:v>
                </c:pt>
                <c:pt idx="3129">
                  <c:v>61269</c:v>
                </c:pt>
                <c:pt idx="3130">
                  <c:v>61276</c:v>
                </c:pt>
                <c:pt idx="3131">
                  <c:v>61283</c:v>
                </c:pt>
                <c:pt idx="3132">
                  <c:v>61290</c:v>
                </c:pt>
                <c:pt idx="3133">
                  <c:v>61297</c:v>
                </c:pt>
                <c:pt idx="3134">
                  <c:v>61304</c:v>
                </c:pt>
                <c:pt idx="3135">
                  <c:v>61311</c:v>
                </c:pt>
                <c:pt idx="3136">
                  <c:v>61318</c:v>
                </c:pt>
                <c:pt idx="3137">
                  <c:v>61325</c:v>
                </c:pt>
                <c:pt idx="3138">
                  <c:v>61332</c:v>
                </c:pt>
                <c:pt idx="3139">
                  <c:v>61339</c:v>
                </c:pt>
                <c:pt idx="3140">
                  <c:v>61346</c:v>
                </c:pt>
                <c:pt idx="3141">
                  <c:v>61353</c:v>
                </c:pt>
                <c:pt idx="3142">
                  <c:v>61360</c:v>
                </c:pt>
                <c:pt idx="3143">
                  <c:v>61367</c:v>
                </c:pt>
                <c:pt idx="3144">
                  <c:v>61374</c:v>
                </c:pt>
                <c:pt idx="3145">
                  <c:v>61381</c:v>
                </c:pt>
                <c:pt idx="3146">
                  <c:v>61388</c:v>
                </c:pt>
                <c:pt idx="3147">
                  <c:v>61395</c:v>
                </c:pt>
                <c:pt idx="3148">
                  <c:v>61402</c:v>
                </c:pt>
                <c:pt idx="3149">
                  <c:v>61409</c:v>
                </c:pt>
                <c:pt idx="3150">
                  <c:v>61416</c:v>
                </c:pt>
                <c:pt idx="3151">
                  <c:v>61423</c:v>
                </c:pt>
                <c:pt idx="3152">
                  <c:v>61430</c:v>
                </c:pt>
                <c:pt idx="3153">
                  <c:v>61437</c:v>
                </c:pt>
                <c:pt idx="3154">
                  <c:v>61444</c:v>
                </c:pt>
                <c:pt idx="3155">
                  <c:v>61451</c:v>
                </c:pt>
                <c:pt idx="3156">
                  <c:v>61458</c:v>
                </c:pt>
                <c:pt idx="3157">
                  <c:v>61465</c:v>
                </c:pt>
                <c:pt idx="3158">
                  <c:v>61472</c:v>
                </c:pt>
                <c:pt idx="3159">
                  <c:v>61479</c:v>
                </c:pt>
                <c:pt idx="3160">
                  <c:v>61487</c:v>
                </c:pt>
                <c:pt idx="3161">
                  <c:v>61494</c:v>
                </c:pt>
                <c:pt idx="3162">
                  <c:v>61501</c:v>
                </c:pt>
                <c:pt idx="3163">
                  <c:v>61508</c:v>
                </c:pt>
                <c:pt idx="3164">
                  <c:v>61515</c:v>
                </c:pt>
                <c:pt idx="3165">
                  <c:v>61522</c:v>
                </c:pt>
                <c:pt idx="3166">
                  <c:v>61529</c:v>
                </c:pt>
                <c:pt idx="3167">
                  <c:v>61536</c:v>
                </c:pt>
                <c:pt idx="3168">
                  <c:v>61543</c:v>
                </c:pt>
                <c:pt idx="3169">
                  <c:v>61550</c:v>
                </c:pt>
                <c:pt idx="3170">
                  <c:v>61557</c:v>
                </c:pt>
                <c:pt idx="3171">
                  <c:v>61564</c:v>
                </c:pt>
                <c:pt idx="3172">
                  <c:v>61571</c:v>
                </c:pt>
                <c:pt idx="3173">
                  <c:v>61578</c:v>
                </c:pt>
                <c:pt idx="3174">
                  <c:v>61585</c:v>
                </c:pt>
                <c:pt idx="3175">
                  <c:v>61592</c:v>
                </c:pt>
                <c:pt idx="3176">
                  <c:v>61599</c:v>
                </c:pt>
                <c:pt idx="3177">
                  <c:v>61606</c:v>
                </c:pt>
                <c:pt idx="3178">
                  <c:v>61613</c:v>
                </c:pt>
                <c:pt idx="3179">
                  <c:v>61620</c:v>
                </c:pt>
                <c:pt idx="3180">
                  <c:v>61627</c:v>
                </c:pt>
                <c:pt idx="3181">
                  <c:v>61634</c:v>
                </c:pt>
                <c:pt idx="3182">
                  <c:v>61641</c:v>
                </c:pt>
                <c:pt idx="3183">
                  <c:v>61648</c:v>
                </c:pt>
                <c:pt idx="3184">
                  <c:v>61655</c:v>
                </c:pt>
                <c:pt idx="3185">
                  <c:v>61662</c:v>
                </c:pt>
                <c:pt idx="3186">
                  <c:v>61669</c:v>
                </c:pt>
                <c:pt idx="3187">
                  <c:v>61676</c:v>
                </c:pt>
                <c:pt idx="3188">
                  <c:v>61683</c:v>
                </c:pt>
                <c:pt idx="3189">
                  <c:v>61690</c:v>
                </c:pt>
                <c:pt idx="3190">
                  <c:v>61697</c:v>
                </c:pt>
                <c:pt idx="3191">
                  <c:v>61704</c:v>
                </c:pt>
                <c:pt idx="3192">
                  <c:v>61711</c:v>
                </c:pt>
                <c:pt idx="3193">
                  <c:v>61718</c:v>
                </c:pt>
                <c:pt idx="3194">
                  <c:v>61728</c:v>
                </c:pt>
                <c:pt idx="3195">
                  <c:v>61735</c:v>
                </c:pt>
                <c:pt idx="3196">
                  <c:v>61742</c:v>
                </c:pt>
                <c:pt idx="3197">
                  <c:v>61749</c:v>
                </c:pt>
                <c:pt idx="3198">
                  <c:v>61756</c:v>
                </c:pt>
                <c:pt idx="3199">
                  <c:v>61763</c:v>
                </c:pt>
                <c:pt idx="3200">
                  <c:v>61770</c:v>
                </c:pt>
                <c:pt idx="3201">
                  <c:v>61777</c:v>
                </c:pt>
                <c:pt idx="3202">
                  <c:v>61784</c:v>
                </c:pt>
                <c:pt idx="3203">
                  <c:v>61791</c:v>
                </c:pt>
                <c:pt idx="3204">
                  <c:v>61798</c:v>
                </c:pt>
                <c:pt idx="3205">
                  <c:v>61805</c:v>
                </c:pt>
                <c:pt idx="3206">
                  <c:v>61812</c:v>
                </c:pt>
                <c:pt idx="3207">
                  <c:v>61819</c:v>
                </c:pt>
                <c:pt idx="3208">
                  <c:v>61826</c:v>
                </c:pt>
                <c:pt idx="3209">
                  <c:v>61835</c:v>
                </c:pt>
                <c:pt idx="3210">
                  <c:v>61840</c:v>
                </c:pt>
                <c:pt idx="3211">
                  <c:v>61847</c:v>
                </c:pt>
                <c:pt idx="3212">
                  <c:v>61854</c:v>
                </c:pt>
                <c:pt idx="3213">
                  <c:v>61861</c:v>
                </c:pt>
                <c:pt idx="3214">
                  <c:v>61868</c:v>
                </c:pt>
                <c:pt idx="3215">
                  <c:v>61875</c:v>
                </c:pt>
                <c:pt idx="3216">
                  <c:v>61882</c:v>
                </c:pt>
                <c:pt idx="3217">
                  <c:v>61889</c:v>
                </c:pt>
                <c:pt idx="3218">
                  <c:v>61896</c:v>
                </c:pt>
                <c:pt idx="3219">
                  <c:v>61903</c:v>
                </c:pt>
                <c:pt idx="3220">
                  <c:v>61910</c:v>
                </c:pt>
                <c:pt idx="3221">
                  <c:v>61917</c:v>
                </c:pt>
                <c:pt idx="3222">
                  <c:v>61924</c:v>
                </c:pt>
                <c:pt idx="3223">
                  <c:v>61931</c:v>
                </c:pt>
                <c:pt idx="3224">
                  <c:v>61938</c:v>
                </c:pt>
                <c:pt idx="3225">
                  <c:v>61945</c:v>
                </c:pt>
                <c:pt idx="3226">
                  <c:v>61952</c:v>
                </c:pt>
                <c:pt idx="3227">
                  <c:v>61959</c:v>
                </c:pt>
                <c:pt idx="3228">
                  <c:v>61966</c:v>
                </c:pt>
                <c:pt idx="3229">
                  <c:v>61973</c:v>
                </c:pt>
                <c:pt idx="3230">
                  <c:v>61980</c:v>
                </c:pt>
                <c:pt idx="3231">
                  <c:v>61987</c:v>
                </c:pt>
                <c:pt idx="3232">
                  <c:v>61994</c:v>
                </c:pt>
                <c:pt idx="3233">
                  <c:v>62001</c:v>
                </c:pt>
                <c:pt idx="3234">
                  <c:v>62008</c:v>
                </c:pt>
                <c:pt idx="3235">
                  <c:v>62015</c:v>
                </c:pt>
                <c:pt idx="3236">
                  <c:v>62022</c:v>
                </c:pt>
                <c:pt idx="3237">
                  <c:v>62029</c:v>
                </c:pt>
                <c:pt idx="3238">
                  <c:v>62036</c:v>
                </c:pt>
                <c:pt idx="3239">
                  <c:v>62043</c:v>
                </c:pt>
                <c:pt idx="3240">
                  <c:v>62050</c:v>
                </c:pt>
                <c:pt idx="3241">
                  <c:v>62057</c:v>
                </c:pt>
                <c:pt idx="3242">
                  <c:v>62064</c:v>
                </c:pt>
                <c:pt idx="3243">
                  <c:v>62071</c:v>
                </c:pt>
                <c:pt idx="3244">
                  <c:v>62078</c:v>
                </c:pt>
                <c:pt idx="3245">
                  <c:v>62085</c:v>
                </c:pt>
                <c:pt idx="3246">
                  <c:v>62093</c:v>
                </c:pt>
                <c:pt idx="3247">
                  <c:v>62100</c:v>
                </c:pt>
                <c:pt idx="3248">
                  <c:v>62107</c:v>
                </c:pt>
                <c:pt idx="3249">
                  <c:v>62114</c:v>
                </c:pt>
                <c:pt idx="3250">
                  <c:v>62121</c:v>
                </c:pt>
                <c:pt idx="3251">
                  <c:v>62128</c:v>
                </c:pt>
                <c:pt idx="3252">
                  <c:v>62135</c:v>
                </c:pt>
                <c:pt idx="3253">
                  <c:v>62142</c:v>
                </c:pt>
                <c:pt idx="3254">
                  <c:v>62149</c:v>
                </c:pt>
                <c:pt idx="3255">
                  <c:v>62156</c:v>
                </c:pt>
                <c:pt idx="3256">
                  <c:v>62163</c:v>
                </c:pt>
                <c:pt idx="3257">
                  <c:v>62170</c:v>
                </c:pt>
                <c:pt idx="3258">
                  <c:v>62177</c:v>
                </c:pt>
                <c:pt idx="3259">
                  <c:v>62186</c:v>
                </c:pt>
                <c:pt idx="3260">
                  <c:v>62193</c:v>
                </c:pt>
                <c:pt idx="3261">
                  <c:v>62200</c:v>
                </c:pt>
                <c:pt idx="3262">
                  <c:v>62207</c:v>
                </c:pt>
                <c:pt idx="3263">
                  <c:v>62215</c:v>
                </c:pt>
                <c:pt idx="3264">
                  <c:v>62221</c:v>
                </c:pt>
                <c:pt idx="3265">
                  <c:v>62228</c:v>
                </c:pt>
                <c:pt idx="3266">
                  <c:v>62235</c:v>
                </c:pt>
                <c:pt idx="3267">
                  <c:v>62242</c:v>
                </c:pt>
                <c:pt idx="3268">
                  <c:v>62249</c:v>
                </c:pt>
                <c:pt idx="3269">
                  <c:v>62256</c:v>
                </c:pt>
                <c:pt idx="3270">
                  <c:v>62263</c:v>
                </c:pt>
                <c:pt idx="3271">
                  <c:v>62270</c:v>
                </c:pt>
                <c:pt idx="3272">
                  <c:v>62277</c:v>
                </c:pt>
                <c:pt idx="3273">
                  <c:v>62284</c:v>
                </c:pt>
                <c:pt idx="3274">
                  <c:v>62291</c:v>
                </c:pt>
                <c:pt idx="3275">
                  <c:v>62298</c:v>
                </c:pt>
                <c:pt idx="3276">
                  <c:v>62305</c:v>
                </c:pt>
                <c:pt idx="3277">
                  <c:v>62312</c:v>
                </c:pt>
                <c:pt idx="3278">
                  <c:v>62319</c:v>
                </c:pt>
                <c:pt idx="3279">
                  <c:v>62326</c:v>
                </c:pt>
                <c:pt idx="3280">
                  <c:v>62333</c:v>
                </c:pt>
                <c:pt idx="3281">
                  <c:v>62340</c:v>
                </c:pt>
                <c:pt idx="3282">
                  <c:v>62347</c:v>
                </c:pt>
                <c:pt idx="3283">
                  <c:v>62354</c:v>
                </c:pt>
                <c:pt idx="3284">
                  <c:v>62361</c:v>
                </c:pt>
                <c:pt idx="3285">
                  <c:v>62368</c:v>
                </c:pt>
                <c:pt idx="3286">
                  <c:v>62375</c:v>
                </c:pt>
                <c:pt idx="3287">
                  <c:v>62382</c:v>
                </c:pt>
                <c:pt idx="3288">
                  <c:v>62389</c:v>
                </c:pt>
                <c:pt idx="3289">
                  <c:v>62396</c:v>
                </c:pt>
                <c:pt idx="3290">
                  <c:v>62403</c:v>
                </c:pt>
                <c:pt idx="3291">
                  <c:v>62410</c:v>
                </c:pt>
                <c:pt idx="3292">
                  <c:v>62417</c:v>
                </c:pt>
                <c:pt idx="3293">
                  <c:v>62424</c:v>
                </c:pt>
                <c:pt idx="3294">
                  <c:v>62431</c:v>
                </c:pt>
                <c:pt idx="3295">
                  <c:v>62438</c:v>
                </c:pt>
                <c:pt idx="3296">
                  <c:v>62445</c:v>
                </c:pt>
                <c:pt idx="3297">
                  <c:v>62456</c:v>
                </c:pt>
                <c:pt idx="3298">
                  <c:v>62460</c:v>
                </c:pt>
                <c:pt idx="3299">
                  <c:v>62466</c:v>
                </c:pt>
                <c:pt idx="3300">
                  <c:v>62473</c:v>
                </c:pt>
                <c:pt idx="3301">
                  <c:v>62480</c:v>
                </c:pt>
                <c:pt idx="3302">
                  <c:v>62487</c:v>
                </c:pt>
                <c:pt idx="3303">
                  <c:v>62494</c:v>
                </c:pt>
                <c:pt idx="3304">
                  <c:v>62501</c:v>
                </c:pt>
                <c:pt idx="3305">
                  <c:v>62508</c:v>
                </c:pt>
                <c:pt idx="3306">
                  <c:v>62515</c:v>
                </c:pt>
                <c:pt idx="3307">
                  <c:v>62522</c:v>
                </c:pt>
                <c:pt idx="3308">
                  <c:v>62529</c:v>
                </c:pt>
                <c:pt idx="3309">
                  <c:v>62536</c:v>
                </c:pt>
                <c:pt idx="3310">
                  <c:v>62543</c:v>
                </c:pt>
                <c:pt idx="3311">
                  <c:v>62550</c:v>
                </c:pt>
                <c:pt idx="3312">
                  <c:v>62557</c:v>
                </c:pt>
                <c:pt idx="3313">
                  <c:v>62564</c:v>
                </c:pt>
                <c:pt idx="3314">
                  <c:v>62571</c:v>
                </c:pt>
                <c:pt idx="3315">
                  <c:v>62578</c:v>
                </c:pt>
                <c:pt idx="3316">
                  <c:v>62585</c:v>
                </c:pt>
                <c:pt idx="3317">
                  <c:v>62592</c:v>
                </c:pt>
                <c:pt idx="3318">
                  <c:v>62599</c:v>
                </c:pt>
                <c:pt idx="3319">
                  <c:v>62606</c:v>
                </c:pt>
                <c:pt idx="3320">
                  <c:v>62613</c:v>
                </c:pt>
                <c:pt idx="3321">
                  <c:v>62620</c:v>
                </c:pt>
                <c:pt idx="3322">
                  <c:v>62627</c:v>
                </c:pt>
                <c:pt idx="3323">
                  <c:v>62634</c:v>
                </c:pt>
                <c:pt idx="3324">
                  <c:v>62641</c:v>
                </c:pt>
                <c:pt idx="3325">
                  <c:v>62648</c:v>
                </c:pt>
                <c:pt idx="3326">
                  <c:v>62655</c:v>
                </c:pt>
                <c:pt idx="3327">
                  <c:v>62662</c:v>
                </c:pt>
                <c:pt idx="3328">
                  <c:v>62669</c:v>
                </c:pt>
                <c:pt idx="3329">
                  <c:v>62676</c:v>
                </c:pt>
                <c:pt idx="3330">
                  <c:v>62683</c:v>
                </c:pt>
                <c:pt idx="3331">
                  <c:v>62690</c:v>
                </c:pt>
                <c:pt idx="3332">
                  <c:v>62697</c:v>
                </c:pt>
                <c:pt idx="3333">
                  <c:v>62704</c:v>
                </c:pt>
                <c:pt idx="3334">
                  <c:v>62711</c:v>
                </c:pt>
                <c:pt idx="3335">
                  <c:v>62718</c:v>
                </c:pt>
                <c:pt idx="3336">
                  <c:v>62725</c:v>
                </c:pt>
                <c:pt idx="3337">
                  <c:v>62732</c:v>
                </c:pt>
                <c:pt idx="3338">
                  <c:v>62739</c:v>
                </c:pt>
                <c:pt idx="3339">
                  <c:v>62746</c:v>
                </c:pt>
                <c:pt idx="3340">
                  <c:v>62753</c:v>
                </c:pt>
                <c:pt idx="3341">
                  <c:v>62760</c:v>
                </c:pt>
                <c:pt idx="3342">
                  <c:v>62767</c:v>
                </c:pt>
                <c:pt idx="3343">
                  <c:v>62774</c:v>
                </c:pt>
                <c:pt idx="3344">
                  <c:v>62781</c:v>
                </c:pt>
                <c:pt idx="3345">
                  <c:v>62788</c:v>
                </c:pt>
                <c:pt idx="3346">
                  <c:v>62795</c:v>
                </c:pt>
                <c:pt idx="3347">
                  <c:v>62802</c:v>
                </c:pt>
                <c:pt idx="3348">
                  <c:v>62809</c:v>
                </c:pt>
                <c:pt idx="3349">
                  <c:v>62816</c:v>
                </c:pt>
                <c:pt idx="3350">
                  <c:v>62823</c:v>
                </c:pt>
                <c:pt idx="3351">
                  <c:v>62830</c:v>
                </c:pt>
                <c:pt idx="3352">
                  <c:v>62837</c:v>
                </c:pt>
                <c:pt idx="3353">
                  <c:v>62844</c:v>
                </c:pt>
                <c:pt idx="3354">
                  <c:v>62851</c:v>
                </c:pt>
                <c:pt idx="3355">
                  <c:v>62858</c:v>
                </c:pt>
                <c:pt idx="3356">
                  <c:v>62865</c:v>
                </c:pt>
                <c:pt idx="3357">
                  <c:v>62872</c:v>
                </c:pt>
                <c:pt idx="3358">
                  <c:v>62879</c:v>
                </c:pt>
                <c:pt idx="3359">
                  <c:v>62886</c:v>
                </c:pt>
                <c:pt idx="3360">
                  <c:v>62893</c:v>
                </c:pt>
                <c:pt idx="3361">
                  <c:v>62900</c:v>
                </c:pt>
                <c:pt idx="3362">
                  <c:v>62907</c:v>
                </c:pt>
                <c:pt idx="3363">
                  <c:v>62914</c:v>
                </c:pt>
                <c:pt idx="3364">
                  <c:v>62921</c:v>
                </c:pt>
                <c:pt idx="3365">
                  <c:v>62928</c:v>
                </c:pt>
                <c:pt idx="3366">
                  <c:v>62935</c:v>
                </c:pt>
                <c:pt idx="3367">
                  <c:v>62942</c:v>
                </c:pt>
                <c:pt idx="3368">
                  <c:v>62949</c:v>
                </c:pt>
                <c:pt idx="3369">
                  <c:v>62956</c:v>
                </c:pt>
                <c:pt idx="3370">
                  <c:v>62963</c:v>
                </c:pt>
                <c:pt idx="3371">
                  <c:v>62970</c:v>
                </c:pt>
                <c:pt idx="3372">
                  <c:v>62977</c:v>
                </c:pt>
                <c:pt idx="3373">
                  <c:v>62984</c:v>
                </c:pt>
                <c:pt idx="3374">
                  <c:v>62991</c:v>
                </c:pt>
                <c:pt idx="3375">
                  <c:v>62998</c:v>
                </c:pt>
                <c:pt idx="3376">
                  <c:v>63005</c:v>
                </c:pt>
                <c:pt idx="3377">
                  <c:v>63012</c:v>
                </c:pt>
                <c:pt idx="3378">
                  <c:v>63019</c:v>
                </c:pt>
                <c:pt idx="3379">
                  <c:v>63026</c:v>
                </c:pt>
                <c:pt idx="3380">
                  <c:v>63033</c:v>
                </c:pt>
                <c:pt idx="3381">
                  <c:v>63040</c:v>
                </c:pt>
                <c:pt idx="3382">
                  <c:v>63047</c:v>
                </c:pt>
                <c:pt idx="3383">
                  <c:v>63054</c:v>
                </c:pt>
                <c:pt idx="3384">
                  <c:v>63061</c:v>
                </c:pt>
                <c:pt idx="3385">
                  <c:v>63068</c:v>
                </c:pt>
                <c:pt idx="3386">
                  <c:v>63075</c:v>
                </c:pt>
                <c:pt idx="3387">
                  <c:v>63082</c:v>
                </c:pt>
                <c:pt idx="3388">
                  <c:v>63089</c:v>
                </c:pt>
                <c:pt idx="3389">
                  <c:v>63096</c:v>
                </c:pt>
                <c:pt idx="3390">
                  <c:v>63103</c:v>
                </c:pt>
                <c:pt idx="3391">
                  <c:v>63110</c:v>
                </c:pt>
                <c:pt idx="3392">
                  <c:v>63117</c:v>
                </c:pt>
                <c:pt idx="3393">
                  <c:v>63124</c:v>
                </c:pt>
                <c:pt idx="3394">
                  <c:v>63131</c:v>
                </c:pt>
                <c:pt idx="3395">
                  <c:v>63138</c:v>
                </c:pt>
                <c:pt idx="3396">
                  <c:v>63145</c:v>
                </c:pt>
                <c:pt idx="3397">
                  <c:v>63152</c:v>
                </c:pt>
                <c:pt idx="3398">
                  <c:v>63159</c:v>
                </c:pt>
                <c:pt idx="3399">
                  <c:v>63166</c:v>
                </c:pt>
                <c:pt idx="3400">
                  <c:v>63173</c:v>
                </c:pt>
                <c:pt idx="3401">
                  <c:v>63180</c:v>
                </c:pt>
                <c:pt idx="3402">
                  <c:v>63187</c:v>
                </c:pt>
                <c:pt idx="3403">
                  <c:v>63194</c:v>
                </c:pt>
                <c:pt idx="3404">
                  <c:v>63201</c:v>
                </c:pt>
                <c:pt idx="3405">
                  <c:v>63208</c:v>
                </c:pt>
                <c:pt idx="3406">
                  <c:v>63215</c:v>
                </c:pt>
                <c:pt idx="3407">
                  <c:v>63222</c:v>
                </c:pt>
                <c:pt idx="3408">
                  <c:v>63229</c:v>
                </c:pt>
                <c:pt idx="3409">
                  <c:v>63236</c:v>
                </c:pt>
                <c:pt idx="3410">
                  <c:v>63243</c:v>
                </c:pt>
                <c:pt idx="3411">
                  <c:v>63250</c:v>
                </c:pt>
                <c:pt idx="3412">
                  <c:v>63257</c:v>
                </c:pt>
                <c:pt idx="3413">
                  <c:v>63264</c:v>
                </c:pt>
                <c:pt idx="3414">
                  <c:v>63271</c:v>
                </c:pt>
                <c:pt idx="3415">
                  <c:v>63278</c:v>
                </c:pt>
                <c:pt idx="3416">
                  <c:v>63285</c:v>
                </c:pt>
                <c:pt idx="3417">
                  <c:v>63292</c:v>
                </c:pt>
                <c:pt idx="3418">
                  <c:v>63299</c:v>
                </c:pt>
                <c:pt idx="3419">
                  <c:v>63306</c:v>
                </c:pt>
                <c:pt idx="3420">
                  <c:v>63313</c:v>
                </c:pt>
                <c:pt idx="3421">
                  <c:v>63320</c:v>
                </c:pt>
                <c:pt idx="3422">
                  <c:v>63327</c:v>
                </c:pt>
                <c:pt idx="3423">
                  <c:v>63334</c:v>
                </c:pt>
                <c:pt idx="3424">
                  <c:v>63341</c:v>
                </c:pt>
                <c:pt idx="3425">
                  <c:v>63348</c:v>
                </c:pt>
                <c:pt idx="3426">
                  <c:v>63355</c:v>
                </c:pt>
                <c:pt idx="3427">
                  <c:v>63362</c:v>
                </c:pt>
                <c:pt idx="3428">
                  <c:v>63369</c:v>
                </c:pt>
                <c:pt idx="3429">
                  <c:v>63376</c:v>
                </c:pt>
                <c:pt idx="3430">
                  <c:v>63383</c:v>
                </c:pt>
                <c:pt idx="3431">
                  <c:v>63390</c:v>
                </c:pt>
                <c:pt idx="3432">
                  <c:v>63397</c:v>
                </c:pt>
                <c:pt idx="3433">
                  <c:v>63404</c:v>
                </c:pt>
                <c:pt idx="3434">
                  <c:v>63411</c:v>
                </c:pt>
                <c:pt idx="3435">
                  <c:v>63418</c:v>
                </c:pt>
                <c:pt idx="3436">
                  <c:v>63425</c:v>
                </c:pt>
                <c:pt idx="3437">
                  <c:v>63432</c:v>
                </c:pt>
                <c:pt idx="3438">
                  <c:v>63439</c:v>
                </c:pt>
                <c:pt idx="3439">
                  <c:v>63446</c:v>
                </c:pt>
                <c:pt idx="3440">
                  <c:v>63453</c:v>
                </c:pt>
                <c:pt idx="3441">
                  <c:v>63460</c:v>
                </c:pt>
                <c:pt idx="3442">
                  <c:v>63467</c:v>
                </c:pt>
                <c:pt idx="3443">
                  <c:v>63474</c:v>
                </c:pt>
                <c:pt idx="3444">
                  <c:v>63481</c:v>
                </c:pt>
                <c:pt idx="3445">
                  <c:v>63488</c:v>
                </c:pt>
                <c:pt idx="3446">
                  <c:v>63495</c:v>
                </c:pt>
                <c:pt idx="3447">
                  <c:v>63502</c:v>
                </c:pt>
                <c:pt idx="3448">
                  <c:v>63509</c:v>
                </c:pt>
                <c:pt idx="3449">
                  <c:v>63516</c:v>
                </c:pt>
                <c:pt idx="3450">
                  <c:v>63523</c:v>
                </c:pt>
                <c:pt idx="3451">
                  <c:v>63530</c:v>
                </c:pt>
                <c:pt idx="3452">
                  <c:v>63537</c:v>
                </c:pt>
                <c:pt idx="3453">
                  <c:v>63544</c:v>
                </c:pt>
                <c:pt idx="3454">
                  <c:v>63552</c:v>
                </c:pt>
                <c:pt idx="3455">
                  <c:v>63559</c:v>
                </c:pt>
                <c:pt idx="3456">
                  <c:v>63566</c:v>
                </c:pt>
                <c:pt idx="3457">
                  <c:v>63573</c:v>
                </c:pt>
                <c:pt idx="3458">
                  <c:v>63580</c:v>
                </c:pt>
                <c:pt idx="3459">
                  <c:v>63587</c:v>
                </c:pt>
                <c:pt idx="3460">
                  <c:v>63594</c:v>
                </c:pt>
                <c:pt idx="3461">
                  <c:v>63601</c:v>
                </c:pt>
                <c:pt idx="3462">
                  <c:v>63608</c:v>
                </c:pt>
                <c:pt idx="3463">
                  <c:v>63615</c:v>
                </c:pt>
                <c:pt idx="3464">
                  <c:v>63622</c:v>
                </c:pt>
                <c:pt idx="3465">
                  <c:v>63629</c:v>
                </c:pt>
                <c:pt idx="3466">
                  <c:v>63636</c:v>
                </c:pt>
                <c:pt idx="3467">
                  <c:v>63643</c:v>
                </c:pt>
                <c:pt idx="3468">
                  <c:v>63650</c:v>
                </c:pt>
                <c:pt idx="3469">
                  <c:v>63661</c:v>
                </c:pt>
                <c:pt idx="3470">
                  <c:v>63664</c:v>
                </c:pt>
                <c:pt idx="3471">
                  <c:v>63671</c:v>
                </c:pt>
                <c:pt idx="3472">
                  <c:v>63678</c:v>
                </c:pt>
                <c:pt idx="3473">
                  <c:v>63685</c:v>
                </c:pt>
                <c:pt idx="3474">
                  <c:v>63692</c:v>
                </c:pt>
                <c:pt idx="3475">
                  <c:v>63699</c:v>
                </c:pt>
                <c:pt idx="3476">
                  <c:v>63706</c:v>
                </c:pt>
                <c:pt idx="3477">
                  <c:v>63713</c:v>
                </c:pt>
                <c:pt idx="3478">
                  <c:v>63720</c:v>
                </c:pt>
                <c:pt idx="3479">
                  <c:v>63727</c:v>
                </c:pt>
                <c:pt idx="3480">
                  <c:v>63734</c:v>
                </c:pt>
                <c:pt idx="3481">
                  <c:v>63741</c:v>
                </c:pt>
                <c:pt idx="3482">
                  <c:v>63748</c:v>
                </c:pt>
                <c:pt idx="3483">
                  <c:v>63755</c:v>
                </c:pt>
                <c:pt idx="3484">
                  <c:v>63762</c:v>
                </c:pt>
                <c:pt idx="3485">
                  <c:v>63769</c:v>
                </c:pt>
                <c:pt idx="3486">
                  <c:v>63776</c:v>
                </c:pt>
                <c:pt idx="3487">
                  <c:v>63783</c:v>
                </c:pt>
                <c:pt idx="3488">
                  <c:v>63790</c:v>
                </c:pt>
                <c:pt idx="3489">
                  <c:v>63797</c:v>
                </c:pt>
                <c:pt idx="3490">
                  <c:v>63804</c:v>
                </c:pt>
                <c:pt idx="3491">
                  <c:v>63811</c:v>
                </c:pt>
                <c:pt idx="3492">
                  <c:v>63818</c:v>
                </c:pt>
                <c:pt idx="3493">
                  <c:v>63825</c:v>
                </c:pt>
                <c:pt idx="3494">
                  <c:v>63832</c:v>
                </c:pt>
                <c:pt idx="3495">
                  <c:v>63839</c:v>
                </c:pt>
                <c:pt idx="3496">
                  <c:v>63846</c:v>
                </c:pt>
                <c:pt idx="3497">
                  <c:v>63853</c:v>
                </c:pt>
                <c:pt idx="3498">
                  <c:v>63860</c:v>
                </c:pt>
                <c:pt idx="3499">
                  <c:v>63867</c:v>
                </c:pt>
                <c:pt idx="3500">
                  <c:v>63874</c:v>
                </c:pt>
                <c:pt idx="3501">
                  <c:v>63881</c:v>
                </c:pt>
                <c:pt idx="3502">
                  <c:v>63888</c:v>
                </c:pt>
                <c:pt idx="3503">
                  <c:v>63895</c:v>
                </c:pt>
                <c:pt idx="3504">
                  <c:v>63902</c:v>
                </c:pt>
                <c:pt idx="3505">
                  <c:v>63909</c:v>
                </c:pt>
                <c:pt idx="3506">
                  <c:v>63919</c:v>
                </c:pt>
                <c:pt idx="3507">
                  <c:v>63926</c:v>
                </c:pt>
                <c:pt idx="3508">
                  <c:v>63933</c:v>
                </c:pt>
                <c:pt idx="3509">
                  <c:v>63940</c:v>
                </c:pt>
                <c:pt idx="3510">
                  <c:v>63947</c:v>
                </c:pt>
                <c:pt idx="3511">
                  <c:v>63954</c:v>
                </c:pt>
                <c:pt idx="3512">
                  <c:v>63961</c:v>
                </c:pt>
                <c:pt idx="3513">
                  <c:v>63968</c:v>
                </c:pt>
                <c:pt idx="3514">
                  <c:v>63975</c:v>
                </c:pt>
                <c:pt idx="3515">
                  <c:v>63982</c:v>
                </c:pt>
                <c:pt idx="3516">
                  <c:v>63989</c:v>
                </c:pt>
                <c:pt idx="3517">
                  <c:v>63996</c:v>
                </c:pt>
                <c:pt idx="3518">
                  <c:v>64003</c:v>
                </c:pt>
                <c:pt idx="3519">
                  <c:v>64010</c:v>
                </c:pt>
                <c:pt idx="3520">
                  <c:v>64019</c:v>
                </c:pt>
                <c:pt idx="3521">
                  <c:v>64024</c:v>
                </c:pt>
                <c:pt idx="3522">
                  <c:v>64031</c:v>
                </c:pt>
                <c:pt idx="3523">
                  <c:v>64038</c:v>
                </c:pt>
                <c:pt idx="3524">
                  <c:v>64045</c:v>
                </c:pt>
                <c:pt idx="3525">
                  <c:v>64052</c:v>
                </c:pt>
                <c:pt idx="3526">
                  <c:v>64059</c:v>
                </c:pt>
                <c:pt idx="3527">
                  <c:v>64066</c:v>
                </c:pt>
                <c:pt idx="3528">
                  <c:v>64073</c:v>
                </c:pt>
                <c:pt idx="3529">
                  <c:v>64080</c:v>
                </c:pt>
                <c:pt idx="3530">
                  <c:v>64087</c:v>
                </c:pt>
                <c:pt idx="3531">
                  <c:v>64094</c:v>
                </c:pt>
                <c:pt idx="3532">
                  <c:v>64101</c:v>
                </c:pt>
                <c:pt idx="3533">
                  <c:v>64108</c:v>
                </c:pt>
              </c:numCache>
            </c:numRef>
          </c:cat>
          <c:val>
            <c:numRef>
              <c:f>Monitor!$AB$19:$AB$3552</c:f>
              <c:numCache>
                <c:formatCode>0.0000%</c:formatCode>
                <c:ptCount val="3534"/>
                <c:pt idx="0">
                  <c:v>4.4000000000004604E-4</c:v>
                </c:pt>
                <c:pt idx="1">
                  <c:v>4.4377818873815854E-4</c:v>
                </c:pt>
                <c:pt idx="2">
                  <c:v>4.6266082459254522E-4</c:v>
                </c:pt>
                <c:pt idx="3">
                  <c:v>4.7036764670433555E-4</c:v>
                </c:pt>
                <c:pt idx="4">
                  <c:v>4.7817183072031692E-4</c:v>
                </c:pt>
                <c:pt idx="5">
                  <c:v>4.9403312303140164E-4</c:v>
                </c:pt>
                <c:pt idx="6">
                  <c:v>4.980218178755498E-4</c:v>
                </c:pt>
                <c:pt idx="7">
                  <c:v>5.1816972994954359E-4</c:v>
                </c:pt>
                <c:pt idx="8">
                  <c:v>5.262680126887257E-4</c:v>
                </c:pt>
                <c:pt idx="9">
                  <c:v>5.3436696436585647E-4</c:v>
                </c:pt>
                <c:pt idx="10">
                  <c:v>5.5039150516071383E-4</c:v>
                </c:pt>
                <c:pt idx="11">
                  <c:v>5.5446046104769091E-4</c:v>
                </c:pt>
                <c:pt idx="12">
                  <c:v>5.7438825253326058E-4</c:v>
                </c:pt>
                <c:pt idx="13">
                  <c:v>5.8220111212080739E-4</c:v>
                </c:pt>
                <c:pt idx="14">
                  <c:v>5.8991793667190933E-4</c:v>
                </c:pt>
                <c:pt idx="15">
                  <c:v>6.0438786187777527E-4</c:v>
                </c:pt>
                <c:pt idx="16">
                  <c:v>6.0838148208139159E-4</c:v>
                </c:pt>
                <c:pt idx="17">
                  <c:v>6.2657797714435351E-4</c:v>
                </c:pt>
                <c:pt idx="18">
                  <c:v>6.3342845486813459E-4</c:v>
                </c:pt>
                <c:pt idx="19">
                  <c:v>6.400861837272205E-4</c:v>
                </c:pt>
                <c:pt idx="20">
                  <c:v>6.4388540017986534E-4</c:v>
                </c:pt>
                <c:pt idx="21">
                  <c:v>6.4764341136420522E-4</c:v>
                </c:pt>
                <c:pt idx="22">
                  <c:v>6.6999999999952373E-4</c:v>
                </c:pt>
                <c:pt idx="23">
                  <c:v>6.7521536983161179E-4</c:v>
                </c:pt>
                <c:pt idx="24">
                  <c:v>6.8016702576472095E-4</c:v>
                </c:pt>
                <c:pt idx="25">
                  <c:v>6.8698977619834197E-4</c:v>
                </c:pt>
                <c:pt idx="26">
                  <c:v>6.9029881130919322E-4</c:v>
                </c:pt>
                <c:pt idx="27">
                  <c:v>7.0138743403703118E-4</c:v>
                </c:pt>
                <c:pt idx="28">
                  <c:v>7.0500751151829062E-4</c:v>
                </c:pt>
                <c:pt idx="29">
                  <c:v>7.0844744509236733E-4</c:v>
                </c:pt>
                <c:pt idx="30">
                  <c:v>7.1203941090420609E-4</c:v>
                </c:pt>
                <c:pt idx="31">
                  <c:v>7.1494126103537406E-4</c:v>
                </c:pt>
                <c:pt idx="32">
                  <c:v>7.2336283095833151E-4</c:v>
                </c:pt>
                <c:pt idx="33">
                  <c:v>7.2597262859850167E-4</c:v>
                </c:pt>
                <c:pt idx="34">
                  <c:v>7.2848585912653897E-4</c:v>
                </c:pt>
                <c:pt idx="35">
                  <c:v>7.3045244512499029E-4</c:v>
                </c:pt>
                <c:pt idx="36">
                  <c:v>7.3302154982323993E-4</c:v>
                </c:pt>
                <c:pt idx="37">
                  <c:v>7.4002140424653132E-4</c:v>
                </c:pt>
                <c:pt idx="38">
                  <c:v>7.4220597250065077E-4</c:v>
                </c:pt>
                <c:pt idx="39">
                  <c:v>7.4437755434803748E-4</c:v>
                </c:pt>
                <c:pt idx="40">
                  <c:v>7.4628021182141576E-4</c:v>
                </c:pt>
                <c:pt idx="41">
                  <c:v>7.4861291369067255E-4</c:v>
                </c:pt>
                <c:pt idx="42">
                  <c:v>7.5554841088093213E-4</c:v>
                </c:pt>
                <c:pt idx="43">
                  <c:v>7.5774830238769435E-4</c:v>
                </c:pt>
                <c:pt idx="44">
                  <c:v>7.6000000000023553E-4</c:v>
                </c:pt>
                <c:pt idx="45">
                  <c:v>7.623128742229279E-4</c:v>
                </c:pt>
                <c:pt idx="46">
                  <c:v>7.6468549037263017E-4</c:v>
                </c:pt>
                <c:pt idx="47">
                  <c:v>7.7212043034181118E-4</c:v>
                </c:pt>
                <c:pt idx="48">
                  <c:v>7.7469065407499661E-4</c:v>
                </c:pt>
                <c:pt idx="49">
                  <c:v>7.7729993958792695E-4</c:v>
                </c:pt>
                <c:pt idx="50">
                  <c:v>7.7994415079659935E-4</c:v>
                </c:pt>
                <c:pt idx="51">
                  <c:v>7.8261915159724661E-4</c:v>
                </c:pt>
                <c:pt idx="52">
                  <c:v>7.9078753019406122E-4</c:v>
                </c:pt>
                <c:pt idx="53">
                  <c:v>7.9354432789802512E-4</c:v>
                </c:pt>
                <c:pt idx="54">
                  <c:v>7.9631123435143091E-4</c:v>
                </c:pt>
                <c:pt idx="55">
                  <c:v>7.9908411331830952E-4</c:v>
                </c:pt>
                <c:pt idx="56">
                  <c:v>8.0185882853941375E-4</c:v>
                </c:pt>
                <c:pt idx="57">
                  <c:v>8.1015262879258567E-4</c:v>
                </c:pt>
                <c:pt idx="58">
                  <c:v>8.1289332597826833E-4</c:v>
                </c:pt>
                <c:pt idx="59">
                  <c:v>8.1561517777716148E-4</c:v>
                </c:pt>
                <c:pt idx="60">
                  <c:v>8.1831404779210621E-4</c:v>
                </c:pt>
                <c:pt idx="61">
                  <c:v>8.2375496758620018E-4</c:v>
                </c:pt>
                <c:pt idx="62">
                  <c:v>8.2944478058009496E-4</c:v>
                </c:pt>
                <c:pt idx="63">
                  <c:v>8.3131889574667318E-4</c:v>
                </c:pt>
                <c:pt idx="64">
                  <c:v>8.3437916100741227E-4</c:v>
                </c:pt>
                <c:pt idx="65">
                  <c:v>8.3676510683302317E-4</c:v>
                </c:pt>
                <c:pt idx="66">
                  <c:v>8.3999999999988598E-4</c:v>
                </c:pt>
                <c:pt idx="67">
                  <c:v>8.4567533341581161E-4</c:v>
                </c:pt>
                <c:pt idx="68">
                  <c:v>8.4773389848591223E-4</c:v>
                </c:pt>
                <c:pt idx="69">
                  <c:v>8.4972854830827357E-4</c:v>
                </c:pt>
                <c:pt idx="70">
                  <c:v>8.5166267076915137E-4</c:v>
                </c:pt>
                <c:pt idx="71">
                  <c:v>8.5387052647343978E-4</c:v>
                </c:pt>
                <c:pt idx="72">
                  <c:v>8.5886164537203949E-4</c:v>
                </c:pt>
                <c:pt idx="73">
                  <c:v>8.6054394995445534E-4</c:v>
                </c:pt>
                <c:pt idx="74">
                  <c:v>8.6218605486071507E-4</c:v>
                </c:pt>
                <c:pt idx="75">
                  <c:v>8.6379134809239186E-4</c:v>
                </c:pt>
                <c:pt idx="76">
                  <c:v>8.6542374728763307E-4</c:v>
                </c:pt>
                <c:pt idx="77">
                  <c:v>8.6991216473717662E-4</c:v>
                </c:pt>
                <c:pt idx="78">
                  <c:v>8.7138422005066866E-4</c:v>
                </c:pt>
                <c:pt idx="79">
                  <c:v>8.728397919528035E-4</c:v>
                </c:pt>
                <c:pt idx="80">
                  <c:v>8.7428226852771145E-4</c:v>
                </c:pt>
                <c:pt idx="81">
                  <c:v>8.7580918881493446E-4</c:v>
                </c:pt>
                <c:pt idx="82">
                  <c:v>8.799889835622263E-4</c:v>
                </c:pt>
                <c:pt idx="83">
                  <c:v>8.8141680509492713E-4</c:v>
                </c:pt>
                <c:pt idx="84">
                  <c:v>8.8285186000873516E-4</c:v>
                </c:pt>
                <c:pt idx="85">
                  <c:v>8.8429753645504915E-4</c:v>
                </c:pt>
                <c:pt idx="86">
                  <c:v>8.856041108675504E-4</c:v>
                </c:pt>
                <c:pt idx="87">
                  <c:v>8.9000000000025268E-4</c:v>
                </c:pt>
                <c:pt idx="88">
                  <c:v>8.9150943996184632E-4</c:v>
                </c:pt>
                <c:pt idx="89">
                  <c:v>8.9304241788622772E-4</c:v>
                </c:pt>
                <c:pt idx="90">
                  <c:v>8.9459774584627733E-4</c:v>
                </c:pt>
                <c:pt idx="91">
                  <c:v>8.9617423591224082E-4</c:v>
                </c:pt>
                <c:pt idx="92">
                  <c:v>9.0101879939931612E-4</c:v>
                </c:pt>
                <c:pt idx="93">
                  <c:v>9.0266805852638613E-4</c:v>
                </c:pt>
                <c:pt idx="94">
                  <c:v>9.0433254006052721E-4</c:v>
                </c:pt>
                <c:pt idx="95">
                  <c:v>9.0601105605222045E-4</c:v>
                </c:pt>
                <c:pt idx="96">
                  <c:v>9.0770241854755483E-4</c:v>
                </c:pt>
                <c:pt idx="97">
                  <c:v>9.1284170545831813E-4</c:v>
                </c:pt>
                <c:pt idx="98">
                  <c:v>9.1457257435224458E-4</c:v>
                </c:pt>
                <c:pt idx="99">
                  <c:v>9.1631034992228119E-4</c:v>
                </c:pt>
                <c:pt idx="100">
                  <c:v>9.1805384419079957E-4</c:v>
                </c:pt>
                <c:pt idx="101">
                  <c:v>9.1980186917534014E-4</c:v>
                </c:pt>
                <c:pt idx="102">
                  <c:v>9.2506124854998888E-4</c:v>
                </c:pt>
                <c:pt idx="103">
                  <c:v>9.2681551650067339E-4</c:v>
                </c:pt>
                <c:pt idx="104">
                  <c:v>9.2856837519666698E-4</c:v>
                </c:pt>
                <c:pt idx="105">
                  <c:v>9.3031863663091429E-4</c:v>
                </c:pt>
                <c:pt idx="106">
                  <c:v>9.3206511279240697E-4</c:v>
                </c:pt>
                <c:pt idx="107">
                  <c:v>9.376480083536598E-4</c:v>
                </c:pt>
                <c:pt idx="108">
                  <c:v>9.2831908730117534E-4</c:v>
                </c:pt>
                <c:pt idx="109">
                  <c:v>9.3000000000026124E-4</c:v>
                </c:pt>
                <c:pt idx="110">
                  <c:v>9.3166822964954555E-4</c:v>
                </c:pt>
                <c:pt idx="111">
                  <c:v>9.3394235831260333E-4</c:v>
                </c:pt>
                <c:pt idx="112">
                  <c:v>9.3822467853979844E-4</c:v>
                </c:pt>
                <c:pt idx="113">
                  <c:v>9.3983803609227101E-4</c:v>
                </c:pt>
                <c:pt idx="114">
                  <c:v>9.414424368876591E-4</c:v>
                </c:pt>
                <c:pt idx="115">
                  <c:v>9.4303855348567525E-4</c:v>
                </c:pt>
                <c:pt idx="116">
                  <c:v>9.4530472415172936E-4</c:v>
                </c:pt>
                <c:pt idx="117">
                  <c:v>9.4935362917428353E-4</c:v>
                </c:pt>
                <c:pt idx="118">
                  <c:v>9.5091841325888537E-4</c:v>
                </c:pt>
                <c:pt idx="119">
                  <c:v>9.5247894855025731E-4</c:v>
                </c:pt>
                <c:pt idx="120">
                  <c:v>9.5403590762471106E-4</c:v>
                </c:pt>
                <c:pt idx="121">
                  <c:v>9.5684855875260251E-4</c:v>
                </c:pt>
                <c:pt idx="122">
                  <c:v>9.6024143332544033E-4</c:v>
                </c:pt>
                <c:pt idx="123">
                  <c:v>9.6179060001501469E-4</c:v>
                </c:pt>
                <c:pt idx="124">
                  <c:v>9.6334022598266902E-4</c:v>
                </c:pt>
                <c:pt idx="125">
                  <c:v>9.6489098381912972E-4</c:v>
                </c:pt>
                <c:pt idx="126">
                  <c:v>9.7111878572565704E-4</c:v>
                </c:pt>
                <c:pt idx="127">
                  <c:v>9.7268529182950733E-4</c:v>
                </c:pt>
                <c:pt idx="128">
                  <c:v>9.7425696538758167E-4</c:v>
                </c:pt>
                <c:pt idx="129">
                  <c:v>9.7415138816130716E-4</c:v>
                </c:pt>
                <c:pt idx="130">
                  <c:v>9.8000000000009559E-4</c:v>
                </c:pt>
                <c:pt idx="131">
                  <c:v>9.8146988335622563E-4</c:v>
                </c:pt>
                <c:pt idx="132">
                  <c:v>9.8294261407909345E-4</c:v>
                </c:pt>
                <c:pt idx="133">
                  <c:v>9.8441715698050066E-4</c:v>
                </c:pt>
                <c:pt idx="134">
                  <c:v>9.8589247686917342E-4</c:v>
                </c:pt>
                <c:pt idx="135">
                  <c:v>9.9031274650520609E-4</c:v>
                </c:pt>
                <c:pt idx="136">
                  <c:v>9.9178082237223264E-4</c:v>
                </c:pt>
                <c:pt idx="137">
                  <c:v>9.9324449922535887E-4</c:v>
                </c:pt>
                <c:pt idx="138">
                  <c:v>9.9470274185486452E-4</c:v>
                </c:pt>
                <c:pt idx="139">
                  <c:v>9.9615451504927251E-4</c:v>
                </c:pt>
                <c:pt idx="140">
                  <c:v>1.0004606658474092E-3</c:v>
                </c:pt>
                <c:pt idx="141">
                  <c:v>1.0018762091146272E-3</c:v>
                </c:pt>
                <c:pt idx="142">
                  <c:v>1.0032801068392929E-3</c:v>
                </c:pt>
                <c:pt idx="143">
                  <c:v>1.0046713237928E-3</c:v>
                </c:pt>
                <c:pt idx="144">
                  <c:v>1.0060488247417114E-3</c:v>
                </c:pt>
                <c:pt idx="145">
                  <c:v>1.0100886792019004E-3</c:v>
                </c:pt>
                <c:pt idx="146">
                  <c:v>1.0114009637594036E-3</c:v>
                </c:pt>
                <c:pt idx="147">
                  <c:v>1.0126943561135008E-3</c:v>
                </c:pt>
                <c:pt idx="148">
                  <c:v>1.0139678210171392E-3</c:v>
                </c:pt>
                <c:pt idx="149">
                  <c:v>1.0152203232210695E-3</c:v>
                </c:pt>
                <c:pt idx="150">
                  <c:v>1.0188417011197232E-3</c:v>
                </c:pt>
                <c:pt idx="151">
                  <c:v>1.0199999999998305E-3</c:v>
                </c:pt>
                <c:pt idx="152">
                  <c:v>1.0211358091432715E-3</c:v>
                </c:pt>
                <c:pt idx="153">
                  <c:v>1.0222628744133949E-3</c:v>
                </c:pt>
                <c:pt idx="154">
                  <c:v>1.0233847306542663E-3</c:v>
                </c:pt>
                <c:pt idx="155">
                  <c:v>1.0267197429891307E-3</c:v>
                </c:pt>
                <c:pt idx="156">
                  <c:v>1.0278214609007561E-3</c:v>
                </c:pt>
                <c:pt idx="157">
                  <c:v>1.028918318678987E-3</c:v>
                </c:pt>
                <c:pt idx="158">
                  <c:v>1.0300103861022919E-3</c:v>
                </c:pt>
                <c:pt idx="159">
                  <c:v>1.0310977329513356E-3</c:v>
                </c:pt>
                <c:pt idx="160">
                  <c:v>1.0343321478494456E-3</c:v>
                </c:pt>
                <c:pt idx="161">
                  <c:v>1.0354013102006258E-3</c:v>
                </c:pt>
                <c:pt idx="162">
                  <c:v>1.0364661008786726E-3</c:v>
                </c:pt>
                <c:pt idx="163">
                  <c:v>1.0375265896638115E-3</c:v>
                </c:pt>
                <c:pt idx="164">
                  <c:v>1.0385828463384643E-3</c:v>
                </c:pt>
                <c:pt idx="165">
                  <c:v>1.0417269215074704E-3</c:v>
                </c:pt>
                <c:pt idx="166">
                  <c:v>1.0427669475512179E-3</c:v>
                </c:pt>
                <c:pt idx="167">
                  <c:v>1.0438030903917558E-3</c:v>
                </c:pt>
                <c:pt idx="168">
                  <c:v>1.0448354198106275E-3</c:v>
                </c:pt>
                <c:pt idx="169">
                  <c:v>1.0458640055906936E-3</c:v>
                </c:pt>
                <c:pt idx="170">
                  <c:v>1.0476536831187076E-3</c:v>
                </c:pt>
                <c:pt idx="171">
                  <c:v>1.0488187732000762E-3</c:v>
                </c:pt>
                <c:pt idx="172">
                  <c:v>1.0499999999999279E-3</c:v>
                </c:pt>
                <c:pt idx="173">
                  <c:v>1.0508494773600696E-3</c:v>
                </c:pt>
                <c:pt idx="174">
                  <c:v>1.0522791745164342E-3</c:v>
                </c:pt>
                <c:pt idx="175">
                  <c:v>1.0561593353912134E-3</c:v>
                </c:pt>
                <c:pt idx="176">
                  <c:v>1.0574451907820737E-3</c:v>
                </c:pt>
                <c:pt idx="177">
                  <c:v>1.0587501815861877E-3</c:v>
                </c:pt>
                <c:pt idx="178">
                  <c:v>1.0608324516369811E-3</c:v>
                </c:pt>
                <c:pt idx="179">
                  <c:v>1.0618303826850182E-3</c:v>
                </c:pt>
                <c:pt idx="180">
                  <c:v>1.0655792566242582E-3</c:v>
                </c:pt>
                <c:pt idx="181">
                  <c:v>1.0670093138282176E-3</c:v>
                </c:pt>
                <c:pt idx="182">
                  <c:v>1.0684619244382761E-3</c:v>
                </c:pt>
                <c:pt idx="183">
                  <c:v>1.0714634421567092E-3</c:v>
                </c:pt>
                <c:pt idx="184">
                  <c:v>1.0722212272416948E-3</c:v>
                </c:pt>
                <c:pt idx="185">
                  <c:v>1.076080368923545E-3</c:v>
                </c:pt>
                <c:pt idx="186">
                  <c:v>1.0776785542089612E-3</c:v>
                </c:pt>
                <c:pt idx="187">
                  <c:v>1.0793027110023651E-3</c:v>
                </c:pt>
                <c:pt idx="188">
                  <c:v>1.082908128293989E-3</c:v>
                </c:pt>
                <c:pt idx="189">
                  <c:v>1.089620399010244E-3</c:v>
                </c:pt>
                <c:pt idx="190">
                  <c:v>1.0914400292080676E-3</c:v>
                </c:pt>
                <c:pt idx="191">
                  <c:v>1.0922610976984947E-3</c:v>
                </c:pt>
                <c:pt idx="192">
                  <c:v>1.0961881396704233E-3</c:v>
                </c:pt>
                <c:pt idx="193">
                  <c:v>1.099999999999999E-3</c:v>
                </c:pt>
                <c:pt idx="194">
                  <c:v>1.1020226398776613E-3</c:v>
                </c:pt>
                <c:pt idx="195">
                  <c:v>1.1040782092968215E-3</c:v>
                </c:pt>
                <c:pt idx="196">
                  <c:v>1.1061637511737214E-3</c:v>
                </c:pt>
                <c:pt idx="197">
                  <c:v>1.110146325273662E-3</c:v>
                </c:pt>
                <c:pt idx="198">
                  <c:v>1.1147465011677128E-3</c:v>
                </c:pt>
                <c:pt idx="199">
                  <c:v>1.1169375486624071E-3</c:v>
                </c:pt>
                <c:pt idx="200">
                  <c:v>1.1191408258606898E-3</c:v>
                </c:pt>
                <c:pt idx="201">
                  <c:v>1.121353375594062E-3</c:v>
                </c:pt>
                <c:pt idx="202">
                  <c:v>1.1252421053417991E-3</c:v>
                </c:pt>
                <c:pt idx="203">
                  <c:v>1.1302371560262259E-3</c:v>
                </c:pt>
                <c:pt idx="204">
                  <c:v>1.1324517104296893E-3</c:v>
                </c:pt>
                <c:pt idx="205">
                  <c:v>1.1346577940728848E-3</c:v>
                </c:pt>
                <c:pt idx="206">
                  <c:v>1.1368524496938356E-3</c:v>
                </c:pt>
                <c:pt idx="207">
                  <c:v>1.1405020774934334E-3</c:v>
                </c:pt>
                <c:pt idx="208">
                  <c:v>1.1454576462570207E-3</c:v>
                </c:pt>
                <c:pt idx="209">
                  <c:v>1.147550802383261E-3</c:v>
                </c:pt>
                <c:pt idx="210">
                  <c:v>1.1496147866493823E-3</c:v>
                </c:pt>
                <c:pt idx="211">
                  <c:v>1.1516466417060469E-3</c:v>
                </c:pt>
                <c:pt idx="212">
                  <c:v>1.154922864236769E-3</c:v>
                </c:pt>
                <c:pt idx="213">
                  <c:v>1.1599999999999534E-3</c:v>
                </c:pt>
                <c:pt idx="214">
                  <c:v>1.1618157537368855E-3</c:v>
                </c:pt>
                <c:pt idx="215">
                  <c:v>1.1635881258059942E-3</c:v>
                </c:pt>
                <c:pt idx="216">
                  <c:v>1.1664552139071856E-3</c:v>
                </c:pt>
                <c:pt idx="217">
                  <c:v>1.167578264664701E-3</c:v>
                </c:pt>
                <c:pt idx="218">
                  <c:v>1.1719135377162993E-3</c:v>
                </c:pt>
                <c:pt idx="219">
                  <c:v>1.1734941859103713E-3</c:v>
                </c:pt>
                <c:pt idx="220">
                  <c:v>1.1750543079323769E-3</c:v>
                </c:pt>
                <c:pt idx="221">
                  <c:v>1.1776984899386678E-3</c:v>
                </c:pt>
                <c:pt idx="222">
                  <c:v>1.1786765289908438E-3</c:v>
                </c:pt>
                <c:pt idx="223">
                  <c:v>1.1826613049911608E-3</c:v>
                </c:pt>
                <c:pt idx="224">
                  <c:v>1.1841668378447634E-3</c:v>
                </c:pt>
                <c:pt idx="225">
                  <c:v>1.1856747005768299E-3</c:v>
                </c:pt>
                <c:pt idx="226">
                  <c:v>1.1883736880147209E-3</c:v>
                </c:pt>
                <c:pt idx="227">
                  <c:v>1.1893073008614288E-3</c:v>
                </c:pt>
                <c:pt idx="228">
                  <c:v>1.1933632444618618E-3</c:v>
                </c:pt>
                <c:pt idx="229">
                  <c:v>1.1949536558366325E-3</c:v>
                </c:pt>
                <c:pt idx="230">
                  <c:v>1.1965692536452111E-3</c:v>
                </c:pt>
                <c:pt idx="231">
                  <c:v>1.1995887288801699E-3</c:v>
                </c:pt>
                <c:pt idx="232">
                  <c:v>1.2005844884304959E-3</c:v>
                </c:pt>
                <c:pt idx="233">
                  <c:v>1.2051393239516676E-3</c:v>
                </c:pt>
                <c:pt idx="234">
                  <c:v>1.2062242662652383E-3</c:v>
                </c:pt>
                <c:pt idx="235">
                  <c:v>1.2080869108432686E-3</c:v>
                </c:pt>
                <c:pt idx="236">
                  <c:v>1.2099999999996495E-3</c:v>
                </c:pt>
                <c:pt idx="237">
                  <c:v>1.2136380376890897E-3</c:v>
                </c:pt>
                <c:pt idx="238">
                  <c:v>1.2181839952188675E-3</c:v>
                </c:pt>
                <c:pt idx="239">
                  <c:v>1.2203618874124509E-3</c:v>
                </c:pt>
                <c:pt idx="240">
                  <c:v>1.2225918900221257E-3</c:v>
                </c:pt>
                <c:pt idx="241">
                  <c:v>1.2248736795829216E-3</c:v>
                </c:pt>
                <c:pt idx="242">
                  <c:v>1.2295411192736743E-3</c:v>
                </c:pt>
                <c:pt idx="243">
                  <c:v>1.2345122381248251E-3</c:v>
                </c:pt>
                <c:pt idx="244">
                  <c:v>1.2370481105535903E-3</c:v>
                </c:pt>
                <c:pt idx="245">
                  <c:v>1.2396338291947588E-3</c:v>
                </c:pt>
                <c:pt idx="246">
                  <c:v>1.242269070600396E-3</c:v>
                </c:pt>
                <c:pt idx="247">
                  <c:v>1.2484095161350447E-3</c:v>
                </c:pt>
                <c:pt idx="248">
                  <c:v>1.2532987949604711E-3</c:v>
                </c:pt>
                <c:pt idx="249">
                  <c:v>1.2561767985262093E-3</c:v>
                </c:pt>
                <c:pt idx="250">
                  <c:v>1.2591023842041869E-3</c:v>
                </c:pt>
                <c:pt idx="251">
                  <c:v>1.2620752285582627E-3</c:v>
                </c:pt>
                <c:pt idx="252">
                  <c:v>1.2728348720248935E-3</c:v>
                </c:pt>
                <c:pt idx="253">
                  <c:v>1.2744327240673228E-3</c:v>
                </c:pt>
                <c:pt idx="254">
                  <c:v>1.2776370103104401E-3</c:v>
                </c:pt>
                <c:pt idx="255">
                  <c:v>1.2808866146416375E-3</c:v>
                </c:pt>
                <c:pt idx="256">
                  <c:v>1.2841812136330729E-3</c:v>
                </c:pt>
                <c:pt idx="257">
                  <c:v>1.3027818033525174E-3</c:v>
                </c:pt>
                <c:pt idx="258">
                  <c:v>1.3099999999991983E-3</c:v>
                </c:pt>
                <c:pt idx="259">
                  <c:v>1.3136916882251831E-3</c:v>
                </c:pt>
                <c:pt idx="260">
                  <c:v>1.3174274220348699E-3</c:v>
                </c:pt>
                <c:pt idx="261">
                  <c:v>1.330305238263299E-3</c:v>
                </c:pt>
                <c:pt idx="262">
                  <c:v>1.329635689410916E-3</c:v>
                </c:pt>
                <c:pt idx="263">
                  <c:v>1.3366236634165566E-3</c:v>
                </c:pt>
                <c:pt idx="264">
                  <c:v>1.3405378034538607E-3</c:v>
                </c:pt>
                <c:pt idx="265">
                  <c:v>1.3444673663641435E-3</c:v>
                </c:pt>
                <c:pt idx="266">
                  <c:v>1.3582798083753001E-3</c:v>
                </c:pt>
                <c:pt idx="267">
                  <c:v>1.3573077699782163E-3</c:v>
                </c:pt>
                <c:pt idx="268">
                  <c:v>1.3642034049023688E-3</c:v>
                </c:pt>
                <c:pt idx="269">
                  <c:v>1.36813963312617E-3</c:v>
                </c:pt>
                <c:pt idx="270">
                  <c:v>1.3720626599417439E-3</c:v>
                </c:pt>
                <c:pt idx="271">
                  <c:v>1.3850542363192905E-3</c:v>
                </c:pt>
                <c:pt idx="272">
                  <c:v>1.3843537828224469E-3</c:v>
                </c:pt>
                <c:pt idx="273">
                  <c:v>1.3913366457708322E-3</c:v>
                </c:pt>
                <c:pt idx="274">
                  <c:v>1.3950945874221716E-3</c:v>
                </c:pt>
                <c:pt idx="275">
                  <c:v>1.3988107018053401E-3</c:v>
                </c:pt>
                <c:pt idx="276">
                  <c:v>1.4092409116162768E-3</c:v>
                </c:pt>
                <c:pt idx="277">
                  <c:v>1.4124039926134029E-3</c:v>
                </c:pt>
                <c:pt idx="278">
                  <c:v>1.416620730254759E-3</c:v>
                </c:pt>
                <c:pt idx="279">
                  <c:v>1.4200000000000928E-3</c:v>
                </c:pt>
                <c:pt idx="280">
                  <c:v>1.4233106246545107E-3</c:v>
                </c:pt>
                <c:pt idx="281">
                  <c:v>1.4297667278320085E-3</c:v>
                </c:pt>
                <c:pt idx="282">
                  <c:v>1.4312352499593708E-3</c:v>
                </c:pt>
                <c:pt idx="283">
                  <c:v>1.4390437712113772E-3</c:v>
                </c:pt>
                <c:pt idx="284">
                  <c:v>1.442073774025682E-3</c:v>
                </c:pt>
                <c:pt idx="285">
                  <c:v>1.4450806911692207E-3</c:v>
                </c:pt>
                <c:pt idx="286">
                  <c:v>1.4488328571241496E-3</c:v>
                </c:pt>
                <c:pt idx="287">
                  <c:v>1.4513682208230111E-3</c:v>
                </c:pt>
                <c:pt idx="288">
                  <c:v>1.4600058437395866E-3</c:v>
                </c:pt>
                <c:pt idx="289">
                  <c:v>1.4630163585883022E-3</c:v>
                </c:pt>
                <c:pt idx="290">
                  <c:v>1.466051158730794E-3</c:v>
                </c:pt>
                <c:pt idx="291">
                  <c:v>1.4690371986938382E-3</c:v>
                </c:pt>
                <c:pt idx="292">
                  <c:v>1.4721704382341287E-3</c:v>
                </c:pt>
                <c:pt idx="293">
                  <c:v>1.4818263010753774E-3</c:v>
                </c:pt>
                <c:pt idx="294">
                  <c:v>1.4851489309605178E-3</c:v>
                </c:pt>
                <c:pt idx="295">
                  <c:v>1.4885432192409628E-3</c:v>
                </c:pt>
                <c:pt idx="296">
                  <c:v>1.4926760702993836E-3</c:v>
                </c:pt>
                <c:pt idx="297">
                  <c:v>1.4959506124319248E-3</c:v>
                </c:pt>
                <c:pt idx="298">
                  <c:v>1.506197765378944E-3</c:v>
                </c:pt>
                <c:pt idx="299">
                  <c:v>1.5093916518089351E-3</c:v>
                </c:pt>
                <c:pt idx="300">
                  <c:v>1.5125435385904672E-3</c:v>
                </c:pt>
                <c:pt idx="301">
                  <c:v>1.5162295732953344E-3</c:v>
                </c:pt>
                <c:pt idx="302">
                  <c:v>1.5199999999998886E-3</c:v>
                </c:pt>
                <c:pt idx="303">
                  <c:v>1.5332632622322674E-3</c:v>
                </c:pt>
                <c:pt idx="304">
                  <c:v>1.5359572705465857E-3</c:v>
                </c:pt>
                <c:pt idx="305">
                  <c:v>1.5401518672925512E-3</c:v>
                </c:pt>
                <c:pt idx="306">
                  <c:v>1.5444224686665224E-3</c:v>
                </c:pt>
                <c:pt idx="307">
                  <c:v>1.5487660211296408E-3</c:v>
                </c:pt>
                <c:pt idx="308">
                  <c:v>1.564523326252227E-3</c:v>
                </c:pt>
                <c:pt idx="309">
                  <c:v>1.5668086704679768E-3</c:v>
                </c:pt>
                <c:pt idx="310">
                  <c:v>1.5714711746390132E-3</c:v>
                </c:pt>
                <c:pt idx="311">
                  <c:v>1.5761883082526765E-3</c:v>
                </c:pt>
                <c:pt idx="312">
                  <c:v>1.5809570176217192E-3</c:v>
                </c:pt>
                <c:pt idx="313">
                  <c:v>1.598427274767697E-3</c:v>
                </c:pt>
                <c:pt idx="314">
                  <c:v>1.6004865380022555E-3</c:v>
                </c:pt>
                <c:pt idx="315">
                  <c:v>1.6054673199292658E-3</c:v>
                </c:pt>
                <c:pt idx="316">
                  <c:v>1.6104813549339156E-3</c:v>
                </c:pt>
                <c:pt idx="317">
                  <c:v>1.6155255891377289E-3</c:v>
                </c:pt>
                <c:pt idx="318">
                  <c:v>1.6339334186116644E-3</c:v>
                </c:pt>
                <c:pt idx="319">
                  <c:v>1.6359434393580083E-3</c:v>
                </c:pt>
                <c:pt idx="320">
                  <c:v>1.6410928603497203E-3</c:v>
                </c:pt>
                <c:pt idx="321">
                  <c:v>1.6462541566421749E-3</c:v>
                </c:pt>
                <c:pt idx="322">
                  <c:v>1.6545410900042972E-3</c:v>
                </c:pt>
                <c:pt idx="323">
                  <c:v>1.6699999999999163E-3</c:v>
                </c:pt>
                <c:pt idx="324">
                  <c:v>1.6751384725019196E-3</c:v>
                </c:pt>
                <c:pt idx="325">
                  <c:v>1.6802701185247605E-3</c:v>
                </c:pt>
                <c:pt idx="326">
                  <c:v>1.6853956527112897E-3</c:v>
                </c:pt>
                <c:pt idx="327">
                  <c:v>1.6905152189240114E-3</c:v>
                </c:pt>
                <c:pt idx="328">
                  <c:v>1.7058395483544769E-3</c:v>
                </c:pt>
                <c:pt idx="329">
                  <c:v>1.7109366813167764E-3</c:v>
                </c:pt>
                <c:pt idx="330">
                  <c:v>1.716028565634041E-3</c:v>
                </c:pt>
                <c:pt idx="331">
                  <c:v>1.7211153451788766E-3</c:v>
                </c:pt>
                <c:pt idx="332">
                  <c:v>1.7364123552479356E-3</c:v>
                </c:pt>
                <c:pt idx="333">
                  <c:v>1.7439163836605635E-3</c:v>
                </c:pt>
                <c:pt idx="334">
                  <c:v>1.7464777068890189E-3</c:v>
                </c:pt>
                <c:pt idx="335">
                  <c:v>1.7515368791652954E-3</c:v>
                </c:pt>
                <c:pt idx="336">
                  <c:v>1.7565919538054951E-3</c:v>
                </c:pt>
                <c:pt idx="337">
                  <c:v>1.7616430746932048E-3</c:v>
                </c:pt>
                <c:pt idx="338">
                  <c:v>1.7767741536864792E-3</c:v>
                </c:pt>
                <c:pt idx="339">
                  <c:v>1.7818108984189774E-3</c:v>
                </c:pt>
                <c:pt idx="340">
                  <c:v>1.786844408834925E-3</c:v>
                </c:pt>
                <c:pt idx="341">
                  <c:v>1.791874828824496E-3</c:v>
                </c:pt>
                <c:pt idx="342">
                  <c:v>1.7969023022826967E-3</c:v>
                </c:pt>
                <c:pt idx="343">
                  <c:v>1.8056895076736627E-3</c:v>
                </c:pt>
                <c:pt idx="344">
                  <c:v>1.8169856087071798E-3</c:v>
                </c:pt>
                <c:pt idx="345">
                  <c:v>1.8199999999994249E-3</c:v>
                </c:pt>
                <c:pt idx="346">
                  <c:v>1.8250454177766984E-3</c:v>
                </c:pt>
                <c:pt idx="347">
                  <c:v>1.8300922385585353E-3</c:v>
                </c:pt>
                <c:pt idx="348">
                  <c:v>1.8471896263554707E-3</c:v>
                </c:pt>
                <c:pt idx="349">
                  <c:v>1.8503666966020083E-3</c:v>
                </c:pt>
                <c:pt idx="350">
                  <c:v>1.8554753913894329E-3</c:v>
                </c:pt>
                <c:pt idx="351">
                  <c:v>1.8606074330389803E-3</c:v>
                </c:pt>
                <c:pt idx="352">
                  <c:v>1.8657664789927351E-3</c:v>
                </c:pt>
                <c:pt idx="353">
                  <c:v>1.8834259266551747E-3</c:v>
                </c:pt>
                <c:pt idx="354">
                  <c:v>1.8867458560658757E-3</c:v>
                </c:pt>
                <c:pt idx="355">
                  <c:v>1.8920947865555707E-3</c:v>
                </c:pt>
                <c:pt idx="356">
                  <c:v>1.8974926668415262E-3</c:v>
                </c:pt>
                <c:pt idx="357">
                  <c:v>1.9029431546524478E-3</c:v>
                </c:pt>
                <c:pt idx="358">
                  <c:v>1.9219257723499554E-3</c:v>
                </c:pt>
                <c:pt idx="359">
                  <c:v>1.9253443372647481E-3</c:v>
                </c:pt>
                <c:pt idx="360">
                  <c:v>1.9311127301971239E-3</c:v>
                </c:pt>
                <c:pt idx="361">
                  <c:v>1.9369556779859315E-3</c:v>
                </c:pt>
                <c:pt idx="362">
                  <c:v>1.9428768386902204E-3</c:v>
                </c:pt>
                <c:pt idx="363">
                  <c:v>1.9639369116667502E-3</c:v>
                </c:pt>
                <c:pt idx="364">
                  <c:v>1.9674167737258616E-3</c:v>
                </c:pt>
                <c:pt idx="365">
                  <c:v>1.9767596513174958E-3</c:v>
                </c:pt>
                <c:pt idx="366">
                  <c:v>1.9833258053112081E-3</c:v>
                </c:pt>
                <c:pt idx="367">
                  <c:v>1.989999999999114E-3</c:v>
                </c:pt>
                <c:pt idx="368">
                  <c:v>2.0106492451752835E-3</c:v>
                </c:pt>
                <c:pt idx="369">
                  <c:v>2.0177125495979518E-3</c:v>
                </c:pt>
                <c:pt idx="370">
                  <c:v>2.024850559428634E-3</c:v>
                </c:pt>
                <c:pt idx="371">
                  <c:v>2.032054030919145E-3</c:v>
                </c:pt>
                <c:pt idx="372">
                  <c:v>2.0393137201943695E-3</c:v>
                </c:pt>
                <c:pt idx="373">
                  <c:v>2.0613376540064305E-3</c:v>
                </c:pt>
                <c:pt idx="374">
                  <c:v>2.068729773027066E-3</c:v>
                </c:pt>
                <c:pt idx="375">
                  <c:v>2.0761318884606299E-3</c:v>
                </c:pt>
                <c:pt idx="376">
                  <c:v>2.0835347556221046E-3</c:v>
                </c:pt>
                <c:pt idx="377">
                  <c:v>2.0909291296885607E-3</c:v>
                </c:pt>
                <c:pt idx="378">
                  <c:v>2.1129688430308316E-3</c:v>
                </c:pt>
                <c:pt idx="379">
                  <c:v>2.1202367937459398E-3</c:v>
                </c:pt>
                <c:pt idx="380">
                  <c:v>2.1274500252024728E-3</c:v>
                </c:pt>
                <c:pt idx="381">
                  <c:v>2.1345992917676006E-3</c:v>
                </c:pt>
                <c:pt idx="382">
                  <c:v>2.141675347680682E-3</c:v>
                </c:pt>
                <c:pt idx="383">
                  <c:v>2.16906254531481E-3</c:v>
                </c:pt>
                <c:pt idx="384">
                  <c:v>2.1756338573306637E-3</c:v>
                </c:pt>
                <c:pt idx="385">
                  <c:v>2.1820764816548057E-3</c:v>
                </c:pt>
                <c:pt idx="386">
                  <c:v>2.1883811717448034E-3</c:v>
                </c:pt>
                <c:pt idx="387">
                  <c:v>2.1980582107988386E-3</c:v>
                </c:pt>
                <c:pt idx="388">
                  <c:v>2.1991820466382215E-3</c:v>
                </c:pt>
                <c:pt idx="389">
                  <c:v>2.2046795426060683E-3</c:v>
                </c:pt>
                <c:pt idx="390">
                  <c:v>2.2099946853152341E-3</c:v>
                </c:pt>
                <c:pt idx="391">
                  <c:v>2.2151403185386147E-3</c:v>
                </c:pt>
                <c:pt idx="392">
                  <c:v>2.2341799473664151E-3</c:v>
                </c:pt>
                <c:pt idx="393">
                  <c:v>2.2343558062955997E-3</c:v>
                </c:pt>
                <c:pt idx="394">
                  <c:v>2.238899931037504E-3</c:v>
                </c:pt>
                <c:pt idx="395">
                  <c:v>2.2433729631404498E-3</c:v>
                </c:pt>
                <c:pt idx="396">
                  <c:v>2.2477913060063898E-3</c:v>
                </c:pt>
                <c:pt idx="397">
                  <c:v>2.2652732391999844E-3</c:v>
                </c:pt>
                <c:pt idx="398">
                  <c:v>2.2652458583362861E-3</c:v>
                </c:pt>
                <c:pt idx="399">
                  <c:v>2.2696368112158139E-3</c:v>
                </c:pt>
                <c:pt idx="400">
                  <c:v>2.274071498351338E-3</c:v>
                </c:pt>
                <c:pt idx="401">
                  <c:v>2.2785663241694037E-3</c:v>
                </c:pt>
                <c:pt idx="402">
                  <c:v>2.2969053192572605E-3</c:v>
                </c:pt>
                <c:pt idx="403">
                  <c:v>2.2974751082561929E-3</c:v>
                </c:pt>
                <c:pt idx="404">
                  <c:v>2.3025166994449175E-3</c:v>
                </c:pt>
                <c:pt idx="405">
                  <c:v>2.307716859323313E-3</c:v>
                </c:pt>
                <c:pt idx="406">
                  <c:v>2.3130919935514136E-3</c:v>
                </c:pt>
                <c:pt idx="407">
                  <c:v>2.3346721017792394E-3</c:v>
                </c:pt>
                <c:pt idx="408">
                  <c:v>2.3366703952143525E-3</c:v>
                </c:pt>
                <c:pt idx="409">
                  <c:v>2.3431664943721724E-3</c:v>
                </c:pt>
                <c:pt idx="410">
                  <c:v>2.3499360070485583E-3</c:v>
                </c:pt>
                <c:pt idx="411">
                  <c:v>2.3569898287123464E-3</c:v>
                </c:pt>
                <c:pt idx="412">
                  <c:v>2.3838191229291579E-3</c:v>
                </c:pt>
                <c:pt idx="413">
                  <c:v>2.3877700278602835E-3</c:v>
                </c:pt>
                <c:pt idx="414">
                  <c:v>2.396022979925676E-3</c:v>
                </c:pt>
                <c:pt idx="415">
                  <c:v>2.4044657619121329E-3</c:v>
                </c:pt>
                <c:pt idx="416">
                  <c:v>2.4130817079500854E-3</c:v>
                </c:pt>
                <c:pt idx="417">
                  <c:v>2.4436993351165635E-3</c:v>
                </c:pt>
                <c:pt idx="418">
                  <c:v>2.4489438065128958E-3</c:v>
                </c:pt>
                <c:pt idx="419">
                  <c:v>2.4581755758843913E-3</c:v>
                </c:pt>
                <c:pt idx="420">
                  <c:v>2.4674805086044153E-3</c:v>
                </c:pt>
                <c:pt idx="421">
                  <c:v>2.4768419368787513E-3</c:v>
                </c:pt>
                <c:pt idx="422">
                  <c:v>2.5087756042078344E-3</c:v>
                </c:pt>
                <c:pt idx="423">
                  <c:v>2.5145192388165765E-3</c:v>
                </c:pt>
                <c:pt idx="424">
                  <c:v>2.5239131170880771E-3</c:v>
                </c:pt>
                <c:pt idx="425">
                  <c:v>2.5332634776035492E-3</c:v>
                </c:pt>
                <c:pt idx="426">
                  <c:v>2.5425536503809127E-3</c:v>
                </c:pt>
                <c:pt idx="427">
                  <c:v>2.5733621275316485E-3</c:v>
                </c:pt>
                <c:pt idx="428">
                  <c:v>2.5890450811567214E-3</c:v>
                </c:pt>
                <c:pt idx="429">
                  <c:v>2.5977054113010428E-3</c:v>
                </c:pt>
                <c:pt idx="430">
                  <c:v>2.6128752114258857E-3</c:v>
                </c:pt>
                <c:pt idx="431">
                  <c:v>2.6178589039817768E-3</c:v>
                </c:pt>
                <c:pt idx="432">
                  <c:v>2.6385650571117535E-3</c:v>
                </c:pt>
                <c:pt idx="433">
                  <c:v>2.6462689312299558E-3</c:v>
                </c:pt>
                <c:pt idx="434">
                  <c:v>2.6538317141516056E-3</c:v>
                </c:pt>
                <c:pt idx="435">
                  <c:v>2.6676416593672848E-3</c:v>
                </c:pt>
                <c:pt idx="436">
                  <c:v>2.6717398917388922E-3</c:v>
                </c:pt>
                <c:pt idx="437">
                  <c:v>2.6897569996980177E-3</c:v>
                </c:pt>
                <c:pt idx="438">
                  <c:v>2.6966098804626082E-3</c:v>
                </c:pt>
                <c:pt idx="439">
                  <c:v>2.7033672194648715E-3</c:v>
                </c:pt>
                <c:pt idx="440">
                  <c:v>2.7162120962397375E-3</c:v>
                </c:pt>
                <c:pt idx="441">
                  <c:v>2.7197023177735597E-3</c:v>
                </c:pt>
                <c:pt idx="442">
                  <c:v>2.7359485543158087E-3</c:v>
                </c:pt>
                <c:pt idx="443">
                  <c:v>2.7422693038678275E-3</c:v>
                </c:pt>
                <c:pt idx="444">
                  <c:v>2.7485400662515284E-3</c:v>
                </c:pt>
                <c:pt idx="445">
                  <c:v>2.7607945559271481E-3</c:v>
                </c:pt>
                <c:pt idx="446">
                  <c:v>2.7639661692074793E-3</c:v>
                </c:pt>
                <c:pt idx="447">
                  <c:v>2.7793718594105107E-3</c:v>
                </c:pt>
                <c:pt idx="448">
                  <c:v>2.7854793732217257E-3</c:v>
                </c:pt>
                <c:pt idx="449">
                  <c:v>2.7915824587886476E-3</c:v>
                </c:pt>
                <c:pt idx="450">
                  <c:v>2.7947225160878221E-3</c:v>
                </c:pt>
                <c:pt idx="451">
                  <c:v>2.7978804430611433E-3</c:v>
                </c:pt>
                <c:pt idx="452">
                  <c:v>2.8193264848828336E-3</c:v>
                </c:pt>
                <c:pt idx="453">
                  <c:v>2.8255467342170226E-3</c:v>
                </c:pt>
                <c:pt idx="454">
                  <c:v>2.8318016401549192E-3</c:v>
                </c:pt>
                <c:pt idx="455">
                  <c:v>2.83809117357752E-3</c:v>
                </c:pt>
                <c:pt idx="456">
                  <c:v>2.8502098711470393E-3</c:v>
                </c:pt>
                <c:pt idx="457">
                  <c:v>2.8635949997869066E-3</c:v>
                </c:pt>
                <c:pt idx="458">
                  <c:v>2.8700572338995409E-3</c:v>
                </c:pt>
                <c:pt idx="459">
                  <c:v>2.8765539208134424E-3</c:v>
                </c:pt>
                <c:pt idx="460">
                  <c:v>2.883085031419656E-3</c:v>
                </c:pt>
                <c:pt idx="461">
                  <c:v>2.9162559211228572E-3</c:v>
                </c:pt>
                <c:pt idx="462">
                  <c:v>2.9229929626748094E-3</c:v>
                </c:pt>
                <c:pt idx="463">
                  <c:v>2.9297642241961331E-3</c:v>
                </c:pt>
                <c:pt idx="464">
                  <c:v>2.942122123883787E-3</c:v>
                </c:pt>
                <c:pt idx="465">
                  <c:v>2.9571908880397725E-3</c:v>
                </c:pt>
                <c:pt idx="466">
                  <c:v>2.9641328129688736E-3</c:v>
                </c:pt>
                <c:pt idx="467">
                  <c:v>2.9711087833009745E-3</c:v>
                </c:pt>
                <c:pt idx="468">
                  <c:v>2.9781187699467753E-3</c:v>
                </c:pt>
                <c:pt idx="469">
                  <c:v>2.9932965728420068E-3</c:v>
                </c:pt>
                <c:pt idx="470">
                  <c:v>3.016350942557415E-3</c:v>
                </c:pt>
                <c:pt idx="471">
                  <c:v>3.0235538381578166E-3</c:v>
                </c:pt>
                <c:pt idx="472">
                  <c:v>3.0360954925457585E-3</c:v>
                </c:pt>
                <c:pt idx="473">
                  <c:v>3.0406872095757715E-3</c:v>
                </c:pt>
                <c:pt idx="474">
                  <c:v>3.0599137212039555E-3</c:v>
                </c:pt>
                <c:pt idx="475">
                  <c:v>3.067222500333258E-3</c:v>
                </c:pt>
                <c:pt idx="476">
                  <c:v>3.0745327871543582E-3</c:v>
                </c:pt>
                <c:pt idx="477">
                  <c:v>3.087019154085813E-3</c:v>
                </c:pt>
                <c:pt idx="478">
                  <c:v>3.0917187641228538E-3</c:v>
                </c:pt>
                <c:pt idx="479">
                  <c:v>3.1109454321996146E-3</c:v>
                </c:pt>
                <c:pt idx="480">
                  <c:v>3.1181679215522892E-3</c:v>
                </c:pt>
                <c:pt idx="481">
                  <c:v>3.1253596367539099E-3</c:v>
                </c:pt>
                <c:pt idx="482">
                  <c:v>3.1375812171482546E-3</c:v>
                </c:pt>
                <c:pt idx="483">
                  <c:v>3.142155780791116E-3</c:v>
                </c:pt>
                <c:pt idx="484">
                  <c:v>3.1606951795774049E-3</c:v>
                </c:pt>
                <c:pt idx="485">
                  <c:v>3.1676053964222271E-3</c:v>
                </c:pt>
                <c:pt idx="486">
                  <c:v>3.1744525540426853E-3</c:v>
                </c:pt>
                <c:pt idx="487">
                  <c:v>3.1862168041391259E-3</c:v>
                </c:pt>
                <c:pt idx="488">
                  <c:v>3.1904249159854748E-3</c:v>
                </c:pt>
                <c:pt idx="489">
                  <c:v>3.2075810178831279E-3</c:v>
                </c:pt>
                <c:pt idx="490">
                  <c:v>3.2139529578566139E-3</c:v>
                </c:pt>
                <c:pt idx="491">
                  <c:v>3.2177614858549769E-3</c:v>
                </c:pt>
                <c:pt idx="492">
                  <c:v>3.2239385993371172E-3</c:v>
                </c:pt>
                <c:pt idx="493">
                  <c:v>3.2349526752689143E-3</c:v>
                </c:pt>
                <c:pt idx="494">
                  <c:v>3.2475881926559949E-3</c:v>
                </c:pt>
                <c:pt idx="495">
                  <c:v>3.2532477070820608E-3</c:v>
                </c:pt>
                <c:pt idx="496">
                  <c:v>3.2588145262857E-3</c:v>
                </c:pt>
                <c:pt idx="497">
                  <c:v>3.2642929540600807E-3</c:v>
                </c:pt>
                <c:pt idx="498">
                  <c:v>3.2746710884033517E-3</c:v>
                </c:pt>
                <c:pt idx="499">
                  <c:v>3.2854088287822786E-3</c:v>
                </c:pt>
                <c:pt idx="500">
                  <c:v>3.2905098583421223E-3</c:v>
                </c:pt>
                <c:pt idx="501">
                  <c:v>3.2955483204290146E-3</c:v>
                </c:pt>
                <c:pt idx="502">
                  <c:v>3.3005285192213903E-3</c:v>
                </c:pt>
                <c:pt idx="503">
                  <c:v>3.3105347702330414E-3</c:v>
                </c:pt>
                <c:pt idx="504">
                  <c:v>3.3199527666878284E-3</c:v>
                </c:pt>
                <c:pt idx="505">
                  <c:v>3.3247062133448845E-3</c:v>
                </c:pt>
                <c:pt idx="506">
                  <c:v>3.3294272227612871E-3</c:v>
                </c:pt>
                <c:pt idx="507">
                  <c:v>3.3341200994356527E-3</c:v>
                </c:pt>
                <c:pt idx="508">
                  <c:v>3.349250448831526E-3</c:v>
                </c:pt>
                <c:pt idx="509">
                  <c:v>3.3553327791654383E-3</c:v>
                </c:pt>
                <c:pt idx="510">
                  <c:v>3.3573131520293056E-3</c:v>
                </c:pt>
                <c:pt idx="511">
                  <c:v>3.3619276290409528E-3</c:v>
                </c:pt>
                <c:pt idx="512">
                  <c:v>3.3665441059549201E-3</c:v>
                </c:pt>
                <c:pt idx="513">
                  <c:v>3.3684923769705787E-3</c:v>
                </c:pt>
                <c:pt idx="514">
                  <c:v>3.3878338253341511E-3</c:v>
                </c:pt>
                <c:pt idx="515">
                  <c:v>3.3925359648705857E-3</c:v>
                </c:pt>
                <c:pt idx="516">
                  <c:v>3.3972616293829003E-3</c:v>
                </c:pt>
                <c:pt idx="517">
                  <c:v>3.4075407778489542E-3</c:v>
                </c:pt>
                <c:pt idx="518">
                  <c:v>3.4416091662698412E-3</c:v>
                </c:pt>
                <c:pt idx="519">
                  <c:v>3.4768303929981256E-3</c:v>
                </c:pt>
                <c:pt idx="520">
                  <c:v>3.5132045208360434E-3</c:v>
                </c:pt>
                <c:pt idx="521">
                  <c:v>3.5507316146435406E-3</c:v>
                </c:pt>
                <c:pt idx="522">
                  <c:v>3.5894117413361221E-3</c:v>
                </c:pt>
                <c:pt idx="523">
                  <c:v>3.6292449698878625E-3</c:v>
                </c:pt>
                <c:pt idx="524">
                  <c:v>3.6702313713292542E-3</c:v>
                </c:pt>
                <c:pt idx="525">
                  <c:v>3.6952958521973868E-3</c:v>
                </c:pt>
                <c:pt idx="526">
                  <c:v>3.7381746603664702E-3</c:v>
                </c:pt>
                <c:pt idx="527">
                  <c:v>3.7822067519751304E-3</c:v>
                </c:pt>
                <c:pt idx="528">
                  <c:v>3.8273922034338468E-3</c:v>
                </c:pt>
                <c:pt idx="529">
                  <c:v>3.8737310931554764E-3</c:v>
                </c:pt>
                <c:pt idx="530">
                  <c:v>3.9250370699953352E-3</c:v>
                </c:pt>
                <c:pt idx="531">
                  <c:v>3.9737660255257682E-3</c:v>
                </c:pt>
                <c:pt idx="532">
                  <c:v>4.0236486923514907E-3</c:v>
                </c:pt>
                <c:pt idx="533">
                  <c:v>4.0746851575211131E-3</c:v>
                </c:pt>
                <c:pt idx="534">
                  <c:v>4.1227300003823597E-3</c:v>
                </c:pt>
                <c:pt idx="535">
                  <c:v>4.1759912785335369E-3</c:v>
                </c:pt>
                <c:pt idx="536">
                  <c:v>4.2304065999333017E-3</c:v>
                </c:pt>
                <c:pt idx="537">
                  <c:v>4.2859760590232355E-3</c:v>
                </c:pt>
                <c:pt idx="538">
                  <c:v>4.347177646286793E-3</c:v>
                </c:pt>
                <c:pt idx="539">
                  <c:v>4.4051388423949683E-3</c:v>
                </c:pt>
                <c:pt idx="540">
                  <c:v>4.4642545026190956E-3</c:v>
                </c:pt>
                <c:pt idx="541">
                  <c:v>4.5245247301368627E-3</c:v>
                </c:pt>
                <c:pt idx="542">
                  <c:v>4.5948188810597977E-3</c:v>
                </c:pt>
                <c:pt idx="543">
                  <c:v>4.6526569098610613E-3</c:v>
                </c:pt>
                <c:pt idx="544">
                  <c:v>4.7164492629847444E-3</c:v>
                </c:pt>
                <c:pt idx="545">
                  <c:v>4.7813244657632327E-3</c:v>
                </c:pt>
                <c:pt idx="546">
                  <c:v>4.8472321309843327E-3</c:v>
                </c:pt>
                <c:pt idx="547">
                  <c:v>4.9141218664166637E-3</c:v>
                </c:pt>
                <c:pt idx="548">
                  <c:v>4.9819432745552708E-3</c:v>
                </c:pt>
                <c:pt idx="549">
                  <c:v>5.050645952379613E-3</c:v>
                </c:pt>
                <c:pt idx="550">
                  <c:v>5.1201794911243503E-3</c:v>
                </c:pt>
                <c:pt idx="551">
                  <c:v>5.2118724949300269E-3</c:v>
                </c:pt>
                <c:pt idx="552">
                  <c:v>5.2830343015793178E-3</c:v>
                </c:pt>
                <c:pt idx="553">
                  <c:v>5.3548578768412743E-3</c:v>
                </c:pt>
                <c:pt idx="554">
                  <c:v>5.4272938752035708E-3</c:v>
                </c:pt>
                <c:pt idx="555">
                  <c:v>5.5313503192560122E-3</c:v>
                </c:pt>
                <c:pt idx="556">
                  <c:v>5.5738057253980431E-3</c:v>
                </c:pt>
                <c:pt idx="557">
                  <c:v>5.6477828519825666E-3</c:v>
                </c:pt>
                <c:pt idx="558">
                  <c:v>5.7221749509124408E-3</c:v>
                </c:pt>
                <c:pt idx="559">
                  <c:v>5.7969326416711263E-3</c:v>
                </c:pt>
                <c:pt idx="560">
                  <c:v>5.8720065363940125E-3</c:v>
                </c:pt>
                <c:pt idx="561">
                  <c:v>5.9473472397802776E-3</c:v>
                </c:pt>
                <c:pt idx="562">
                  <c:v>6.0229053490250487E-3</c:v>
                </c:pt>
                <c:pt idx="563">
                  <c:v>6.0986314537511289E-3</c:v>
                </c:pt>
                <c:pt idx="564">
                  <c:v>6.1744761359649302E-3</c:v>
                </c:pt>
                <c:pt idx="565">
                  <c:v>6.2503899700180124E-3</c:v>
                </c:pt>
                <c:pt idx="566">
                  <c:v>6.3263235225850525E-3</c:v>
                </c:pt>
                <c:pt idx="567">
                  <c:v>6.4022273526504435E-3</c:v>
                </c:pt>
                <c:pt idx="568">
                  <c:v>6.4780520115104582E-3</c:v>
                </c:pt>
                <c:pt idx="569">
                  <c:v>6.5537495804962815E-3</c:v>
                </c:pt>
                <c:pt idx="570">
                  <c:v>6.6292979632170332E-3</c:v>
                </c:pt>
                <c:pt idx="571">
                  <c:v>6.7046964933572782E-3</c:v>
                </c:pt>
                <c:pt idx="572">
                  <c:v>6.7799451533323805E-3</c:v>
                </c:pt>
                <c:pt idx="573">
                  <c:v>6.8550439255909744E-3</c:v>
                </c:pt>
                <c:pt idx="574">
                  <c:v>6.9299927926175569E-3</c:v>
                </c:pt>
                <c:pt idx="575">
                  <c:v>7.0047917369303282E-3</c:v>
                </c:pt>
                <c:pt idx="576">
                  <c:v>7.0794407410820553E-3</c:v>
                </c:pt>
                <c:pt idx="577">
                  <c:v>7.1325775788757834E-3</c:v>
                </c:pt>
                <c:pt idx="578">
                  <c:v>7.2069635940297189E-3</c:v>
                </c:pt>
                <c:pt idx="579">
                  <c:v>7.2811995726784458E-3</c:v>
                </c:pt>
                <c:pt idx="580">
                  <c:v>7.3552854978768444E-3</c:v>
                </c:pt>
                <c:pt idx="581">
                  <c:v>7.4345262410869554E-3</c:v>
                </c:pt>
                <c:pt idx="582">
                  <c:v>7.5083028140322883E-3</c:v>
                </c:pt>
                <c:pt idx="583">
                  <c:v>7.5819292936025306E-3</c:v>
                </c:pt>
                <c:pt idx="584">
                  <c:v>7.6765069658769215E-3</c:v>
                </c:pt>
                <c:pt idx="585">
                  <c:v>7.7287319050533248E-3</c:v>
                </c:pt>
                <c:pt idx="586">
                  <c:v>7.7966489819352881E-3</c:v>
                </c:pt>
                <c:pt idx="587">
                  <c:v>7.8696840613551155E-3</c:v>
                </c:pt>
                <c:pt idx="588">
                  <c:v>7.9425689529808094E-3</c:v>
                </c:pt>
                <c:pt idx="589">
                  <c:v>8.0153036401715335E-3</c:v>
                </c:pt>
                <c:pt idx="590">
                  <c:v>8.0931106207794042E-3</c:v>
                </c:pt>
                <c:pt idx="591">
                  <c:v>8.1655357478060478E-3</c:v>
                </c:pt>
                <c:pt idx="592">
                  <c:v>8.2378106305822443E-3</c:v>
                </c:pt>
                <c:pt idx="593">
                  <c:v>8.3099352525146716E-3</c:v>
                </c:pt>
                <c:pt idx="594">
                  <c:v>8.3971605240045419E-3</c:v>
                </c:pt>
                <c:pt idx="595">
                  <c:v>8.4844688671467019E-3</c:v>
                </c:pt>
                <c:pt idx="596">
                  <c:v>8.5560735607000983E-3</c:v>
                </c:pt>
                <c:pt idx="597">
                  <c:v>8.6275190007477284E-3</c:v>
                </c:pt>
                <c:pt idx="598">
                  <c:v>8.6988003670741536E-3</c:v>
                </c:pt>
                <c:pt idx="599">
                  <c:v>8.7699128388161098E-3</c:v>
                </c:pt>
                <c:pt idx="600">
                  <c:v>8.8408515944629288E-3</c:v>
                </c:pt>
                <c:pt idx="601">
                  <c:v>8.911611811864022E-3</c:v>
                </c:pt>
                <c:pt idx="602">
                  <c:v>8.9821886682319458E-3</c:v>
                </c:pt>
                <c:pt idx="603">
                  <c:v>9.0627282251927281E-3</c:v>
                </c:pt>
                <c:pt idx="604">
                  <c:v>9.1328953174140293E-3</c:v>
                </c:pt>
                <c:pt idx="605">
                  <c:v>9.2028637473278562E-3</c:v>
                </c:pt>
                <c:pt idx="606">
                  <c:v>9.2726287412840374E-3</c:v>
                </c:pt>
                <c:pt idx="607">
                  <c:v>9.3371703664477338E-3</c:v>
                </c:pt>
                <c:pt idx="608">
                  <c:v>9.4065299650093644E-3</c:v>
                </c:pt>
                <c:pt idx="609">
                  <c:v>9.4756721125747682E-3</c:v>
                </c:pt>
                <c:pt idx="610">
                  <c:v>9.5642419119457145E-3</c:v>
                </c:pt>
                <c:pt idx="611">
                  <c:v>9.6132848471196363E-3</c:v>
                </c:pt>
                <c:pt idx="612">
                  <c:v>9.6866791489357441E-3</c:v>
                </c:pt>
                <c:pt idx="613">
                  <c:v>9.754886378165583E-3</c:v>
                </c:pt>
                <c:pt idx="614">
                  <c:v>9.8228519606184863E-3</c:v>
                </c:pt>
                <c:pt idx="615">
                  <c:v>9.8905711173207147E-3</c:v>
                </c:pt>
                <c:pt idx="616">
                  <c:v>9.9531750965812741E-3</c:v>
                </c:pt>
                <c:pt idx="617">
                  <c:v>1.0020404724065138E-2</c:v>
                </c:pt>
                <c:pt idx="618">
                  <c:v>1.0087373663933247E-2</c:v>
                </c:pt>
                <c:pt idx="619">
                  <c:v>1.0154077109306769E-2</c:v>
                </c:pt>
                <c:pt idx="620">
                  <c:v>1.0230094555757109E-2</c:v>
                </c:pt>
                <c:pt idx="621">
                  <c:v>1.0291443923086216E-2</c:v>
                </c:pt>
                <c:pt idx="622">
                  <c:v>1.0357308818725489E-2</c:v>
                </c:pt>
                <c:pt idx="623">
                  <c:v>1.0422897868159753E-2</c:v>
                </c:pt>
                <c:pt idx="624">
                  <c:v>1.0488211043645116E-2</c:v>
                </c:pt>
                <c:pt idx="625">
                  <c:v>1.0553248317556283E-2</c:v>
                </c:pt>
                <c:pt idx="626">
                  <c:v>1.0618009662382216E-2</c:v>
                </c:pt>
                <c:pt idx="627">
                  <c:v>1.0682495050728743E-2</c:v>
                </c:pt>
                <c:pt idx="628">
                  <c:v>1.0746704455318118E-2</c:v>
                </c:pt>
                <c:pt idx="629">
                  <c:v>1.0801371012697698E-2</c:v>
                </c:pt>
                <c:pt idx="630">
                  <c:v>1.0865063986665247E-2</c:v>
                </c:pt>
                <c:pt idx="631">
                  <c:v>1.0928480893853688E-2</c:v>
                </c:pt>
                <c:pt idx="632">
                  <c:v>1.0991621707725569E-2</c:v>
                </c:pt>
                <c:pt idx="633">
                  <c:v>1.1059049393440925E-2</c:v>
                </c:pt>
                <c:pt idx="634">
                  <c:v>1.1121620135231384E-2</c:v>
                </c:pt>
                <c:pt idx="635">
                  <c:v>1.1183914705186714E-2</c:v>
                </c:pt>
                <c:pt idx="636">
                  <c:v>1.1245933077093569E-2</c:v>
                </c:pt>
                <c:pt idx="637">
                  <c:v>1.1307675224854791E-2</c:v>
                </c:pt>
                <c:pt idx="638">
                  <c:v>1.136466715969109E-2</c:v>
                </c:pt>
                <c:pt idx="639">
                  <c:v>1.1425874586955678E-2</c:v>
                </c:pt>
                <c:pt idx="640">
                  <c:v>1.1486805712743181E-2</c:v>
                </c:pt>
                <c:pt idx="641">
                  <c:v>1.1547460511553122E-2</c:v>
                </c:pt>
                <c:pt idx="642">
                  <c:v>1.1612241696168223E-2</c:v>
                </c:pt>
                <c:pt idx="643">
                  <c:v>1.1672325957491913E-2</c:v>
                </c:pt>
                <c:pt idx="644">
                  <c:v>1.173213381522837E-2</c:v>
                </c:pt>
                <c:pt idx="645">
                  <c:v>1.1791665244207784E-2</c:v>
                </c:pt>
                <c:pt idx="646">
                  <c:v>1.1855033688169257E-2</c:v>
                </c:pt>
                <c:pt idx="647">
                  <c:v>1.1913991044015425E-2</c:v>
                </c:pt>
                <c:pt idx="648">
                  <c:v>1.1972678359840044E-2</c:v>
                </c:pt>
                <c:pt idx="649">
                  <c:v>1.2031104579945549E-2</c:v>
                </c:pt>
                <c:pt idx="650">
                  <c:v>1.2089278684790958E-2</c:v>
                </c:pt>
                <c:pt idx="651">
                  <c:v>1.214720965598645E-2</c:v>
                </c:pt>
                <c:pt idx="652">
                  <c:v>1.2204906476281955E-2</c:v>
                </c:pt>
                <c:pt idx="653">
                  <c:v>1.2262378129556167E-2</c:v>
                </c:pt>
                <c:pt idx="654">
                  <c:v>1.231963360080645E-2</c:v>
                </c:pt>
                <c:pt idx="655">
                  <c:v>1.2385106570528126E-2</c:v>
                </c:pt>
                <c:pt idx="656">
                  <c:v>1.2441940666880759E-2</c:v>
                </c:pt>
                <c:pt idx="657">
                  <c:v>1.2498587139879147E-2</c:v>
                </c:pt>
                <c:pt idx="658">
                  <c:v>1.2555054881630339E-2</c:v>
                </c:pt>
                <c:pt idx="659">
                  <c:v>1.2607167891903621E-2</c:v>
                </c:pt>
                <c:pt idx="660">
                  <c:v>1.2663309912321133E-2</c:v>
                </c:pt>
                <c:pt idx="661">
                  <c:v>1.2735269460773989E-2</c:v>
                </c:pt>
                <c:pt idx="662">
                  <c:v>1.2791075712026024E-2</c:v>
                </c:pt>
                <c:pt idx="663">
                  <c:v>1.2846749760633597E-2</c:v>
                </c:pt>
                <c:pt idx="664">
                  <c:v>1.2914793447797784E-2</c:v>
                </c:pt>
                <c:pt idx="665">
                  <c:v>1.2970222681024763E-2</c:v>
                </c:pt>
                <c:pt idx="666">
                  <c:v>1.3025547580222584E-2</c:v>
                </c:pt>
                <c:pt idx="667">
                  <c:v>1.3080776952008186E-2</c:v>
                </c:pt>
                <c:pt idx="668">
                  <c:v>1.3123450148245076E-2</c:v>
                </c:pt>
                <c:pt idx="669">
                  <c:v>1.3178518905830975E-2</c:v>
                </c:pt>
                <c:pt idx="670">
                  <c:v>1.3233518111882505E-2</c:v>
                </c:pt>
                <c:pt idx="671">
                  <c:v>1.3300915332812014E-2</c:v>
                </c:pt>
                <c:pt idx="672">
                  <c:v>1.3355799202176966E-2</c:v>
                </c:pt>
                <c:pt idx="673">
                  <c:v>1.3410638935496561E-2</c:v>
                </c:pt>
                <c:pt idx="674">
                  <c:v>1.3465435998512736E-2</c:v>
                </c:pt>
                <c:pt idx="675">
                  <c:v>1.3520190387540267E-2</c:v>
                </c:pt>
                <c:pt idx="676">
                  <c:v>1.3562458683764636E-2</c:v>
                </c:pt>
                <c:pt idx="677">
                  <c:v>1.3629571128899247E-2</c:v>
                </c:pt>
                <c:pt idx="678">
                  <c:v>1.3684197473872279E-2</c:v>
                </c:pt>
                <c:pt idx="679">
                  <c:v>1.3738781130140267E-2</c:v>
                </c:pt>
                <c:pt idx="680">
                  <c:v>1.378089047214698E-2</c:v>
                </c:pt>
                <c:pt idx="681">
                  <c:v>1.3827105879869361E-2</c:v>
                </c:pt>
                <c:pt idx="682">
                  <c:v>1.38815662562375E-2</c:v>
                </c:pt>
                <c:pt idx="683">
                  <c:v>1.3935983897863928E-2</c:v>
                </c:pt>
                <c:pt idx="684">
                  <c:v>1.3990358801184202E-2</c:v>
                </c:pt>
                <c:pt idx="685">
                  <c:v>1.4048830020963741E-2</c:v>
                </c:pt>
                <c:pt idx="686">
                  <c:v>1.4103118498359463E-2</c:v>
                </c:pt>
                <c:pt idx="687">
                  <c:v>1.4157364232973564E-2</c:v>
                </c:pt>
                <c:pt idx="688">
                  <c:v>1.4211567221235274E-2</c:v>
                </c:pt>
                <c:pt idx="689">
                  <c:v>1.42657274595747E-2</c:v>
                </c:pt>
                <c:pt idx="690">
                  <c:v>1.4315710517459177E-2</c:v>
                </c:pt>
                <c:pt idx="691">
                  <c:v>1.4369786153083302E-2</c:v>
                </c:pt>
                <c:pt idx="692">
                  <c:v>1.4423819021989083E-2</c:v>
                </c:pt>
                <c:pt idx="693">
                  <c:v>1.4477809120638577E-2</c:v>
                </c:pt>
                <c:pt idx="694">
                  <c:v>1.45358872776978E-2</c:v>
                </c:pt>
                <c:pt idx="695">
                  <c:v>1.4589790941698747E-2</c:v>
                </c:pt>
                <c:pt idx="696">
                  <c:v>1.4643651830867667E-2</c:v>
                </c:pt>
                <c:pt idx="697">
                  <c:v>1.4697469941658383E-2</c:v>
                </c:pt>
                <c:pt idx="698">
                  <c:v>1.4747117936353723E-2</c:v>
                </c:pt>
                <c:pt idx="699">
                  <c:v>1.4800850868555964E-2</c:v>
                </c:pt>
                <c:pt idx="700">
                  <c:v>1.4854535439640663E-2</c:v>
                </c:pt>
                <c:pt idx="701">
                  <c:v>1.4908163925150283E-2</c:v>
                </c:pt>
                <c:pt idx="702">
                  <c:v>1.4961728569676133E-2</c:v>
                </c:pt>
                <c:pt idx="703">
                  <c:v>1.5015221616985871E-2</c:v>
                </c:pt>
                <c:pt idx="704">
                  <c:v>1.5068635310026597E-2</c:v>
                </c:pt>
                <c:pt idx="705">
                  <c:v>1.512196189092971E-2</c:v>
                </c:pt>
                <c:pt idx="706">
                  <c:v>1.5175193601009138E-2</c:v>
                </c:pt>
                <c:pt idx="707">
                  <c:v>1.5248723027920078E-2</c:v>
                </c:pt>
                <c:pt idx="708">
                  <c:v>1.5301694885650419E-2</c:v>
                </c:pt>
                <c:pt idx="709">
                  <c:v>1.5354545236199238E-2</c:v>
                </c:pt>
                <c:pt idx="710">
                  <c:v>1.5407266523861658E-2</c:v>
                </c:pt>
                <c:pt idx="711">
                  <c:v>1.5447738441262984E-2</c:v>
                </c:pt>
                <c:pt idx="712">
                  <c:v>1.5500214452172728E-2</c:v>
                </c:pt>
                <c:pt idx="713">
                  <c:v>1.5552540230320723E-2</c:v>
                </c:pt>
                <c:pt idx="714">
                  <c:v>1.5604708094497856E-2</c:v>
                </c:pt>
                <c:pt idx="715">
                  <c:v>1.5656710362726669E-2</c:v>
                </c:pt>
                <c:pt idx="716">
                  <c:v>1.572046071070736E-2</c:v>
                </c:pt>
                <c:pt idx="717">
                  <c:v>1.5772066932645292E-2</c:v>
                </c:pt>
                <c:pt idx="718">
                  <c:v>1.5823483618043647E-2</c:v>
                </c:pt>
                <c:pt idx="719">
                  <c:v>1.5874703204286935E-2</c:v>
                </c:pt>
                <c:pt idx="720">
                  <c:v>1.5913968842294884E-2</c:v>
                </c:pt>
                <c:pt idx="721">
                  <c:v>1.5964816170972052E-2</c:v>
                </c:pt>
                <c:pt idx="722">
                  <c:v>1.6015444108842931E-2</c:v>
                </c:pt>
                <c:pt idx="723">
                  <c:v>1.6065844968015674E-2</c:v>
                </c:pt>
                <c:pt idx="724">
                  <c:v>1.6127579905700063E-2</c:v>
                </c:pt>
                <c:pt idx="725">
                  <c:v>1.6177458833828078E-2</c:v>
                </c:pt>
                <c:pt idx="726">
                  <c:v>1.6227094178607331E-2</c:v>
                </c:pt>
                <c:pt idx="727">
                  <c:v>1.6276485917720625E-2</c:v>
                </c:pt>
                <c:pt idx="728">
                  <c:v>1.6325634032609039E-2</c:v>
                </c:pt>
                <c:pt idx="729">
                  <c:v>1.6374538504804765E-2</c:v>
                </c:pt>
                <c:pt idx="730">
                  <c:v>1.6423199315933681E-2</c:v>
                </c:pt>
                <c:pt idx="731">
                  <c:v>1.6471616447709347E-2</c:v>
                </c:pt>
                <c:pt idx="732">
                  <c:v>1.6519789881938564E-2</c:v>
                </c:pt>
                <c:pt idx="733">
                  <c:v>1.654911517293391E-2</c:v>
                </c:pt>
                <c:pt idx="734">
                  <c:v>1.6596877267398547E-2</c:v>
                </c:pt>
                <c:pt idx="735">
                  <c:v>1.6644395641311375E-2</c:v>
                </c:pt>
                <c:pt idx="736">
                  <c:v>1.6691670277294478E-2</c:v>
                </c:pt>
                <c:pt idx="737">
                  <c:v>1.6742363809150392E-2</c:v>
                </c:pt>
                <c:pt idx="738">
                  <c:v>1.6789135671771118E-2</c:v>
                </c:pt>
                <c:pt idx="739">
                  <c:v>1.6835663738325866E-2</c:v>
                </c:pt>
                <c:pt idx="740">
                  <c:v>1.6881947991703936E-2</c:v>
                </c:pt>
                <c:pt idx="741">
                  <c:v>1.6927988414885093E-2</c:v>
                </c:pt>
                <c:pt idx="742">
                  <c:v>1.6970198634732831E-2</c:v>
                </c:pt>
                <c:pt idx="743">
                  <c:v>1.7015766626105547E-2</c:v>
                </c:pt>
                <c:pt idx="744">
                  <c:v>1.706109074372834E-2</c:v>
                </c:pt>
                <c:pt idx="745">
                  <c:v>1.7106170971024414E-2</c:v>
                </c:pt>
                <c:pt idx="746">
                  <c:v>1.7154532488358836E-2</c:v>
                </c:pt>
                <c:pt idx="747">
                  <c:v>1.7199109577923952E-2</c:v>
                </c:pt>
                <c:pt idx="748">
                  <c:v>1.7243442720650516E-2</c:v>
                </c:pt>
                <c:pt idx="749">
                  <c:v>1.7287531900230694E-2</c:v>
                </c:pt>
                <c:pt idx="750">
                  <c:v>1.7331377100450636E-2</c:v>
                </c:pt>
                <c:pt idx="751">
                  <c:v>1.7371529728568178E-2</c:v>
                </c:pt>
                <c:pt idx="752">
                  <c:v>1.741490296632757E-2</c:v>
                </c:pt>
                <c:pt idx="753">
                  <c:v>1.7458034751326856E-2</c:v>
                </c:pt>
                <c:pt idx="754">
                  <c:v>1.7500927064516246E-2</c:v>
                </c:pt>
                <c:pt idx="755">
                  <c:v>1.754358188710254E-2</c:v>
                </c:pt>
                <c:pt idx="756">
                  <c:v>1.7586001200546483E-2</c:v>
                </c:pt>
                <c:pt idx="757">
                  <c:v>1.7628186986561427E-2</c:v>
                </c:pt>
                <c:pt idx="758">
                  <c:v>1.7670141227110699E-2</c:v>
                </c:pt>
                <c:pt idx="759">
                  <c:v>1.7728527103359031E-2</c:v>
                </c:pt>
                <c:pt idx="760">
                  <c:v>1.7769957782757643E-2</c:v>
                </c:pt>
                <c:pt idx="761">
                  <c:v>1.7811163717093265E-2</c:v>
                </c:pt>
                <c:pt idx="762">
                  <c:v>1.7852146835813033E-2</c:v>
                </c:pt>
                <c:pt idx="763">
                  <c:v>1.7883072003317766E-2</c:v>
                </c:pt>
                <c:pt idx="764">
                  <c:v>1.792365324793296E-2</c:v>
                </c:pt>
                <c:pt idx="765">
                  <c:v>1.7964017087674596E-2</c:v>
                </c:pt>
                <c:pt idx="766">
                  <c:v>1.8004165484679355E-2</c:v>
                </c:pt>
                <c:pt idx="767">
                  <c:v>1.8044100401314996E-2</c:v>
                </c:pt>
                <c:pt idx="768">
                  <c:v>1.8093474499213353E-2</c:v>
                </c:pt>
                <c:pt idx="769">
                  <c:v>1.8132951953028113E-2</c:v>
                </c:pt>
                <c:pt idx="770">
                  <c:v>1.8172222035260168E-2</c:v>
                </c:pt>
                <c:pt idx="771">
                  <c:v>1.8211286677437148E-2</c:v>
                </c:pt>
                <c:pt idx="772">
                  <c:v>1.8240641477693154E-2</c:v>
                </c:pt>
                <c:pt idx="773">
                  <c:v>1.8279336734474246E-2</c:v>
                </c:pt>
                <c:pt idx="774">
                  <c:v>1.8317832253733953E-2</c:v>
                </c:pt>
                <c:pt idx="775">
                  <c:v>1.835612999960954E-2</c:v>
                </c:pt>
                <c:pt idx="776">
                  <c:v>1.8394231936447947E-2</c:v>
                </c:pt>
                <c:pt idx="777">
                  <c:v>1.8441468456995781E-2</c:v>
                </c:pt>
                <c:pt idx="778">
                  <c:v>1.8479148200614779E-2</c:v>
                </c:pt>
                <c:pt idx="779">
                  <c:v>1.8516635186478215E-2</c:v>
                </c:pt>
                <c:pt idx="780">
                  <c:v>1.8553929403464228E-2</c:v>
                </c:pt>
                <c:pt idx="781">
                  <c:v>1.8591030840508126E-2</c:v>
                </c:pt>
                <c:pt idx="782">
                  <c:v>1.8627939486601509E-2</c:v>
                </c:pt>
                <c:pt idx="783">
                  <c:v>1.8664655330793995E-2</c:v>
                </c:pt>
                <c:pt idx="784">
                  <c:v>1.8701178362191501E-2</c:v>
                </c:pt>
                <c:pt idx="785">
                  <c:v>1.8722430732634351E-2</c:v>
                </c:pt>
                <c:pt idx="786">
                  <c:v>1.8758627603636325E-2</c:v>
                </c:pt>
                <c:pt idx="787">
                  <c:v>1.8794631665366546E-2</c:v>
                </c:pt>
                <c:pt idx="788">
                  <c:v>1.8830442907428468E-2</c:v>
                </c:pt>
                <c:pt idx="789">
                  <c:v>1.8866061319481191E-2</c:v>
                </c:pt>
                <c:pt idx="790">
                  <c:v>1.8904444966063316E-2</c:v>
                </c:pt>
                <c:pt idx="791">
                  <c:v>1.8939665753225261E-2</c:v>
                </c:pt>
                <c:pt idx="792">
                  <c:v>1.8974693672267055E-2</c:v>
                </c:pt>
                <c:pt idx="793">
                  <c:v>1.9009528713017483E-2</c:v>
                </c:pt>
                <c:pt idx="794">
                  <c:v>1.9041260571574566E-2</c:v>
                </c:pt>
                <c:pt idx="795">
                  <c:v>1.9075721789529841E-2</c:v>
                </c:pt>
                <c:pt idx="796">
                  <c:v>1.9109990106647268E-2</c:v>
                </c:pt>
                <c:pt idx="797">
                  <c:v>1.9144065513031119E-2</c:v>
                </c:pt>
                <c:pt idx="798">
                  <c:v>1.9180810390333165E-2</c:v>
                </c:pt>
                <c:pt idx="799">
                  <c:v>1.9214487950878285E-2</c:v>
                </c:pt>
                <c:pt idx="800">
                  <c:v>1.9247972563502032E-2</c:v>
                </c:pt>
                <c:pt idx="801">
                  <c:v>1.9281264218479872E-2</c:v>
                </c:pt>
                <c:pt idx="802">
                  <c:v>1.9314362906144814E-2</c:v>
                </c:pt>
                <c:pt idx="803">
                  <c:v>1.9344466271454679E-2</c:v>
                </c:pt>
                <c:pt idx="804">
                  <c:v>1.9377190373280336E-2</c:v>
                </c:pt>
                <c:pt idx="805">
                  <c:v>1.9409719076019471E-2</c:v>
                </c:pt>
                <c:pt idx="806">
                  <c:v>1.9442050494778953E-2</c:v>
                </c:pt>
                <c:pt idx="807">
                  <c:v>1.9474182744601623E-2</c:v>
                </c:pt>
                <c:pt idx="808">
                  <c:v>1.9506113940472906E-2</c:v>
                </c:pt>
                <c:pt idx="809">
                  <c:v>1.9537842197315514E-2</c:v>
                </c:pt>
                <c:pt idx="810">
                  <c:v>1.956936562999563E-2</c:v>
                </c:pt>
                <c:pt idx="811">
                  <c:v>1.9614156919912817E-2</c:v>
                </c:pt>
                <c:pt idx="812">
                  <c:v>1.9645194540187576E-2</c:v>
                </c:pt>
                <c:pt idx="813">
                  <c:v>1.9676020797272157E-2</c:v>
                </c:pt>
                <c:pt idx="814">
                  <c:v>1.9706633855450899E-2</c:v>
                </c:pt>
                <c:pt idx="815">
                  <c:v>1.9729123470569786E-2</c:v>
                </c:pt>
                <c:pt idx="816">
                  <c:v>1.9759348902444747E-2</c:v>
                </c:pt>
                <c:pt idx="817">
                  <c:v>1.9789356034780822E-2</c:v>
                </c:pt>
                <c:pt idx="818">
                  <c:v>1.9819143002237347E-2</c:v>
                </c:pt>
                <c:pt idx="819">
                  <c:v>1.9848707939436525E-2</c:v>
                </c:pt>
                <c:pt idx="820">
                  <c:v>1.9885732222012256E-2</c:v>
                </c:pt>
                <c:pt idx="821">
                  <c:v>1.9914801484289129E-2</c:v>
                </c:pt>
                <c:pt idx="822">
                  <c:v>1.9943642860485247E-2</c:v>
                </c:pt>
                <c:pt idx="823">
                  <c:v>1.997225451455488E-2</c:v>
                </c:pt>
                <c:pt idx="824">
                  <c:v>1.9993136880911422E-2</c:v>
                </c:pt>
                <c:pt idx="825">
                  <c:v>2.0021330461736566E-2</c:v>
                </c:pt>
                <c:pt idx="826">
                  <c:v>2.0049288953757332E-2</c:v>
                </c:pt>
                <c:pt idx="827">
                  <c:v>2.0077010491362665E-2</c:v>
                </c:pt>
                <c:pt idx="828">
                  <c:v>2.010449320892491E-2</c:v>
                </c:pt>
                <c:pt idx="829">
                  <c:v>2.0138997476593947E-2</c:v>
                </c:pt>
                <c:pt idx="830">
                  <c:v>2.0165950527899202E-2</c:v>
                </c:pt>
                <c:pt idx="831">
                  <c:v>2.0192661776756285E-2</c:v>
                </c:pt>
                <c:pt idx="832">
                  <c:v>2.0219131213246675E-2</c:v>
                </c:pt>
                <c:pt idx="833">
                  <c:v>2.0245358827542543E-2</c:v>
                </c:pt>
                <c:pt idx="834">
                  <c:v>2.0271344609905005E-2</c:v>
                </c:pt>
                <c:pt idx="835">
                  <c:v>2.0297088550684576E-2</c:v>
                </c:pt>
                <c:pt idx="836">
                  <c:v>2.0322590640322456E-2</c:v>
                </c:pt>
                <c:pt idx="837">
                  <c:v>2.0338671038432479E-2</c:v>
                </c:pt>
                <c:pt idx="838">
                  <c:v>2.0363752864746388E-2</c:v>
                </c:pt>
                <c:pt idx="839">
                  <c:v>2.0388592861976508E-2</c:v>
                </c:pt>
                <c:pt idx="840">
                  <c:v>2.0413191021097531E-2</c:v>
                </c:pt>
                <c:pt idx="841">
                  <c:v>2.0437547333170668E-2</c:v>
                </c:pt>
                <c:pt idx="842">
                  <c:v>2.046387944578152E-2</c:v>
                </c:pt>
                <c:pt idx="843">
                  <c:v>2.0487736109871417E-2</c:v>
                </c:pt>
                <c:pt idx="844">
                  <c:v>2.0511350887874636E-2</c:v>
                </c:pt>
                <c:pt idx="845">
                  <c:v>2.0534723771163763E-2</c:v>
                </c:pt>
                <c:pt idx="846">
                  <c:v>2.0555700881153532E-2</c:v>
                </c:pt>
                <c:pt idx="847">
                  <c:v>2.0578605928166894E-2</c:v>
                </c:pt>
                <c:pt idx="848">
                  <c:v>2.0601269068027488E-2</c:v>
                </c:pt>
                <c:pt idx="849">
                  <c:v>2.0623690292499698E-2</c:v>
                </c:pt>
                <c:pt idx="850">
                  <c:v>2.0647959471097849E-2</c:v>
                </c:pt>
                <c:pt idx="851">
                  <c:v>2.066988080986043E-2</c:v>
                </c:pt>
                <c:pt idx="852">
                  <c:v>2.0691560195985854E-2</c:v>
                </c:pt>
                <c:pt idx="853">
                  <c:v>2.0712997621553892E-2</c:v>
                </c:pt>
                <c:pt idx="854">
                  <c:v>2.0735177868203784E-2</c:v>
                </c:pt>
                <c:pt idx="855">
                  <c:v>2.0756113002354425E-2</c:v>
                </c:pt>
                <c:pt idx="856">
                  <c:v>2.077681095761667E-2</c:v>
                </c:pt>
                <c:pt idx="857">
                  <c:v>2.0797281829019944E-2</c:v>
                </c:pt>
                <c:pt idx="858">
                  <c:v>2.0817536036340501E-2</c:v>
                </c:pt>
                <c:pt idx="859">
                  <c:v>2.0837583999849137E-2</c:v>
                </c:pt>
                <c:pt idx="860">
                  <c:v>2.0857436140301541E-2</c:v>
                </c:pt>
                <c:pt idx="861">
                  <c:v>2.0877102878926867E-2</c:v>
                </c:pt>
                <c:pt idx="862">
                  <c:v>2.0896594637419396E-2</c:v>
                </c:pt>
                <c:pt idx="863">
                  <c:v>2.0921699386516994E-2</c:v>
                </c:pt>
                <c:pt idx="864">
                  <c:v>2.0940857359641008E-2</c:v>
                </c:pt>
                <c:pt idx="865">
                  <c:v>2.0959874400447963E-2</c:v>
                </c:pt>
                <c:pt idx="866">
                  <c:v>2.0978760765122517E-2</c:v>
                </c:pt>
                <c:pt idx="867">
                  <c:v>2.1004379788897878E-2</c:v>
                </c:pt>
                <c:pt idx="868">
                  <c:v>2.1016182492918613E-2</c:v>
                </c:pt>
                <c:pt idx="869">
                  <c:v>2.1034738370492561E-2</c:v>
                </c:pt>
                <c:pt idx="870">
                  <c:v>2.1053204600827689E-2</c:v>
                </c:pt>
                <c:pt idx="871">
                  <c:v>2.107159144215804E-2</c:v>
                </c:pt>
                <c:pt idx="872">
                  <c:v>2.1095830910669796E-2</c:v>
                </c:pt>
                <c:pt idx="873">
                  <c:v>2.111406615107269E-2</c:v>
                </c:pt>
                <c:pt idx="874">
                  <c:v>2.1132256779901146E-2</c:v>
                </c:pt>
                <c:pt idx="875">
                  <c:v>2.1150413112262199E-2</c:v>
                </c:pt>
                <c:pt idx="876">
                  <c:v>2.1166627564028144E-2</c:v>
                </c:pt>
                <c:pt idx="877">
                  <c:v>2.1184743489972641E-2</c:v>
                </c:pt>
                <c:pt idx="878">
                  <c:v>2.1202855889144386E-2</c:v>
                </c:pt>
                <c:pt idx="879">
                  <c:v>2.1220975133921745E-2</c:v>
                </c:pt>
                <c:pt idx="880">
                  <c:v>2.12429715428397E-2</c:v>
                </c:pt>
                <c:pt idx="881">
                  <c:v>2.1259207491555045E-2</c:v>
                </c:pt>
                <c:pt idx="882">
                  <c:v>2.1277402672479594E-2</c:v>
                </c:pt>
                <c:pt idx="883">
                  <c:v>2.1295626930931486E-2</c:v>
                </c:pt>
                <c:pt idx="884">
                  <c:v>2.1313880267712252E-2</c:v>
                </c:pt>
                <c:pt idx="885">
                  <c:v>2.1332162683622993E-2</c:v>
                </c:pt>
                <c:pt idx="886">
                  <c:v>2.1350474179467411E-2</c:v>
                </c:pt>
                <c:pt idx="887">
                  <c:v>2.1368814756050517E-2</c:v>
                </c:pt>
                <c:pt idx="888">
                  <c:v>2.1387184414177317E-2</c:v>
                </c:pt>
                <c:pt idx="889">
                  <c:v>2.1401667191182559E-2</c:v>
                </c:pt>
                <c:pt idx="890">
                  <c:v>2.1420088680288125E-2</c:v>
                </c:pt>
                <c:pt idx="891">
                  <c:v>2.1438539247936778E-2</c:v>
                </c:pt>
                <c:pt idx="892">
                  <c:v>2.1457018894930079E-2</c:v>
                </c:pt>
                <c:pt idx="893">
                  <c:v>2.1475527622072218E-2</c:v>
                </c:pt>
                <c:pt idx="894">
                  <c:v>2.1494065430165632E-2</c:v>
                </c:pt>
                <c:pt idx="895">
                  <c:v>2.1512632320018023E-2</c:v>
                </c:pt>
                <c:pt idx="896">
                  <c:v>2.1533208311014698E-2</c:v>
                </c:pt>
                <c:pt idx="897">
                  <c:v>2.1549853348226171E-2</c:v>
                </c:pt>
                <c:pt idx="898">
                  <c:v>2.1568507488199537E-2</c:v>
                </c:pt>
                <c:pt idx="899">
                  <c:v>2.1587190713166657E-2</c:v>
                </c:pt>
                <c:pt idx="900">
                  <c:v>2.160590302393875E-2</c:v>
                </c:pt>
                <c:pt idx="901">
                  <c:v>2.1624644421330112E-2</c:v>
                </c:pt>
                <c:pt idx="902">
                  <c:v>2.1643414906155033E-2</c:v>
                </c:pt>
                <c:pt idx="903">
                  <c:v>2.1662214479228684E-2</c:v>
                </c:pt>
                <c:pt idx="904">
                  <c:v>2.1681043141368879E-2</c:v>
                </c:pt>
                <c:pt idx="905">
                  <c:v>2.169990089339386E-2</c:v>
                </c:pt>
                <c:pt idx="906">
                  <c:v>2.1719476155361787E-2</c:v>
                </c:pt>
                <c:pt idx="907">
                  <c:v>2.1738392463347429E-2</c:v>
                </c:pt>
                <c:pt idx="908">
                  <c:v>2.1757331138373887E-2</c:v>
                </c:pt>
                <c:pt idx="909">
                  <c:v>2.1776282856642411E-2</c:v>
                </c:pt>
                <c:pt idx="910">
                  <c:v>2.1795238257612815E-2</c:v>
                </c:pt>
                <c:pt idx="911">
                  <c:v>2.1814187980393807E-2</c:v>
                </c:pt>
                <c:pt idx="912">
                  <c:v>2.1833122663740347E-2</c:v>
                </c:pt>
                <c:pt idx="913">
                  <c:v>2.1852032946055418E-2</c:v>
                </c:pt>
                <c:pt idx="914">
                  <c:v>2.1870909465390012E-2</c:v>
                </c:pt>
                <c:pt idx="915">
                  <c:v>2.189572661213697E-2</c:v>
                </c:pt>
                <c:pt idx="916">
                  <c:v>2.1914486431229913E-2</c:v>
                </c:pt>
                <c:pt idx="917">
                  <c:v>2.193318192608866E-2</c:v>
                </c:pt>
                <c:pt idx="918">
                  <c:v>2.1951803884221129E-2</c:v>
                </c:pt>
                <c:pt idx="919">
                  <c:v>2.1968382424960558E-2</c:v>
                </c:pt>
                <c:pt idx="920">
                  <c:v>2.1986839741537541E-2</c:v>
                </c:pt>
                <c:pt idx="921">
                  <c:v>2.2005196498529823E-2</c:v>
                </c:pt>
                <c:pt idx="922">
                  <c:v>2.2028635374059254E-2</c:v>
                </c:pt>
                <c:pt idx="923">
                  <c:v>2.2053123780420958E-2</c:v>
                </c:pt>
                <c:pt idx="924">
                  <c:v>2.207038813820808E-2</c:v>
                </c:pt>
                <c:pt idx="925">
                  <c:v>2.2088170648690265E-2</c:v>
                </c:pt>
                <c:pt idx="926">
                  <c:v>2.2105802581218907E-2</c:v>
                </c:pt>
                <c:pt idx="927">
                  <c:v>2.2117693346607275E-2</c:v>
                </c:pt>
                <c:pt idx="928">
                  <c:v>2.213503782706417E-2</c:v>
                </c:pt>
                <c:pt idx="929">
                  <c:v>2.2152204983377943E-2</c:v>
                </c:pt>
                <c:pt idx="930">
                  <c:v>2.2169185549505786E-2</c:v>
                </c:pt>
                <c:pt idx="931">
                  <c:v>2.2191384448867871E-2</c:v>
                </c:pt>
                <c:pt idx="932">
                  <c:v>2.2207921438839675E-2</c:v>
                </c:pt>
                <c:pt idx="933">
                  <c:v>2.2224246280510829E-2</c:v>
                </c:pt>
                <c:pt idx="934">
                  <c:v>2.2240358011993134E-2</c:v>
                </c:pt>
                <c:pt idx="935">
                  <c:v>2.2256256628023701E-2</c:v>
                </c:pt>
                <c:pt idx="936">
                  <c:v>2.2266741382895916E-2</c:v>
                </c:pt>
                <c:pt idx="937">
                  <c:v>2.2287414493020165E-2</c:v>
                </c:pt>
                <c:pt idx="938">
                  <c:v>2.230267373180668E-2</c:v>
                </c:pt>
                <c:pt idx="939">
                  <c:v>2.23177198347814E-2</c:v>
                </c:pt>
                <c:pt idx="940">
                  <c:v>2.232752351869257E-2</c:v>
                </c:pt>
                <c:pt idx="941">
                  <c:v>2.2338855579006358E-2</c:v>
                </c:pt>
                <c:pt idx="942">
                  <c:v>2.235333390429773E-2</c:v>
                </c:pt>
                <c:pt idx="943">
                  <c:v>2.2367599139128027E-2</c:v>
                </c:pt>
                <c:pt idx="944">
                  <c:v>2.2381651278962973E-2</c:v>
                </c:pt>
                <c:pt idx="945">
                  <c:v>2.2397098938548327E-2</c:v>
                </c:pt>
                <c:pt idx="946">
                  <c:v>2.241071049503993E-2</c:v>
                </c:pt>
                <c:pt idx="947">
                  <c:v>2.24241089303449E-2</c:v>
                </c:pt>
                <c:pt idx="948">
                  <c:v>2.2437294240178315E-2</c:v>
                </c:pt>
                <c:pt idx="949">
                  <c:v>2.2450266420325962E-2</c:v>
                </c:pt>
                <c:pt idx="950">
                  <c:v>2.246148887759945E-2</c:v>
                </c:pt>
                <c:pt idx="951">
                  <c:v>2.2474049231157128E-2</c:v>
                </c:pt>
                <c:pt idx="952">
                  <c:v>2.2486396455872935E-2</c:v>
                </c:pt>
                <c:pt idx="953">
                  <c:v>2.2498530547821173E-2</c:v>
                </c:pt>
                <c:pt idx="954">
                  <c:v>2.2511930232997815E-2</c:v>
                </c:pt>
                <c:pt idx="955">
                  <c:v>2.2523623550318395E-2</c:v>
                </c:pt>
                <c:pt idx="956">
                  <c:v>2.2535103710352868E-2</c:v>
                </c:pt>
                <c:pt idx="957">
                  <c:v>2.2552713288307814E-2</c:v>
                </c:pt>
                <c:pt idx="958">
                  <c:v>2.255756767901107E-2</c:v>
                </c:pt>
                <c:pt idx="959">
                  <c:v>2.2566859100082281E-2</c:v>
                </c:pt>
                <c:pt idx="960">
                  <c:v>2.2577501158425346E-2</c:v>
                </c:pt>
                <c:pt idx="961">
                  <c:v>2.2587930055032634E-2</c:v>
                </c:pt>
                <c:pt idx="962">
                  <c:v>2.2598145786589231E-2</c:v>
                </c:pt>
                <c:pt idx="963">
                  <c:v>2.2608148349846462E-2</c:v>
                </c:pt>
                <c:pt idx="964">
                  <c:v>2.2617937741623666E-2</c:v>
                </c:pt>
                <c:pt idx="965">
                  <c:v>2.2627513958808194E-2</c:v>
                </c:pt>
                <c:pt idx="966">
                  <c:v>2.2636876998354972E-2</c:v>
                </c:pt>
                <c:pt idx="967">
                  <c:v>2.2652459528335733E-2</c:v>
                </c:pt>
                <c:pt idx="968">
                  <c:v>2.2661322837078165E-2</c:v>
                </c:pt>
                <c:pt idx="969">
                  <c:v>2.2669972892824686E-2</c:v>
                </c:pt>
                <c:pt idx="970">
                  <c:v>2.2678409692749608E-2</c:v>
                </c:pt>
                <c:pt idx="971">
                  <c:v>2.2682954020003279E-2</c:v>
                </c:pt>
                <c:pt idx="972">
                  <c:v>2.269100848578352E-2</c:v>
                </c:pt>
                <c:pt idx="973">
                  <c:v>2.2698849727785016E-2</c:v>
                </c:pt>
                <c:pt idx="974">
                  <c:v>2.2706477743486071E-2</c:v>
                </c:pt>
                <c:pt idx="975">
                  <c:v>2.2713892530435313E-2</c:v>
                </c:pt>
                <c:pt idx="976">
                  <c:v>2.2724551970532778E-2</c:v>
                </c:pt>
                <c:pt idx="977">
                  <c:v>2.2731495906414989E-2</c:v>
                </c:pt>
                <c:pt idx="978">
                  <c:v>2.2738226566371249E-2</c:v>
                </c:pt>
                <c:pt idx="979">
                  <c:v>2.2744743948203316E-2</c:v>
                </c:pt>
                <c:pt idx="980">
                  <c:v>2.2747767952864446E-2</c:v>
                </c:pt>
                <c:pt idx="981">
                  <c:v>2.2753903319639949E-2</c:v>
                </c:pt>
                <c:pt idx="982">
                  <c:v>2.2759825442415942E-2</c:v>
                </c:pt>
                <c:pt idx="983">
                  <c:v>2.2768680652737072E-2</c:v>
                </c:pt>
                <c:pt idx="984">
                  <c:v>2.2774131613394547E-2</c:v>
                </c:pt>
                <c:pt idx="985">
                  <c:v>2.2779369284194415E-2</c:v>
                </c:pt>
                <c:pt idx="986">
                  <c:v>2.2784393663425363E-2</c:v>
                </c:pt>
                <c:pt idx="987">
                  <c:v>2.2789204749446117E-2</c:v>
                </c:pt>
                <c:pt idx="988">
                  <c:v>2.2790879953265994E-2</c:v>
                </c:pt>
                <c:pt idx="989">
                  <c:v>2.2798187035636228E-2</c:v>
                </c:pt>
                <c:pt idx="990">
                  <c:v>2.2802358232870724E-2</c:v>
                </c:pt>
                <c:pt idx="991">
                  <c:v>2.2806316131024885E-2</c:v>
                </c:pt>
                <c:pt idx="992">
                  <c:v>2.2807317865283776E-2</c:v>
                </c:pt>
                <c:pt idx="993">
                  <c:v>2.2809088650408281E-2</c:v>
                </c:pt>
                <c:pt idx="994">
                  <c:v>2.2812481755054594E-2</c:v>
                </c:pt>
                <c:pt idx="995">
                  <c:v>2.2815661623247444E-2</c:v>
                </c:pt>
                <c:pt idx="996">
                  <c:v>2.2818628253975921E-2</c:v>
                </c:pt>
                <c:pt idx="997">
                  <c:v>2.2822224961974568E-2</c:v>
                </c:pt>
                <c:pt idx="998">
                  <c:v>2.2824750042683927E-2</c:v>
                </c:pt>
                <c:pt idx="999">
                  <c:v>2.2827061869826835E-2</c:v>
                </c:pt>
                <c:pt idx="1000">
                  <c:v>2.282916044266366E-2</c:v>
                </c:pt>
                <c:pt idx="1001">
                  <c:v>2.2831045760524169E-2</c:v>
                </c:pt>
                <c:pt idx="1002">
                  <c:v>2.2831950003499541E-2</c:v>
                </c:pt>
                <c:pt idx="1003">
                  <c:v>2.2833423949356398E-2</c:v>
                </c:pt>
                <c:pt idx="1004">
                  <c:v>2.2834684652100364E-2</c:v>
                </c:pt>
                <c:pt idx="1005">
                  <c:v>2.2835732111329995E-2</c:v>
                </c:pt>
                <c:pt idx="1006">
                  <c:v>2.2837273506463335E-2</c:v>
                </c:pt>
                <c:pt idx="1007">
                  <c:v>2.2837879284190656E-2</c:v>
                </c:pt>
                <c:pt idx="1008">
                  <c:v>2.2838271804153563E-2</c:v>
                </c:pt>
                <c:pt idx="1009">
                  <c:v>2.283845106622644E-2</c:v>
                </c:pt>
                <c:pt idx="1010">
                  <c:v>2.2837770745482978E-2</c:v>
                </c:pt>
                <c:pt idx="1011">
                  <c:v>2.2837539230335591E-2</c:v>
                </c:pt>
                <c:pt idx="1012">
                  <c:v>2.2837100280241197E-2</c:v>
                </c:pt>
                <c:pt idx="1013">
                  <c:v>2.2836461953126275E-2</c:v>
                </c:pt>
                <c:pt idx="1014">
                  <c:v>2.2835632338415204E-2</c:v>
                </c:pt>
                <c:pt idx="1015">
                  <c:v>2.2834619525575198E-2</c:v>
                </c:pt>
                <c:pt idx="1016">
                  <c:v>2.2833431604108809E-2</c:v>
                </c:pt>
                <c:pt idx="1017">
                  <c:v>2.2832076663545087E-2</c:v>
                </c:pt>
                <c:pt idx="1018">
                  <c:v>2.2830562793436034E-2</c:v>
                </c:pt>
                <c:pt idx="1019">
                  <c:v>2.2831634516618959E-2</c:v>
                </c:pt>
                <c:pt idx="1020">
                  <c:v>2.2829794895585391E-2</c:v>
                </c:pt>
                <c:pt idx="1021">
                  <c:v>2.2827824082829389E-2</c:v>
                </c:pt>
                <c:pt idx="1022">
                  <c:v>2.2825729952957726E-2</c:v>
                </c:pt>
                <c:pt idx="1023">
                  <c:v>2.2821944338686711E-2</c:v>
                </c:pt>
                <c:pt idx="1024">
                  <c:v>2.2819638830123199E-2</c:v>
                </c:pt>
                <c:pt idx="1025">
                  <c:v>2.2817232079767467E-2</c:v>
                </c:pt>
                <c:pt idx="1026">
                  <c:v>2.2814732089733461E-2</c:v>
                </c:pt>
                <c:pt idx="1027">
                  <c:v>2.2812146862109358E-2</c:v>
                </c:pt>
                <c:pt idx="1028">
                  <c:v>2.2811016490490835E-2</c:v>
                </c:pt>
                <c:pt idx="1029">
                  <c:v>2.280827962843299E-2</c:v>
                </c:pt>
                <c:pt idx="1030">
                  <c:v>2.2805482445409291E-2</c:v>
                </c:pt>
                <c:pt idx="1031">
                  <c:v>2.2802632815795722E-2</c:v>
                </c:pt>
                <c:pt idx="1032">
                  <c:v>2.2798222230934907E-2</c:v>
                </c:pt>
                <c:pt idx="1033">
                  <c:v>2.279529361972563E-2</c:v>
                </c:pt>
                <c:pt idx="1034">
                  <c:v>2.2792335784542289E-2</c:v>
                </c:pt>
                <c:pt idx="1035">
                  <c:v>2.2789356727160308E-2</c:v>
                </c:pt>
                <c:pt idx="1036">
                  <c:v>2.2787873569043219E-2</c:v>
                </c:pt>
                <c:pt idx="1037">
                  <c:v>2.2784873792924962E-2</c:v>
                </c:pt>
                <c:pt idx="1038">
                  <c:v>2.2781869936612454E-2</c:v>
                </c:pt>
                <c:pt idx="1039">
                  <c:v>2.2778862003949508E-2</c:v>
                </c:pt>
                <c:pt idx="1040">
                  <c:v>2.2775849994955463E-2</c:v>
                </c:pt>
                <c:pt idx="1041">
                  <c:v>2.2772833909649653E-2</c:v>
                </c:pt>
                <c:pt idx="1042">
                  <c:v>2.2769813748049705E-2</c:v>
                </c:pt>
                <c:pt idx="1043">
                  <c:v>2.2766789510175814E-2</c:v>
                </c:pt>
                <c:pt idx="1044">
                  <c:v>2.2763761196046031E-2</c:v>
                </c:pt>
                <c:pt idx="1045">
                  <c:v>2.2758733904225708E-2</c:v>
                </c:pt>
                <c:pt idx="1046">
                  <c:v>2.2755699365287776E-2</c:v>
                </c:pt>
                <c:pt idx="1047">
                  <c:v>2.275266075106951E-2</c:v>
                </c:pt>
                <c:pt idx="1048">
                  <c:v>2.2749618061588043E-2</c:v>
                </c:pt>
                <c:pt idx="1049">
                  <c:v>2.2747068131079223E-2</c:v>
                </c:pt>
                <c:pt idx="1050">
                  <c:v>2.2744016808367348E-2</c:v>
                </c:pt>
                <c:pt idx="1051">
                  <c:v>2.2742944630655588E-2</c:v>
                </c:pt>
                <c:pt idx="1052">
                  <c:v>2.2737901936656726E-2</c:v>
                </c:pt>
                <c:pt idx="1053">
                  <c:v>2.2734838387695109E-2</c:v>
                </c:pt>
                <c:pt idx="1054">
                  <c:v>2.2731276345237472E-2</c:v>
                </c:pt>
                <c:pt idx="1055">
                  <c:v>2.2728205129442385E-2</c:v>
                </c:pt>
                <c:pt idx="1056">
                  <c:v>2.2725129838534745E-2</c:v>
                </c:pt>
                <c:pt idx="1057">
                  <c:v>2.2722050472532992E-2</c:v>
                </c:pt>
                <c:pt idx="1058">
                  <c:v>2.2719459512579216E-2</c:v>
                </c:pt>
                <c:pt idx="1059">
                  <c:v>2.2716371511626567E-2</c:v>
                </c:pt>
                <c:pt idx="1060">
                  <c:v>2.2713279435408764E-2</c:v>
                </c:pt>
                <c:pt idx="1061">
                  <c:v>2.2710183283943718E-2</c:v>
                </c:pt>
                <c:pt idx="1062">
                  <c:v>2.2707083057252397E-2</c:v>
                </c:pt>
                <c:pt idx="1063">
                  <c:v>2.2703488700605588E-2</c:v>
                </c:pt>
                <c:pt idx="1064">
                  <c:v>2.2700380809474764E-2</c:v>
                </c:pt>
                <c:pt idx="1065">
                  <c:v>2.2697268843400922E-2</c:v>
                </c:pt>
                <c:pt idx="1066">
                  <c:v>2.2694152802403823E-2</c:v>
                </c:pt>
                <c:pt idx="1067">
                  <c:v>2.2691032686502351E-2</c:v>
                </c:pt>
                <c:pt idx="1068">
                  <c:v>2.2687908495714962E-2</c:v>
                </c:pt>
                <c:pt idx="1069">
                  <c:v>2.2684780230061409E-2</c:v>
                </c:pt>
                <c:pt idx="1070">
                  <c:v>2.2681647889560584E-2</c:v>
                </c:pt>
                <c:pt idx="1071">
                  <c:v>2.2680455959656492E-2</c:v>
                </c:pt>
                <c:pt idx="1072">
                  <c:v>2.2677313518145188E-2</c:v>
                </c:pt>
                <c:pt idx="1073">
                  <c:v>2.267416700093625E-2</c:v>
                </c:pt>
                <c:pt idx="1074">
                  <c:v>2.2671016408052032E-2</c:v>
                </c:pt>
                <c:pt idx="1075">
                  <c:v>2.2666409273264316E-2</c:v>
                </c:pt>
                <c:pt idx="1076">
                  <c:v>2.2663251995400466E-2</c:v>
                </c:pt>
                <c:pt idx="1077">
                  <c:v>2.2660090642598194E-2</c:v>
                </c:pt>
                <c:pt idx="1078">
                  <c:v>2.2656925214876285E-2</c:v>
                </c:pt>
                <c:pt idx="1079">
                  <c:v>2.2653755712254399E-2</c:v>
                </c:pt>
                <c:pt idx="1080">
                  <c:v>2.2652027262632074E-2</c:v>
                </c:pt>
                <c:pt idx="1081">
                  <c:v>2.2648848140562391E-2</c:v>
                </c:pt>
                <c:pt idx="1082">
                  <c:v>2.2645664942973431E-2</c:v>
                </c:pt>
                <c:pt idx="1083">
                  <c:v>2.2642477669886252E-2</c:v>
                </c:pt>
                <c:pt idx="1084">
                  <c:v>2.2637847076327548E-2</c:v>
                </c:pt>
                <c:pt idx="1085">
                  <c:v>2.2634653124715944E-2</c:v>
                </c:pt>
                <c:pt idx="1086">
                  <c:v>2.2631455098340639E-2</c:v>
                </c:pt>
                <c:pt idx="1087">
                  <c:v>2.2628252997222612E-2</c:v>
                </c:pt>
                <c:pt idx="1088">
                  <c:v>2.2625046821380196E-2</c:v>
                </c:pt>
                <c:pt idx="1089">
                  <c:v>2.2623268447005521E-2</c:v>
                </c:pt>
                <c:pt idx="1090">
                  <c:v>2.2620052645986499E-2</c:v>
                </c:pt>
                <c:pt idx="1091">
                  <c:v>2.2616832769628271E-2</c:v>
                </c:pt>
                <c:pt idx="1092">
                  <c:v>2.2613608817951894E-2</c:v>
                </c:pt>
                <c:pt idx="1093">
                  <c:v>2.2610380790977141E-2</c:v>
                </c:pt>
                <c:pt idx="1094">
                  <c:v>2.2607148688723776E-2</c:v>
                </c:pt>
                <c:pt idx="1095">
                  <c:v>2.2603912511212861E-2</c:v>
                </c:pt>
                <c:pt idx="1096">
                  <c:v>2.2600672258464165E-2</c:v>
                </c:pt>
                <c:pt idx="1097">
                  <c:v>2.2595061041843181E-2</c:v>
                </c:pt>
                <c:pt idx="1098">
                  <c:v>2.259181510707757E-2</c:v>
                </c:pt>
                <c:pt idx="1099">
                  <c:v>2.2588565098254181E-2</c:v>
                </c:pt>
                <c:pt idx="1100">
                  <c:v>2.2585311015392004E-2</c:v>
                </c:pt>
                <c:pt idx="1101">
                  <c:v>2.2582052858512242E-2</c:v>
                </c:pt>
                <c:pt idx="1102">
                  <c:v>2.2579261589966839E-2</c:v>
                </c:pt>
                <c:pt idx="1103">
                  <c:v>2.2575994790401913E-2</c:v>
                </c:pt>
                <c:pt idx="1104">
                  <c:v>2.2572723916654238E-2</c:v>
                </c:pt>
                <c:pt idx="1105">
                  <c:v>2.2569448968745333E-2</c:v>
                </c:pt>
                <c:pt idx="1106">
                  <c:v>2.2565700964533711E-2</c:v>
                </c:pt>
                <c:pt idx="1107">
                  <c:v>2.2562418363961355E-2</c:v>
                </c:pt>
                <c:pt idx="1108">
                  <c:v>2.2559131689509643E-2</c:v>
                </c:pt>
                <c:pt idx="1109">
                  <c:v>2.255584094119889E-2</c:v>
                </c:pt>
                <c:pt idx="1110">
                  <c:v>2.2553013117470631E-2</c:v>
                </c:pt>
                <c:pt idx="1111">
                  <c:v>2.254971372501029E-2</c:v>
                </c:pt>
                <c:pt idx="1112">
                  <c:v>2.2546410258529704E-2</c:v>
                </c:pt>
                <c:pt idx="1113">
                  <c:v>2.2543102718046448E-2</c:v>
                </c:pt>
                <c:pt idx="1114">
                  <c:v>2.2539317683233837E-2</c:v>
                </c:pt>
                <c:pt idx="1115">
                  <c:v>2.2535536970147686E-2</c:v>
                </c:pt>
                <c:pt idx="1116">
                  <c:v>2.2532217123427508E-2</c:v>
                </c:pt>
                <c:pt idx="1117">
                  <c:v>2.2528893203011248E-2</c:v>
                </c:pt>
                <c:pt idx="1118">
                  <c:v>2.2525565208920115E-2</c:v>
                </c:pt>
                <c:pt idx="1119">
                  <c:v>2.2522233141174415E-2</c:v>
                </c:pt>
                <c:pt idx="1120">
                  <c:v>2.2518896999793144E-2</c:v>
                </c:pt>
                <c:pt idx="1121">
                  <c:v>2.2515556784798382E-2</c:v>
                </c:pt>
                <c:pt idx="1122">
                  <c:v>2.2512212496209119E-2</c:v>
                </c:pt>
                <c:pt idx="1123">
                  <c:v>2.251070578427191E-2</c:v>
                </c:pt>
                <c:pt idx="1124">
                  <c:v>2.2507351350669672E-2</c:v>
                </c:pt>
                <c:pt idx="1125">
                  <c:v>2.2503992842650523E-2</c:v>
                </c:pt>
                <c:pt idx="1126">
                  <c:v>2.2500630260235632E-2</c:v>
                </c:pt>
                <c:pt idx="1127">
                  <c:v>2.2494421772883914E-2</c:v>
                </c:pt>
                <c:pt idx="1128">
                  <c:v>2.2493892872303321E-2</c:v>
                </c:pt>
                <c:pt idx="1129">
                  <c:v>2.2490518066827381E-2</c:v>
                </c:pt>
                <c:pt idx="1130">
                  <c:v>2.2487139187039956E-2</c:v>
                </c:pt>
                <c:pt idx="1131">
                  <c:v>2.2483756232961793E-2</c:v>
                </c:pt>
                <c:pt idx="1132">
                  <c:v>2.2480369204614055E-2</c:v>
                </c:pt>
                <c:pt idx="1133">
                  <c:v>2.247697810201706E-2</c:v>
                </c:pt>
                <c:pt idx="1134">
                  <c:v>2.2473582925192401E-2</c:v>
                </c:pt>
                <c:pt idx="1135">
                  <c:v>2.2470183674161693E-2</c:v>
                </c:pt>
                <c:pt idx="1136">
                  <c:v>2.2466780348945236E-2</c:v>
                </c:pt>
                <c:pt idx="1137">
                  <c:v>2.2463372949564641E-2</c:v>
                </c:pt>
                <c:pt idx="1138">
                  <c:v>2.2459961476041075E-2</c:v>
                </c:pt>
                <c:pt idx="1139">
                  <c:v>2.2456545928395712E-2</c:v>
                </c:pt>
                <c:pt idx="1140">
                  <c:v>2.2453126306649727E-2</c:v>
                </c:pt>
                <c:pt idx="1141">
                  <c:v>2.2449702610823855E-2</c:v>
                </c:pt>
                <c:pt idx="1142">
                  <c:v>2.2446274840940136E-2</c:v>
                </c:pt>
                <c:pt idx="1143">
                  <c:v>2.2442842997020176E-2</c:v>
                </c:pt>
                <c:pt idx="1144">
                  <c:v>2.2439407079083845E-2</c:v>
                </c:pt>
                <c:pt idx="1145">
                  <c:v>2.2435967087154049E-2</c:v>
                </c:pt>
                <c:pt idx="1146">
                  <c:v>2.2432523021251094E-2</c:v>
                </c:pt>
                <c:pt idx="1147">
                  <c:v>2.2429074881397448E-2</c:v>
                </c:pt>
                <c:pt idx="1148">
                  <c:v>2.2425622667613419E-2</c:v>
                </c:pt>
                <c:pt idx="1149">
                  <c:v>2.2420376960636972E-2</c:v>
                </c:pt>
                <c:pt idx="1150">
                  <c:v>2.2416918619760095E-2</c:v>
                </c:pt>
                <c:pt idx="1151">
                  <c:v>2.2413456205889786E-2</c:v>
                </c:pt>
                <c:pt idx="1152">
                  <c:v>2.2409989719046355E-2</c:v>
                </c:pt>
                <c:pt idx="1153">
                  <c:v>2.240696453690548E-2</c:v>
                </c:pt>
                <c:pt idx="1154">
                  <c:v>2.240348939819857E-2</c:v>
                </c:pt>
                <c:pt idx="1155">
                  <c:v>2.2400010186365209E-2</c:v>
                </c:pt>
                <c:pt idx="1156">
                  <c:v>2.239830203737421E-2</c:v>
                </c:pt>
                <c:pt idx="1157">
                  <c:v>2.2393039543400828E-2</c:v>
                </c:pt>
                <c:pt idx="1158">
                  <c:v>2.2389105266728566E-2</c:v>
                </c:pt>
                <c:pt idx="1159">
                  <c:v>2.2385610269663767E-2</c:v>
                </c:pt>
                <c:pt idx="1160">
                  <c:v>2.2382111199795E-2</c:v>
                </c:pt>
                <c:pt idx="1161">
                  <c:v>2.2378608057143898E-2</c:v>
                </c:pt>
                <c:pt idx="1162">
                  <c:v>2.2375541657757108E-2</c:v>
                </c:pt>
                <c:pt idx="1163">
                  <c:v>2.2372029861673283E-2</c:v>
                </c:pt>
                <c:pt idx="1164">
                  <c:v>2.2368513992654944E-2</c:v>
                </c:pt>
                <c:pt idx="1165">
                  <c:v>2.2364994050723168E-2</c:v>
                </c:pt>
                <c:pt idx="1166">
                  <c:v>2.2358642710669875E-2</c:v>
                </c:pt>
                <c:pt idx="1167">
                  <c:v>2.2356428473843299E-2</c:v>
                </c:pt>
                <c:pt idx="1168">
                  <c:v>2.2352892825378747E-2</c:v>
                </c:pt>
                <c:pt idx="1169">
                  <c:v>2.2349349742401846E-2</c:v>
                </c:pt>
                <c:pt idx="1170">
                  <c:v>2.2345797414810204E-2</c:v>
                </c:pt>
                <c:pt idx="1171">
                  <c:v>2.2342234032512398E-2</c:v>
                </c:pt>
                <c:pt idx="1172">
                  <c:v>2.2338657785432387E-2</c:v>
                </c:pt>
                <c:pt idx="1173">
                  <c:v>2.2335066863504668E-2</c:v>
                </c:pt>
                <c:pt idx="1174">
                  <c:v>2.2331459456678662E-2</c:v>
                </c:pt>
                <c:pt idx="1175">
                  <c:v>2.2328683147323069E-2</c:v>
                </c:pt>
                <c:pt idx="1176">
                  <c:v>2.2325032310980701E-2</c:v>
                </c:pt>
                <c:pt idx="1177">
                  <c:v>2.2321359239407718E-2</c:v>
                </c:pt>
                <c:pt idx="1178">
                  <c:v>2.2317662142068574E-2</c:v>
                </c:pt>
                <c:pt idx="1179">
                  <c:v>2.2313525669739175E-2</c:v>
                </c:pt>
                <c:pt idx="1180">
                  <c:v>2.2309778250743297E-2</c:v>
                </c:pt>
                <c:pt idx="1181">
                  <c:v>2.2306001555019491E-2</c:v>
                </c:pt>
                <c:pt idx="1182">
                  <c:v>2.2301099887468954E-2</c:v>
                </c:pt>
                <c:pt idx="1183">
                  <c:v>2.2298353132783392E-2</c:v>
                </c:pt>
                <c:pt idx="1184">
                  <c:v>2.2294874748608137E-2</c:v>
                </c:pt>
                <c:pt idx="1185">
                  <c:v>2.2290959337057936E-2</c:v>
                </c:pt>
                <c:pt idx="1186">
                  <c:v>2.228700557596941E-2</c:v>
                </c:pt>
                <c:pt idx="1187">
                  <c:v>2.2283011674941688E-2</c:v>
                </c:pt>
                <c:pt idx="1188">
                  <c:v>2.2278593725462988E-2</c:v>
                </c:pt>
                <c:pt idx="1189">
                  <c:v>2.2274518011629236E-2</c:v>
                </c:pt>
                <c:pt idx="1190">
                  <c:v>2.2270396820239773E-2</c:v>
                </c:pt>
                <c:pt idx="1191">
                  <c:v>2.2266228351287026E-2</c:v>
                </c:pt>
                <c:pt idx="1192">
                  <c:v>2.2262743651996191E-2</c:v>
                </c:pt>
                <c:pt idx="1193">
                  <c:v>2.2258105257731302E-2</c:v>
                </c:pt>
                <c:pt idx="1194">
                  <c:v>2.2253781970985743E-2</c:v>
                </c:pt>
                <c:pt idx="1195">
                  <c:v>2.2249407547128685E-2</c:v>
                </c:pt>
                <c:pt idx="1196">
                  <c:v>2.2244981986498984E-2</c:v>
                </c:pt>
                <c:pt idx="1197">
                  <c:v>2.2240505289440281E-2</c:v>
                </c:pt>
                <c:pt idx="1198">
                  <c:v>2.2235977456298382E-2</c:v>
                </c:pt>
                <c:pt idx="1199">
                  <c:v>2.2231398487425613E-2</c:v>
                </c:pt>
                <c:pt idx="1200">
                  <c:v>2.2226768383176481E-2</c:v>
                </c:pt>
                <c:pt idx="1201">
                  <c:v>2.2221424266960121E-2</c:v>
                </c:pt>
                <c:pt idx="1202">
                  <c:v>2.2216699777863915E-2</c:v>
                </c:pt>
                <c:pt idx="1203">
                  <c:v>2.2211924160577677E-2</c:v>
                </c:pt>
                <c:pt idx="1204">
                  <c:v>2.2207097415468585E-2</c:v>
                </c:pt>
                <c:pt idx="1205">
                  <c:v>2.2202219542907329E-2</c:v>
                </c:pt>
                <c:pt idx="1206">
                  <c:v>2.2197290543267238E-2</c:v>
                </c:pt>
                <c:pt idx="1207">
                  <c:v>2.2192618338128939E-2</c:v>
                </c:pt>
                <c:pt idx="1208">
                  <c:v>2.2187279164268024E-2</c:v>
                </c:pt>
                <c:pt idx="1209">
                  <c:v>2.2182196785676195E-2</c:v>
                </c:pt>
                <c:pt idx="1210">
                  <c:v>2.217706328154145E-2</c:v>
                </c:pt>
                <c:pt idx="1211">
                  <c:v>2.2171878652257754E-2</c:v>
                </c:pt>
                <c:pt idx="1212">
                  <c:v>2.2166642898222153E-2</c:v>
                </c:pt>
                <c:pt idx="1213">
                  <c:v>2.2161356019836521E-2</c:v>
                </c:pt>
                <c:pt idx="1214">
                  <c:v>2.2156018017506694E-2</c:v>
                </c:pt>
                <c:pt idx="1215">
                  <c:v>2.2150628891641572E-2</c:v>
                </c:pt>
                <c:pt idx="1216">
                  <c:v>2.2145188642654887E-2</c:v>
                </c:pt>
                <c:pt idx="1217">
                  <c:v>2.2139697270962575E-2</c:v>
                </c:pt>
                <c:pt idx="1218">
                  <c:v>2.2133094828692908E-2</c:v>
                </c:pt>
                <c:pt idx="1219">
                  <c:v>2.2127497903441252E-2</c:v>
                </c:pt>
                <c:pt idx="1220">
                  <c:v>2.2121849859827895E-2</c:v>
                </c:pt>
                <c:pt idx="1221">
                  <c:v>2.2116150698283432E-2</c:v>
                </c:pt>
                <c:pt idx="1222">
                  <c:v>2.2110400419243764E-2</c:v>
                </c:pt>
                <c:pt idx="1223">
                  <c:v>2.2104599023147431E-2</c:v>
                </c:pt>
                <c:pt idx="1224">
                  <c:v>2.2098746510435627E-2</c:v>
                </c:pt>
                <c:pt idx="1225">
                  <c:v>2.209284288155661E-2</c:v>
                </c:pt>
                <c:pt idx="1226">
                  <c:v>2.2086888136959085E-2</c:v>
                </c:pt>
                <c:pt idx="1227">
                  <c:v>2.2081564970105751E-2</c:v>
                </c:pt>
                <c:pt idx="1228">
                  <c:v>2.2075495932195696E-2</c:v>
                </c:pt>
                <c:pt idx="1229">
                  <c:v>2.2069375770997865E-2</c:v>
                </c:pt>
                <c:pt idx="1230">
                  <c:v>2.2063204486985791E-2</c:v>
                </c:pt>
                <c:pt idx="1231">
                  <c:v>2.205677099517174E-2</c:v>
                </c:pt>
                <c:pt idx="1232">
                  <c:v>2.2050501500410578E-2</c:v>
                </c:pt>
                <c:pt idx="1233">
                  <c:v>2.2042365608752713E-2</c:v>
                </c:pt>
                <c:pt idx="1234">
                  <c:v>2.2035979272657567E-2</c:v>
                </c:pt>
                <c:pt idx="1235">
                  <c:v>2.2029004032670319E-2</c:v>
                </c:pt>
                <c:pt idx="1236">
                  <c:v>2.2023621308468948E-2</c:v>
                </c:pt>
                <c:pt idx="1237">
                  <c:v>2.2017069473388027E-2</c:v>
                </c:pt>
                <c:pt idx="1238">
                  <c:v>2.2010466513670106E-2</c:v>
                </c:pt>
                <c:pt idx="1239">
                  <c:v>2.2003280843015387E-2</c:v>
                </c:pt>
                <c:pt idx="1240">
                  <c:v>2.1996587810782901E-2</c:v>
                </c:pt>
                <c:pt idx="1241">
                  <c:v>2.1989843664311018E-2</c:v>
                </c:pt>
                <c:pt idx="1242">
                  <c:v>2.1983048404119538E-2</c:v>
                </c:pt>
                <c:pt idx="1243">
                  <c:v>2.1976684863794817E-2</c:v>
                </c:pt>
                <c:pt idx="1244">
                  <c:v>2.196977516726761E-2</c:v>
                </c:pt>
                <c:pt idx="1245">
                  <c:v>2.196281434981227E-2</c:v>
                </c:pt>
                <c:pt idx="1246">
                  <c:v>2.1955802411972446E-2</c:v>
                </c:pt>
                <c:pt idx="1247">
                  <c:v>2.1948739354297805E-2</c:v>
                </c:pt>
                <c:pt idx="1248">
                  <c:v>2.1941203484480053E-2</c:v>
                </c:pt>
                <c:pt idx="1249">
                  <c:v>2.1934459881664231E-2</c:v>
                </c:pt>
                <c:pt idx="1250">
                  <c:v>2.1927243467823973E-2</c:v>
                </c:pt>
                <c:pt idx="1251">
                  <c:v>2.1919975936387538E-2</c:v>
                </c:pt>
                <c:pt idx="1252">
                  <c:v>2.1912284664858242E-2</c:v>
                </c:pt>
                <c:pt idx="1253">
                  <c:v>2.1904806304557715E-2</c:v>
                </c:pt>
                <c:pt idx="1254">
                  <c:v>2.1897401820163739E-2</c:v>
                </c:pt>
                <c:pt idx="1255">
                  <c:v>2.1889946232068271E-2</c:v>
                </c:pt>
                <c:pt idx="1256">
                  <c:v>2.1882439540841406E-2</c:v>
                </c:pt>
                <c:pt idx="1257">
                  <c:v>2.1874986220590673E-2</c:v>
                </c:pt>
                <c:pt idx="1258">
                  <c:v>2.1867373214827828E-2</c:v>
                </c:pt>
                <c:pt idx="1259">
                  <c:v>2.1859709104788762E-2</c:v>
                </c:pt>
                <c:pt idx="1260">
                  <c:v>2.1851993891064039E-2</c:v>
                </c:pt>
                <c:pt idx="1261">
                  <c:v>2.1844227574249909E-2</c:v>
                </c:pt>
                <c:pt idx="1262">
                  <c:v>2.1836326260260577E-2</c:v>
                </c:pt>
                <c:pt idx="1263">
                  <c:v>2.1828461863459981E-2</c:v>
                </c:pt>
                <c:pt idx="1264">
                  <c:v>2.1820546368244653E-2</c:v>
                </c:pt>
                <c:pt idx="1265">
                  <c:v>2.1812579775220706E-2</c:v>
                </c:pt>
                <c:pt idx="1266">
                  <c:v>2.1804629464922433E-2</c:v>
                </c:pt>
                <c:pt idx="1267">
                  <c:v>2.1796556542279924E-2</c:v>
                </c:pt>
                <c:pt idx="1268">
                  <c:v>2.178843252082218E-2</c:v>
                </c:pt>
                <c:pt idx="1269">
                  <c:v>2.1775562962431844E-2</c:v>
                </c:pt>
                <c:pt idx="1270">
                  <c:v>2.1770801611702563E-2</c:v>
                </c:pt>
                <c:pt idx="1271">
                  <c:v>2.1763707197587051E-2</c:v>
                </c:pt>
                <c:pt idx="1272">
                  <c:v>2.1755382937229992E-2</c:v>
                </c:pt>
                <c:pt idx="1273">
                  <c:v>2.1747007584061191E-2</c:v>
                </c:pt>
                <c:pt idx="1274">
                  <c:v>2.1738581138722773E-2</c:v>
                </c:pt>
                <c:pt idx="1275">
                  <c:v>2.1730103601861693E-2</c:v>
                </c:pt>
                <c:pt idx="1276">
                  <c:v>2.1721574974127984E-2</c:v>
                </c:pt>
                <c:pt idx="1277">
                  <c:v>2.1712995256175625E-2</c:v>
                </c:pt>
                <c:pt idx="1278">
                  <c:v>2.1704364448661233E-2</c:v>
                </c:pt>
                <c:pt idx="1279">
                  <c:v>2.1695733734309938E-2</c:v>
                </c:pt>
                <c:pt idx="1280">
                  <c:v>2.1686984056604561E-2</c:v>
                </c:pt>
                <c:pt idx="1281">
                  <c:v>2.1678183280131384E-2</c:v>
                </c:pt>
                <c:pt idx="1282">
                  <c:v>2.1669331405581044E-2</c:v>
                </c:pt>
                <c:pt idx="1283">
                  <c:v>2.1660440776402112E-2</c:v>
                </c:pt>
                <c:pt idx="1284">
                  <c:v>2.1651499261762588E-2</c:v>
                </c:pt>
                <c:pt idx="1285">
                  <c:v>2.1642506659491453E-2</c:v>
                </c:pt>
                <c:pt idx="1286">
                  <c:v>2.1633462970282361E-2</c:v>
                </c:pt>
                <c:pt idx="1287">
                  <c:v>2.1624368194832454E-2</c:v>
                </c:pt>
                <c:pt idx="1288">
                  <c:v>2.1615147137772992E-2</c:v>
                </c:pt>
                <c:pt idx="1289">
                  <c:v>2.1605937596326119E-2</c:v>
                </c:pt>
                <c:pt idx="1290">
                  <c:v>2.1596676962462501E-2</c:v>
                </c:pt>
                <c:pt idx="1291">
                  <c:v>2.1587365236908858E-2</c:v>
                </c:pt>
                <c:pt idx="1292">
                  <c:v>2.1578128048653087E-2</c:v>
                </c:pt>
                <c:pt idx="1293">
                  <c:v>2.1568726770622489E-2</c:v>
                </c:pt>
                <c:pt idx="1294">
                  <c:v>2.1559274411342057E-2</c:v>
                </c:pt>
                <c:pt idx="1295">
                  <c:v>2.154977097154127E-2</c:v>
                </c:pt>
                <c:pt idx="1296">
                  <c:v>2.154004025946318E-2</c:v>
                </c:pt>
                <c:pt idx="1297">
                  <c:v>2.1530421999231039E-2</c:v>
                </c:pt>
                <c:pt idx="1298">
                  <c:v>2.1520752652499139E-2</c:v>
                </c:pt>
                <c:pt idx="1299">
                  <c:v>2.1511032220026868E-2</c:v>
                </c:pt>
                <c:pt idx="1300">
                  <c:v>2.15012607025762E-2</c:v>
                </c:pt>
                <c:pt idx="1301">
                  <c:v>2.149143810091125E-2</c:v>
                </c:pt>
                <c:pt idx="1302">
                  <c:v>2.1481564415802592E-2</c:v>
                </c:pt>
                <c:pt idx="1303">
                  <c:v>2.1471639648023795E-2</c:v>
                </c:pt>
                <c:pt idx="1304">
                  <c:v>2.1461663798353597E-2</c:v>
                </c:pt>
                <c:pt idx="1305">
                  <c:v>2.1452118888858378E-2</c:v>
                </c:pt>
                <c:pt idx="1306">
                  <c:v>2.1442062100308162E-2</c:v>
                </c:pt>
                <c:pt idx="1307">
                  <c:v>2.1431954245669571E-2</c:v>
                </c:pt>
                <c:pt idx="1308">
                  <c:v>2.1421795325713262E-2</c:v>
                </c:pt>
                <c:pt idx="1309">
                  <c:v>2.1411472764585472E-2</c:v>
                </c:pt>
                <c:pt idx="1310">
                  <c:v>2.1401207461922186E-2</c:v>
                </c:pt>
                <c:pt idx="1311">
                  <c:v>2.1390891093604775E-2</c:v>
                </c:pt>
                <c:pt idx="1312">
                  <c:v>2.1380523660424255E-2</c:v>
                </c:pt>
                <c:pt idx="1313">
                  <c:v>2.1370105163176039E-2</c:v>
                </c:pt>
                <c:pt idx="1314">
                  <c:v>2.1359769477959849E-2</c:v>
                </c:pt>
                <c:pt idx="1315">
                  <c:v>2.1349253122689045E-2</c:v>
                </c:pt>
                <c:pt idx="1316">
                  <c:v>2.1338685708406191E-2</c:v>
                </c:pt>
                <c:pt idx="1317">
                  <c:v>2.1328067235918163E-2</c:v>
                </c:pt>
                <c:pt idx="1318">
                  <c:v>2.1317246744009952E-2</c:v>
                </c:pt>
                <c:pt idx="1319">
                  <c:v>2.1306521879265964E-2</c:v>
                </c:pt>
                <c:pt idx="1320">
                  <c:v>2.1295745956127984E-2</c:v>
                </c:pt>
                <c:pt idx="1321">
                  <c:v>2.1284918975421278E-2</c:v>
                </c:pt>
                <c:pt idx="1322">
                  <c:v>2.1274040937977714E-2</c:v>
                </c:pt>
                <c:pt idx="1323">
                  <c:v>2.1263284224281909E-2</c:v>
                </c:pt>
                <c:pt idx="1324">
                  <c:v>2.1252308367242314E-2</c:v>
                </c:pt>
                <c:pt idx="1325">
                  <c:v>2.1241281458583214E-2</c:v>
                </c:pt>
                <c:pt idx="1326">
                  <c:v>2.1230203499145481E-2</c:v>
                </c:pt>
                <c:pt idx="1327">
                  <c:v>2.1219074489773521E-2</c:v>
                </c:pt>
                <c:pt idx="1328">
                  <c:v>2.1207894431316605E-2</c:v>
                </c:pt>
                <c:pt idx="1329">
                  <c:v>2.1196663324626202E-2</c:v>
                </c:pt>
                <c:pt idx="1330">
                  <c:v>2.1185381170559528E-2</c:v>
                </c:pt>
                <c:pt idx="1331">
                  <c:v>2.1173009853276897E-2</c:v>
                </c:pt>
                <c:pt idx="1332">
                  <c:v>2.1161604042606332E-2</c:v>
                </c:pt>
                <c:pt idx="1333">
                  <c:v>2.1150147174336761E-2</c:v>
                </c:pt>
                <c:pt idx="1334">
                  <c:v>2.1138639249365095E-2</c:v>
                </c:pt>
                <c:pt idx="1335">
                  <c:v>2.1127756204356096E-2</c:v>
                </c:pt>
                <c:pt idx="1336">
                  <c:v>2.1116159139233235E-2</c:v>
                </c:pt>
                <c:pt idx="1337">
                  <c:v>2.1104511027749358E-2</c:v>
                </c:pt>
                <c:pt idx="1338">
                  <c:v>2.1092811870805601E-2</c:v>
                </c:pt>
                <c:pt idx="1339">
                  <c:v>2.1081061669300911E-2</c:v>
                </c:pt>
                <c:pt idx="1340">
                  <c:v>2.1068519559575935E-2</c:v>
                </c:pt>
                <c:pt idx="1341">
                  <c:v>2.1056654263163874E-2</c:v>
                </c:pt>
                <c:pt idx="1342">
                  <c:v>2.1044737917374615E-2</c:v>
                </c:pt>
                <c:pt idx="1343">
                  <c:v>2.103277052314332E-2</c:v>
                </c:pt>
                <c:pt idx="1344">
                  <c:v>2.1021545025220051E-2</c:v>
                </c:pt>
                <c:pt idx="1345">
                  <c:v>2.100948857551567E-2</c:v>
                </c:pt>
                <c:pt idx="1346">
                  <c:v>2.0997381087673635E-2</c:v>
                </c:pt>
                <c:pt idx="1347">
                  <c:v>2.0985222562628723E-2</c:v>
                </c:pt>
                <c:pt idx="1348">
                  <c:v>2.0973013001317452E-2</c:v>
                </c:pt>
                <c:pt idx="1349">
                  <c:v>2.095989419324271E-2</c:v>
                </c:pt>
                <c:pt idx="1350">
                  <c:v>2.0947569486388488E-2</c:v>
                </c:pt>
                <c:pt idx="1351">
                  <c:v>2.0935193738705067E-2</c:v>
                </c:pt>
                <c:pt idx="1352">
                  <c:v>2.0922766951160278E-2</c:v>
                </c:pt>
                <c:pt idx="1353">
                  <c:v>2.091028912473011E-2</c:v>
                </c:pt>
                <c:pt idx="1354">
                  <c:v>2.0897760260389701E-2</c:v>
                </c:pt>
                <c:pt idx="1355">
                  <c:v>2.088518035912235E-2</c:v>
                </c:pt>
                <c:pt idx="1356">
                  <c:v>2.0872549421912648E-2</c:v>
                </c:pt>
                <c:pt idx="1357">
                  <c:v>2.0861470338037195E-2</c:v>
                </c:pt>
                <c:pt idx="1358">
                  <c:v>2.0848759220886529E-2</c:v>
                </c:pt>
                <c:pt idx="1359">
                  <c:v>2.0835997082884673E-2</c:v>
                </c:pt>
                <c:pt idx="1360">
                  <c:v>2.0823183925004551E-2</c:v>
                </c:pt>
                <c:pt idx="1361">
                  <c:v>2.0810319748223057E-2</c:v>
                </c:pt>
                <c:pt idx="1362">
                  <c:v>2.0797062927525211E-2</c:v>
                </c:pt>
                <c:pt idx="1363">
                  <c:v>2.0784092326815686E-2</c:v>
                </c:pt>
                <c:pt idx="1364">
                  <c:v>2.0771070707765397E-2</c:v>
                </c:pt>
                <c:pt idx="1365">
                  <c:v>2.0757998071370035E-2</c:v>
                </c:pt>
                <c:pt idx="1366">
                  <c:v>2.0745233615251477E-2</c:v>
                </c:pt>
                <c:pt idx="1367">
                  <c:v>2.0732063345791269E-2</c:v>
                </c:pt>
                <c:pt idx="1368">
                  <c:v>2.0718842064376176E-2</c:v>
                </c:pt>
                <c:pt idx="1369">
                  <c:v>2.0705569772014459E-2</c:v>
                </c:pt>
                <c:pt idx="1370">
                  <c:v>2.0691869664443887E-2</c:v>
                </c:pt>
                <c:pt idx="1371">
                  <c:v>2.067849094516553E-2</c:v>
                </c:pt>
                <c:pt idx="1372">
                  <c:v>2.0665061215639279E-2</c:v>
                </c:pt>
                <c:pt idx="1373">
                  <c:v>2.0651580476895078E-2</c:v>
                </c:pt>
                <c:pt idx="1374">
                  <c:v>2.0638048729965951E-2</c:v>
                </c:pt>
                <c:pt idx="1375">
                  <c:v>2.0624864844891382E-2</c:v>
                </c:pt>
                <c:pt idx="1376">
                  <c:v>2.0611235504448839E-2</c:v>
                </c:pt>
                <c:pt idx="1377">
                  <c:v>2.0597555161263052E-2</c:v>
                </c:pt>
                <c:pt idx="1378">
                  <c:v>2.0583823816376721E-2</c:v>
                </c:pt>
                <c:pt idx="1379">
                  <c:v>2.0570041470836086E-2</c:v>
                </c:pt>
                <c:pt idx="1380">
                  <c:v>2.055620812569179E-2</c:v>
                </c:pt>
                <c:pt idx="1381">
                  <c:v>2.0542323781998908E-2</c:v>
                </c:pt>
                <c:pt idx="1382">
                  <c:v>2.0528388440816482E-2</c:v>
                </c:pt>
                <c:pt idx="1383">
                  <c:v>2.0512226241859138E-2</c:v>
                </c:pt>
                <c:pt idx="1384">
                  <c:v>2.049816671462423E-2</c:v>
                </c:pt>
                <c:pt idx="1385">
                  <c:v>2.0484056181765943E-2</c:v>
                </c:pt>
                <c:pt idx="1386">
                  <c:v>2.0469894644389197E-2</c:v>
                </c:pt>
                <c:pt idx="1387">
                  <c:v>2.0457042253092785E-2</c:v>
                </c:pt>
                <c:pt idx="1388">
                  <c:v>2.044279205476084E-2</c:v>
                </c:pt>
                <c:pt idx="1389">
                  <c:v>2.042849086197171E-2</c:v>
                </c:pt>
                <c:pt idx="1390">
                  <c:v>2.0414138675826598E-2</c:v>
                </c:pt>
                <c:pt idx="1391">
                  <c:v>2.0399735497432812E-2</c:v>
                </c:pt>
                <c:pt idx="1392">
                  <c:v>2.0383854387642803E-2</c:v>
                </c:pt>
                <c:pt idx="1393">
                  <c:v>2.03693358499215E-2</c:v>
                </c:pt>
                <c:pt idx="1394">
                  <c:v>2.0354766316668532E-2</c:v>
                </c:pt>
                <c:pt idx="1395">
                  <c:v>2.0340145789024489E-2</c:v>
                </c:pt>
                <c:pt idx="1396">
                  <c:v>2.0326954760713715E-2</c:v>
                </c:pt>
                <c:pt idx="1397">
                  <c:v>2.0312245652272732E-2</c:v>
                </c:pt>
                <c:pt idx="1398">
                  <c:v>2.0297485559435589E-2</c:v>
                </c:pt>
                <c:pt idx="1399">
                  <c:v>2.0282674483339737E-2</c:v>
                </c:pt>
                <c:pt idx="1400">
                  <c:v>2.0267812425126125E-2</c:v>
                </c:pt>
                <c:pt idx="1401">
                  <c:v>2.025135180536063E-2</c:v>
                </c:pt>
                <c:pt idx="1402">
                  <c:v>2.0236374349269788E-2</c:v>
                </c:pt>
                <c:pt idx="1403">
                  <c:v>2.0221345908061312E-2</c:v>
                </c:pt>
                <c:pt idx="1404">
                  <c:v>2.0206266482912755E-2</c:v>
                </c:pt>
                <c:pt idx="1405">
                  <c:v>2.0191136075004681E-2</c:v>
                </c:pt>
                <c:pt idx="1406">
                  <c:v>2.0175954685522374E-2</c:v>
                </c:pt>
                <c:pt idx="1407">
                  <c:v>2.0160722315655851E-2</c:v>
                </c:pt>
                <c:pt idx="1408">
                  <c:v>2.0145438966596419E-2</c:v>
                </c:pt>
                <c:pt idx="1409">
                  <c:v>2.0132861151320357E-2</c:v>
                </c:pt>
                <c:pt idx="1410">
                  <c:v>2.011749832588116E-2</c:v>
                </c:pt>
                <c:pt idx="1411">
                  <c:v>2.0102084535334915E-2</c:v>
                </c:pt>
                <c:pt idx="1412">
                  <c:v>2.0086619780855044E-2</c:v>
                </c:pt>
                <c:pt idx="1413">
                  <c:v>2.0071104063620712E-2</c:v>
                </c:pt>
                <c:pt idx="1414">
                  <c:v>2.0054964486337874E-2</c:v>
                </c:pt>
                <c:pt idx="1415">
                  <c:v>2.0039342341746307E-2</c:v>
                </c:pt>
                <c:pt idx="1416">
                  <c:v>2.0023669235896668E-2</c:v>
                </c:pt>
                <c:pt idx="1417">
                  <c:v>2.0007945169989754E-2</c:v>
                </c:pt>
                <c:pt idx="1418">
                  <c:v>1.9992761077660067E-2</c:v>
                </c:pt>
                <c:pt idx="1419">
                  <c:v>1.9976939608869509E-2</c:v>
                </c:pt>
                <c:pt idx="1420">
                  <c:v>1.9961067185683773E-2</c:v>
                </c:pt>
                <c:pt idx="1421">
                  <c:v>1.9945143809313823E-2</c:v>
                </c:pt>
                <c:pt idx="1422">
                  <c:v>1.9928560481907307E-2</c:v>
                </c:pt>
                <c:pt idx="1423">
                  <c:v>1.9912530681098384E-2</c:v>
                </c:pt>
                <c:pt idx="1424">
                  <c:v>1.9896449928749768E-2</c:v>
                </c:pt>
                <c:pt idx="1425">
                  <c:v>1.9880318226093447E-2</c:v>
                </c:pt>
                <c:pt idx="1426">
                  <c:v>1.9861819607940118E-2</c:v>
                </c:pt>
                <c:pt idx="1427">
                  <c:v>1.9846211067100508E-2</c:v>
                </c:pt>
                <c:pt idx="1428">
                  <c:v>1.9829926008748073E-2</c:v>
                </c:pt>
                <c:pt idx="1429">
                  <c:v>1.9813596756774941E-2</c:v>
                </c:pt>
                <c:pt idx="1430">
                  <c:v>1.9797228036946085E-2</c:v>
                </c:pt>
                <c:pt idx="1431">
                  <c:v>1.9780824574875438E-2</c:v>
                </c:pt>
                <c:pt idx="1432">
                  <c:v>1.9764391096025451E-2</c:v>
                </c:pt>
                <c:pt idx="1433">
                  <c:v>1.9747932325702683E-2</c:v>
                </c:pt>
                <c:pt idx="1434">
                  <c:v>1.9731452989062648E-2</c:v>
                </c:pt>
                <c:pt idx="1435">
                  <c:v>1.971237097014631E-2</c:v>
                </c:pt>
                <c:pt idx="1436">
                  <c:v>1.9695866789676896E-2</c:v>
                </c:pt>
                <c:pt idx="1437">
                  <c:v>1.9679357897486306E-2</c:v>
                </c:pt>
                <c:pt idx="1438">
                  <c:v>1.9654059529226393E-2</c:v>
                </c:pt>
                <c:pt idx="1439">
                  <c:v>1.9648270609380982E-2</c:v>
                </c:pt>
                <c:pt idx="1440">
                  <c:v>1.9629849183221207E-2</c:v>
                </c:pt>
                <c:pt idx="1441">
                  <c:v>1.9613367676006202E-2</c:v>
                </c:pt>
                <c:pt idx="1442">
                  <c:v>1.9596904572226945E-2</c:v>
                </c:pt>
                <c:pt idx="1443">
                  <c:v>1.958046449444955E-2</c:v>
                </c:pt>
                <c:pt idx="1444">
                  <c:v>1.956405206508674E-2</c:v>
                </c:pt>
                <c:pt idx="1445">
                  <c:v>1.9547671906397848E-2</c:v>
                </c:pt>
                <c:pt idx="1446">
                  <c:v>1.9531328640490543E-2</c:v>
                </c:pt>
                <c:pt idx="1447">
                  <c:v>1.9515026889319532E-2</c:v>
                </c:pt>
                <c:pt idx="1448">
                  <c:v>1.9498771274689165E-2</c:v>
                </c:pt>
                <c:pt idx="1449">
                  <c:v>1.9482566418253418E-2</c:v>
                </c:pt>
                <c:pt idx="1450">
                  <c:v>1.9466416941517201E-2</c:v>
                </c:pt>
                <c:pt idx="1451">
                  <c:v>1.9450327465839374E-2</c:v>
                </c:pt>
                <c:pt idx="1452">
                  <c:v>1.9434302612431464E-2</c:v>
                </c:pt>
                <c:pt idx="1453">
                  <c:v>1.9418346858604957E-2</c:v>
                </c:pt>
                <c:pt idx="1454">
                  <c:v>1.9402462266905025E-2</c:v>
                </c:pt>
                <c:pt idx="1455">
                  <c:v>1.9386648896254039E-2</c:v>
                </c:pt>
                <c:pt idx="1456">
                  <c:v>1.9370906744934892E-2</c:v>
                </c:pt>
                <c:pt idx="1457">
                  <c:v>1.9355235811239112E-2</c:v>
                </c:pt>
                <c:pt idx="1458">
                  <c:v>1.9339636093463411E-2</c:v>
                </c:pt>
                <c:pt idx="1459">
                  <c:v>1.9324107589915308E-2</c:v>
                </c:pt>
                <c:pt idx="1460">
                  <c:v>1.9308650298908363E-2</c:v>
                </c:pt>
                <c:pt idx="1461">
                  <c:v>1.9294942394150659E-2</c:v>
                </c:pt>
                <c:pt idx="1462">
                  <c:v>1.9279614716584358E-2</c:v>
                </c:pt>
                <c:pt idx="1463">
                  <c:v>1.9264358233586101E-2</c:v>
                </c:pt>
                <c:pt idx="1464">
                  <c:v>1.9249172943526422E-2</c:v>
                </c:pt>
                <c:pt idx="1465">
                  <c:v>1.9232431973516328E-2</c:v>
                </c:pt>
                <c:pt idx="1466">
                  <c:v>1.9217401922780656E-2</c:v>
                </c:pt>
                <c:pt idx="1467">
                  <c:v>1.9201910141816624E-2</c:v>
                </c:pt>
                <c:pt idx="1468">
                  <c:v>1.9187555422549785E-2</c:v>
                </c:pt>
                <c:pt idx="1469">
                  <c:v>1.9172738969813939E-2</c:v>
                </c:pt>
                <c:pt idx="1470">
                  <c:v>1.9159556164578394E-2</c:v>
                </c:pt>
                <c:pt idx="1471">
                  <c:v>1.9144869180097931E-2</c:v>
                </c:pt>
                <c:pt idx="1472">
                  <c:v>1.9130253375792189E-2</c:v>
                </c:pt>
                <c:pt idx="1473">
                  <c:v>1.9115708750100661E-2</c:v>
                </c:pt>
                <c:pt idx="1474">
                  <c:v>1.910123530146942E-2</c:v>
                </c:pt>
                <c:pt idx="1475">
                  <c:v>1.908533531585065E-2</c:v>
                </c:pt>
                <c:pt idx="1476">
                  <c:v>1.9071017202504016E-2</c:v>
                </c:pt>
                <c:pt idx="1477">
                  <c:v>1.905677027421826E-2</c:v>
                </c:pt>
                <c:pt idx="1478">
                  <c:v>1.9037994138056555E-2</c:v>
                </c:pt>
                <c:pt idx="1479">
                  <c:v>1.9023907052403411E-2</c:v>
                </c:pt>
                <c:pt idx="1480">
                  <c:v>1.9009891134005211E-2</c:v>
                </c:pt>
                <c:pt idx="1481">
                  <c:v>1.8995946381365134E-2</c:v>
                </c:pt>
                <c:pt idx="1482">
                  <c:v>1.8982072792993382E-2</c:v>
                </c:pt>
                <c:pt idx="1483">
                  <c:v>1.8968270367408498E-2</c:v>
                </c:pt>
                <c:pt idx="1484">
                  <c:v>1.8954539103136065E-2</c:v>
                </c:pt>
                <c:pt idx="1485">
                  <c:v>1.8940878998710439E-2</c:v>
                </c:pt>
                <c:pt idx="1486">
                  <c:v>1.8927290052670367E-2</c:v>
                </c:pt>
                <c:pt idx="1487">
                  <c:v>1.8912881575726102E-2</c:v>
                </c:pt>
                <c:pt idx="1488">
                  <c:v>1.8899443702181759E-2</c:v>
                </c:pt>
                <c:pt idx="1489">
                  <c:v>1.8886076990913488E-2</c:v>
                </c:pt>
                <c:pt idx="1490">
                  <c:v>1.887278144047853E-2</c:v>
                </c:pt>
                <c:pt idx="1491">
                  <c:v>1.8859984646073854E-2</c:v>
                </c:pt>
                <c:pt idx="1492">
                  <c:v>1.8846827016298189E-2</c:v>
                </c:pt>
                <c:pt idx="1493">
                  <c:v>1.8830014614099028E-2</c:v>
                </c:pt>
                <c:pt idx="1494">
                  <c:v>1.8820725212747719E-2</c:v>
                </c:pt>
                <c:pt idx="1495">
                  <c:v>1.8807781036169029E-2</c:v>
                </c:pt>
                <c:pt idx="1496">
                  <c:v>1.879266987016406E-2</c:v>
                </c:pt>
                <c:pt idx="1497">
                  <c:v>1.8779882570101762E-2</c:v>
                </c:pt>
                <c:pt idx="1498">
                  <c:v>1.8767166419406293E-2</c:v>
                </c:pt>
                <c:pt idx="1499">
                  <c:v>1.8754521416703973E-2</c:v>
                </c:pt>
                <c:pt idx="1500">
                  <c:v>1.874233480752055E-2</c:v>
                </c:pt>
                <c:pt idx="1501">
                  <c:v>1.8729827662963799E-2</c:v>
                </c:pt>
                <c:pt idx="1502">
                  <c:v>1.8717391658311509E-2</c:v>
                </c:pt>
                <c:pt idx="1503">
                  <c:v>1.8705026792227481E-2</c:v>
                </c:pt>
                <c:pt idx="1504">
                  <c:v>1.8691994500081688E-2</c:v>
                </c:pt>
                <c:pt idx="1505">
                  <c:v>1.8680145432433442E-2</c:v>
                </c:pt>
                <c:pt idx="1506">
                  <c:v>1.866799842788688E-2</c:v>
                </c:pt>
                <c:pt idx="1507">
                  <c:v>1.865592256062551E-2</c:v>
                </c:pt>
                <c:pt idx="1508">
                  <c:v>1.8643917829347333E-2</c:v>
                </c:pt>
                <c:pt idx="1509">
                  <c:v>1.8631984232756426E-2</c:v>
                </c:pt>
                <c:pt idx="1510">
                  <c:v>1.8620121769561647E-2</c:v>
                </c:pt>
                <c:pt idx="1511">
                  <c:v>1.8608330438483589E-2</c:v>
                </c:pt>
                <c:pt idx="1512">
                  <c:v>1.8596610238249787E-2</c:v>
                </c:pt>
                <c:pt idx="1513">
                  <c:v>1.8585950309015421E-2</c:v>
                </c:pt>
                <c:pt idx="1514">
                  <c:v>1.8574358911947152E-2</c:v>
                </c:pt>
                <c:pt idx="1515">
                  <c:v>1.8562838630154323E-2</c:v>
                </c:pt>
                <c:pt idx="1516">
                  <c:v>1.8551389462413598E-2</c:v>
                </c:pt>
                <c:pt idx="1517">
                  <c:v>1.8539699237729239E-2</c:v>
                </c:pt>
                <c:pt idx="1518">
                  <c:v>1.852839679451888E-2</c:v>
                </c:pt>
                <c:pt idx="1519">
                  <c:v>1.8517165465642721E-2</c:v>
                </c:pt>
                <c:pt idx="1520">
                  <c:v>1.8506005249900846E-2</c:v>
                </c:pt>
                <c:pt idx="1521">
                  <c:v>1.8494916146101679E-2</c:v>
                </c:pt>
                <c:pt idx="1522">
                  <c:v>1.8484187783487468E-2</c:v>
                </c:pt>
                <c:pt idx="1523">
                  <c:v>1.8473236380484901E-2</c:v>
                </c:pt>
                <c:pt idx="1524">
                  <c:v>1.846235608201675E-2</c:v>
                </c:pt>
                <c:pt idx="1525">
                  <c:v>1.845154688692946E-2</c:v>
                </c:pt>
                <c:pt idx="1526">
                  <c:v>1.8440537265067974E-2</c:v>
                </c:pt>
                <c:pt idx="1527">
                  <c:v>1.8429874808323195E-2</c:v>
                </c:pt>
                <c:pt idx="1528">
                  <c:v>1.8419283455392243E-2</c:v>
                </c:pt>
                <c:pt idx="1529">
                  <c:v>1.8408763205141957E-2</c:v>
                </c:pt>
                <c:pt idx="1530">
                  <c:v>1.8397079841071168E-2</c:v>
                </c:pt>
                <c:pt idx="1531">
                  <c:v>1.838670739898891E-2</c:v>
                </c:pt>
                <c:pt idx="1532">
                  <c:v>1.8376406052251954E-2</c:v>
                </c:pt>
                <c:pt idx="1533">
                  <c:v>1.8366175799767251E-2</c:v>
                </c:pt>
                <c:pt idx="1534">
                  <c:v>1.8356016640448381E-2</c:v>
                </c:pt>
                <c:pt idx="1535">
                  <c:v>1.8345928573215538E-2</c:v>
                </c:pt>
                <c:pt idx="1536">
                  <c:v>1.8335911596998201E-2</c:v>
                </c:pt>
                <c:pt idx="1537">
                  <c:v>1.832596571073335E-2</c:v>
                </c:pt>
                <c:pt idx="1538">
                  <c:v>1.831609091336283E-2</c:v>
                </c:pt>
                <c:pt idx="1539">
                  <c:v>1.8305653636272602E-2</c:v>
                </c:pt>
                <c:pt idx="1540">
                  <c:v>1.8295934770796284E-2</c:v>
                </c:pt>
                <c:pt idx="1541">
                  <c:v>1.8286287002436421E-2</c:v>
                </c:pt>
                <c:pt idx="1542">
                  <c:v>1.8276710330151238E-2</c:v>
                </c:pt>
                <c:pt idx="1543">
                  <c:v>1.8267397143507634E-2</c:v>
                </c:pt>
                <c:pt idx="1544">
                  <c:v>1.8256615421490156E-2</c:v>
                </c:pt>
                <c:pt idx="1545">
                  <c:v>1.8247257581660788E-2</c:v>
                </c:pt>
                <c:pt idx="1546">
                  <c:v>1.8237970829916787E-2</c:v>
                </c:pt>
                <c:pt idx="1547">
                  <c:v>1.8228755165263972E-2</c:v>
                </c:pt>
                <c:pt idx="1548">
                  <c:v>1.8219105834440315E-2</c:v>
                </c:pt>
                <c:pt idx="1549">
                  <c:v>1.8210046204488701E-2</c:v>
                </c:pt>
                <c:pt idx="1550">
                  <c:v>1.8201057669885622E-2</c:v>
                </c:pt>
                <c:pt idx="1551">
                  <c:v>1.8192140229650357E-2</c:v>
                </c:pt>
                <c:pt idx="1552">
                  <c:v>1.8183743113981202E-2</c:v>
                </c:pt>
                <c:pt idx="1553">
                  <c:v>1.8174953951355086E-2</c:v>
                </c:pt>
                <c:pt idx="1554">
                  <c:v>1.8166235869053551E-2</c:v>
                </c:pt>
                <c:pt idx="1555">
                  <c:v>1.8157181393040307E-2</c:v>
                </c:pt>
                <c:pt idx="1556">
                  <c:v>1.8148619410202321E-2</c:v>
                </c:pt>
                <c:pt idx="1557">
                  <c:v>1.814012851600898E-2</c:v>
                </c:pt>
                <c:pt idx="1558">
                  <c:v>1.8131708709535441E-2</c:v>
                </c:pt>
                <c:pt idx="1559">
                  <c:v>1.812335998986114E-2</c:v>
                </c:pt>
                <c:pt idx="1560">
                  <c:v>1.8115420010158791E-2</c:v>
                </c:pt>
                <c:pt idx="1561">
                  <c:v>1.8106875807274901E-2</c:v>
                </c:pt>
                <c:pt idx="1562">
                  <c:v>1.8098740342565686E-2</c:v>
                </c:pt>
                <c:pt idx="1563">
                  <c:v>1.8090675961058591E-2</c:v>
                </c:pt>
                <c:pt idx="1564">
                  <c:v>1.8082964261697986E-2</c:v>
                </c:pt>
                <c:pt idx="1565">
                  <c:v>1.8075208596884849E-2</c:v>
                </c:pt>
                <c:pt idx="1566">
                  <c:v>1.8067334042112183E-2</c:v>
                </c:pt>
                <c:pt idx="1567">
                  <c:v>1.8059530548769846E-2</c:v>
                </c:pt>
                <c:pt idx="1568">
                  <c:v>1.8051798116029333E-2</c:v>
                </c:pt>
                <c:pt idx="1569">
                  <c:v>1.8044064975943495E-2</c:v>
                </c:pt>
                <c:pt idx="1570">
                  <c:v>1.8036479359080055E-2</c:v>
                </c:pt>
                <c:pt idx="1571">
                  <c:v>1.8028964804022284E-2</c:v>
                </c:pt>
                <c:pt idx="1572">
                  <c:v>1.8021521309967314E-2</c:v>
                </c:pt>
                <c:pt idx="1573">
                  <c:v>1.8014148876121048E-2</c:v>
                </c:pt>
                <c:pt idx="1574">
                  <c:v>1.8006895746765651E-2</c:v>
                </c:pt>
                <c:pt idx="1575">
                  <c:v>1.7999660715668546E-2</c:v>
                </c:pt>
                <c:pt idx="1576">
                  <c:v>1.7992496738815037E-2</c:v>
                </c:pt>
                <c:pt idx="1577">
                  <c:v>1.7985403815445951E-2</c:v>
                </c:pt>
                <c:pt idx="1578">
                  <c:v>1.7978352582726981E-2</c:v>
                </c:pt>
                <c:pt idx="1579">
                  <c:v>1.7971406493865087E-2</c:v>
                </c:pt>
                <c:pt idx="1580">
                  <c:v>1.7964531459860572E-2</c:v>
                </c:pt>
                <c:pt idx="1581">
                  <c:v>1.7957727479979965E-2</c:v>
                </c:pt>
                <c:pt idx="1582">
                  <c:v>1.7951004974753368E-2</c:v>
                </c:pt>
                <c:pt idx="1583">
                  <c:v>1.7944338356732432E-2</c:v>
                </c:pt>
                <c:pt idx="1584">
                  <c:v>1.7937742787080893E-2</c:v>
                </c:pt>
                <c:pt idx="1585">
                  <c:v>1.7931218265099198E-2</c:v>
                </c:pt>
                <c:pt idx="1586">
                  <c:v>1.7924764790093542E-2</c:v>
                </c:pt>
                <c:pt idx="1587">
                  <c:v>1.791838236138027E-2</c:v>
                </c:pt>
                <c:pt idx="1588">
                  <c:v>1.7912070978279706E-2</c:v>
                </c:pt>
                <c:pt idx="1589">
                  <c:v>1.7905830640122775E-2</c:v>
                </c:pt>
                <c:pt idx="1590">
                  <c:v>1.7899661346247018E-2</c:v>
                </c:pt>
                <c:pt idx="1591">
                  <c:v>1.7893729698734203E-2</c:v>
                </c:pt>
                <c:pt idx="1592">
                  <c:v>1.788772637878509E-2</c:v>
                </c:pt>
                <c:pt idx="1593">
                  <c:v>1.7881794119011786E-2</c:v>
                </c:pt>
                <c:pt idx="1594">
                  <c:v>1.7875932918767497E-2</c:v>
                </c:pt>
                <c:pt idx="1595">
                  <c:v>1.7869984043992933E-2</c:v>
                </c:pt>
                <c:pt idx="1596">
                  <c:v>1.7864250584255354E-2</c:v>
                </c:pt>
                <c:pt idx="1597">
                  <c:v>1.7858588171484554E-2</c:v>
                </c:pt>
                <c:pt idx="1598">
                  <c:v>1.7852996805072061E-2</c:v>
                </c:pt>
                <c:pt idx="1599">
                  <c:v>1.7847476484418569E-2</c:v>
                </c:pt>
                <c:pt idx="1600">
                  <c:v>1.7842257932144629E-2</c:v>
                </c:pt>
                <c:pt idx="1601">
                  <c:v>1.7836894131130959E-2</c:v>
                </c:pt>
                <c:pt idx="1602">
                  <c:v>1.7831601384748288E-2</c:v>
                </c:pt>
                <c:pt idx="1603">
                  <c:v>1.7826379692417287E-2</c:v>
                </c:pt>
                <c:pt idx="1604">
                  <c:v>1.7820940547049365E-2</c:v>
                </c:pt>
                <c:pt idx="1605">
                  <c:v>1.7815846488767721E-2</c:v>
                </c:pt>
                <c:pt idx="1606">
                  <c:v>1.781082347225614E-2</c:v>
                </c:pt>
                <c:pt idx="1607">
                  <c:v>1.7805871496974723E-2</c:v>
                </c:pt>
                <c:pt idx="1608">
                  <c:v>1.7801337021879162E-2</c:v>
                </c:pt>
                <c:pt idx="1609">
                  <c:v>1.7796541642169497E-2</c:v>
                </c:pt>
                <c:pt idx="1610">
                  <c:v>1.7791817312686607E-2</c:v>
                </c:pt>
                <c:pt idx="1611">
                  <c:v>1.778716403291521E-2</c:v>
                </c:pt>
                <c:pt idx="1612">
                  <c:v>1.7782581802347323E-2</c:v>
                </c:pt>
                <c:pt idx="1613">
                  <c:v>1.777807062048313E-2</c:v>
                </c:pt>
                <c:pt idx="1614">
                  <c:v>1.777363048683055E-2</c:v>
                </c:pt>
                <c:pt idx="1615">
                  <c:v>1.7769261400904384E-2</c:v>
                </c:pt>
                <c:pt idx="1616">
                  <c:v>1.7764963362229311E-2</c:v>
                </c:pt>
                <c:pt idx="1617">
                  <c:v>1.7759942935312464E-2</c:v>
                </c:pt>
                <c:pt idx="1618">
                  <c:v>1.775576264290675E-2</c:v>
                </c:pt>
                <c:pt idx="1619">
                  <c:v>1.7751653378848441E-2</c:v>
                </c:pt>
                <c:pt idx="1620">
                  <c:v>1.7747615142699874E-2</c:v>
                </c:pt>
                <c:pt idx="1621">
                  <c:v>1.7743825175207971E-2</c:v>
                </c:pt>
                <c:pt idx="1622">
                  <c:v>1.7739933875989298E-2</c:v>
                </c:pt>
                <c:pt idx="1623">
                  <c:v>1.7736113606913708E-2</c:v>
                </c:pt>
                <c:pt idx="1624">
                  <c:v>1.7732364367573621E-2</c:v>
                </c:pt>
                <c:pt idx="1625">
                  <c:v>1.7728686157569791E-2</c:v>
                </c:pt>
                <c:pt idx="1626">
                  <c:v>1.7724877288442315E-2</c:v>
                </c:pt>
                <c:pt idx="1627">
                  <c:v>1.7721336236082692E-2</c:v>
                </c:pt>
                <c:pt idx="1628">
                  <c:v>1.771786620841417E-2</c:v>
                </c:pt>
                <c:pt idx="1629">
                  <c:v>1.7714467205068429E-2</c:v>
                </c:pt>
                <c:pt idx="1630">
                  <c:v>1.7711360534100266E-2</c:v>
                </c:pt>
                <c:pt idx="1631">
                  <c:v>1.7708108492126531E-2</c:v>
                </c:pt>
                <c:pt idx="1632">
                  <c:v>1.770492747689904E-2</c:v>
                </c:pt>
                <c:pt idx="1633">
                  <c:v>1.7701817488077407E-2</c:v>
                </c:pt>
                <c:pt idx="1634">
                  <c:v>1.7698778525330465E-2</c:v>
                </c:pt>
                <c:pt idx="1635">
                  <c:v>1.7695564676091659E-2</c:v>
                </c:pt>
                <c:pt idx="1636">
                  <c:v>1.7692662833322929E-2</c:v>
                </c:pt>
                <c:pt idx="1637">
                  <c:v>1.7689832012201107E-2</c:v>
                </c:pt>
                <c:pt idx="1638">
                  <c:v>1.7687072212425436E-2</c:v>
                </c:pt>
                <c:pt idx="1639">
                  <c:v>1.7684383433703117E-2</c:v>
                </c:pt>
                <c:pt idx="1640">
                  <c:v>1.7681765675748844E-2</c:v>
                </c:pt>
                <c:pt idx="1641">
                  <c:v>1.767921893828351E-2</c:v>
                </c:pt>
                <c:pt idx="1642">
                  <c:v>1.7676743221038599E-2</c:v>
                </c:pt>
                <c:pt idx="1643">
                  <c:v>1.7675770649134045E-2</c:v>
                </c:pt>
                <c:pt idx="1644">
                  <c:v>1.7673461771393437E-2</c:v>
                </c:pt>
                <c:pt idx="1645">
                  <c:v>1.7671223930450345E-2</c:v>
                </c:pt>
                <c:pt idx="1646">
                  <c:v>1.7669057126061528E-2</c:v>
                </c:pt>
                <c:pt idx="1647">
                  <c:v>1.766604104585379E-2</c:v>
                </c:pt>
                <c:pt idx="1648">
                  <c:v>1.766400139087598E-2</c:v>
                </c:pt>
                <c:pt idx="1649">
                  <c:v>1.7662032761367828E-2</c:v>
                </c:pt>
                <c:pt idx="1650">
                  <c:v>1.7660135157117483E-2</c:v>
                </c:pt>
                <c:pt idx="1651">
                  <c:v>1.7658308577922263E-2</c:v>
                </c:pt>
                <c:pt idx="1652">
                  <c:v>1.765754805465165E-2</c:v>
                </c:pt>
                <c:pt idx="1653">
                  <c:v>1.7655878499951139E-2</c:v>
                </c:pt>
                <c:pt idx="1654">
                  <c:v>1.7654279980129254E-2</c:v>
                </c:pt>
                <c:pt idx="1655">
                  <c:v>1.7652752495012365E-2</c:v>
                </c:pt>
                <c:pt idx="1656">
                  <c:v>1.7650241051164587E-2</c:v>
                </c:pt>
                <c:pt idx="1657">
                  <c:v>1.7648840618444853E-2</c:v>
                </c:pt>
                <c:pt idx="1658">
                  <c:v>1.7647511209567226E-2</c:v>
                </c:pt>
                <c:pt idx="1659">
                  <c:v>1.7646252824388871E-2</c:v>
                </c:pt>
                <c:pt idx="1660">
                  <c:v>1.7645065462774376E-2</c:v>
                </c:pt>
                <c:pt idx="1661">
                  <c:v>1.7645079304321357E-2</c:v>
                </c:pt>
                <c:pt idx="1662">
                  <c:v>1.7644049057905436E-2</c:v>
                </c:pt>
                <c:pt idx="1663">
                  <c:v>1.7643089845077987E-2</c:v>
                </c:pt>
                <c:pt idx="1664">
                  <c:v>1.7642201665734152E-2</c:v>
                </c:pt>
                <c:pt idx="1665">
                  <c:v>1.7641384519777661E-2</c:v>
                </c:pt>
                <c:pt idx="1666">
                  <c:v>1.7640638407118693E-2</c:v>
                </c:pt>
                <c:pt idx="1667">
                  <c:v>1.7639963327675597E-2</c:v>
                </c:pt>
                <c:pt idx="1668">
                  <c:v>1.7639359281376162E-2</c:v>
                </c:pt>
                <c:pt idx="1669">
                  <c:v>1.7637159235701885E-2</c:v>
                </c:pt>
                <c:pt idx="1670">
                  <c:v>1.7636677054457938E-2</c:v>
                </c:pt>
                <c:pt idx="1671">
                  <c:v>1.7636265892333372E-2</c:v>
                </c:pt>
                <c:pt idx="1672">
                  <c:v>1.7635925749285578E-2</c:v>
                </c:pt>
                <c:pt idx="1673">
                  <c:v>1.7635656625276348E-2</c:v>
                </c:pt>
                <c:pt idx="1674">
                  <c:v>1.7635899816915476E-2</c:v>
                </c:pt>
                <c:pt idx="1675">
                  <c:v>1.7635777797739075E-2</c:v>
                </c:pt>
                <c:pt idx="1676">
                  <c:v>1.7635726801001748E-2</c:v>
                </c:pt>
                <c:pt idx="1677">
                  <c:v>1.7635746826699134E-2</c:v>
                </c:pt>
                <c:pt idx="1678">
                  <c:v>1.7635376290080412E-2</c:v>
                </c:pt>
                <c:pt idx="1679">
                  <c:v>1.763553327997007E-2</c:v>
                </c:pt>
                <c:pt idx="1680">
                  <c:v>1.7635761288856567E-2</c:v>
                </c:pt>
                <c:pt idx="1681">
                  <c:v>1.7636060316764936E-2</c:v>
                </c:pt>
                <c:pt idx="1682">
                  <c:v>1.7636912292042166E-2</c:v>
                </c:pt>
                <c:pt idx="1683">
                  <c:v>1.763735845265663E-2</c:v>
                </c:pt>
                <c:pt idx="1684">
                  <c:v>1.76378756358814E-2</c:v>
                </c:pt>
                <c:pt idx="1685">
                  <c:v>1.7638463841770206E-2</c:v>
                </c:pt>
                <c:pt idx="1686">
                  <c:v>1.7639123070387692E-2</c:v>
                </c:pt>
                <c:pt idx="1687">
                  <c:v>1.7639345849171515E-2</c:v>
                </c:pt>
                <c:pt idx="1688">
                  <c:v>1.764014068461469E-2</c:v>
                </c:pt>
                <c:pt idx="1689">
                  <c:v>1.7641002530096705E-2</c:v>
                </c:pt>
                <c:pt idx="1690">
                  <c:v>1.764192857908848E-2</c:v>
                </c:pt>
                <c:pt idx="1691">
                  <c:v>1.7642916025060941E-2</c:v>
                </c:pt>
                <c:pt idx="1692">
                  <c:v>1.7643962061487651E-2</c:v>
                </c:pt>
                <c:pt idx="1693">
                  <c:v>1.764506388183865E-2</c:v>
                </c:pt>
                <c:pt idx="1694">
                  <c:v>1.7646218679585747E-2</c:v>
                </c:pt>
                <c:pt idx="1695">
                  <c:v>1.7649566765872524E-2</c:v>
                </c:pt>
                <c:pt idx="1696">
                  <c:v>1.7650827584870545E-2</c:v>
                </c:pt>
                <c:pt idx="1697">
                  <c:v>1.7652131969990461E-2</c:v>
                </c:pt>
                <c:pt idx="1698">
                  <c:v>1.7653477174511569E-2</c:v>
                </c:pt>
                <c:pt idx="1699">
                  <c:v>1.7653231817796534E-2</c:v>
                </c:pt>
                <c:pt idx="1700">
                  <c:v>1.7654646783171128E-2</c:v>
                </c:pt>
                <c:pt idx="1701">
                  <c:v>1.7656094888957231E-2</c:v>
                </c:pt>
                <c:pt idx="1702">
                  <c:v>1.7657573343790325E-2</c:v>
                </c:pt>
                <c:pt idx="1703">
                  <c:v>1.7659079356299345E-2</c:v>
                </c:pt>
                <c:pt idx="1704">
                  <c:v>1.7661925223063462E-2</c:v>
                </c:pt>
                <c:pt idx="1705">
                  <c:v>1.7663481711190171E-2</c:v>
                </c:pt>
                <c:pt idx="1706">
                  <c:v>1.7665056761716067E-2</c:v>
                </c:pt>
                <c:pt idx="1707">
                  <c:v>1.7666647613144171E-2</c:v>
                </c:pt>
                <c:pt idx="1708">
                  <c:v>1.7668251503969296E-2</c:v>
                </c:pt>
                <c:pt idx="1709">
                  <c:v>1.7669865672679343E-2</c:v>
                </c:pt>
                <c:pt idx="1710">
                  <c:v>1.7671487357752275E-2</c:v>
                </c:pt>
                <c:pt idx="1711">
                  <c:v>1.767311379765784E-2</c:v>
                </c:pt>
                <c:pt idx="1712">
                  <c:v>1.7674742230854561E-2</c:v>
                </c:pt>
                <c:pt idx="1713">
                  <c:v>1.7676369981672588E-2</c:v>
                </c:pt>
                <c:pt idx="1714">
                  <c:v>1.7677995816938356E-2</c:v>
                </c:pt>
                <c:pt idx="1715">
                  <c:v>1.7679619700415341E-2</c:v>
                </c:pt>
                <c:pt idx="1716">
                  <c:v>1.7681241632099217E-2</c:v>
                </c:pt>
                <c:pt idx="1717">
                  <c:v>1.7682861611985238E-2</c:v>
                </c:pt>
                <c:pt idx="1718">
                  <c:v>1.7684479640068647E-2</c:v>
                </c:pt>
                <c:pt idx="1719">
                  <c:v>1.7686095716345121E-2</c:v>
                </c:pt>
                <c:pt idx="1720">
                  <c:v>1.7687709840808617E-2</c:v>
                </c:pt>
                <c:pt idx="1721">
                  <c:v>1.7687131069157522E-2</c:v>
                </c:pt>
                <c:pt idx="1722">
                  <c:v>1.7688741532507823E-2</c:v>
                </c:pt>
                <c:pt idx="1723">
                  <c:v>1.769035004438577E-2</c:v>
                </c:pt>
                <c:pt idx="1724">
                  <c:v>1.7691956604786948E-2</c:v>
                </c:pt>
                <c:pt idx="1725">
                  <c:v>1.7694108688685612E-2</c:v>
                </c:pt>
                <c:pt idx="1726">
                  <c:v>1.7695711285145545E-2</c:v>
                </c:pt>
                <c:pt idx="1727">
                  <c:v>1.7697311930026802E-2</c:v>
                </c:pt>
                <c:pt idx="1728">
                  <c:v>1.7701099910480033E-2</c:v>
                </c:pt>
                <c:pt idx="1729">
                  <c:v>1.7700507365030874E-2</c:v>
                </c:pt>
                <c:pt idx="1730">
                  <c:v>1.7701554985918619E-2</c:v>
                </c:pt>
                <c:pt idx="1731">
                  <c:v>1.7703147885851679E-2</c:v>
                </c:pt>
                <c:pt idx="1732">
                  <c:v>1.7704738834269991E-2</c:v>
                </c:pt>
                <c:pt idx="1733">
                  <c:v>1.7706327831169134E-2</c:v>
                </c:pt>
                <c:pt idx="1734">
                  <c:v>1.7708461799570054E-2</c:v>
                </c:pt>
                <c:pt idx="1735">
                  <c:v>1.7710046831645315E-2</c:v>
                </c:pt>
                <c:pt idx="1736">
                  <c:v>1.7711629912099295E-2</c:v>
                </c:pt>
                <c:pt idx="1737">
                  <c:v>1.7713211040926279E-2</c:v>
                </c:pt>
                <c:pt idx="1738">
                  <c:v>1.7713826500283095E-2</c:v>
                </c:pt>
                <c:pt idx="1739">
                  <c:v>1.7717042800055174E-2</c:v>
                </c:pt>
                <c:pt idx="1740">
                  <c:v>1.7718617237556425E-2</c:v>
                </c:pt>
                <c:pt idx="1741">
                  <c:v>1.77201897234118E-2</c:v>
                </c:pt>
                <c:pt idx="1742">
                  <c:v>1.7721760257615585E-2</c:v>
                </c:pt>
                <c:pt idx="1743">
                  <c:v>1.7723328840163394E-2</c:v>
                </c:pt>
                <c:pt idx="1744">
                  <c:v>1.7724895471050387E-2</c:v>
                </c:pt>
                <c:pt idx="1745">
                  <c:v>1.772646015027218E-2</c:v>
                </c:pt>
                <c:pt idx="1746">
                  <c:v>1.7728022877824379E-2</c:v>
                </c:pt>
                <c:pt idx="1747">
                  <c:v>1.7730675861311076E-2</c:v>
                </c:pt>
                <c:pt idx="1748">
                  <c:v>1.7732234559542433E-2</c:v>
                </c:pt>
                <c:pt idx="1749">
                  <c:v>1.7733791305910768E-2</c:v>
                </c:pt>
                <c:pt idx="1750">
                  <c:v>1.7735346100413045E-2</c:v>
                </c:pt>
                <c:pt idx="1751">
                  <c:v>1.7736353085815049E-2</c:v>
                </c:pt>
                <c:pt idx="1752">
                  <c:v>1.7737904039915063E-2</c:v>
                </c:pt>
                <c:pt idx="1753">
                  <c:v>1.7739453042223779E-2</c:v>
                </c:pt>
                <c:pt idx="1754">
                  <c:v>1.7741441748675316E-2</c:v>
                </c:pt>
                <c:pt idx="1755">
                  <c:v>1.7742545191448973E-2</c:v>
                </c:pt>
                <c:pt idx="1756">
                  <c:v>1.7744633877961397E-2</c:v>
                </c:pt>
                <c:pt idx="1757">
                  <c:v>1.774617500926658E-2</c:v>
                </c:pt>
                <c:pt idx="1758">
                  <c:v>1.7747714188667468E-2</c:v>
                </c:pt>
                <c:pt idx="1759">
                  <c:v>1.7749251416160593E-2</c:v>
                </c:pt>
                <c:pt idx="1760">
                  <c:v>1.775024140784583E-2</c:v>
                </c:pt>
                <c:pt idx="1761">
                  <c:v>1.7751774795660365E-2</c:v>
                </c:pt>
                <c:pt idx="1762">
                  <c:v>1.7753306231642983E-2</c:v>
                </c:pt>
                <c:pt idx="1763">
                  <c:v>1.7754835715788002E-2</c:v>
                </c:pt>
                <c:pt idx="1764">
                  <c:v>1.7757453313261871E-2</c:v>
                </c:pt>
                <c:pt idx="1765">
                  <c:v>1.7758433790789944E-2</c:v>
                </c:pt>
                <c:pt idx="1766">
                  <c:v>1.7759957354797944E-2</c:v>
                </c:pt>
                <c:pt idx="1767">
                  <c:v>1.7761478966861248E-2</c:v>
                </c:pt>
                <c:pt idx="1768">
                  <c:v>1.7762998626975082E-2</c:v>
                </c:pt>
                <c:pt idx="1769">
                  <c:v>1.7764516335136839E-2</c:v>
                </c:pt>
                <c:pt idx="1770">
                  <c:v>1.7766032091339132E-2</c:v>
                </c:pt>
                <c:pt idx="1771">
                  <c:v>1.7767545895578916E-2</c:v>
                </c:pt>
                <c:pt idx="1772">
                  <c:v>1.7769057747851855E-2</c:v>
                </c:pt>
                <c:pt idx="1773">
                  <c:v>1.7769478773900338E-2</c:v>
                </c:pt>
                <c:pt idx="1774">
                  <c:v>1.777098685285524E-2</c:v>
                </c:pt>
                <c:pt idx="1775">
                  <c:v>1.7772492980010539E-2</c:v>
                </c:pt>
                <c:pt idx="1776">
                  <c:v>1.7773997155359211E-2</c:v>
                </c:pt>
                <c:pt idx="1777">
                  <c:v>1.7775499378899499E-2</c:v>
                </c:pt>
                <c:pt idx="1778">
                  <c:v>1.7777543754506908E-2</c:v>
                </c:pt>
                <c:pt idx="1779">
                  <c:v>1.7778497970534275E-2</c:v>
                </c:pt>
                <c:pt idx="1780">
                  <c:v>1.777999433861998E-2</c:v>
                </c:pt>
                <c:pt idx="1781">
                  <c:v>1.7781488754878852E-2</c:v>
                </c:pt>
                <c:pt idx="1782">
                  <c:v>1.7782981219306059E-2</c:v>
                </c:pt>
                <c:pt idx="1783">
                  <c:v>1.7784471731897213E-2</c:v>
                </c:pt>
                <c:pt idx="1784">
                  <c:v>1.7785960292648798E-2</c:v>
                </c:pt>
                <c:pt idx="1785">
                  <c:v>1.7787446901555544E-2</c:v>
                </c:pt>
                <c:pt idx="1786">
                  <c:v>1.7788931558614374E-2</c:v>
                </c:pt>
                <c:pt idx="1787">
                  <c:v>1.77904142638187E-2</c:v>
                </c:pt>
                <c:pt idx="1788">
                  <c:v>1.779189501716677E-2</c:v>
                </c:pt>
                <c:pt idx="1789">
                  <c:v>1.7793373818651995E-2</c:v>
                </c:pt>
                <c:pt idx="1790">
                  <c:v>1.7794518199620208E-2</c:v>
                </c:pt>
                <c:pt idx="1791">
                  <c:v>1.7795992885377584E-2</c:v>
                </c:pt>
                <c:pt idx="1792">
                  <c:v>1.7797465619347717E-2</c:v>
                </c:pt>
                <c:pt idx="1793">
                  <c:v>1.7798936401530172E-2</c:v>
                </c:pt>
                <c:pt idx="1794">
                  <c:v>1.7800405231918316E-2</c:v>
                </c:pt>
                <c:pt idx="1795">
                  <c:v>1.7801872110508626E-2</c:v>
                </c:pt>
                <c:pt idx="1796">
                  <c:v>1.7803337037296679E-2</c:v>
                </c:pt>
                <c:pt idx="1797">
                  <c:v>1.7804800012278056E-2</c:v>
                </c:pt>
                <c:pt idx="1798">
                  <c:v>1.7806261035448349E-2</c:v>
                </c:pt>
                <c:pt idx="1799">
                  <c:v>1.7809348189705119E-2</c:v>
                </c:pt>
                <c:pt idx="1800">
                  <c:v>1.78108051062295E-2</c:v>
                </c:pt>
                <c:pt idx="1801">
                  <c:v>1.7812260070658437E-2</c:v>
                </c:pt>
                <c:pt idx="1802">
                  <c:v>1.7813713082988021E-2</c:v>
                </c:pt>
                <c:pt idx="1803">
                  <c:v>1.7814621708830362E-2</c:v>
                </c:pt>
                <c:pt idx="1804">
                  <c:v>1.7816484576786865E-2</c:v>
                </c:pt>
                <c:pt idx="1805">
                  <c:v>1.7817931243202814E-2</c:v>
                </c:pt>
                <c:pt idx="1806">
                  <c:v>1.7819375957591154E-2</c:v>
                </c:pt>
                <c:pt idx="1807">
                  <c:v>1.7822108945498964E-2</c:v>
                </c:pt>
                <c:pt idx="1808">
                  <c:v>1.7823885785148205E-2</c:v>
                </c:pt>
                <c:pt idx="1809">
                  <c:v>1.7825324437833787E-2</c:v>
                </c:pt>
                <c:pt idx="1810">
                  <c:v>1.7826761138203643E-2</c:v>
                </c:pt>
                <c:pt idx="1811">
                  <c:v>1.7826570248974112E-2</c:v>
                </c:pt>
                <c:pt idx="1812">
                  <c:v>1.7828003251108553E-2</c:v>
                </c:pt>
                <c:pt idx="1813">
                  <c:v>1.7829434301186553E-2</c:v>
                </c:pt>
                <c:pt idx="1814">
                  <c:v>1.7830863399202434E-2</c:v>
                </c:pt>
                <c:pt idx="1815">
                  <c:v>1.7833915355143368E-2</c:v>
                </c:pt>
                <c:pt idx="1816">
                  <c:v>1.7835340341519578E-2</c:v>
                </c:pt>
                <c:pt idx="1817">
                  <c:v>1.7836763375549975E-2</c:v>
                </c:pt>
                <c:pt idx="1818">
                  <c:v>1.7838184457228113E-2</c:v>
                </c:pt>
                <c:pt idx="1819">
                  <c:v>1.7839603586551844E-2</c:v>
                </c:pt>
                <c:pt idx="1820">
                  <c:v>1.7839396993774397E-2</c:v>
                </c:pt>
                <c:pt idx="1821">
                  <c:v>1.7842435988114167E-2</c:v>
                </c:pt>
                <c:pt idx="1822">
                  <c:v>1.7843849260344595E-2</c:v>
                </c:pt>
                <c:pt idx="1823">
                  <c:v>1.7845260580203425E-2</c:v>
                </c:pt>
                <c:pt idx="1824">
                  <c:v>1.784504701506151E-2</c:v>
                </c:pt>
                <c:pt idx="1825">
                  <c:v>1.7845372880497656E-2</c:v>
                </c:pt>
                <c:pt idx="1826">
                  <c:v>1.7846778693559197E-2</c:v>
                </c:pt>
                <c:pt idx="1827">
                  <c:v>1.7848182554687758E-2</c:v>
                </c:pt>
                <c:pt idx="1828">
                  <c:v>1.7849584463878923E-2</c:v>
                </c:pt>
                <c:pt idx="1829">
                  <c:v>1.7851525014645882E-2</c:v>
                </c:pt>
                <c:pt idx="1830">
                  <c:v>1.7852922949534611E-2</c:v>
                </c:pt>
                <c:pt idx="1831">
                  <c:v>1.7854318932382169E-2</c:v>
                </c:pt>
                <c:pt idx="1832">
                  <c:v>1.7855712963185052E-2</c:v>
                </c:pt>
                <c:pt idx="1833">
                  <c:v>1.785710504193842E-2</c:v>
                </c:pt>
                <c:pt idx="1834">
                  <c:v>1.7857954928108734E-2</c:v>
                </c:pt>
                <c:pt idx="1835">
                  <c:v>1.7859343173623303E-2</c:v>
                </c:pt>
                <c:pt idx="1836">
                  <c:v>1.7860729467167349E-2</c:v>
                </c:pt>
                <c:pt idx="1837">
                  <c:v>1.7862113808737787E-2</c:v>
                </c:pt>
                <c:pt idx="1838">
                  <c:v>1.786403615482381E-2</c:v>
                </c:pt>
                <c:pt idx="1839">
                  <c:v>1.7865416521196227E-2</c:v>
                </c:pt>
                <c:pt idx="1840">
                  <c:v>1.786679493549146E-2</c:v>
                </c:pt>
                <c:pt idx="1841">
                  <c:v>1.7868957071094323E-2</c:v>
                </c:pt>
                <c:pt idx="1842">
                  <c:v>1.786920244629539E-2</c:v>
                </c:pt>
                <c:pt idx="1843">
                  <c:v>1.7870378866477431E-2</c:v>
                </c:pt>
                <c:pt idx="1844">
                  <c:v>1.7871749544116446E-2</c:v>
                </c:pt>
                <c:pt idx="1845">
                  <c:v>1.7873118269748287E-2</c:v>
                </c:pt>
                <c:pt idx="1846">
                  <c:v>1.7874485043370743E-2</c:v>
                </c:pt>
                <c:pt idx="1847">
                  <c:v>1.7875849864978515E-2</c:v>
                </c:pt>
                <c:pt idx="1848">
                  <c:v>1.7877212734568958E-2</c:v>
                </c:pt>
                <c:pt idx="1849">
                  <c:v>1.7878573652136326E-2</c:v>
                </c:pt>
                <c:pt idx="1850">
                  <c:v>1.7879932617677528E-2</c:v>
                </c:pt>
                <c:pt idx="1851">
                  <c:v>1.7883984855961484E-2</c:v>
                </c:pt>
                <c:pt idx="1852">
                  <c:v>1.7885339555198575E-2</c:v>
                </c:pt>
                <c:pt idx="1853">
                  <c:v>1.7886692301939004E-2</c:v>
                </c:pt>
                <c:pt idx="1854">
                  <c:v>1.7888043096178478E-2</c:v>
                </c:pt>
                <c:pt idx="1855">
                  <c:v>1.7887775641661722E-2</c:v>
                </c:pt>
                <c:pt idx="1856">
                  <c:v>1.7889122749361865E-2</c:v>
                </c:pt>
                <c:pt idx="1857">
                  <c:v>1.7890467904825166E-2</c:v>
                </c:pt>
                <c:pt idx="1858">
                  <c:v>1.7891811108045507E-2</c:v>
                </c:pt>
                <c:pt idx="1859">
                  <c:v>1.7893152359021149E-2</c:v>
                </c:pt>
                <c:pt idx="1860">
                  <c:v>1.789610685886402E-2</c:v>
                </c:pt>
                <c:pt idx="1861">
                  <c:v>1.789744398548291E-2</c:v>
                </c:pt>
                <c:pt idx="1862">
                  <c:v>1.7898779159568182E-2</c:v>
                </c:pt>
                <c:pt idx="1863">
                  <c:v>1.7900112381116395E-2</c:v>
                </c:pt>
                <c:pt idx="1864">
                  <c:v>1.7899829330078075E-2</c:v>
                </c:pt>
                <c:pt idx="1865">
                  <c:v>1.7901158867497685E-2</c:v>
                </c:pt>
                <c:pt idx="1866">
                  <c:v>1.7902486452644639E-2</c:v>
                </c:pt>
                <c:pt idx="1867">
                  <c:v>1.7905425741854882E-2</c:v>
                </c:pt>
                <c:pt idx="1868">
                  <c:v>1.7906749200656786E-2</c:v>
                </c:pt>
                <c:pt idx="1869">
                  <c:v>1.7908070706897136E-2</c:v>
                </c:pt>
                <c:pt idx="1870">
                  <c:v>1.7909390260572929E-2</c:v>
                </c:pt>
                <c:pt idx="1871">
                  <c:v>1.7910707861678997E-2</c:v>
                </c:pt>
                <c:pt idx="1872">
                  <c:v>1.7910410965570282E-2</c:v>
                </c:pt>
                <c:pt idx="1873">
                  <c:v>1.79133372061678E-2</c:v>
                </c:pt>
                <c:pt idx="1874">
                  <c:v>1.7914648949543227E-2</c:v>
                </c:pt>
                <c:pt idx="1875">
                  <c:v>1.791595874033346E-2</c:v>
                </c:pt>
                <c:pt idx="1876">
                  <c:v>1.7917266578534211E-2</c:v>
                </c:pt>
                <c:pt idx="1877">
                  <c:v>1.7916423917283323E-2</c:v>
                </c:pt>
                <c:pt idx="1878">
                  <c:v>1.7917728149680567E-2</c:v>
                </c:pt>
                <c:pt idx="1879">
                  <c:v>1.791903042984647E-2</c:v>
                </c:pt>
                <c:pt idx="1880">
                  <c:v>1.7920330757777516E-2</c:v>
                </c:pt>
                <c:pt idx="1881">
                  <c:v>1.7922165954424061E-2</c:v>
                </c:pt>
                <c:pt idx="1882">
                  <c:v>1.7923462302672919E-2</c:v>
                </c:pt>
                <c:pt idx="1883">
                  <c:v>1.7926903485694128E-2</c:v>
                </c:pt>
                <c:pt idx="1884">
                  <c:v>1.7926049142149535E-2</c:v>
                </c:pt>
                <c:pt idx="1885">
                  <c:v>1.7927339633369867E-2</c:v>
                </c:pt>
                <c:pt idx="1886">
                  <c:v>1.7928091728213059E-2</c:v>
                </c:pt>
                <c:pt idx="1887">
                  <c:v>1.7929378390392055E-2</c:v>
                </c:pt>
                <c:pt idx="1888">
                  <c:v>1.7930663100306332E-2</c:v>
                </c:pt>
                <c:pt idx="1889">
                  <c:v>1.7931945857950174E-2</c:v>
                </c:pt>
                <c:pt idx="1890">
                  <c:v>1.7933762804140649E-2</c:v>
                </c:pt>
                <c:pt idx="1891">
                  <c:v>1.7935041581202158E-2</c:v>
                </c:pt>
                <c:pt idx="1892">
                  <c:v>1.7936318405890106E-2</c:v>
                </c:pt>
                <c:pt idx="1893">
                  <c:v>1.7937593278202307E-2</c:v>
                </c:pt>
                <c:pt idx="1894">
                  <c:v>1.7938330362002642E-2</c:v>
                </c:pt>
                <c:pt idx="1895">
                  <c:v>1.7939601405953173E-2</c:v>
                </c:pt>
                <c:pt idx="1896">
                  <c:v>1.7940870497607796E-2</c:v>
                </c:pt>
                <c:pt idx="1897">
                  <c:v>1.7942137636963874E-2</c:v>
                </c:pt>
                <c:pt idx="1898">
                  <c:v>1.7943402824016144E-2</c:v>
                </c:pt>
                <c:pt idx="1899">
                  <c:v>1.794466605876284E-2</c:v>
                </c:pt>
                <c:pt idx="1900">
                  <c:v>1.7945927341198258E-2</c:v>
                </c:pt>
                <c:pt idx="1901">
                  <c:v>1.7947186671320638E-2</c:v>
                </c:pt>
                <c:pt idx="1902">
                  <c:v>1.7948444049124712E-2</c:v>
                </c:pt>
                <c:pt idx="1903">
                  <c:v>1.7951840117194154E-2</c:v>
                </c:pt>
                <c:pt idx="1904">
                  <c:v>1.7953093281336503E-2</c:v>
                </c:pt>
                <c:pt idx="1905">
                  <c:v>1.7954344492778915E-2</c:v>
                </c:pt>
                <c:pt idx="1906">
                  <c:v>1.795559375151709E-2</c:v>
                </c:pt>
                <c:pt idx="1907">
                  <c:v>1.7955236488899309E-2</c:v>
                </c:pt>
                <c:pt idx="1908">
                  <c:v>1.7956482075109224E-2</c:v>
                </c:pt>
                <c:pt idx="1909">
                  <c:v>1.7957725708883984E-2</c:v>
                </c:pt>
                <c:pt idx="1910">
                  <c:v>1.7958967390217909E-2</c:v>
                </c:pt>
                <c:pt idx="1911">
                  <c:v>1.7960207119109256E-2</c:v>
                </c:pt>
                <c:pt idx="1912">
                  <c:v>1.7963048296953939E-2</c:v>
                </c:pt>
                <c:pt idx="1913">
                  <c:v>1.7964283886660621E-2</c:v>
                </c:pt>
                <c:pt idx="1914">
                  <c:v>1.796551752363169E-2</c:v>
                </c:pt>
                <c:pt idx="1915">
                  <c:v>1.7966749207866724E-2</c:v>
                </c:pt>
                <c:pt idx="1916">
                  <c:v>1.796637647677923E-2</c:v>
                </c:pt>
                <c:pt idx="1917">
                  <c:v>1.7967604490930798E-2</c:v>
                </c:pt>
                <c:pt idx="1918">
                  <c:v>1.7968830552613582E-2</c:v>
                </c:pt>
                <c:pt idx="1919">
                  <c:v>1.7970054661823207E-2</c:v>
                </c:pt>
                <c:pt idx="1920">
                  <c:v>1.797127681855749E-2</c:v>
                </c:pt>
                <c:pt idx="1921">
                  <c:v>1.7974098305579472E-2</c:v>
                </c:pt>
                <c:pt idx="1922">
                  <c:v>1.7975316320549217E-2</c:v>
                </c:pt>
                <c:pt idx="1923">
                  <c:v>1.7976532382751553E-2</c:v>
                </c:pt>
                <c:pt idx="1924">
                  <c:v>1.7977746492183037E-2</c:v>
                </c:pt>
                <c:pt idx="1925">
                  <c:v>1.7978958648840235E-2</c:v>
                </c:pt>
                <c:pt idx="1926">
                  <c:v>1.7980168852719712E-2</c:v>
                </c:pt>
                <c:pt idx="1927">
                  <c:v>1.7981377103818023E-2</c:v>
                </c:pt>
                <c:pt idx="1928">
                  <c:v>1.7982583402131304E-2</c:v>
                </c:pt>
                <c:pt idx="1929">
                  <c:v>1.7981122163736967E-2</c:v>
                </c:pt>
                <c:pt idx="1930">
                  <c:v>1.7982324954816963E-2</c:v>
                </c:pt>
                <c:pt idx="1931">
                  <c:v>1.7983525793569155E-2</c:v>
                </c:pt>
                <c:pt idx="1932">
                  <c:v>1.7984724679986921E-2</c:v>
                </c:pt>
                <c:pt idx="1933">
                  <c:v>1.7985921614069818E-2</c:v>
                </c:pt>
                <c:pt idx="1934">
                  <c:v>1.7987649293299778E-2</c:v>
                </c:pt>
                <c:pt idx="1935">
                  <c:v>1.798884224258375E-2</c:v>
                </c:pt>
                <c:pt idx="1936">
                  <c:v>1.7990033239428195E-2</c:v>
                </c:pt>
                <c:pt idx="1937">
                  <c:v>1.7991222283829156E-2</c:v>
                </c:pt>
                <c:pt idx="1938">
                  <c:v>1.7991876999320398E-2</c:v>
                </c:pt>
                <c:pt idx="1939">
                  <c:v>1.7993062219313707E-2</c:v>
                </c:pt>
                <c:pt idx="1940">
                  <c:v>1.7994245486946975E-2</c:v>
                </c:pt>
                <c:pt idx="1941">
                  <c:v>1.7995426802216226E-2</c:v>
                </c:pt>
                <c:pt idx="1942">
                  <c:v>1.7997138219059201E-2</c:v>
                </c:pt>
                <c:pt idx="1943">
                  <c:v>1.7998315548726364E-2</c:v>
                </c:pt>
                <c:pt idx="1944">
                  <c:v>1.7999490925925014E-2</c:v>
                </c:pt>
                <c:pt idx="1945">
                  <c:v>1.8000664350653825E-2</c:v>
                </c:pt>
                <c:pt idx="1946">
                  <c:v>1.8001835822906216E-2</c:v>
                </c:pt>
                <c:pt idx="1947">
                  <c:v>1.8002473689828449E-2</c:v>
                </c:pt>
                <c:pt idx="1948">
                  <c:v>1.8003640962761788E-2</c:v>
                </c:pt>
                <c:pt idx="1949">
                  <c:v>1.8004804904548498E-2</c:v>
                </c:pt>
                <c:pt idx="1950">
                  <c:v>1.8005964442815891E-2</c:v>
                </c:pt>
                <c:pt idx="1951">
                  <c:v>1.8007118505190836E-2</c:v>
                </c:pt>
                <c:pt idx="1952">
                  <c:v>1.800826601929623E-2</c:v>
                </c:pt>
                <c:pt idx="1953">
                  <c:v>1.8009405912752321E-2</c:v>
                </c:pt>
                <c:pt idx="1954">
                  <c:v>1.8010537113179351E-2</c:v>
                </c:pt>
                <c:pt idx="1955">
                  <c:v>1.8014288468802282E-2</c:v>
                </c:pt>
                <c:pt idx="1956">
                  <c:v>1.8015392942528949E-2</c:v>
                </c:pt>
                <c:pt idx="1957">
                  <c:v>1.8016485025281782E-2</c:v>
                </c:pt>
                <c:pt idx="1958">
                  <c:v>1.8017563673238111E-2</c:v>
                </c:pt>
                <c:pt idx="1959">
                  <c:v>1.8017066709826779E-2</c:v>
                </c:pt>
                <c:pt idx="1960">
                  <c:v>1.8018120098482644E-2</c:v>
                </c:pt>
                <c:pt idx="1961">
                  <c:v>1.8019157138414607E-2</c:v>
                </c:pt>
                <c:pt idx="1962">
                  <c:v>1.8020176768837104E-2</c:v>
                </c:pt>
                <c:pt idx="1963">
                  <c:v>1.8021177928965019E-2</c:v>
                </c:pt>
                <c:pt idx="1964">
                  <c:v>1.8023694975803126E-2</c:v>
                </c:pt>
                <c:pt idx="1965">
                  <c:v>1.8024650352928065E-2</c:v>
                </c:pt>
                <c:pt idx="1966">
                  <c:v>1.8025583944593117E-2</c:v>
                </c:pt>
                <c:pt idx="1967">
                  <c:v>1.8026494706957996E-2</c:v>
                </c:pt>
                <c:pt idx="1968">
                  <c:v>1.8025869547550668E-2</c:v>
                </c:pt>
                <c:pt idx="1969">
                  <c:v>1.8026737609313032E-2</c:v>
                </c:pt>
                <c:pt idx="1970">
                  <c:v>1.8027579775237789E-2</c:v>
                </c:pt>
                <c:pt idx="1971">
                  <c:v>1.802839498452715E-2</c:v>
                </c:pt>
                <c:pt idx="1972">
                  <c:v>1.8029182176386389E-2</c:v>
                </c:pt>
                <c:pt idx="1973">
                  <c:v>1.8031421424393304E-2</c:v>
                </c:pt>
                <c:pt idx="1974">
                  <c:v>1.803214364756876E-2</c:v>
                </c:pt>
                <c:pt idx="1975">
                  <c:v>1.8032836181856311E-2</c:v>
                </c:pt>
                <c:pt idx="1976">
                  <c:v>1.8033499027224151E-2</c:v>
                </c:pt>
                <c:pt idx="1977">
                  <c:v>1.803413218364177E-2</c:v>
                </c:pt>
                <c:pt idx="1978">
                  <c:v>1.803473565108037E-2</c:v>
                </c:pt>
                <c:pt idx="1979">
                  <c:v>1.8035309429512879E-2</c:v>
                </c:pt>
                <c:pt idx="1980">
                  <c:v>1.803585351891222E-2</c:v>
                </c:pt>
                <c:pt idx="1981">
                  <c:v>1.8033982043704943E-2</c:v>
                </c:pt>
                <c:pt idx="1982">
                  <c:v>1.8034477234733899E-2</c:v>
                </c:pt>
                <c:pt idx="1983">
                  <c:v>1.8034942744066196E-2</c:v>
                </c:pt>
                <c:pt idx="1984">
                  <c:v>1.8035378571680635E-2</c:v>
                </c:pt>
                <c:pt idx="1985">
                  <c:v>1.8035784717558671E-2</c:v>
                </c:pt>
                <c:pt idx="1986">
                  <c:v>1.8036628232855779E-2</c:v>
                </c:pt>
                <c:pt idx="1987">
                  <c:v>1.8036972912267826E-2</c:v>
                </c:pt>
                <c:pt idx="1988">
                  <c:v>1.8037287908412598E-2</c:v>
                </c:pt>
                <c:pt idx="1989">
                  <c:v>1.8037573221274285E-2</c:v>
                </c:pt>
                <c:pt idx="1990">
                  <c:v>1.8037370220305663E-2</c:v>
                </c:pt>
                <c:pt idx="1991">
                  <c:v>1.8037598275428737E-2</c:v>
                </c:pt>
                <c:pt idx="1992">
                  <c:v>1.8037796648716478E-2</c:v>
                </c:pt>
                <c:pt idx="1993">
                  <c:v>1.8037965340159171E-2</c:v>
                </c:pt>
                <c:pt idx="1994">
                  <c:v>1.8038554535951715E-2</c:v>
                </c:pt>
                <c:pt idx="1995">
                  <c:v>1.8038661748899683E-2</c:v>
                </c:pt>
                <c:pt idx="1996">
                  <c:v>1.803873927850352E-2</c:v>
                </c:pt>
                <c:pt idx="1997">
                  <c:v>1.8038787124760584E-2</c:v>
                </c:pt>
                <c:pt idx="1998">
                  <c:v>1.8038805459239138E-2</c:v>
                </c:pt>
                <c:pt idx="1999">
                  <c:v>1.8038350403931862E-2</c:v>
                </c:pt>
                <c:pt idx="2000">
                  <c:v>1.8038307082061573E-2</c:v>
                </c:pt>
                <c:pt idx="2001">
                  <c:v>1.8038234078325478E-2</c:v>
                </c:pt>
                <c:pt idx="2002">
                  <c:v>1.80381313927249E-2</c:v>
                </c:pt>
                <c:pt idx="2003">
                  <c:v>1.8037999025265587E-2</c:v>
                </c:pt>
                <c:pt idx="2004">
                  <c:v>1.8037836975951953E-2</c:v>
                </c:pt>
                <c:pt idx="2005">
                  <c:v>1.8037645244793267E-2</c:v>
                </c:pt>
                <c:pt idx="2006">
                  <c:v>1.803742383179616E-2</c:v>
                </c:pt>
                <c:pt idx="2007">
                  <c:v>1.803886069326997E-2</c:v>
                </c:pt>
                <c:pt idx="2008">
                  <c:v>1.8038571378402125E-2</c:v>
                </c:pt>
                <c:pt idx="2009">
                  <c:v>1.8038252375814318E-2</c:v>
                </c:pt>
                <c:pt idx="2010">
                  <c:v>1.803727703172681E-2</c:v>
                </c:pt>
                <c:pt idx="2011">
                  <c:v>1.8036285267558298E-2</c:v>
                </c:pt>
                <c:pt idx="2012">
                  <c:v>1.8037117241874609E-2</c:v>
                </c:pt>
                <c:pt idx="2013">
                  <c:v>1.8036679488559932E-2</c:v>
                </c:pt>
                <c:pt idx="2014">
                  <c:v>1.8036212047610415E-2</c:v>
                </c:pt>
                <c:pt idx="2015">
                  <c:v>1.8035714919046372E-2</c:v>
                </c:pt>
                <c:pt idx="2016">
                  <c:v>1.8035188102891564E-2</c:v>
                </c:pt>
                <c:pt idx="2017">
                  <c:v>1.803463159916846E-2</c:v>
                </c:pt>
                <c:pt idx="2018">
                  <c:v>1.8034045407902988E-2</c:v>
                </c:pt>
                <c:pt idx="2019">
                  <c:v>1.8033429529122364E-2</c:v>
                </c:pt>
                <c:pt idx="2020">
                  <c:v>1.803278396285295E-2</c:v>
                </c:pt>
                <c:pt idx="2021">
                  <c:v>1.8032108709124989E-2</c:v>
                </c:pt>
                <c:pt idx="2022">
                  <c:v>1.8031403767969162E-2</c:v>
                </c:pt>
                <c:pt idx="2023">
                  <c:v>1.8030669139417872E-2</c:v>
                </c:pt>
                <c:pt idx="2024">
                  <c:v>1.8029904823503098E-2</c:v>
                </c:pt>
                <c:pt idx="2025">
                  <c:v>1.8029110820260267E-2</c:v>
                </c:pt>
                <c:pt idx="2026">
                  <c:v>1.8028287129726109E-2</c:v>
                </c:pt>
                <c:pt idx="2027">
                  <c:v>1.8027433751936054E-2</c:v>
                </c:pt>
                <c:pt idx="2028">
                  <c:v>1.8026550686931153E-2</c:v>
                </c:pt>
                <c:pt idx="2029">
                  <c:v>1.8025637934750288E-2</c:v>
                </c:pt>
                <c:pt idx="2030">
                  <c:v>1.8024695495434079E-2</c:v>
                </c:pt>
                <c:pt idx="2031">
                  <c:v>1.8023723369025735E-2</c:v>
                </c:pt>
                <c:pt idx="2032">
                  <c:v>1.8022721555571053E-2</c:v>
                </c:pt>
                <c:pt idx="2033">
                  <c:v>1.8020226013446636E-2</c:v>
                </c:pt>
                <c:pt idx="2034">
                  <c:v>1.8019173517797991E-2</c:v>
                </c:pt>
                <c:pt idx="2035">
                  <c:v>1.8018091341130596E-2</c:v>
                </c:pt>
                <c:pt idx="2036">
                  <c:v>1.8016979483493036E-2</c:v>
                </c:pt>
                <c:pt idx="2037">
                  <c:v>1.8016195549000573E-2</c:v>
                </c:pt>
                <c:pt idx="2038">
                  <c:v>1.8015022151064833E-2</c:v>
                </c:pt>
                <c:pt idx="2039">
                  <c:v>1.8015230087148587E-2</c:v>
                </c:pt>
                <c:pt idx="2040">
                  <c:v>1.8012586308378598E-2</c:v>
                </c:pt>
                <c:pt idx="2041">
                  <c:v>1.8011323863737903E-2</c:v>
                </c:pt>
                <c:pt idx="2042">
                  <c:v>1.8009685040154176E-2</c:v>
                </c:pt>
                <c:pt idx="2043">
                  <c:v>1.8008365417181513E-2</c:v>
                </c:pt>
                <c:pt idx="2044">
                  <c:v>1.8007016113670601E-2</c:v>
                </c:pt>
                <c:pt idx="2045">
                  <c:v>1.8005637129680622E-2</c:v>
                </c:pt>
                <c:pt idx="2046">
                  <c:v>1.8004566409848707E-2</c:v>
                </c:pt>
                <c:pt idx="2047">
                  <c:v>1.8003125873355539E-2</c:v>
                </c:pt>
                <c:pt idx="2048">
                  <c:v>1.8001655655104219E-2</c:v>
                </c:pt>
                <c:pt idx="2049">
                  <c:v>1.8000155755160632E-2</c:v>
                </c:pt>
                <c:pt idx="2050">
                  <c:v>1.7996976273923798E-2</c:v>
                </c:pt>
                <c:pt idx="2051">
                  <c:v>1.7996389568664336E-2</c:v>
                </c:pt>
                <c:pt idx="2052">
                  <c:v>1.7994787903433566E-2</c:v>
                </c:pt>
                <c:pt idx="2053">
                  <c:v>1.7993156556816211E-2</c:v>
                </c:pt>
                <c:pt idx="2054">
                  <c:v>1.7991495528886067E-2</c:v>
                </c:pt>
                <c:pt idx="2055">
                  <c:v>1.7989804819716477E-2</c:v>
                </c:pt>
                <c:pt idx="2056">
                  <c:v>1.7988084429382548E-2</c:v>
                </c:pt>
                <c:pt idx="2057">
                  <c:v>1.798633435796158E-2</c:v>
                </c:pt>
                <c:pt idx="2058">
                  <c:v>1.7984554605531316E-2</c:v>
                </c:pt>
                <c:pt idx="2059">
                  <c:v>1.7983361350333873E-2</c:v>
                </c:pt>
                <c:pt idx="2060">
                  <c:v>1.7981517812703494E-2</c:v>
                </c:pt>
                <c:pt idx="2061">
                  <c:v>1.7979644591386738E-2</c:v>
                </c:pt>
                <c:pt idx="2062">
                  <c:v>1.7977741686466146E-2</c:v>
                </c:pt>
                <c:pt idx="2063">
                  <c:v>1.7975509965456295E-2</c:v>
                </c:pt>
                <c:pt idx="2064">
                  <c:v>1.7973549911244682E-2</c:v>
                </c:pt>
                <c:pt idx="2065">
                  <c:v>1.7970986227359608E-2</c:v>
                </c:pt>
                <c:pt idx="2066">
                  <c:v>1.7969540757259275E-2</c:v>
                </c:pt>
                <c:pt idx="2067">
                  <c:v>1.7967491657665882E-2</c:v>
                </c:pt>
                <c:pt idx="2068">
                  <c:v>1.7965700906183751E-2</c:v>
                </c:pt>
                <c:pt idx="2069">
                  <c:v>1.7963590218521709E-2</c:v>
                </c:pt>
                <c:pt idx="2070">
                  <c:v>1.7961449847979601E-2</c:v>
                </c:pt>
                <c:pt idx="2071">
                  <c:v>1.795927979465561E-2</c:v>
                </c:pt>
                <c:pt idx="2072">
                  <c:v>1.7956800937407102E-2</c:v>
                </c:pt>
                <c:pt idx="2073">
                  <c:v>1.7954573749568794E-2</c:v>
                </c:pt>
                <c:pt idx="2074">
                  <c:v>1.7952316880698208E-2</c:v>
                </c:pt>
                <c:pt idx="2075">
                  <c:v>1.7950030330895813E-2</c:v>
                </c:pt>
                <c:pt idx="2076">
                  <c:v>1.7948254274665076E-2</c:v>
                </c:pt>
                <c:pt idx="2077">
                  <c:v>1.7945636141859369E-2</c:v>
                </c:pt>
                <c:pt idx="2078">
                  <c:v>1.7943258311874717E-2</c:v>
                </c:pt>
                <c:pt idx="2079">
                  <c:v>1.7940850799928829E-2</c:v>
                </c:pt>
                <c:pt idx="2080">
                  <c:v>1.7938413606129008E-2</c:v>
                </c:pt>
                <c:pt idx="2081">
                  <c:v>1.793594673058517E-2</c:v>
                </c:pt>
                <c:pt idx="2082">
                  <c:v>1.7933450173410265E-2</c:v>
                </c:pt>
                <c:pt idx="2083">
                  <c:v>1.7930923934716379E-2</c:v>
                </c:pt>
                <c:pt idx="2084">
                  <c:v>1.7928368014616464E-2</c:v>
                </c:pt>
                <c:pt idx="2085">
                  <c:v>1.7925282190060603E-2</c:v>
                </c:pt>
                <c:pt idx="2086">
                  <c:v>1.792267140644976E-2</c:v>
                </c:pt>
                <c:pt idx="2087">
                  <c:v>1.7920030944670866E-2</c:v>
                </c:pt>
                <c:pt idx="2088">
                  <c:v>1.7917360804840309E-2</c:v>
                </c:pt>
                <c:pt idx="2089">
                  <c:v>1.791490219577507E-2</c:v>
                </c:pt>
                <c:pt idx="2090">
                  <c:v>1.7912170445061781E-2</c:v>
                </c:pt>
                <c:pt idx="2091">
                  <c:v>1.7909409015218522E-2</c:v>
                </c:pt>
                <c:pt idx="2092">
                  <c:v>1.7906617906368032E-2</c:v>
                </c:pt>
                <c:pt idx="2093">
                  <c:v>1.7903797118637425E-2</c:v>
                </c:pt>
                <c:pt idx="2094">
                  <c:v>1.7900716733545919E-2</c:v>
                </c:pt>
                <c:pt idx="2095">
                  <c:v>1.7897838850767241E-2</c:v>
                </c:pt>
                <c:pt idx="2096">
                  <c:v>1.7894931290926435E-2</c:v>
                </c:pt>
                <c:pt idx="2097">
                  <c:v>1.7891994054154391E-2</c:v>
                </c:pt>
                <c:pt idx="2098">
                  <c:v>1.7889248001239366E-2</c:v>
                </c:pt>
                <c:pt idx="2099">
                  <c:v>1.7886249142924908E-2</c:v>
                </c:pt>
                <c:pt idx="2100">
                  <c:v>1.7883220606643258E-2</c:v>
                </c:pt>
                <c:pt idx="2101">
                  <c:v>1.788016239253027E-2</c:v>
                </c:pt>
                <c:pt idx="2102">
                  <c:v>1.7876419495635044E-2</c:v>
                </c:pt>
                <c:pt idx="2103">
                  <c:v>1.7873299960637693E-2</c:v>
                </c:pt>
                <c:pt idx="2104">
                  <c:v>1.7870150749673162E-2</c:v>
                </c:pt>
                <c:pt idx="2105">
                  <c:v>1.7866971862882438E-2</c:v>
                </c:pt>
                <c:pt idx="2106">
                  <c:v>1.7863763300408265E-2</c:v>
                </c:pt>
                <c:pt idx="2107">
                  <c:v>1.7860525062392947E-2</c:v>
                </c:pt>
                <c:pt idx="2108">
                  <c:v>1.7857257148980985E-2</c:v>
                </c:pt>
                <c:pt idx="2109">
                  <c:v>1.7853959560317757E-2</c:v>
                </c:pt>
                <c:pt idx="2110">
                  <c:v>1.7850632296551712E-2</c:v>
                </c:pt>
                <c:pt idx="2111">
                  <c:v>1.784765702094105E-2</c:v>
                </c:pt>
                <c:pt idx="2112">
                  <c:v>1.7844265833523214E-2</c:v>
                </c:pt>
                <c:pt idx="2113">
                  <c:v>1.7840844968608834E-2</c:v>
                </c:pt>
                <c:pt idx="2114">
                  <c:v>1.7837394426351259E-2</c:v>
                </c:pt>
                <c:pt idx="2115">
                  <c:v>1.7833732638110975E-2</c:v>
                </c:pt>
                <c:pt idx="2116">
                  <c:v>1.7829217411267632E-2</c:v>
                </c:pt>
                <c:pt idx="2117">
                  <c:v>1.7825671653396272E-2</c:v>
                </c:pt>
                <c:pt idx="2118">
                  <c:v>1.782209622027468E-2</c:v>
                </c:pt>
                <c:pt idx="2119">
                  <c:v>1.7818491112063597E-2</c:v>
                </c:pt>
                <c:pt idx="2120">
                  <c:v>1.7815363988808217E-2</c:v>
                </c:pt>
                <c:pt idx="2121">
                  <c:v>1.7811692629632406E-2</c:v>
                </c:pt>
                <c:pt idx="2122">
                  <c:v>1.7807991591619571E-2</c:v>
                </c:pt>
                <c:pt idx="2123">
                  <c:v>1.7804260874937323E-2</c:v>
                </c:pt>
                <c:pt idx="2124">
                  <c:v>1.7800020450365321E-2</c:v>
                </c:pt>
                <c:pt idx="2125">
                  <c:v>1.7796237295057169E-2</c:v>
                </c:pt>
                <c:pt idx="2126">
                  <c:v>1.7792424465819259E-2</c:v>
                </c:pt>
                <c:pt idx="2127">
                  <c:v>1.778904122494198E-2</c:v>
                </c:pt>
                <c:pt idx="2128">
                  <c:v>1.778516211749382E-2</c:v>
                </c:pt>
                <c:pt idx="2129">
                  <c:v>1.7781253332417563E-2</c:v>
                </c:pt>
                <c:pt idx="2130">
                  <c:v>1.777731486989156E-2</c:v>
                </c:pt>
                <c:pt idx="2131">
                  <c:v>1.7773346730095025E-2</c:v>
                </c:pt>
                <c:pt idx="2132">
                  <c:v>1.7768924347531204E-2</c:v>
                </c:pt>
                <c:pt idx="2133">
                  <c:v>1.7765321419417082E-2</c:v>
                </c:pt>
                <c:pt idx="2134">
                  <c:v>1.7761264248900545E-2</c:v>
                </c:pt>
                <c:pt idx="2135">
                  <c:v>1.7757177401846222E-2</c:v>
                </c:pt>
                <c:pt idx="2136">
                  <c:v>1.7752664145571678E-2</c:v>
                </c:pt>
                <c:pt idx="2137">
                  <c:v>1.7748263983792551E-2</c:v>
                </c:pt>
                <c:pt idx="2138">
                  <c:v>1.774409972864455E-2</c:v>
                </c:pt>
                <c:pt idx="2139">
                  <c:v>1.7739905804682401E-2</c:v>
                </c:pt>
                <c:pt idx="2140">
                  <c:v>1.7735682212092038E-2</c:v>
                </c:pt>
                <c:pt idx="2141">
                  <c:v>1.7731550222295833E-2</c:v>
                </c:pt>
                <c:pt idx="2142">
                  <c:v>1.7727264963781644E-2</c:v>
                </c:pt>
                <c:pt idx="2143">
                  <c:v>1.7722950035815942E-2</c:v>
                </c:pt>
                <c:pt idx="2144">
                  <c:v>1.7718605438590225E-2</c:v>
                </c:pt>
                <c:pt idx="2145">
                  <c:v>1.7714231172299942E-2</c:v>
                </c:pt>
                <c:pt idx="2146">
                  <c:v>1.7709717625943294E-2</c:v>
                </c:pt>
                <c:pt idx="2147">
                  <c:v>1.7705286358275351E-2</c:v>
                </c:pt>
                <c:pt idx="2148">
                  <c:v>1.7700825423515643E-2</c:v>
                </c:pt>
                <c:pt idx="2149">
                  <c:v>1.7696334821861136E-2</c:v>
                </c:pt>
                <c:pt idx="2150">
                  <c:v>1.7691914811736056E-2</c:v>
                </c:pt>
                <c:pt idx="2151">
                  <c:v>1.7687362535195275E-2</c:v>
                </c:pt>
                <c:pt idx="2152">
                  <c:v>1.768278059098222E-2</c:v>
                </c:pt>
                <c:pt idx="2153">
                  <c:v>1.767816897930112E-2</c:v>
                </c:pt>
                <c:pt idx="2154">
                  <c:v>1.7673436817189542E-2</c:v>
                </c:pt>
                <c:pt idx="2155">
                  <c:v>1.7668768218397565E-2</c:v>
                </c:pt>
                <c:pt idx="2156">
                  <c:v>1.7664069954133301E-2</c:v>
                </c:pt>
                <c:pt idx="2157">
                  <c:v>1.7659342024605198E-2</c:v>
                </c:pt>
                <c:pt idx="2158">
                  <c:v>1.7654584430022595E-2</c:v>
                </c:pt>
                <c:pt idx="2159">
                  <c:v>1.7649797170597035E-2</c:v>
                </c:pt>
                <c:pt idx="2160">
                  <c:v>1.7644980246540942E-2</c:v>
                </c:pt>
                <c:pt idx="2161">
                  <c:v>1.764013365806763E-2</c:v>
                </c:pt>
                <c:pt idx="2162">
                  <c:v>1.7635257405392173E-2</c:v>
                </c:pt>
                <c:pt idx="2163">
                  <c:v>1.7630697803168813E-2</c:v>
                </c:pt>
                <c:pt idx="2164">
                  <c:v>1.7625750423034429E-2</c:v>
                </c:pt>
                <c:pt idx="2165">
                  <c:v>1.7620773372539682E-2</c:v>
                </c:pt>
                <c:pt idx="2166">
                  <c:v>1.7615766651911058E-2</c:v>
                </c:pt>
                <c:pt idx="2167">
                  <c:v>1.7610551488134795E-2</c:v>
                </c:pt>
                <c:pt idx="2168">
                  <c:v>1.7605492524691225E-2</c:v>
                </c:pt>
                <c:pt idx="2169">
                  <c:v>1.7600403895874108E-2</c:v>
                </c:pt>
                <c:pt idx="2170">
                  <c:v>1.7595285601909712E-2</c:v>
                </c:pt>
                <c:pt idx="2171">
                  <c:v>1.7590137643027803E-2</c:v>
                </c:pt>
                <c:pt idx="2172">
                  <c:v>1.7585103268203197E-2</c:v>
                </c:pt>
                <c:pt idx="2173">
                  <c:v>1.757988886310409E-2</c:v>
                </c:pt>
                <c:pt idx="2174">
                  <c:v>1.7574644789735423E-2</c:v>
                </c:pt>
                <c:pt idx="2175">
                  <c:v>1.7569371048334424E-2</c:v>
                </c:pt>
                <c:pt idx="2176">
                  <c:v>1.7563952882999796E-2</c:v>
                </c:pt>
                <c:pt idx="2177">
                  <c:v>1.755862693951378E-2</c:v>
                </c:pt>
                <c:pt idx="2178">
                  <c:v>1.755327133275527E-2</c:v>
                </c:pt>
                <c:pt idx="2179">
                  <c:v>1.7547886062964511E-2</c:v>
                </c:pt>
                <c:pt idx="2180">
                  <c:v>1.7542557329329276E-2</c:v>
                </c:pt>
                <c:pt idx="2181">
                  <c:v>1.7537105584839022E-2</c:v>
                </c:pt>
                <c:pt idx="2182">
                  <c:v>1.753162417402818E-2</c:v>
                </c:pt>
                <c:pt idx="2183">
                  <c:v>1.7526113097147741E-2</c:v>
                </c:pt>
                <c:pt idx="2184">
                  <c:v>1.752057235444868E-2</c:v>
                </c:pt>
                <c:pt idx="2185">
                  <c:v>1.7515001946183703E-2</c:v>
                </c:pt>
                <c:pt idx="2186">
                  <c:v>1.750940187260637E-2</c:v>
                </c:pt>
                <c:pt idx="2187">
                  <c:v>1.750377213397282E-2</c:v>
                </c:pt>
                <c:pt idx="2188">
                  <c:v>1.7498112730538327E-2</c:v>
                </c:pt>
                <c:pt idx="2189">
                  <c:v>1.7492386336450696E-2</c:v>
                </c:pt>
                <c:pt idx="2190">
                  <c:v>1.7486679578750487E-2</c:v>
                </c:pt>
                <c:pt idx="2191">
                  <c:v>1.7480943163654623E-2</c:v>
                </c:pt>
                <c:pt idx="2192">
                  <c:v>1.7475177091419252E-2</c:v>
                </c:pt>
                <c:pt idx="2193">
                  <c:v>1.7469379698318546E-2</c:v>
                </c:pt>
                <c:pt idx="2194">
                  <c:v>1.7463551912772095E-2</c:v>
                </c:pt>
                <c:pt idx="2195">
                  <c:v>1.7457694469537034E-2</c:v>
                </c:pt>
                <c:pt idx="2196">
                  <c:v>1.7451807368876006E-2</c:v>
                </c:pt>
                <c:pt idx="2197">
                  <c:v>1.7445890611048585E-2</c:v>
                </c:pt>
                <c:pt idx="2198">
                  <c:v>1.743995787247471E-2</c:v>
                </c:pt>
                <c:pt idx="2199">
                  <c:v>1.7433984207493251E-2</c:v>
                </c:pt>
                <c:pt idx="2200">
                  <c:v>1.7427980887453717E-2</c:v>
                </c:pt>
                <c:pt idx="2201">
                  <c:v>1.7421947912622852E-2</c:v>
                </c:pt>
                <c:pt idx="2202">
                  <c:v>1.7415861973724623E-2</c:v>
                </c:pt>
                <c:pt idx="2203">
                  <c:v>1.7409767278497003E-2</c:v>
                </c:pt>
                <c:pt idx="2204">
                  <c:v>1.7403642927979732E-2</c:v>
                </c:pt>
                <c:pt idx="2205">
                  <c:v>1.7397488922446434E-2</c:v>
                </c:pt>
                <c:pt idx="2206">
                  <c:v>1.7391305262170299E-2</c:v>
                </c:pt>
                <c:pt idx="2207">
                  <c:v>1.7385127336485603E-2</c:v>
                </c:pt>
                <c:pt idx="2208">
                  <c:v>1.737888754030795E-2</c:v>
                </c:pt>
                <c:pt idx="2209">
                  <c:v>1.7372620860894326E-2</c:v>
                </c:pt>
                <c:pt idx="2210">
                  <c:v>1.736632945245304E-2</c:v>
                </c:pt>
                <c:pt idx="2211">
                  <c:v>1.7360015469167215E-2</c:v>
                </c:pt>
                <c:pt idx="2212">
                  <c:v>1.7353681065191723E-2</c:v>
                </c:pt>
                <c:pt idx="2213">
                  <c:v>1.7347328394658017E-2</c:v>
                </c:pt>
                <c:pt idx="2214">
                  <c:v>1.7340959611669739E-2</c:v>
                </c:pt>
                <c:pt idx="2215">
                  <c:v>1.7334351245444159E-2</c:v>
                </c:pt>
                <c:pt idx="2216">
                  <c:v>1.7327956029012038E-2</c:v>
                </c:pt>
                <c:pt idx="2217">
                  <c:v>1.7321552120255639E-2</c:v>
                </c:pt>
                <c:pt idx="2218">
                  <c:v>1.7315141615762811E-2</c:v>
                </c:pt>
                <c:pt idx="2219">
                  <c:v>1.7308860004757825E-2</c:v>
                </c:pt>
                <c:pt idx="2220">
                  <c:v>1.7302440875678612E-2</c:v>
                </c:pt>
                <c:pt idx="2221">
                  <c:v>1.7296021008177179E-2</c:v>
                </c:pt>
                <c:pt idx="2222">
                  <c:v>1.7289602532798452E-2</c:v>
                </c:pt>
                <c:pt idx="2223">
                  <c:v>1.7283187580060262E-2</c:v>
                </c:pt>
                <c:pt idx="2224">
                  <c:v>1.727665748369377E-2</c:v>
                </c:pt>
                <c:pt idx="2225">
                  <c:v>1.7270259511150184E-2</c:v>
                </c:pt>
                <c:pt idx="2226">
                  <c:v>1.7263871714570323E-2</c:v>
                </c:pt>
                <c:pt idx="2227">
                  <c:v>1.7257496190295357E-2</c:v>
                </c:pt>
                <c:pt idx="2228">
                  <c:v>1.7251240222153595E-2</c:v>
                </c:pt>
                <c:pt idx="2229">
                  <c:v>1.7244891144583458E-2</c:v>
                </c:pt>
                <c:pt idx="2230">
                  <c:v>1.7238560502507761E-2</c:v>
                </c:pt>
                <c:pt idx="2231">
                  <c:v>1.7232250426226382E-2</c:v>
                </c:pt>
                <c:pt idx="2232">
                  <c:v>1.7225963046012975E-2</c:v>
                </c:pt>
                <c:pt idx="2233">
                  <c:v>1.7219618127109138E-2</c:v>
                </c:pt>
                <c:pt idx="2234">
                  <c:v>1.7213386213046068E-2</c:v>
                </c:pt>
                <c:pt idx="2235">
                  <c:v>1.7207180346208446E-2</c:v>
                </c:pt>
                <c:pt idx="2236">
                  <c:v>1.7201000526347446E-2</c:v>
                </c:pt>
                <c:pt idx="2237">
                  <c:v>1.7194846753215517E-2</c:v>
                </c:pt>
                <c:pt idx="2238">
                  <c:v>1.7188719026568128E-2</c:v>
                </c:pt>
                <c:pt idx="2239">
                  <c:v>1.7182617346159026E-2</c:v>
                </c:pt>
                <c:pt idx="2240">
                  <c:v>1.7176541711744101E-2</c:v>
                </c:pt>
                <c:pt idx="2241">
                  <c:v>1.7170567374288834E-2</c:v>
                </c:pt>
                <c:pt idx="2242">
                  <c:v>1.7164535961438569E-2</c:v>
                </c:pt>
                <c:pt idx="2243">
                  <c:v>1.7158530587261842E-2</c:v>
                </c:pt>
                <c:pt idx="2244">
                  <c:v>1.7152551251524584E-2</c:v>
                </c:pt>
                <c:pt idx="2245">
                  <c:v>1.7146597953994498E-2</c:v>
                </c:pt>
                <c:pt idx="2246">
                  <c:v>1.7140663225639886E-2</c:v>
                </c:pt>
                <c:pt idx="2247">
                  <c:v>1.7134763584001809E-2</c:v>
                </c:pt>
                <c:pt idx="2248">
                  <c:v>1.7128889981190214E-2</c:v>
                </c:pt>
                <c:pt idx="2249">
                  <c:v>1.7123042416978464E-2</c:v>
                </c:pt>
                <c:pt idx="2250">
                  <c:v>1.711722203137455E-2</c:v>
                </c:pt>
                <c:pt idx="2251">
                  <c:v>1.7111424958255107E-2</c:v>
                </c:pt>
                <c:pt idx="2252">
                  <c:v>1.7105653921742792E-2</c:v>
                </c:pt>
                <c:pt idx="2253">
                  <c:v>1.7099908921612367E-2</c:v>
                </c:pt>
                <c:pt idx="2254">
                  <c:v>1.7094195166915929E-2</c:v>
                </c:pt>
                <c:pt idx="2255">
                  <c:v>1.7088503829522036E-2</c:v>
                </c:pt>
                <c:pt idx="2256">
                  <c:v>1.7082838529145959E-2</c:v>
                </c:pt>
                <c:pt idx="2257">
                  <c:v>1.7077199265566338E-2</c:v>
                </c:pt>
                <c:pt idx="2258">
                  <c:v>1.7071586038562687E-2</c:v>
                </c:pt>
                <c:pt idx="2259">
                  <c:v>1.7065985672393612E-2</c:v>
                </c:pt>
                <c:pt idx="2260">
                  <c:v>1.7060422920731438E-2</c:v>
                </c:pt>
                <c:pt idx="2261">
                  <c:v>1.7054886203689466E-2</c:v>
                </c:pt>
                <c:pt idx="2262">
                  <c:v>1.7049375521053511E-2</c:v>
                </c:pt>
                <c:pt idx="2263">
                  <c:v>1.7043890872609373E-2</c:v>
                </c:pt>
                <c:pt idx="2264">
                  <c:v>1.7038432258143742E-2</c:v>
                </c:pt>
                <c:pt idx="2265">
                  <c:v>1.703299967744331E-2</c:v>
                </c:pt>
                <c:pt idx="2266">
                  <c:v>1.702759313029565E-2</c:v>
                </c:pt>
                <c:pt idx="2267">
                  <c:v>1.7022344105254265E-2</c:v>
                </c:pt>
                <c:pt idx="2268">
                  <c:v>1.7016997663830923E-2</c:v>
                </c:pt>
                <c:pt idx="2269">
                  <c:v>1.7011677261779094E-2</c:v>
                </c:pt>
                <c:pt idx="2270">
                  <c:v>1.7006382898884766E-2</c:v>
                </c:pt>
                <c:pt idx="2271">
                  <c:v>1.7001015899079815E-2</c:v>
                </c:pt>
                <c:pt idx="2272">
                  <c:v>1.6995768774352972E-2</c:v>
                </c:pt>
                <c:pt idx="2273">
                  <c:v>1.6990547684297374E-2</c:v>
                </c:pt>
                <c:pt idx="2274">
                  <c:v>1.6985352628709476E-2</c:v>
                </c:pt>
                <c:pt idx="2275">
                  <c:v>1.6980183607382224E-2</c:v>
                </c:pt>
                <c:pt idx="2276">
                  <c:v>1.6975163532043824E-2</c:v>
                </c:pt>
                <c:pt idx="2277">
                  <c:v>1.6970051437381402E-2</c:v>
                </c:pt>
                <c:pt idx="2278">
                  <c:v>1.6964965380213286E-2</c:v>
                </c:pt>
                <c:pt idx="2279">
                  <c:v>1.6959905360334059E-2</c:v>
                </c:pt>
                <c:pt idx="2280">
                  <c:v>1.6954729007595558E-2</c:v>
                </c:pt>
                <c:pt idx="2281">
                  <c:v>1.6949716187605633E-2</c:v>
                </c:pt>
                <c:pt idx="2282">
                  <c:v>1.694472940047595E-2</c:v>
                </c:pt>
                <c:pt idx="2283">
                  <c:v>1.6939768646009944E-2</c:v>
                </c:pt>
                <c:pt idx="2284">
                  <c:v>1.6934833924010611E-2</c:v>
                </c:pt>
                <c:pt idx="2285">
                  <c:v>1.6930092012876187E-2</c:v>
                </c:pt>
                <c:pt idx="2286">
                  <c:v>1.6925214248415029E-2</c:v>
                </c:pt>
                <c:pt idx="2287">
                  <c:v>1.6920362519653058E-2</c:v>
                </c:pt>
                <c:pt idx="2288">
                  <c:v>1.691553682639645E-2</c:v>
                </c:pt>
                <c:pt idx="2289">
                  <c:v>1.6910737168453534E-2</c:v>
                </c:pt>
                <c:pt idx="2290">
                  <c:v>1.6905963545630915E-2</c:v>
                </c:pt>
                <c:pt idx="2291">
                  <c:v>1.6901215957737345E-2</c:v>
                </c:pt>
                <c:pt idx="2292">
                  <c:v>1.6896494404584159E-2</c:v>
                </c:pt>
                <c:pt idx="2293">
                  <c:v>1.6891524496266908E-2</c:v>
                </c:pt>
                <c:pt idx="2294">
                  <c:v>1.6886848447588095E-2</c:v>
                </c:pt>
                <c:pt idx="2295">
                  <c:v>1.6882198428035827E-2</c:v>
                </c:pt>
                <c:pt idx="2296">
                  <c:v>1.6877574437427396E-2</c:v>
                </c:pt>
                <c:pt idx="2297">
                  <c:v>1.6872976475582283E-2</c:v>
                </c:pt>
                <c:pt idx="2298">
                  <c:v>1.6868481118343645E-2</c:v>
                </c:pt>
                <c:pt idx="2299">
                  <c:v>1.6863936860644767E-2</c:v>
                </c:pt>
                <c:pt idx="2300">
                  <c:v>1.6859739719451695E-2</c:v>
                </c:pt>
                <c:pt idx="2301">
                  <c:v>1.6854926433521218E-2</c:v>
                </c:pt>
                <c:pt idx="2302">
                  <c:v>1.6850377091543852E-2</c:v>
                </c:pt>
                <c:pt idx="2303">
                  <c:v>1.6845935298535283E-2</c:v>
                </c:pt>
                <c:pt idx="2304">
                  <c:v>1.6841519533051907E-2</c:v>
                </c:pt>
                <c:pt idx="2305">
                  <c:v>1.6837129794921111E-2</c:v>
                </c:pt>
                <c:pt idx="2306">
                  <c:v>1.6832855872432776E-2</c:v>
                </c:pt>
                <c:pt idx="2307">
                  <c:v>1.6828519845688998E-2</c:v>
                </c:pt>
                <c:pt idx="2308">
                  <c:v>1.6824209847036815E-2</c:v>
                </c:pt>
                <c:pt idx="2309">
                  <c:v>1.6819925876305875E-2</c:v>
                </c:pt>
                <c:pt idx="2310">
                  <c:v>1.6814965118329861E-2</c:v>
                </c:pt>
                <c:pt idx="2311">
                  <c:v>1.6810735258774936E-2</c:v>
                </c:pt>
                <c:pt idx="2312">
                  <c:v>1.6806531425368722E-2</c:v>
                </c:pt>
                <c:pt idx="2313">
                  <c:v>1.6802353617944316E-2</c:v>
                </c:pt>
                <c:pt idx="2314">
                  <c:v>1.6798201836341408E-2</c:v>
                </c:pt>
                <c:pt idx="2315">
                  <c:v>1.6794076080393974E-2</c:v>
                </c:pt>
                <c:pt idx="2316">
                  <c:v>1.6789976349943468E-2</c:v>
                </c:pt>
                <c:pt idx="2317">
                  <c:v>1.6785902644827811E-2</c:v>
                </c:pt>
                <c:pt idx="2318">
                  <c:v>1.6781854964888019E-2</c:v>
                </c:pt>
                <c:pt idx="2319">
                  <c:v>1.6778168804894359E-2</c:v>
                </c:pt>
                <c:pt idx="2320">
                  <c:v>1.6774178196055957E-2</c:v>
                </c:pt>
                <c:pt idx="2321">
                  <c:v>1.6770213615641506E-2</c:v>
                </c:pt>
                <c:pt idx="2322">
                  <c:v>1.6766275063493305E-2</c:v>
                </c:pt>
                <c:pt idx="2323">
                  <c:v>1.6762362539454498E-2</c:v>
                </c:pt>
                <c:pt idx="2324">
                  <c:v>1.6758476043370836E-2</c:v>
                </c:pt>
                <c:pt idx="2325">
                  <c:v>1.6754615575085466E-2</c:v>
                </c:pt>
                <c:pt idx="2326">
                  <c:v>1.6748352476621497E-2</c:v>
                </c:pt>
                <c:pt idx="2327">
                  <c:v>1.6746972721301236E-2</c:v>
                </c:pt>
                <c:pt idx="2328">
                  <c:v>1.6741449453801349E-2</c:v>
                </c:pt>
                <c:pt idx="2329">
                  <c:v>1.6737702564082857E-2</c:v>
                </c:pt>
                <c:pt idx="2330">
                  <c:v>1.6733981700109399E-2</c:v>
                </c:pt>
                <c:pt idx="2331">
                  <c:v>1.673028686173458E-2</c:v>
                </c:pt>
                <c:pt idx="2332">
                  <c:v>1.672648363798775E-2</c:v>
                </c:pt>
                <c:pt idx="2333">
                  <c:v>1.6722839160042528E-2</c:v>
                </c:pt>
                <c:pt idx="2334">
                  <c:v>1.6719220706030914E-2</c:v>
                </c:pt>
                <c:pt idx="2335">
                  <c:v>1.6715628275808761E-2</c:v>
                </c:pt>
                <c:pt idx="2336">
                  <c:v>1.6712344394527852E-2</c:v>
                </c:pt>
                <c:pt idx="2337">
                  <c:v>1.6708664360936036E-2</c:v>
                </c:pt>
                <c:pt idx="2338">
                  <c:v>1.670515169771444E-2</c:v>
                </c:pt>
                <c:pt idx="2339">
                  <c:v>1.6701665058950647E-2</c:v>
                </c:pt>
                <c:pt idx="2340">
                  <c:v>1.6698204444506076E-2</c:v>
                </c:pt>
                <c:pt idx="2341">
                  <c:v>1.6694769854244746E-2</c:v>
                </c:pt>
                <c:pt idx="2342">
                  <c:v>1.6691361288031118E-2</c:v>
                </c:pt>
                <c:pt idx="2343">
                  <c:v>1.668797874572921E-2</c:v>
                </c:pt>
                <c:pt idx="2344">
                  <c:v>1.6684622227205653E-2</c:v>
                </c:pt>
                <c:pt idx="2345">
                  <c:v>1.6680978938378888E-2</c:v>
                </c:pt>
                <c:pt idx="2346">
                  <c:v>1.6677671054651514E-2</c:v>
                </c:pt>
                <c:pt idx="2347">
                  <c:v>1.6674389191866906E-2</c:v>
                </c:pt>
                <c:pt idx="2348">
                  <c:v>1.6671133349893296E-2</c:v>
                </c:pt>
                <c:pt idx="2349">
                  <c:v>1.6667903528605074E-2</c:v>
                </c:pt>
                <c:pt idx="2350">
                  <c:v>1.6664864583670599E-2</c:v>
                </c:pt>
                <c:pt idx="2351">
                  <c:v>1.6661521947578382E-2</c:v>
                </c:pt>
                <c:pt idx="2352">
                  <c:v>1.665837018759132E-2</c:v>
                </c:pt>
                <c:pt idx="2353">
                  <c:v>1.6655244447788507E-2</c:v>
                </c:pt>
                <c:pt idx="2354">
                  <c:v>1.6652144728050038E-2</c:v>
                </c:pt>
                <c:pt idx="2355">
                  <c:v>1.6649071028252936E-2</c:v>
                </c:pt>
                <c:pt idx="2356">
                  <c:v>1.6646023348277295E-2</c:v>
                </c:pt>
                <c:pt idx="2357">
                  <c:v>1.6643001688005407E-2</c:v>
                </c:pt>
                <c:pt idx="2358">
                  <c:v>1.6640006047316056E-2</c:v>
                </c:pt>
                <c:pt idx="2359">
                  <c:v>1.6637036426094601E-2</c:v>
                </c:pt>
                <c:pt idx="2360">
                  <c:v>1.6634092824223776E-2</c:v>
                </c:pt>
                <c:pt idx="2361">
                  <c:v>1.6631175241588948E-2</c:v>
                </c:pt>
                <c:pt idx="2362">
                  <c:v>1.6627687163142162E-2</c:v>
                </c:pt>
                <c:pt idx="2363">
                  <c:v>1.6624823608848146E-2</c:v>
                </c:pt>
                <c:pt idx="2364">
                  <c:v>1.6621986072223472E-2</c:v>
                </c:pt>
                <c:pt idx="2365">
                  <c:v>1.6619174553157295E-2</c:v>
                </c:pt>
                <c:pt idx="2366">
                  <c:v>1.6616389051540968E-2</c:v>
                </c:pt>
                <c:pt idx="2367">
                  <c:v>1.661362956726541E-2</c:v>
                </c:pt>
                <c:pt idx="2368">
                  <c:v>1.6610896100223746E-2</c:v>
                </c:pt>
                <c:pt idx="2369">
                  <c:v>1.6608188650308654E-2</c:v>
                </c:pt>
                <c:pt idx="2370">
                  <c:v>1.6605507217416351E-2</c:v>
                </c:pt>
                <c:pt idx="2371">
                  <c:v>1.6603455746792346E-2</c:v>
                </c:pt>
                <c:pt idx="2372">
                  <c:v>1.6600831561114891E-2</c:v>
                </c:pt>
                <c:pt idx="2373">
                  <c:v>1.659823339576811E-2</c:v>
                </c:pt>
                <c:pt idx="2374">
                  <c:v>1.6595661250649912E-2</c:v>
                </c:pt>
                <c:pt idx="2375">
                  <c:v>1.6592906679211102E-2</c:v>
                </c:pt>
                <c:pt idx="2376">
                  <c:v>1.6589669082442061E-2</c:v>
                </c:pt>
                <c:pt idx="2377">
                  <c:v>1.6587180687282189E-2</c:v>
                </c:pt>
                <c:pt idx="2378">
                  <c:v>1.6584718310717683E-2</c:v>
                </c:pt>
                <c:pt idx="2379">
                  <c:v>1.6582368546570071E-2</c:v>
                </c:pt>
                <c:pt idx="2380">
                  <c:v>1.6580525150466138E-2</c:v>
                </c:pt>
                <c:pt idx="2381">
                  <c:v>1.6578146077148435E-2</c:v>
                </c:pt>
                <c:pt idx="2382">
                  <c:v>1.6575793025651129E-2</c:v>
                </c:pt>
                <c:pt idx="2383">
                  <c:v>1.6572796703474432E-2</c:v>
                </c:pt>
                <c:pt idx="2384">
                  <c:v>1.6570490436484588E-2</c:v>
                </c:pt>
                <c:pt idx="2385">
                  <c:v>1.6568210187434027E-2</c:v>
                </c:pt>
                <c:pt idx="2386">
                  <c:v>1.656595595623276E-2</c:v>
                </c:pt>
                <c:pt idx="2387">
                  <c:v>1.6564418092207364E-2</c:v>
                </c:pt>
                <c:pt idx="2388">
                  <c:v>1.656222116969077E-2</c:v>
                </c:pt>
                <c:pt idx="2389">
                  <c:v>1.6560050268358092E-2</c:v>
                </c:pt>
                <c:pt idx="2390">
                  <c:v>1.6557905388120801E-2</c:v>
                </c:pt>
                <c:pt idx="2391">
                  <c:v>1.655578652889509E-2</c:v>
                </c:pt>
                <c:pt idx="2392">
                  <c:v>1.6552976938958935E-2</c:v>
                </c:pt>
                <c:pt idx="2393">
                  <c:v>1.6551626873138048E-2</c:v>
                </c:pt>
                <c:pt idx="2394">
                  <c:v>1.654958607643996E-2</c:v>
                </c:pt>
                <c:pt idx="2395">
                  <c:v>1.6547571300419964E-2</c:v>
                </c:pt>
                <c:pt idx="2396">
                  <c:v>1.6544844606914001E-2</c:v>
                </c:pt>
                <c:pt idx="2397">
                  <c:v>1.6542381953248236E-2</c:v>
                </c:pt>
                <c:pt idx="2398">
                  <c:v>1.6540436390998586E-2</c:v>
                </c:pt>
                <c:pt idx="2399">
                  <c:v>1.653851684313384E-2</c:v>
                </c:pt>
                <c:pt idx="2400">
                  <c:v>1.653662330958024E-2</c:v>
                </c:pt>
                <c:pt idx="2401">
                  <c:v>1.6535010092669375E-2</c:v>
                </c:pt>
                <c:pt idx="2402">
                  <c:v>1.6533170361519096E-2</c:v>
                </c:pt>
                <c:pt idx="2403">
                  <c:v>1.6531356645655887E-2</c:v>
                </c:pt>
                <c:pt idx="2404">
                  <c:v>1.6529568945007712E-2</c:v>
                </c:pt>
                <c:pt idx="2405">
                  <c:v>1.6527807259506058E-2</c:v>
                </c:pt>
                <c:pt idx="2406">
                  <c:v>1.6525808404725704E-2</c:v>
                </c:pt>
                <c:pt idx="2407">
                  <c:v>1.6524096969340252E-2</c:v>
                </c:pt>
                <c:pt idx="2408">
                  <c:v>1.6522411547704185E-2</c:v>
                </c:pt>
                <c:pt idx="2409">
                  <c:v>1.6520752139751699E-2</c:v>
                </c:pt>
                <c:pt idx="2410">
                  <c:v>1.6519389056804543E-2</c:v>
                </c:pt>
                <c:pt idx="2411">
                  <c:v>1.6517783460765562E-2</c:v>
                </c:pt>
                <c:pt idx="2412">
                  <c:v>1.6516203879411055E-2</c:v>
                </c:pt>
                <c:pt idx="2413">
                  <c:v>1.6513774240271947E-2</c:v>
                </c:pt>
                <c:pt idx="2414">
                  <c:v>1.6512628949352914E-2</c:v>
                </c:pt>
                <c:pt idx="2415">
                  <c:v>1.6511341975858948E-2</c:v>
                </c:pt>
                <c:pt idx="2416">
                  <c:v>1.6509864661943551E-2</c:v>
                </c:pt>
                <c:pt idx="2417">
                  <c:v>1.6508413361223731E-2</c:v>
                </c:pt>
                <c:pt idx="2418">
                  <c:v>1.6506988073643838E-2</c:v>
                </c:pt>
                <c:pt idx="2419">
                  <c:v>1.6505588799147344E-2</c:v>
                </c:pt>
                <c:pt idx="2420">
                  <c:v>1.6504215537679931E-2</c:v>
                </c:pt>
                <c:pt idx="2421">
                  <c:v>1.6502868289189041E-2</c:v>
                </c:pt>
                <c:pt idx="2422">
                  <c:v>1.6501547053622119E-2</c:v>
                </c:pt>
                <c:pt idx="2423">
                  <c:v>1.6501721668581687E-2</c:v>
                </c:pt>
                <c:pt idx="2424">
                  <c:v>1.6500461461404364E-2</c:v>
                </c:pt>
                <c:pt idx="2425">
                  <c:v>1.6499227272940679E-2</c:v>
                </c:pt>
                <c:pt idx="2426">
                  <c:v>1.6498019103141637E-2</c:v>
                </c:pt>
                <c:pt idx="2427">
                  <c:v>1.6495932876902226E-2</c:v>
                </c:pt>
                <c:pt idx="2428">
                  <c:v>1.6494771327911901E-2</c:v>
                </c:pt>
                <c:pt idx="2429">
                  <c:v>1.649363579388138E-2</c:v>
                </c:pt>
                <c:pt idx="2430">
                  <c:v>1.649252627476611E-2</c:v>
                </c:pt>
                <c:pt idx="2431">
                  <c:v>1.6491442770522405E-2</c:v>
                </c:pt>
                <c:pt idx="2432">
                  <c:v>1.6491316473663531E-2</c:v>
                </c:pt>
                <c:pt idx="2433">
                  <c:v>1.6490290433219954E-2</c:v>
                </c:pt>
                <c:pt idx="2434">
                  <c:v>1.6489290411083456E-2</c:v>
                </c:pt>
                <c:pt idx="2435">
                  <c:v>1.6488316407214071E-2</c:v>
                </c:pt>
                <c:pt idx="2436">
                  <c:v>1.6486415470919783E-2</c:v>
                </c:pt>
                <c:pt idx="2437">
                  <c:v>1.6485488055044975E-2</c:v>
                </c:pt>
                <c:pt idx="2438">
                  <c:v>1.6484586653765673E-2</c:v>
                </c:pt>
                <c:pt idx="2439">
                  <c:v>1.6484680573642652E-2</c:v>
                </c:pt>
                <c:pt idx="2440">
                  <c:v>1.6483836660544968E-2</c:v>
                </c:pt>
                <c:pt idx="2441">
                  <c:v>1.6483018765496935E-2</c:v>
                </c:pt>
                <c:pt idx="2442">
                  <c:v>1.6482226888463312E-2</c:v>
                </c:pt>
                <c:pt idx="2443">
                  <c:v>1.6481461029415306E-2</c:v>
                </c:pt>
                <c:pt idx="2444">
                  <c:v>1.6479724550662593E-2</c:v>
                </c:pt>
                <c:pt idx="2445">
                  <c:v>1.6480007365151504E-2</c:v>
                </c:pt>
                <c:pt idx="2446">
                  <c:v>1.6479319559876835E-2</c:v>
                </c:pt>
                <c:pt idx="2447">
                  <c:v>1.6478657772471313E-2</c:v>
                </c:pt>
                <c:pt idx="2448">
                  <c:v>1.6477003436381806E-2</c:v>
                </c:pt>
                <c:pt idx="2449">
                  <c:v>1.6475706414562873E-2</c:v>
                </c:pt>
                <c:pt idx="2450">
                  <c:v>1.6475113523678642E-2</c:v>
                </c:pt>
                <c:pt idx="2451">
                  <c:v>1.6474546644638138E-2</c:v>
                </c:pt>
                <c:pt idx="2452">
                  <c:v>1.6474005777419278E-2</c:v>
                </c:pt>
                <c:pt idx="2453">
                  <c:v>1.6473839050194037E-2</c:v>
                </c:pt>
                <c:pt idx="2454">
                  <c:v>1.6473352042344604E-2</c:v>
                </c:pt>
                <c:pt idx="2455">
                  <c:v>1.6472891047441693E-2</c:v>
                </c:pt>
                <c:pt idx="2456">
                  <c:v>1.647245606546598E-2</c:v>
                </c:pt>
                <c:pt idx="2457">
                  <c:v>1.6472047096402091E-2</c:v>
                </c:pt>
                <c:pt idx="2458">
                  <c:v>1.6471306821246912E-2</c:v>
                </c:pt>
                <c:pt idx="2459">
                  <c:v>1.6470948036245648E-2</c:v>
                </c:pt>
                <c:pt idx="2460">
                  <c:v>1.6470615262925144E-2</c:v>
                </c:pt>
                <c:pt idx="2461">
                  <c:v>1.6470308501273925E-2</c:v>
                </c:pt>
                <c:pt idx="2462">
                  <c:v>1.6470392444223301E-2</c:v>
                </c:pt>
                <c:pt idx="2463">
                  <c:v>1.6470139552325989E-2</c:v>
                </c:pt>
                <c:pt idx="2464">
                  <c:v>1.6469912673248266E-2</c:v>
                </c:pt>
                <c:pt idx="2465">
                  <c:v>1.6469711806981788E-2</c:v>
                </c:pt>
                <c:pt idx="2466">
                  <c:v>1.6469164867660039E-2</c:v>
                </c:pt>
                <c:pt idx="2467">
                  <c:v>1.6469013896954932E-2</c:v>
                </c:pt>
                <c:pt idx="2468">
                  <c:v>1.6468885640737351E-2</c:v>
                </c:pt>
                <c:pt idx="2469">
                  <c:v>1.6468775525872059E-2</c:v>
                </c:pt>
                <c:pt idx="2470">
                  <c:v>1.6468678961375549E-2</c:v>
                </c:pt>
                <c:pt idx="2471">
                  <c:v>1.6468591356268734E-2</c:v>
                </c:pt>
                <c:pt idx="2472">
                  <c:v>1.6468508119569875E-2</c:v>
                </c:pt>
                <c:pt idx="2473">
                  <c:v>1.6468424660301208E-2</c:v>
                </c:pt>
                <c:pt idx="2474">
                  <c:v>1.6468336387484087E-2</c:v>
                </c:pt>
                <c:pt idx="2475">
                  <c:v>1.6470066653994909E-2</c:v>
                </c:pt>
                <c:pt idx="2476">
                  <c:v>1.6469938942594315E-2</c:v>
                </c:pt>
                <c:pt idx="2477">
                  <c:v>1.6469790647786482E-2</c:v>
                </c:pt>
                <c:pt idx="2478">
                  <c:v>1.6469617300994936E-2</c:v>
                </c:pt>
                <c:pt idx="2479">
                  <c:v>1.646836461342864E-2</c:v>
                </c:pt>
                <c:pt idx="2480">
                  <c:v>1.6468141798073405E-2</c:v>
                </c:pt>
                <c:pt idx="2481">
                  <c:v>1.6467881419679586E-2</c:v>
                </c:pt>
                <c:pt idx="2482">
                  <c:v>1.6467578937049605E-2</c:v>
                </c:pt>
                <c:pt idx="2483">
                  <c:v>1.6467229808988498E-2</c:v>
                </c:pt>
                <c:pt idx="2484">
                  <c:v>1.6467800888702963E-2</c:v>
                </c:pt>
                <c:pt idx="2485">
                  <c:v>1.6467327058180187E-2</c:v>
                </c:pt>
                <c:pt idx="2486">
                  <c:v>1.6466792427215313E-2</c:v>
                </c:pt>
                <c:pt idx="2487">
                  <c:v>1.646619252728429E-2</c:v>
                </c:pt>
                <c:pt idx="2488">
                  <c:v>1.6464625545936733E-2</c:v>
                </c:pt>
                <c:pt idx="2489">
                  <c:v>1.6463901180653783E-2</c:v>
                </c:pt>
                <c:pt idx="2490">
                  <c:v>1.6463098381828772E-2</c:v>
                </c:pt>
                <c:pt idx="2491">
                  <c:v>1.6462212608355405E-2</c:v>
                </c:pt>
                <c:pt idx="2492">
                  <c:v>1.6462057595727997E-2</c:v>
                </c:pt>
                <c:pt idx="2493">
                  <c:v>1.6460972712782799E-2</c:v>
                </c:pt>
                <c:pt idx="2494">
                  <c:v>1.6459795113994424E-2</c:v>
                </c:pt>
                <c:pt idx="2495">
                  <c:v>1.6458524797358456E-2</c:v>
                </c:pt>
                <c:pt idx="2496">
                  <c:v>1.6457161763056255E-2</c:v>
                </c:pt>
                <c:pt idx="2497">
                  <c:v>1.6455706011282933E-2</c:v>
                </c:pt>
                <c:pt idx="2498">
                  <c:v>1.6454157542244781E-2</c:v>
                </c:pt>
                <c:pt idx="2499">
                  <c:v>1.645251635616269E-2</c:v>
                </c:pt>
                <c:pt idx="2500">
                  <c:v>1.6450782453270887E-2</c:v>
                </c:pt>
                <c:pt idx="2501">
                  <c:v>1.6448104298341874E-2</c:v>
                </c:pt>
                <c:pt idx="2502">
                  <c:v>1.6446211797266023E-2</c:v>
                </c:pt>
                <c:pt idx="2503">
                  <c:v>1.6444226596905E-2</c:v>
                </c:pt>
                <c:pt idx="2504">
                  <c:v>1.644214869753639E-2</c:v>
                </c:pt>
                <c:pt idx="2505">
                  <c:v>1.6439978099449623E-2</c:v>
                </c:pt>
                <c:pt idx="2506">
                  <c:v>1.6437895057132893E-2</c:v>
                </c:pt>
                <c:pt idx="2507">
                  <c:v>1.6435532333859471E-2</c:v>
                </c:pt>
                <c:pt idx="2508">
                  <c:v>1.6433076908642003E-2</c:v>
                </c:pt>
                <c:pt idx="2509">
                  <c:v>1.6430528781823384E-2</c:v>
                </c:pt>
                <c:pt idx="2510">
                  <c:v>1.6427734639293142E-2</c:v>
                </c:pt>
                <c:pt idx="2511">
                  <c:v>1.6425007855706962E-2</c:v>
                </c:pt>
                <c:pt idx="2512">
                  <c:v>1.6422188375792807E-2</c:v>
                </c:pt>
                <c:pt idx="2513">
                  <c:v>1.6419276199944207E-2</c:v>
                </c:pt>
                <c:pt idx="2514">
                  <c:v>1.6416397636687594E-2</c:v>
                </c:pt>
                <c:pt idx="2515">
                  <c:v>1.6413293308225545E-2</c:v>
                </c:pt>
                <c:pt idx="2516">
                  <c:v>1.6410096280936082E-2</c:v>
                </c:pt>
                <c:pt idx="2517">
                  <c:v>1.6406806555269125E-2</c:v>
                </c:pt>
                <c:pt idx="2518">
                  <c:v>1.6403424131684191E-2</c:v>
                </c:pt>
                <c:pt idx="2519">
                  <c:v>1.6399856553863546E-2</c:v>
                </c:pt>
                <c:pt idx="2520">
                  <c:v>1.6396295518564381E-2</c:v>
                </c:pt>
                <c:pt idx="2521">
                  <c:v>1.639264179094151E-2</c:v>
                </c:pt>
                <c:pt idx="2522">
                  <c:v>1.6388895371502656E-2</c:v>
                </c:pt>
                <c:pt idx="2523">
                  <c:v>1.6385056260771799E-2</c:v>
                </c:pt>
                <c:pt idx="2524">
                  <c:v>1.6381124459283015E-2</c:v>
                </c:pt>
                <c:pt idx="2525">
                  <c:v>1.6377099967586194E-2</c:v>
                </c:pt>
                <c:pt idx="2526">
                  <c:v>1.6372982786240452E-2</c:v>
                </c:pt>
                <c:pt idx="2527">
                  <c:v>1.6368921337669894E-2</c:v>
                </c:pt>
                <c:pt idx="2528">
                  <c:v>1.6364591512691339E-2</c:v>
                </c:pt>
                <c:pt idx="2529">
                  <c:v>1.6360168983431542E-2</c:v>
                </c:pt>
                <c:pt idx="2530">
                  <c:v>1.63556537505214E-2</c:v>
                </c:pt>
                <c:pt idx="2531">
                  <c:v>1.6351017348138833E-2</c:v>
                </c:pt>
                <c:pt idx="2532">
                  <c:v>1.6346337209420293E-2</c:v>
                </c:pt>
                <c:pt idx="2533">
                  <c:v>1.6341564381263118E-2</c:v>
                </c:pt>
                <c:pt idx="2534">
                  <c:v>1.6336698864335621E-2</c:v>
                </c:pt>
                <c:pt idx="2535">
                  <c:v>1.6331740659320099E-2</c:v>
                </c:pt>
                <c:pt idx="2536">
                  <c:v>1.6326615613354755E-2</c:v>
                </c:pt>
                <c:pt idx="2537">
                  <c:v>1.632145147364664E-2</c:v>
                </c:pt>
                <c:pt idx="2538">
                  <c:v>1.6316194635804193E-2</c:v>
                </c:pt>
                <c:pt idx="2539">
                  <c:v>1.6310845100577356E-2</c:v>
                </c:pt>
                <c:pt idx="2540">
                  <c:v>1.630555933770449E-2</c:v>
                </c:pt>
                <c:pt idx="2541">
                  <c:v>1.6300045019212825E-2</c:v>
                </c:pt>
                <c:pt idx="2542">
                  <c:v>1.6294438017771758E-2</c:v>
                </c:pt>
                <c:pt idx="2543">
                  <c:v>1.6288738334167108E-2</c:v>
                </c:pt>
                <c:pt idx="2544">
                  <c:v>1.6282945969199106E-2</c:v>
                </c:pt>
                <c:pt idx="2545">
                  <c:v>1.6276801287759525E-2</c:v>
                </c:pt>
                <c:pt idx="2546">
                  <c:v>1.6270802892925783E-2</c:v>
                </c:pt>
                <c:pt idx="2547">
                  <c:v>1.6264711807175165E-2</c:v>
                </c:pt>
                <c:pt idx="2548">
                  <c:v>1.6258528031377079E-2</c:v>
                </c:pt>
                <c:pt idx="2549">
                  <c:v>1.6252251566411684E-2</c:v>
                </c:pt>
                <c:pt idx="2550">
                  <c:v>1.6245882413173318E-2</c:v>
                </c:pt>
                <c:pt idx="2551">
                  <c:v>1.6239420572568785E-2</c:v>
                </c:pt>
                <c:pt idx="2552">
                  <c:v>1.6232866045520784E-2</c:v>
                </c:pt>
                <c:pt idx="2553">
                  <c:v>1.6226924388955836E-2</c:v>
                </c:pt>
                <c:pt idx="2554">
                  <c:v>1.6220219097782262E-2</c:v>
                </c:pt>
                <c:pt idx="2555">
                  <c:v>1.621342114281956E-2</c:v>
                </c:pt>
                <c:pt idx="2556">
                  <c:v>1.6206530525008856E-2</c:v>
                </c:pt>
                <c:pt idx="2557">
                  <c:v>1.6199547245307616E-2</c:v>
                </c:pt>
                <c:pt idx="2558">
                  <c:v>1.6192296883608053E-2</c:v>
                </c:pt>
                <c:pt idx="2559">
                  <c:v>1.6185121343260216E-2</c:v>
                </c:pt>
                <c:pt idx="2560">
                  <c:v>1.6177853140031933E-2</c:v>
                </c:pt>
                <c:pt idx="2561">
                  <c:v>1.6170492274935579E-2</c:v>
                </c:pt>
                <c:pt idx="2562">
                  <c:v>1.6163240952764203E-2</c:v>
                </c:pt>
                <c:pt idx="2563">
                  <c:v>1.6155701722496935E-2</c:v>
                </c:pt>
                <c:pt idx="2564">
                  <c:v>1.6148069837386314E-2</c:v>
                </c:pt>
                <c:pt idx="2565">
                  <c:v>1.6140345298489171E-2</c:v>
                </c:pt>
                <c:pt idx="2566">
                  <c:v>1.6132298057819947E-2</c:v>
                </c:pt>
                <c:pt idx="2567">
                  <c:v>1.6124381243524832E-2</c:v>
                </c:pt>
                <c:pt idx="2568">
                  <c:v>1.6116371774817659E-2</c:v>
                </c:pt>
                <c:pt idx="2569">
                  <c:v>1.6108269652815341E-2</c:v>
                </c:pt>
                <c:pt idx="2570">
                  <c:v>1.6098896633247376E-2</c:v>
                </c:pt>
                <c:pt idx="2571">
                  <c:v>1.6090861913714689E-2</c:v>
                </c:pt>
                <c:pt idx="2572">
                  <c:v>1.6082475593977474E-2</c:v>
                </c:pt>
                <c:pt idx="2573">
                  <c:v>1.6073996629549222E-2</c:v>
                </c:pt>
                <c:pt idx="2574">
                  <c:v>1.6065425021606013E-2</c:v>
                </c:pt>
                <c:pt idx="2575">
                  <c:v>1.6056760771337168E-2</c:v>
                </c:pt>
                <c:pt idx="2576">
                  <c:v>1.6048003879943058E-2</c:v>
                </c:pt>
                <c:pt idx="2577">
                  <c:v>1.6039154348636848E-2</c:v>
                </c:pt>
                <c:pt idx="2578">
                  <c:v>1.603021217864762E-2</c:v>
                </c:pt>
                <c:pt idx="2579">
                  <c:v>1.6019885388196878E-2</c:v>
                </c:pt>
                <c:pt idx="2580">
                  <c:v>1.6010729855451534E-2</c:v>
                </c:pt>
                <c:pt idx="2581">
                  <c:v>1.6001481672669352E-2</c:v>
                </c:pt>
                <c:pt idx="2582">
                  <c:v>1.5992140841160428E-2</c:v>
                </c:pt>
                <c:pt idx="2583">
                  <c:v>1.5983761707972791E-2</c:v>
                </c:pt>
                <c:pt idx="2584">
                  <c:v>1.5973181237272264E-2</c:v>
                </c:pt>
                <c:pt idx="2585">
                  <c:v>1.5963562467579306E-2</c:v>
                </c:pt>
                <c:pt idx="2586">
                  <c:v>1.5949013965607925E-2</c:v>
                </c:pt>
                <c:pt idx="2587">
                  <c:v>1.5944046999511803E-2</c:v>
                </c:pt>
                <c:pt idx="2588">
                  <c:v>1.593415030390305E-2</c:v>
                </c:pt>
                <c:pt idx="2589">
                  <c:v>1.5924160969109324E-2</c:v>
                </c:pt>
                <c:pt idx="2590">
                  <c:v>1.5914078996546576E-2</c:v>
                </c:pt>
                <c:pt idx="2591">
                  <c:v>1.5903904387643282E-2</c:v>
                </c:pt>
                <c:pt idx="2592">
                  <c:v>1.589363714384218E-2</c:v>
                </c:pt>
                <c:pt idx="2593">
                  <c:v>1.5883277266596815E-2</c:v>
                </c:pt>
                <c:pt idx="2594">
                  <c:v>1.5872824757376277E-2</c:v>
                </c:pt>
                <c:pt idx="2595">
                  <c:v>1.5862279617660895E-2</c:v>
                </c:pt>
                <c:pt idx="2596">
                  <c:v>1.5851641848946125E-2</c:v>
                </c:pt>
                <c:pt idx="2597">
                  <c:v>1.5840911452739085E-2</c:v>
                </c:pt>
                <c:pt idx="2598">
                  <c:v>1.5830088430559421E-2</c:v>
                </c:pt>
                <c:pt idx="2599">
                  <c:v>1.5819172783941477E-2</c:v>
                </c:pt>
                <c:pt idx="2600">
                  <c:v>1.5808164514432555E-2</c:v>
                </c:pt>
                <c:pt idx="2601">
                  <c:v>1.5797063623591623E-2</c:v>
                </c:pt>
                <c:pt idx="2602">
                  <c:v>1.5785870112992342E-2</c:v>
                </c:pt>
                <c:pt idx="2603">
                  <c:v>1.5774583984221335E-2</c:v>
                </c:pt>
                <c:pt idx="2604">
                  <c:v>1.5763205238876022E-2</c:v>
                </c:pt>
                <c:pt idx="2605">
                  <c:v>1.5753761001735853E-2</c:v>
                </c:pt>
                <c:pt idx="2606">
                  <c:v>1.5742225498885019E-2</c:v>
                </c:pt>
                <c:pt idx="2607">
                  <c:v>1.5730597398518228E-2</c:v>
                </c:pt>
                <c:pt idx="2608">
                  <c:v>1.5718876702247017E-2</c:v>
                </c:pt>
                <c:pt idx="2609">
                  <c:v>1.5706529183350543E-2</c:v>
                </c:pt>
                <c:pt idx="2610">
                  <c:v>1.5694616169134559E-2</c:v>
                </c:pt>
                <c:pt idx="2611">
                  <c:v>1.5680409610872883E-2</c:v>
                </c:pt>
                <c:pt idx="2612">
                  <c:v>1.5670512358883511E-2</c:v>
                </c:pt>
                <c:pt idx="2613">
                  <c:v>1.5658321566207955E-2</c:v>
                </c:pt>
                <c:pt idx="2614">
                  <c:v>1.5646608102523697E-2</c:v>
                </c:pt>
                <c:pt idx="2615">
                  <c:v>1.5634239281139568E-2</c:v>
                </c:pt>
                <c:pt idx="2616">
                  <c:v>1.562177787720961E-2</c:v>
                </c:pt>
                <c:pt idx="2617">
                  <c:v>1.5609223892461062E-2</c:v>
                </c:pt>
                <c:pt idx="2618">
                  <c:v>1.5595978795694502E-2</c:v>
                </c:pt>
                <c:pt idx="2619">
                  <c:v>1.5583232492330946E-2</c:v>
                </c:pt>
                <c:pt idx="2620">
                  <c:v>1.5570393609996966E-2</c:v>
                </c:pt>
                <c:pt idx="2621">
                  <c:v>1.5557462150481023E-2</c:v>
                </c:pt>
                <c:pt idx="2622">
                  <c:v>1.554071676938131E-2</c:v>
                </c:pt>
                <c:pt idx="2623">
                  <c:v>1.5525671765110712E-2</c:v>
                </c:pt>
                <c:pt idx="2624">
                  <c:v>1.5512422911880819E-2</c:v>
                </c:pt>
                <c:pt idx="2625">
                  <c:v>1.5499081489549092E-2</c:v>
                </c:pt>
                <c:pt idx="2626">
                  <c:v>1.5485647499977339E-2</c:v>
                </c:pt>
                <c:pt idx="2627">
                  <c:v>1.5472120945036588E-2</c:v>
                </c:pt>
                <c:pt idx="2628">
                  <c:v>1.5458501826613244E-2</c:v>
                </c:pt>
                <c:pt idx="2629">
                  <c:v>1.544479014660557E-2</c:v>
                </c:pt>
                <c:pt idx="2630">
                  <c:v>1.5430985906924563E-2</c:v>
                </c:pt>
                <c:pt idx="2631">
                  <c:v>1.5415697000944377E-2</c:v>
                </c:pt>
                <c:pt idx="2632">
                  <c:v>1.5401693231976904E-2</c:v>
                </c:pt>
                <c:pt idx="2633">
                  <c:v>1.538759690263007E-2</c:v>
                </c:pt>
                <c:pt idx="2634">
                  <c:v>1.5373408014889676E-2</c:v>
                </c:pt>
                <c:pt idx="2635">
                  <c:v>1.5359851830925249E-2</c:v>
                </c:pt>
                <c:pt idx="2636">
                  <c:v>1.5345485053482349E-2</c:v>
                </c:pt>
                <c:pt idx="2637">
                  <c:v>1.5326877492186405E-2</c:v>
                </c:pt>
                <c:pt idx="2638">
                  <c:v>1.5316473853186062E-2</c:v>
                </c:pt>
                <c:pt idx="2639">
                  <c:v>1.5301829434398492E-2</c:v>
                </c:pt>
                <c:pt idx="2640">
                  <c:v>1.5286331075056654E-2</c:v>
                </c:pt>
                <c:pt idx="2641">
                  <c:v>1.5271494335274248E-2</c:v>
                </c:pt>
                <c:pt idx="2642">
                  <c:v>1.5256565053458241E-2</c:v>
                </c:pt>
                <c:pt idx="2643">
                  <c:v>1.5241543231712602E-2</c:v>
                </c:pt>
                <c:pt idx="2644">
                  <c:v>1.5227219236554292E-2</c:v>
                </c:pt>
                <c:pt idx="2645">
                  <c:v>1.521201959084305E-2</c:v>
                </c:pt>
                <c:pt idx="2646">
                  <c:v>1.5196727414690357E-2</c:v>
                </c:pt>
                <c:pt idx="2647">
                  <c:v>1.5181342710240946E-2</c:v>
                </c:pt>
                <c:pt idx="2648">
                  <c:v>1.5164226001297597E-2</c:v>
                </c:pt>
                <c:pt idx="2649">
                  <c:v>1.5149469082172674E-2</c:v>
                </c:pt>
                <c:pt idx="2650">
                  <c:v>1.5133799540919873E-2</c:v>
                </c:pt>
                <c:pt idx="2651">
                  <c:v>1.5118037477036213E-2</c:v>
                </c:pt>
                <c:pt idx="2652">
                  <c:v>1.5102182892743392E-2</c:v>
                </c:pt>
                <c:pt idx="2653">
                  <c:v>1.5086235790273975E-2</c:v>
                </c:pt>
                <c:pt idx="2654">
                  <c:v>1.5070196171876594E-2</c:v>
                </c:pt>
                <c:pt idx="2655">
                  <c:v>1.5054064039809878E-2</c:v>
                </c:pt>
                <c:pt idx="2656">
                  <c:v>1.5037839396348533E-2</c:v>
                </c:pt>
                <c:pt idx="2657">
                  <c:v>1.5023291216131031E-2</c:v>
                </c:pt>
                <c:pt idx="2658">
                  <c:v>1.5006896133910834E-2</c:v>
                </c:pt>
                <c:pt idx="2659">
                  <c:v>1.4990408553050684E-2</c:v>
                </c:pt>
                <c:pt idx="2660">
                  <c:v>1.4973828475848078E-2</c:v>
                </c:pt>
                <c:pt idx="2661">
                  <c:v>1.4960801872377503E-2</c:v>
                </c:pt>
                <c:pt idx="2662">
                  <c:v>1.4940390841674473E-2</c:v>
                </c:pt>
                <c:pt idx="2663">
                  <c:v>1.4923533289362604E-2</c:v>
                </c:pt>
                <c:pt idx="2664">
                  <c:v>1.4906583250029618E-2</c:v>
                </c:pt>
                <c:pt idx="2665">
                  <c:v>1.4889540726036699E-2</c:v>
                </c:pt>
                <c:pt idx="2666">
                  <c:v>1.4872405719759974E-2</c:v>
                </c:pt>
                <c:pt idx="2667">
                  <c:v>1.4855178233586539E-2</c:v>
                </c:pt>
                <c:pt idx="2668">
                  <c:v>1.4837858269917552E-2</c:v>
                </c:pt>
                <c:pt idx="2669">
                  <c:v>1.4820445831167348E-2</c:v>
                </c:pt>
                <c:pt idx="2670">
                  <c:v>1.4802940919761677E-2</c:v>
                </c:pt>
                <c:pt idx="2671">
                  <c:v>1.4785343538140785E-2</c:v>
                </c:pt>
                <c:pt idx="2672">
                  <c:v>1.4767653688756335E-2</c:v>
                </c:pt>
                <c:pt idx="2673">
                  <c:v>1.4749871374074051E-2</c:v>
                </c:pt>
                <c:pt idx="2674">
                  <c:v>1.4730444246214646E-2</c:v>
                </c:pt>
                <c:pt idx="2675">
                  <c:v>1.4712471136193818E-2</c:v>
                </c:pt>
                <c:pt idx="2676">
                  <c:v>1.4694405571395456E-2</c:v>
                </c:pt>
                <c:pt idx="2677">
                  <c:v>1.4676247554322307E-2</c:v>
                </c:pt>
                <c:pt idx="2678">
                  <c:v>1.4657997087492578E-2</c:v>
                </c:pt>
                <c:pt idx="2679">
                  <c:v>1.4639654173433752E-2</c:v>
                </c:pt>
                <c:pt idx="2680">
                  <c:v>1.4621218814689207E-2</c:v>
                </c:pt>
                <c:pt idx="2681">
                  <c:v>1.460269101381248E-2</c:v>
                </c:pt>
                <c:pt idx="2682">
                  <c:v>1.4584070773373451E-2</c:v>
                </c:pt>
                <c:pt idx="2683">
                  <c:v>1.4562131325188495E-2</c:v>
                </c:pt>
                <c:pt idx="2684">
                  <c:v>1.4543304132519268E-2</c:v>
                </c:pt>
                <c:pt idx="2685">
                  <c:v>1.4524384500415238E-2</c:v>
                </c:pt>
                <c:pt idx="2686">
                  <c:v>1.45053724315421E-2</c:v>
                </c:pt>
                <c:pt idx="2687">
                  <c:v>1.4481900407372265E-2</c:v>
                </c:pt>
                <c:pt idx="2688">
                  <c:v>1.4462684436035284E-2</c:v>
                </c:pt>
                <c:pt idx="2689">
                  <c:v>1.4443376039259635E-2</c:v>
                </c:pt>
                <c:pt idx="2690">
                  <c:v>1.4423975219749603E-2</c:v>
                </c:pt>
                <c:pt idx="2691">
                  <c:v>1.4399412070990884E-2</c:v>
                </c:pt>
                <c:pt idx="2692">
                  <c:v>1.4381459814203714E-2</c:v>
                </c:pt>
                <c:pt idx="2693">
                  <c:v>1.4361759590454201E-2</c:v>
                </c:pt>
                <c:pt idx="2694">
                  <c:v>1.4341966947723404E-2</c:v>
                </c:pt>
                <c:pt idx="2695">
                  <c:v>1.4325584876789392E-2</c:v>
                </c:pt>
                <c:pt idx="2696">
                  <c:v>1.4305629578413477E-2</c:v>
                </c:pt>
                <c:pt idx="2697">
                  <c:v>1.4285581876602714E-2</c:v>
                </c:pt>
                <c:pt idx="2698">
                  <c:v>1.4265441774167094E-2</c:v>
                </c:pt>
                <c:pt idx="2699">
                  <c:v>1.4241617548463545E-2</c:v>
                </c:pt>
                <c:pt idx="2700">
                  <c:v>1.4221270451495387E-2</c:v>
                </c:pt>
                <c:pt idx="2701">
                  <c:v>1.4200830955551016E-2</c:v>
                </c:pt>
                <c:pt idx="2702">
                  <c:v>1.4180299063541223E-2</c:v>
                </c:pt>
                <c:pt idx="2703">
                  <c:v>1.415967477838969E-2</c:v>
                </c:pt>
                <c:pt idx="2704">
                  <c:v>1.4142660905320684E-2</c:v>
                </c:pt>
                <c:pt idx="2705">
                  <c:v>1.4118149040421031E-2</c:v>
                </c:pt>
                <c:pt idx="2706">
                  <c:v>1.4097247593516595E-2</c:v>
                </c:pt>
                <c:pt idx="2707">
                  <c:v>1.4076253765295799E-2</c:v>
                </c:pt>
                <c:pt idx="2708">
                  <c:v>1.4058959342535175E-2</c:v>
                </c:pt>
                <c:pt idx="2709">
                  <c:v>1.4039072887609721E-2</c:v>
                </c:pt>
                <c:pt idx="2710">
                  <c:v>1.4017831623426987E-2</c:v>
                </c:pt>
                <c:pt idx="2711">
                  <c:v>1.3996497998427676E-2</c:v>
                </c:pt>
                <c:pt idx="2712">
                  <c:v>1.3975072015583036E-2</c:v>
                </c:pt>
                <c:pt idx="2713">
                  <c:v>1.3952254111982958E-2</c:v>
                </c:pt>
                <c:pt idx="2714">
                  <c:v>1.3930635992061888E-2</c:v>
                </c:pt>
                <c:pt idx="2715">
                  <c:v>1.3903660370319799E-2</c:v>
                </c:pt>
                <c:pt idx="2716">
                  <c:v>1.3887122702560031E-2</c:v>
                </c:pt>
                <c:pt idx="2717">
                  <c:v>1.3865227539074477E-2</c:v>
                </c:pt>
                <c:pt idx="2718">
                  <c:v>1.3844576771836786E-2</c:v>
                </c:pt>
                <c:pt idx="2719">
                  <c:v>1.3822504368379285E-2</c:v>
                </c:pt>
                <c:pt idx="2720">
                  <c:v>1.3800339631317726E-2</c:v>
                </c:pt>
                <c:pt idx="2721">
                  <c:v>1.3778082563739745E-2</c:v>
                </c:pt>
                <c:pt idx="2722">
                  <c:v>1.3754366657366611E-2</c:v>
                </c:pt>
                <c:pt idx="2723">
                  <c:v>1.3731917489910053E-2</c:v>
                </c:pt>
                <c:pt idx="2724">
                  <c:v>1.3709375999389766E-2</c:v>
                </c:pt>
                <c:pt idx="2725">
                  <c:v>1.3673767134469449E-2</c:v>
                </c:pt>
                <c:pt idx="2726">
                  <c:v>1.3662159316577391E-2</c:v>
                </c:pt>
                <c:pt idx="2727">
                  <c:v>1.3642602397771675E-2</c:v>
                </c:pt>
                <c:pt idx="2728">
                  <c:v>1.3619708328612543E-2</c:v>
                </c:pt>
                <c:pt idx="2729">
                  <c:v>1.3596739750791752E-2</c:v>
                </c:pt>
                <c:pt idx="2730">
                  <c:v>1.357370624973055E-2</c:v>
                </c:pt>
                <c:pt idx="2731">
                  <c:v>1.3550617410412734E-2</c:v>
                </c:pt>
                <c:pt idx="2732">
                  <c:v>1.3527482817385526E-2</c:v>
                </c:pt>
                <c:pt idx="2733">
                  <c:v>1.3504312054751668E-2</c:v>
                </c:pt>
                <c:pt idx="2734">
                  <c:v>1.3481114706171617E-2</c:v>
                </c:pt>
                <c:pt idx="2735">
                  <c:v>1.3452242273423936E-2</c:v>
                </c:pt>
                <c:pt idx="2736">
                  <c:v>1.3429033314288316E-2</c:v>
                </c:pt>
                <c:pt idx="2737">
                  <c:v>1.3405829850364722E-2</c:v>
                </c:pt>
                <c:pt idx="2738">
                  <c:v>1.338264125870412E-2</c:v>
                </c:pt>
                <c:pt idx="2739">
                  <c:v>1.3363666550329001E-2</c:v>
                </c:pt>
                <c:pt idx="2740">
                  <c:v>1.3340517078062891E-2</c:v>
                </c:pt>
                <c:pt idx="2741">
                  <c:v>1.3317408731563181E-2</c:v>
                </c:pt>
                <c:pt idx="2742">
                  <c:v>1.3294351038882095E-2</c:v>
                </c:pt>
                <c:pt idx="2743">
                  <c:v>1.3271353527631122E-2</c:v>
                </c:pt>
                <c:pt idx="2744">
                  <c:v>1.3244347085023228E-2</c:v>
                </c:pt>
                <c:pt idx="2745">
                  <c:v>1.322152511931287E-2</c:v>
                </c:pt>
                <c:pt idx="2746">
                  <c:v>1.3198793026343587E-2</c:v>
                </c:pt>
                <c:pt idx="2747">
                  <c:v>1.3176160179223266E-2</c:v>
                </c:pt>
                <c:pt idx="2748">
                  <c:v>1.3157602128749883E-2</c:v>
                </c:pt>
                <c:pt idx="2749">
                  <c:v>1.3135165761641211E-2</c:v>
                </c:pt>
                <c:pt idx="2750">
                  <c:v>1.3112856257191932E-2</c:v>
                </c:pt>
                <c:pt idx="2751">
                  <c:v>1.3090683139623459E-2</c:v>
                </c:pt>
                <c:pt idx="2752">
                  <c:v>1.3064812660909225E-2</c:v>
                </c:pt>
                <c:pt idx="2753">
                  <c:v>1.3042971116887217E-2</c:v>
                </c:pt>
                <c:pt idx="2754">
                  <c:v>1.3021286378301801E-2</c:v>
                </c:pt>
                <c:pt idx="2755">
                  <c:v>1.2999758444477819E-2</c:v>
                </c:pt>
                <c:pt idx="2756">
                  <c:v>1.2978387310223724E-2</c:v>
                </c:pt>
                <c:pt idx="2757">
                  <c:v>1.2957172970387081E-2</c:v>
                </c:pt>
                <c:pt idx="2758">
                  <c:v>1.2936115419848968E-2</c:v>
                </c:pt>
                <c:pt idx="2759">
                  <c:v>1.2915214653532162E-2</c:v>
                </c:pt>
                <c:pt idx="2760">
                  <c:v>1.2894470666396391E-2</c:v>
                </c:pt>
                <c:pt idx="2761">
                  <c:v>1.2879824147421032E-2</c:v>
                </c:pt>
                <c:pt idx="2762">
                  <c:v>1.2859341367516581E-2</c:v>
                </c:pt>
                <c:pt idx="2763">
                  <c:v>1.2839015319981977E-2</c:v>
                </c:pt>
                <c:pt idx="2764">
                  <c:v>1.2818846000047551E-2</c:v>
                </c:pt>
                <c:pt idx="2765">
                  <c:v>1.2797685223693948E-2</c:v>
                </c:pt>
                <c:pt idx="2766">
                  <c:v>1.2777839835634913E-2</c:v>
                </c:pt>
                <c:pt idx="2767">
                  <c:v>1.2758151167382681E-2</c:v>
                </c:pt>
                <c:pt idx="2768">
                  <c:v>1.2738619214289541E-2</c:v>
                </c:pt>
                <c:pt idx="2769">
                  <c:v>1.2719243971748187E-2</c:v>
                </c:pt>
                <c:pt idx="2770">
                  <c:v>1.2701121097549332E-2</c:v>
                </c:pt>
                <c:pt idx="2771">
                  <c:v>1.2682048740344178E-2</c:v>
                </c:pt>
                <c:pt idx="2772">
                  <c:v>1.2663133073903255E-2</c:v>
                </c:pt>
                <c:pt idx="2773">
                  <c:v>1.2644374093787242E-2</c:v>
                </c:pt>
                <c:pt idx="2774">
                  <c:v>1.2624718258585873E-2</c:v>
                </c:pt>
                <c:pt idx="2775">
                  <c:v>1.2606283184636729E-2</c:v>
                </c:pt>
                <c:pt idx="2776">
                  <c:v>1.2588004790012484E-2</c:v>
                </c:pt>
                <c:pt idx="2777">
                  <c:v>1.2569883070400105E-2</c:v>
                </c:pt>
                <c:pt idx="2778">
                  <c:v>1.2551918021524328E-2</c:v>
                </c:pt>
                <c:pt idx="2779">
                  <c:v>1.2535110381993123E-2</c:v>
                </c:pt>
                <c:pt idx="2780">
                  <c:v>1.2517448084960019E-2</c:v>
                </c:pt>
                <c:pt idx="2781">
                  <c:v>1.2499942440066131E-2</c:v>
                </c:pt>
                <c:pt idx="2782">
                  <c:v>1.2482593443205573E-2</c:v>
                </c:pt>
                <c:pt idx="2783">
                  <c:v>1.2465401090304695E-2</c:v>
                </c:pt>
                <c:pt idx="2784">
                  <c:v>1.2448365377330925E-2</c:v>
                </c:pt>
                <c:pt idx="2785">
                  <c:v>1.2431486300286575E-2</c:v>
                </c:pt>
                <c:pt idx="2786">
                  <c:v>1.2414763855211057E-2</c:v>
                </c:pt>
                <c:pt idx="2787">
                  <c:v>1.2393628162434904E-2</c:v>
                </c:pt>
                <c:pt idx="2788">
                  <c:v>1.2377272099463365E-2</c:v>
                </c:pt>
                <c:pt idx="2789">
                  <c:v>1.2361072685949962E-2</c:v>
                </c:pt>
                <c:pt idx="2790">
                  <c:v>1.2345029917987714E-2</c:v>
                </c:pt>
                <c:pt idx="2791">
                  <c:v>1.2331755112463922E-2</c:v>
                </c:pt>
                <c:pt idx="2792">
                  <c:v>1.2315993674014012E-2</c:v>
                </c:pt>
                <c:pt idx="2793">
                  <c:v>1.2300388852358827E-2</c:v>
                </c:pt>
                <c:pt idx="2794">
                  <c:v>1.2284940643798592E-2</c:v>
                </c:pt>
                <c:pt idx="2795">
                  <c:v>1.2269649044667172E-2</c:v>
                </c:pt>
                <c:pt idx="2796">
                  <c:v>1.2252062652821976E-2</c:v>
                </c:pt>
                <c:pt idx="2797">
                  <c:v>1.2237116297526192E-2</c:v>
                </c:pt>
                <c:pt idx="2798">
                  <c:v>1.222232655789407E-2</c:v>
                </c:pt>
                <c:pt idx="2799">
                  <c:v>1.2207693430359004E-2</c:v>
                </c:pt>
                <c:pt idx="2800">
                  <c:v>1.2195540064786717E-2</c:v>
                </c:pt>
                <c:pt idx="2801">
                  <c:v>1.2181188047352989E-2</c:v>
                </c:pt>
                <c:pt idx="2802">
                  <c:v>1.2166992614736503E-2</c:v>
                </c:pt>
                <c:pt idx="2803">
                  <c:v>1.2152953763569462E-2</c:v>
                </c:pt>
                <c:pt idx="2804">
                  <c:v>1.21390714905212E-2</c:v>
                </c:pt>
                <c:pt idx="2805">
                  <c:v>1.2123183324265673E-2</c:v>
                </c:pt>
                <c:pt idx="2806">
                  <c:v>1.2109646384739787E-2</c:v>
                </c:pt>
                <c:pt idx="2807">
                  <c:v>1.2096266030144298E-2</c:v>
                </c:pt>
                <c:pt idx="2808">
                  <c:v>1.2083042257251684E-2</c:v>
                </c:pt>
                <c:pt idx="2809">
                  <c:v>1.2069975062874813E-2</c:v>
                </c:pt>
                <c:pt idx="2810">
                  <c:v>1.2057064443862229E-2</c:v>
                </c:pt>
                <c:pt idx="2811">
                  <c:v>1.2044310397102444E-2</c:v>
                </c:pt>
                <c:pt idx="2812">
                  <c:v>1.2031712919519636E-2</c:v>
                </c:pt>
                <c:pt idx="2813">
                  <c:v>1.2022451257947122E-2</c:v>
                </c:pt>
                <c:pt idx="2814">
                  <c:v>1.2010113049260784E-2</c:v>
                </c:pt>
                <c:pt idx="2815">
                  <c:v>1.1997931373676949E-2</c:v>
                </c:pt>
                <c:pt idx="2816">
                  <c:v>1.1985906228337348E-2</c:v>
                </c:pt>
                <c:pt idx="2817">
                  <c:v>1.1974037610421259E-2</c:v>
                </c:pt>
                <c:pt idx="2818">
                  <c:v>1.1961741546877959E-2</c:v>
                </c:pt>
                <c:pt idx="2819">
                  <c:v>1.1950196772991197E-2</c:v>
                </c:pt>
                <c:pt idx="2820">
                  <c:v>1.1938808523639743E-2</c:v>
                </c:pt>
                <c:pt idx="2821">
                  <c:v>1.192757679613652E-2</c:v>
                </c:pt>
                <c:pt idx="2822">
                  <c:v>1.1917042336023293E-2</c:v>
                </c:pt>
                <c:pt idx="2823">
                  <c:v>1.1906112825459969E-2</c:v>
                </c:pt>
                <c:pt idx="2824">
                  <c:v>1.1895339823599659E-2</c:v>
                </c:pt>
                <c:pt idx="2825">
                  <c:v>1.1884723327915321E-2</c:v>
                </c:pt>
                <c:pt idx="2826">
                  <c:v>1.1873765894902272E-2</c:v>
                </c:pt>
                <c:pt idx="2827">
                  <c:v>1.1863473244140691E-2</c:v>
                </c:pt>
                <c:pt idx="2828">
                  <c:v>1.1853337097455624E-2</c:v>
                </c:pt>
                <c:pt idx="2829">
                  <c:v>1.1843357452456012E-2</c:v>
                </c:pt>
                <c:pt idx="2830">
                  <c:v>1.1833534306788577E-2</c:v>
                </c:pt>
                <c:pt idx="2831">
                  <c:v>1.1824310846601249E-2</c:v>
                </c:pt>
                <c:pt idx="2832">
                  <c:v>1.1814789826467628E-2</c:v>
                </c:pt>
                <c:pt idx="2833">
                  <c:v>1.1805425293612389E-2</c:v>
                </c:pt>
                <c:pt idx="2834">
                  <c:v>1.1796217245840164E-2</c:v>
                </c:pt>
                <c:pt idx="2835">
                  <c:v>1.1787165680989146E-2</c:v>
                </c:pt>
                <c:pt idx="2836">
                  <c:v>1.1778270596937274E-2</c:v>
                </c:pt>
                <c:pt idx="2837">
                  <c:v>1.176953199159694E-2</c:v>
                </c:pt>
                <c:pt idx="2838">
                  <c:v>1.1760949862918065E-2</c:v>
                </c:pt>
                <c:pt idx="2839">
                  <c:v>1.1750753972530694E-2</c:v>
                </c:pt>
                <c:pt idx="2840">
                  <c:v>1.1742539336754359E-2</c:v>
                </c:pt>
                <c:pt idx="2841">
                  <c:v>1.1734481197403304E-2</c:v>
                </c:pt>
                <c:pt idx="2842">
                  <c:v>1.1726579552533279E-2</c:v>
                </c:pt>
                <c:pt idx="2843">
                  <c:v>1.1719762432271179E-2</c:v>
                </c:pt>
                <c:pt idx="2844">
                  <c:v>1.1712140979632347E-2</c:v>
                </c:pt>
                <c:pt idx="2845">
                  <c:v>1.1704676000552434E-2</c:v>
                </c:pt>
                <c:pt idx="2846">
                  <c:v>1.1697367493260179E-2</c:v>
                </c:pt>
                <c:pt idx="2847">
                  <c:v>1.1690215456024071E-2</c:v>
                </c:pt>
                <c:pt idx="2848">
                  <c:v>1.1682455963417515E-2</c:v>
                </c:pt>
                <c:pt idx="2849">
                  <c:v>1.1675649728701902E-2</c:v>
                </c:pt>
                <c:pt idx="2850">
                  <c:v>1.1668999974285974E-2</c:v>
                </c:pt>
                <c:pt idx="2851">
                  <c:v>1.1662506698567573E-2</c:v>
                </c:pt>
                <c:pt idx="2852">
                  <c:v>1.1656802262595372E-2</c:v>
                </c:pt>
                <c:pt idx="2853">
                  <c:v>1.1650589011365136E-2</c:v>
                </c:pt>
                <c:pt idx="2854">
                  <c:v>1.1644532219096098E-2</c:v>
                </c:pt>
                <c:pt idx="2855">
                  <c:v>1.1638631884350718E-2</c:v>
                </c:pt>
                <c:pt idx="2856">
                  <c:v>1.1632888005729022E-2</c:v>
                </c:pt>
                <c:pt idx="2857">
                  <c:v>1.1626833011873021E-2</c:v>
                </c:pt>
                <c:pt idx="2858">
                  <c:v>1.1621435045316698E-2</c:v>
                </c:pt>
                <c:pt idx="2859">
                  <c:v>1.1616193545991376E-2</c:v>
                </c:pt>
                <c:pt idx="2860">
                  <c:v>1.1611108512632256E-2</c:v>
                </c:pt>
                <c:pt idx="2861">
                  <c:v>1.1606179944015806E-2</c:v>
                </c:pt>
                <c:pt idx="2862">
                  <c:v>1.1601407838951578E-2</c:v>
                </c:pt>
                <c:pt idx="2863">
                  <c:v>1.1596792196291244E-2</c:v>
                </c:pt>
                <c:pt idx="2864">
                  <c:v>1.1592333014920424E-2</c:v>
                </c:pt>
                <c:pt idx="2865">
                  <c:v>1.1588374082018345E-2</c:v>
                </c:pt>
                <c:pt idx="2866">
                  <c:v>1.1584172616601444E-2</c:v>
                </c:pt>
                <c:pt idx="2867">
                  <c:v>1.158012758436344E-2</c:v>
                </c:pt>
                <c:pt idx="2868">
                  <c:v>1.1576238984355698E-2</c:v>
                </c:pt>
                <c:pt idx="2869">
                  <c:v>1.157250681566536E-2</c:v>
                </c:pt>
                <c:pt idx="2870">
                  <c:v>1.1568915462442427E-2</c:v>
                </c:pt>
                <c:pt idx="2871">
                  <c:v>1.1565507218038363E-2</c:v>
                </c:pt>
                <c:pt idx="2872">
                  <c:v>1.1562255407425934E-2</c:v>
                </c:pt>
                <c:pt idx="2873">
                  <c:v>1.1559160029836962E-2</c:v>
                </c:pt>
                <c:pt idx="2874">
                  <c:v>1.1556192412629777E-2</c:v>
                </c:pt>
                <c:pt idx="2875">
                  <c:v>1.1553398814746811E-2</c:v>
                </c:pt>
                <c:pt idx="2876">
                  <c:v>1.1550761642825088E-2</c:v>
                </c:pt>
                <c:pt idx="2877">
                  <c:v>1.1548280896244555E-2</c:v>
                </c:pt>
                <c:pt idx="2878">
                  <c:v>1.1546029612993043E-2</c:v>
                </c:pt>
                <c:pt idx="2879">
                  <c:v>1.1543872819508135E-2</c:v>
                </c:pt>
                <c:pt idx="2880">
                  <c:v>1.1541872454711692E-2</c:v>
                </c:pt>
                <c:pt idx="2881">
                  <c:v>1.1540028518131563E-2</c:v>
                </c:pt>
                <c:pt idx="2882">
                  <c:v>1.153811270623782E-2</c:v>
                </c:pt>
                <c:pt idx="2883">
                  <c:v>1.1536473773002568E-2</c:v>
                </c:pt>
                <c:pt idx="2884">
                  <c:v>1.1535110335552556E-2</c:v>
                </c:pt>
                <c:pt idx="2885">
                  <c:v>1.1533903319772854E-2</c:v>
                </c:pt>
                <c:pt idx="2886">
                  <c:v>1.1532852725379936E-2</c:v>
                </c:pt>
                <c:pt idx="2887">
                  <c:v>1.1531958552127368E-2</c:v>
                </c:pt>
                <c:pt idx="2888">
                  <c:v>1.1531220799806697E-2</c:v>
                </c:pt>
                <c:pt idx="2889">
                  <c:v>1.1530639468243037E-2</c:v>
                </c:pt>
                <c:pt idx="2890">
                  <c:v>1.1530214557300803E-2</c:v>
                </c:pt>
                <c:pt idx="2891">
                  <c:v>1.1530829993896992E-2</c:v>
                </c:pt>
                <c:pt idx="2892">
                  <c:v>1.1530762606874759E-2</c:v>
                </c:pt>
                <c:pt idx="2893">
                  <c:v>1.1530851660282003E-2</c:v>
                </c:pt>
                <c:pt idx="2894">
                  <c:v>1.1531097154140326E-2</c:v>
                </c:pt>
                <c:pt idx="2895">
                  <c:v>1.1530700394538447E-2</c:v>
                </c:pt>
                <c:pt idx="2896">
                  <c:v>1.1532057463482858E-2</c:v>
                </c:pt>
                <c:pt idx="2897">
                  <c:v>1.1532659871761787E-2</c:v>
                </c:pt>
                <c:pt idx="2898">
                  <c:v>1.1533643535823998E-2</c:v>
                </c:pt>
                <c:pt idx="2899">
                  <c:v>1.1534671233570576E-2</c:v>
                </c:pt>
                <c:pt idx="2900">
                  <c:v>1.153585537268426E-2</c:v>
                </c:pt>
                <c:pt idx="2901">
                  <c:v>1.1537195953448062E-2</c:v>
                </c:pt>
                <c:pt idx="2902">
                  <c:v>1.1538692976184754E-2</c:v>
                </c:pt>
                <c:pt idx="2903">
                  <c:v>1.1540346441252106E-2</c:v>
                </c:pt>
                <c:pt idx="2904">
                  <c:v>1.15421563490472E-2</c:v>
                </c:pt>
                <c:pt idx="2905">
                  <c:v>1.1544122700003425E-2</c:v>
                </c:pt>
                <c:pt idx="2906">
                  <c:v>1.1546245494592183E-2</c:v>
                </c:pt>
                <c:pt idx="2907">
                  <c:v>1.1548524733323772E-2</c:v>
                </c:pt>
                <c:pt idx="2908">
                  <c:v>1.1550960416743484E-2</c:v>
                </c:pt>
                <c:pt idx="2909">
                  <c:v>1.1553552545434635E-2</c:v>
                </c:pt>
                <c:pt idx="2910">
                  <c:v>1.1556301120020297E-2</c:v>
                </c:pt>
                <c:pt idx="2911">
                  <c:v>1.1559206141158535E-2</c:v>
                </c:pt>
                <c:pt idx="2912">
                  <c:v>1.1562267609546309E-2</c:v>
                </c:pt>
                <c:pt idx="2913">
                  <c:v>1.1565485525917298E-2</c:v>
                </c:pt>
                <c:pt idx="2914">
                  <c:v>1.156885989104321E-2</c:v>
                </c:pt>
                <c:pt idx="2915">
                  <c:v>1.1572390705732915E-2</c:v>
                </c:pt>
                <c:pt idx="2916">
                  <c:v>1.1576077970832868E-2</c:v>
                </c:pt>
                <c:pt idx="2917">
                  <c:v>1.1578380886106196E-2</c:v>
                </c:pt>
                <c:pt idx="2918">
                  <c:v>1.1582347147207286E-2</c:v>
                </c:pt>
                <c:pt idx="2919">
                  <c:v>1.1586469846071779E-2</c:v>
                </c:pt>
                <c:pt idx="2920">
                  <c:v>1.1590748983671644E-2</c:v>
                </c:pt>
                <c:pt idx="2921">
                  <c:v>1.1596861084745958E-2</c:v>
                </c:pt>
                <c:pt idx="2922">
                  <c:v>1.1602059422568747E-2</c:v>
                </c:pt>
                <c:pt idx="2923">
                  <c:v>1.1606269517014467E-2</c:v>
                </c:pt>
                <c:pt idx="2924">
                  <c:v>1.1611208420375994E-2</c:v>
                </c:pt>
                <c:pt idx="2925">
                  <c:v>1.1616303783454487E-2</c:v>
                </c:pt>
                <c:pt idx="2926">
                  <c:v>1.161970908182725E-2</c:v>
                </c:pt>
                <c:pt idx="2927">
                  <c:v>1.1625083320904747E-2</c:v>
                </c:pt>
                <c:pt idx="2928">
                  <c:v>1.1630614007825934E-2</c:v>
                </c:pt>
                <c:pt idx="2929">
                  <c:v>1.1636301143895703E-2</c:v>
                </c:pt>
                <c:pt idx="2930">
                  <c:v>1.1642144730454957E-2</c:v>
                </c:pt>
                <c:pt idx="2931">
                  <c:v>1.1650161687034956E-2</c:v>
                </c:pt>
                <c:pt idx="2932">
                  <c:v>1.1656352304444787E-2</c:v>
                </c:pt>
                <c:pt idx="2933">
                  <c:v>1.166269939239579E-2</c:v>
                </c:pt>
                <c:pt idx="2934">
                  <c:v>1.1669904105994283E-2</c:v>
                </c:pt>
                <c:pt idx="2935">
                  <c:v>1.1676597020214048E-2</c:v>
                </c:pt>
                <c:pt idx="2936">
                  <c:v>1.1683446394428663E-2</c:v>
                </c:pt>
                <c:pt idx="2937">
                  <c:v>1.16904522302531E-2</c:v>
                </c:pt>
                <c:pt idx="2938">
                  <c:v>1.1697614529340981E-2</c:v>
                </c:pt>
                <c:pt idx="2939">
                  <c:v>1.1704933293381065E-2</c:v>
                </c:pt>
                <c:pt idx="2940">
                  <c:v>1.1712408524099884E-2</c:v>
                </c:pt>
                <c:pt idx="2941">
                  <c:v>1.1720040223260422E-2</c:v>
                </c:pt>
                <c:pt idx="2942">
                  <c:v>1.1727828392663437E-2</c:v>
                </c:pt>
                <c:pt idx="2943">
                  <c:v>1.1737400046880089E-2</c:v>
                </c:pt>
                <c:pt idx="2944">
                  <c:v>1.1745524044621139E-2</c:v>
                </c:pt>
                <c:pt idx="2945">
                  <c:v>1.1753804529061874E-2</c:v>
                </c:pt>
                <c:pt idx="2946">
                  <c:v>1.1762241502177235E-2</c:v>
                </c:pt>
                <c:pt idx="2947">
                  <c:v>1.1769975106349308E-2</c:v>
                </c:pt>
                <c:pt idx="2948">
                  <c:v>1.1781239054795629E-2</c:v>
                </c:pt>
                <c:pt idx="2949">
                  <c:v>1.1787608582181159E-2</c:v>
                </c:pt>
                <c:pt idx="2950">
                  <c:v>1.1796660056230568E-2</c:v>
                </c:pt>
                <c:pt idx="2951">
                  <c:v>1.1805868023885372E-2</c:v>
                </c:pt>
                <c:pt idx="2952">
                  <c:v>1.1817501915316561E-2</c:v>
                </c:pt>
                <c:pt idx="2953">
                  <c:v>1.182705672541577E-2</c:v>
                </c:pt>
                <c:pt idx="2954">
                  <c:v>1.1836768041658676E-2</c:v>
                </c:pt>
                <c:pt idx="2955">
                  <c:v>1.184663586636212E-2</c:v>
                </c:pt>
                <c:pt idx="2956">
                  <c:v>1.1855695329916519E-2</c:v>
                </c:pt>
                <c:pt idx="2957">
                  <c:v>1.1865864664745608E-2</c:v>
                </c:pt>
                <c:pt idx="2958">
                  <c:v>1.1876190509594939E-2</c:v>
                </c:pt>
                <c:pt idx="2959">
                  <c:v>1.1886672866914577E-2</c:v>
                </c:pt>
                <c:pt idx="2960">
                  <c:v>1.1899334784483136E-2</c:v>
                </c:pt>
                <c:pt idx="2961">
                  <c:v>1.1909129626644439E-2</c:v>
                </c:pt>
                <c:pt idx="2962">
                  <c:v>1.1920093078552931E-2</c:v>
                </c:pt>
                <c:pt idx="2963">
                  <c:v>1.1931213058793895E-2</c:v>
                </c:pt>
                <c:pt idx="2964">
                  <c:v>1.1942489570019553E-2</c:v>
                </c:pt>
                <c:pt idx="2965">
                  <c:v>1.195392261491819E-2</c:v>
                </c:pt>
                <c:pt idx="2966">
                  <c:v>1.1965512196217193E-2</c:v>
                </c:pt>
                <c:pt idx="2967">
                  <c:v>1.1977258316680868E-2</c:v>
                </c:pt>
                <c:pt idx="2968">
                  <c:v>1.1989160979110892E-2</c:v>
                </c:pt>
                <c:pt idx="2969">
                  <c:v>1.1997878591296935E-2</c:v>
                </c:pt>
                <c:pt idx="2970">
                  <c:v>1.2010059584234787E-2</c:v>
                </c:pt>
                <c:pt idx="2971">
                  <c:v>1.2022397110262775E-2</c:v>
                </c:pt>
                <c:pt idx="2972">
                  <c:v>1.2034891172275379E-2</c:v>
                </c:pt>
                <c:pt idx="2973">
                  <c:v>1.2048700889269466E-2</c:v>
                </c:pt>
                <c:pt idx="2974">
                  <c:v>1.2061519642013144E-2</c:v>
                </c:pt>
                <c:pt idx="2975">
                  <c:v>1.2074494945554201E-2</c:v>
                </c:pt>
                <c:pt idx="2976">
                  <c:v>1.2087626802952171E-2</c:v>
                </c:pt>
                <c:pt idx="2977">
                  <c:v>1.210091521730655E-2</c:v>
                </c:pt>
                <c:pt idx="2978">
                  <c:v>1.2113142966752045E-2</c:v>
                </c:pt>
                <c:pt idx="2979">
                  <c:v>1.2126732864790329E-2</c:v>
                </c:pt>
                <c:pt idx="2980">
                  <c:v>1.2140479323292212E-2</c:v>
                </c:pt>
                <c:pt idx="2981">
                  <c:v>1.2154382345483399E-2</c:v>
                </c:pt>
                <c:pt idx="2982">
                  <c:v>1.2169705754433375E-2</c:v>
                </c:pt>
                <c:pt idx="2983">
                  <c:v>1.2183933577649662E-2</c:v>
                </c:pt>
                <c:pt idx="2984">
                  <c:v>1.2198317980542207E-2</c:v>
                </c:pt>
                <c:pt idx="2985">
                  <c:v>1.2212858966504779E-2</c:v>
                </c:pt>
                <c:pt idx="2986">
                  <c:v>1.2228356793823997E-2</c:v>
                </c:pt>
                <c:pt idx="2987">
                  <c:v>1.2243221175439077E-2</c:v>
                </c:pt>
                <c:pt idx="2988">
                  <c:v>1.2258236683351046E-2</c:v>
                </c:pt>
                <c:pt idx="2989">
                  <c:v>1.2273395745761691E-2</c:v>
                </c:pt>
                <c:pt idx="2990">
                  <c:v>1.2288690761114942E-2</c:v>
                </c:pt>
                <c:pt idx="2991">
                  <c:v>1.2304114127648926E-2</c:v>
                </c:pt>
                <c:pt idx="2992">
                  <c:v>1.2319658243395086E-2</c:v>
                </c:pt>
                <c:pt idx="2993">
                  <c:v>1.2335315506170671E-2</c:v>
                </c:pt>
                <c:pt idx="2994">
                  <c:v>1.235107831357388E-2</c:v>
                </c:pt>
                <c:pt idx="2995">
                  <c:v>1.2371081100236438E-2</c:v>
                </c:pt>
                <c:pt idx="2996">
                  <c:v>1.2387042429976956E-2</c:v>
                </c:pt>
                <c:pt idx="2997">
                  <c:v>1.2403084504813736E-2</c:v>
                </c:pt>
                <c:pt idx="2998">
                  <c:v>1.2419199844635031E-2</c:v>
                </c:pt>
                <c:pt idx="2999">
                  <c:v>1.2436306821405483E-2</c:v>
                </c:pt>
                <c:pt idx="3000">
                  <c:v>1.245255307192872E-2</c:v>
                </c:pt>
                <c:pt idx="3001">
                  <c:v>1.2468849565107023E-2</c:v>
                </c:pt>
                <c:pt idx="3002">
                  <c:v>1.2485188779217253E-2</c:v>
                </c:pt>
                <c:pt idx="3003">
                  <c:v>1.2501563192291664E-2</c:v>
                </c:pt>
                <c:pt idx="3004">
                  <c:v>1.2522136869951975E-2</c:v>
                </c:pt>
                <c:pt idx="3005">
                  <c:v>1.2538555662679097E-2</c:v>
                </c:pt>
                <c:pt idx="3006">
                  <c:v>1.2554986240979596E-2</c:v>
                </c:pt>
                <c:pt idx="3007">
                  <c:v>1.2571421202432861E-2</c:v>
                </c:pt>
                <c:pt idx="3008">
                  <c:v>1.2583699955888587E-2</c:v>
                </c:pt>
                <c:pt idx="3009">
                  <c:v>1.2600127587521739E-2</c:v>
                </c:pt>
                <c:pt idx="3010">
                  <c:v>1.2616537757384281E-2</c:v>
                </c:pt>
                <c:pt idx="3011">
                  <c:v>1.2637056822627678E-2</c:v>
                </c:pt>
                <c:pt idx="3012">
                  <c:v>1.2653402654801934E-2</c:v>
                </c:pt>
                <c:pt idx="3013">
                  <c:v>1.2669709684217332E-2</c:v>
                </c:pt>
                <c:pt idx="3014">
                  <c:v>1.2685976676039705E-2</c:v>
                </c:pt>
                <c:pt idx="3015">
                  <c:v>1.2702203629262545E-2</c:v>
                </c:pt>
                <c:pt idx="3016">
                  <c:v>1.2714290974528343E-2</c:v>
                </c:pt>
                <c:pt idx="3017">
                  <c:v>1.273453741590423E-2</c:v>
                </c:pt>
                <c:pt idx="3018">
                  <c:v>1.2750644247324673E-2</c:v>
                </c:pt>
                <c:pt idx="3019">
                  <c:v>1.2766711036150069E-2</c:v>
                </c:pt>
                <c:pt idx="3020">
                  <c:v>1.2778665720182252E-2</c:v>
                </c:pt>
                <c:pt idx="3021">
                  <c:v>1.2791948247728615E-2</c:v>
                </c:pt>
                <c:pt idx="3022">
                  <c:v>1.2807906377291154E-2</c:v>
                </c:pt>
                <c:pt idx="3023">
                  <c:v>1.2823824464247556E-2</c:v>
                </c:pt>
                <c:pt idx="3024">
                  <c:v>1.2839702507639472E-2</c:v>
                </c:pt>
                <c:pt idx="3025">
                  <c:v>1.2856886944411314E-2</c:v>
                </c:pt>
                <c:pt idx="3026">
                  <c:v>1.287268259991709E-2</c:v>
                </c:pt>
                <c:pt idx="3027">
                  <c:v>1.2888438208193159E-2</c:v>
                </c:pt>
                <c:pt idx="3028">
                  <c:v>1.2904153768288193E-2</c:v>
                </c:pt>
                <c:pt idx="3029">
                  <c:v>1.2919829279249987E-2</c:v>
                </c:pt>
                <c:pt idx="3030">
                  <c:v>1.2934129799848992E-2</c:v>
                </c:pt>
                <c:pt idx="3031">
                  <c:v>1.2949727511692878E-2</c:v>
                </c:pt>
                <c:pt idx="3032">
                  <c:v>1.2965285172400875E-2</c:v>
                </c:pt>
                <c:pt idx="3033">
                  <c:v>1.2980802781037599E-2</c:v>
                </c:pt>
                <c:pt idx="3034">
                  <c:v>1.2997606063982189E-2</c:v>
                </c:pt>
                <c:pt idx="3035">
                  <c:v>1.3013041260328302E-2</c:v>
                </c:pt>
                <c:pt idx="3036">
                  <c:v>1.3028436400956991E-2</c:v>
                </c:pt>
                <c:pt idx="3037">
                  <c:v>1.3043791484938011E-2</c:v>
                </c:pt>
                <c:pt idx="3038">
                  <c:v>1.305779001057664E-2</c:v>
                </c:pt>
                <c:pt idx="3039">
                  <c:v>1.3073067287272496E-2</c:v>
                </c:pt>
                <c:pt idx="3040">
                  <c:v>1.3088304505414752E-2</c:v>
                </c:pt>
                <c:pt idx="3041">
                  <c:v>1.3103501664088336E-2</c:v>
                </c:pt>
                <c:pt idx="3042">
                  <c:v>1.3118658762377298E-2</c:v>
                </c:pt>
                <c:pt idx="3043">
                  <c:v>1.3133775799369661E-2</c:v>
                </c:pt>
                <c:pt idx="3044">
                  <c:v>1.3148852774159185E-2</c:v>
                </c:pt>
                <c:pt idx="3045">
                  <c:v>1.3163889685836545E-2</c:v>
                </c:pt>
                <c:pt idx="3046">
                  <c:v>1.3178886533497712E-2</c:v>
                </c:pt>
                <c:pt idx="3047">
                  <c:v>1.3200319866354141E-2</c:v>
                </c:pt>
                <c:pt idx="3048">
                  <c:v>1.3215224998056356E-2</c:v>
                </c:pt>
                <c:pt idx="3049">
                  <c:v>1.3230090058451436E-2</c:v>
                </c:pt>
                <c:pt idx="3050">
                  <c:v>1.324491504662184E-2</c:v>
                </c:pt>
                <c:pt idx="3051">
                  <c:v>1.3255842423651307E-2</c:v>
                </c:pt>
                <c:pt idx="3052">
                  <c:v>1.3270594227197447E-2</c:v>
                </c:pt>
                <c:pt idx="3053">
                  <c:v>1.3285305958591653E-2</c:v>
                </c:pt>
                <c:pt idx="3054">
                  <c:v>1.3299977616938463E-2</c:v>
                </c:pt>
                <c:pt idx="3055">
                  <c:v>1.3314609201347227E-2</c:v>
                </c:pt>
                <c:pt idx="3056">
                  <c:v>1.3333023407772955E-2</c:v>
                </c:pt>
                <c:pt idx="3057">
                  <c:v>1.3347567864849089E-2</c:v>
                </c:pt>
                <c:pt idx="3058">
                  <c:v>1.3362072242438398E-2</c:v>
                </c:pt>
                <c:pt idx="3059">
                  <c:v>1.3376536539645253E-2</c:v>
                </c:pt>
                <c:pt idx="3060">
                  <c:v>1.3387165983247917E-2</c:v>
                </c:pt>
                <c:pt idx="3061">
                  <c:v>1.3401557105422075E-2</c:v>
                </c:pt>
                <c:pt idx="3062">
                  <c:v>1.3415908147480395E-2</c:v>
                </c:pt>
                <c:pt idx="3063">
                  <c:v>1.343021910854926E-2</c:v>
                </c:pt>
                <c:pt idx="3064">
                  <c:v>1.3448256788732847E-2</c:v>
                </c:pt>
                <c:pt idx="3065">
                  <c:v>1.3462480584954983E-2</c:v>
                </c:pt>
                <c:pt idx="3066">
                  <c:v>1.3476664294587588E-2</c:v>
                </c:pt>
                <c:pt idx="3067">
                  <c:v>1.3490807916754803E-2</c:v>
                </c:pt>
                <c:pt idx="3068">
                  <c:v>1.3504911450581627E-2</c:v>
                </c:pt>
                <c:pt idx="3069">
                  <c:v>1.3518974895196932E-2</c:v>
                </c:pt>
                <c:pt idx="3070">
                  <c:v>1.3532998249731304E-2</c:v>
                </c:pt>
                <c:pt idx="3071">
                  <c:v>1.354698151331791E-2</c:v>
                </c:pt>
                <c:pt idx="3072">
                  <c:v>1.3560924685092067E-2</c:v>
                </c:pt>
                <c:pt idx="3073">
                  <c:v>1.356865398363169E-2</c:v>
                </c:pt>
                <c:pt idx="3074">
                  <c:v>1.358252868143209E-2</c:v>
                </c:pt>
                <c:pt idx="3075">
                  <c:v>1.3596363290036438E-2</c:v>
                </c:pt>
                <c:pt idx="3076">
                  <c:v>1.3610157808611368E-2</c:v>
                </c:pt>
                <c:pt idx="3077">
                  <c:v>1.362513800321522E-2</c:v>
                </c:pt>
                <c:pt idx="3078">
                  <c:v>1.3638849992873223E-2</c:v>
                </c:pt>
                <c:pt idx="3079">
                  <c:v>1.3652521888965834E-2</c:v>
                </c:pt>
                <c:pt idx="3080">
                  <c:v>1.3666153690664706E-2</c:v>
                </c:pt>
                <c:pt idx="3081">
                  <c:v>1.3679745397145882E-2</c:v>
                </c:pt>
                <c:pt idx="3082">
                  <c:v>1.3692082983155343E-2</c:v>
                </c:pt>
                <c:pt idx="3083">
                  <c:v>1.3705596848429012E-2</c:v>
                </c:pt>
                <c:pt idx="3084">
                  <c:v>1.3719070617102607E-2</c:v>
                </c:pt>
                <c:pt idx="3085">
                  <c:v>1.3732504288366169E-2</c:v>
                </c:pt>
                <c:pt idx="3086">
                  <c:v>1.3747102472596756E-2</c:v>
                </c:pt>
                <c:pt idx="3087">
                  <c:v>1.3760453590591217E-2</c:v>
                </c:pt>
                <c:pt idx="3088">
                  <c:v>1.3773764607664852E-2</c:v>
                </c:pt>
                <c:pt idx="3089">
                  <c:v>1.3787035523010836E-2</c:v>
                </c:pt>
                <c:pt idx="3090">
                  <c:v>1.3800266335827168E-2</c:v>
                </c:pt>
                <c:pt idx="3091">
                  <c:v>1.3812264225242307E-2</c:v>
                </c:pt>
                <c:pt idx="3092">
                  <c:v>1.3825417192141367E-2</c:v>
                </c:pt>
                <c:pt idx="3093">
                  <c:v>1.3838530055231531E-2</c:v>
                </c:pt>
                <c:pt idx="3094">
                  <c:v>1.3851602813724927E-2</c:v>
                </c:pt>
                <c:pt idx="3095">
                  <c:v>1.3864635466835881E-2</c:v>
                </c:pt>
                <c:pt idx="3096">
                  <c:v>1.3877628013779167E-2</c:v>
                </c:pt>
                <c:pt idx="3097">
                  <c:v>1.3890580453774413E-2</c:v>
                </c:pt>
                <c:pt idx="3098">
                  <c:v>1.3903492786040368E-2</c:v>
                </c:pt>
                <c:pt idx="3099">
                  <c:v>1.392223252746414E-2</c:v>
                </c:pt>
                <c:pt idx="3100">
                  <c:v>1.3935052787619123E-2</c:v>
                </c:pt>
                <c:pt idx="3101">
                  <c:v>1.3947832931971382E-2</c:v>
                </c:pt>
                <c:pt idx="3102">
                  <c:v>1.3960572959732303E-2</c:v>
                </c:pt>
                <c:pt idx="3103">
                  <c:v>1.3969781421522004E-2</c:v>
                </c:pt>
                <c:pt idx="3104">
                  <c:v>1.3982448340645227E-2</c:v>
                </c:pt>
                <c:pt idx="3105">
                  <c:v>1.3995075144322184E-2</c:v>
                </c:pt>
                <c:pt idx="3106">
                  <c:v>1.4007661831784967E-2</c:v>
                </c:pt>
                <c:pt idx="3107">
                  <c:v>1.4020208402267845E-2</c:v>
                </c:pt>
                <c:pt idx="3108">
                  <c:v>1.4036170633937224E-2</c:v>
                </c:pt>
                <c:pt idx="3109">
                  <c:v>1.4048629823641249E-2</c:v>
                </c:pt>
                <c:pt idx="3110">
                  <c:v>1.4061048890521932E-2</c:v>
                </c:pt>
                <c:pt idx="3111">
                  <c:v>1.4073427833811712E-2</c:v>
                </c:pt>
                <c:pt idx="3112">
                  <c:v>1.4082339473363261E-2</c:v>
                </c:pt>
                <c:pt idx="3113">
                  <c:v>1.409464532602713E-2</c:v>
                </c:pt>
                <c:pt idx="3114">
                  <c:v>1.4106911056420465E-2</c:v>
                </c:pt>
                <c:pt idx="3115">
                  <c:v>1.4119136663797197E-2</c:v>
                </c:pt>
                <c:pt idx="3116">
                  <c:v>1.4131322147413004E-2</c:v>
                </c:pt>
                <c:pt idx="3117">
                  <c:v>1.4146858855452605E-2</c:v>
                </c:pt>
                <c:pt idx="3118">
                  <c:v>1.4158956912314719E-2</c:v>
                </c:pt>
                <c:pt idx="3119">
                  <c:v>1.4171014839532281E-2</c:v>
                </c:pt>
                <c:pt idx="3120">
                  <c:v>1.4183032636360079E-2</c:v>
                </c:pt>
                <c:pt idx="3121">
                  <c:v>1.419501030205505E-2</c:v>
                </c:pt>
                <c:pt idx="3122">
                  <c:v>1.4206947835876714E-2</c:v>
                </c:pt>
                <c:pt idx="3123">
                  <c:v>1.4218845237087165E-2</c:v>
                </c:pt>
                <c:pt idx="3124">
                  <c:v>1.4230702504951077E-2</c:v>
                </c:pt>
                <c:pt idx="3125">
                  <c:v>1.4238074132167848E-2</c:v>
                </c:pt>
                <c:pt idx="3126">
                  <c:v>1.4249860739723745E-2</c:v>
                </c:pt>
                <c:pt idx="3127">
                  <c:v>1.4261607216750414E-2</c:v>
                </c:pt>
                <c:pt idx="3128">
                  <c:v>1.4273313562539847E-2</c:v>
                </c:pt>
                <c:pt idx="3129">
                  <c:v>1.4284979776381407E-2</c:v>
                </c:pt>
                <c:pt idx="3130">
                  <c:v>1.4297705512542686E-2</c:v>
                </c:pt>
                <c:pt idx="3131">
                  <c:v>1.4309289052170942E-2</c:v>
                </c:pt>
                <c:pt idx="3132">
                  <c:v>1.4325209791512361E-2</c:v>
                </c:pt>
                <c:pt idx="3133">
                  <c:v>1.4332335724741302E-2</c:v>
                </c:pt>
                <c:pt idx="3134">
                  <c:v>1.4342708841768782E-2</c:v>
                </c:pt>
                <c:pt idx="3135">
                  <c:v>1.4354134249192459E-2</c:v>
                </c:pt>
                <c:pt idx="3136">
                  <c:v>1.4365519519779425E-2</c:v>
                </c:pt>
                <c:pt idx="3137">
                  <c:v>1.4376864652841437E-2</c:v>
                </c:pt>
                <c:pt idx="3138">
                  <c:v>1.4389250001241282E-2</c:v>
                </c:pt>
                <c:pt idx="3139">
                  <c:v>1.4400512438723574E-2</c:v>
                </c:pt>
                <c:pt idx="3140">
                  <c:v>1.4411734735328575E-2</c:v>
                </c:pt>
                <c:pt idx="3141">
                  <c:v>1.4422916890374428E-2</c:v>
                </c:pt>
                <c:pt idx="3142">
                  <c:v>1.4434058903180585E-2</c:v>
                </c:pt>
                <c:pt idx="3143">
                  <c:v>1.4444092524910251E-2</c:v>
                </c:pt>
                <c:pt idx="3144">
                  <c:v>1.445515667621089E-2</c:v>
                </c:pt>
                <c:pt idx="3145">
                  <c:v>1.4466180684562782E-2</c:v>
                </c:pt>
                <c:pt idx="3146">
                  <c:v>1.4477164549299209E-2</c:v>
                </c:pt>
                <c:pt idx="3147">
                  <c:v>1.448810826975565E-2</c:v>
                </c:pt>
                <c:pt idx="3148">
                  <c:v>1.4499011845269336E-2</c:v>
                </c:pt>
                <c:pt idx="3149">
                  <c:v>1.4509875275181452E-2</c:v>
                </c:pt>
                <c:pt idx="3150">
                  <c:v>1.4520698558834066E-2</c:v>
                </c:pt>
                <c:pt idx="3151">
                  <c:v>1.4535675712234731E-2</c:v>
                </c:pt>
                <c:pt idx="3152">
                  <c:v>1.454640895780104E-2</c:v>
                </c:pt>
                <c:pt idx="3153">
                  <c:v>1.4557102049768192E-2</c:v>
                </c:pt>
                <c:pt idx="3154">
                  <c:v>1.4567754987472635E-2</c:v>
                </c:pt>
                <c:pt idx="3155">
                  <c:v>1.4575251820746319E-2</c:v>
                </c:pt>
                <c:pt idx="3156">
                  <c:v>1.4585831772132993E-2</c:v>
                </c:pt>
                <c:pt idx="3157">
                  <c:v>1.45963715713679E-2</c:v>
                </c:pt>
                <c:pt idx="3158">
                  <c:v>1.4606871217810241E-2</c:v>
                </c:pt>
                <c:pt idx="3159">
                  <c:v>1.4617330710822272E-2</c:v>
                </c:pt>
                <c:pt idx="3160">
                  <c:v>1.4631287614195189E-2</c:v>
                </c:pt>
                <c:pt idx="3161">
                  <c:v>1.4641656165335023E-2</c:v>
                </c:pt>
                <c:pt idx="3162">
                  <c:v>1.4651984558299263E-2</c:v>
                </c:pt>
                <c:pt idx="3163">
                  <c:v>1.4662272792452306E-2</c:v>
                </c:pt>
                <c:pt idx="3164">
                  <c:v>1.4672520867161146E-2</c:v>
                </c:pt>
                <c:pt idx="3165">
                  <c:v>1.4682728781795801E-2</c:v>
                </c:pt>
                <c:pt idx="3166">
                  <c:v>1.4692896535728018E-2</c:v>
                </c:pt>
                <c:pt idx="3167">
                  <c:v>1.4703024128332997E-2</c:v>
                </c:pt>
                <c:pt idx="3168">
                  <c:v>1.4713111558987239E-2</c:v>
                </c:pt>
                <c:pt idx="3169">
                  <c:v>1.472315882707113E-2</c:v>
                </c:pt>
                <c:pt idx="3170">
                  <c:v>1.4733165931965922E-2</c:v>
                </c:pt>
                <c:pt idx="3171">
                  <c:v>1.4743132873056756E-2</c:v>
                </c:pt>
                <c:pt idx="3172">
                  <c:v>1.4753059649730067E-2</c:v>
                </c:pt>
                <c:pt idx="3173">
                  <c:v>1.4762946261375752E-2</c:v>
                </c:pt>
                <c:pt idx="3174">
                  <c:v>1.477279270738543E-2</c:v>
                </c:pt>
                <c:pt idx="3175">
                  <c:v>1.4782598987152883E-2</c:v>
                </c:pt>
                <c:pt idx="3176">
                  <c:v>1.4792365100076215E-2</c:v>
                </c:pt>
                <c:pt idx="3177">
                  <c:v>1.4798152722185326E-2</c:v>
                </c:pt>
                <c:pt idx="3178">
                  <c:v>1.4807848387565721E-2</c:v>
                </c:pt>
                <c:pt idx="3179">
                  <c:v>1.4817503890026496E-2</c:v>
                </c:pt>
                <c:pt idx="3180">
                  <c:v>1.4827119228988224E-2</c:v>
                </c:pt>
                <c:pt idx="3181">
                  <c:v>1.4837669403135998E-2</c:v>
                </c:pt>
                <c:pt idx="3182">
                  <c:v>1.4847201935919787E-2</c:v>
                </c:pt>
                <c:pt idx="3183">
                  <c:v>1.4860572370186566E-2</c:v>
                </c:pt>
                <c:pt idx="3184">
                  <c:v>1.4866146500903347E-2</c:v>
                </c:pt>
                <c:pt idx="3185">
                  <c:v>1.4875558531955905E-2</c:v>
                </c:pt>
                <c:pt idx="3186">
                  <c:v>1.4883967797020238E-2</c:v>
                </c:pt>
                <c:pt idx="3187">
                  <c:v>1.4893301975414433E-2</c:v>
                </c:pt>
                <c:pt idx="3188">
                  <c:v>1.4902595985747483E-2</c:v>
                </c:pt>
                <c:pt idx="3189">
                  <c:v>1.491184982745984E-2</c:v>
                </c:pt>
                <c:pt idx="3190">
                  <c:v>1.4922016150122872E-2</c:v>
                </c:pt>
                <c:pt idx="3191">
                  <c:v>1.4931187162400822E-2</c:v>
                </c:pt>
                <c:pt idx="3192">
                  <c:v>1.4940318002926693E-2</c:v>
                </c:pt>
                <c:pt idx="3193">
                  <c:v>1.494940867114752E-2</c:v>
                </c:pt>
                <c:pt idx="3194">
                  <c:v>1.4959500186348021E-2</c:v>
                </c:pt>
                <c:pt idx="3195">
                  <c:v>1.4971318756917379E-2</c:v>
                </c:pt>
                <c:pt idx="3196">
                  <c:v>1.498027168736054E-2</c:v>
                </c:pt>
                <c:pt idx="3197">
                  <c:v>1.4989184443080811E-2</c:v>
                </c:pt>
                <c:pt idx="3198">
                  <c:v>1.4998057023538845E-2</c:v>
                </c:pt>
                <c:pt idx="3199">
                  <c:v>1.5006889428199244E-2</c:v>
                </c:pt>
                <c:pt idx="3200">
                  <c:v>1.5015681656525297E-2</c:v>
                </c:pt>
                <c:pt idx="3201">
                  <c:v>1.5024433707986439E-2</c:v>
                </c:pt>
                <c:pt idx="3202">
                  <c:v>1.5033145582052541E-2</c:v>
                </c:pt>
                <c:pt idx="3203">
                  <c:v>1.5043654800384249E-2</c:v>
                </c:pt>
                <c:pt idx="3204">
                  <c:v>1.5052281296536005E-2</c:v>
                </c:pt>
                <c:pt idx="3205">
                  <c:v>1.5060867610706541E-2</c:v>
                </c:pt>
                <c:pt idx="3206">
                  <c:v>1.5069413742368887E-2</c:v>
                </c:pt>
                <c:pt idx="3207">
                  <c:v>1.5077011089598009E-2</c:v>
                </c:pt>
                <c:pt idx="3208">
                  <c:v>1.5085479371593642E-2</c:v>
                </c:pt>
                <c:pt idx="3209">
                  <c:v>1.5096308118910622E-2</c:v>
                </c:pt>
                <c:pt idx="3210">
                  <c:v>1.5102295387418486E-2</c:v>
                </c:pt>
                <c:pt idx="3211">
                  <c:v>1.511064312022469E-2</c:v>
                </c:pt>
                <c:pt idx="3212">
                  <c:v>1.5119846670581191E-2</c:v>
                </c:pt>
                <c:pt idx="3213">
                  <c:v>1.5128111510189973E-2</c:v>
                </c:pt>
                <c:pt idx="3214">
                  <c:v>1.5136336163176899E-2</c:v>
                </c:pt>
                <c:pt idx="3215">
                  <c:v>1.5144520629038894E-2</c:v>
                </c:pt>
                <c:pt idx="3216">
                  <c:v>1.5151779012944814E-2</c:v>
                </c:pt>
                <c:pt idx="3217">
                  <c:v>1.5159885633722314E-2</c:v>
                </c:pt>
                <c:pt idx="3218">
                  <c:v>1.5167952067420797E-2</c:v>
                </c:pt>
                <c:pt idx="3219">
                  <c:v>1.5175978313549721E-2</c:v>
                </c:pt>
                <c:pt idx="3220">
                  <c:v>1.5185715678695165E-2</c:v>
                </c:pt>
                <c:pt idx="3221">
                  <c:v>1.5192783466727831E-2</c:v>
                </c:pt>
                <c:pt idx="3222">
                  <c:v>1.5200686608834229E-2</c:v>
                </c:pt>
                <c:pt idx="3223">
                  <c:v>1.520854955987928E-2</c:v>
                </c:pt>
                <c:pt idx="3224">
                  <c:v>1.5216372319382063E-2</c:v>
                </c:pt>
                <c:pt idx="3225">
                  <c:v>1.522415488686296E-2</c:v>
                </c:pt>
                <c:pt idx="3226">
                  <c:v>1.5231897261845833E-2</c:v>
                </c:pt>
                <c:pt idx="3227">
                  <c:v>1.5239599443858014E-2</c:v>
                </c:pt>
                <c:pt idx="3228">
                  <c:v>1.5247261432427274E-2</c:v>
                </c:pt>
                <c:pt idx="3229">
                  <c:v>1.5253177257856798E-2</c:v>
                </c:pt>
                <c:pt idx="3230">
                  <c:v>1.5260763959700255E-2</c:v>
                </c:pt>
                <c:pt idx="3231">
                  <c:v>1.526831046984627E-2</c:v>
                </c:pt>
                <c:pt idx="3232">
                  <c:v>1.5275816787838504E-2</c:v>
                </c:pt>
                <c:pt idx="3233">
                  <c:v>1.5279909180297816E-2</c:v>
                </c:pt>
                <c:pt idx="3234">
                  <c:v>1.5290708845548133E-2</c:v>
                </c:pt>
                <c:pt idx="3235">
                  <c:v>1.5298094584362956E-2</c:v>
                </c:pt>
                <c:pt idx="3236">
                  <c:v>1.530544012922236E-2</c:v>
                </c:pt>
                <c:pt idx="3237">
                  <c:v>1.5312745479680111E-2</c:v>
                </c:pt>
                <c:pt idx="3238">
                  <c:v>1.5320010635295683E-2</c:v>
                </c:pt>
                <c:pt idx="3239">
                  <c:v>1.5327235595628109E-2</c:v>
                </c:pt>
                <c:pt idx="3240">
                  <c:v>1.5334420360240814E-2</c:v>
                </c:pt>
                <c:pt idx="3241">
                  <c:v>1.5341564928698545E-2</c:v>
                </c:pt>
                <c:pt idx="3242">
                  <c:v>1.5348669300569556E-2</c:v>
                </c:pt>
                <c:pt idx="3243">
                  <c:v>1.5355733475422986E-2</c:v>
                </c:pt>
                <c:pt idx="3244">
                  <c:v>1.5362757452831921E-2</c:v>
                </c:pt>
                <c:pt idx="3245">
                  <c:v>1.5369741232370329E-2</c:v>
                </c:pt>
                <c:pt idx="3246">
                  <c:v>1.537686409966477E-2</c:v>
                </c:pt>
                <c:pt idx="3247">
                  <c:v>1.5383764354167804E-2</c:v>
                </c:pt>
                <c:pt idx="3248">
                  <c:v>1.5390624847971351E-2</c:v>
                </c:pt>
                <c:pt idx="3249">
                  <c:v>1.5397446186629917E-2</c:v>
                </c:pt>
                <c:pt idx="3250">
                  <c:v>1.540422897807091E-2</c:v>
                </c:pt>
                <c:pt idx="3251">
                  <c:v>1.5410973830232782E-2</c:v>
                </c:pt>
                <c:pt idx="3252">
                  <c:v>1.5417681351063256E-2</c:v>
                </c:pt>
                <c:pt idx="3253">
                  <c:v>1.5424352148521543E-2</c:v>
                </c:pt>
                <c:pt idx="3254">
                  <c:v>1.543098683057789E-2</c:v>
                </c:pt>
                <c:pt idx="3255">
                  <c:v>1.5439952814916957E-2</c:v>
                </c:pt>
                <c:pt idx="3256">
                  <c:v>1.5446511312835622E-2</c:v>
                </c:pt>
                <c:pt idx="3257">
                  <c:v>1.5453035675342832E-2</c:v>
                </c:pt>
                <c:pt idx="3258">
                  <c:v>1.545952650060402E-2</c:v>
                </c:pt>
                <c:pt idx="3259">
                  <c:v>1.5467042630296718E-2</c:v>
                </c:pt>
                <c:pt idx="3260">
                  <c:v>1.5473460768564125E-2</c:v>
                </c:pt>
                <c:pt idx="3261">
                  <c:v>1.5479847297526632E-2</c:v>
                </c:pt>
                <c:pt idx="3262">
                  <c:v>1.5486202818634057E-2</c:v>
                </c:pt>
                <c:pt idx="3263">
                  <c:v>1.5494976931093241E-2</c:v>
                </c:pt>
                <c:pt idx="3264">
                  <c:v>1.5501140756043724E-2</c:v>
                </c:pt>
                <c:pt idx="3265">
                  <c:v>1.5507402160175248E-2</c:v>
                </c:pt>
                <c:pt idx="3266">
                  <c:v>1.5513635025491589E-2</c:v>
                </c:pt>
                <c:pt idx="3267">
                  <c:v>1.5517536357718941E-2</c:v>
                </c:pt>
                <c:pt idx="3268">
                  <c:v>1.5523718462646155E-2</c:v>
                </c:pt>
                <c:pt idx="3269">
                  <c:v>1.5529873770117745E-2</c:v>
                </c:pt>
                <c:pt idx="3270">
                  <c:v>1.5536002881655608E-2</c:v>
                </c:pt>
                <c:pt idx="3271">
                  <c:v>1.55443919853162E-2</c:v>
                </c:pt>
                <c:pt idx="3272">
                  <c:v>1.5550466046856821E-2</c:v>
                </c:pt>
                <c:pt idx="3273">
                  <c:v>1.555651556605509E-2</c:v>
                </c:pt>
                <c:pt idx="3274">
                  <c:v>1.5562540604830939E-2</c:v>
                </c:pt>
                <c:pt idx="3275">
                  <c:v>1.5568541162959601E-2</c:v>
                </c:pt>
                <c:pt idx="3276">
                  <c:v>1.5572253990870394E-2</c:v>
                </c:pt>
                <c:pt idx="3277">
                  <c:v>1.5580468836367274E-2</c:v>
                </c:pt>
                <c:pt idx="3278">
                  <c:v>1.5586395951197183E-2</c:v>
                </c:pt>
                <c:pt idx="3279">
                  <c:v>1.5592298584481268E-2</c:v>
                </c:pt>
                <c:pt idx="3280">
                  <c:v>1.5595931408087649E-2</c:v>
                </c:pt>
                <c:pt idx="3281">
                  <c:v>1.56002950644928E-2</c:v>
                </c:pt>
                <c:pt idx="3282">
                  <c:v>1.5606131735519514E-2</c:v>
                </c:pt>
                <c:pt idx="3283">
                  <c:v>1.5611943929011532E-2</c:v>
                </c:pt>
                <c:pt idx="3284">
                  <c:v>1.5617731644755104E-2</c:v>
                </c:pt>
                <c:pt idx="3285">
                  <c:v>1.5624236201833445E-2</c:v>
                </c:pt>
                <c:pt idx="3286">
                  <c:v>1.5629973461037429E-2</c:v>
                </c:pt>
                <c:pt idx="3287">
                  <c:v>1.563568624087738E-2</c:v>
                </c:pt>
                <c:pt idx="3288">
                  <c:v>1.5641374541141166E-2</c:v>
                </c:pt>
                <c:pt idx="3289">
                  <c:v>1.5647038361620597E-2</c:v>
                </c:pt>
                <c:pt idx="3290">
                  <c:v>1.5651943894693789E-2</c:v>
                </c:pt>
                <c:pt idx="3291">
                  <c:v>1.5657560260313435E-2</c:v>
                </c:pt>
                <c:pt idx="3292">
                  <c:v>1.5663152146511723E-2</c:v>
                </c:pt>
                <c:pt idx="3293">
                  <c:v>1.5668719553086817E-2</c:v>
                </c:pt>
                <c:pt idx="3294">
                  <c:v>1.5674990259969487E-2</c:v>
                </c:pt>
                <c:pt idx="3295">
                  <c:v>1.5680507197387599E-2</c:v>
                </c:pt>
                <c:pt idx="3296">
                  <c:v>1.5685999653578555E-2</c:v>
                </c:pt>
                <c:pt idx="3297">
                  <c:v>1.5694581193606592E-2</c:v>
                </c:pt>
                <c:pt idx="3298">
                  <c:v>1.5696965243962989E-2</c:v>
                </c:pt>
                <c:pt idx="3299">
                  <c:v>1.5701609909050444E-2</c:v>
                </c:pt>
                <c:pt idx="3300">
                  <c:v>1.570700595258907E-2</c:v>
                </c:pt>
                <c:pt idx="3301">
                  <c:v>1.571237751489651E-2</c:v>
                </c:pt>
                <c:pt idx="3302">
                  <c:v>1.5717724595773589E-2</c:v>
                </c:pt>
                <c:pt idx="3303">
                  <c:v>1.5723047195025982E-2</c:v>
                </c:pt>
                <c:pt idx="3304">
                  <c:v>1.5728345312459372E-2</c:v>
                </c:pt>
                <c:pt idx="3305">
                  <c:v>1.5733618947878118E-2</c:v>
                </c:pt>
                <c:pt idx="3306">
                  <c:v>1.5738868101089216E-2</c:v>
                </c:pt>
                <c:pt idx="3307">
                  <c:v>1.5747631931104868E-2</c:v>
                </c:pt>
                <c:pt idx="3308">
                  <c:v>1.5752824506569958E-2</c:v>
                </c:pt>
                <c:pt idx="3309">
                  <c:v>1.5757992594219835E-2</c:v>
                </c:pt>
                <c:pt idx="3310">
                  <c:v>1.5763136193859807E-2</c:v>
                </c:pt>
                <c:pt idx="3311">
                  <c:v>1.5766150474695737E-2</c:v>
                </c:pt>
                <c:pt idx="3312">
                  <c:v>1.5771249677888764E-2</c:v>
                </c:pt>
                <c:pt idx="3313">
                  <c:v>1.5776324395525475E-2</c:v>
                </c:pt>
                <c:pt idx="3314">
                  <c:v>1.5781374627419791E-2</c:v>
                </c:pt>
                <c:pt idx="3315">
                  <c:v>1.57864003733817E-2</c:v>
                </c:pt>
                <c:pt idx="3316">
                  <c:v>1.5793483532714158E-2</c:v>
                </c:pt>
                <c:pt idx="3317">
                  <c:v>1.579845571091365E-2</c:v>
                </c:pt>
                <c:pt idx="3318">
                  <c:v>1.5803403399580158E-2</c:v>
                </c:pt>
                <c:pt idx="3319">
                  <c:v>1.5808326598526309E-2</c:v>
                </c:pt>
                <c:pt idx="3320">
                  <c:v>1.5811161807741232E-2</c:v>
                </c:pt>
                <c:pt idx="3321">
                  <c:v>1.5816040634238134E-2</c:v>
                </c:pt>
                <c:pt idx="3322">
                  <c:v>1.5820894973519281E-2</c:v>
                </c:pt>
                <c:pt idx="3323">
                  <c:v>1.5827774493415648E-2</c:v>
                </c:pt>
                <c:pt idx="3324">
                  <c:v>1.5832575240998771E-2</c:v>
                </c:pt>
                <c:pt idx="3325">
                  <c:v>1.5837351497763059E-2</c:v>
                </c:pt>
                <c:pt idx="3326">
                  <c:v>1.5842103263528872E-2</c:v>
                </c:pt>
                <c:pt idx="3327">
                  <c:v>1.5846830538116564E-2</c:v>
                </c:pt>
                <c:pt idx="3328">
                  <c:v>1.5849506767667196E-2</c:v>
                </c:pt>
                <c:pt idx="3329">
                  <c:v>1.5856211613048916E-2</c:v>
                </c:pt>
                <c:pt idx="3330">
                  <c:v>1.5860865413039021E-2</c:v>
                </c:pt>
                <c:pt idx="3331">
                  <c:v>1.5865494721145335E-2</c:v>
                </c:pt>
                <c:pt idx="3332">
                  <c:v>1.5870099537192515E-2</c:v>
                </c:pt>
                <c:pt idx="3333">
                  <c:v>1.5872008454330153E-2</c:v>
                </c:pt>
                <c:pt idx="3334">
                  <c:v>1.5876570482146326E-2</c:v>
                </c:pt>
                <c:pt idx="3335">
                  <c:v>1.5881108021509473E-2</c:v>
                </c:pt>
                <c:pt idx="3336">
                  <c:v>1.588562107225314E-2</c:v>
                </c:pt>
                <c:pt idx="3337">
                  <c:v>1.5890771476693575E-2</c:v>
                </c:pt>
                <c:pt idx="3338">
                  <c:v>1.589787386368537E-2</c:v>
                </c:pt>
                <c:pt idx="3339">
                  <c:v>1.5899672026508996E-2</c:v>
                </c:pt>
                <c:pt idx="3340">
                  <c:v>1.5904085566026679E-2</c:v>
                </c:pt>
                <c:pt idx="3341">
                  <c:v>1.5908474615065206E-2</c:v>
                </c:pt>
                <c:pt idx="3342">
                  <c:v>1.5912185106438652E-2</c:v>
                </c:pt>
                <c:pt idx="3343">
                  <c:v>1.5916526732234676E-2</c:v>
                </c:pt>
                <c:pt idx="3344">
                  <c:v>1.5920843868104564E-2</c:v>
                </c:pt>
                <c:pt idx="3345">
                  <c:v>1.5925136513891085E-2</c:v>
                </c:pt>
                <c:pt idx="3346">
                  <c:v>1.5930052497423925E-2</c:v>
                </c:pt>
                <c:pt idx="3347">
                  <c:v>1.5934294600209255E-2</c:v>
                </c:pt>
                <c:pt idx="3348">
                  <c:v>1.5938512211395889E-2</c:v>
                </c:pt>
                <c:pt idx="3349">
                  <c:v>1.5942705330828762E-2</c:v>
                </c:pt>
                <c:pt idx="3350">
                  <c:v>1.5946232386045294E-2</c:v>
                </c:pt>
                <c:pt idx="3351">
                  <c:v>1.595037808803227E-2</c:v>
                </c:pt>
                <c:pt idx="3352">
                  <c:v>1.5954499298847079E-2</c:v>
                </c:pt>
                <c:pt idx="3353">
                  <c:v>1.5958596018336439E-2</c:v>
                </c:pt>
                <c:pt idx="3354">
                  <c:v>1.5962668246350138E-2</c:v>
                </c:pt>
                <c:pt idx="3355">
                  <c:v>1.5966715982737086E-2</c:v>
                </c:pt>
                <c:pt idx="3356">
                  <c:v>1.597073922734971E-2</c:v>
                </c:pt>
                <c:pt idx="3357">
                  <c:v>1.5974737980037804E-2</c:v>
                </c:pt>
                <c:pt idx="3358">
                  <c:v>1.5978712240655547E-2</c:v>
                </c:pt>
                <c:pt idx="3359">
                  <c:v>1.5985170960444089E-2</c:v>
                </c:pt>
                <c:pt idx="3360">
                  <c:v>1.5989089931800982E-2</c:v>
                </c:pt>
                <c:pt idx="3361">
                  <c:v>1.5992984406444401E-2</c:v>
                </c:pt>
                <c:pt idx="3362">
                  <c:v>1.5996854384226936E-2</c:v>
                </c:pt>
                <c:pt idx="3363">
                  <c:v>1.5998837283327752E-2</c:v>
                </c:pt>
                <c:pt idx="3364">
                  <c:v>1.6002663008307844E-2</c:v>
                </c:pt>
                <c:pt idx="3365">
                  <c:v>1.6006464239157494E-2</c:v>
                </c:pt>
                <c:pt idx="3366">
                  <c:v>1.6010240975734304E-2</c:v>
                </c:pt>
                <c:pt idx="3367">
                  <c:v>1.6013993217898495E-2</c:v>
                </c:pt>
                <c:pt idx="3368">
                  <c:v>1.601955980874898E-2</c:v>
                </c:pt>
                <c:pt idx="3369">
                  <c:v>1.6023258304476724E-2</c:v>
                </c:pt>
                <c:pt idx="3370">
                  <c:v>1.6026932302203419E-2</c:v>
                </c:pt>
                <c:pt idx="3371">
                  <c:v>1.6030581801790681E-2</c:v>
                </c:pt>
                <c:pt idx="3372">
                  <c:v>1.6032387007699073E-2</c:v>
                </c:pt>
                <c:pt idx="3373">
                  <c:v>1.6035992280500243E-2</c:v>
                </c:pt>
                <c:pt idx="3374">
                  <c:v>1.6039573057935245E-2</c:v>
                </c:pt>
                <c:pt idx="3375">
                  <c:v>1.6043129339870409E-2</c:v>
                </c:pt>
                <c:pt idx="3376">
                  <c:v>1.6046661126174696E-2</c:v>
                </c:pt>
                <c:pt idx="3377">
                  <c:v>1.605196433075318E-2</c:v>
                </c:pt>
                <c:pt idx="3378">
                  <c:v>1.6055442339566604E-2</c:v>
                </c:pt>
                <c:pt idx="3379">
                  <c:v>1.6058895849167046E-2</c:v>
                </c:pt>
                <c:pt idx="3380">
                  <c:v>1.6062324859424292E-2</c:v>
                </c:pt>
                <c:pt idx="3381">
                  <c:v>1.6065729370208545E-2</c:v>
                </c:pt>
                <c:pt idx="3382">
                  <c:v>1.6069109381392176E-2</c:v>
                </c:pt>
                <c:pt idx="3383">
                  <c:v>1.6072464892847967E-2</c:v>
                </c:pt>
                <c:pt idx="3384">
                  <c:v>1.6075795904449137E-2</c:v>
                </c:pt>
                <c:pt idx="3385">
                  <c:v>1.6076172507517191E-2</c:v>
                </c:pt>
                <c:pt idx="3386">
                  <c:v>1.6079462537348967E-2</c:v>
                </c:pt>
                <c:pt idx="3387">
                  <c:v>1.6082728072295948E-2</c:v>
                </c:pt>
                <c:pt idx="3388">
                  <c:v>1.6085969112240216E-2</c:v>
                </c:pt>
                <c:pt idx="3389">
                  <c:v>1.6089185657061651E-2</c:v>
                </c:pt>
                <c:pt idx="3390">
                  <c:v>1.6092955932303015E-2</c:v>
                </c:pt>
                <c:pt idx="3391">
                  <c:v>1.6096121877807016E-2</c:v>
                </c:pt>
                <c:pt idx="3392">
                  <c:v>1.6099263326766443E-2</c:v>
                </c:pt>
                <c:pt idx="3393">
                  <c:v>1.6102380279064906E-2</c:v>
                </c:pt>
                <c:pt idx="3394">
                  <c:v>1.6104900950241582E-2</c:v>
                </c:pt>
                <c:pt idx="3395">
                  <c:v>1.610797052188552E-2</c:v>
                </c:pt>
                <c:pt idx="3396">
                  <c:v>1.6111015597600194E-2</c:v>
                </c:pt>
                <c:pt idx="3397">
                  <c:v>1.611403617727564E-2</c:v>
                </c:pt>
                <c:pt idx="3398">
                  <c:v>1.6117597586658702E-2</c:v>
                </c:pt>
                <c:pt idx="3399">
                  <c:v>1.6120567556612189E-2</c:v>
                </c:pt>
                <c:pt idx="3400">
                  <c:v>1.6123513029119844E-2</c:v>
                </c:pt>
                <c:pt idx="3401">
                  <c:v>1.6126434004073625E-2</c:v>
                </c:pt>
                <c:pt idx="3402">
                  <c:v>1.6129330481365049E-2</c:v>
                </c:pt>
                <c:pt idx="3403">
                  <c:v>1.6131645232339679E-2</c:v>
                </c:pt>
                <c:pt idx="3404">
                  <c:v>1.6134494336682185E-2</c:v>
                </c:pt>
                <c:pt idx="3405">
                  <c:v>1.6137318944123829E-2</c:v>
                </c:pt>
                <c:pt idx="3406">
                  <c:v>1.6140119054560826E-2</c:v>
                </c:pt>
                <c:pt idx="3407">
                  <c:v>1.614289466789072E-2</c:v>
                </c:pt>
                <c:pt idx="3408">
                  <c:v>1.6145645784011932E-2</c:v>
                </c:pt>
                <c:pt idx="3409">
                  <c:v>1.6148372402823769E-2</c:v>
                </c:pt>
                <c:pt idx="3410">
                  <c:v>1.6151074524225539E-2</c:v>
                </c:pt>
                <c:pt idx="3411">
                  <c:v>1.6156471836104309E-2</c:v>
                </c:pt>
                <c:pt idx="3412">
                  <c:v>1.6159116804208631E-2</c:v>
                </c:pt>
                <c:pt idx="3413">
                  <c:v>1.6161737269194711E-2</c:v>
                </c:pt>
                <c:pt idx="3414">
                  <c:v>1.6164333230962839E-2</c:v>
                </c:pt>
                <c:pt idx="3415">
                  <c:v>1.6165292896311474E-2</c:v>
                </c:pt>
                <c:pt idx="3416">
                  <c:v>1.6167844759713595E-2</c:v>
                </c:pt>
                <c:pt idx="3417">
                  <c:v>1.6170372122862521E-2</c:v>
                </c:pt>
                <c:pt idx="3418">
                  <c:v>1.6172874985663905E-2</c:v>
                </c:pt>
                <c:pt idx="3419">
                  <c:v>1.6175353348026451E-2</c:v>
                </c:pt>
                <c:pt idx="3420">
                  <c:v>1.6179394428598132E-2</c:v>
                </c:pt>
                <c:pt idx="3421">
                  <c:v>1.618181886515932E-2</c:v>
                </c:pt>
                <c:pt idx="3422">
                  <c:v>1.6184218797746175E-2</c:v>
                </c:pt>
                <c:pt idx="3423">
                  <c:v>1.6186594226269734E-2</c:v>
                </c:pt>
                <c:pt idx="3424">
                  <c:v>1.6187377650057896E-2</c:v>
                </c:pt>
                <c:pt idx="3425">
                  <c:v>1.6189709007883812E-2</c:v>
                </c:pt>
                <c:pt idx="3426">
                  <c:v>1.6192015864647129E-2</c:v>
                </c:pt>
                <c:pt idx="3427">
                  <c:v>1.6194298220260486E-2</c:v>
                </c:pt>
                <c:pt idx="3428">
                  <c:v>1.6196556074640885E-2</c:v>
                </c:pt>
                <c:pt idx="3429">
                  <c:v>1.6200332207114268E-2</c:v>
                </c:pt>
                <c:pt idx="3430">
                  <c:v>1.6202536104735227E-2</c:v>
                </c:pt>
                <c:pt idx="3431">
                  <c:v>1.6204715497601403E-2</c:v>
                </c:pt>
                <c:pt idx="3432">
                  <c:v>1.6206870385631136E-2</c:v>
                </c:pt>
                <c:pt idx="3433">
                  <c:v>1.6209000768743209E-2</c:v>
                </c:pt>
                <c:pt idx="3434">
                  <c:v>1.6211106646858108E-2</c:v>
                </c:pt>
                <c:pt idx="3435">
                  <c:v>1.6213188019895897E-2</c:v>
                </c:pt>
                <c:pt idx="3436">
                  <c:v>1.6215244887778368E-2</c:v>
                </c:pt>
                <c:pt idx="3437">
                  <c:v>1.6214771440613139E-2</c:v>
                </c:pt>
                <c:pt idx="3438">
                  <c:v>1.6216787597611398E-2</c:v>
                </c:pt>
                <c:pt idx="3439">
                  <c:v>1.6218779254691097E-2</c:v>
                </c:pt>
                <c:pt idx="3440">
                  <c:v>1.6220746411780698E-2</c:v>
                </c:pt>
                <c:pt idx="3441">
                  <c:v>1.6222689068807764E-2</c:v>
                </c:pt>
                <c:pt idx="3442">
                  <c:v>1.6225100365572672E-2</c:v>
                </c:pt>
                <c:pt idx="3443">
                  <c:v>1.6226992357163759E-2</c:v>
                </c:pt>
                <c:pt idx="3444">
                  <c:v>1.6228859847386003E-2</c:v>
                </c:pt>
                <c:pt idx="3445">
                  <c:v>1.6230702836171323E-2</c:v>
                </c:pt>
                <c:pt idx="3446">
                  <c:v>1.6232034850540797E-2</c:v>
                </c:pt>
                <c:pt idx="3447">
                  <c:v>1.6233830505727329E-2</c:v>
                </c:pt>
                <c:pt idx="3448">
                  <c:v>1.6235601660371714E-2</c:v>
                </c:pt>
                <c:pt idx="3449">
                  <c:v>1.6237348314409473E-2</c:v>
                </c:pt>
                <c:pt idx="3450">
                  <c:v>1.6239550256189471E-2</c:v>
                </c:pt>
                <c:pt idx="3451">
                  <c:v>1.624124623495481E-2</c:v>
                </c:pt>
                <c:pt idx="3452">
                  <c:v>1.6242917711826885E-2</c:v>
                </c:pt>
                <c:pt idx="3453">
                  <c:v>1.6244564686742454E-2</c:v>
                </c:pt>
                <c:pt idx="3454">
                  <c:v>1.6246416941317666E-2</c:v>
                </c:pt>
                <c:pt idx="3455">
                  <c:v>1.6247540243573083E-2</c:v>
                </c:pt>
                <c:pt idx="3456">
                  <c:v>1.6249111891463809E-2</c:v>
                </c:pt>
                <c:pt idx="3457">
                  <c:v>1.6250659038253276E-2</c:v>
                </c:pt>
                <c:pt idx="3458">
                  <c:v>1.6252181683882747E-2</c:v>
                </c:pt>
                <c:pt idx="3459">
                  <c:v>1.6253679828297458E-2</c:v>
                </c:pt>
                <c:pt idx="3460">
                  <c:v>1.6255153471442206E-2</c:v>
                </c:pt>
                <c:pt idx="3461">
                  <c:v>1.6256602613263556E-2</c:v>
                </c:pt>
                <c:pt idx="3462">
                  <c:v>1.6258027253706741E-2</c:v>
                </c:pt>
                <c:pt idx="3463">
                  <c:v>1.6261257313358739E-2</c:v>
                </c:pt>
                <c:pt idx="3464">
                  <c:v>1.6262626196731231E-2</c:v>
                </c:pt>
                <c:pt idx="3465">
                  <c:v>1.6263970574168712E-2</c:v>
                </c:pt>
                <c:pt idx="3466">
                  <c:v>1.626529044562279E-2</c:v>
                </c:pt>
                <c:pt idx="3467">
                  <c:v>1.6265233875022055E-2</c:v>
                </c:pt>
                <c:pt idx="3468">
                  <c:v>1.6267856670379808E-2</c:v>
                </c:pt>
                <c:pt idx="3469">
                  <c:v>1.6268911791907342E-2</c:v>
                </c:pt>
                <c:pt idx="3470">
                  <c:v>1.6270324870618164E-2</c:v>
                </c:pt>
                <c:pt idx="3471">
                  <c:v>1.6271522211426716E-2</c:v>
                </c:pt>
                <c:pt idx="3472">
                  <c:v>1.6272695045967987E-2</c:v>
                </c:pt>
                <c:pt idx="3473">
                  <c:v>1.6273843374197898E-2</c:v>
                </c:pt>
                <c:pt idx="3474">
                  <c:v>1.6274967196073672E-2</c:v>
                </c:pt>
                <c:pt idx="3475">
                  <c:v>1.6276066511552969E-2</c:v>
                </c:pt>
                <c:pt idx="3476">
                  <c:v>1.6277141320595167E-2</c:v>
                </c:pt>
                <c:pt idx="3477">
                  <c:v>1.6278191623159657E-2</c:v>
                </c:pt>
                <c:pt idx="3478">
                  <c:v>1.6279217419206248E-2</c:v>
                </c:pt>
                <c:pt idx="3479">
                  <c:v>1.6280218708697353E-2</c:v>
                </c:pt>
                <c:pt idx="3480">
                  <c:v>1.6281195491595811E-2</c:v>
                </c:pt>
                <c:pt idx="3481">
                  <c:v>1.628214776786403E-2</c:v>
                </c:pt>
                <c:pt idx="3482">
                  <c:v>1.628307553746744E-2</c:v>
                </c:pt>
                <c:pt idx="3483">
                  <c:v>1.6283978800370618E-2</c:v>
                </c:pt>
                <c:pt idx="3484">
                  <c:v>1.6284857556538992E-2</c:v>
                </c:pt>
                <c:pt idx="3485">
                  <c:v>1.628571180594145E-2</c:v>
                </c:pt>
                <c:pt idx="3486">
                  <c:v>1.6286541548544722E-2</c:v>
                </c:pt>
                <c:pt idx="3487">
                  <c:v>1.6287346784317702E-2</c:v>
                </c:pt>
                <c:pt idx="3488">
                  <c:v>1.6288127513230142E-2</c:v>
                </c:pt>
                <c:pt idx="3489">
                  <c:v>1.628723085566287E-2</c:v>
                </c:pt>
                <c:pt idx="3490">
                  <c:v>1.6287969439628128E-2</c:v>
                </c:pt>
                <c:pt idx="3491">
                  <c:v>1.6288683521065203E-2</c:v>
                </c:pt>
                <c:pt idx="3492">
                  <c:v>1.6289373099950249E-2</c:v>
                </c:pt>
                <c:pt idx="3493">
                  <c:v>1.6290444748889708E-2</c:v>
                </c:pt>
                <c:pt idx="3494">
                  <c:v>1.6292701483012439E-2</c:v>
                </c:pt>
                <c:pt idx="3495">
                  <c:v>1.6291697949768601E-2</c:v>
                </c:pt>
                <c:pt idx="3496">
                  <c:v>1.6292287794588623E-2</c:v>
                </c:pt>
                <c:pt idx="3497">
                  <c:v>1.6292853135633369E-2</c:v>
                </c:pt>
                <c:pt idx="3498">
                  <c:v>1.6292996018291709E-2</c:v>
                </c:pt>
                <c:pt idx="3499">
                  <c:v>1.6293514078647427E-2</c:v>
                </c:pt>
                <c:pt idx="3500">
                  <c:v>1.6294007636272693E-2</c:v>
                </c:pt>
                <c:pt idx="3501">
                  <c:v>1.6294476691150285E-2</c:v>
                </c:pt>
                <c:pt idx="3502">
                  <c:v>1.6295312283529238E-2</c:v>
                </c:pt>
                <c:pt idx="3503">
                  <c:v>1.62957306015152E-2</c:v>
                </c:pt>
                <c:pt idx="3504">
                  <c:v>1.6296124415599841E-2</c:v>
                </c:pt>
                <c:pt idx="3505">
                  <c:v>1.6296493725766904E-2</c:v>
                </c:pt>
                <c:pt idx="3506">
                  <c:v>1.6295828248775138E-2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60267776"/>
        <c:axId val="66026969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42219</c:v>
                </c:pt>
                <c:pt idx="1">
                  <c:v>42249</c:v>
                </c:pt>
                <c:pt idx="2">
                  <c:v>42279</c:v>
                </c:pt>
                <c:pt idx="3">
                  <c:v>42310</c:v>
                </c:pt>
                <c:pt idx="4">
                  <c:v>42340</c:v>
                </c:pt>
                <c:pt idx="5">
                  <c:v>42373</c:v>
                </c:pt>
                <c:pt idx="6">
                  <c:v>42402</c:v>
                </c:pt>
                <c:pt idx="7">
                  <c:v>42431</c:v>
                </c:pt>
                <c:pt idx="8">
                  <c:v>42464</c:v>
                </c:pt>
                <c:pt idx="9">
                  <c:v>42492</c:v>
                </c:pt>
                <c:pt idx="10">
                  <c:v>42523</c:v>
                </c:pt>
                <c:pt idx="11">
                  <c:v>42555</c:v>
                </c:pt>
                <c:pt idx="12">
                  <c:v>42584</c:v>
                </c:pt>
                <c:pt idx="13">
                  <c:v>42615</c:v>
                </c:pt>
                <c:pt idx="14">
                  <c:v>42646</c:v>
                </c:pt>
                <c:pt idx="15">
                  <c:v>42676</c:v>
                </c:pt>
                <c:pt idx="16">
                  <c:v>42706</c:v>
                </c:pt>
                <c:pt idx="17">
                  <c:v>42737</c:v>
                </c:pt>
              </c:numCache>
            </c:numRef>
          </c:xVal>
          <c:yVal>
            <c:numRef>
              <c:f>[0]!FRASeries</c:f>
              <c:numCache>
                <c:formatCode>0.0000%</c:formatCode>
                <c:ptCount val="18"/>
                <c:pt idx="0">
                  <c:v>6.7000000000000002E-4</c:v>
                </c:pt>
                <c:pt idx="1">
                  <c:v>7.6000000000000015E-4</c:v>
                </c:pt>
                <c:pt idx="2">
                  <c:v>8.4000000000000014E-4</c:v>
                </c:pt>
                <c:pt idx="3">
                  <c:v>8.8999999999999995E-4</c:v>
                </c:pt>
                <c:pt idx="4">
                  <c:v>9.2999999999999995E-4</c:v>
                </c:pt>
                <c:pt idx="5">
                  <c:v>9.7999999999999997E-4</c:v>
                </c:pt>
                <c:pt idx="6">
                  <c:v>1.0200000000000001E-3</c:v>
                </c:pt>
                <c:pt idx="7">
                  <c:v>1.0500000000000002E-3</c:v>
                </c:pt>
                <c:pt idx="8">
                  <c:v>1.1000000000000001E-3</c:v>
                </c:pt>
                <c:pt idx="9">
                  <c:v>1.16E-3</c:v>
                </c:pt>
                <c:pt idx="10">
                  <c:v>1.2099999999999999E-3</c:v>
                </c:pt>
                <c:pt idx="11">
                  <c:v>1.31E-3</c:v>
                </c:pt>
                <c:pt idx="12">
                  <c:v>1.4199999999999998E-3</c:v>
                </c:pt>
                <c:pt idx="13">
                  <c:v>1.5199999999999999E-3</c:v>
                </c:pt>
                <c:pt idx="14">
                  <c:v>1.6699999999999998E-3</c:v>
                </c:pt>
                <c:pt idx="15">
                  <c:v>1.82E-3</c:v>
                </c:pt>
                <c:pt idx="16">
                  <c:v>1.99E-3</c:v>
                </c:pt>
                <c:pt idx="17">
                  <c:v>2.1600000000000005E-3</c:v>
                </c:pt>
              </c:numCache>
            </c:numRef>
          </c:yVal>
          <c:smooth val="0"/>
        </c:ser>
        <c:dLbls>
          <c:showLegendKey val="0"/>
          <c:showVal val="0"/>
          <c:showCatName val="0"/>
          <c:showSerName val="0"/>
          <c:showPercent val="0"/>
          <c:showBubbleSize val="0"/>
        </c:dLbls>
        <c:axId val="660267776"/>
        <c:axId val="660269696"/>
      </c:scatterChart>
      <c:dateAx>
        <c:axId val="660267776"/>
        <c:scaling>
          <c:orientation val="minMax"/>
          <c:max val="42918"/>
          <c:min val="42185"/>
        </c:scaling>
        <c:delete val="0"/>
        <c:axPos val="b"/>
        <c:numFmt formatCode="[$-409]mmm\-yy;@" sourceLinked="0"/>
        <c:majorTickMark val="out"/>
        <c:minorTickMark val="none"/>
        <c:tickLblPos val="nextTo"/>
        <c:txPr>
          <a:bodyPr rot="-2700000" vert="horz"/>
          <a:lstStyle/>
          <a:p>
            <a:pPr>
              <a:defRPr/>
            </a:pPr>
            <a:endParaRPr lang="en-US"/>
          </a:p>
        </c:txPr>
        <c:crossAx val="660269696"/>
        <c:crosses val="autoZero"/>
        <c:auto val="1"/>
        <c:lblOffset val="100"/>
        <c:baseTimeUnit val="days"/>
        <c:majorUnit val="3"/>
        <c:majorTimeUnit val="months"/>
        <c:minorUnit val="1"/>
        <c:minorTimeUnit val="years"/>
      </c:dateAx>
      <c:valAx>
        <c:axId val="660269696"/>
        <c:scaling>
          <c:orientation val="minMax"/>
          <c:max val="4.0000000000000001E-3"/>
          <c:min val="0"/>
        </c:scaling>
        <c:delete val="0"/>
        <c:axPos val="l"/>
        <c:majorGridlines/>
        <c:numFmt formatCode="0.00%" sourceLinked="0"/>
        <c:majorTickMark val="out"/>
        <c:minorTickMark val="none"/>
        <c:tickLblPos val="nextTo"/>
        <c:crossAx val="66026777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Monitor!$AA$19:$AA$3552</c:f>
              <c:numCache>
                <c:formatCode>ddd\,\ dd\-mmm\-yyyy</c:formatCode>
                <c:ptCount val="3534"/>
                <c:pt idx="0">
                  <c:v>42187</c:v>
                </c:pt>
                <c:pt idx="1">
                  <c:v>42188</c:v>
                </c:pt>
                <c:pt idx="2">
                  <c:v>42191</c:v>
                </c:pt>
                <c:pt idx="3">
                  <c:v>42192</c:v>
                </c:pt>
                <c:pt idx="4">
                  <c:v>42193</c:v>
                </c:pt>
                <c:pt idx="5">
                  <c:v>42194</c:v>
                </c:pt>
                <c:pt idx="6">
                  <c:v>42195</c:v>
                </c:pt>
                <c:pt idx="7">
                  <c:v>42198</c:v>
                </c:pt>
                <c:pt idx="8">
                  <c:v>42199</c:v>
                </c:pt>
                <c:pt idx="9">
                  <c:v>42200</c:v>
                </c:pt>
                <c:pt idx="10">
                  <c:v>42201</c:v>
                </c:pt>
                <c:pt idx="11">
                  <c:v>42202</c:v>
                </c:pt>
                <c:pt idx="12">
                  <c:v>42205</c:v>
                </c:pt>
                <c:pt idx="13">
                  <c:v>42206</c:v>
                </c:pt>
                <c:pt idx="14">
                  <c:v>42207</c:v>
                </c:pt>
                <c:pt idx="15">
                  <c:v>42208</c:v>
                </c:pt>
                <c:pt idx="16">
                  <c:v>42209</c:v>
                </c:pt>
                <c:pt idx="17">
                  <c:v>42212</c:v>
                </c:pt>
                <c:pt idx="18">
                  <c:v>42213</c:v>
                </c:pt>
                <c:pt idx="19">
                  <c:v>42214</c:v>
                </c:pt>
                <c:pt idx="20">
                  <c:v>42215</c:v>
                </c:pt>
                <c:pt idx="21">
                  <c:v>42216</c:v>
                </c:pt>
                <c:pt idx="22">
                  <c:v>42219</c:v>
                </c:pt>
                <c:pt idx="23">
                  <c:v>42220</c:v>
                </c:pt>
                <c:pt idx="24">
                  <c:v>42221</c:v>
                </c:pt>
                <c:pt idx="25">
                  <c:v>42222</c:v>
                </c:pt>
                <c:pt idx="26">
                  <c:v>42223</c:v>
                </c:pt>
                <c:pt idx="27">
                  <c:v>42226</c:v>
                </c:pt>
                <c:pt idx="28">
                  <c:v>42227</c:v>
                </c:pt>
                <c:pt idx="29">
                  <c:v>42228</c:v>
                </c:pt>
                <c:pt idx="30">
                  <c:v>42229</c:v>
                </c:pt>
                <c:pt idx="31">
                  <c:v>42230</c:v>
                </c:pt>
                <c:pt idx="32">
                  <c:v>42233</c:v>
                </c:pt>
                <c:pt idx="33">
                  <c:v>42234</c:v>
                </c:pt>
                <c:pt idx="34">
                  <c:v>42235</c:v>
                </c:pt>
                <c:pt idx="35">
                  <c:v>42236</c:v>
                </c:pt>
                <c:pt idx="36">
                  <c:v>42237</c:v>
                </c:pt>
                <c:pt idx="37">
                  <c:v>42240</c:v>
                </c:pt>
                <c:pt idx="38">
                  <c:v>42241</c:v>
                </c:pt>
                <c:pt idx="39">
                  <c:v>42242</c:v>
                </c:pt>
                <c:pt idx="40">
                  <c:v>42243</c:v>
                </c:pt>
                <c:pt idx="41">
                  <c:v>42244</c:v>
                </c:pt>
                <c:pt idx="42">
                  <c:v>42247</c:v>
                </c:pt>
                <c:pt idx="43">
                  <c:v>42248</c:v>
                </c:pt>
                <c:pt idx="44">
                  <c:v>42249</c:v>
                </c:pt>
                <c:pt idx="45">
                  <c:v>42250</c:v>
                </c:pt>
                <c:pt idx="46">
                  <c:v>42251</c:v>
                </c:pt>
                <c:pt idx="47">
                  <c:v>42254</c:v>
                </c:pt>
                <c:pt idx="48">
                  <c:v>42255</c:v>
                </c:pt>
                <c:pt idx="49">
                  <c:v>42256</c:v>
                </c:pt>
                <c:pt idx="50">
                  <c:v>42257</c:v>
                </c:pt>
                <c:pt idx="51">
                  <c:v>42258</c:v>
                </c:pt>
                <c:pt idx="52">
                  <c:v>42261</c:v>
                </c:pt>
                <c:pt idx="53">
                  <c:v>42262</c:v>
                </c:pt>
                <c:pt idx="54">
                  <c:v>42263</c:v>
                </c:pt>
                <c:pt idx="55">
                  <c:v>42264</c:v>
                </c:pt>
                <c:pt idx="56">
                  <c:v>42265</c:v>
                </c:pt>
                <c:pt idx="57">
                  <c:v>42268</c:v>
                </c:pt>
                <c:pt idx="58">
                  <c:v>42269</c:v>
                </c:pt>
                <c:pt idx="59">
                  <c:v>42270</c:v>
                </c:pt>
                <c:pt idx="60">
                  <c:v>42271</c:v>
                </c:pt>
                <c:pt idx="61">
                  <c:v>42272</c:v>
                </c:pt>
                <c:pt idx="62">
                  <c:v>42275</c:v>
                </c:pt>
                <c:pt idx="63">
                  <c:v>42276</c:v>
                </c:pt>
                <c:pt idx="64">
                  <c:v>42277</c:v>
                </c:pt>
                <c:pt idx="65">
                  <c:v>42278</c:v>
                </c:pt>
                <c:pt idx="66">
                  <c:v>42279</c:v>
                </c:pt>
                <c:pt idx="67">
                  <c:v>42282</c:v>
                </c:pt>
                <c:pt idx="68">
                  <c:v>42283</c:v>
                </c:pt>
                <c:pt idx="69">
                  <c:v>42284</c:v>
                </c:pt>
                <c:pt idx="70">
                  <c:v>42285</c:v>
                </c:pt>
                <c:pt idx="71">
                  <c:v>42286</c:v>
                </c:pt>
                <c:pt idx="72">
                  <c:v>42289</c:v>
                </c:pt>
                <c:pt idx="73">
                  <c:v>42290</c:v>
                </c:pt>
                <c:pt idx="74">
                  <c:v>42291</c:v>
                </c:pt>
                <c:pt idx="75">
                  <c:v>42292</c:v>
                </c:pt>
                <c:pt idx="76">
                  <c:v>42293</c:v>
                </c:pt>
                <c:pt idx="77">
                  <c:v>42296</c:v>
                </c:pt>
                <c:pt idx="78">
                  <c:v>42297</c:v>
                </c:pt>
                <c:pt idx="79">
                  <c:v>42298</c:v>
                </c:pt>
                <c:pt idx="80">
                  <c:v>42299</c:v>
                </c:pt>
                <c:pt idx="81">
                  <c:v>42300</c:v>
                </c:pt>
                <c:pt idx="82">
                  <c:v>42303</c:v>
                </c:pt>
                <c:pt idx="83">
                  <c:v>42304</c:v>
                </c:pt>
                <c:pt idx="84">
                  <c:v>42305</c:v>
                </c:pt>
                <c:pt idx="85">
                  <c:v>42306</c:v>
                </c:pt>
                <c:pt idx="86">
                  <c:v>42307</c:v>
                </c:pt>
                <c:pt idx="87">
                  <c:v>42310</c:v>
                </c:pt>
                <c:pt idx="88">
                  <c:v>42311</c:v>
                </c:pt>
                <c:pt idx="89">
                  <c:v>42312</c:v>
                </c:pt>
                <c:pt idx="90">
                  <c:v>42313</c:v>
                </c:pt>
                <c:pt idx="91">
                  <c:v>42314</c:v>
                </c:pt>
                <c:pt idx="92">
                  <c:v>42317</c:v>
                </c:pt>
                <c:pt idx="93">
                  <c:v>42318</c:v>
                </c:pt>
                <c:pt idx="94">
                  <c:v>42319</c:v>
                </c:pt>
                <c:pt idx="95">
                  <c:v>42320</c:v>
                </c:pt>
                <c:pt idx="96">
                  <c:v>42321</c:v>
                </c:pt>
                <c:pt idx="97">
                  <c:v>42324</c:v>
                </c:pt>
                <c:pt idx="98">
                  <c:v>42325</c:v>
                </c:pt>
                <c:pt idx="99">
                  <c:v>42326</c:v>
                </c:pt>
                <c:pt idx="100">
                  <c:v>42327</c:v>
                </c:pt>
                <c:pt idx="101">
                  <c:v>42328</c:v>
                </c:pt>
                <c:pt idx="102">
                  <c:v>42331</c:v>
                </c:pt>
                <c:pt idx="103">
                  <c:v>42332</c:v>
                </c:pt>
                <c:pt idx="104">
                  <c:v>42333</c:v>
                </c:pt>
                <c:pt idx="105">
                  <c:v>42334</c:v>
                </c:pt>
                <c:pt idx="106">
                  <c:v>42335</c:v>
                </c:pt>
                <c:pt idx="107">
                  <c:v>42338</c:v>
                </c:pt>
                <c:pt idx="108">
                  <c:v>42339</c:v>
                </c:pt>
                <c:pt idx="109">
                  <c:v>42340</c:v>
                </c:pt>
                <c:pt idx="110">
                  <c:v>42341</c:v>
                </c:pt>
                <c:pt idx="111">
                  <c:v>42342</c:v>
                </c:pt>
                <c:pt idx="112">
                  <c:v>42345</c:v>
                </c:pt>
                <c:pt idx="113">
                  <c:v>42346</c:v>
                </c:pt>
                <c:pt idx="114">
                  <c:v>42347</c:v>
                </c:pt>
                <c:pt idx="115">
                  <c:v>42348</c:v>
                </c:pt>
                <c:pt idx="116">
                  <c:v>42349</c:v>
                </c:pt>
                <c:pt idx="117">
                  <c:v>42352</c:v>
                </c:pt>
                <c:pt idx="118">
                  <c:v>42353</c:v>
                </c:pt>
                <c:pt idx="119">
                  <c:v>42354</c:v>
                </c:pt>
                <c:pt idx="120">
                  <c:v>42355</c:v>
                </c:pt>
                <c:pt idx="121">
                  <c:v>42356</c:v>
                </c:pt>
                <c:pt idx="122">
                  <c:v>42359</c:v>
                </c:pt>
                <c:pt idx="123">
                  <c:v>42360</c:v>
                </c:pt>
                <c:pt idx="124">
                  <c:v>42361</c:v>
                </c:pt>
                <c:pt idx="125">
                  <c:v>42362</c:v>
                </c:pt>
                <c:pt idx="126">
                  <c:v>42366</c:v>
                </c:pt>
                <c:pt idx="127">
                  <c:v>42367</c:v>
                </c:pt>
                <c:pt idx="128">
                  <c:v>42368</c:v>
                </c:pt>
                <c:pt idx="129">
                  <c:v>42369</c:v>
                </c:pt>
                <c:pt idx="130">
                  <c:v>42373</c:v>
                </c:pt>
                <c:pt idx="131">
                  <c:v>42374</c:v>
                </c:pt>
                <c:pt idx="132">
                  <c:v>42375</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42495</c:v>
                </c:pt>
                <c:pt idx="217">
                  <c:v>42496</c:v>
                </c:pt>
                <c:pt idx="218">
                  <c:v>42499</c:v>
                </c:pt>
                <c:pt idx="219">
                  <c:v>42500</c:v>
                </c:pt>
                <c:pt idx="220">
                  <c:v>42501</c:v>
                </c:pt>
                <c:pt idx="221">
                  <c:v>42502</c:v>
                </c:pt>
                <c:pt idx="222">
                  <c:v>42503</c:v>
                </c:pt>
                <c:pt idx="223">
                  <c:v>42506</c:v>
                </c:pt>
                <c:pt idx="224">
                  <c:v>42507</c:v>
                </c:pt>
                <c:pt idx="225">
                  <c:v>42508</c:v>
                </c:pt>
                <c:pt idx="226">
                  <c:v>42509</c:v>
                </c:pt>
                <c:pt idx="227">
                  <c:v>42510</c:v>
                </c:pt>
                <c:pt idx="228">
                  <c:v>42513</c:v>
                </c:pt>
                <c:pt idx="229">
                  <c:v>42514</c:v>
                </c:pt>
                <c:pt idx="230">
                  <c:v>42515</c:v>
                </c:pt>
                <c:pt idx="231">
                  <c:v>42516</c:v>
                </c:pt>
                <c:pt idx="232">
                  <c:v>42517</c:v>
                </c:pt>
                <c:pt idx="233">
                  <c:v>42520</c:v>
                </c:pt>
                <c:pt idx="234">
                  <c:v>42521</c:v>
                </c:pt>
                <c:pt idx="235">
                  <c:v>42522</c:v>
                </c:pt>
                <c:pt idx="236">
                  <c:v>42523</c:v>
                </c:pt>
                <c:pt idx="237">
                  <c:v>42524</c:v>
                </c:pt>
                <c:pt idx="238">
                  <c:v>42527</c:v>
                </c:pt>
                <c:pt idx="239">
                  <c:v>42528</c:v>
                </c:pt>
                <c:pt idx="240">
                  <c:v>42529</c:v>
                </c:pt>
                <c:pt idx="241">
                  <c:v>42530</c:v>
                </c:pt>
                <c:pt idx="242">
                  <c:v>42531</c:v>
                </c:pt>
                <c:pt idx="243">
                  <c:v>42534</c:v>
                </c:pt>
                <c:pt idx="244">
                  <c:v>42535</c:v>
                </c:pt>
                <c:pt idx="245">
                  <c:v>42536</c:v>
                </c:pt>
                <c:pt idx="246">
                  <c:v>42537</c:v>
                </c:pt>
                <c:pt idx="247">
                  <c:v>42538</c:v>
                </c:pt>
                <c:pt idx="248">
                  <c:v>42541</c:v>
                </c:pt>
                <c:pt idx="249">
                  <c:v>42542</c:v>
                </c:pt>
                <c:pt idx="250">
                  <c:v>42543</c:v>
                </c:pt>
                <c:pt idx="251">
                  <c:v>42544</c:v>
                </c:pt>
                <c:pt idx="252">
                  <c:v>42545</c:v>
                </c:pt>
                <c:pt idx="253">
                  <c:v>42548</c:v>
                </c:pt>
                <c:pt idx="254">
                  <c:v>42549</c:v>
                </c:pt>
                <c:pt idx="255">
                  <c:v>42550</c:v>
                </c:pt>
                <c:pt idx="256">
                  <c:v>42551</c:v>
                </c:pt>
                <c:pt idx="257">
                  <c:v>42552</c:v>
                </c:pt>
                <c:pt idx="258">
                  <c:v>42555</c:v>
                </c:pt>
                <c:pt idx="259">
                  <c:v>42556</c:v>
                </c:pt>
                <c:pt idx="260">
                  <c:v>42557</c:v>
                </c:pt>
                <c:pt idx="261">
                  <c:v>42558</c:v>
                </c:pt>
                <c:pt idx="262">
                  <c:v>42559</c:v>
                </c:pt>
                <c:pt idx="263">
                  <c:v>42562</c:v>
                </c:pt>
                <c:pt idx="264">
                  <c:v>42563</c:v>
                </c:pt>
                <c:pt idx="265">
                  <c:v>42564</c:v>
                </c:pt>
                <c:pt idx="266">
                  <c:v>42565</c:v>
                </c:pt>
                <c:pt idx="267">
                  <c:v>42566</c:v>
                </c:pt>
                <c:pt idx="268">
                  <c:v>42569</c:v>
                </c:pt>
                <c:pt idx="269">
                  <c:v>42570</c:v>
                </c:pt>
                <c:pt idx="270">
                  <c:v>42571</c:v>
                </c:pt>
                <c:pt idx="271">
                  <c:v>42572</c:v>
                </c:pt>
                <c:pt idx="272">
                  <c:v>42573</c:v>
                </c:pt>
                <c:pt idx="273">
                  <c:v>42576</c:v>
                </c:pt>
                <c:pt idx="274">
                  <c:v>42577</c:v>
                </c:pt>
                <c:pt idx="275">
                  <c:v>42578</c:v>
                </c:pt>
                <c:pt idx="276">
                  <c:v>42579</c:v>
                </c:pt>
                <c:pt idx="277">
                  <c:v>42580</c:v>
                </c:pt>
                <c:pt idx="278">
                  <c:v>42583</c:v>
                </c:pt>
                <c:pt idx="279">
                  <c:v>42584</c:v>
                </c:pt>
                <c:pt idx="280">
                  <c:v>42585</c:v>
                </c:pt>
                <c:pt idx="281">
                  <c:v>42586</c:v>
                </c:pt>
                <c:pt idx="282">
                  <c:v>42587</c:v>
                </c:pt>
                <c:pt idx="283">
                  <c:v>42590</c:v>
                </c:pt>
                <c:pt idx="284">
                  <c:v>42591</c:v>
                </c:pt>
                <c:pt idx="285">
                  <c:v>42592</c:v>
                </c:pt>
                <c:pt idx="286">
                  <c:v>42593</c:v>
                </c:pt>
                <c:pt idx="287">
                  <c:v>42594</c:v>
                </c:pt>
                <c:pt idx="288">
                  <c:v>42597</c:v>
                </c:pt>
                <c:pt idx="289">
                  <c:v>42598</c:v>
                </c:pt>
                <c:pt idx="290">
                  <c:v>42599</c:v>
                </c:pt>
                <c:pt idx="291">
                  <c:v>42600</c:v>
                </c:pt>
                <c:pt idx="292">
                  <c:v>42601</c:v>
                </c:pt>
                <c:pt idx="293">
                  <c:v>42604</c:v>
                </c:pt>
                <c:pt idx="294">
                  <c:v>42605</c:v>
                </c:pt>
                <c:pt idx="295">
                  <c:v>42606</c:v>
                </c:pt>
                <c:pt idx="296">
                  <c:v>42607</c:v>
                </c:pt>
                <c:pt idx="297">
                  <c:v>42608</c:v>
                </c:pt>
                <c:pt idx="298">
                  <c:v>42611</c:v>
                </c:pt>
                <c:pt idx="299">
                  <c:v>42612</c:v>
                </c:pt>
                <c:pt idx="300">
                  <c:v>42613</c:v>
                </c:pt>
                <c:pt idx="301">
                  <c:v>42614</c:v>
                </c:pt>
                <c:pt idx="302">
                  <c:v>42615</c:v>
                </c:pt>
                <c:pt idx="303">
                  <c:v>42618</c:v>
                </c:pt>
                <c:pt idx="304">
                  <c:v>42619</c:v>
                </c:pt>
                <c:pt idx="305">
                  <c:v>42620</c:v>
                </c:pt>
                <c:pt idx="306">
                  <c:v>42621</c:v>
                </c:pt>
                <c:pt idx="307">
                  <c:v>42622</c:v>
                </c:pt>
                <c:pt idx="308">
                  <c:v>42625</c:v>
                </c:pt>
                <c:pt idx="309">
                  <c:v>42626</c:v>
                </c:pt>
                <c:pt idx="310">
                  <c:v>42627</c:v>
                </c:pt>
                <c:pt idx="311">
                  <c:v>42628</c:v>
                </c:pt>
                <c:pt idx="312">
                  <c:v>42629</c:v>
                </c:pt>
                <c:pt idx="313">
                  <c:v>42632</c:v>
                </c:pt>
                <c:pt idx="314">
                  <c:v>42633</c:v>
                </c:pt>
                <c:pt idx="315">
                  <c:v>42634</c:v>
                </c:pt>
                <c:pt idx="316">
                  <c:v>42635</c:v>
                </c:pt>
                <c:pt idx="317">
                  <c:v>42636</c:v>
                </c:pt>
                <c:pt idx="318">
                  <c:v>42639</c:v>
                </c:pt>
                <c:pt idx="319">
                  <c:v>42640</c:v>
                </c:pt>
                <c:pt idx="320">
                  <c:v>42641</c:v>
                </c:pt>
                <c:pt idx="321">
                  <c:v>42642</c:v>
                </c:pt>
                <c:pt idx="322">
                  <c:v>42643</c:v>
                </c:pt>
                <c:pt idx="323">
                  <c:v>42646</c:v>
                </c:pt>
                <c:pt idx="324">
                  <c:v>42647</c:v>
                </c:pt>
                <c:pt idx="325">
                  <c:v>42648</c:v>
                </c:pt>
                <c:pt idx="326">
                  <c:v>42649</c:v>
                </c:pt>
                <c:pt idx="327">
                  <c:v>42650</c:v>
                </c:pt>
                <c:pt idx="328">
                  <c:v>42653</c:v>
                </c:pt>
                <c:pt idx="329">
                  <c:v>42654</c:v>
                </c:pt>
                <c:pt idx="330">
                  <c:v>42655</c:v>
                </c:pt>
                <c:pt idx="331">
                  <c:v>42656</c:v>
                </c:pt>
                <c:pt idx="332">
                  <c:v>42657</c:v>
                </c:pt>
                <c:pt idx="333">
                  <c:v>42660</c:v>
                </c:pt>
                <c:pt idx="334">
                  <c:v>42661</c:v>
                </c:pt>
                <c:pt idx="335">
                  <c:v>42662</c:v>
                </c:pt>
                <c:pt idx="336">
                  <c:v>42663</c:v>
                </c:pt>
                <c:pt idx="337">
                  <c:v>42664</c:v>
                </c:pt>
                <c:pt idx="338">
                  <c:v>42667</c:v>
                </c:pt>
                <c:pt idx="339">
                  <c:v>42668</c:v>
                </c:pt>
                <c:pt idx="340">
                  <c:v>42669</c:v>
                </c:pt>
                <c:pt idx="341">
                  <c:v>42670</c:v>
                </c:pt>
                <c:pt idx="342">
                  <c:v>42671</c:v>
                </c:pt>
                <c:pt idx="343">
                  <c:v>42674</c:v>
                </c:pt>
                <c:pt idx="344">
                  <c:v>42675</c:v>
                </c:pt>
                <c:pt idx="345">
                  <c:v>42676</c:v>
                </c:pt>
                <c:pt idx="346">
                  <c:v>42677</c:v>
                </c:pt>
                <c:pt idx="347">
                  <c:v>42678</c:v>
                </c:pt>
                <c:pt idx="348">
                  <c:v>42681</c:v>
                </c:pt>
                <c:pt idx="349">
                  <c:v>42682</c:v>
                </c:pt>
                <c:pt idx="350">
                  <c:v>42683</c:v>
                </c:pt>
                <c:pt idx="351">
                  <c:v>42684</c:v>
                </c:pt>
                <c:pt idx="352">
                  <c:v>42685</c:v>
                </c:pt>
                <c:pt idx="353">
                  <c:v>42688</c:v>
                </c:pt>
                <c:pt idx="354">
                  <c:v>42689</c:v>
                </c:pt>
                <c:pt idx="355">
                  <c:v>42690</c:v>
                </c:pt>
                <c:pt idx="356">
                  <c:v>42691</c:v>
                </c:pt>
                <c:pt idx="357">
                  <c:v>42692</c:v>
                </c:pt>
                <c:pt idx="358">
                  <c:v>42695</c:v>
                </c:pt>
                <c:pt idx="359">
                  <c:v>42696</c:v>
                </c:pt>
                <c:pt idx="360">
                  <c:v>42697</c:v>
                </c:pt>
                <c:pt idx="361">
                  <c:v>42698</c:v>
                </c:pt>
                <c:pt idx="362">
                  <c:v>42699</c:v>
                </c:pt>
                <c:pt idx="363">
                  <c:v>42702</c:v>
                </c:pt>
                <c:pt idx="364">
                  <c:v>42703</c:v>
                </c:pt>
                <c:pt idx="365">
                  <c:v>42704</c:v>
                </c:pt>
                <c:pt idx="366">
                  <c:v>42705</c:v>
                </c:pt>
                <c:pt idx="367">
                  <c:v>42706</c:v>
                </c:pt>
                <c:pt idx="368">
                  <c:v>42709</c:v>
                </c:pt>
                <c:pt idx="369">
                  <c:v>42710</c:v>
                </c:pt>
                <c:pt idx="370">
                  <c:v>42711</c:v>
                </c:pt>
                <c:pt idx="371">
                  <c:v>42712</c:v>
                </c:pt>
                <c:pt idx="372">
                  <c:v>42713</c:v>
                </c:pt>
                <c:pt idx="373">
                  <c:v>42716</c:v>
                </c:pt>
                <c:pt idx="374">
                  <c:v>42717</c:v>
                </c:pt>
                <c:pt idx="375">
                  <c:v>42718</c:v>
                </c:pt>
                <c:pt idx="376">
                  <c:v>42719</c:v>
                </c:pt>
                <c:pt idx="377">
                  <c:v>42720</c:v>
                </c:pt>
                <c:pt idx="378">
                  <c:v>42723</c:v>
                </c:pt>
                <c:pt idx="379">
                  <c:v>42724</c:v>
                </c:pt>
                <c:pt idx="380">
                  <c:v>42725</c:v>
                </c:pt>
                <c:pt idx="381">
                  <c:v>42726</c:v>
                </c:pt>
                <c:pt idx="382">
                  <c:v>42727</c:v>
                </c:pt>
                <c:pt idx="383">
                  <c:v>42731</c:v>
                </c:pt>
                <c:pt idx="384">
                  <c:v>42732</c:v>
                </c:pt>
                <c:pt idx="385">
                  <c:v>42733</c:v>
                </c:pt>
                <c:pt idx="386">
                  <c:v>42734</c:v>
                </c:pt>
                <c:pt idx="387">
                  <c:v>42737</c:v>
                </c:pt>
                <c:pt idx="388">
                  <c:v>42738</c:v>
                </c:pt>
                <c:pt idx="389">
                  <c:v>42739</c:v>
                </c:pt>
                <c:pt idx="390">
                  <c:v>42740</c:v>
                </c:pt>
                <c:pt idx="391">
                  <c:v>42741</c:v>
                </c:pt>
                <c:pt idx="392">
                  <c:v>42744</c:v>
                </c:pt>
                <c:pt idx="393">
                  <c:v>42745</c:v>
                </c:pt>
                <c:pt idx="394">
                  <c:v>42746</c:v>
                </c:pt>
                <c:pt idx="395">
                  <c:v>42747</c:v>
                </c:pt>
                <c:pt idx="396">
                  <c:v>42748</c:v>
                </c:pt>
                <c:pt idx="397">
                  <c:v>42751</c:v>
                </c:pt>
                <c:pt idx="398">
                  <c:v>42752</c:v>
                </c:pt>
                <c:pt idx="399">
                  <c:v>42753</c:v>
                </c:pt>
                <c:pt idx="400">
                  <c:v>42754</c:v>
                </c:pt>
                <c:pt idx="401">
                  <c:v>42755</c:v>
                </c:pt>
                <c:pt idx="402">
                  <c:v>42758</c:v>
                </c:pt>
                <c:pt idx="403">
                  <c:v>42759</c:v>
                </c:pt>
                <c:pt idx="404">
                  <c:v>42760</c:v>
                </c:pt>
                <c:pt idx="405">
                  <c:v>42761</c:v>
                </c:pt>
                <c:pt idx="406">
                  <c:v>42762</c:v>
                </c:pt>
                <c:pt idx="407">
                  <c:v>42765</c:v>
                </c:pt>
                <c:pt idx="408">
                  <c:v>42766</c:v>
                </c:pt>
                <c:pt idx="409">
                  <c:v>42767</c:v>
                </c:pt>
                <c:pt idx="410">
                  <c:v>42768</c:v>
                </c:pt>
                <c:pt idx="411">
                  <c:v>42769</c:v>
                </c:pt>
                <c:pt idx="412">
                  <c:v>42772</c:v>
                </c:pt>
                <c:pt idx="413">
                  <c:v>42773</c:v>
                </c:pt>
                <c:pt idx="414">
                  <c:v>42774</c:v>
                </c:pt>
                <c:pt idx="415">
                  <c:v>42775</c:v>
                </c:pt>
                <c:pt idx="416">
                  <c:v>42776</c:v>
                </c:pt>
                <c:pt idx="417">
                  <c:v>42779</c:v>
                </c:pt>
                <c:pt idx="418">
                  <c:v>42780</c:v>
                </c:pt>
                <c:pt idx="419">
                  <c:v>42781</c:v>
                </c:pt>
                <c:pt idx="420">
                  <c:v>42782</c:v>
                </c:pt>
                <c:pt idx="421">
                  <c:v>42783</c:v>
                </c:pt>
                <c:pt idx="422">
                  <c:v>42786</c:v>
                </c:pt>
                <c:pt idx="423">
                  <c:v>42787</c:v>
                </c:pt>
                <c:pt idx="424">
                  <c:v>42788</c:v>
                </c:pt>
                <c:pt idx="425">
                  <c:v>42789</c:v>
                </c:pt>
                <c:pt idx="426">
                  <c:v>42790</c:v>
                </c:pt>
                <c:pt idx="427">
                  <c:v>42793</c:v>
                </c:pt>
                <c:pt idx="428">
                  <c:v>42794</c:v>
                </c:pt>
                <c:pt idx="429">
                  <c:v>42795</c:v>
                </c:pt>
                <c:pt idx="430">
                  <c:v>42796</c:v>
                </c:pt>
                <c:pt idx="431">
                  <c:v>42797</c:v>
                </c:pt>
                <c:pt idx="432">
                  <c:v>42800</c:v>
                </c:pt>
                <c:pt idx="433">
                  <c:v>42801</c:v>
                </c:pt>
                <c:pt idx="434">
                  <c:v>42802</c:v>
                </c:pt>
                <c:pt idx="435">
                  <c:v>42803</c:v>
                </c:pt>
                <c:pt idx="436">
                  <c:v>42804</c:v>
                </c:pt>
                <c:pt idx="437">
                  <c:v>42807</c:v>
                </c:pt>
                <c:pt idx="438">
                  <c:v>42808</c:v>
                </c:pt>
                <c:pt idx="439">
                  <c:v>42809</c:v>
                </c:pt>
                <c:pt idx="440">
                  <c:v>42810</c:v>
                </c:pt>
                <c:pt idx="441">
                  <c:v>42811</c:v>
                </c:pt>
                <c:pt idx="442">
                  <c:v>42814</c:v>
                </c:pt>
                <c:pt idx="443">
                  <c:v>42815</c:v>
                </c:pt>
                <c:pt idx="444">
                  <c:v>42816</c:v>
                </c:pt>
                <c:pt idx="445">
                  <c:v>42817</c:v>
                </c:pt>
                <c:pt idx="446">
                  <c:v>42818</c:v>
                </c:pt>
                <c:pt idx="447">
                  <c:v>42821</c:v>
                </c:pt>
                <c:pt idx="448">
                  <c:v>42822</c:v>
                </c:pt>
                <c:pt idx="449">
                  <c:v>42823</c:v>
                </c:pt>
                <c:pt idx="450">
                  <c:v>42824</c:v>
                </c:pt>
                <c:pt idx="451">
                  <c:v>42825</c:v>
                </c:pt>
                <c:pt idx="452">
                  <c:v>42828</c:v>
                </c:pt>
                <c:pt idx="453">
                  <c:v>42829</c:v>
                </c:pt>
                <c:pt idx="454">
                  <c:v>42830</c:v>
                </c:pt>
                <c:pt idx="455">
                  <c:v>42831</c:v>
                </c:pt>
                <c:pt idx="456">
                  <c:v>42832</c:v>
                </c:pt>
                <c:pt idx="457">
                  <c:v>42835</c:v>
                </c:pt>
                <c:pt idx="458">
                  <c:v>42836</c:v>
                </c:pt>
                <c:pt idx="459">
                  <c:v>42837</c:v>
                </c:pt>
                <c:pt idx="460">
                  <c:v>42838</c:v>
                </c:pt>
                <c:pt idx="461">
                  <c:v>42843</c:v>
                </c:pt>
                <c:pt idx="462">
                  <c:v>42844</c:v>
                </c:pt>
                <c:pt idx="463">
                  <c:v>42845</c:v>
                </c:pt>
                <c:pt idx="464">
                  <c:v>42846</c:v>
                </c:pt>
                <c:pt idx="465">
                  <c:v>42849</c:v>
                </c:pt>
                <c:pt idx="466">
                  <c:v>42850</c:v>
                </c:pt>
                <c:pt idx="467">
                  <c:v>42851</c:v>
                </c:pt>
                <c:pt idx="468">
                  <c:v>42852</c:v>
                </c:pt>
                <c:pt idx="469">
                  <c:v>42853</c:v>
                </c:pt>
                <c:pt idx="470">
                  <c:v>42857</c:v>
                </c:pt>
                <c:pt idx="471">
                  <c:v>42858</c:v>
                </c:pt>
                <c:pt idx="472">
                  <c:v>42859</c:v>
                </c:pt>
                <c:pt idx="473">
                  <c:v>42860</c:v>
                </c:pt>
                <c:pt idx="474">
                  <c:v>42863</c:v>
                </c:pt>
                <c:pt idx="475">
                  <c:v>42864</c:v>
                </c:pt>
                <c:pt idx="476">
                  <c:v>42865</c:v>
                </c:pt>
                <c:pt idx="477">
                  <c:v>42866</c:v>
                </c:pt>
                <c:pt idx="478">
                  <c:v>42867</c:v>
                </c:pt>
                <c:pt idx="479">
                  <c:v>42870</c:v>
                </c:pt>
                <c:pt idx="480">
                  <c:v>42871</c:v>
                </c:pt>
                <c:pt idx="481">
                  <c:v>42872</c:v>
                </c:pt>
                <c:pt idx="482">
                  <c:v>42873</c:v>
                </c:pt>
                <c:pt idx="483">
                  <c:v>42874</c:v>
                </c:pt>
                <c:pt idx="484">
                  <c:v>42877</c:v>
                </c:pt>
                <c:pt idx="485">
                  <c:v>42878</c:v>
                </c:pt>
                <c:pt idx="486">
                  <c:v>42879</c:v>
                </c:pt>
                <c:pt idx="487">
                  <c:v>42880</c:v>
                </c:pt>
                <c:pt idx="488">
                  <c:v>42881</c:v>
                </c:pt>
                <c:pt idx="489">
                  <c:v>42884</c:v>
                </c:pt>
                <c:pt idx="490">
                  <c:v>42885</c:v>
                </c:pt>
                <c:pt idx="491">
                  <c:v>42886</c:v>
                </c:pt>
                <c:pt idx="492">
                  <c:v>42887</c:v>
                </c:pt>
                <c:pt idx="493">
                  <c:v>42888</c:v>
                </c:pt>
                <c:pt idx="494">
                  <c:v>42891</c:v>
                </c:pt>
                <c:pt idx="495">
                  <c:v>42892</c:v>
                </c:pt>
                <c:pt idx="496">
                  <c:v>42893</c:v>
                </c:pt>
                <c:pt idx="497">
                  <c:v>42894</c:v>
                </c:pt>
                <c:pt idx="498">
                  <c:v>42895</c:v>
                </c:pt>
                <c:pt idx="499">
                  <c:v>42898</c:v>
                </c:pt>
                <c:pt idx="500">
                  <c:v>42899</c:v>
                </c:pt>
                <c:pt idx="501">
                  <c:v>42900</c:v>
                </c:pt>
                <c:pt idx="502">
                  <c:v>42901</c:v>
                </c:pt>
                <c:pt idx="503">
                  <c:v>42902</c:v>
                </c:pt>
                <c:pt idx="504">
                  <c:v>42905</c:v>
                </c:pt>
                <c:pt idx="505">
                  <c:v>42906</c:v>
                </c:pt>
                <c:pt idx="506">
                  <c:v>42907</c:v>
                </c:pt>
                <c:pt idx="507">
                  <c:v>42908</c:v>
                </c:pt>
                <c:pt idx="508">
                  <c:v>42909</c:v>
                </c:pt>
                <c:pt idx="509">
                  <c:v>42912</c:v>
                </c:pt>
                <c:pt idx="510">
                  <c:v>42913</c:v>
                </c:pt>
                <c:pt idx="511">
                  <c:v>42914</c:v>
                </c:pt>
                <c:pt idx="512">
                  <c:v>42915</c:v>
                </c:pt>
                <c:pt idx="513">
                  <c:v>42916</c:v>
                </c:pt>
                <c:pt idx="514">
                  <c:v>42919</c:v>
                </c:pt>
                <c:pt idx="515">
                  <c:v>42920</c:v>
                </c:pt>
                <c:pt idx="516">
                  <c:v>42921</c:v>
                </c:pt>
                <c:pt idx="517">
                  <c:v>42922</c:v>
                </c:pt>
                <c:pt idx="518">
                  <c:v>42929</c:v>
                </c:pt>
                <c:pt idx="519">
                  <c:v>42936</c:v>
                </c:pt>
                <c:pt idx="520">
                  <c:v>42943</c:v>
                </c:pt>
                <c:pt idx="521">
                  <c:v>42950</c:v>
                </c:pt>
                <c:pt idx="522">
                  <c:v>42957</c:v>
                </c:pt>
                <c:pt idx="523">
                  <c:v>42964</c:v>
                </c:pt>
                <c:pt idx="524">
                  <c:v>42971</c:v>
                </c:pt>
                <c:pt idx="525">
                  <c:v>42978</c:v>
                </c:pt>
                <c:pt idx="526">
                  <c:v>42985</c:v>
                </c:pt>
                <c:pt idx="527">
                  <c:v>42992</c:v>
                </c:pt>
                <c:pt idx="528">
                  <c:v>42999</c:v>
                </c:pt>
                <c:pt idx="529">
                  <c:v>43006</c:v>
                </c:pt>
                <c:pt idx="530">
                  <c:v>43013</c:v>
                </c:pt>
                <c:pt idx="531">
                  <c:v>43020</c:v>
                </c:pt>
                <c:pt idx="532">
                  <c:v>43027</c:v>
                </c:pt>
                <c:pt idx="533">
                  <c:v>43034</c:v>
                </c:pt>
                <c:pt idx="534">
                  <c:v>43041</c:v>
                </c:pt>
                <c:pt idx="535">
                  <c:v>43048</c:v>
                </c:pt>
                <c:pt idx="536">
                  <c:v>43055</c:v>
                </c:pt>
                <c:pt idx="537">
                  <c:v>43062</c:v>
                </c:pt>
                <c:pt idx="538">
                  <c:v>43069</c:v>
                </c:pt>
                <c:pt idx="539">
                  <c:v>43076</c:v>
                </c:pt>
                <c:pt idx="540">
                  <c:v>43083</c:v>
                </c:pt>
                <c:pt idx="541">
                  <c:v>43090</c:v>
                </c:pt>
                <c:pt idx="542">
                  <c:v>43098</c:v>
                </c:pt>
                <c:pt idx="543">
                  <c:v>43105</c:v>
                </c:pt>
                <c:pt idx="544">
                  <c:v>43112</c:v>
                </c:pt>
                <c:pt idx="545">
                  <c:v>43119</c:v>
                </c:pt>
                <c:pt idx="546">
                  <c:v>43126</c:v>
                </c:pt>
                <c:pt idx="547">
                  <c:v>43133</c:v>
                </c:pt>
                <c:pt idx="548">
                  <c:v>43140</c:v>
                </c:pt>
                <c:pt idx="549">
                  <c:v>43147</c:v>
                </c:pt>
                <c:pt idx="550">
                  <c:v>43154</c:v>
                </c:pt>
                <c:pt idx="551">
                  <c:v>43161</c:v>
                </c:pt>
                <c:pt idx="552">
                  <c:v>43168</c:v>
                </c:pt>
                <c:pt idx="553">
                  <c:v>43175</c:v>
                </c:pt>
                <c:pt idx="554">
                  <c:v>43182</c:v>
                </c:pt>
                <c:pt idx="555">
                  <c:v>43193</c:v>
                </c:pt>
                <c:pt idx="556">
                  <c:v>43196</c:v>
                </c:pt>
                <c:pt idx="557">
                  <c:v>43203</c:v>
                </c:pt>
                <c:pt idx="558">
                  <c:v>43210</c:v>
                </c:pt>
                <c:pt idx="559">
                  <c:v>43217</c:v>
                </c:pt>
                <c:pt idx="560">
                  <c:v>43224</c:v>
                </c:pt>
                <c:pt idx="561">
                  <c:v>43231</c:v>
                </c:pt>
                <c:pt idx="562">
                  <c:v>43238</c:v>
                </c:pt>
                <c:pt idx="563">
                  <c:v>43245</c:v>
                </c:pt>
                <c:pt idx="564">
                  <c:v>43252</c:v>
                </c:pt>
                <c:pt idx="565">
                  <c:v>43259</c:v>
                </c:pt>
                <c:pt idx="566">
                  <c:v>43266</c:v>
                </c:pt>
                <c:pt idx="567">
                  <c:v>43273</c:v>
                </c:pt>
                <c:pt idx="568">
                  <c:v>43280</c:v>
                </c:pt>
                <c:pt idx="569">
                  <c:v>43287</c:v>
                </c:pt>
                <c:pt idx="570">
                  <c:v>43294</c:v>
                </c:pt>
                <c:pt idx="571">
                  <c:v>43301</c:v>
                </c:pt>
                <c:pt idx="572">
                  <c:v>43308</c:v>
                </c:pt>
                <c:pt idx="573">
                  <c:v>43315</c:v>
                </c:pt>
                <c:pt idx="574">
                  <c:v>43322</c:v>
                </c:pt>
                <c:pt idx="575">
                  <c:v>43329</c:v>
                </c:pt>
                <c:pt idx="576">
                  <c:v>43336</c:v>
                </c:pt>
                <c:pt idx="577">
                  <c:v>43343</c:v>
                </c:pt>
                <c:pt idx="578">
                  <c:v>43350</c:v>
                </c:pt>
                <c:pt idx="579">
                  <c:v>43357</c:v>
                </c:pt>
                <c:pt idx="580">
                  <c:v>43364</c:v>
                </c:pt>
                <c:pt idx="581">
                  <c:v>43371</c:v>
                </c:pt>
                <c:pt idx="582">
                  <c:v>43378</c:v>
                </c:pt>
                <c:pt idx="583">
                  <c:v>43385</c:v>
                </c:pt>
                <c:pt idx="584">
                  <c:v>43392</c:v>
                </c:pt>
                <c:pt idx="585">
                  <c:v>43399</c:v>
                </c:pt>
                <c:pt idx="586">
                  <c:v>43406</c:v>
                </c:pt>
                <c:pt idx="587">
                  <c:v>43413</c:v>
                </c:pt>
                <c:pt idx="588">
                  <c:v>43420</c:v>
                </c:pt>
                <c:pt idx="589">
                  <c:v>43427</c:v>
                </c:pt>
                <c:pt idx="590">
                  <c:v>43434</c:v>
                </c:pt>
                <c:pt idx="591">
                  <c:v>43441</c:v>
                </c:pt>
                <c:pt idx="592">
                  <c:v>43448</c:v>
                </c:pt>
                <c:pt idx="593">
                  <c:v>43455</c:v>
                </c:pt>
                <c:pt idx="594">
                  <c:v>43465</c:v>
                </c:pt>
                <c:pt idx="595">
                  <c:v>43472</c:v>
                </c:pt>
                <c:pt idx="596">
                  <c:v>43479</c:v>
                </c:pt>
                <c:pt idx="597">
                  <c:v>43486</c:v>
                </c:pt>
                <c:pt idx="598">
                  <c:v>43493</c:v>
                </c:pt>
                <c:pt idx="599">
                  <c:v>43500</c:v>
                </c:pt>
                <c:pt idx="600">
                  <c:v>43507</c:v>
                </c:pt>
                <c:pt idx="601">
                  <c:v>43514</c:v>
                </c:pt>
                <c:pt idx="602">
                  <c:v>43521</c:v>
                </c:pt>
                <c:pt idx="603">
                  <c:v>43528</c:v>
                </c:pt>
                <c:pt idx="604">
                  <c:v>43535</c:v>
                </c:pt>
                <c:pt idx="605">
                  <c:v>43542</c:v>
                </c:pt>
                <c:pt idx="606">
                  <c:v>43549</c:v>
                </c:pt>
                <c:pt idx="607">
                  <c:v>43556</c:v>
                </c:pt>
                <c:pt idx="608">
                  <c:v>43563</c:v>
                </c:pt>
                <c:pt idx="609">
                  <c:v>43570</c:v>
                </c:pt>
                <c:pt idx="610">
                  <c:v>43579</c:v>
                </c:pt>
                <c:pt idx="611">
                  <c:v>43584</c:v>
                </c:pt>
                <c:pt idx="612">
                  <c:v>43591</c:v>
                </c:pt>
                <c:pt idx="613">
                  <c:v>43598</c:v>
                </c:pt>
                <c:pt idx="614">
                  <c:v>43605</c:v>
                </c:pt>
                <c:pt idx="615">
                  <c:v>43612</c:v>
                </c:pt>
                <c:pt idx="616">
                  <c:v>43619</c:v>
                </c:pt>
                <c:pt idx="617">
                  <c:v>43626</c:v>
                </c:pt>
                <c:pt idx="618">
                  <c:v>43633</c:v>
                </c:pt>
                <c:pt idx="619">
                  <c:v>43640</c:v>
                </c:pt>
                <c:pt idx="620">
                  <c:v>43647</c:v>
                </c:pt>
                <c:pt idx="621">
                  <c:v>43654</c:v>
                </c:pt>
                <c:pt idx="622">
                  <c:v>43661</c:v>
                </c:pt>
                <c:pt idx="623">
                  <c:v>43668</c:v>
                </c:pt>
                <c:pt idx="624">
                  <c:v>43675</c:v>
                </c:pt>
                <c:pt idx="625">
                  <c:v>43682</c:v>
                </c:pt>
                <c:pt idx="626">
                  <c:v>43689</c:v>
                </c:pt>
                <c:pt idx="627">
                  <c:v>43696</c:v>
                </c:pt>
                <c:pt idx="628">
                  <c:v>43703</c:v>
                </c:pt>
                <c:pt idx="629">
                  <c:v>43710</c:v>
                </c:pt>
                <c:pt idx="630">
                  <c:v>43717</c:v>
                </c:pt>
                <c:pt idx="631">
                  <c:v>43724</c:v>
                </c:pt>
                <c:pt idx="632">
                  <c:v>43731</c:v>
                </c:pt>
                <c:pt idx="633">
                  <c:v>43738</c:v>
                </c:pt>
                <c:pt idx="634">
                  <c:v>43745</c:v>
                </c:pt>
                <c:pt idx="635">
                  <c:v>43752</c:v>
                </c:pt>
                <c:pt idx="636">
                  <c:v>43759</c:v>
                </c:pt>
                <c:pt idx="637">
                  <c:v>43766</c:v>
                </c:pt>
                <c:pt idx="638">
                  <c:v>43773</c:v>
                </c:pt>
                <c:pt idx="639">
                  <c:v>43780</c:v>
                </c:pt>
                <c:pt idx="640">
                  <c:v>43787</c:v>
                </c:pt>
                <c:pt idx="641">
                  <c:v>43794</c:v>
                </c:pt>
                <c:pt idx="642">
                  <c:v>43801</c:v>
                </c:pt>
                <c:pt idx="643">
                  <c:v>43808</c:v>
                </c:pt>
                <c:pt idx="644">
                  <c:v>43815</c:v>
                </c:pt>
                <c:pt idx="645">
                  <c:v>43822</c:v>
                </c:pt>
                <c:pt idx="646">
                  <c:v>43830</c:v>
                </c:pt>
                <c:pt idx="647">
                  <c:v>43837</c:v>
                </c:pt>
                <c:pt idx="648">
                  <c:v>43844</c:v>
                </c:pt>
                <c:pt idx="649">
                  <c:v>43851</c:v>
                </c:pt>
                <c:pt idx="650">
                  <c:v>43858</c:v>
                </c:pt>
                <c:pt idx="651">
                  <c:v>43865</c:v>
                </c:pt>
                <c:pt idx="652">
                  <c:v>43872</c:v>
                </c:pt>
                <c:pt idx="653">
                  <c:v>43879</c:v>
                </c:pt>
                <c:pt idx="654">
                  <c:v>43886</c:v>
                </c:pt>
                <c:pt idx="655">
                  <c:v>43893</c:v>
                </c:pt>
                <c:pt idx="656">
                  <c:v>43900</c:v>
                </c:pt>
                <c:pt idx="657">
                  <c:v>43907</c:v>
                </c:pt>
                <c:pt idx="658">
                  <c:v>43914</c:v>
                </c:pt>
                <c:pt idx="659">
                  <c:v>43921</c:v>
                </c:pt>
                <c:pt idx="660">
                  <c:v>43928</c:v>
                </c:pt>
                <c:pt idx="661">
                  <c:v>43937</c:v>
                </c:pt>
                <c:pt idx="662">
                  <c:v>43944</c:v>
                </c:pt>
                <c:pt idx="663">
                  <c:v>43951</c:v>
                </c:pt>
                <c:pt idx="664">
                  <c:v>43958</c:v>
                </c:pt>
                <c:pt idx="665">
                  <c:v>43965</c:v>
                </c:pt>
                <c:pt idx="666">
                  <c:v>43972</c:v>
                </c:pt>
                <c:pt idx="667">
                  <c:v>43979</c:v>
                </c:pt>
                <c:pt idx="668">
                  <c:v>43986</c:v>
                </c:pt>
                <c:pt idx="669">
                  <c:v>43993</c:v>
                </c:pt>
                <c:pt idx="670">
                  <c:v>44000</c:v>
                </c:pt>
                <c:pt idx="671">
                  <c:v>44007</c:v>
                </c:pt>
                <c:pt idx="672">
                  <c:v>44014</c:v>
                </c:pt>
                <c:pt idx="673">
                  <c:v>44021</c:v>
                </c:pt>
                <c:pt idx="674">
                  <c:v>44028</c:v>
                </c:pt>
                <c:pt idx="675">
                  <c:v>44035</c:v>
                </c:pt>
                <c:pt idx="676">
                  <c:v>44042</c:v>
                </c:pt>
                <c:pt idx="677">
                  <c:v>44049</c:v>
                </c:pt>
                <c:pt idx="678">
                  <c:v>44056</c:v>
                </c:pt>
                <c:pt idx="679">
                  <c:v>44063</c:v>
                </c:pt>
                <c:pt idx="680">
                  <c:v>44070</c:v>
                </c:pt>
                <c:pt idx="681">
                  <c:v>44077</c:v>
                </c:pt>
                <c:pt idx="682">
                  <c:v>44084</c:v>
                </c:pt>
                <c:pt idx="683">
                  <c:v>44091</c:v>
                </c:pt>
                <c:pt idx="684">
                  <c:v>44098</c:v>
                </c:pt>
                <c:pt idx="685">
                  <c:v>44105</c:v>
                </c:pt>
                <c:pt idx="686">
                  <c:v>44112</c:v>
                </c:pt>
                <c:pt idx="687">
                  <c:v>44119</c:v>
                </c:pt>
                <c:pt idx="688">
                  <c:v>44126</c:v>
                </c:pt>
                <c:pt idx="689">
                  <c:v>44133</c:v>
                </c:pt>
                <c:pt idx="690">
                  <c:v>44140</c:v>
                </c:pt>
                <c:pt idx="691">
                  <c:v>44147</c:v>
                </c:pt>
                <c:pt idx="692">
                  <c:v>44154</c:v>
                </c:pt>
                <c:pt idx="693">
                  <c:v>44161</c:v>
                </c:pt>
                <c:pt idx="694">
                  <c:v>44168</c:v>
                </c:pt>
                <c:pt idx="695">
                  <c:v>44175</c:v>
                </c:pt>
                <c:pt idx="696">
                  <c:v>44182</c:v>
                </c:pt>
                <c:pt idx="697">
                  <c:v>44189</c:v>
                </c:pt>
                <c:pt idx="698">
                  <c:v>44196</c:v>
                </c:pt>
                <c:pt idx="699">
                  <c:v>44203</c:v>
                </c:pt>
                <c:pt idx="700">
                  <c:v>44210</c:v>
                </c:pt>
                <c:pt idx="701">
                  <c:v>44217</c:v>
                </c:pt>
                <c:pt idx="702">
                  <c:v>44224</c:v>
                </c:pt>
                <c:pt idx="703">
                  <c:v>44231</c:v>
                </c:pt>
                <c:pt idx="704">
                  <c:v>44238</c:v>
                </c:pt>
                <c:pt idx="705">
                  <c:v>44245</c:v>
                </c:pt>
                <c:pt idx="706">
                  <c:v>44252</c:v>
                </c:pt>
                <c:pt idx="707">
                  <c:v>44259</c:v>
                </c:pt>
                <c:pt idx="708">
                  <c:v>44266</c:v>
                </c:pt>
                <c:pt idx="709">
                  <c:v>44273</c:v>
                </c:pt>
                <c:pt idx="710">
                  <c:v>44280</c:v>
                </c:pt>
                <c:pt idx="711">
                  <c:v>44287</c:v>
                </c:pt>
                <c:pt idx="712">
                  <c:v>44294</c:v>
                </c:pt>
                <c:pt idx="713">
                  <c:v>44301</c:v>
                </c:pt>
                <c:pt idx="714">
                  <c:v>44308</c:v>
                </c:pt>
                <c:pt idx="715">
                  <c:v>44315</c:v>
                </c:pt>
                <c:pt idx="716">
                  <c:v>44322</c:v>
                </c:pt>
                <c:pt idx="717">
                  <c:v>44329</c:v>
                </c:pt>
                <c:pt idx="718">
                  <c:v>44336</c:v>
                </c:pt>
                <c:pt idx="719">
                  <c:v>44343</c:v>
                </c:pt>
                <c:pt idx="720">
                  <c:v>44350</c:v>
                </c:pt>
                <c:pt idx="721">
                  <c:v>44357</c:v>
                </c:pt>
                <c:pt idx="722">
                  <c:v>44364</c:v>
                </c:pt>
                <c:pt idx="723">
                  <c:v>44371</c:v>
                </c:pt>
                <c:pt idx="724">
                  <c:v>44378</c:v>
                </c:pt>
                <c:pt idx="725">
                  <c:v>44385</c:v>
                </c:pt>
                <c:pt idx="726">
                  <c:v>44392</c:v>
                </c:pt>
                <c:pt idx="727">
                  <c:v>44399</c:v>
                </c:pt>
                <c:pt idx="728">
                  <c:v>44406</c:v>
                </c:pt>
                <c:pt idx="729">
                  <c:v>44413</c:v>
                </c:pt>
                <c:pt idx="730">
                  <c:v>44420</c:v>
                </c:pt>
                <c:pt idx="731">
                  <c:v>44427</c:v>
                </c:pt>
                <c:pt idx="732">
                  <c:v>44434</c:v>
                </c:pt>
                <c:pt idx="733">
                  <c:v>44441</c:v>
                </c:pt>
                <c:pt idx="734">
                  <c:v>44448</c:v>
                </c:pt>
                <c:pt idx="735">
                  <c:v>44455</c:v>
                </c:pt>
                <c:pt idx="736">
                  <c:v>44462</c:v>
                </c:pt>
                <c:pt idx="737">
                  <c:v>44469</c:v>
                </c:pt>
                <c:pt idx="738">
                  <c:v>44476</c:v>
                </c:pt>
                <c:pt idx="739">
                  <c:v>44483</c:v>
                </c:pt>
                <c:pt idx="740">
                  <c:v>44490</c:v>
                </c:pt>
                <c:pt idx="741">
                  <c:v>44497</c:v>
                </c:pt>
                <c:pt idx="742">
                  <c:v>44504</c:v>
                </c:pt>
                <c:pt idx="743">
                  <c:v>44511</c:v>
                </c:pt>
                <c:pt idx="744">
                  <c:v>44518</c:v>
                </c:pt>
                <c:pt idx="745">
                  <c:v>44525</c:v>
                </c:pt>
                <c:pt idx="746">
                  <c:v>44532</c:v>
                </c:pt>
                <c:pt idx="747">
                  <c:v>44539</c:v>
                </c:pt>
                <c:pt idx="748">
                  <c:v>44546</c:v>
                </c:pt>
                <c:pt idx="749">
                  <c:v>44553</c:v>
                </c:pt>
                <c:pt idx="750">
                  <c:v>44560</c:v>
                </c:pt>
                <c:pt idx="751">
                  <c:v>44567</c:v>
                </c:pt>
                <c:pt idx="752">
                  <c:v>44574</c:v>
                </c:pt>
                <c:pt idx="753">
                  <c:v>44581</c:v>
                </c:pt>
                <c:pt idx="754">
                  <c:v>44588</c:v>
                </c:pt>
                <c:pt idx="755">
                  <c:v>44595</c:v>
                </c:pt>
                <c:pt idx="756">
                  <c:v>44602</c:v>
                </c:pt>
                <c:pt idx="757">
                  <c:v>44609</c:v>
                </c:pt>
                <c:pt idx="758">
                  <c:v>44616</c:v>
                </c:pt>
                <c:pt idx="759">
                  <c:v>44623</c:v>
                </c:pt>
                <c:pt idx="760">
                  <c:v>44630</c:v>
                </c:pt>
                <c:pt idx="761">
                  <c:v>44637</c:v>
                </c:pt>
                <c:pt idx="762">
                  <c:v>44644</c:v>
                </c:pt>
                <c:pt idx="763">
                  <c:v>44651</c:v>
                </c:pt>
                <c:pt idx="764">
                  <c:v>44658</c:v>
                </c:pt>
                <c:pt idx="765">
                  <c:v>44665</c:v>
                </c:pt>
                <c:pt idx="766">
                  <c:v>44672</c:v>
                </c:pt>
                <c:pt idx="767">
                  <c:v>44679</c:v>
                </c:pt>
                <c:pt idx="768">
                  <c:v>44686</c:v>
                </c:pt>
                <c:pt idx="769">
                  <c:v>44693</c:v>
                </c:pt>
                <c:pt idx="770">
                  <c:v>44700</c:v>
                </c:pt>
                <c:pt idx="771">
                  <c:v>44707</c:v>
                </c:pt>
                <c:pt idx="772">
                  <c:v>44714</c:v>
                </c:pt>
                <c:pt idx="773">
                  <c:v>44721</c:v>
                </c:pt>
                <c:pt idx="774">
                  <c:v>44728</c:v>
                </c:pt>
                <c:pt idx="775">
                  <c:v>44735</c:v>
                </c:pt>
                <c:pt idx="776">
                  <c:v>44742</c:v>
                </c:pt>
                <c:pt idx="777">
                  <c:v>44749</c:v>
                </c:pt>
                <c:pt idx="778">
                  <c:v>44756</c:v>
                </c:pt>
                <c:pt idx="779">
                  <c:v>44763</c:v>
                </c:pt>
                <c:pt idx="780">
                  <c:v>44770</c:v>
                </c:pt>
                <c:pt idx="781">
                  <c:v>44777</c:v>
                </c:pt>
                <c:pt idx="782">
                  <c:v>44784</c:v>
                </c:pt>
                <c:pt idx="783">
                  <c:v>44791</c:v>
                </c:pt>
                <c:pt idx="784">
                  <c:v>44798</c:v>
                </c:pt>
                <c:pt idx="785">
                  <c:v>44805</c:v>
                </c:pt>
                <c:pt idx="786">
                  <c:v>44812</c:v>
                </c:pt>
                <c:pt idx="787">
                  <c:v>44819</c:v>
                </c:pt>
                <c:pt idx="788">
                  <c:v>44826</c:v>
                </c:pt>
                <c:pt idx="789">
                  <c:v>44833</c:v>
                </c:pt>
                <c:pt idx="790">
                  <c:v>44840</c:v>
                </c:pt>
                <c:pt idx="791">
                  <c:v>44847</c:v>
                </c:pt>
                <c:pt idx="792">
                  <c:v>44854</c:v>
                </c:pt>
                <c:pt idx="793">
                  <c:v>44861</c:v>
                </c:pt>
                <c:pt idx="794">
                  <c:v>44868</c:v>
                </c:pt>
                <c:pt idx="795">
                  <c:v>44875</c:v>
                </c:pt>
                <c:pt idx="796">
                  <c:v>44882</c:v>
                </c:pt>
                <c:pt idx="797">
                  <c:v>44889</c:v>
                </c:pt>
                <c:pt idx="798">
                  <c:v>44896</c:v>
                </c:pt>
                <c:pt idx="799">
                  <c:v>44903</c:v>
                </c:pt>
                <c:pt idx="800">
                  <c:v>44910</c:v>
                </c:pt>
                <c:pt idx="801">
                  <c:v>44917</c:v>
                </c:pt>
                <c:pt idx="802">
                  <c:v>44924</c:v>
                </c:pt>
                <c:pt idx="803">
                  <c:v>44931</c:v>
                </c:pt>
                <c:pt idx="804">
                  <c:v>44938</c:v>
                </c:pt>
                <c:pt idx="805">
                  <c:v>44945</c:v>
                </c:pt>
                <c:pt idx="806">
                  <c:v>44952</c:v>
                </c:pt>
                <c:pt idx="807">
                  <c:v>44959</c:v>
                </c:pt>
                <c:pt idx="808">
                  <c:v>44966</c:v>
                </c:pt>
                <c:pt idx="809">
                  <c:v>44973</c:v>
                </c:pt>
                <c:pt idx="810">
                  <c:v>44980</c:v>
                </c:pt>
                <c:pt idx="811">
                  <c:v>44987</c:v>
                </c:pt>
                <c:pt idx="812">
                  <c:v>44994</c:v>
                </c:pt>
                <c:pt idx="813">
                  <c:v>45001</c:v>
                </c:pt>
                <c:pt idx="814">
                  <c:v>45008</c:v>
                </c:pt>
                <c:pt idx="815">
                  <c:v>45015</c:v>
                </c:pt>
                <c:pt idx="816">
                  <c:v>45022</c:v>
                </c:pt>
                <c:pt idx="817">
                  <c:v>45029</c:v>
                </c:pt>
                <c:pt idx="818">
                  <c:v>45036</c:v>
                </c:pt>
                <c:pt idx="819">
                  <c:v>45043</c:v>
                </c:pt>
                <c:pt idx="820">
                  <c:v>45050</c:v>
                </c:pt>
                <c:pt idx="821">
                  <c:v>45057</c:v>
                </c:pt>
                <c:pt idx="822">
                  <c:v>45064</c:v>
                </c:pt>
                <c:pt idx="823">
                  <c:v>45071</c:v>
                </c:pt>
                <c:pt idx="824">
                  <c:v>45078</c:v>
                </c:pt>
                <c:pt idx="825">
                  <c:v>45085</c:v>
                </c:pt>
                <c:pt idx="826">
                  <c:v>45092</c:v>
                </c:pt>
                <c:pt idx="827">
                  <c:v>45099</c:v>
                </c:pt>
                <c:pt idx="828">
                  <c:v>45106</c:v>
                </c:pt>
                <c:pt idx="829">
                  <c:v>45113</c:v>
                </c:pt>
                <c:pt idx="830">
                  <c:v>45120</c:v>
                </c:pt>
                <c:pt idx="831">
                  <c:v>45127</c:v>
                </c:pt>
                <c:pt idx="832">
                  <c:v>45134</c:v>
                </c:pt>
                <c:pt idx="833">
                  <c:v>45141</c:v>
                </c:pt>
                <c:pt idx="834">
                  <c:v>45148</c:v>
                </c:pt>
                <c:pt idx="835">
                  <c:v>45155</c:v>
                </c:pt>
                <c:pt idx="836">
                  <c:v>45162</c:v>
                </c:pt>
                <c:pt idx="837">
                  <c:v>45169</c:v>
                </c:pt>
                <c:pt idx="838">
                  <c:v>45176</c:v>
                </c:pt>
                <c:pt idx="839">
                  <c:v>45183</c:v>
                </c:pt>
                <c:pt idx="840">
                  <c:v>45190</c:v>
                </c:pt>
                <c:pt idx="841">
                  <c:v>45197</c:v>
                </c:pt>
                <c:pt idx="842">
                  <c:v>45204</c:v>
                </c:pt>
                <c:pt idx="843">
                  <c:v>45211</c:v>
                </c:pt>
                <c:pt idx="844">
                  <c:v>45218</c:v>
                </c:pt>
                <c:pt idx="845">
                  <c:v>45225</c:v>
                </c:pt>
                <c:pt idx="846">
                  <c:v>45232</c:v>
                </c:pt>
                <c:pt idx="847">
                  <c:v>45239</c:v>
                </c:pt>
                <c:pt idx="848">
                  <c:v>45246</c:v>
                </c:pt>
                <c:pt idx="849">
                  <c:v>45253</c:v>
                </c:pt>
                <c:pt idx="850">
                  <c:v>45260</c:v>
                </c:pt>
                <c:pt idx="851">
                  <c:v>45267</c:v>
                </c:pt>
                <c:pt idx="852">
                  <c:v>45274</c:v>
                </c:pt>
                <c:pt idx="853">
                  <c:v>45281</c:v>
                </c:pt>
                <c:pt idx="854">
                  <c:v>45289</c:v>
                </c:pt>
                <c:pt idx="855">
                  <c:v>45296</c:v>
                </c:pt>
                <c:pt idx="856">
                  <c:v>45303</c:v>
                </c:pt>
                <c:pt idx="857">
                  <c:v>45310</c:v>
                </c:pt>
                <c:pt idx="858">
                  <c:v>45317</c:v>
                </c:pt>
                <c:pt idx="859">
                  <c:v>45324</c:v>
                </c:pt>
                <c:pt idx="860">
                  <c:v>45331</c:v>
                </c:pt>
                <c:pt idx="861">
                  <c:v>45338</c:v>
                </c:pt>
                <c:pt idx="862">
                  <c:v>45345</c:v>
                </c:pt>
                <c:pt idx="863">
                  <c:v>45352</c:v>
                </c:pt>
                <c:pt idx="864">
                  <c:v>45359</c:v>
                </c:pt>
                <c:pt idx="865">
                  <c:v>45366</c:v>
                </c:pt>
                <c:pt idx="866">
                  <c:v>45373</c:v>
                </c:pt>
                <c:pt idx="867">
                  <c:v>45384</c:v>
                </c:pt>
                <c:pt idx="868">
                  <c:v>45387</c:v>
                </c:pt>
                <c:pt idx="869">
                  <c:v>45394</c:v>
                </c:pt>
                <c:pt idx="870">
                  <c:v>45401</c:v>
                </c:pt>
                <c:pt idx="871">
                  <c:v>45408</c:v>
                </c:pt>
                <c:pt idx="872">
                  <c:v>45418</c:v>
                </c:pt>
                <c:pt idx="873">
                  <c:v>45425</c:v>
                </c:pt>
                <c:pt idx="874">
                  <c:v>45432</c:v>
                </c:pt>
                <c:pt idx="875">
                  <c:v>45439</c:v>
                </c:pt>
                <c:pt idx="876">
                  <c:v>45446</c:v>
                </c:pt>
                <c:pt idx="877">
                  <c:v>45453</c:v>
                </c:pt>
                <c:pt idx="878">
                  <c:v>45460</c:v>
                </c:pt>
                <c:pt idx="879">
                  <c:v>45467</c:v>
                </c:pt>
                <c:pt idx="880">
                  <c:v>45474</c:v>
                </c:pt>
                <c:pt idx="881">
                  <c:v>45481</c:v>
                </c:pt>
                <c:pt idx="882">
                  <c:v>45488</c:v>
                </c:pt>
                <c:pt idx="883">
                  <c:v>45495</c:v>
                </c:pt>
                <c:pt idx="884">
                  <c:v>45502</c:v>
                </c:pt>
                <c:pt idx="885">
                  <c:v>45509</c:v>
                </c:pt>
                <c:pt idx="886">
                  <c:v>45516</c:v>
                </c:pt>
                <c:pt idx="887">
                  <c:v>45523</c:v>
                </c:pt>
                <c:pt idx="888">
                  <c:v>45530</c:v>
                </c:pt>
                <c:pt idx="889">
                  <c:v>45537</c:v>
                </c:pt>
                <c:pt idx="890">
                  <c:v>45544</c:v>
                </c:pt>
                <c:pt idx="891">
                  <c:v>45551</c:v>
                </c:pt>
                <c:pt idx="892">
                  <c:v>45558</c:v>
                </c:pt>
                <c:pt idx="893">
                  <c:v>45565</c:v>
                </c:pt>
                <c:pt idx="894">
                  <c:v>45572</c:v>
                </c:pt>
                <c:pt idx="895">
                  <c:v>45579</c:v>
                </c:pt>
                <c:pt idx="896">
                  <c:v>45586</c:v>
                </c:pt>
                <c:pt idx="897">
                  <c:v>45593</c:v>
                </c:pt>
                <c:pt idx="898">
                  <c:v>45600</c:v>
                </c:pt>
                <c:pt idx="899">
                  <c:v>45607</c:v>
                </c:pt>
                <c:pt idx="900">
                  <c:v>45614</c:v>
                </c:pt>
                <c:pt idx="901">
                  <c:v>45621</c:v>
                </c:pt>
                <c:pt idx="902">
                  <c:v>45628</c:v>
                </c:pt>
                <c:pt idx="903">
                  <c:v>45635</c:v>
                </c:pt>
                <c:pt idx="904">
                  <c:v>45642</c:v>
                </c:pt>
                <c:pt idx="905">
                  <c:v>45649</c:v>
                </c:pt>
                <c:pt idx="906">
                  <c:v>45657</c:v>
                </c:pt>
                <c:pt idx="907">
                  <c:v>45664</c:v>
                </c:pt>
                <c:pt idx="908">
                  <c:v>45671</c:v>
                </c:pt>
                <c:pt idx="909">
                  <c:v>45678</c:v>
                </c:pt>
                <c:pt idx="910">
                  <c:v>45685</c:v>
                </c:pt>
                <c:pt idx="911">
                  <c:v>45692</c:v>
                </c:pt>
                <c:pt idx="912">
                  <c:v>45699</c:v>
                </c:pt>
                <c:pt idx="913">
                  <c:v>45706</c:v>
                </c:pt>
                <c:pt idx="914">
                  <c:v>45713</c:v>
                </c:pt>
                <c:pt idx="915">
                  <c:v>45720</c:v>
                </c:pt>
                <c:pt idx="916">
                  <c:v>45727</c:v>
                </c:pt>
                <c:pt idx="917">
                  <c:v>45734</c:v>
                </c:pt>
                <c:pt idx="918">
                  <c:v>45741</c:v>
                </c:pt>
                <c:pt idx="919">
                  <c:v>45748</c:v>
                </c:pt>
                <c:pt idx="920">
                  <c:v>45755</c:v>
                </c:pt>
                <c:pt idx="921">
                  <c:v>45762</c:v>
                </c:pt>
                <c:pt idx="922">
                  <c:v>45771</c:v>
                </c:pt>
                <c:pt idx="923">
                  <c:v>45779</c:v>
                </c:pt>
                <c:pt idx="924">
                  <c:v>45785</c:v>
                </c:pt>
                <c:pt idx="925">
                  <c:v>45792</c:v>
                </c:pt>
                <c:pt idx="926">
                  <c:v>45799</c:v>
                </c:pt>
                <c:pt idx="927">
                  <c:v>45806</c:v>
                </c:pt>
                <c:pt idx="928">
                  <c:v>45813</c:v>
                </c:pt>
                <c:pt idx="929">
                  <c:v>45820</c:v>
                </c:pt>
                <c:pt idx="930">
                  <c:v>45827</c:v>
                </c:pt>
                <c:pt idx="931">
                  <c:v>45834</c:v>
                </c:pt>
                <c:pt idx="932">
                  <c:v>45841</c:v>
                </c:pt>
                <c:pt idx="933">
                  <c:v>45848</c:v>
                </c:pt>
                <c:pt idx="934">
                  <c:v>45855</c:v>
                </c:pt>
                <c:pt idx="935">
                  <c:v>45862</c:v>
                </c:pt>
                <c:pt idx="936">
                  <c:v>45869</c:v>
                </c:pt>
                <c:pt idx="937">
                  <c:v>45876</c:v>
                </c:pt>
                <c:pt idx="938">
                  <c:v>45883</c:v>
                </c:pt>
                <c:pt idx="939">
                  <c:v>45890</c:v>
                </c:pt>
                <c:pt idx="940">
                  <c:v>45897</c:v>
                </c:pt>
                <c:pt idx="941">
                  <c:v>45904</c:v>
                </c:pt>
                <c:pt idx="942">
                  <c:v>45911</c:v>
                </c:pt>
                <c:pt idx="943">
                  <c:v>45918</c:v>
                </c:pt>
                <c:pt idx="944">
                  <c:v>45925</c:v>
                </c:pt>
                <c:pt idx="945">
                  <c:v>45932</c:v>
                </c:pt>
                <c:pt idx="946">
                  <c:v>45939</c:v>
                </c:pt>
                <c:pt idx="947">
                  <c:v>45946</c:v>
                </c:pt>
                <c:pt idx="948">
                  <c:v>45953</c:v>
                </c:pt>
                <c:pt idx="949">
                  <c:v>45960</c:v>
                </c:pt>
                <c:pt idx="950">
                  <c:v>45967</c:v>
                </c:pt>
                <c:pt idx="951">
                  <c:v>45974</c:v>
                </c:pt>
                <c:pt idx="952">
                  <c:v>45981</c:v>
                </c:pt>
                <c:pt idx="953">
                  <c:v>45988</c:v>
                </c:pt>
                <c:pt idx="954">
                  <c:v>45995</c:v>
                </c:pt>
                <c:pt idx="955">
                  <c:v>46002</c:v>
                </c:pt>
                <c:pt idx="956">
                  <c:v>46009</c:v>
                </c:pt>
                <c:pt idx="957">
                  <c:v>46020</c:v>
                </c:pt>
                <c:pt idx="958">
                  <c:v>46024</c:v>
                </c:pt>
                <c:pt idx="959">
                  <c:v>46030</c:v>
                </c:pt>
                <c:pt idx="960">
                  <c:v>46037</c:v>
                </c:pt>
                <c:pt idx="961">
                  <c:v>46044</c:v>
                </c:pt>
                <c:pt idx="962">
                  <c:v>46051</c:v>
                </c:pt>
                <c:pt idx="963">
                  <c:v>46058</c:v>
                </c:pt>
                <c:pt idx="964">
                  <c:v>46065</c:v>
                </c:pt>
                <c:pt idx="965">
                  <c:v>46072</c:v>
                </c:pt>
                <c:pt idx="966">
                  <c:v>46079</c:v>
                </c:pt>
                <c:pt idx="967">
                  <c:v>46086</c:v>
                </c:pt>
                <c:pt idx="968">
                  <c:v>46093</c:v>
                </c:pt>
                <c:pt idx="969">
                  <c:v>46100</c:v>
                </c:pt>
                <c:pt idx="970">
                  <c:v>46107</c:v>
                </c:pt>
                <c:pt idx="971">
                  <c:v>46114</c:v>
                </c:pt>
                <c:pt idx="972">
                  <c:v>46121</c:v>
                </c:pt>
                <c:pt idx="973">
                  <c:v>46128</c:v>
                </c:pt>
                <c:pt idx="974">
                  <c:v>46135</c:v>
                </c:pt>
                <c:pt idx="975">
                  <c:v>46142</c:v>
                </c:pt>
                <c:pt idx="976">
                  <c:v>46149</c:v>
                </c:pt>
                <c:pt idx="977">
                  <c:v>46156</c:v>
                </c:pt>
                <c:pt idx="978">
                  <c:v>46163</c:v>
                </c:pt>
                <c:pt idx="979">
                  <c:v>46170</c:v>
                </c:pt>
                <c:pt idx="980">
                  <c:v>46177</c:v>
                </c:pt>
                <c:pt idx="981">
                  <c:v>46184</c:v>
                </c:pt>
                <c:pt idx="982">
                  <c:v>46191</c:v>
                </c:pt>
                <c:pt idx="983">
                  <c:v>46198</c:v>
                </c:pt>
                <c:pt idx="984">
                  <c:v>46205</c:v>
                </c:pt>
                <c:pt idx="985">
                  <c:v>46212</c:v>
                </c:pt>
                <c:pt idx="986">
                  <c:v>46219</c:v>
                </c:pt>
                <c:pt idx="987">
                  <c:v>46226</c:v>
                </c:pt>
                <c:pt idx="988">
                  <c:v>46233</c:v>
                </c:pt>
                <c:pt idx="989">
                  <c:v>46240</c:v>
                </c:pt>
                <c:pt idx="990">
                  <c:v>46247</c:v>
                </c:pt>
                <c:pt idx="991">
                  <c:v>46254</c:v>
                </c:pt>
                <c:pt idx="992">
                  <c:v>46261</c:v>
                </c:pt>
                <c:pt idx="993">
                  <c:v>46268</c:v>
                </c:pt>
                <c:pt idx="994">
                  <c:v>46275</c:v>
                </c:pt>
                <c:pt idx="995">
                  <c:v>46282</c:v>
                </c:pt>
                <c:pt idx="996">
                  <c:v>46289</c:v>
                </c:pt>
                <c:pt idx="997">
                  <c:v>46296</c:v>
                </c:pt>
                <c:pt idx="998">
                  <c:v>46303</c:v>
                </c:pt>
                <c:pt idx="999">
                  <c:v>46310</c:v>
                </c:pt>
                <c:pt idx="1000">
                  <c:v>46317</c:v>
                </c:pt>
                <c:pt idx="1001">
                  <c:v>46324</c:v>
                </c:pt>
                <c:pt idx="1002">
                  <c:v>46331</c:v>
                </c:pt>
                <c:pt idx="1003">
                  <c:v>46338</c:v>
                </c:pt>
                <c:pt idx="1004">
                  <c:v>46345</c:v>
                </c:pt>
                <c:pt idx="1005">
                  <c:v>46352</c:v>
                </c:pt>
                <c:pt idx="1006">
                  <c:v>46359</c:v>
                </c:pt>
                <c:pt idx="1007">
                  <c:v>46366</c:v>
                </c:pt>
                <c:pt idx="1008">
                  <c:v>46373</c:v>
                </c:pt>
                <c:pt idx="1009">
                  <c:v>46380</c:v>
                </c:pt>
                <c:pt idx="1010">
                  <c:v>46387</c:v>
                </c:pt>
                <c:pt idx="1011">
                  <c:v>46394</c:v>
                </c:pt>
                <c:pt idx="1012">
                  <c:v>46401</c:v>
                </c:pt>
                <c:pt idx="1013">
                  <c:v>46408</c:v>
                </c:pt>
                <c:pt idx="1014">
                  <c:v>46415</c:v>
                </c:pt>
                <c:pt idx="1015">
                  <c:v>46422</c:v>
                </c:pt>
                <c:pt idx="1016">
                  <c:v>46429</c:v>
                </c:pt>
                <c:pt idx="1017">
                  <c:v>46436</c:v>
                </c:pt>
                <c:pt idx="1018">
                  <c:v>46443</c:v>
                </c:pt>
                <c:pt idx="1019">
                  <c:v>46450</c:v>
                </c:pt>
                <c:pt idx="1020">
                  <c:v>46457</c:v>
                </c:pt>
                <c:pt idx="1021">
                  <c:v>46464</c:v>
                </c:pt>
                <c:pt idx="1022">
                  <c:v>46471</c:v>
                </c:pt>
                <c:pt idx="1023">
                  <c:v>46478</c:v>
                </c:pt>
                <c:pt idx="1024">
                  <c:v>46485</c:v>
                </c:pt>
                <c:pt idx="1025">
                  <c:v>46492</c:v>
                </c:pt>
                <c:pt idx="1026">
                  <c:v>46499</c:v>
                </c:pt>
                <c:pt idx="1027">
                  <c:v>46506</c:v>
                </c:pt>
                <c:pt idx="1028">
                  <c:v>46513</c:v>
                </c:pt>
                <c:pt idx="1029">
                  <c:v>46520</c:v>
                </c:pt>
                <c:pt idx="1030">
                  <c:v>46527</c:v>
                </c:pt>
                <c:pt idx="1031">
                  <c:v>46534</c:v>
                </c:pt>
                <c:pt idx="1032">
                  <c:v>46541</c:v>
                </c:pt>
                <c:pt idx="1033">
                  <c:v>46548</c:v>
                </c:pt>
                <c:pt idx="1034">
                  <c:v>46555</c:v>
                </c:pt>
                <c:pt idx="1035">
                  <c:v>46562</c:v>
                </c:pt>
                <c:pt idx="1036">
                  <c:v>46569</c:v>
                </c:pt>
                <c:pt idx="1037">
                  <c:v>46576</c:v>
                </c:pt>
                <c:pt idx="1038">
                  <c:v>46583</c:v>
                </c:pt>
                <c:pt idx="1039">
                  <c:v>46590</c:v>
                </c:pt>
                <c:pt idx="1040">
                  <c:v>46597</c:v>
                </c:pt>
                <c:pt idx="1041">
                  <c:v>46604</c:v>
                </c:pt>
                <c:pt idx="1042">
                  <c:v>46611</c:v>
                </c:pt>
                <c:pt idx="1043">
                  <c:v>46618</c:v>
                </c:pt>
                <c:pt idx="1044">
                  <c:v>46625</c:v>
                </c:pt>
                <c:pt idx="1045">
                  <c:v>46632</c:v>
                </c:pt>
                <c:pt idx="1046">
                  <c:v>46639</c:v>
                </c:pt>
                <c:pt idx="1047">
                  <c:v>46646</c:v>
                </c:pt>
                <c:pt idx="1048">
                  <c:v>46653</c:v>
                </c:pt>
                <c:pt idx="1049">
                  <c:v>46660</c:v>
                </c:pt>
                <c:pt idx="1050">
                  <c:v>46667</c:v>
                </c:pt>
                <c:pt idx="1051">
                  <c:v>46674</c:v>
                </c:pt>
                <c:pt idx="1052">
                  <c:v>46681</c:v>
                </c:pt>
                <c:pt idx="1053">
                  <c:v>46688</c:v>
                </c:pt>
                <c:pt idx="1054">
                  <c:v>46695</c:v>
                </c:pt>
                <c:pt idx="1055">
                  <c:v>46702</c:v>
                </c:pt>
                <c:pt idx="1056">
                  <c:v>46709</c:v>
                </c:pt>
                <c:pt idx="1057">
                  <c:v>46716</c:v>
                </c:pt>
                <c:pt idx="1058">
                  <c:v>46723</c:v>
                </c:pt>
                <c:pt idx="1059">
                  <c:v>46730</c:v>
                </c:pt>
                <c:pt idx="1060">
                  <c:v>46737</c:v>
                </c:pt>
                <c:pt idx="1061">
                  <c:v>46744</c:v>
                </c:pt>
                <c:pt idx="1062">
                  <c:v>46751</c:v>
                </c:pt>
                <c:pt idx="1063">
                  <c:v>46758</c:v>
                </c:pt>
                <c:pt idx="1064">
                  <c:v>46765</c:v>
                </c:pt>
                <c:pt idx="1065">
                  <c:v>46772</c:v>
                </c:pt>
                <c:pt idx="1066">
                  <c:v>46779</c:v>
                </c:pt>
                <c:pt idx="1067">
                  <c:v>46786</c:v>
                </c:pt>
                <c:pt idx="1068">
                  <c:v>46793</c:v>
                </c:pt>
                <c:pt idx="1069">
                  <c:v>46800</c:v>
                </c:pt>
                <c:pt idx="1070">
                  <c:v>46807</c:v>
                </c:pt>
                <c:pt idx="1071">
                  <c:v>46814</c:v>
                </c:pt>
                <c:pt idx="1072">
                  <c:v>46821</c:v>
                </c:pt>
                <c:pt idx="1073">
                  <c:v>46828</c:v>
                </c:pt>
                <c:pt idx="1074">
                  <c:v>46835</c:v>
                </c:pt>
                <c:pt idx="1075">
                  <c:v>46842</c:v>
                </c:pt>
                <c:pt idx="1076">
                  <c:v>46849</c:v>
                </c:pt>
                <c:pt idx="1077">
                  <c:v>46856</c:v>
                </c:pt>
                <c:pt idx="1078">
                  <c:v>46863</c:v>
                </c:pt>
                <c:pt idx="1079">
                  <c:v>46870</c:v>
                </c:pt>
                <c:pt idx="1080">
                  <c:v>46877</c:v>
                </c:pt>
                <c:pt idx="1081">
                  <c:v>46884</c:v>
                </c:pt>
                <c:pt idx="1082">
                  <c:v>46891</c:v>
                </c:pt>
                <c:pt idx="1083">
                  <c:v>46898</c:v>
                </c:pt>
                <c:pt idx="1084">
                  <c:v>46905</c:v>
                </c:pt>
                <c:pt idx="1085">
                  <c:v>46912</c:v>
                </c:pt>
                <c:pt idx="1086">
                  <c:v>46919</c:v>
                </c:pt>
                <c:pt idx="1087">
                  <c:v>46926</c:v>
                </c:pt>
                <c:pt idx="1088">
                  <c:v>46933</c:v>
                </c:pt>
                <c:pt idx="1089">
                  <c:v>46940</c:v>
                </c:pt>
                <c:pt idx="1090">
                  <c:v>46947</c:v>
                </c:pt>
                <c:pt idx="1091">
                  <c:v>46954</c:v>
                </c:pt>
                <c:pt idx="1092">
                  <c:v>46961</c:v>
                </c:pt>
                <c:pt idx="1093">
                  <c:v>46968</c:v>
                </c:pt>
                <c:pt idx="1094">
                  <c:v>46975</c:v>
                </c:pt>
                <c:pt idx="1095">
                  <c:v>46982</c:v>
                </c:pt>
                <c:pt idx="1096">
                  <c:v>46989</c:v>
                </c:pt>
                <c:pt idx="1097">
                  <c:v>46996</c:v>
                </c:pt>
                <c:pt idx="1098">
                  <c:v>47003</c:v>
                </c:pt>
                <c:pt idx="1099">
                  <c:v>47010</c:v>
                </c:pt>
                <c:pt idx="1100">
                  <c:v>47017</c:v>
                </c:pt>
                <c:pt idx="1101">
                  <c:v>47024</c:v>
                </c:pt>
                <c:pt idx="1102">
                  <c:v>47031</c:v>
                </c:pt>
                <c:pt idx="1103">
                  <c:v>47038</c:v>
                </c:pt>
                <c:pt idx="1104">
                  <c:v>47045</c:v>
                </c:pt>
                <c:pt idx="1105">
                  <c:v>47052</c:v>
                </c:pt>
                <c:pt idx="1106">
                  <c:v>47059</c:v>
                </c:pt>
                <c:pt idx="1107">
                  <c:v>47066</c:v>
                </c:pt>
                <c:pt idx="1108">
                  <c:v>47073</c:v>
                </c:pt>
                <c:pt idx="1109">
                  <c:v>47080</c:v>
                </c:pt>
                <c:pt idx="1110">
                  <c:v>47087</c:v>
                </c:pt>
                <c:pt idx="1111">
                  <c:v>47094</c:v>
                </c:pt>
                <c:pt idx="1112">
                  <c:v>47101</c:v>
                </c:pt>
                <c:pt idx="1113">
                  <c:v>47108</c:v>
                </c:pt>
                <c:pt idx="1114">
                  <c:v>47116</c:v>
                </c:pt>
                <c:pt idx="1115">
                  <c:v>47123</c:v>
                </c:pt>
                <c:pt idx="1116">
                  <c:v>47130</c:v>
                </c:pt>
                <c:pt idx="1117">
                  <c:v>47137</c:v>
                </c:pt>
                <c:pt idx="1118">
                  <c:v>47144</c:v>
                </c:pt>
                <c:pt idx="1119">
                  <c:v>47151</c:v>
                </c:pt>
                <c:pt idx="1120">
                  <c:v>47158</c:v>
                </c:pt>
                <c:pt idx="1121">
                  <c:v>47165</c:v>
                </c:pt>
                <c:pt idx="1122">
                  <c:v>47172</c:v>
                </c:pt>
                <c:pt idx="1123">
                  <c:v>47179</c:v>
                </c:pt>
                <c:pt idx="1124">
                  <c:v>47186</c:v>
                </c:pt>
                <c:pt idx="1125">
                  <c:v>47193</c:v>
                </c:pt>
                <c:pt idx="1126">
                  <c:v>47200</c:v>
                </c:pt>
                <c:pt idx="1127">
                  <c:v>47211</c:v>
                </c:pt>
                <c:pt idx="1128">
                  <c:v>47214</c:v>
                </c:pt>
                <c:pt idx="1129">
                  <c:v>47221</c:v>
                </c:pt>
                <c:pt idx="1130">
                  <c:v>47228</c:v>
                </c:pt>
                <c:pt idx="1131">
                  <c:v>47235</c:v>
                </c:pt>
                <c:pt idx="1132">
                  <c:v>47242</c:v>
                </c:pt>
                <c:pt idx="1133">
                  <c:v>47249</c:v>
                </c:pt>
                <c:pt idx="1134">
                  <c:v>47256</c:v>
                </c:pt>
                <c:pt idx="1135">
                  <c:v>47263</c:v>
                </c:pt>
                <c:pt idx="1136">
                  <c:v>47270</c:v>
                </c:pt>
                <c:pt idx="1137">
                  <c:v>47277</c:v>
                </c:pt>
                <c:pt idx="1138">
                  <c:v>47284</c:v>
                </c:pt>
                <c:pt idx="1139">
                  <c:v>47291</c:v>
                </c:pt>
                <c:pt idx="1140">
                  <c:v>47298</c:v>
                </c:pt>
                <c:pt idx="1141">
                  <c:v>47305</c:v>
                </c:pt>
                <c:pt idx="1142">
                  <c:v>47312</c:v>
                </c:pt>
                <c:pt idx="1143">
                  <c:v>47319</c:v>
                </c:pt>
                <c:pt idx="1144">
                  <c:v>47326</c:v>
                </c:pt>
                <c:pt idx="1145">
                  <c:v>47333</c:v>
                </c:pt>
                <c:pt idx="1146">
                  <c:v>47340</c:v>
                </c:pt>
                <c:pt idx="1147">
                  <c:v>47347</c:v>
                </c:pt>
                <c:pt idx="1148">
                  <c:v>47354</c:v>
                </c:pt>
                <c:pt idx="1149">
                  <c:v>47361</c:v>
                </c:pt>
                <c:pt idx="1150">
                  <c:v>47368</c:v>
                </c:pt>
                <c:pt idx="1151">
                  <c:v>47375</c:v>
                </c:pt>
                <c:pt idx="1152">
                  <c:v>47382</c:v>
                </c:pt>
                <c:pt idx="1153">
                  <c:v>47389</c:v>
                </c:pt>
                <c:pt idx="1154">
                  <c:v>47396</c:v>
                </c:pt>
                <c:pt idx="1155">
                  <c:v>47403</c:v>
                </c:pt>
                <c:pt idx="1156">
                  <c:v>47410</c:v>
                </c:pt>
                <c:pt idx="1157">
                  <c:v>47417</c:v>
                </c:pt>
                <c:pt idx="1158">
                  <c:v>47424</c:v>
                </c:pt>
                <c:pt idx="1159">
                  <c:v>47431</c:v>
                </c:pt>
                <c:pt idx="1160">
                  <c:v>47438</c:v>
                </c:pt>
                <c:pt idx="1161">
                  <c:v>47445</c:v>
                </c:pt>
                <c:pt idx="1162">
                  <c:v>47452</c:v>
                </c:pt>
                <c:pt idx="1163">
                  <c:v>47459</c:v>
                </c:pt>
                <c:pt idx="1164">
                  <c:v>47466</c:v>
                </c:pt>
                <c:pt idx="1165">
                  <c:v>47473</c:v>
                </c:pt>
                <c:pt idx="1166">
                  <c:v>47483</c:v>
                </c:pt>
                <c:pt idx="1167">
                  <c:v>47490</c:v>
                </c:pt>
                <c:pt idx="1168">
                  <c:v>47497</c:v>
                </c:pt>
                <c:pt idx="1169">
                  <c:v>47504</c:v>
                </c:pt>
                <c:pt idx="1170">
                  <c:v>47511</c:v>
                </c:pt>
                <c:pt idx="1171">
                  <c:v>47518</c:v>
                </c:pt>
                <c:pt idx="1172">
                  <c:v>47525</c:v>
                </c:pt>
                <c:pt idx="1173">
                  <c:v>47532</c:v>
                </c:pt>
                <c:pt idx="1174">
                  <c:v>47539</c:v>
                </c:pt>
                <c:pt idx="1175">
                  <c:v>47546</c:v>
                </c:pt>
                <c:pt idx="1176">
                  <c:v>47553</c:v>
                </c:pt>
                <c:pt idx="1177">
                  <c:v>47560</c:v>
                </c:pt>
                <c:pt idx="1178">
                  <c:v>47567</c:v>
                </c:pt>
                <c:pt idx="1179">
                  <c:v>47574</c:v>
                </c:pt>
                <c:pt idx="1180">
                  <c:v>47581</c:v>
                </c:pt>
                <c:pt idx="1181">
                  <c:v>47588</c:v>
                </c:pt>
                <c:pt idx="1182">
                  <c:v>47597</c:v>
                </c:pt>
                <c:pt idx="1183">
                  <c:v>47602</c:v>
                </c:pt>
                <c:pt idx="1184">
                  <c:v>47609</c:v>
                </c:pt>
                <c:pt idx="1185">
                  <c:v>47616</c:v>
                </c:pt>
                <c:pt idx="1186">
                  <c:v>47623</c:v>
                </c:pt>
                <c:pt idx="1187">
                  <c:v>47630</c:v>
                </c:pt>
                <c:pt idx="1188">
                  <c:v>47637</c:v>
                </c:pt>
                <c:pt idx="1189">
                  <c:v>47644</c:v>
                </c:pt>
                <c:pt idx="1190">
                  <c:v>47651</c:v>
                </c:pt>
                <c:pt idx="1191">
                  <c:v>47658</c:v>
                </c:pt>
                <c:pt idx="1192">
                  <c:v>47665</c:v>
                </c:pt>
                <c:pt idx="1193">
                  <c:v>47672</c:v>
                </c:pt>
                <c:pt idx="1194">
                  <c:v>47679</c:v>
                </c:pt>
                <c:pt idx="1195">
                  <c:v>47686</c:v>
                </c:pt>
                <c:pt idx="1196">
                  <c:v>47693</c:v>
                </c:pt>
                <c:pt idx="1197">
                  <c:v>47700</c:v>
                </c:pt>
                <c:pt idx="1198">
                  <c:v>47707</c:v>
                </c:pt>
                <c:pt idx="1199">
                  <c:v>47714</c:v>
                </c:pt>
                <c:pt idx="1200">
                  <c:v>47721</c:v>
                </c:pt>
                <c:pt idx="1201">
                  <c:v>47728</c:v>
                </c:pt>
                <c:pt idx="1202">
                  <c:v>47735</c:v>
                </c:pt>
                <c:pt idx="1203">
                  <c:v>47742</c:v>
                </c:pt>
                <c:pt idx="1204">
                  <c:v>47749</c:v>
                </c:pt>
                <c:pt idx="1205">
                  <c:v>47756</c:v>
                </c:pt>
                <c:pt idx="1206">
                  <c:v>47763</c:v>
                </c:pt>
                <c:pt idx="1207">
                  <c:v>47770</c:v>
                </c:pt>
                <c:pt idx="1208">
                  <c:v>47777</c:v>
                </c:pt>
                <c:pt idx="1209">
                  <c:v>47784</c:v>
                </c:pt>
                <c:pt idx="1210">
                  <c:v>47791</c:v>
                </c:pt>
                <c:pt idx="1211">
                  <c:v>47798</c:v>
                </c:pt>
                <c:pt idx="1212">
                  <c:v>47805</c:v>
                </c:pt>
                <c:pt idx="1213">
                  <c:v>47812</c:v>
                </c:pt>
                <c:pt idx="1214">
                  <c:v>47819</c:v>
                </c:pt>
                <c:pt idx="1215">
                  <c:v>47826</c:v>
                </c:pt>
                <c:pt idx="1216">
                  <c:v>47833</c:v>
                </c:pt>
                <c:pt idx="1217">
                  <c:v>47840</c:v>
                </c:pt>
                <c:pt idx="1218">
                  <c:v>47848</c:v>
                </c:pt>
                <c:pt idx="1219">
                  <c:v>47855</c:v>
                </c:pt>
                <c:pt idx="1220">
                  <c:v>47862</c:v>
                </c:pt>
                <c:pt idx="1221">
                  <c:v>47869</c:v>
                </c:pt>
                <c:pt idx="1222">
                  <c:v>47876</c:v>
                </c:pt>
                <c:pt idx="1223">
                  <c:v>47883</c:v>
                </c:pt>
                <c:pt idx="1224">
                  <c:v>47890</c:v>
                </c:pt>
                <c:pt idx="1225">
                  <c:v>47897</c:v>
                </c:pt>
                <c:pt idx="1226">
                  <c:v>47904</c:v>
                </c:pt>
                <c:pt idx="1227">
                  <c:v>47911</c:v>
                </c:pt>
                <c:pt idx="1228">
                  <c:v>47918</c:v>
                </c:pt>
                <c:pt idx="1229">
                  <c:v>47925</c:v>
                </c:pt>
                <c:pt idx="1230">
                  <c:v>47932</c:v>
                </c:pt>
                <c:pt idx="1231">
                  <c:v>47939</c:v>
                </c:pt>
                <c:pt idx="1232">
                  <c:v>47946</c:v>
                </c:pt>
                <c:pt idx="1233">
                  <c:v>47955</c:v>
                </c:pt>
                <c:pt idx="1234">
                  <c:v>47962</c:v>
                </c:pt>
                <c:pt idx="1235">
                  <c:v>47970</c:v>
                </c:pt>
                <c:pt idx="1236">
                  <c:v>47976</c:v>
                </c:pt>
                <c:pt idx="1237">
                  <c:v>47983</c:v>
                </c:pt>
                <c:pt idx="1238">
                  <c:v>47990</c:v>
                </c:pt>
                <c:pt idx="1239">
                  <c:v>47997</c:v>
                </c:pt>
                <c:pt idx="1240">
                  <c:v>48004</c:v>
                </c:pt>
                <c:pt idx="1241">
                  <c:v>48011</c:v>
                </c:pt>
                <c:pt idx="1242">
                  <c:v>48018</c:v>
                </c:pt>
                <c:pt idx="1243">
                  <c:v>48025</c:v>
                </c:pt>
                <c:pt idx="1244">
                  <c:v>48032</c:v>
                </c:pt>
                <c:pt idx="1245">
                  <c:v>48039</c:v>
                </c:pt>
                <c:pt idx="1246">
                  <c:v>48046</c:v>
                </c:pt>
                <c:pt idx="1247">
                  <c:v>48053</c:v>
                </c:pt>
                <c:pt idx="1248">
                  <c:v>48060</c:v>
                </c:pt>
                <c:pt idx="1249">
                  <c:v>48067</c:v>
                </c:pt>
                <c:pt idx="1250">
                  <c:v>48074</c:v>
                </c:pt>
                <c:pt idx="1251">
                  <c:v>48081</c:v>
                </c:pt>
                <c:pt idx="1252">
                  <c:v>48088</c:v>
                </c:pt>
                <c:pt idx="1253">
                  <c:v>48095</c:v>
                </c:pt>
                <c:pt idx="1254">
                  <c:v>48102</c:v>
                </c:pt>
                <c:pt idx="1255">
                  <c:v>48109</c:v>
                </c:pt>
                <c:pt idx="1256">
                  <c:v>48116</c:v>
                </c:pt>
                <c:pt idx="1257">
                  <c:v>48123</c:v>
                </c:pt>
                <c:pt idx="1258">
                  <c:v>48130</c:v>
                </c:pt>
                <c:pt idx="1259">
                  <c:v>48137</c:v>
                </c:pt>
                <c:pt idx="1260">
                  <c:v>48144</c:v>
                </c:pt>
                <c:pt idx="1261">
                  <c:v>48151</c:v>
                </c:pt>
                <c:pt idx="1262">
                  <c:v>48158</c:v>
                </c:pt>
                <c:pt idx="1263">
                  <c:v>48165</c:v>
                </c:pt>
                <c:pt idx="1264">
                  <c:v>48172</c:v>
                </c:pt>
                <c:pt idx="1265">
                  <c:v>48179</c:v>
                </c:pt>
                <c:pt idx="1266">
                  <c:v>48186</c:v>
                </c:pt>
                <c:pt idx="1267">
                  <c:v>48193</c:v>
                </c:pt>
                <c:pt idx="1268">
                  <c:v>48200</c:v>
                </c:pt>
                <c:pt idx="1269">
                  <c:v>48211</c:v>
                </c:pt>
                <c:pt idx="1270">
                  <c:v>48215</c:v>
                </c:pt>
                <c:pt idx="1271">
                  <c:v>48221</c:v>
                </c:pt>
                <c:pt idx="1272">
                  <c:v>48228</c:v>
                </c:pt>
                <c:pt idx="1273">
                  <c:v>48235</c:v>
                </c:pt>
                <c:pt idx="1274">
                  <c:v>48242</c:v>
                </c:pt>
                <c:pt idx="1275">
                  <c:v>48249</c:v>
                </c:pt>
                <c:pt idx="1276">
                  <c:v>48256</c:v>
                </c:pt>
                <c:pt idx="1277">
                  <c:v>48263</c:v>
                </c:pt>
                <c:pt idx="1278">
                  <c:v>48270</c:v>
                </c:pt>
                <c:pt idx="1279">
                  <c:v>48277</c:v>
                </c:pt>
                <c:pt idx="1280">
                  <c:v>48284</c:v>
                </c:pt>
                <c:pt idx="1281">
                  <c:v>48291</c:v>
                </c:pt>
                <c:pt idx="1282">
                  <c:v>48298</c:v>
                </c:pt>
                <c:pt idx="1283">
                  <c:v>48305</c:v>
                </c:pt>
                <c:pt idx="1284">
                  <c:v>48312</c:v>
                </c:pt>
                <c:pt idx="1285">
                  <c:v>48319</c:v>
                </c:pt>
                <c:pt idx="1286">
                  <c:v>48326</c:v>
                </c:pt>
                <c:pt idx="1287">
                  <c:v>48333</c:v>
                </c:pt>
                <c:pt idx="1288">
                  <c:v>48340</c:v>
                </c:pt>
                <c:pt idx="1289">
                  <c:v>48347</c:v>
                </c:pt>
                <c:pt idx="1290">
                  <c:v>48354</c:v>
                </c:pt>
                <c:pt idx="1291">
                  <c:v>48361</c:v>
                </c:pt>
                <c:pt idx="1292">
                  <c:v>48368</c:v>
                </c:pt>
                <c:pt idx="1293">
                  <c:v>48375</c:v>
                </c:pt>
                <c:pt idx="1294">
                  <c:v>48382</c:v>
                </c:pt>
                <c:pt idx="1295">
                  <c:v>48389</c:v>
                </c:pt>
                <c:pt idx="1296">
                  <c:v>48396</c:v>
                </c:pt>
                <c:pt idx="1297">
                  <c:v>48403</c:v>
                </c:pt>
                <c:pt idx="1298">
                  <c:v>48410</c:v>
                </c:pt>
                <c:pt idx="1299">
                  <c:v>48417</c:v>
                </c:pt>
                <c:pt idx="1300">
                  <c:v>48424</c:v>
                </c:pt>
                <c:pt idx="1301">
                  <c:v>48431</c:v>
                </c:pt>
                <c:pt idx="1302">
                  <c:v>48438</c:v>
                </c:pt>
                <c:pt idx="1303">
                  <c:v>48445</c:v>
                </c:pt>
                <c:pt idx="1304">
                  <c:v>48452</c:v>
                </c:pt>
                <c:pt idx="1305">
                  <c:v>48459</c:v>
                </c:pt>
                <c:pt idx="1306">
                  <c:v>48466</c:v>
                </c:pt>
                <c:pt idx="1307">
                  <c:v>48473</c:v>
                </c:pt>
                <c:pt idx="1308">
                  <c:v>48480</c:v>
                </c:pt>
                <c:pt idx="1309">
                  <c:v>48487</c:v>
                </c:pt>
                <c:pt idx="1310">
                  <c:v>48494</c:v>
                </c:pt>
                <c:pt idx="1311">
                  <c:v>48501</c:v>
                </c:pt>
                <c:pt idx="1312">
                  <c:v>48508</c:v>
                </c:pt>
                <c:pt idx="1313">
                  <c:v>48515</c:v>
                </c:pt>
                <c:pt idx="1314">
                  <c:v>48522</c:v>
                </c:pt>
                <c:pt idx="1315">
                  <c:v>48529</c:v>
                </c:pt>
                <c:pt idx="1316">
                  <c:v>48536</c:v>
                </c:pt>
                <c:pt idx="1317">
                  <c:v>48543</c:v>
                </c:pt>
                <c:pt idx="1318">
                  <c:v>48550</c:v>
                </c:pt>
                <c:pt idx="1319">
                  <c:v>48557</c:v>
                </c:pt>
                <c:pt idx="1320">
                  <c:v>48564</c:v>
                </c:pt>
                <c:pt idx="1321">
                  <c:v>48571</c:v>
                </c:pt>
                <c:pt idx="1322">
                  <c:v>48578</c:v>
                </c:pt>
                <c:pt idx="1323">
                  <c:v>48585</c:v>
                </c:pt>
                <c:pt idx="1324">
                  <c:v>48592</c:v>
                </c:pt>
                <c:pt idx="1325">
                  <c:v>48599</c:v>
                </c:pt>
                <c:pt idx="1326">
                  <c:v>48606</c:v>
                </c:pt>
                <c:pt idx="1327">
                  <c:v>48613</c:v>
                </c:pt>
                <c:pt idx="1328">
                  <c:v>48620</c:v>
                </c:pt>
                <c:pt idx="1329">
                  <c:v>48627</c:v>
                </c:pt>
                <c:pt idx="1330">
                  <c:v>48634</c:v>
                </c:pt>
                <c:pt idx="1331">
                  <c:v>48641</c:v>
                </c:pt>
                <c:pt idx="1332">
                  <c:v>48648</c:v>
                </c:pt>
                <c:pt idx="1333">
                  <c:v>48655</c:v>
                </c:pt>
                <c:pt idx="1334">
                  <c:v>48662</c:v>
                </c:pt>
                <c:pt idx="1335">
                  <c:v>48669</c:v>
                </c:pt>
                <c:pt idx="1336">
                  <c:v>48676</c:v>
                </c:pt>
                <c:pt idx="1337">
                  <c:v>48683</c:v>
                </c:pt>
                <c:pt idx="1338">
                  <c:v>48690</c:v>
                </c:pt>
                <c:pt idx="1339">
                  <c:v>48697</c:v>
                </c:pt>
                <c:pt idx="1340">
                  <c:v>48704</c:v>
                </c:pt>
                <c:pt idx="1341">
                  <c:v>48711</c:v>
                </c:pt>
                <c:pt idx="1342">
                  <c:v>48718</c:v>
                </c:pt>
                <c:pt idx="1343">
                  <c:v>48725</c:v>
                </c:pt>
                <c:pt idx="1344">
                  <c:v>48732</c:v>
                </c:pt>
                <c:pt idx="1345">
                  <c:v>48739</c:v>
                </c:pt>
                <c:pt idx="1346">
                  <c:v>48746</c:v>
                </c:pt>
                <c:pt idx="1347">
                  <c:v>48753</c:v>
                </c:pt>
                <c:pt idx="1348">
                  <c:v>48760</c:v>
                </c:pt>
                <c:pt idx="1349">
                  <c:v>48767</c:v>
                </c:pt>
                <c:pt idx="1350">
                  <c:v>48774</c:v>
                </c:pt>
                <c:pt idx="1351">
                  <c:v>48781</c:v>
                </c:pt>
                <c:pt idx="1352">
                  <c:v>48788</c:v>
                </c:pt>
                <c:pt idx="1353">
                  <c:v>48795</c:v>
                </c:pt>
                <c:pt idx="1354">
                  <c:v>48802</c:v>
                </c:pt>
                <c:pt idx="1355">
                  <c:v>48809</c:v>
                </c:pt>
                <c:pt idx="1356">
                  <c:v>48816</c:v>
                </c:pt>
                <c:pt idx="1357">
                  <c:v>48823</c:v>
                </c:pt>
                <c:pt idx="1358">
                  <c:v>48830</c:v>
                </c:pt>
                <c:pt idx="1359">
                  <c:v>48837</c:v>
                </c:pt>
                <c:pt idx="1360">
                  <c:v>48844</c:v>
                </c:pt>
                <c:pt idx="1361">
                  <c:v>48851</c:v>
                </c:pt>
                <c:pt idx="1362">
                  <c:v>48858</c:v>
                </c:pt>
                <c:pt idx="1363">
                  <c:v>48865</c:v>
                </c:pt>
                <c:pt idx="1364">
                  <c:v>48872</c:v>
                </c:pt>
                <c:pt idx="1365">
                  <c:v>48879</c:v>
                </c:pt>
                <c:pt idx="1366">
                  <c:v>48886</c:v>
                </c:pt>
                <c:pt idx="1367">
                  <c:v>48893</c:v>
                </c:pt>
                <c:pt idx="1368">
                  <c:v>48900</c:v>
                </c:pt>
                <c:pt idx="1369">
                  <c:v>48907</c:v>
                </c:pt>
                <c:pt idx="1370">
                  <c:v>48914</c:v>
                </c:pt>
                <c:pt idx="1371">
                  <c:v>48921</c:v>
                </c:pt>
                <c:pt idx="1372">
                  <c:v>48928</c:v>
                </c:pt>
                <c:pt idx="1373">
                  <c:v>48935</c:v>
                </c:pt>
                <c:pt idx="1374">
                  <c:v>48942</c:v>
                </c:pt>
                <c:pt idx="1375">
                  <c:v>48949</c:v>
                </c:pt>
                <c:pt idx="1376">
                  <c:v>48956</c:v>
                </c:pt>
                <c:pt idx="1377">
                  <c:v>48963</c:v>
                </c:pt>
                <c:pt idx="1378">
                  <c:v>48970</c:v>
                </c:pt>
                <c:pt idx="1379">
                  <c:v>48977</c:v>
                </c:pt>
                <c:pt idx="1380">
                  <c:v>48984</c:v>
                </c:pt>
                <c:pt idx="1381">
                  <c:v>48991</c:v>
                </c:pt>
                <c:pt idx="1382">
                  <c:v>48998</c:v>
                </c:pt>
                <c:pt idx="1383">
                  <c:v>49005</c:v>
                </c:pt>
                <c:pt idx="1384">
                  <c:v>49012</c:v>
                </c:pt>
                <c:pt idx="1385">
                  <c:v>49019</c:v>
                </c:pt>
                <c:pt idx="1386">
                  <c:v>49026</c:v>
                </c:pt>
                <c:pt idx="1387">
                  <c:v>49033</c:v>
                </c:pt>
                <c:pt idx="1388">
                  <c:v>49040</c:v>
                </c:pt>
                <c:pt idx="1389">
                  <c:v>49047</c:v>
                </c:pt>
                <c:pt idx="1390">
                  <c:v>49054</c:v>
                </c:pt>
                <c:pt idx="1391">
                  <c:v>49061</c:v>
                </c:pt>
                <c:pt idx="1392">
                  <c:v>49068</c:v>
                </c:pt>
                <c:pt idx="1393">
                  <c:v>49075</c:v>
                </c:pt>
                <c:pt idx="1394">
                  <c:v>49082</c:v>
                </c:pt>
                <c:pt idx="1395">
                  <c:v>49089</c:v>
                </c:pt>
                <c:pt idx="1396">
                  <c:v>49096</c:v>
                </c:pt>
                <c:pt idx="1397">
                  <c:v>49103</c:v>
                </c:pt>
                <c:pt idx="1398">
                  <c:v>49110</c:v>
                </c:pt>
                <c:pt idx="1399">
                  <c:v>49117</c:v>
                </c:pt>
                <c:pt idx="1400">
                  <c:v>49124</c:v>
                </c:pt>
                <c:pt idx="1401">
                  <c:v>49131</c:v>
                </c:pt>
                <c:pt idx="1402">
                  <c:v>49138</c:v>
                </c:pt>
                <c:pt idx="1403">
                  <c:v>49145</c:v>
                </c:pt>
                <c:pt idx="1404">
                  <c:v>49152</c:v>
                </c:pt>
                <c:pt idx="1405">
                  <c:v>49159</c:v>
                </c:pt>
                <c:pt idx="1406">
                  <c:v>49166</c:v>
                </c:pt>
                <c:pt idx="1407">
                  <c:v>49173</c:v>
                </c:pt>
                <c:pt idx="1408">
                  <c:v>49180</c:v>
                </c:pt>
                <c:pt idx="1409">
                  <c:v>49187</c:v>
                </c:pt>
                <c:pt idx="1410">
                  <c:v>49194</c:v>
                </c:pt>
                <c:pt idx="1411">
                  <c:v>49201</c:v>
                </c:pt>
                <c:pt idx="1412">
                  <c:v>49208</c:v>
                </c:pt>
                <c:pt idx="1413">
                  <c:v>49215</c:v>
                </c:pt>
                <c:pt idx="1414">
                  <c:v>49222</c:v>
                </c:pt>
                <c:pt idx="1415">
                  <c:v>49229</c:v>
                </c:pt>
                <c:pt idx="1416">
                  <c:v>49236</c:v>
                </c:pt>
                <c:pt idx="1417">
                  <c:v>49243</c:v>
                </c:pt>
                <c:pt idx="1418">
                  <c:v>49250</c:v>
                </c:pt>
                <c:pt idx="1419">
                  <c:v>49257</c:v>
                </c:pt>
                <c:pt idx="1420">
                  <c:v>49264</c:v>
                </c:pt>
                <c:pt idx="1421">
                  <c:v>49271</c:v>
                </c:pt>
                <c:pt idx="1422">
                  <c:v>49278</c:v>
                </c:pt>
                <c:pt idx="1423">
                  <c:v>49285</c:v>
                </c:pt>
                <c:pt idx="1424">
                  <c:v>49292</c:v>
                </c:pt>
                <c:pt idx="1425">
                  <c:v>49299</c:v>
                </c:pt>
                <c:pt idx="1426">
                  <c:v>49307</c:v>
                </c:pt>
                <c:pt idx="1427">
                  <c:v>49314</c:v>
                </c:pt>
                <c:pt idx="1428">
                  <c:v>49321</c:v>
                </c:pt>
                <c:pt idx="1429">
                  <c:v>49328</c:v>
                </c:pt>
                <c:pt idx="1430">
                  <c:v>49335</c:v>
                </c:pt>
                <c:pt idx="1431">
                  <c:v>49342</c:v>
                </c:pt>
                <c:pt idx="1432">
                  <c:v>49349</c:v>
                </c:pt>
                <c:pt idx="1433">
                  <c:v>49356</c:v>
                </c:pt>
                <c:pt idx="1434">
                  <c:v>49363</c:v>
                </c:pt>
                <c:pt idx="1435">
                  <c:v>49370</c:v>
                </c:pt>
                <c:pt idx="1436">
                  <c:v>49377</c:v>
                </c:pt>
                <c:pt idx="1437">
                  <c:v>49384</c:v>
                </c:pt>
                <c:pt idx="1438">
                  <c:v>49395</c:v>
                </c:pt>
                <c:pt idx="1439">
                  <c:v>49398</c:v>
                </c:pt>
                <c:pt idx="1440">
                  <c:v>49405</c:v>
                </c:pt>
                <c:pt idx="1441">
                  <c:v>49412</c:v>
                </c:pt>
                <c:pt idx="1442">
                  <c:v>49419</c:v>
                </c:pt>
                <c:pt idx="1443">
                  <c:v>49426</c:v>
                </c:pt>
                <c:pt idx="1444">
                  <c:v>49433</c:v>
                </c:pt>
                <c:pt idx="1445">
                  <c:v>49440</c:v>
                </c:pt>
                <c:pt idx="1446">
                  <c:v>49447</c:v>
                </c:pt>
                <c:pt idx="1447">
                  <c:v>49454</c:v>
                </c:pt>
                <c:pt idx="1448">
                  <c:v>49461</c:v>
                </c:pt>
                <c:pt idx="1449">
                  <c:v>49468</c:v>
                </c:pt>
                <c:pt idx="1450">
                  <c:v>49475</c:v>
                </c:pt>
                <c:pt idx="1451">
                  <c:v>49482</c:v>
                </c:pt>
                <c:pt idx="1452">
                  <c:v>49489</c:v>
                </c:pt>
                <c:pt idx="1453">
                  <c:v>49496</c:v>
                </c:pt>
                <c:pt idx="1454">
                  <c:v>49503</c:v>
                </c:pt>
                <c:pt idx="1455">
                  <c:v>49510</c:v>
                </c:pt>
                <c:pt idx="1456">
                  <c:v>49517</c:v>
                </c:pt>
                <c:pt idx="1457">
                  <c:v>49524</c:v>
                </c:pt>
                <c:pt idx="1458">
                  <c:v>49531</c:v>
                </c:pt>
                <c:pt idx="1459">
                  <c:v>49538</c:v>
                </c:pt>
                <c:pt idx="1460">
                  <c:v>49545</c:v>
                </c:pt>
                <c:pt idx="1461">
                  <c:v>49552</c:v>
                </c:pt>
                <c:pt idx="1462">
                  <c:v>49559</c:v>
                </c:pt>
                <c:pt idx="1463">
                  <c:v>49566</c:v>
                </c:pt>
                <c:pt idx="1464">
                  <c:v>49573</c:v>
                </c:pt>
                <c:pt idx="1465">
                  <c:v>49580</c:v>
                </c:pt>
                <c:pt idx="1466">
                  <c:v>49587</c:v>
                </c:pt>
                <c:pt idx="1467">
                  <c:v>49594</c:v>
                </c:pt>
                <c:pt idx="1468">
                  <c:v>49601</c:v>
                </c:pt>
                <c:pt idx="1469">
                  <c:v>49608</c:v>
                </c:pt>
                <c:pt idx="1470">
                  <c:v>49615</c:v>
                </c:pt>
                <c:pt idx="1471">
                  <c:v>49622</c:v>
                </c:pt>
                <c:pt idx="1472">
                  <c:v>49629</c:v>
                </c:pt>
                <c:pt idx="1473">
                  <c:v>49636</c:v>
                </c:pt>
                <c:pt idx="1474">
                  <c:v>49643</c:v>
                </c:pt>
                <c:pt idx="1475">
                  <c:v>49650</c:v>
                </c:pt>
                <c:pt idx="1476">
                  <c:v>49657</c:v>
                </c:pt>
                <c:pt idx="1477">
                  <c:v>49664</c:v>
                </c:pt>
                <c:pt idx="1478">
                  <c:v>49674</c:v>
                </c:pt>
                <c:pt idx="1479">
                  <c:v>49681</c:v>
                </c:pt>
                <c:pt idx="1480">
                  <c:v>49688</c:v>
                </c:pt>
                <c:pt idx="1481">
                  <c:v>49695</c:v>
                </c:pt>
                <c:pt idx="1482">
                  <c:v>49702</c:v>
                </c:pt>
                <c:pt idx="1483">
                  <c:v>49709</c:v>
                </c:pt>
                <c:pt idx="1484">
                  <c:v>49716</c:v>
                </c:pt>
                <c:pt idx="1485">
                  <c:v>49723</c:v>
                </c:pt>
                <c:pt idx="1486">
                  <c:v>49730</c:v>
                </c:pt>
                <c:pt idx="1487">
                  <c:v>49737</c:v>
                </c:pt>
                <c:pt idx="1488">
                  <c:v>49744</c:v>
                </c:pt>
                <c:pt idx="1489">
                  <c:v>49751</c:v>
                </c:pt>
                <c:pt idx="1490">
                  <c:v>49758</c:v>
                </c:pt>
                <c:pt idx="1491">
                  <c:v>49765</c:v>
                </c:pt>
                <c:pt idx="1492">
                  <c:v>49772</c:v>
                </c:pt>
                <c:pt idx="1493">
                  <c:v>49781</c:v>
                </c:pt>
                <c:pt idx="1494">
                  <c:v>49786</c:v>
                </c:pt>
                <c:pt idx="1495">
                  <c:v>49793</c:v>
                </c:pt>
                <c:pt idx="1496">
                  <c:v>49801</c:v>
                </c:pt>
                <c:pt idx="1497">
                  <c:v>49808</c:v>
                </c:pt>
                <c:pt idx="1498">
                  <c:v>49815</c:v>
                </c:pt>
                <c:pt idx="1499">
                  <c:v>49822</c:v>
                </c:pt>
                <c:pt idx="1500">
                  <c:v>49829</c:v>
                </c:pt>
                <c:pt idx="1501">
                  <c:v>49836</c:v>
                </c:pt>
                <c:pt idx="1502">
                  <c:v>49843</c:v>
                </c:pt>
                <c:pt idx="1503">
                  <c:v>49850</c:v>
                </c:pt>
                <c:pt idx="1504">
                  <c:v>49857</c:v>
                </c:pt>
                <c:pt idx="1505">
                  <c:v>49864</c:v>
                </c:pt>
                <c:pt idx="1506">
                  <c:v>49871</c:v>
                </c:pt>
                <c:pt idx="1507">
                  <c:v>49878</c:v>
                </c:pt>
                <c:pt idx="1508">
                  <c:v>49885</c:v>
                </c:pt>
                <c:pt idx="1509">
                  <c:v>49892</c:v>
                </c:pt>
                <c:pt idx="1510">
                  <c:v>49899</c:v>
                </c:pt>
                <c:pt idx="1511">
                  <c:v>49906</c:v>
                </c:pt>
                <c:pt idx="1512">
                  <c:v>49913</c:v>
                </c:pt>
                <c:pt idx="1513">
                  <c:v>49920</c:v>
                </c:pt>
                <c:pt idx="1514">
                  <c:v>49927</c:v>
                </c:pt>
                <c:pt idx="1515">
                  <c:v>49934</c:v>
                </c:pt>
                <c:pt idx="1516">
                  <c:v>49941</c:v>
                </c:pt>
                <c:pt idx="1517">
                  <c:v>49948</c:v>
                </c:pt>
                <c:pt idx="1518">
                  <c:v>49955</c:v>
                </c:pt>
                <c:pt idx="1519">
                  <c:v>49962</c:v>
                </c:pt>
                <c:pt idx="1520">
                  <c:v>49969</c:v>
                </c:pt>
                <c:pt idx="1521">
                  <c:v>49976</c:v>
                </c:pt>
                <c:pt idx="1522">
                  <c:v>49983</c:v>
                </c:pt>
                <c:pt idx="1523">
                  <c:v>49990</c:v>
                </c:pt>
                <c:pt idx="1524">
                  <c:v>49997</c:v>
                </c:pt>
                <c:pt idx="1525">
                  <c:v>50004</c:v>
                </c:pt>
                <c:pt idx="1526">
                  <c:v>50011</c:v>
                </c:pt>
                <c:pt idx="1527">
                  <c:v>50018</c:v>
                </c:pt>
                <c:pt idx="1528">
                  <c:v>50025</c:v>
                </c:pt>
                <c:pt idx="1529">
                  <c:v>50032</c:v>
                </c:pt>
                <c:pt idx="1530">
                  <c:v>50040</c:v>
                </c:pt>
                <c:pt idx="1531">
                  <c:v>50047</c:v>
                </c:pt>
                <c:pt idx="1532">
                  <c:v>50054</c:v>
                </c:pt>
                <c:pt idx="1533">
                  <c:v>50061</c:v>
                </c:pt>
                <c:pt idx="1534">
                  <c:v>50068</c:v>
                </c:pt>
                <c:pt idx="1535">
                  <c:v>50075</c:v>
                </c:pt>
                <c:pt idx="1536">
                  <c:v>50082</c:v>
                </c:pt>
                <c:pt idx="1537">
                  <c:v>50089</c:v>
                </c:pt>
                <c:pt idx="1538">
                  <c:v>50096</c:v>
                </c:pt>
                <c:pt idx="1539">
                  <c:v>50103</c:v>
                </c:pt>
                <c:pt idx="1540">
                  <c:v>50110</c:v>
                </c:pt>
                <c:pt idx="1541">
                  <c:v>50117</c:v>
                </c:pt>
                <c:pt idx="1542">
                  <c:v>50124</c:v>
                </c:pt>
                <c:pt idx="1543">
                  <c:v>50131</c:v>
                </c:pt>
                <c:pt idx="1544">
                  <c:v>50139</c:v>
                </c:pt>
                <c:pt idx="1545">
                  <c:v>50146</c:v>
                </c:pt>
                <c:pt idx="1546">
                  <c:v>50153</c:v>
                </c:pt>
                <c:pt idx="1547">
                  <c:v>50160</c:v>
                </c:pt>
                <c:pt idx="1548">
                  <c:v>50167</c:v>
                </c:pt>
                <c:pt idx="1549">
                  <c:v>50174</c:v>
                </c:pt>
                <c:pt idx="1550">
                  <c:v>50181</c:v>
                </c:pt>
                <c:pt idx="1551">
                  <c:v>50188</c:v>
                </c:pt>
                <c:pt idx="1552">
                  <c:v>50195</c:v>
                </c:pt>
                <c:pt idx="1553">
                  <c:v>50202</c:v>
                </c:pt>
                <c:pt idx="1554">
                  <c:v>50209</c:v>
                </c:pt>
                <c:pt idx="1555">
                  <c:v>50216</c:v>
                </c:pt>
                <c:pt idx="1556">
                  <c:v>50223</c:v>
                </c:pt>
                <c:pt idx="1557">
                  <c:v>50230</c:v>
                </c:pt>
                <c:pt idx="1558">
                  <c:v>50237</c:v>
                </c:pt>
                <c:pt idx="1559">
                  <c:v>50244</c:v>
                </c:pt>
                <c:pt idx="1560">
                  <c:v>50251</c:v>
                </c:pt>
                <c:pt idx="1561">
                  <c:v>50258</c:v>
                </c:pt>
                <c:pt idx="1562">
                  <c:v>50265</c:v>
                </c:pt>
                <c:pt idx="1563">
                  <c:v>50272</c:v>
                </c:pt>
                <c:pt idx="1564">
                  <c:v>50279</c:v>
                </c:pt>
                <c:pt idx="1565">
                  <c:v>50286</c:v>
                </c:pt>
                <c:pt idx="1566">
                  <c:v>50293</c:v>
                </c:pt>
                <c:pt idx="1567">
                  <c:v>50300</c:v>
                </c:pt>
                <c:pt idx="1568">
                  <c:v>50307</c:v>
                </c:pt>
                <c:pt idx="1569">
                  <c:v>50314</c:v>
                </c:pt>
                <c:pt idx="1570">
                  <c:v>50321</c:v>
                </c:pt>
                <c:pt idx="1571">
                  <c:v>50328</c:v>
                </c:pt>
                <c:pt idx="1572">
                  <c:v>50335</c:v>
                </c:pt>
                <c:pt idx="1573">
                  <c:v>50342</c:v>
                </c:pt>
                <c:pt idx="1574">
                  <c:v>50349</c:v>
                </c:pt>
                <c:pt idx="1575">
                  <c:v>50356</c:v>
                </c:pt>
                <c:pt idx="1576">
                  <c:v>50363</c:v>
                </c:pt>
                <c:pt idx="1577">
                  <c:v>50370</c:v>
                </c:pt>
                <c:pt idx="1578">
                  <c:v>50377</c:v>
                </c:pt>
                <c:pt idx="1579">
                  <c:v>50384</c:v>
                </c:pt>
                <c:pt idx="1580">
                  <c:v>50391</c:v>
                </c:pt>
                <c:pt idx="1581">
                  <c:v>50398</c:v>
                </c:pt>
                <c:pt idx="1582">
                  <c:v>50405</c:v>
                </c:pt>
                <c:pt idx="1583">
                  <c:v>50412</c:v>
                </c:pt>
                <c:pt idx="1584">
                  <c:v>50419</c:v>
                </c:pt>
                <c:pt idx="1585">
                  <c:v>50426</c:v>
                </c:pt>
                <c:pt idx="1586">
                  <c:v>50433</c:v>
                </c:pt>
                <c:pt idx="1587">
                  <c:v>50440</c:v>
                </c:pt>
                <c:pt idx="1588">
                  <c:v>50447</c:v>
                </c:pt>
                <c:pt idx="1589">
                  <c:v>50454</c:v>
                </c:pt>
                <c:pt idx="1590">
                  <c:v>50461</c:v>
                </c:pt>
                <c:pt idx="1591">
                  <c:v>50468</c:v>
                </c:pt>
                <c:pt idx="1592">
                  <c:v>50475</c:v>
                </c:pt>
                <c:pt idx="1593">
                  <c:v>50482</c:v>
                </c:pt>
                <c:pt idx="1594">
                  <c:v>50489</c:v>
                </c:pt>
                <c:pt idx="1595">
                  <c:v>50496</c:v>
                </c:pt>
                <c:pt idx="1596">
                  <c:v>50503</c:v>
                </c:pt>
                <c:pt idx="1597">
                  <c:v>50510</c:v>
                </c:pt>
                <c:pt idx="1598">
                  <c:v>50517</c:v>
                </c:pt>
                <c:pt idx="1599">
                  <c:v>50524</c:v>
                </c:pt>
                <c:pt idx="1600">
                  <c:v>50531</c:v>
                </c:pt>
                <c:pt idx="1601">
                  <c:v>50538</c:v>
                </c:pt>
                <c:pt idx="1602">
                  <c:v>50545</c:v>
                </c:pt>
                <c:pt idx="1603">
                  <c:v>50552</c:v>
                </c:pt>
                <c:pt idx="1604">
                  <c:v>50559</c:v>
                </c:pt>
                <c:pt idx="1605">
                  <c:v>50566</c:v>
                </c:pt>
                <c:pt idx="1606">
                  <c:v>50573</c:v>
                </c:pt>
                <c:pt idx="1607">
                  <c:v>50580</c:v>
                </c:pt>
                <c:pt idx="1608">
                  <c:v>50587</c:v>
                </c:pt>
                <c:pt idx="1609">
                  <c:v>50594</c:v>
                </c:pt>
                <c:pt idx="1610">
                  <c:v>50601</c:v>
                </c:pt>
                <c:pt idx="1611">
                  <c:v>50608</c:v>
                </c:pt>
                <c:pt idx="1612">
                  <c:v>50615</c:v>
                </c:pt>
                <c:pt idx="1613">
                  <c:v>50622</c:v>
                </c:pt>
                <c:pt idx="1614">
                  <c:v>50629</c:v>
                </c:pt>
                <c:pt idx="1615">
                  <c:v>50636</c:v>
                </c:pt>
                <c:pt idx="1616">
                  <c:v>50643</c:v>
                </c:pt>
                <c:pt idx="1617">
                  <c:v>50650</c:v>
                </c:pt>
                <c:pt idx="1618">
                  <c:v>50657</c:v>
                </c:pt>
                <c:pt idx="1619">
                  <c:v>50664</c:v>
                </c:pt>
                <c:pt idx="1620">
                  <c:v>50671</c:v>
                </c:pt>
                <c:pt idx="1621">
                  <c:v>50678</c:v>
                </c:pt>
                <c:pt idx="1622">
                  <c:v>50685</c:v>
                </c:pt>
                <c:pt idx="1623">
                  <c:v>50692</c:v>
                </c:pt>
                <c:pt idx="1624">
                  <c:v>50699</c:v>
                </c:pt>
                <c:pt idx="1625">
                  <c:v>50706</c:v>
                </c:pt>
                <c:pt idx="1626">
                  <c:v>50713</c:v>
                </c:pt>
                <c:pt idx="1627">
                  <c:v>50720</c:v>
                </c:pt>
                <c:pt idx="1628">
                  <c:v>50727</c:v>
                </c:pt>
                <c:pt idx="1629">
                  <c:v>50734</c:v>
                </c:pt>
                <c:pt idx="1630">
                  <c:v>50741</c:v>
                </c:pt>
                <c:pt idx="1631">
                  <c:v>50748</c:v>
                </c:pt>
                <c:pt idx="1632">
                  <c:v>50755</c:v>
                </c:pt>
                <c:pt idx="1633">
                  <c:v>50762</c:v>
                </c:pt>
                <c:pt idx="1634">
                  <c:v>50769</c:v>
                </c:pt>
                <c:pt idx="1635">
                  <c:v>50776</c:v>
                </c:pt>
                <c:pt idx="1636">
                  <c:v>50783</c:v>
                </c:pt>
                <c:pt idx="1637">
                  <c:v>50790</c:v>
                </c:pt>
                <c:pt idx="1638">
                  <c:v>50797</c:v>
                </c:pt>
                <c:pt idx="1639">
                  <c:v>50804</c:v>
                </c:pt>
                <c:pt idx="1640">
                  <c:v>50811</c:v>
                </c:pt>
                <c:pt idx="1641">
                  <c:v>50818</c:v>
                </c:pt>
                <c:pt idx="1642">
                  <c:v>50825</c:v>
                </c:pt>
                <c:pt idx="1643">
                  <c:v>50832</c:v>
                </c:pt>
                <c:pt idx="1644">
                  <c:v>50839</c:v>
                </c:pt>
                <c:pt idx="1645">
                  <c:v>50846</c:v>
                </c:pt>
                <c:pt idx="1646">
                  <c:v>50853</c:v>
                </c:pt>
                <c:pt idx="1647">
                  <c:v>50860</c:v>
                </c:pt>
                <c:pt idx="1648">
                  <c:v>50867</c:v>
                </c:pt>
                <c:pt idx="1649">
                  <c:v>50874</c:v>
                </c:pt>
                <c:pt idx="1650">
                  <c:v>50881</c:v>
                </c:pt>
                <c:pt idx="1651">
                  <c:v>50888</c:v>
                </c:pt>
                <c:pt idx="1652">
                  <c:v>50895</c:v>
                </c:pt>
                <c:pt idx="1653">
                  <c:v>50902</c:v>
                </c:pt>
                <c:pt idx="1654">
                  <c:v>50909</c:v>
                </c:pt>
                <c:pt idx="1655">
                  <c:v>50916</c:v>
                </c:pt>
                <c:pt idx="1656">
                  <c:v>50923</c:v>
                </c:pt>
                <c:pt idx="1657">
                  <c:v>50930</c:v>
                </c:pt>
                <c:pt idx="1658">
                  <c:v>50937</c:v>
                </c:pt>
                <c:pt idx="1659">
                  <c:v>50944</c:v>
                </c:pt>
                <c:pt idx="1660">
                  <c:v>50951</c:v>
                </c:pt>
                <c:pt idx="1661">
                  <c:v>50958</c:v>
                </c:pt>
                <c:pt idx="1662">
                  <c:v>50965</c:v>
                </c:pt>
                <c:pt idx="1663">
                  <c:v>50972</c:v>
                </c:pt>
                <c:pt idx="1664">
                  <c:v>50979</c:v>
                </c:pt>
                <c:pt idx="1665">
                  <c:v>50986</c:v>
                </c:pt>
                <c:pt idx="1666">
                  <c:v>50993</c:v>
                </c:pt>
                <c:pt idx="1667">
                  <c:v>51000</c:v>
                </c:pt>
                <c:pt idx="1668">
                  <c:v>51007</c:v>
                </c:pt>
                <c:pt idx="1669">
                  <c:v>51014</c:v>
                </c:pt>
                <c:pt idx="1670">
                  <c:v>51021</c:v>
                </c:pt>
                <c:pt idx="1671">
                  <c:v>51028</c:v>
                </c:pt>
                <c:pt idx="1672">
                  <c:v>51035</c:v>
                </c:pt>
                <c:pt idx="1673">
                  <c:v>51042</c:v>
                </c:pt>
                <c:pt idx="1674">
                  <c:v>51049</c:v>
                </c:pt>
                <c:pt idx="1675">
                  <c:v>51056</c:v>
                </c:pt>
                <c:pt idx="1676">
                  <c:v>51063</c:v>
                </c:pt>
                <c:pt idx="1677">
                  <c:v>51070</c:v>
                </c:pt>
                <c:pt idx="1678">
                  <c:v>51077</c:v>
                </c:pt>
                <c:pt idx="1679">
                  <c:v>51084</c:v>
                </c:pt>
                <c:pt idx="1680">
                  <c:v>51091</c:v>
                </c:pt>
                <c:pt idx="1681">
                  <c:v>51098</c:v>
                </c:pt>
                <c:pt idx="1682">
                  <c:v>51105</c:v>
                </c:pt>
                <c:pt idx="1683">
                  <c:v>51112</c:v>
                </c:pt>
                <c:pt idx="1684">
                  <c:v>51119</c:v>
                </c:pt>
                <c:pt idx="1685">
                  <c:v>51126</c:v>
                </c:pt>
                <c:pt idx="1686">
                  <c:v>51133</c:v>
                </c:pt>
                <c:pt idx="1687">
                  <c:v>51140</c:v>
                </c:pt>
                <c:pt idx="1688">
                  <c:v>51147</c:v>
                </c:pt>
                <c:pt idx="1689">
                  <c:v>51154</c:v>
                </c:pt>
                <c:pt idx="1690">
                  <c:v>51161</c:v>
                </c:pt>
                <c:pt idx="1691">
                  <c:v>51168</c:v>
                </c:pt>
                <c:pt idx="1692">
                  <c:v>51175</c:v>
                </c:pt>
                <c:pt idx="1693">
                  <c:v>51182</c:v>
                </c:pt>
                <c:pt idx="1694">
                  <c:v>51189</c:v>
                </c:pt>
                <c:pt idx="1695">
                  <c:v>51196</c:v>
                </c:pt>
                <c:pt idx="1696">
                  <c:v>51203</c:v>
                </c:pt>
                <c:pt idx="1697">
                  <c:v>51210</c:v>
                </c:pt>
                <c:pt idx="1698">
                  <c:v>51217</c:v>
                </c:pt>
                <c:pt idx="1699">
                  <c:v>51224</c:v>
                </c:pt>
                <c:pt idx="1700">
                  <c:v>51231</c:v>
                </c:pt>
                <c:pt idx="1701">
                  <c:v>51238</c:v>
                </c:pt>
                <c:pt idx="1702">
                  <c:v>51245</c:v>
                </c:pt>
                <c:pt idx="1703">
                  <c:v>51252</c:v>
                </c:pt>
                <c:pt idx="1704">
                  <c:v>51260</c:v>
                </c:pt>
                <c:pt idx="1705">
                  <c:v>51267</c:v>
                </c:pt>
                <c:pt idx="1706">
                  <c:v>51274</c:v>
                </c:pt>
                <c:pt idx="1707">
                  <c:v>51281</c:v>
                </c:pt>
                <c:pt idx="1708">
                  <c:v>51288</c:v>
                </c:pt>
                <c:pt idx="1709">
                  <c:v>51295</c:v>
                </c:pt>
                <c:pt idx="1710">
                  <c:v>51302</c:v>
                </c:pt>
                <c:pt idx="1711">
                  <c:v>51309</c:v>
                </c:pt>
                <c:pt idx="1712">
                  <c:v>51316</c:v>
                </c:pt>
                <c:pt idx="1713">
                  <c:v>51323</c:v>
                </c:pt>
                <c:pt idx="1714">
                  <c:v>51330</c:v>
                </c:pt>
                <c:pt idx="1715">
                  <c:v>51337</c:v>
                </c:pt>
                <c:pt idx="1716">
                  <c:v>51344</c:v>
                </c:pt>
                <c:pt idx="1717">
                  <c:v>51351</c:v>
                </c:pt>
                <c:pt idx="1718">
                  <c:v>51358</c:v>
                </c:pt>
                <c:pt idx="1719">
                  <c:v>51365</c:v>
                </c:pt>
                <c:pt idx="1720">
                  <c:v>51372</c:v>
                </c:pt>
                <c:pt idx="1721">
                  <c:v>51379</c:v>
                </c:pt>
                <c:pt idx="1722">
                  <c:v>51386</c:v>
                </c:pt>
                <c:pt idx="1723">
                  <c:v>51393</c:v>
                </c:pt>
                <c:pt idx="1724">
                  <c:v>51400</c:v>
                </c:pt>
                <c:pt idx="1725">
                  <c:v>51407</c:v>
                </c:pt>
                <c:pt idx="1726">
                  <c:v>51414</c:v>
                </c:pt>
                <c:pt idx="1727">
                  <c:v>51421</c:v>
                </c:pt>
                <c:pt idx="1728">
                  <c:v>51428</c:v>
                </c:pt>
                <c:pt idx="1729">
                  <c:v>51435</c:v>
                </c:pt>
                <c:pt idx="1730">
                  <c:v>51442</c:v>
                </c:pt>
                <c:pt idx="1731">
                  <c:v>51449</c:v>
                </c:pt>
                <c:pt idx="1732">
                  <c:v>51456</c:v>
                </c:pt>
                <c:pt idx="1733">
                  <c:v>51463</c:v>
                </c:pt>
                <c:pt idx="1734">
                  <c:v>51470</c:v>
                </c:pt>
                <c:pt idx="1735">
                  <c:v>51477</c:v>
                </c:pt>
                <c:pt idx="1736">
                  <c:v>51484</c:v>
                </c:pt>
                <c:pt idx="1737">
                  <c:v>51491</c:v>
                </c:pt>
                <c:pt idx="1738">
                  <c:v>51501</c:v>
                </c:pt>
                <c:pt idx="1739">
                  <c:v>51508</c:v>
                </c:pt>
                <c:pt idx="1740">
                  <c:v>51515</c:v>
                </c:pt>
                <c:pt idx="1741">
                  <c:v>51522</c:v>
                </c:pt>
                <c:pt idx="1742">
                  <c:v>51529</c:v>
                </c:pt>
                <c:pt idx="1743">
                  <c:v>51536</c:v>
                </c:pt>
                <c:pt idx="1744">
                  <c:v>51543</c:v>
                </c:pt>
                <c:pt idx="1745">
                  <c:v>51550</c:v>
                </c:pt>
                <c:pt idx="1746">
                  <c:v>51557</c:v>
                </c:pt>
                <c:pt idx="1747">
                  <c:v>51564</c:v>
                </c:pt>
                <c:pt idx="1748">
                  <c:v>51571</c:v>
                </c:pt>
                <c:pt idx="1749">
                  <c:v>51578</c:v>
                </c:pt>
                <c:pt idx="1750">
                  <c:v>51585</c:v>
                </c:pt>
                <c:pt idx="1751">
                  <c:v>51592</c:v>
                </c:pt>
                <c:pt idx="1752">
                  <c:v>51599</c:v>
                </c:pt>
                <c:pt idx="1753">
                  <c:v>51606</c:v>
                </c:pt>
                <c:pt idx="1754">
                  <c:v>51615</c:v>
                </c:pt>
                <c:pt idx="1755">
                  <c:v>51620</c:v>
                </c:pt>
                <c:pt idx="1756">
                  <c:v>51627</c:v>
                </c:pt>
                <c:pt idx="1757">
                  <c:v>51634</c:v>
                </c:pt>
                <c:pt idx="1758">
                  <c:v>51641</c:v>
                </c:pt>
                <c:pt idx="1759">
                  <c:v>51648</c:v>
                </c:pt>
                <c:pt idx="1760">
                  <c:v>51655</c:v>
                </c:pt>
                <c:pt idx="1761">
                  <c:v>51662</c:v>
                </c:pt>
                <c:pt idx="1762">
                  <c:v>51669</c:v>
                </c:pt>
                <c:pt idx="1763">
                  <c:v>51676</c:v>
                </c:pt>
                <c:pt idx="1764">
                  <c:v>51683</c:v>
                </c:pt>
                <c:pt idx="1765">
                  <c:v>51690</c:v>
                </c:pt>
                <c:pt idx="1766">
                  <c:v>51697</c:v>
                </c:pt>
                <c:pt idx="1767">
                  <c:v>51704</c:v>
                </c:pt>
                <c:pt idx="1768">
                  <c:v>51711</c:v>
                </c:pt>
                <c:pt idx="1769">
                  <c:v>51718</c:v>
                </c:pt>
                <c:pt idx="1770">
                  <c:v>51725</c:v>
                </c:pt>
                <c:pt idx="1771">
                  <c:v>51732</c:v>
                </c:pt>
                <c:pt idx="1772">
                  <c:v>51739</c:v>
                </c:pt>
                <c:pt idx="1773">
                  <c:v>51746</c:v>
                </c:pt>
                <c:pt idx="1774">
                  <c:v>51753</c:v>
                </c:pt>
                <c:pt idx="1775">
                  <c:v>51760</c:v>
                </c:pt>
                <c:pt idx="1776">
                  <c:v>51767</c:v>
                </c:pt>
                <c:pt idx="1777">
                  <c:v>51774</c:v>
                </c:pt>
                <c:pt idx="1778">
                  <c:v>51781</c:v>
                </c:pt>
                <c:pt idx="1779">
                  <c:v>51788</c:v>
                </c:pt>
                <c:pt idx="1780">
                  <c:v>51795</c:v>
                </c:pt>
                <c:pt idx="1781">
                  <c:v>51802</c:v>
                </c:pt>
                <c:pt idx="1782">
                  <c:v>51809</c:v>
                </c:pt>
                <c:pt idx="1783">
                  <c:v>51816</c:v>
                </c:pt>
                <c:pt idx="1784">
                  <c:v>51823</c:v>
                </c:pt>
                <c:pt idx="1785">
                  <c:v>51830</c:v>
                </c:pt>
                <c:pt idx="1786">
                  <c:v>51837</c:v>
                </c:pt>
                <c:pt idx="1787">
                  <c:v>51844</c:v>
                </c:pt>
                <c:pt idx="1788">
                  <c:v>51851</c:v>
                </c:pt>
                <c:pt idx="1789">
                  <c:v>51858</c:v>
                </c:pt>
                <c:pt idx="1790">
                  <c:v>51866</c:v>
                </c:pt>
                <c:pt idx="1791">
                  <c:v>51873</c:v>
                </c:pt>
                <c:pt idx="1792">
                  <c:v>51880</c:v>
                </c:pt>
                <c:pt idx="1793">
                  <c:v>51887</c:v>
                </c:pt>
                <c:pt idx="1794">
                  <c:v>51894</c:v>
                </c:pt>
                <c:pt idx="1795">
                  <c:v>51901</c:v>
                </c:pt>
                <c:pt idx="1796">
                  <c:v>51908</c:v>
                </c:pt>
                <c:pt idx="1797">
                  <c:v>51915</c:v>
                </c:pt>
                <c:pt idx="1798">
                  <c:v>51922</c:v>
                </c:pt>
                <c:pt idx="1799">
                  <c:v>51929</c:v>
                </c:pt>
                <c:pt idx="1800">
                  <c:v>51936</c:v>
                </c:pt>
                <c:pt idx="1801">
                  <c:v>51943</c:v>
                </c:pt>
                <c:pt idx="1802">
                  <c:v>51950</c:v>
                </c:pt>
                <c:pt idx="1803">
                  <c:v>51957</c:v>
                </c:pt>
                <c:pt idx="1804">
                  <c:v>51966</c:v>
                </c:pt>
                <c:pt idx="1805">
                  <c:v>51973</c:v>
                </c:pt>
                <c:pt idx="1806">
                  <c:v>51980</c:v>
                </c:pt>
                <c:pt idx="1807">
                  <c:v>51988</c:v>
                </c:pt>
                <c:pt idx="1808">
                  <c:v>51994</c:v>
                </c:pt>
                <c:pt idx="1809">
                  <c:v>52001</c:v>
                </c:pt>
                <c:pt idx="1810">
                  <c:v>52008</c:v>
                </c:pt>
                <c:pt idx="1811">
                  <c:v>52015</c:v>
                </c:pt>
                <c:pt idx="1812">
                  <c:v>52022</c:v>
                </c:pt>
                <c:pt idx="1813">
                  <c:v>52029</c:v>
                </c:pt>
                <c:pt idx="1814">
                  <c:v>52036</c:v>
                </c:pt>
                <c:pt idx="1815">
                  <c:v>52043</c:v>
                </c:pt>
                <c:pt idx="1816">
                  <c:v>52050</c:v>
                </c:pt>
                <c:pt idx="1817">
                  <c:v>52057</c:v>
                </c:pt>
                <c:pt idx="1818">
                  <c:v>52064</c:v>
                </c:pt>
                <c:pt idx="1819">
                  <c:v>52071</c:v>
                </c:pt>
                <c:pt idx="1820">
                  <c:v>52078</c:v>
                </c:pt>
                <c:pt idx="1821">
                  <c:v>52085</c:v>
                </c:pt>
                <c:pt idx="1822">
                  <c:v>52092</c:v>
                </c:pt>
                <c:pt idx="1823">
                  <c:v>52099</c:v>
                </c:pt>
                <c:pt idx="1824">
                  <c:v>52106</c:v>
                </c:pt>
                <c:pt idx="1825">
                  <c:v>52113</c:v>
                </c:pt>
                <c:pt idx="1826">
                  <c:v>52120</c:v>
                </c:pt>
                <c:pt idx="1827">
                  <c:v>52127</c:v>
                </c:pt>
                <c:pt idx="1828">
                  <c:v>52134</c:v>
                </c:pt>
                <c:pt idx="1829">
                  <c:v>52141</c:v>
                </c:pt>
                <c:pt idx="1830">
                  <c:v>52148</c:v>
                </c:pt>
                <c:pt idx="1831">
                  <c:v>52155</c:v>
                </c:pt>
                <c:pt idx="1832">
                  <c:v>52162</c:v>
                </c:pt>
                <c:pt idx="1833">
                  <c:v>52169</c:v>
                </c:pt>
                <c:pt idx="1834">
                  <c:v>52176</c:v>
                </c:pt>
                <c:pt idx="1835">
                  <c:v>52183</c:v>
                </c:pt>
                <c:pt idx="1836">
                  <c:v>52190</c:v>
                </c:pt>
                <c:pt idx="1837">
                  <c:v>52197</c:v>
                </c:pt>
                <c:pt idx="1838">
                  <c:v>52204</c:v>
                </c:pt>
                <c:pt idx="1839">
                  <c:v>52211</c:v>
                </c:pt>
                <c:pt idx="1840">
                  <c:v>52218</c:v>
                </c:pt>
                <c:pt idx="1841">
                  <c:v>52229</c:v>
                </c:pt>
                <c:pt idx="1842">
                  <c:v>52233</c:v>
                </c:pt>
                <c:pt idx="1843">
                  <c:v>52239</c:v>
                </c:pt>
                <c:pt idx="1844">
                  <c:v>52246</c:v>
                </c:pt>
                <c:pt idx="1845">
                  <c:v>52253</c:v>
                </c:pt>
                <c:pt idx="1846">
                  <c:v>52260</c:v>
                </c:pt>
                <c:pt idx="1847">
                  <c:v>52267</c:v>
                </c:pt>
                <c:pt idx="1848">
                  <c:v>52274</c:v>
                </c:pt>
                <c:pt idx="1849">
                  <c:v>52281</c:v>
                </c:pt>
                <c:pt idx="1850">
                  <c:v>52288</c:v>
                </c:pt>
                <c:pt idx="1851">
                  <c:v>52295</c:v>
                </c:pt>
                <c:pt idx="1852">
                  <c:v>52302</c:v>
                </c:pt>
                <c:pt idx="1853">
                  <c:v>52309</c:v>
                </c:pt>
                <c:pt idx="1854">
                  <c:v>52316</c:v>
                </c:pt>
                <c:pt idx="1855">
                  <c:v>52323</c:v>
                </c:pt>
                <c:pt idx="1856">
                  <c:v>52330</c:v>
                </c:pt>
                <c:pt idx="1857">
                  <c:v>52337</c:v>
                </c:pt>
                <c:pt idx="1858">
                  <c:v>52344</c:v>
                </c:pt>
                <c:pt idx="1859">
                  <c:v>52351</c:v>
                </c:pt>
                <c:pt idx="1860">
                  <c:v>52358</c:v>
                </c:pt>
                <c:pt idx="1861">
                  <c:v>52365</c:v>
                </c:pt>
                <c:pt idx="1862">
                  <c:v>52372</c:v>
                </c:pt>
                <c:pt idx="1863">
                  <c:v>52379</c:v>
                </c:pt>
                <c:pt idx="1864">
                  <c:v>52386</c:v>
                </c:pt>
                <c:pt idx="1865">
                  <c:v>52393</c:v>
                </c:pt>
                <c:pt idx="1866">
                  <c:v>52400</c:v>
                </c:pt>
                <c:pt idx="1867">
                  <c:v>52407</c:v>
                </c:pt>
                <c:pt idx="1868">
                  <c:v>52414</c:v>
                </c:pt>
                <c:pt idx="1869">
                  <c:v>52421</c:v>
                </c:pt>
                <c:pt idx="1870">
                  <c:v>52428</c:v>
                </c:pt>
                <c:pt idx="1871">
                  <c:v>52435</c:v>
                </c:pt>
                <c:pt idx="1872">
                  <c:v>52442</c:v>
                </c:pt>
                <c:pt idx="1873">
                  <c:v>52449</c:v>
                </c:pt>
                <c:pt idx="1874">
                  <c:v>52456</c:v>
                </c:pt>
                <c:pt idx="1875">
                  <c:v>52463</c:v>
                </c:pt>
                <c:pt idx="1876">
                  <c:v>52470</c:v>
                </c:pt>
                <c:pt idx="1877">
                  <c:v>52477</c:v>
                </c:pt>
                <c:pt idx="1878">
                  <c:v>52484</c:v>
                </c:pt>
                <c:pt idx="1879">
                  <c:v>52491</c:v>
                </c:pt>
                <c:pt idx="1880">
                  <c:v>52498</c:v>
                </c:pt>
                <c:pt idx="1881">
                  <c:v>52505</c:v>
                </c:pt>
                <c:pt idx="1882">
                  <c:v>52512</c:v>
                </c:pt>
                <c:pt idx="1883">
                  <c:v>52519</c:v>
                </c:pt>
                <c:pt idx="1884">
                  <c:v>52526</c:v>
                </c:pt>
                <c:pt idx="1885">
                  <c:v>52533</c:v>
                </c:pt>
                <c:pt idx="1886">
                  <c:v>52540</c:v>
                </c:pt>
                <c:pt idx="1887">
                  <c:v>52547</c:v>
                </c:pt>
                <c:pt idx="1888">
                  <c:v>52554</c:v>
                </c:pt>
                <c:pt idx="1889">
                  <c:v>52561</c:v>
                </c:pt>
                <c:pt idx="1890">
                  <c:v>52568</c:v>
                </c:pt>
                <c:pt idx="1891">
                  <c:v>52575</c:v>
                </c:pt>
                <c:pt idx="1892">
                  <c:v>52582</c:v>
                </c:pt>
                <c:pt idx="1893">
                  <c:v>52589</c:v>
                </c:pt>
                <c:pt idx="1894">
                  <c:v>52596</c:v>
                </c:pt>
                <c:pt idx="1895">
                  <c:v>52603</c:v>
                </c:pt>
                <c:pt idx="1896">
                  <c:v>52610</c:v>
                </c:pt>
                <c:pt idx="1897">
                  <c:v>52617</c:v>
                </c:pt>
                <c:pt idx="1898">
                  <c:v>52624</c:v>
                </c:pt>
                <c:pt idx="1899">
                  <c:v>52631</c:v>
                </c:pt>
                <c:pt idx="1900">
                  <c:v>52638</c:v>
                </c:pt>
                <c:pt idx="1901">
                  <c:v>52645</c:v>
                </c:pt>
                <c:pt idx="1902">
                  <c:v>52652</c:v>
                </c:pt>
                <c:pt idx="1903">
                  <c:v>52659</c:v>
                </c:pt>
                <c:pt idx="1904">
                  <c:v>52666</c:v>
                </c:pt>
                <c:pt idx="1905">
                  <c:v>52673</c:v>
                </c:pt>
                <c:pt idx="1906">
                  <c:v>52680</c:v>
                </c:pt>
                <c:pt idx="1907">
                  <c:v>52687</c:v>
                </c:pt>
                <c:pt idx="1908">
                  <c:v>52694</c:v>
                </c:pt>
                <c:pt idx="1909">
                  <c:v>52701</c:v>
                </c:pt>
                <c:pt idx="1910">
                  <c:v>52708</c:v>
                </c:pt>
                <c:pt idx="1911">
                  <c:v>52715</c:v>
                </c:pt>
                <c:pt idx="1912">
                  <c:v>52722</c:v>
                </c:pt>
                <c:pt idx="1913">
                  <c:v>52729</c:v>
                </c:pt>
                <c:pt idx="1914">
                  <c:v>52736</c:v>
                </c:pt>
                <c:pt idx="1915">
                  <c:v>52743</c:v>
                </c:pt>
                <c:pt idx="1916">
                  <c:v>52750</c:v>
                </c:pt>
                <c:pt idx="1917">
                  <c:v>52757</c:v>
                </c:pt>
                <c:pt idx="1918">
                  <c:v>52764</c:v>
                </c:pt>
                <c:pt idx="1919">
                  <c:v>52771</c:v>
                </c:pt>
                <c:pt idx="1920">
                  <c:v>52778</c:v>
                </c:pt>
                <c:pt idx="1921">
                  <c:v>52785</c:v>
                </c:pt>
                <c:pt idx="1922">
                  <c:v>52792</c:v>
                </c:pt>
                <c:pt idx="1923">
                  <c:v>52799</c:v>
                </c:pt>
                <c:pt idx="1924">
                  <c:v>52806</c:v>
                </c:pt>
                <c:pt idx="1925">
                  <c:v>52813</c:v>
                </c:pt>
                <c:pt idx="1926">
                  <c:v>52820</c:v>
                </c:pt>
                <c:pt idx="1927">
                  <c:v>52827</c:v>
                </c:pt>
                <c:pt idx="1928">
                  <c:v>52834</c:v>
                </c:pt>
                <c:pt idx="1929">
                  <c:v>52841</c:v>
                </c:pt>
                <c:pt idx="1930">
                  <c:v>52848</c:v>
                </c:pt>
                <c:pt idx="1931">
                  <c:v>52855</c:v>
                </c:pt>
                <c:pt idx="1932">
                  <c:v>52862</c:v>
                </c:pt>
                <c:pt idx="1933">
                  <c:v>52869</c:v>
                </c:pt>
                <c:pt idx="1934">
                  <c:v>52876</c:v>
                </c:pt>
                <c:pt idx="1935">
                  <c:v>52883</c:v>
                </c:pt>
                <c:pt idx="1936">
                  <c:v>52890</c:v>
                </c:pt>
                <c:pt idx="1937">
                  <c:v>52897</c:v>
                </c:pt>
                <c:pt idx="1938">
                  <c:v>52904</c:v>
                </c:pt>
                <c:pt idx="1939">
                  <c:v>52911</c:v>
                </c:pt>
                <c:pt idx="1940">
                  <c:v>52918</c:v>
                </c:pt>
                <c:pt idx="1941">
                  <c:v>52925</c:v>
                </c:pt>
                <c:pt idx="1942">
                  <c:v>52932</c:v>
                </c:pt>
                <c:pt idx="1943">
                  <c:v>52939</c:v>
                </c:pt>
                <c:pt idx="1944">
                  <c:v>52946</c:v>
                </c:pt>
                <c:pt idx="1945">
                  <c:v>52953</c:v>
                </c:pt>
                <c:pt idx="1946">
                  <c:v>52960</c:v>
                </c:pt>
                <c:pt idx="1947">
                  <c:v>52967</c:v>
                </c:pt>
                <c:pt idx="1948">
                  <c:v>52974</c:v>
                </c:pt>
                <c:pt idx="1949">
                  <c:v>52981</c:v>
                </c:pt>
                <c:pt idx="1950">
                  <c:v>52988</c:v>
                </c:pt>
                <c:pt idx="1951">
                  <c:v>52995</c:v>
                </c:pt>
                <c:pt idx="1952">
                  <c:v>53002</c:v>
                </c:pt>
                <c:pt idx="1953">
                  <c:v>53009</c:v>
                </c:pt>
                <c:pt idx="1954">
                  <c:v>53016</c:v>
                </c:pt>
                <c:pt idx="1955">
                  <c:v>53023</c:v>
                </c:pt>
                <c:pt idx="1956">
                  <c:v>53030</c:v>
                </c:pt>
                <c:pt idx="1957">
                  <c:v>53037</c:v>
                </c:pt>
                <c:pt idx="1958">
                  <c:v>53044</c:v>
                </c:pt>
                <c:pt idx="1959">
                  <c:v>53051</c:v>
                </c:pt>
                <c:pt idx="1960">
                  <c:v>53058</c:v>
                </c:pt>
                <c:pt idx="1961">
                  <c:v>53065</c:v>
                </c:pt>
                <c:pt idx="1962">
                  <c:v>53072</c:v>
                </c:pt>
                <c:pt idx="1963">
                  <c:v>53079</c:v>
                </c:pt>
                <c:pt idx="1964">
                  <c:v>53086</c:v>
                </c:pt>
                <c:pt idx="1965">
                  <c:v>53093</c:v>
                </c:pt>
                <c:pt idx="1966">
                  <c:v>53100</c:v>
                </c:pt>
                <c:pt idx="1967">
                  <c:v>53107</c:v>
                </c:pt>
                <c:pt idx="1968">
                  <c:v>53114</c:v>
                </c:pt>
                <c:pt idx="1969">
                  <c:v>53121</c:v>
                </c:pt>
                <c:pt idx="1970">
                  <c:v>53128</c:v>
                </c:pt>
                <c:pt idx="1971">
                  <c:v>53135</c:v>
                </c:pt>
                <c:pt idx="1972">
                  <c:v>53142</c:v>
                </c:pt>
                <c:pt idx="1973">
                  <c:v>53149</c:v>
                </c:pt>
                <c:pt idx="1974">
                  <c:v>53156</c:v>
                </c:pt>
                <c:pt idx="1975">
                  <c:v>53163</c:v>
                </c:pt>
                <c:pt idx="1976">
                  <c:v>53170</c:v>
                </c:pt>
                <c:pt idx="1977">
                  <c:v>53177</c:v>
                </c:pt>
                <c:pt idx="1978">
                  <c:v>53184</c:v>
                </c:pt>
                <c:pt idx="1979">
                  <c:v>53191</c:v>
                </c:pt>
                <c:pt idx="1980">
                  <c:v>53198</c:v>
                </c:pt>
                <c:pt idx="1981">
                  <c:v>53205</c:v>
                </c:pt>
                <c:pt idx="1982">
                  <c:v>53212</c:v>
                </c:pt>
                <c:pt idx="1983">
                  <c:v>53219</c:v>
                </c:pt>
                <c:pt idx="1984">
                  <c:v>53226</c:v>
                </c:pt>
                <c:pt idx="1985">
                  <c:v>53233</c:v>
                </c:pt>
                <c:pt idx="1986">
                  <c:v>53240</c:v>
                </c:pt>
                <c:pt idx="1987">
                  <c:v>53247</c:v>
                </c:pt>
                <c:pt idx="1988">
                  <c:v>53254</c:v>
                </c:pt>
                <c:pt idx="1989">
                  <c:v>53261</c:v>
                </c:pt>
                <c:pt idx="1990">
                  <c:v>53268</c:v>
                </c:pt>
                <c:pt idx="1991">
                  <c:v>53275</c:v>
                </c:pt>
                <c:pt idx="1992">
                  <c:v>53282</c:v>
                </c:pt>
                <c:pt idx="1993">
                  <c:v>53289</c:v>
                </c:pt>
                <c:pt idx="1994">
                  <c:v>53296</c:v>
                </c:pt>
                <c:pt idx="1995">
                  <c:v>53303</c:v>
                </c:pt>
                <c:pt idx="1996">
                  <c:v>53310</c:v>
                </c:pt>
                <c:pt idx="1997">
                  <c:v>53317</c:v>
                </c:pt>
                <c:pt idx="1998">
                  <c:v>53325</c:v>
                </c:pt>
                <c:pt idx="1999">
                  <c:v>53332</c:v>
                </c:pt>
                <c:pt idx="2000">
                  <c:v>53339</c:v>
                </c:pt>
                <c:pt idx="2001">
                  <c:v>53346</c:v>
                </c:pt>
                <c:pt idx="2002">
                  <c:v>53353</c:v>
                </c:pt>
                <c:pt idx="2003">
                  <c:v>53360</c:v>
                </c:pt>
                <c:pt idx="2004">
                  <c:v>53367</c:v>
                </c:pt>
                <c:pt idx="2005">
                  <c:v>53374</c:v>
                </c:pt>
                <c:pt idx="2006">
                  <c:v>53381</c:v>
                </c:pt>
                <c:pt idx="2007">
                  <c:v>53388</c:v>
                </c:pt>
                <c:pt idx="2008">
                  <c:v>53395</c:v>
                </c:pt>
                <c:pt idx="2009">
                  <c:v>53402</c:v>
                </c:pt>
                <c:pt idx="2010">
                  <c:v>53413</c:v>
                </c:pt>
                <c:pt idx="2011">
                  <c:v>53416</c:v>
                </c:pt>
                <c:pt idx="2012">
                  <c:v>53423</c:v>
                </c:pt>
                <c:pt idx="2013">
                  <c:v>53430</c:v>
                </c:pt>
                <c:pt idx="2014">
                  <c:v>53437</c:v>
                </c:pt>
                <c:pt idx="2015">
                  <c:v>53444</c:v>
                </c:pt>
                <c:pt idx="2016">
                  <c:v>53451</c:v>
                </c:pt>
                <c:pt idx="2017">
                  <c:v>53458</c:v>
                </c:pt>
                <c:pt idx="2018">
                  <c:v>53465</c:v>
                </c:pt>
                <c:pt idx="2019">
                  <c:v>53472</c:v>
                </c:pt>
                <c:pt idx="2020">
                  <c:v>53479</c:v>
                </c:pt>
                <c:pt idx="2021">
                  <c:v>53486</c:v>
                </c:pt>
                <c:pt idx="2022">
                  <c:v>53493</c:v>
                </c:pt>
                <c:pt idx="2023">
                  <c:v>53500</c:v>
                </c:pt>
                <c:pt idx="2024">
                  <c:v>53507</c:v>
                </c:pt>
                <c:pt idx="2025">
                  <c:v>53514</c:v>
                </c:pt>
                <c:pt idx="2026">
                  <c:v>53521</c:v>
                </c:pt>
                <c:pt idx="2027">
                  <c:v>53528</c:v>
                </c:pt>
                <c:pt idx="2028">
                  <c:v>53535</c:v>
                </c:pt>
                <c:pt idx="2029">
                  <c:v>53542</c:v>
                </c:pt>
                <c:pt idx="2030">
                  <c:v>53549</c:v>
                </c:pt>
                <c:pt idx="2031">
                  <c:v>53556</c:v>
                </c:pt>
                <c:pt idx="2032">
                  <c:v>53563</c:v>
                </c:pt>
                <c:pt idx="2033">
                  <c:v>53570</c:v>
                </c:pt>
                <c:pt idx="2034">
                  <c:v>53577</c:v>
                </c:pt>
                <c:pt idx="2035">
                  <c:v>53584</c:v>
                </c:pt>
                <c:pt idx="2036">
                  <c:v>53591</c:v>
                </c:pt>
                <c:pt idx="2037">
                  <c:v>53598</c:v>
                </c:pt>
                <c:pt idx="2038">
                  <c:v>53605</c:v>
                </c:pt>
                <c:pt idx="2039">
                  <c:v>53612</c:v>
                </c:pt>
                <c:pt idx="2040">
                  <c:v>53619</c:v>
                </c:pt>
                <c:pt idx="2041">
                  <c:v>53626</c:v>
                </c:pt>
                <c:pt idx="2042">
                  <c:v>53633</c:v>
                </c:pt>
                <c:pt idx="2043">
                  <c:v>53640</c:v>
                </c:pt>
                <c:pt idx="2044">
                  <c:v>53647</c:v>
                </c:pt>
                <c:pt idx="2045">
                  <c:v>53654</c:v>
                </c:pt>
                <c:pt idx="2046">
                  <c:v>53661</c:v>
                </c:pt>
                <c:pt idx="2047">
                  <c:v>53668</c:v>
                </c:pt>
                <c:pt idx="2048">
                  <c:v>53675</c:v>
                </c:pt>
                <c:pt idx="2049">
                  <c:v>53682</c:v>
                </c:pt>
                <c:pt idx="2050">
                  <c:v>53692</c:v>
                </c:pt>
                <c:pt idx="2051">
                  <c:v>53699</c:v>
                </c:pt>
                <c:pt idx="2052">
                  <c:v>53706</c:v>
                </c:pt>
                <c:pt idx="2053">
                  <c:v>53713</c:v>
                </c:pt>
                <c:pt idx="2054">
                  <c:v>53720</c:v>
                </c:pt>
                <c:pt idx="2055">
                  <c:v>53727</c:v>
                </c:pt>
                <c:pt idx="2056">
                  <c:v>53734</c:v>
                </c:pt>
                <c:pt idx="2057">
                  <c:v>53741</c:v>
                </c:pt>
                <c:pt idx="2058">
                  <c:v>53748</c:v>
                </c:pt>
                <c:pt idx="2059">
                  <c:v>53755</c:v>
                </c:pt>
                <c:pt idx="2060">
                  <c:v>53762</c:v>
                </c:pt>
                <c:pt idx="2061">
                  <c:v>53769</c:v>
                </c:pt>
                <c:pt idx="2062">
                  <c:v>53776</c:v>
                </c:pt>
                <c:pt idx="2063">
                  <c:v>53783</c:v>
                </c:pt>
                <c:pt idx="2064">
                  <c:v>53790</c:v>
                </c:pt>
                <c:pt idx="2065">
                  <c:v>53799</c:v>
                </c:pt>
                <c:pt idx="2066">
                  <c:v>53804</c:v>
                </c:pt>
                <c:pt idx="2067">
                  <c:v>53811</c:v>
                </c:pt>
                <c:pt idx="2068">
                  <c:v>53818</c:v>
                </c:pt>
                <c:pt idx="2069">
                  <c:v>53825</c:v>
                </c:pt>
                <c:pt idx="2070">
                  <c:v>53832</c:v>
                </c:pt>
                <c:pt idx="2071">
                  <c:v>53839</c:v>
                </c:pt>
                <c:pt idx="2072">
                  <c:v>53846</c:v>
                </c:pt>
                <c:pt idx="2073">
                  <c:v>53853</c:v>
                </c:pt>
                <c:pt idx="2074">
                  <c:v>53860</c:v>
                </c:pt>
                <c:pt idx="2075">
                  <c:v>53867</c:v>
                </c:pt>
                <c:pt idx="2076">
                  <c:v>53874</c:v>
                </c:pt>
                <c:pt idx="2077">
                  <c:v>53881</c:v>
                </c:pt>
                <c:pt idx="2078">
                  <c:v>53888</c:v>
                </c:pt>
                <c:pt idx="2079">
                  <c:v>53895</c:v>
                </c:pt>
                <c:pt idx="2080">
                  <c:v>53902</c:v>
                </c:pt>
                <c:pt idx="2081">
                  <c:v>53909</c:v>
                </c:pt>
                <c:pt idx="2082">
                  <c:v>53916</c:v>
                </c:pt>
                <c:pt idx="2083">
                  <c:v>53923</c:v>
                </c:pt>
                <c:pt idx="2084">
                  <c:v>53930</c:v>
                </c:pt>
                <c:pt idx="2085">
                  <c:v>53937</c:v>
                </c:pt>
                <c:pt idx="2086">
                  <c:v>53944</c:v>
                </c:pt>
                <c:pt idx="2087">
                  <c:v>53951</c:v>
                </c:pt>
                <c:pt idx="2088">
                  <c:v>53958</c:v>
                </c:pt>
                <c:pt idx="2089">
                  <c:v>53965</c:v>
                </c:pt>
                <c:pt idx="2090">
                  <c:v>53972</c:v>
                </c:pt>
                <c:pt idx="2091">
                  <c:v>53979</c:v>
                </c:pt>
                <c:pt idx="2092">
                  <c:v>53986</c:v>
                </c:pt>
                <c:pt idx="2093">
                  <c:v>53993</c:v>
                </c:pt>
                <c:pt idx="2094">
                  <c:v>54000</c:v>
                </c:pt>
                <c:pt idx="2095">
                  <c:v>54007</c:v>
                </c:pt>
                <c:pt idx="2096">
                  <c:v>54014</c:v>
                </c:pt>
                <c:pt idx="2097">
                  <c:v>54021</c:v>
                </c:pt>
                <c:pt idx="2098">
                  <c:v>54028</c:v>
                </c:pt>
                <c:pt idx="2099">
                  <c:v>54035</c:v>
                </c:pt>
                <c:pt idx="2100">
                  <c:v>54042</c:v>
                </c:pt>
                <c:pt idx="2101">
                  <c:v>54049</c:v>
                </c:pt>
                <c:pt idx="2102">
                  <c:v>54057</c:v>
                </c:pt>
                <c:pt idx="2103">
                  <c:v>54064</c:v>
                </c:pt>
                <c:pt idx="2104">
                  <c:v>54071</c:v>
                </c:pt>
                <c:pt idx="2105">
                  <c:v>54078</c:v>
                </c:pt>
                <c:pt idx="2106">
                  <c:v>54085</c:v>
                </c:pt>
                <c:pt idx="2107">
                  <c:v>54092</c:v>
                </c:pt>
                <c:pt idx="2108">
                  <c:v>54099</c:v>
                </c:pt>
                <c:pt idx="2109">
                  <c:v>54106</c:v>
                </c:pt>
                <c:pt idx="2110">
                  <c:v>54113</c:v>
                </c:pt>
                <c:pt idx="2111">
                  <c:v>54120</c:v>
                </c:pt>
                <c:pt idx="2112">
                  <c:v>54127</c:v>
                </c:pt>
                <c:pt idx="2113">
                  <c:v>54134</c:v>
                </c:pt>
                <c:pt idx="2114">
                  <c:v>54141</c:v>
                </c:pt>
                <c:pt idx="2115">
                  <c:v>54148</c:v>
                </c:pt>
                <c:pt idx="2116">
                  <c:v>54157</c:v>
                </c:pt>
                <c:pt idx="2117">
                  <c:v>54164</c:v>
                </c:pt>
                <c:pt idx="2118">
                  <c:v>54171</c:v>
                </c:pt>
                <c:pt idx="2119">
                  <c:v>54178</c:v>
                </c:pt>
                <c:pt idx="2120">
                  <c:v>54185</c:v>
                </c:pt>
                <c:pt idx="2121">
                  <c:v>54192</c:v>
                </c:pt>
                <c:pt idx="2122">
                  <c:v>54199</c:v>
                </c:pt>
                <c:pt idx="2123">
                  <c:v>54206</c:v>
                </c:pt>
                <c:pt idx="2124">
                  <c:v>54213</c:v>
                </c:pt>
                <c:pt idx="2125">
                  <c:v>54220</c:v>
                </c:pt>
                <c:pt idx="2126">
                  <c:v>54227</c:v>
                </c:pt>
                <c:pt idx="2127">
                  <c:v>54234</c:v>
                </c:pt>
                <c:pt idx="2128">
                  <c:v>54241</c:v>
                </c:pt>
                <c:pt idx="2129">
                  <c:v>54248</c:v>
                </c:pt>
                <c:pt idx="2130">
                  <c:v>54255</c:v>
                </c:pt>
                <c:pt idx="2131">
                  <c:v>54262</c:v>
                </c:pt>
                <c:pt idx="2132">
                  <c:v>54269</c:v>
                </c:pt>
                <c:pt idx="2133">
                  <c:v>54276</c:v>
                </c:pt>
                <c:pt idx="2134">
                  <c:v>54283</c:v>
                </c:pt>
                <c:pt idx="2135">
                  <c:v>54290</c:v>
                </c:pt>
                <c:pt idx="2136">
                  <c:v>54297</c:v>
                </c:pt>
                <c:pt idx="2137">
                  <c:v>54304</c:v>
                </c:pt>
                <c:pt idx="2138">
                  <c:v>54311</c:v>
                </c:pt>
                <c:pt idx="2139">
                  <c:v>54318</c:v>
                </c:pt>
                <c:pt idx="2140">
                  <c:v>54325</c:v>
                </c:pt>
                <c:pt idx="2141">
                  <c:v>54332</c:v>
                </c:pt>
                <c:pt idx="2142">
                  <c:v>54339</c:v>
                </c:pt>
                <c:pt idx="2143">
                  <c:v>54346</c:v>
                </c:pt>
                <c:pt idx="2144">
                  <c:v>54353</c:v>
                </c:pt>
                <c:pt idx="2145">
                  <c:v>54360</c:v>
                </c:pt>
                <c:pt idx="2146">
                  <c:v>54367</c:v>
                </c:pt>
                <c:pt idx="2147">
                  <c:v>54374</c:v>
                </c:pt>
                <c:pt idx="2148">
                  <c:v>54381</c:v>
                </c:pt>
                <c:pt idx="2149">
                  <c:v>54388</c:v>
                </c:pt>
                <c:pt idx="2150">
                  <c:v>54395</c:v>
                </c:pt>
                <c:pt idx="2151">
                  <c:v>54402</c:v>
                </c:pt>
                <c:pt idx="2152">
                  <c:v>54409</c:v>
                </c:pt>
                <c:pt idx="2153">
                  <c:v>54416</c:v>
                </c:pt>
                <c:pt idx="2154">
                  <c:v>54423</c:v>
                </c:pt>
                <c:pt idx="2155">
                  <c:v>54430</c:v>
                </c:pt>
                <c:pt idx="2156">
                  <c:v>54437</c:v>
                </c:pt>
                <c:pt idx="2157">
                  <c:v>54444</c:v>
                </c:pt>
                <c:pt idx="2158">
                  <c:v>54451</c:v>
                </c:pt>
                <c:pt idx="2159">
                  <c:v>54458</c:v>
                </c:pt>
                <c:pt idx="2160">
                  <c:v>54465</c:v>
                </c:pt>
                <c:pt idx="2161">
                  <c:v>54472</c:v>
                </c:pt>
                <c:pt idx="2162">
                  <c:v>54479</c:v>
                </c:pt>
                <c:pt idx="2163">
                  <c:v>54486</c:v>
                </c:pt>
                <c:pt idx="2164">
                  <c:v>54493</c:v>
                </c:pt>
                <c:pt idx="2165">
                  <c:v>54500</c:v>
                </c:pt>
                <c:pt idx="2166">
                  <c:v>54507</c:v>
                </c:pt>
                <c:pt idx="2167">
                  <c:v>54514</c:v>
                </c:pt>
                <c:pt idx="2168">
                  <c:v>54521</c:v>
                </c:pt>
                <c:pt idx="2169">
                  <c:v>54528</c:v>
                </c:pt>
                <c:pt idx="2170">
                  <c:v>54535</c:v>
                </c:pt>
                <c:pt idx="2171">
                  <c:v>54542</c:v>
                </c:pt>
                <c:pt idx="2172">
                  <c:v>54549</c:v>
                </c:pt>
                <c:pt idx="2173">
                  <c:v>54556</c:v>
                </c:pt>
                <c:pt idx="2174">
                  <c:v>54563</c:v>
                </c:pt>
                <c:pt idx="2175">
                  <c:v>54570</c:v>
                </c:pt>
                <c:pt idx="2176">
                  <c:v>54577</c:v>
                </c:pt>
                <c:pt idx="2177">
                  <c:v>54584</c:v>
                </c:pt>
                <c:pt idx="2178">
                  <c:v>54591</c:v>
                </c:pt>
                <c:pt idx="2179">
                  <c:v>54598</c:v>
                </c:pt>
                <c:pt idx="2180">
                  <c:v>54605</c:v>
                </c:pt>
                <c:pt idx="2181">
                  <c:v>54612</c:v>
                </c:pt>
                <c:pt idx="2182">
                  <c:v>54619</c:v>
                </c:pt>
                <c:pt idx="2183">
                  <c:v>54626</c:v>
                </c:pt>
                <c:pt idx="2184">
                  <c:v>54633</c:v>
                </c:pt>
                <c:pt idx="2185">
                  <c:v>54640</c:v>
                </c:pt>
                <c:pt idx="2186">
                  <c:v>54647</c:v>
                </c:pt>
                <c:pt idx="2187">
                  <c:v>54654</c:v>
                </c:pt>
                <c:pt idx="2188">
                  <c:v>54661</c:v>
                </c:pt>
                <c:pt idx="2189">
                  <c:v>54668</c:v>
                </c:pt>
                <c:pt idx="2190">
                  <c:v>54675</c:v>
                </c:pt>
                <c:pt idx="2191">
                  <c:v>54682</c:v>
                </c:pt>
                <c:pt idx="2192">
                  <c:v>54689</c:v>
                </c:pt>
                <c:pt idx="2193">
                  <c:v>54696</c:v>
                </c:pt>
                <c:pt idx="2194">
                  <c:v>54703</c:v>
                </c:pt>
                <c:pt idx="2195">
                  <c:v>54710</c:v>
                </c:pt>
                <c:pt idx="2196">
                  <c:v>54717</c:v>
                </c:pt>
                <c:pt idx="2197">
                  <c:v>54724</c:v>
                </c:pt>
                <c:pt idx="2198">
                  <c:v>54731</c:v>
                </c:pt>
                <c:pt idx="2199">
                  <c:v>54738</c:v>
                </c:pt>
                <c:pt idx="2200">
                  <c:v>54745</c:v>
                </c:pt>
                <c:pt idx="2201">
                  <c:v>54752</c:v>
                </c:pt>
                <c:pt idx="2202">
                  <c:v>54759</c:v>
                </c:pt>
                <c:pt idx="2203">
                  <c:v>54766</c:v>
                </c:pt>
                <c:pt idx="2204">
                  <c:v>54773</c:v>
                </c:pt>
                <c:pt idx="2205">
                  <c:v>54780</c:v>
                </c:pt>
                <c:pt idx="2206">
                  <c:v>54787</c:v>
                </c:pt>
                <c:pt idx="2207">
                  <c:v>54794</c:v>
                </c:pt>
                <c:pt idx="2208">
                  <c:v>54801</c:v>
                </c:pt>
                <c:pt idx="2209">
                  <c:v>54808</c:v>
                </c:pt>
                <c:pt idx="2210">
                  <c:v>54815</c:v>
                </c:pt>
                <c:pt idx="2211">
                  <c:v>54822</c:v>
                </c:pt>
                <c:pt idx="2212">
                  <c:v>54829</c:v>
                </c:pt>
                <c:pt idx="2213">
                  <c:v>54836</c:v>
                </c:pt>
                <c:pt idx="2214">
                  <c:v>54843</c:v>
                </c:pt>
                <c:pt idx="2215">
                  <c:v>54850</c:v>
                </c:pt>
                <c:pt idx="2216">
                  <c:v>54857</c:v>
                </c:pt>
                <c:pt idx="2217">
                  <c:v>54864</c:v>
                </c:pt>
                <c:pt idx="2218">
                  <c:v>54871</c:v>
                </c:pt>
                <c:pt idx="2219">
                  <c:v>54878</c:v>
                </c:pt>
                <c:pt idx="2220">
                  <c:v>54885</c:v>
                </c:pt>
                <c:pt idx="2221">
                  <c:v>54892</c:v>
                </c:pt>
                <c:pt idx="2222">
                  <c:v>54899</c:v>
                </c:pt>
                <c:pt idx="2223">
                  <c:v>54906</c:v>
                </c:pt>
                <c:pt idx="2224">
                  <c:v>54913</c:v>
                </c:pt>
                <c:pt idx="2225">
                  <c:v>54920</c:v>
                </c:pt>
                <c:pt idx="2226">
                  <c:v>54927</c:v>
                </c:pt>
                <c:pt idx="2227">
                  <c:v>54934</c:v>
                </c:pt>
                <c:pt idx="2228">
                  <c:v>54941</c:v>
                </c:pt>
                <c:pt idx="2229">
                  <c:v>54948</c:v>
                </c:pt>
                <c:pt idx="2230">
                  <c:v>54955</c:v>
                </c:pt>
                <c:pt idx="2231">
                  <c:v>54962</c:v>
                </c:pt>
                <c:pt idx="2232">
                  <c:v>54969</c:v>
                </c:pt>
                <c:pt idx="2233">
                  <c:v>54976</c:v>
                </c:pt>
                <c:pt idx="2234">
                  <c:v>54983</c:v>
                </c:pt>
                <c:pt idx="2235">
                  <c:v>54990</c:v>
                </c:pt>
                <c:pt idx="2236">
                  <c:v>54997</c:v>
                </c:pt>
                <c:pt idx="2237">
                  <c:v>55004</c:v>
                </c:pt>
                <c:pt idx="2238">
                  <c:v>55011</c:v>
                </c:pt>
                <c:pt idx="2239">
                  <c:v>55018</c:v>
                </c:pt>
                <c:pt idx="2240">
                  <c:v>55025</c:v>
                </c:pt>
                <c:pt idx="2241">
                  <c:v>55032</c:v>
                </c:pt>
                <c:pt idx="2242">
                  <c:v>55039</c:v>
                </c:pt>
                <c:pt idx="2243">
                  <c:v>55046</c:v>
                </c:pt>
                <c:pt idx="2244">
                  <c:v>55053</c:v>
                </c:pt>
                <c:pt idx="2245">
                  <c:v>55060</c:v>
                </c:pt>
                <c:pt idx="2246">
                  <c:v>55067</c:v>
                </c:pt>
                <c:pt idx="2247">
                  <c:v>55074</c:v>
                </c:pt>
                <c:pt idx="2248">
                  <c:v>55081</c:v>
                </c:pt>
                <c:pt idx="2249">
                  <c:v>55088</c:v>
                </c:pt>
                <c:pt idx="2250">
                  <c:v>55095</c:v>
                </c:pt>
                <c:pt idx="2251">
                  <c:v>55102</c:v>
                </c:pt>
                <c:pt idx="2252">
                  <c:v>55109</c:v>
                </c:pt>
                <c:pt idx="2253">
                  <c:v>55116</c:v>
                </c:pt>
                <c:pt idx="2254">
                  <c:v>55123</c:v>
                </c:pt>
                <c:pt idx="2255">
                  <c:v>55130</c:v>
                </c:pt>
                <c:pt idx="2256">
                  <c:v>55137</c:v>
                </c:pt>
                <c:pt idx="2257">
                  <c:v>55144</c:v>
                </c:pt>
                <c:pt idx="2258">
                  <c:v>55151</c:v>
                </c:pt>
                <c:pt idx="2259">
                  <c:v>55158</c:v>
                </c:pt>
                <c:pt idx="2260">
                  <c:v>55165</c:v>
                </c:pt>
                <c:pt idx="2261">
                  <c:v>55172</c:v>
                </c:pt>
                <c:pt idx="2262">
                  <c:v>55179</c:v>
                </c:pt>
                <c:pt idx="2263">
                  <c:v>55186</c:v>
                </c:pt>
                <c:pt idx="2264">
                  <c:v>55193</c:v>
                </c:pt>
                <c:pt idx="2265">
                  <c:v>55200</c:v>
                </c:pt>
                <c:pt idx="2266">
                  <c:v>55207</c:v>
                </c:pt>
                <c:pt idx="2267">
                  <c:v>55214</c:v>
                </c:pt>
                <c:pt idx="2268">
                  <c:v>55221</c:v>
                </c:pt>
                <c:pt idx="2269">
                  <c:v>55228</c:v>
                </c:pt>
                <c:pt idx="2270">
                  <c:v>55235</c:v>
                </c:pt>
                <c:pt idx="2271">
                  <c:v>55242</c:v>
                </c:pt>
                <c:pt idx="2272">
                  <c:v>55249</c:v>
                </c:pt>
                <c:pt idx="2273">
                  <c:v>55256</c:v>
                </c:pt>
                <c:pt idx="2274">
                  <c:v>55263</c:v>
                </c:pt>
                <c:pt idx="2275">
                  <c:v>55270</c:v>
                </c:pt>
                <c:pt idx="2276">
                  <c:v>55277</c:v>
                </c:pt>
                <c:pt idx="2277">
                  <c:v>55284</c:v>
                </c:pt>
                <c:pt idx="2278">
                  <c:v>55291</c:v>
                </c:pt>
                <c:pt idx="2279">
                  <c:v>55298</c:v>
                </c:pt>
                <c:pt idx="2280">
                  <c:v>55305</c:v>
                </c:pt>
                <c:pt idx="2281">
                  <c:v>55312</c:v>
                </c:pt>
                <c:pt idx="2282">
                  <c:v>55319</c:v>
                </c:pt>
                <c:pt idx="2283">
                  <c:v>55326</c:v>
                </c:pt>
                <c:pt idx="2284">
                  <c:v>55333</c:v>
                </c:pt>
                <c:pt idx="2285">
                  <c:v>55340</c:v>
                </c:pt>
                <c:pt idx="2286">
                  <c:v>55347</c:v>
                </c:pt>
                <c:pt idx="2287">
                  <c:v>55354</c:v>
                </c:pt>
                <c:pt idx="2288">
                  <c:v>55361</c:v>
                </c:pt>
                <c:pt idx="2289">
                  <c:v>55368</c:v>
                </c:pt>
                <c:pt idx="2290">
                  <c:v>55375</c:v>
                </c:pt>
                <c:pt idx="2291">
                  <c:v>55382</c:v>
                </c:pt>
                <c:pt idx="2292">
                  <c:v>55389</c:v>
                </c:pt>
                <c:pt idx="2293">
                  <c:v>55396</c:v>
                </c:pt>
                <c:pt idx="2294">
                  <c:v>55403</c:v>
                </c:pt>
                <c:pt idx="2295">
                  <c:v>55410</c:v>
                </c:pt>
                <c:pt idx="2296">
                  <c:v>55417</c:v>
                </c:pt>
                <c:pt idx="2297">
                  <c:v>55424</c:v>
                </c:pt>
                <c:pt idx="2298">
                  <c:v>55431</c:v>
                </c:pt>
                <c:pt idx="2299">
                  <c:v>55438</c:v>
                </c:pt>
                <c:pt idx="2300">
                  <c:v>55445</c:v>
                </c:pt>
                <c:pt idx="2301">
                  <c:v>55452</c:v>
                </c:pt>
                <c:pt idx="2302">
                  <c:v>55459</c:v>
                </c:pt>
                <c:pt idx="2303">
                  <c:v>55466</c:v>
                </c:pt>
                <c:pt idx="2304">
                  <c:v>55473</c:v>
                </c:pt>
                <c:pt idx="2305">
                  <c:v>55480</c:v>
                </c:pt>
                <c:pt idx="2306">
                  <c:v>55487</c:v>
                </c:pt>
                <c:pt idx="2307">
                  <c:v>55494</c:v>
                </c:pt>
                <c:pt idx="2308">
                  <c:v>55501</c:v>
                </c:pt>
                <c:pt idx="2309">
                  <c:v>55508</c:v>
                </c:pt>
                <c:pt idx="2310">
                  <c:v>55516</c:v>
                </c:pt>
                <c:pt idx="2311">
                  <c:v>55523</c:v>
                </c:pt>
                <c:pt idx="2312">
                  <c:v>55530</c:v>
                </c:pt>
                <c:pt idx="2313">
                  <c:v>55537</c:v>
                </c:pt>
                <c:pt idx="2314">
                  <c:v>55544</c:v>
                </c:pt>
                <c:pt idx="2315">
                  <c:v>55551</c:v>
                </c:pt>
                <c:pt idx="2316">
                  <c:v>55558</c:v>
                </c:pt>
                <c:pt idx="2317">
                  <c:v>55565</c:v>
                </c:pt>
                <c:pt idx="2318">
                  <c:v>55572</c:v>
                </c:pt>
                <c:pt idx="2319">
                  <c:v>55579</c:v>
                </c:pt>
                <c:pt idx="2320">
                  <c:v>55586</c:v>
                </c:pt>
                <c:pt idx="2321">
                  <c:v>55593</c:v>
                </c:pt>
                <c:pt idx="2322">
                  <c:v>55600</c:v>
                </c:pt>
                <c:pt idx="2323">
                  <c:v>55607</c:v>
                </c:pt>
                <c:pt idx="2324">
                  <c:v>55614</c:v>
                </c:pt>
                <c:pt idx="2325">
                  <c:v>55621</c:v>
                </c:pt>
                <c:pt idx="2326">
                  <c:v>55632</c:v>
                </c:pt>
                <c:pt idx="2327">
                  <c:v>55635</c:v>
                </c:pt>
                <c:pt idx="2328">
                  <c:v>55645</c:v>
                </c:pt>
                <c:pt idx="2329">
                  <c:v>55652</c:v>
                </c:pt>
                <c:pt idx="2330">
                  <c:v>55659</c:v>
                </c:pt>
                <c:pt idx="2331">
                  <c:v>55666</c:v>
                </c:pt>
                <c:pt idx="2332">
                  <c:v>55673</c:v>
                </c:pt>
                <c:pt idx="2333">
                  <c:v>55680</c:v>
                </c:pt>
                <c:pt idx="2334">
                  <c:v>55687</c:v>
                </c:pt>
                <c:pt idx="2335">
                  <c:v>55694</c:v>
                </c:pt>
                <c:pt idx="2336">
                  <c:v>55701</c:v>
                </c:pt>
                <c:pt idx="2337">
                  <c:v>55708</c:v>
                </c:pt>
                <c:pt idx="2338">
                  <c:v>55715</c:v>
                </c:pt>
                <c:pt idx="2339">
                  <c:v>55722</c:v>
                </c:pt>
                <c:pt idx="2340">
                  <c:v>55729</c:v>
                </c:pt>
                <c:pt idx="2341">
                  <c:v>55736</c:v>
                </c:pt>
                <c:pt idx="2342">
                  <c:v>55743</c:v>
                </c:pt>
                <c:pt idx="2343">
                  <c:v>55750</c:v>
                </c:pt>
                <c:pt idx="2344">
                  <c:v>55757</c:v>
                </c:pt>
                <c:pt idx="2345">
                  <c:v>55764</c:v>
                </c:pt>
                <c:pt idx="2346">
                  <c:v>55771</c:v>
                </c:pt>
                <c:pt idx="2347">
                  <c:v>55778</c:v>
                </c:pt>
                <c:pt idx="2348">
                  <c:v>55785</c:v>
                </c:pt>
                <c:pt idx="2349">
                  <c:v>55792</c:v>
                </c:pt>
                <c:pt idx="2350">
                  <c:v>55799</c:v>
                </c:pt>
                <c:pt idx="2351">
                  <c:v>55806</c:v>
                </c:pt>
                <c:pt idx="2352">
                  <c:v>55813</c:v>
                </c:pt>
                <c:pt idx="2353">
                  <c:v>55820</c:v>
                </c:pt>
                <c:pt idx="2354">
                  <c:v>55827</c:v>
                </c:pt>
                <c:pt idx="2355">
                  <c:v>55834</c:v>
                </c:pt>
                <c:pt idx="2356">
                  <c:v>55841</c:v>
                </c:pt>
                <c:pt idx="2357">
                  <c:v>55848</c:v>
                </c:pt>
                <c:pt idx="2358">
                  <c:v>55855</c:v>
                </c:pt>
                <c:pt idx="2359">
                  <c:v>55862</c:v>
                </c:pt>
                <c:pt idx="2360">
                  <c:v>55869</c:v>
                </c:pt>
                <c:pt idx="2361">
                  <c:v>55876</c:v>
                </c:pt>
                <c:pt idx="2362">
                  <c:v>55884</c:v>
                </c:pt>
                <c:pt idx="2363">
                  <c:v>55891</c:v>
                </c:pt>
                <c:pt idx="2364">
                  <c:v>55898</c:v>
                </c:pt>
                <c:pt idx="2365">
                  <c:v>55905</c:v>
                </c:pt>
                <c:pt idx="2366">
                  <c:v>55912</c:v>
                </c:pt>
                <c:pt idx="2367">
                  <c:v>55919</c:v>
                </c:pt>
                <c:pt idx="2368">
                  <c:v>55926</c:v>
                </c:pt>
                <c:pt idx="2369">
                  <c:v>55933</c:v>
                </c:pt>
                <c:pt idx="2370">
                  <c:v>55940</c:v>
                </c:pt>
                <c:pt idx="2371">
                  <c:v>55947</c:v>
                </c:pt>
                <c:pt idx="2372">
                  <c:v>55954</c:v>
                </c:pt>
                <c:pt idx="2373">
                  <c:v>55961</c:v>
                </c:pt>
                <c:pt idx="2374">
                  <c:v>55968</c:v>
                </c:pt>
                <c:pt idx="2375">
                  <c:v>55975</c:v>
                </c:pt>
                <c:pt idx="2376">
                  <c:v>55984</c:v>
                </c:pt>
                <c:pt idx="2377">
                  <c:v>55991</c:v>
                </c:pt>
                <c:pt idx="2378">
                  <c:v>55998</c:v>
                </c:pt>
                <c:pt idx="2379">
                  <c:v>56006</c:v>
                </c:pt>
                <c:pt idx="2380">
                  <c:v>56012</c:v>
                </c:pt>
                <c:pt idx="2381">
                  <c:v>56019</c:v>
                </c:pt>
                <c:pt idx="2382">
                  <c:v>56026</c:v>
                </c:pt>
                <c:pt idx="2383">
                  <c:v>56033</c:v>
                </c:pt>
                <c:pt idx="2384">
                  <c:v>56040</c:v>
                </c:pt>
                <c:pt idx="2385">
                  <c:v>56047</c:v>
                </c:pt>
                <c:pt idx="2386">
                  <c:v>56054</c:v>
                </c:pt>
                <c:pt idx="2387">
                  <c:v>56061</c:v>
                </c:pt>
                <c:pt idx="2388">
                  <c:v>56068</c:v>
                </c:pt>
                <c:pt idx="2389">
                  <c:v>56075</c:v>
                </c:pt>
                <c:pt idx="2390">
                  <c:v>56082</c:v>
                </c:pt>
                <c:pt idx="2391">
                  <c:v>56089</c:v>
                </c:pt>
                <c:pt idx="2392">
                  <c:v>56096</c:v>
                </c:pt>
                <c:pt idx="2393">
                  <c:v>56103</c:v>
                </c:pt>
                <c:pt idx="2394">
                  <c:v>56110</c:v>
                </c:pt>
                <c:pt idx="2395">
                  <c:v>56117</c:v>
                </c:pt>
                <c:pt idx="2396">
                  <c:v>56124</c:v>
                </c:pt>
                <c:pt idx="2397">
                  <c:v>56131</c:v>
                </c:pt>
                <c:pt idx="2398">
                  <c:v>56138</c:v>
                </c:pt>
                <c:pt idx="2399">
                  <c:v>56145</c:v>
                </c:pt>
                <c:pt idx="2400">
                  <c:v>56152</c:v>
                </c:pt>
                <c:pt idx="2401">
                  <c:v>56159</c:v>
                </c:pt>
                <c:pt idx="2402">
                  <c:v>56166</c:v>
                </c:pt>
                <c:pt idx="2403">
                  <c:v>56173</c:v>
                </c:pt>
                <c:pt idx="2404">
                  <c:v>56180</c:v>
                </c:pt>
                <c:pt idx="2405">
                  <c:v>56187</c:v>
                </c:pt>
                <c:pt idx="2406">
                  <c:v>56194</c:v>
                </c:pt>
                <c:pt idx="2407">
                  <c:v>56201</c:v>
                </c:pt>
                <c:pt idx="2408">
                  <c:v>56208</c:v>
                </c:pt>
                <c:pt idx="2409">
                  <c:v>56215</c:v>
                </c:pt>
                <c:pt idx="2410">
                  <c:v>56222</c:v>
                </c:pt>
                <c:pt idx="2411">
                  <c:v>56229</c:v>
                </c:pt>
                <c:pt idx="2412">
                  <c:v>56236</c:v>
                </c:pt>
                <c:pt idx="2413">
                  <c:v>56247</c:v>
                </c:pt>
                <c:pt idx="2414">
                  <c:v>56251</c:v>
                </c:pt>
                <c:pt idx="2415">
                  <c:v>56257</c:v>
                </c:pt>
                <c:pt idx="2416">
                  <c:v>56264</c:v>
                </c:pt>
                <c:pt idx="2417">
                  <c:v>56271</c:v>
                </c:pt>
                <c:pt idx="2418">
                  <c:v>56278</c:v>
                </c:pt>
                <c:pt idx="2419">
                  <c:v>56285</c:v>
                </c:pt>
                <c:pt idx="2420">
                  <c:v>56292</c:v>
                </c:pt>
                <c:pt idx="2421">
                  <c:v>56299</c:v>
                </c:pt>
                <c:pt idx="2422">
                  <c:v>56306</c:v>
                </c:pt>
                <c:pt idx="2423">
                  <c:v>56313</c:v>
                </c:pt>
                <c:pt idx="2424">
                  <c:v>56320</c:v>
                </c:pt>
                <c:pt idx="2425">
                  <c:v>56327</c:v>
                </c:pt>
                <c:pt idx="2426">
                  <c:v>56334</c:v>
                </c:pt>
                <c:pt idx="2427">
                  <c:v>56341</c:v>
                </c:pt>
                <c:pt idx="2428">
                  <c:v>56348</c:v>
                </c:pt>
                <c:pt idx="2429">
                  <c:v>56355</c:v>
                </c:pt>
                <c:pt idx="2430">
                  <c:v>56362</c:v>
                </c:pt>
                <c:pt idx="2431">
                  <c:v>56369</c:v>
                </c:pt>
                <c:pt idx="2432">
                  <c:v>56376</c:v>
                </c:pt>
                <c:pt idx="2433">
                  <c:v>56383</c:v>
                </c:pt>
                <c:pt idx="2434">
                  <c:v>56390</c:v>
                </c:pt>
                <c:pt idx="2435">
                  <c:v>56397</c:v>
                </c:pt>
                <c:pt idx="2436">
                  <c:v>56404</c:v>
                </c:pt>
                <c:pt idx="2437">
                  <c:v>56411</c:v>
                </c:pt>
                <c:pt idx="2438">
                  <c:v>56418</c:v>
                </c:pt>
                <c:pt idx="2439">
                  <c:v>56425</c:v>
                </c:pt>
                <c:pt idx="2440">
                  <c:v>56432</c:v>
                </c:pt>
                <c:pt idx="2441">
                  <c:v>56439</c:v>
                </c:pt>
                <c:pt idx="2442">
                  <c:v>56446</c:v>
                </c:pt>
                <c:pt idx="2443">
                  <c:v>56453</c:v>
                </c:pt>
                <c:pt idx="2444">
                  <c:v>56460</c:v>
                </c:pt>
                <c:pt idx="2445">
                  <c:v>56467</c:v>
                </c:pt>
                <c:pt idx="2446">
                  <c:v>56474</c:v>
                </c:pt>
                <c:pt idx="2447">
                  <c:v>56481</c:v>
                </c:pt>
                <c:pt idx="2448">
                  <c:v>56488</c:v>
                </c:pt>
                <c:pt idx="2449">
                  <c:v>56495</c:v>
                </c:pt>
                <c:pt idx="2450">
                  <c:v>56502</c:v>
                </c:pt>
                <c:pt idx="2451">
                  <c:v>56509</c:v>
                </c:pt>
                <c:pt idx="2452">
                  <c:v>56516</c:v>
                </c:pt>
                <c:pt idx="2453">
                  <c:v>56523</c:v>
                </c:pt>
                <c:pt idx="2454">
                  <c:v>56530</c:v>
                </c:pt>
                <c:pt idx="2455">
                  <c:v>56537</c:v>
                </c:pt>
                <c:pt idx="2456">
                  <c:v>56544</c:v>
                </c:pt>
                <c:pt idx="2457">
                  <c:v>56551</c:v>
                </c:pt>
                <c:pt idx="2458">
                  <c:v>56558</c:v>
                </c:pt>
                <c:pt idx="2459">
                  <c:v>56565</c:v>
                </c:pt>
                <c:pt idx="2460">
                  <c:v>56572</c:v>
                </c:pt>
                <c:pt idx="2461">
                  <c:v>56579</c:v>
                </c:pt>
                <c:pt idx="2462">
                  <c:v>56586</c:v>
                </c:pt>
                <c:pt idx="2463">
                  <c:v>56593</c:v>
                </c:pt>
                <c:pt idx="2464">
                  <c:v>56600</c:v>
                </c:pt>
                <c:pt idx="2465">
                  <c:v>56607</c:v>
                </c:pt>
                <c:pt idx="2466">
                  <c:v>56614</c:v>
                </c:pt>
                <c:pt idx="2467">
                  <c:v>56621</c:v>
                </c:pt>
                <c:pt idx="2468">
                  <c:v>56628</c:v>
                </c:pt>
                <c:pt idx="2469">
                  <c:v>56635</c:v>
                </c:pt>
                <c:pt idx="2470">
                  <c:v>56642</c:v>
                </c:pt>
                <c:pt idx="2471">
                  <c:v>56649</c:v>
                </c:pt>
                <c:pt idx="2472">
                  <c:v>56656</c:v>
                </c:pt>
                <c:pt idx="2473">
                  <c:v>56663</c:v>
                </c:pt>
                <c:pt idx="2474">
                  <c:v>56670</c:v>
                </c:pt>
                <c:pt idx="2475">
                  <c:v>56677</c:v>
                </c:pt>
                <c:pt idx="2476">
                  <c:v>56684</c:v>
                </c:pt>
                <c:pt idx="2477">
                  <c:v>56691</c:v>
                </c:pt>
                <c:pt idx="2478">
                  <c:v>56698</c:v>
                </c:pt>
                <c:pt idx="2479">
                  <c:v>56705</c:v>
                </c:pt>
                <c:pt idx="2480">
                  <c:v>56712</c:v>
                </c:pt>
                <c:pt idx="2481">
                  <c:v>56719</c:v>
                </c:pt>
                <c:pt idx="2482">
                  <c:v>56726</c:v>
                </c:pt>
                <c:pt idx="2483">
                  <c:v>56733</c:v>
                </c:pt>
                <c:pt idx="2484">
                  <c:v>56740</c:v>
                </c:pt>
                <c:pt idx="2485">
                  <c:v>56747</c:v>
                </c:pt>
                <c:pt idx="2486">
                  <c:v>56754</c:v>
                </c:pt>
                <c:pt idx="2487">
                  <c:v>56761</c:v>
                </c:pt>
                <c:pt idx="2488">
                  <c:v>56768</c:v>
                </c:pt>
                <c:pt idx="2489">
                  <c:v>56775</c:v>
                </c:pt>
                <c:pt idx="2490">
                  <c:v>56782</c:v>
                </c:pt>
                <c:pt idx="2491">
                  <c:v>56789</c:v>
                </c:pt>
                <c:pt idx="2492">
                  <c:v>56796</c:v>
                </c:pt>
                <c:pt idx="2493">
                  <c:v>56803</c:v>
                </c:pt>
                <c:pt idx="2494">
                  <c:v>56810</c:v>
                </c:pt>
                <c:pt idx="2495">
                  <c:v>56817</c:v>
                </c:pt>
                <c:pt idx="2496">
                  <c:v>56824</c:v>
                </c:pt>
                <c:pt idx="2497">
                  <c:v>56831</c:v>
                </c:pt>
                <c:pt idx="2498">
                  <c:v>56838</c:v>
                </c:pt>
                <c:pt idx="2499">
                  <c:v>56845</c:v>
                </c:pt>
                <c:pt idx="2500">
                  <c:v>56852</c:v>
                </c:pt>
                <c:pt idx="2501">
                  <c:v>56859</c:v>
                </c:pt>
                <c:pt idx="2502">
                  <c:v>56866</c:v>
                </c:pt>
                <c:pt idx="2503">
                  <c:v>56873</c:v>
                </c:pt>
                <c:pt idx="2504">
                  <c:v>56880</c:v>
                </c:pt>
                <c:pt idx="2505">
                  <c:v>56887</c:v>
                </c:pt>
                <c:pt idx="2506">
                  <c:v>56894</c:v>
                </c:pt>
                <c:pt idx="2507">
                  <c:v>56901</c:v>
                </c:pt>
                <c:pt idx="2508">
                  <c:v>56908</c:v>
                </c:pt>
                <c:pt idx="2509">
                  <c:v>56915</c:v>
                </c:pt>
                <c:pt idx="2510">
                  <c:v>56922</c:v>
                </c:pt>
                <c:pt idx="2511">
                  <c:v>56929</c:v>
                </c:pt>
                <c:pt idx="2512">
                  <c:v>56936</c:v>
                </c:pt>
                <c:pt idx="2513">
                  <c:v>56943</c:v>
                </c:pt>
                <c:pt idx="2514">
                  <c:v>56950</c:v>
                </c:pt>
                <c:pt idx="2515">
                  <c:v>56957</c:v>
                </c:pt>
                <c:pt idx="2516">
                  <c:v>56964</c:v>
                </c:pt>
                <c:pt idx="2517">
                  <c:v>56971</c:v>
                </c:pt>
                <c:pt idx="2518">
                  <c:v>56978</c:v>
                </c:pt>
                <c:pt idx="2519">
                  <c:v>56985</c:v>
                </c:pt>
                <c:pt idx="2520">
                  <c:v>56992</c:v>
                </c:pt>
                <c:pt idx="2521">
                  <c:v>56999</c:v>
                </c:pt>
                <c:pt idx="2522">
                  <c:v>57006</c:v>
                </c:pt>
                <c:pt idx="2523">
                  <c:v>57013</c:v>
                </c:pt>
                <c:pt idx="2524">
                  <c:v>57020</c:v>
                </c:pt>
                <c:pt idx="2525">
                  <c:v>57027</c:v>
                </c:pt>
                <c:pt idx="2526">
                  <c:v>57034</c:v>
                </c:pt>
                <c:pt idx="2527">
                  <c:v>57041</c:v>
                </c:pt>
                <c:pt idx="2528">
                  <c:v>57048</c:v>
                </c:pt>
                <c:pt idx="2529">
                  <c:v>57055</c:v>
                </c:pt>
                <c:pt idx="2530">
                  <c:v>57062</c:v>
                </c:pt>
                <c:pt idx="2531">
                  <c:v>57069</c:v>
                </c:pt>
                <c:pt idx="2532">
                  <c:v>57076</c:v>
                </c:pt>
                <c:pt idx="2533">
                  <c:v>57083</c:v>
                </c:pt>
                <c:pt idx="2534">
                  <c:v>57090</c:v>
                </c:pt>
                <c:pt idx="2535">
                  <c:v>57097</c:v>
                </c:pt>
                <c:pt idx="2536">
                  <c:v>57104</c:v>
                </c:pt>
                <c:pt idx="2537">
                  <c:v>57111</c:v>
                </c:pt>
                <c:pt idx="2538">
                  <c:v>57118</c:v>
                </c:pt>
                <c:pt idx="2539">
                  <c:v>57125</c:v>
                </c:pt>
                <c:pt idx="2540">
                  <c:v>57132</c:v>
                </c:pt>
                <c:pt idx="2541">
                  <c:v>57139</c:v>
                </c:pt>
                <c:pt idx="2542">
                  <c:v>57146</c:v>
                </c:pt>
                <c:pt idx="2543">
                  <c:v>57153</c:v>
                </c:pt>
                <c:pt idx="2544">
                  <c:v>57160</c:v>
                </c:pt>
                <c:pt idx="2545">
                  <c:v>57167</c:v>
                </c:pt>
                <c:pt idx="2546">
                  <c:v>57174</c:v>
                </c:pt>
                <c:pt idx="2547">
                  <c:v>57181</c:v>
                </c:pt>
                <c:pt idx="2548">
                  <c:v>57188</c:v>
                </c:pt>
                <c:pt idx="2549">
                  <c:v>57195</c:v>
                </c:pt>
                <c:pt idx="2550">
                  <c:v>57202</c:v>
                </c:pt>
                <c:pt idx="2551">
                  <c:v>57209</c:v>
                </c:pt>
                <c:pt idx="2552">
                  <c:v>57216</c:v>
                </c:pt>
                <c:pt idx="2553">
                  <c:v>57223</c:v>
                </c:pt>
                <c:pt idx="2554">
                  <c:v>57230</c:v>
                </c:pt>
                <c:pt idx="2555">
                  <c:v>57237</c:v>
                </c:pt>
                <c:pt idx="2556">
                  <c:v>57244</c:v>
                </c:pt>
                <c:pt idx="2557">
                  <c:v>57251</c:v>
                </c:pt>
                <c:pt idx="2558">
                  <c:v>57258</c:v>
                </c:pt>
                <c:pt idx="2559">
                  <c:v>57265</c:v>
                </c:pt>
                <c:pt idx="2560">
                  <c:v>57272</c:v>
                </c:pt>
                <c:pt idx="2561">
                  <c:v>57279</c:v>
                </c:pt>
                <c:pt idx="2562">
                  <c:v>57286</c:v>
                </c:pt>
                <c:pt idx="2563">
                  <c:v>57293</c:v>
                </c:pt>
                <c:pt idx="2564">
                  <c:v>57300</c:v>
                </c:pt>
                <c:pt idx="2565">
                  <c:v>57307</c:v>
                </c:pt>
                <c:pt idx="2566">
                  <c:v>57314</c:v>
                </c:pt>
                <c:pt idx="2567">
                  <c:v>57321</c:v>
                </c:pt>
                <c:pt idx="2568">
                  <c:v>57328</c:v>
                </c:pt>
                <c:pt idx="2569">
                  <c:v>57335</c:v>
                </c:pt>
                <c:pt idx="2570">
                  <c:v>57343</c:v>
                </c:pt>
                <c:pt idx="2571">
                  <c:v>57350</c:v>
                </c:pt>
                <c:pt idx="2572">
                  <c:v>57357</c:v>
                </c:pt>
                <c:pt idx="2573">
                  <c:v>57364</c:v>
                </c:pt>
                <c:pt idx="2574">
                  <c:v>57371</c:v>
                </c:pt>
                <c:pt idx="2575">
                  <c:v>57378</c:v>
                </c:pt>
                <c:pt idx="2576">
                  <c:v>57385</c:v>
                </c:pt>
                <c:pt idx="2577">
                  <c:v>57392</c:v>
                </c:pt>
                <c:pt idx="2578">
                  <c:v>57399</c:v>
                </c:pt>
                <c:pt idx="2579">
                  <c:v>57406</c:v>
                </c:pt>
                <c:pt idx="2580">
                  <c:v>57413</c:v>
                </c:pt>
                <c:pt idx="2581">
                  <c:v>57420</c:v>
                </c:pt>
                <c:pt idx="2582">
                  <c:v>57427</c:v>
                </c:pt>
                <c:pt idx="2583">
                  <c:v>57434</c:v>
                </c:pt>
                <c:pt idx="2584">
                  <c:v>57441</c:v>
                </c:pt>
                <c:pt idx="2585">
                  <c:v>57448</c:v>
                </c:pt>
                <c:pt idx="2586">
                  <c:v>57459</c:v>
                </c:pt>
                <c:pt idx="2587">
                  <c:v>57462</c:v>
                </c:pt>
                <c:pt idx="2588">
                  <c:v>57469</c:v>
                </c:pt>
                <c:pt idx="2589">
                  <c:v>57476</c:v>
                </c:pt>
                <c:pt idx="2590">
                  <c:v>57483</c:v>
                </c:pt>
                <c:pt idx="2591">
                  <c:v>57490</c:v>
                </c:pt>
                <c:pt idx="2592">
                  <c:v>57497</c:v>
                </c:pt>
                <c:pt idx="2593">
                  <c:v>57504</c:v>
                </c:pt>
                <c:pt idx="2594">
                  <c:v>57511</c:v>
                </c:pt>
                <c:pt idx="2595">
                  <c:v>57518</c:v>
                </c:pt>
                <c:pt idx="2596">
                  <c:v>57525</c:v>
                </c:pt>
                <c:pt idx="2597">
                  <c:v>57532</c:v>
                </c:pt>
                <c:pt idx="2598">
                  <c:v>57539</c:v>
                </c:pt>
                <c:pt idx="2599">
                  <c:v>57546</c:v>
                </c:pt>
                <c:pt idx="2600">
                  <c:v>57553</c:v>
                </c:pt>
                <c:pt idx="2601">
                  <c:v>57560</c:v>
                </c:pt>
                <c:pt idx="2602">
                  <c:v>57567</c:v>
                </c:pt>
                <c:pt idx="2603">
                  <c:v>57574</c:v>
                </c:pt>
                <c:pt idx="2604">
                  <c:v>57581</c:v>
                </c:pt>
                <c:pt idx="2605">
                  <c:v>57588</c:v>
                </c:pt>
                <c:pt idx="2606">
                  <c:v>57595</c:v>
                </c:pt>
                <c:pt idx="2607">
                  <c:v>57602</c:v>
                </c:pt>
                <c:pt idx="2608">
                  <c:v>57609</c:v>
                </c:pt>
                <c:pt idx="2609">
                  <c:v>57616</c:v>
                </c:pt>
                <c:pt idx="2610">
                  <c:v>57623</c:v>
                </c:pt>
                <c:pt idx="2611">
                  <c:v>57630</c:v>
                </c:pt>
                <c:pt idx="2612">
                  <c:v>57637</c:v>
                </c:pt>
                <c:pt idx="2613">
                  <c:v>57644</c:v>
                </c:pt>
                <c:pt idx="2614">
                  <c:v>57651</c:v>
                </c:pt>
                <c:pt idx="2615">
                  <c:v>57658</c:v>
                </c:pt>
                <c:pt idx="2616">
                  <c:v>57665</c:v>
                </c:pt>
                <c:pt idx="2617">
                  <c:v>57672</c:v>
                </c:pt>
                <c:pt idx="2618">
                  <c:v>57679</c:v>
                </c:pt>
                <c:pt idx="2619">
                  <c:v>57686</c:v>
                </c:pt>
                <c:pt idx="2620">
                  <c:v>57693</c:v>
                </c:pt>
                <c:pt idx="2621">
                  <c:v>57700</c:v>
                </c:pt>
                <c:pt idx="2622">
                  <c:v>57710</c:v>
                </c:pt>
                <c:pt idx="2623">
                  <c:v>57717</c:v>
                </c:pt>
                <c:pt idx="2624">
                  <c:v>57724</c:v>
                </c:pt>
                <c:pt idx="2625">
                  <c:v>57731</c:v>
                </c:pt>
                <c:pt idx="2626">
                  <c:v>57738</c:v>
                </c:pt>
                <c:pt idx="2627">
                  <c:v>57745</c:v>
                </c:pt>
                <c:pt idx="2628">
                  <c:v>57752</c:v>
                </c:pt>
                <c:pt idx="2629">
                  <c:v>57759</c:v>
                </c:pt>
                <c:pt idx="2630">
                  <c:v>57766</c:v>
                </c:pt>
                <c:pt idx="2631">
                  <c:v>57773</c:v>
                </c:pt>
                <c:pt idx="2632">
                  <c:v>57780</c:v>
                </c:pt>
                <c:pt idx="2633">
                  <c:v>57787</c:v>
                </c:pt>
                <c:pt idx="2634">
                  <c:v>57794</c:v>
                </c:pt>
                <c:pt idx="2635">
                  <c:v>57801</c:v>
                </c:pt>
                <c:pt idx="2636">
                  <c:v>57808</c:v>
                </c:pt>
                <c:pt idx="2637">
                  <c:v>57817</c:v>
                </c:pt>
                <c:pt idx="2638">
                  <c:v>57822</c:v>
                </c:pt>
                <c:pt idx="2639">
                  <c:v>57829</c:v>
                </c:pt>
                <c:pt idx="2640">
                  <c:v>57836</c:v>
                </c:pt>
                <c:pt idx="2641">
                  <c:v>57843</c:v>
                </c:pt>
                <c:pt idx="2642">
                  <c:v>57850</c:v>
                </c:pt>
                <c:pt idx="2643">
                  <c:v>57857</c:v>
                </c:pt>
                <c:pt idx="2644">
                  <c:v>57864</c:v>
                </c:pt>
                <c:pt idx="2645">
                  <c:v>57871</c:v>
                </c:pt>
                <c:pt idx="2646">
                  <c:v>57878</c:v>
                </c:pt>
                <c:pt idx="2647">
                  <c:v>57885</c:v>
                </c:pt>
                <c:pt idx="2648">
                  <c:v>57892</c:v>
                </c:pt>
                <c:pt idx="2649">
                  <c:v>57899</c:v>
                </c:pt>
                <c:pt idx="2650">
                  <c:v>57906</c:v>
                </c:pt>
                <c:pt idx="2651">
                  <c:v>57913</c:v>
                </c:pt>
                <c:pt idx="2652">
                  <c:v>57920</c:v>
                </c:pt>
                <c:pt idx="2653">
                  <c:v>57927</c:v>
                </c:pt>
                <c:pt idx="2654">
                  <c:v>57934</c:v>
                </c:pt>
                <c:pt idx="2655">
                  <c:v>57941</c:v>
                </c:pt>
                <c:pt idx="2656">
                  <c:v>57948</c:v>
                </c:pt>
                <c:pt idx="2657">
                  <c:v>57955</c:v>
                </c:pt>
                <c:pt idx="2658">
                  <c:v>57962</c:v>
                </c:pt>
                <c:pt idx="2659">
                  <c:v>57969</c:v>
                </c:pt>
                <c:pt idx="2660">
                  <c:v>57976</c:v>
                </c:pt>
                <c:pt idx="2661">
                  <c:v>57983</c:v>
                </c:pt>
                <c:pt idx="2662">
                  <c:v>57990</c:v>
                </c:pt>
                <c:pt idx="2663">
                  <c:v>57997</c:v>
                </c:pt>
                <c:pt idx="2664">
                  <c:v>58004</c:v>
                </c:pt>
                <c:pt idx="2665">
                  <c:v>58011</c:v>
                </c:pt>
                <c:pt idx="2666">
                  <c:v>58018</c:v>
                </c:pt>
                <c:pt idx="2667">
                  <c:v>58025</c:v>
                </c:pt>
                <c:pt idx="2668">
                  <c:v>58032</c:v>
                </c:pt>
                <c:pt idx="2669">
                  <c:v>58039</c:v>
                </c:pt>
                <c:pt idx="2670">
                  <c:v>58046</c:v>
                </c:pt>
                <c:pt idx="2671">
                  <c:v>58053</c:v>
                </c:pt>
                <c:pt idx="2672">
                  <c:v>58060</c:v>
                </c:pt>
                <c:pt idx="2673">
                  <c:v>58067</c:v>
                </c:pt>
                <c:pt idx="2674">
                  <c:v>58075</c:v>
                </c:pt>
                <c:pt idx="2675">
                  <c:v>58082</c:v>
                </c:pt>
                <c:pt idx="2676">
                  <c:v>58089</c:v>
                </c:pt>
                <c:pt idx="2677">
                  <c:v>58096</c:v>
                </c:pt>
                <c:pt idx="2678">
                  <c:v>58103</c:v>
                </c:pt>
                <c:pt idx="2679">
                  <c:v>58110</c:v>
                </c:pt>
                <c:pt idx="2680">
                  <c:v>58117</c:v>
                </c:pt>
                <c:pt idx="2681">
                  <c:v>58124</c:v>
                </c:pt>
                <c:pt idx="2682">
                  <c:v>58131</c:v>
                </c:pt>
                <c:pt idx="2683">
                  <c:v>58138</c:v>
                </c:pt>
                <c:pt idx="2684">
                  <c:v>58145</c:v>
                </c:pt>
                <c:pt idx="2685">
                  <c:v>58152</c:v>
                </c:pt>
                <c:pt idx="2686">
                  <c:v>58159</c:v>
                </c:pt>
                <c:pt idx="2687">
                  <c:v>58168</c:v>
                </c:pt>
                <c:pt idx="2688">
                  <c:v>58175</c:v>
                </c:pt>
                <c:pt idx="2689">
                  <c:v>58182</c:v>
                </c:pt>
                <c:pt idx="2690">
                  <c:v>58189</c:v>
                </c:pt>
                <c:pt idx="2691">
                  <c:v>58197</c:v>
                </c:pt>
                <c:pt idx="2692">
                  <c:v>58203</c:v>
                </c:pt>
                <c:pt idx="2693">
                  <c:v>58210</c:v>
                </c:pt>
                <c:pt idx="2694">
                  <c:v>58217</c:v>
                </c:pt>
                <c:pt idx="2695">
                  <c:v>58224</c:v>
                </c:pt>
                <c:pt idx="2696">
                  <c:v>58231</c:v>
                </c:pt>
                <c:pt idx="2697">
                  <c:v>58238</c:v>
                </c:pt>
                <c:pt idx="2698">
                  <c:v>58245</c:v>
                </c:pt>
                <c:pt idx="2699">
                  <c:v>58252</c:v>
                </c:pt>
                <c:pt idx="2700">
                  <c:v>58259</c:v>
                </c:pt>
                <c:pt idx="2701">
                  <c:v>58266</c:v>
                </c:pt>
                <c:pt idx="2702">
                  <c:v>58273</c:v>
                </c:pt>
                <c:pt idx="2703">
                  <c:v>58280</c:v>
                </c:pt>
                <c:pt idx="2704">
                  <c:v>58287</c:v>
                </c:pt>
                <c:pt idx="2705">
                  <c:v>58294</c:v>
                </c:pt>
                <c:pt idx="2706">
                  <c:v>58301</c:v>
                </c:pt>
                <c:pt idx="2707">
                  <c:v>58308</c:v>
                </c:pt>
                <c:pt idx="2708">
                  <c:v>58315</c:v>
                </c:pt>
                <c:pt idx="2709">
                  <c:v>58322</c:v>
                </c:pt>
                <c:pt idx="2710">
                  <c:v>58329</c:v>
                </c:pt>
                <c:pt idx="2711">
                  <c:v>58336</c:v>
                </c:pt>
                <c:pt idx="2712">
                  <c:v>58343</c:v>
                </c:pt>
                <c:pt idx="2713">
                  <c:v>58350</c:v>
                </c:pt>
                <c:pt idx="2714">
                  <c:v>58357</c:v>
                </c:pt>
                <c:pt idx="2715">
                  <c:v>58364</c:v>
                </c:pt>
                <c:pt idx="2716">
                  <c:v>58371</c:v>
                </c:pt>
                <c:pt idx="2717">
                  <c:v>58378</c:v>
                </c:pt>
                <c:pt idx="2718">
                  <c:v>58385</c:v>
                </c:pt>
                <c:pt idx="2719">
                  <c:v>58392</c:v>
                </c:pt>
                <c:pt idx="2720">
                  <c:v>58399</c:v>
                </c:pt>
                <c:pt idx="2721">
                  <c:v>58406</c:v>
                </c:pt>
                <c:pt idx="2722">
                  <c:v>58413</c:v>
                </c:pt>
                <c:pt idx="2723">
                  <c:v>58420</c:v>
                </c:pt>
                <c:pt idx="2724">
                  <c:v>58427</c:v>
                </c:pt>
                <c:pt idx="2725">
                  <c:v>58438</c:v>
                </c:pt>
                <c:pt idx="2726">
                  <c:v>58442</c:v>
                </c:pt>
                <c:pt idx="2727">
                  <c:v>58448</c:v>
                </c:pt>
                <c:pt idx="2728">
                  <c:v>58455</c:v>
                </c:pt>
                <c:pt idx="2729">
                  <c:v>58462</c:v>
                </c:pt>
                <c:pt idx="2730">
                  <c:v>58469</c:v>
                </c:pt>
                <c:pt idx="2731">
                  <c:v>58476</c:v>
                </c:pt>
                <c:pt idx="2732">
                  <c:v>58483</c:v>
                </c:pt>
                <c:pt idx="2733">
                  <c:v>58490</c:v>
                </c:pt>
                <c:pt idx="2734">
                  <c:v>58497</c:v>
                </c:pt>
                <c:pt idx="2735">
                  <c:v>58504</c:v>
                </c:pt>
                <c:pt idx="2736">
                  <c:v>58511</c:v>
                </c:pt>
                <c:pt idx="2737">
                  <c:v>58518</c:v>
                </c:pt>
                <c:pt idx="2738">
                  <c:v>58525</c:v>
                </c:pt>
                <c:pt idx="2739">
                  <c:v>58532</c:v>
                </c:pt>
                <c:pt idx="2740">
                  <c:v>58539</c:v>
                </c:pt>
                <c:pt idx="2741">
                  <c:v>58546</c:v>
                </c:pt>
                <c:pt idx="2742">
                  <c:v>58553</c:v>
                </c:pt>
                <c:pt idx="2743">
                  <c:v>58560</c:v>
                </c:pt>
                <c:pt idx="2744">
                  <c:v>58567</c:v>
                </c:pt>
                <c:pt idx="2745">
                  <c:v>58574</c:v>
                </c:pt>
                <c:pt idx="2746">
                  <c:v>58581</c:v>
                </c:pt>
                <c:pt idx="2747">
                  <c:v>58588</c:v>
                </c:pt>
                <c:pt idx="2748">
                  <c:v>58595</c:v>
                </c:pt>
                <c:pt idx="2749">
                  <c:v>58602</c:v>
                </c:pt>
                <c:pt idx="2750">
                  <c:v>58609</c:v>
                </c:pt>
                <c:pt idx="2751">
                  <c:v>58616</c:v>
                </c:pt>
                <c:pt idx="2752">
                  <c:v>58623</c:v>
                </c:pt>
                <c:pt idx="2753">
                  <c:v>58630</c:v>
                </c:pt>
                <c:pt idx="2754">
                  <c:v>58637</c:v>
                </c:pt>
                <c:pt idx="2755">
                  <c:v>58644</c:v>
                </c:pt>
                <c:pt idx="2756">
                  <c:v>58651</c:v>
                </c:pt>
                <c:pt idx="2757">
                  <c:v>58658</c:v>
                </c:pt>
                <c:pt idx="2758">
                  <c:v>58665</c:v>
                </c:pt>
                <c:pt idx="2759">
                  <c:v>58672</c:v>
                </c:pt>
                <c:pt idx="2760">
                  <c:v>58679</c:v>
                </c:pt>
                <c:pt idx="2761">
                  <c:v>58686</c:v>
                </c:pt>
                <c:pt idx="2762">
                  <c:v>58693</c:v>
                </c:pt>
                <c:pt idx="2763">
                  <c:v>58700</c:v>
                </c:pt>
                <c:pt idx="2764">
                  <c:v>58707</c:v>
                </c:pt>
                <c:pt idx="2765">
                  <c:v>58714</c:v>
                </c:pt>
                <c:pt idx="2766">
                  <c:v>58721</c:v>
                </c:pt>
                <c:pt idx="2767">
                  <c:v>58728</c:v>
                </c:pt>
                <c:pt idx="2768">
                  <c:v>58735</c:v>
                </c:pt>
                <c:pt idx="2769">
                  <c:v>58742</c:v>
                </c:pt>
                <c:pt idx="2770">
                  <c:v>58749</c:v>
                </c:pt>
                <c:pt idx="2771">
                  <c:v>58756</c:v>
                </c:pt>
                <c:pt idx="2772">
                  <c:v>58763</c:v>
                </c:pt>
                <c:pt idx="2773">
                  <c:v>58770</c:v>
                </c:pt>
                <c:pt idx="2774">
                  <c:v>58777</c:v>
                </c:pt>
                <c:pt idx="2775">
                  <c:v>58784</c:v>
                </c:pt>
                <c:pt idx="2776">
                  <c:v>58791</c:v>
                </c:pt>
                <c:pt idx="2777">
                  <c:v>58798</c:v>
                </c:pt>
                <c:pt idx="2778">
                  <c:v>58805</c:v>
                </c:pt>
                <c:pt idx="2779">
                  <c:v>58812</c:v>
                </c:pt>
                <c:pt idx="2780">
                  <c:v>58819</c:v>
                </c:pt>
                <c:pt idx="2781">
                  <c:v>58826</c:v>
                </c:pt>
                <c:pt idx="2782">
                  <c:v>58833</c:v>
                </c:pt>
                <c:pt idx="2783">
                  <c:v>58840</c:v>
                </c:pt>
                <c:pt idx="2784">
                  <c:v>58847</c:v>
                </c:pt>
                <c:pt idx="2785">
                  <c:v>58854</c:v>
                </c:pt>
                <c:pt idx="2786">
                  <c:v>58861</c:v>
                </c:pt>
                <c:pt idx="2787">
                  <c:v>58868</c:v>
                </c:pt>
                <c:pt idx="2788">
                  <c:v>58875</c:v>
                </c:pt>
                <c:pt idx="2789">
                  <c:v>58882</c:v>
                </c:pt>
                <c:pt idx="2790">
                  <c:v>58889</c:v>
                </c:pt>
                <c:pt idx="2791">
                  <c:v>58896</c:v>
                </c:pt>
                <c:pt idx="2792">
                  <c:v>58903</c:v>
                </c:pt>
                <c:pt idx="2793">
                  <c:v>58910</c:v>
                </c:pt>
                <c:pt idx="2794">
                  <c:v>58917</c:v>
                </c:pt>
                <c:pt idx="2795">
                  <c:v>58924</c:v>
                </c:pt>
                <c:pt idx="2796">
                  <c:v>58931</c:v>
                </c:pt>
                <c:pt idx="2797">
                  <c:v>58938</c:v>
                </c:pt>
                <c:pt idx="2798">
                  <c:v>58945</c:v>
                </c:pt>
                <c:pt idx="2799">
                  <c:v>58952</c:v>
                </c:pt>
                <c:pt idx="2800">
                  <c:v>58959</c:v>
                </c:pt>
                <c:pt idx="2801">
                  <c:v>58966</c:v>
                </c:pt>
                <c:pt idx="2802">
                  <c:v>58973</c:v>
                </c:pt>
                <c:pt idx="2803">
                  <c:v>58980</c:v>
                </c:pt>
                <c:pt idx="2804">
                  <c:v>58987</c:v>
                </c:pt>
                <c:pt idx="2805">
                  <c:v>58994</c:v>
                </c:pt>
                <c:pt idx="2806">
                  <c:v>59001</c:v>
                </c:pt>
                <c:pt idx="2807">
                  <c:v>59008</c:v>
                </c:pt>
                <c:pt idx="2808">
                  <c:v>59015</c:v>
                </c:pt>
                <c:pt idx="2809">
                  <c:v>59022</c:v>
                </c:pt>
                <c:pt idx="2810">
                  <c:v>59029</c:v>
                </c:pt>
                <c:pt idx="2811">
                  <c:v>59036</c:v>
                </c:pt>
                <c:pt idx="2812">
                  <c:v>59043</c:v>
                </c:pt>
                <c:pt idx="2813">
                  <c:v>59050</c:v>
                </c:pt>
                <c:pt idx="2814">
                  <c:v>59057</c:v>
                </c:pt>
                <c:pt idx="2815">
                  <c:v>59064</c:v>
                </c:pt>
                <c:pt idx="2816">
                  <c:v>59071</c:v>
                </c:pt>
                <c:pt idx="2817">
                  <c:v>59078</c:v>
                </c:pt>
                <c:pt idx="2818">
                  <c:v>59085</c:v>
                </c:pt>
                <c:pt idx="2819">
                  <c:v>59092</c:v>
                </c:pt>
                <c:pt idx="2820">
                  <c:v>59099</c:v>
                </c:pt>
                <c:pt idx="2821">
                  <c:v>59106</c:v>
                </c:pt>
                <c:pt idx="2822">
                  <c:v>59113</c:v>
                </c:pt>
                <c:pt idx="2823">
                  <c:v>59120</c:v>
                </c:pt>
                <c:pt idx="2824">
                  <c:v>59127</c:v>
                </c:pt>
                <c:pt idx="2825">
                  <c:v>59134</c:v>
                </c:pt>
                <c:pt idx="2826">
                  <c:v>59141</c:v>
                </c:pt>
                <c:pt idx="2827">
                  <c:v>59148</c:v>
                </c:pt>
                <c:pt idx="2828">
                  <c:v>59155</c:v>
                </c:pt>
                <c:pt idx="2829">
                  <c:v>59162</c:v>
                </c:pt>
                <c:pt idx="2830">
                  <c:v>59169</c:v>
                </c:pt>
                <c:pt idx="2831">
                  <c:v>59176</c:v>
                </c:pt>
                <c:pt idx="2832">
                  <c:v>59183</c:v>
                </c:pt>
                <c:pt idx="2833">
                  <c:v>59190</c:v>
                </c:pt>
                <c:pt idx="2834">
                  <c:v>59197</c:v>
                </c:pt>
                <c:pt idx="2835">
                  <c:v>59204</c:v>
                </c:pt>
                <c:pt idx="2836">
                  <c:v>59211</c:v>
                </c:pt>
                <c:pt idx="2837">
                  <c:v>59218</c:v>
                </c:pt>
                <c:pt idx="2838">
                  <c:v>59225</c:v>
                </c:pt>
                <c:pt idx="2839">
                  <c:v>59232</c:v>
                </c:pt>
                <c:pt idx="2840">
                  <c:v>59239</c:v>
                </c:pt>
                <c:pt idx="2841">
                  <c:v>59246</c:v>
                </c:pt>
                <c:pt idx="2842">
                  <c:v>59253</c:v>
                </c:pt>
                <c:pt idx="2843">
                  <c:v>59260</c:v>
                </c:pt>
                <c:pt idx="2844">
                  <c:v>59267</c:v>
                </c:pt>
                <c:pt idx="2845">
                  <c:v>59274</c:v>
                </c:pt>
                <c:pt idx="2846">
                  <c:v>59281</c:v>
                </c:pt>
                <c:pt idx="2847">
                  <c:v>59288</c:v>
                </c:pt>
                <c:pt idx="2848">
                  <c:v>59295</c:v>
                </c:pt>
                <c:pt idx="2849">
                  <c:v>59302</c:v>
                </c:pt>
                <c:pt idx="2850">
                  <c:v>59309</c:v>
                </c:pt>
                <c:pt idx="2851">
                  <c:v>59316</c:v>
                </c:pt>
                <c:pt idx="2852">
                  <c:v>59323</c:v>
                </c:pt>
                <c:pt idx="2853">
                  <c:v>59330</c:v>
                </c:pt>
                <c:pt idx="2854">
                  <c:v>59337</c:v>
                </c:pt>
                <c:pt idx="2855">
                  <c:v>59344</c:v>
                </c:pt>
                <c:pt idx="2856">
                  <c:v>59351</c:v>
                </c:pt>
                <c:pt idx="2857">
                  <c:v>59358</c:v>
                </c:pt>
                <c:pt idx="2858">
                  <c:v>59365</c:v>
                </c:pt>
                <c:pt idx="2859">
                  <c:v>59372</c:v>
                </c:pt>
                <c:pt idx="2860">
                  <c:v>59379</c:v>
                </c:pt>
                <c:pt idx="2861">
                  <c:v>59386</c:v>
                </c:pt>
                <c:pt idx="2862">
                  <c:v>59393</c:v>
                </c:pt>
                <c:pt idx="2863">
                  <c:v>59400</c:v>
                </c:pt>
                <c:pt idx="2864">
                  <c:v>59407</c:v>
                </c:pt>
                <c:pt idx="2865">
                  <c:v>59414</c:v>
                </c:pt>
                <c:pt idx="2866">
                  <c:v>59421</c:v>
                </c:pt>
                <c:pt idx="2867">
                  <c:v>59428</c:v>
                </c:pt>
                <c:pt idx="2868">
                  <c:v>59435</c:v>
                </c:pt>
                <c:pt idx="2869">
                  <c:v>59442</c:v>
                </c:pt>
                <c:pt idx="2870">
                  <c:v>59449</c:v>
                </c:pt>
                <c:pt idx="2871">
                  <c:v>59456</c:v>
                </c:pt>
                <c:pt idx="2872">
                  <c:v>59463</c:v>
                </c:pt>
                <c:pt idx="2873">
                  <c:v>59470</c:v>
                </c:pt>
                <c:pt idx="2874">
                  <c:v>59477</c:v>
                </c:pt>
                <c:pt idx="2875">
                  <c:v>59484</c:v>
                </c:pt>
                <c:pt idx="2876">
                  <c:v>59491</c:v>
                </c:pt>
                <c:pt idx="2877">
                  <c:v>59498</c:v>
                </c:pt>
                <c:pt idx="2878">
                  <c:v>59505</c:v>
                </c:pt>
                <c:pt idx="2879">
                  <c:v>59512</c:v>
                </c:pt>
                <c:pt idx="2880">
                  <c:v>59519</c:v>
                </c:pt>
                <c:pt idx="2881">
                  <c:v>59526</c:v>
                </c:pt>
                <c:pt idx="2882">
                  <c:v>59534</c:v>
                </c:pt>
                <c:pt idx="2883">
                  <c:v>59541</c:v>
                </c:pt>
                <c:pt idx="2884">
                  <c:v>59548</c:v>
                </c:pt>
                <c:pt idx="2885">
                  <c:v>59555</c:v>
                </c:pt>
                <c:pt idx="2886">
                  <c:v>59562</c:v>
                </c:pt>
                <c:pt idx="2887">
                  <c:v>59569</c:v>
                </c:pt>
                <c:pt idx="2888">
                  <c:v>59576</c:v>
                </c:pt>
                <c:pt idx="2889">
                  <c:v>59583</c:v>
                </c:pt>
                <c:pt idx="2890">
                  <c:v>59590</c:v>
                </c:pt>
                <c:pt idx="2891">
                  <c:v>59597</c:v>
                </c:pt>
                <c:pt idx="2892">
                  <c:v>59604</c:v>
                </c:pt>
                <c:pt idx="2893">
                  <c:v>59611</c:v>
                </c:pt>
                <c:pt idx="2894">
                  <c:v>59618</c:v>
                </c:pt>
                <c:pt idx="2895">
                  <c:v>59625</c:v>
                </c:pt>
                <c:pt idx="2896">
                  <c:v>59632</c:v>
                </c:pt>
                <c:pt idx="2897">
                  <c:v>59643</c:v>
                </c:pt>
                <c:pt idx="2898">
                  <c:v>59646</c:v>
                </c:pt>
                <c:pt idx="2899">
                  <c:v>59653</c:v>
                </c:pt>
                <c:pt idx="2900">
                  <c:v>59660</c:v>
                </c:pt>
                <c:pt idx="2901">
                  <c:v>59667</c:v>
                </c:pt>
                <c:pt idx="2902">
                  <c:v>59674</c:v>
                </c:pt>
                <c:pt idx="2903">
                  <c:v>59681</c:v>
                </c:pt>
                <c:pt idx="2904">
                  <c:v>59688</c:v>
                </c:pt>
                <c:pt idx="2905">
                  <c:v>59695</c:v>
                </c:pt>
                <c:pt idx="2906">
                  <c:v>59702</c:v>
                </c:pt>
                <c:pt idx="2907">
                  <c:v>59709</c:v>
                </c:pt>
                <c:pt idx="2908">
                  <c:v>59716</c:v>
                </c:pt>
                <c:pt idx="2909">
                  <c:v>59723</c:v>
                </c:pt>
                <c:pt idx="2910">
                  <c:v>59730</c:v>
                </c:pt>
                <c:pt idx="2911">
                  <c:v>59737</c:v>
                </c:pt>
                <c:pt idx="2912">
                  <c:v>59744</c:v>
                </c:pt>
                <c:pt idx="2913">
                  <c:v>59751</c:v>
                </c:pt>
                <c:pt idx="2914">
                  <c:v>59758</c:v>
                </c:pt>
                <c:pt idx="2915">
                  <c:v>59765</c:v>
                </c:pt>
                <c:pt idx="2916">
                  <c:v>59772</c:v>
                </c:pt>
                <c:pt idx="2917">
                  <c:v>59779</c:v>
                </c:pt>
                <c:pt idx="2918">
                  <c:v>59786</c:v>
                </c:pt>
                <c:pt idx="2919">
                  <c:v>59793</c:v>
                </c:pt>
                <c:pt idx="2920">
                  <c:v>59800</c:v>
                </c:pt>
                <c:pt idx="2921">
                  <c:v>59807</c:v>
                </c:pt>
                <c:pt idx="2922">
                  <c:v>59814</c:v>
                </c:pt>
                <c:pt idx="2923">
                  <c:v>59821</c:v>
                </c:pt>
                <c:pt idx="2924">
                  <c:v>59828</c:v>
                </c:pt>
                <c:pt idx="2925">
                  <c:v>59835</c:v>
                </c:pt>
                <c:pt idx="2926">
                  <c:v>59842</c:v>
                </c:pt>
                <c:pt idx="2927">
                  <c:v>59849</c:v>
                </c:pt>
                <c:pt idx="2928">
                  <c:v>59856</c:v>
                </c:pt>
                <c:pt idx="2929">
                  <c:v>59863</c:v>
                </c:pt>
                <c:pt idx="2930">
                  <c:v>59870</c:v>
                </c:pt>
                <c:pt idx="2931">
                  <c:v>59877</c:v>
                </c:pt>
                <c:pt idx="2932">
                  <c:v>59884</c:v>
                </c:pt>
                <c:pt idx="2933">
                  <c:v>59891</c:v>
                </c:pt>
                <c:pt idx="2934">
                  <c:v>59901</c:v>
                </c:pt>
                <c:pt idx="2935">
                  <c:v>59908</c:v>
                </c:pt>
                <c:pt idx="2936">
                  <c:v>59915</c:v>
                </c:pt>
                <c:pt idx="2937">
                  <c:v>59922</c:v>
                </c:pt>
                <c:pt idx="2938">
                  <c:v>59929</c:v>
                </c:pt>
                <c:pt idx="2939">
                  <c:v>59936</c:v>
                </c:pt>
                <c:pt idx="2940">
                  <c:v>59943</c:v>
                </c:pt>
                <c:pt idx="2941">
                  <c:v>59950</c:v>
                </c:pt>
                <c:pt idx="2942">
                  <c:v>59957</c:v>
                </c:pt>
                <c:pt idx="2943">
                  <c:v>59964</c:v>
                </c:pt>
                <c:pt idx="2944">
                  <c:v>59971</c:v>
                </c:pt>
                <c:pt idx="2945">
                  <c:v>59978</c:v>
                </c:pt>
                <c:pt idx="2946">
                  <c:v>59985</c:v>
                </c:pt>
                <c:pt idx="2947">
                  <c:v>59992</c:v>
                </c:pt>
                <c:pt idx="2948">
                  <c:v>60001</c:v>
                </c:pt>
                <c:pt idx="2949">
                  <c:v>60006</c:v>
                </c:pt>
                <c:pt idx="2950">
                  <c:v>60013</c:v>
                </c:pt>
                <c:pt idx="2951">
                  <c:v>60020</c:v>
                </c:pt>
                <c:pt idx="2952">
                  <c:v>60028</c:v>
                </c:pt>
                <c:pt idx="2953">
                  <c:v>60035</c:v>
                </c:pt>
                <c:pt idx="2954">
                  <c:v>60042</c:v>
                </c:pt>
                <c:pt idx="2955">
                  <c:v>60049</c:v>
                </c:pt>
                <c:pt idx="2956">
                  <c:v>60056</c:v>
                </c:pt>
                <c:pt idx="2957">
                  <c:v>60063</c:v>
                </c:pt>
                <c:pt idx="2958">
                  <c:v>60070</c:v>
                </c:pt>
                <c:pt idx="2959">
                  <c:v>60077</c:v>
                </c:pt>
                <c:pt idx="2960">
                  <c:v>60084</c:v>
                </c:pt>
                <c:pt idx="2961">
                  <c:v>60091</c:v>
                </c:pt>
                <c:pt idx="2962">
                  <c:v>60098</c:v>
                </c:pt>
                <c:pt idx="2963">
                  <c:v>60105</c:v>
                </c:pt>
                <c:pt idx="2964">
                  <c:v>60112</c:v>
                </c:pt>
                <c:pt idx="2965">
                  <c:v>60119</c:v>
                </c:pt>
                <c:pt idx="2966">
                  <c:v>60126</c:v>
                </c:pt>
                <c:pt idx="2967">
                  <c:v>60133</c:v>
                </c:pt>
                <c:pt idx="2968">
                  <c:v>60140</c:v>
                </c:pt>
                <c:pt idx="2969">
                  <c:v>60147</c:v>
                </c:pt>
                <c:pt idx="2970">
                  <c:v>60154</c:v>
                </c:pt>
                <c:pt idx="2971">
                  <c:v>60161</c:v>
                </c:pt>
                <c:pt idx="2972">
                  <c:v>60168</c:v>
                </c:pt>
                <c:pt idx="2973">
                  <c:v>60175</c:v>
                </c:pt>
                <c:pt idx="2974">
                  <c:v>60182</c:v>
                </c:pt>
                <c:pt idx="2975">
                  <c:v>60189</c:v>
                </c:pt>
                <c:pt idx="2976">
                  <c:v>60196</c:v>
                </c:pt>
                <c:pt idx="2977">
                  <c:v>60203</c:v>
                </c:pt>
                <c:pt idx="2978">
                  <c:v>60210</c:v>
                </c:pt>
                <c:pt idx="2979">
                  <c:v>60217</c:v>
                </c:pt>
                <c:pt idx="2980">
                  <c:v>60224</c:v>
                </c:pt>
                <c:pt idx="2981">
                  <c:v>60231</c:v>
                </c:pt>
                <c:pt idx="2982">
                  <c:v>60238</c:v>
                </c:pt>
                <c:pt idx="2983">
                  <c:v>60245</c:v>
                </c:pt>
                <c:pt idx="2984">
                  <c:v>60252</c:v>
                </c:pt>
                <c:pt idx="2985">
                  <c:v>60259</c:v>
                </c:pt>
                <c:pt idx="2986">
                  <c:v>60267</c:v>
                </c:pt>
                <c:pt idx="2987">
                  <c:v>60274</c:v>
                </c:pt>
                <c:pt idx="2988">
                  <c:v>60281</c:v>
                </c:pt>
                <c:pt idx="2989">
                  <c:v>60288</c:v>
                </c:pt>
                <c:pt idx="2990">
                  <c:v>60295</c:v>
                </c:pt>
                <c:pt idx="2991">
                  <c:v>60302</c:v>
                </c:pt>
                <c:pt idx="2992">
                  <c:v>60309</c:v>
                </c:pt>
                <c:pt idx="2993">
                  <c:v>60316</c:v>
                </c:pt>
                <c:pt idx="2994">
                  <c:v>60323</c:v>
                </c:pt>
                <c:pt idx="2995">
                  <c:v>60330</c:v>
                </c:pt>
                <c:pt idx="2996">
                  <c:v>60337</c:v>
                </c:pt>
                <c:pt idx="2997">
                  <c:v>60344</c:v>
                </c:pt>
                <c:pt idx="2998">
                  <c:v>60351</c:v>
                </c:pt>
                <c:pt idx="2999">
                  <c:v>60359</c:v>
                </c:pt>
                <c:pt idx="3000">
                  <c:v>60366</c:v>
                </c:pt>
                <c:pt idx="3001">
                  <c:v>60373</c:v>
                </c:pt>
                <c:pt idx="3002">
                  <c:v>60380</c:v>
                </c:pt>
                <c:pt idx="3003">
                  <c:v>60387</c:v>
                </c:pt>
                <c:pt idx="3004">
                  <c:v>60394</c:v>
                </c:pt>
                <c:pt idx="3005">
                  <c:v>60401</c:v>
                </c:pt>
                <c:pt idx="3006">
                  <c:v>60408</c:v>
                </c:pt>
                <c:pt idx="3007">
                  <c:v>60415</c:v>
                </c:pt>
                <c:pt idx="3008">
                  <c:v>60422</c:v>
                </c:pt>
                <c:pt idx="3009">
                  <c:v>60429</c:v>
                </c:pt>
                <c:pt idx="3010">
                  <c:v>60436</c:v>
                </c:pt>
                <c:pt idx="3011">
                  <c:v>60443</c:v>
                </c:pt>
                <c:pt idx="3012">
                  <c:v>60450</c:v>
                </c:pt>
                <c:pt idx="3013">
                  <c:v>60457</c:v>
                </c:pt>
                <c:pt idx="3014">
                  <c:v>60464</c:v>
                </c:pt>
                <c:pt idx="3015">
                  <c:v>60471</c:v>
                </c:pt>
                <c:pt idx="3016">
                  <c:v>60478</c:v>
                </c:pt>
                <c:pt idx="3017">
                  <c:v>60485</c:v>
                </c:pt>
                <c:pt idx="3018">
                  <c:v>60492</c:v>
                </c:pt>
                <c:pt idx="3019">
                  <c:v>60499</c:v>
                </c:pt>
                <c:pt idx="3020">
                  <c:v>60506</c:v>
                </c:pt>
                <c:pt idx="3021">
                  <c:v>60513</c:v>
                </c:pt>
                <c:pt idx="3022">
                  <c:v>60520</c:v>
                </c:pt>
                <c:pt idx="3023">
                  <c:v>60527</c:v>
                </c:pt>
                <c:pt idx="3024">
                  <c:v>60534</c:v>
                </c:pt>
                <c:pt idx="3025">
                  <c:v>60541</c:v>
                </c:pt>
                <c:pt idx="3026">
                  <c:v>60548</c:v>
                </c:pt>
                <c:pt idx="3027">
                  <c:v>60555</c:v>
                </c:pt>
                <c:pt idx="3028">
                  <c:v>60562</c:v>
                </c:pt>
                <c:pt idx="3029">
                  <c:v>60569</c:v>
                </c:pt>
                <c:pt idx="3030">
                  <c:v>60576</c:v>
                </c:pt>
                <c:pt idx="3031">
                  <c:v>60583</c:v>
                </c:pt>
                <c:pt idx="3032">
                  <c:v>60590</c:v>
                </c:pt>
                <c:pt idx="3033">
                  <c:v>60597</c:v>
                </c:pt>
                <c:pt idx="3034">
                  <c:v>60604</c:v>
                </c:pt>
                <c:pt idx="3035">
                  <c:v>60611</c:v>
                </c:pt>
                <c:pt idx="3036">
                  <c:v>60618</c:v>
                </c:pt>
                <c:pt idx="3037">
                  <c:v>60625</c:v>
                </c:pt>
                <c:pt idx="3038">
                  <c:v>60632</c:v>
                </c:pt>
                <c:pt idx="3039">
                  <c:v>60639</c:v>
                </c:pt>
                <c:pt idx="3040">
                  <c:v>60646</c:v>
                </c:pt>
                <c:pt idx="3041">
                  <c:v>60653</c:v>
                </c:pt>
                <c:pt idx="3042">
                  <c:v>60660</c:v>
                </c:pt>
                <c:pt idx="3043">
                  <c:v>60667</c:v>
                </c:pt>
                <c:pt idx="3044">
                  <c:v>60674</c:v>
                </c:pt>
                <c:pt idx="3045">
                  <c:v>60681</c:v>
                </c:pt>
                <c:pt idx="3046">
                  <c:v>60688</c:v>
                </c:pt>
                <c:pt idx="3047">
                  <c:v>60695</c:v>
                </c:pt>
                <c:pt idx="3048">
                  <c:v>60702</c:v>
                </c:pt>
                <c:pt idx="3049">
                  <c:v>60709</c:v>
                </c:pt>
                <c:pt idx="3050">
                  <c:v>60716</c:v>
                </c:pt>
                <c:pt idx="3051">
                  <c:v>60723</c:v>
                </c:pt>
                <c:pt idx="3052">
                  <c:v>60730</c:v>
                </c:pt>
                <c:pt idx="3053">
                  <c:v>60737</c:v>
                </c:pt>
                <c:pt idx="3054">
                  <c:v>60744</c:v>
                </c:pt>
                <c:pt idx="3055">
                  <c:v>60751</c:v>
                </c:pt>
                <c:pt idx="3056">
                  <c:v>60758</c:v>
                </c:pt>
                <c:pt idx="3057">
                  <c:v>60765</c:v>
                </c:pt>
                <c:pt idx="3058">
                  <c:v>60772</c:v>
                </c:pt>
                <c:pt idx="3059">
                  <c:v>60779</c:v>
                </c:pt>
                <c:pt idx="3060">
                  <c:v>60786</c:v>
                </c:pt>
                <c:pt idx="3061">
                  <c:v>60793</c:v>
                </c:pt>
                <c:pt idx="3062">
                  <c:v>60800</c:v>
                </c:pt>
                <c:pt idx="3063">
                  <c:v>60807</c:v>
                </c:pt>
                <c:pt idx="3064">
                  <c:v>60814</c:v>
                </c:pt>
                <c:pt idx="3065">
                  <c:v>60821</c:v>
                </c:pt>
                <c:pt idx="3066">
                  <c:v>60828</c:v>
                </c:pt>
                <c:pt idx="3067">
                  <c:v>60835</c:v>
                </c:pt>
                <c:pt idx="3068">
                  <c:v>60842</c:v>
                </c:pt>
                <c:pt idx="3069">
                  <c:v>60849</c:v>
                </c:pt>
                <c:pt idx="3070">
                  <c:v>60856</c:v>
                </c:pt>
                <c:pt idx="3071">
                  <c:v>60863</c:v>
                </c:pt>
                <c:pt idx="3072">
                  <c:v>60870</c:v>
                </c:pt>
                <c:pt idx="3073">
                  <c:v>60877</c:v>
                </c:pt>
                <c:pt idx="3074">
                  <c:v>60884</c:v>
                </c:pt>
                <c:pt idx="3075">
                  <c:v>60891</c:v>
                </c:pt>
                <c:pt idx="3076">
                  <c:v>60898</c:v>
                </c:pt>
                <c:pt idx="3077">
                  <c:v>60905</c:v>
                </c:pt>
                <c:pt idx="3078">
                  <c:v>60912</c:v>
                </c:pt>
                <c:pt idx="3079">
                  <c:v>60919</c:v>
                </c:pt>
                <c:pt idx="3080">
                  <c:v>60926</c:v>
                </c:pt>
                <c:pt idx="3081">
                  <c:v>60933</c:v>
                </c:pt>
                <c:pt idx="3082">
                  <c:v>60940</c:v>
                </c:pt>
                <c:pt idx="3083">
                  <c:v>60947</c:v>
                </c:pt>
                <c:pt idx="3084">
                  <c:v>60954</c:v>
                </c:pt>
                <c:pt idx="3085">
                  <c:v>60961</c:v>
                </c:pt>
                <c:pt idx="3086">
                  <c:v>60968</c:v>
                </c:pt>
                <c:pt idx="3087">
                  <c:v>60975</c:v>
                </c:pt>
                <c:pt idx="3088">
                  <c:v>60982</c:v>
                </c:pt>
                <c:pt idx="3089">
                  <c:v>60989</c:v>
                </c:pt>
                <c:pt idx="3090">
                  <c:v>60996</c:v>
                </c:pt>
                <c:pt idx="3091">
                  <c:v>61003</c:v>
                </c:pt>
                <c:pt idx="3092">
                  <c:v>61010</c:v>
                </c:pt>
                <c:pt idx="3093">
                  <c:v>61017</c:v>
                </c:pt>
                <c:pt idx="3094">
                  <c:v>61024</c:v>
                </c:pt>
                <c:pt idx="3095">
                  <c:v>61031</c:v>
                </c:pt>
                <c:pt idx="3096">
                  <c:v>61038</c:v>
                </c:pt>
                <c:pt idx="3097">
                  <c:v>61045</c:v>
                </c:pt>
                <c:pt idx="3098">
                  <c:v>61052</c:v>
                </c:pt>
                <c:pt idx="3099">
                  <c:v>61059</c:v>
                </c:pt>
                <c:pt idx="3100">
                  <c:v>61066</c:v>
                </c:pt>
                <c:pt idx="3101">
                  <c:v>61073</c:v>
                </c:pt>
                <c:pt idx="3102">
                  <c:v>61080</c:v>
                </c:pt>
                <c:pt idx="3103">
                  <c:v>61087</c:v>
                </c:pt>
                <c:pt idx="3104">
                  <c:v>61094</c:v>
                </c:pt>
                <c:pt idx="3105">
                  <c:v>61101</c:v>
                </c:pt>
                <c:pt idx="3106">
                  <c:v>61108</c:v>
                </c:pt>
                <c:pt idx="3107">
                  <c:v>61115</c:v>
                </c:pt>
                <c:pt idx="3108">
                  <c:v>61122</c:v>
                </c:pt>
                <c:pt idx="3109">
                  <c:v>61129</c:v>
                </c:pt>
                <c:pt idx="3110">
                  <c:v>61136</c:v>
                </c:pt>
                <c:pt idx="3111">
                  <c:v>61143</c:v>
                </c:pt>
                <c:pt idx="3112">
                  <c:v>61150</c:v>
                </c:pt>
                <c:pt idx="3113">
                  <c:v>61157</c:v>
                </c:pt>
                <c:pt idx="3114">
                  <c:v>61164</c:v>
                </c:pt>
                <c:pt idx="3115">
                  <c:v>61171</c:v>
                </c:pt>
                <c:pt idx="3116">
                  <c:v>61178</c:v>
                </c:pt>
                <c:pt idx="3117">
                  <c:v>61185</c:v>
                </c:pt>
                <c:pt idx="3118">
                  <c:v>61192</c:v>
                </c:pt>
                <c:pt idx="3119">
                  <c:v>61199</c:v>
                </c:pt>
                <c:pt idx="3120">
                  <c:v>61206</c:v>
                </c:pt>
                <c:pt idx="3121">
                  <c:v>61213</c:v>
                </c:pt>
                <c:pt idx="3122">
                  <c:v>61220</c:v>
                </c:pt>
                <c:pt idx="3123">
                  <c:v>61227</c:v>
                </c:pt>
                <c:pt idx="3124">
                  <c:v>61234</c:v>
                </c:pt>
                <c:pt idx="3125">
                  <c:v>61241</c:v>
                </c:pt>
                <c:pt idx="3126">
                  <c:v>61248</c:v>
                </c:pt>
                <c:pt idx="3127">
                  <c:v>61255</c:v>
                </c:pt>
                <c:pt idx="3128">
                  <c:v>61262</c:v>
                </c:pt>
                <c:pt idx="3129">
                  <c:v>61269</c:v>
                </c:pt>
                <c:pt idx="3130">
                  <c:v>61276</c:v>
                </c:pt>
                <c:pt idx="3131">
                  <c:v>61283</c:v>
                </c:pt>
                <c:pt idx="3132">
                  <c:v>61290</c:v>
                </c:pt>
                <c:pt idx="3133">
                  <c:v>61297</c:v>
                </c:pt>
                <c:pt idx="3134">
                  <c:v>61304</c:v>
                </c:pt>
                <c:pt idx="3135">
                  <c:v>61311</c:v>
                </c:pt>
                <c:pt idx="3136">
                  <c:v>61318</c:v>
                </c:pt>
                <c:pt idx="3137">
                  <c:v>61325</c:v>
                </c:pt>
                <c:pt idx="3138">
                  <c:v>61332</c:v>
                </c:pt>
                <c:pt idx="3139">
                  <c:v>61339</c:v>
                </c:pt>
                <c:pt idx="3140">
                  <c:v>61346</c:v>
                </c:pt>
                <c:pt idx="3141">
                  <c:v>61353</c:v>
                </c:pt>
                <c:pt idx="3142">
                  <c:v>61360</c:v>
                </c:pt>
                <c:pt idx="3143">
                  <c:v>61367</c:v>
                </c:pt>
                <c:pt idx="3144">
                  <c:v>61374</c:v>
                </c:pt>
                <c:pt idx="3145">
                  <c:v>61381</c:v>
                </c:pt>
                <c:pt idx="3146">
                  <c:v>61388</c:v>
                </c:pt>
                <c:pt idx="3147">
                  <c:v>61395</c:v>
                </c:pt>
                <c:pt idx="3148">
                  <c:v>61402</c:v>
                </c:pt>
                <c:pt idx="3149">
                  <c:v>61409</c:v>
                </c:pt>
                <c:pt idx="3150">
                  <c:v>61416</c:v>
                </c:pt>
                <c:pt idx="3151">
                  <c:v>61423</c:v>
                </c:pt>
                <c:pt idx="3152">
                  <c:v>61430</c:v>
                </c:pt>
                <c:pt idx="3153">
                  <c:v>61437</c:v>
                </c:pt>
                <c:pt idx="3154">
                  <c:v>61444</c:v>
                </c:pt>
                <c:pt idx="3155">
                  <c:v>61451</c:v>
                </c:pt>
                <c:pt idx="3156">
                  <c:v>61458</c:v>
                </c:pt>
                <c:pt idx="3157">
                  <c:v>61465</c:v>
                </c:pt>
                <c:pt idx="3158">
                  <c:v>61472</c:v>
                </c:pt>
                <c:pt idx="3159">
                  <c:v>61479</c:v>
                </c:pt>
                <c:pt idx="3160">
                  <c:v>61487</c:v>
                </c:pt>
                <c:pt idx="3161">
                  <c:v>61494</c:v>
                </c:pt>
                <c:pt idx="3162">
                  <c:v>61501</c:v>
                </c:pt>
                <c:pt idx="3163">
                  <c:v>61508</c:v>
                </c:pt>
                <c:pt idx="3164">
                  <c:v>61515</c:v>
                </c:pt>
                <c:pt idx="3165">
                  <c:v>61522</c:v>
                </c:pt>
                <c:pt idx="3166">
                  <c:v>61529</c:v>
                </c:pt>
                <c:pt idx="3167">
                  <c:v>61536</c:v>
                </c:pt>
                <c:pt idx="3168">
                  <c:v>61543</c:v>
                </c:pt>
                <c:pt idx="3169">
                  <c:v>61550</c:v>
                </c:pt>
                <c:pt idx="3170">
                  <c:v>61557</c:v>
                </c:pt>
                <c:pt idx="3171">
                  <c:v>61564</c:v>
                </c:pt>
                <c:pt idx="3172">
                  <c:v>61571</c:v>
                </c:pt>
                <c:pt idx="3173">
                  <c:v>61578</c:v>
                </c:pt>
                <c:pt idx="3174">
                  <c:v>61585</c:v>
                </c:pt>
                <c:pt idx="3175">
                  <c:v>61592</c:v>
                </c:pt>
                <c:pt idx="3176">
                  <c:v>61599</c:v>
                </c:pt>
                <c:pt idx="3177">
                  <c:v>61606</c:v>
                </c:pt>
                <c:pt idx="3178">
                  <c:v>61613</c:v>
                </c:pt>
                <c:pt idx="3179">
                  <c:v>61620</c:v>
                </c:pt>
                <c:pt idx="3180">
                  <c:v>61627</c:v>
                </c:pt>
                <c:pt idx="3181">
                  <c:v>61634</c:v>
                </c:pt>
                <c:pt idx="3182">
                  <c:v>61641</c:v>
                </c:pt>
                <c:pt idx="3183">
                  <c:v>61648</c:v>
                </c:pt>
                <c:pt idx="3184">
                  <c:v>61655</c:v>
                </c:pt>
                <c:pt idx="3185">
                  <c:v>61662</c:v>
                </c:pt>
                <c:pt idx="3186">
                  <c:v>61669</c:v>
                </c:pt>
                <c:pt idx="3187">
                  <c:v>61676</c:v>
                </c:pt>
                <c:pt idx="3188">
                  <c:v>61683</c:v>
                </c:pt>
                <c:pt idx="3189">
                  <c:v>61690</c:v>
                </c:pt>
                <c:pt idx="3190">
                  <c:v>61697</c:v>
                </c:pt>
                <c:pt idx="3191">
                  <c:v>61704</c:v>
                </c:pt>
                <c:pt idx="3192">
                  <c:v>61711</c:v>
                </c:pt>
                <c:pt idx="3193">
                  <c:v>61718</c:v>
                </c:pt>
                <c:pt idx="3194">
                  <c:v>61728</c:v>
                </c:pt>
                <c:pt idx="3195">
                  <c:v>61735</c:v>
                </c:pt>
                <c:pt idx="3196">
                  <c:v>61742</c:v>
                </c:pt>
                <c:pt idx="3197">
                  <c:v>61749</c:v>
                </c:pt>
                <c:pt idx="3198">
                  <c:v>61756</c:v>
                </c:pt>
                <c:pt idx="3199">
                  <c:v>61763</c:v>
                </c:pt>
                <c:pt idx="3200">
                  <c:v>61770</c:v>
                </c:pt>
                <c:pt idx="3201">
                  <c:v>61777</c:v>
                </c:pt>
                <c:pt idx="3202">
                  <c:v>61784</c:v>
                </c:pt>
                <c:pt idx="3203">
                  <c:v>61791</c:v>
                </c:pt>
                <c:pt idx="3204">
                  <c:v>61798</c:v>
                </c:pt>
                <c:pt idx="3205">
                  <c:v>61805</c:v>
                </c:pt>
                <c:pt idx="3206">
                  <c:v>61812</c:v>
                </c:pt>
                <c:pt idx="3207">
                  <c:v>61819</c:v>
                </c:pt>
                <c:pt idx="3208">
                  <c:v>61826</c:v>
                </c:pt>
                <c:pt idx="3209">
                  <c:v>61835</c:v>
                </c:pt>
                <c:pt idx="3210">
                  <c:v>61840</c:v>
                </c:pt>
                <c:pt idx="3211">
                  <c:v>61847</c:v>
                </c:pt>
                <c:pt idx="3212">
                  <c:v>61854</c:v>
                </c:pt>
                <c:pt idx="3213">
                  <c:v>61861</c:v>
                </c:pt>
                <c:pt idx="3214">
                  <c:v>61868</c:v>
                </c:pt>
                <c:pt idx="3215">
                  <c:v>61875</c:v>
                </c:pt>
                <c:pt idx="3216">
                  <c:v>61882</c:v>
                </c:pt>
                <c:pt idx="3217">
                  <c:v>61889</c:v>
                </c:pt>
                <c:pt idx="3218">
                  <c:v>61896</c:v>
                </c:pt>
                <c:pt idx="3219">
                  <c:v>61903</c:v>
                </c:pt>
                <c:pt idx="3220">
                  <c:v>61910</c:v>
                </c:pt>
                <c:pt idx="3221">
                  <c:v>61917</c:v>
                </c:pt>
                <c:pt idx="3222">
                  <c:v>61924</c:v>
                </c:pt>
                <c:pt idx="3223">
                  <c:v>61931</c:v>
                </c:pt>
                <c:pt idx="3224">
                  <c:v>61938</c:v>
                </c:pt>
                <c:pt idx="3225">
                  <c:v>61945</c:v>
                </c:pt>
                <c:pt idx="3226">
                  <c:v>61952</c:v>
                </c:pt>
                <c:pt idx="3227">
                  <c:v>61959</c:v>
                </c:pt>
                <c:pt idx="3228">
                  <c:v>61966</c:v>
                </c:pt>
                <c:pt idx="3229">
                  <c:v>61973</c:v>
                </c:pt>
                <c:pt idx="3230">
                  <c:v>61980</c:v>
                </c:pt>
                <c:pt idx="3231">
                  <c:v>61987</c:v>
                </c:pt>
                <c:pt idx="3232">
                  <c:v>61994</c:v>
                </c:pt>
                <c:pt idx="3233">
                  <c:v>62001</c:v>
                </c:pt>
                <c:pt idx="3234">
                  <c:v>62008</c:v>
                </c:pt>
                <c:pt idx="3235">
                  <c:v>62015</c:v>
                </c:pt>
                <c:pt idx="3236">
                  <c:v>62022</c:v>
                </c:pt>
                <c:pt idx="3237">
                  <c:v>62029</c:v>
                </c:pt>
                <c:pt idx="3238">
                  <c:v>62036</c:v>
                </c:pt>
                <c:pt idx="3239">
                  <c:v>62043</c:v>
                </c:pt>
                <c:pt idx="3240">
                  <c:v>62050</c:v>
                </c:pt>
                <c:pt idx="3241">
                  <c:v>62057</c:v>
                </c:pt>
                <c:pt idx="3242">
                  <c:v>62064</c:v>
                </c:pt>
                <c:pt idx="3243">
                  <c:v>62071</c:v>
                </c:pt>
                <c:pt idx="3244">
                  <c:v>62078</c:v>
                </c:pt>
                <c:pt idx="3245">
                  <c:v>62085</c:v>
                </c:pt>
                <c:pt idx="3246">
                  <c:v>62093</c:v>
                </c:pt>
                <c:pt idx="3247">
                  <c:v>62100</c:v>
                </c:pt>
                <c:pt idx="3248">
                  <c:v>62107</c:v>
                </c:pt>
                <c:pt idx="3249">
                  <c:v>62114</c:v>
                </c:pt>
                <c:pt idx="3250">
                  <c:v>62121</c:v>
                </c:pt>
                <c:pt idx="3251">
                  <c:v>62128</c:v>
                </c:pt>
                <c:pt idx="3252">
                  <c:v>62135</c:v>
                </c:pt>
                <c:pt idx="3253">
                  <c:v>62142</c:v>
                </c:pt>
                <c:pt idx="3254">
                  <c:v>62149</c:v>
                </c:pt>
                <c:pt idx="3255">
                  <c:v>62156</c:v>
                </c:pt>
                <c:pt idx="3256">
                  <c:v>62163</c:v>
                </c:pt>
                <c:pt idx="3257">
                  <c:v>62170</c:v>
                </c:pt>
                <c:pt idx="3258">
                  <c:v>62177</c:v>
                </c:pt>
                <c:pt idx="3259">
                  <c:v>62186</c:v>
                </c:pt>
                <c:pt idx="3260">
                  <c:v>62193</c:v>
                </c:pt>
                <c:pt idx="3261">
                  <c:v>62200</c:v>
                </c:pt>
                <c:pt idx="3262">
                  <c:v>62207</c:v>
                </c:pt>
                <c:pt idx="3263">
                  <c:v>62215</c:v>
                </c:pt>
                <c:pt idx="3264">
                  <c:v>62221</c:v>
                </c:pt>
                <c:pt idx="3265">
                  <c:v>62228</c:v>
                </c:pt>
                <c:pt idx="3266">
                  <c:v>62235</c:v>
                </c:pt>
                <c:pt idx="3267">
                  <c:v>62242</c:v>
                </c:pt>
                <c:pt idx="3268">
                  <c:v>62249</c:v>
                </c:pt>
                <c:pt idx="3269">
                  <c:v>62256</c:v>
                </c:pt>
                <c:pt idx="3270">
                  <c:v>62263</c:v>
                </c:pt>
                <c:pt idx="3271">
                  <c:v>62270</c:v>
                </c:pt>
                <c:pt idx="3272">
                  <c:v>62277</c:v>
                </c:pt>
                <c:pt idx="3273">
                  <c:v>62284</c:v>
                </c:pt>
                <c:pt idx="3274">
                  <c:v>62291</c:v>
                </c:pt>
                <c:pt idx="3275">
                  <c:v>62298</c:v>
                </c:pt>
                <c:pt idx="3276">
                  <c:v>62305</c:v>
                </c:pt>
                <c:pt idx="3277">
                  <c:v>62312</c:v>
                </c:pt>
                <c:pt idx="3278">
                  <c:v>62319</c:v>
                </c:pt>
                <c:pt idx="3279">
                  <c:v>62326</c:v>
                </c:pt>
                <c:pt idx="3280">
                  <c:v>62333</c:v>
                </c:pt>
                <c:pt idx="3281">
                  <c:v>62340</c:v>
                </c:pt>
                <c:pt idx="3282">
                  <c:v>62347</c:v>
                </c:pt>
                <c:pt idx="3283">
                  <c:v>62354</c:v>
                </c:pt>
                <c:pt idx="3284">
                  <c:v>62361</c:v>
                </c:pt>
                <c:pt idx="3285">
                  <c:v>62368</c:v>
                </c:pt>
                <c:pt idx="3286">
                  <c:v>62375</c:v>
                </c:pt>
                <c:pt idx="3287">
                  <c:v>62382</c:v>
                </c:pt>
                <c:pt idx="3288">
                  <c:v>62389</c:v>
                </c:pt>
                <c:pt idx="3289">
                  <c:v>62396</c:v>
                </c:pt>
                <c:pt idx="3290">
                  <c:v>62403</c:v>
                </c:pt>
                <c:pt idx="3291">
                  <c:v>62410</c:v>
                </c:pt>
                <c:pt idx="3292">
                  <c:v>62417</c:v>
                </c:pt>
                <c:pt idx="3293">
                  <c:v>62424</c:v>
                </c:pt>
                <c:pt idx="3294">
                  <c:v>62431</c:v>
                </c:pt>
                <c:pt idx="3295">
                  <c:v>62438</c:v>
                </c:pt>
                <c:pt idx="3296">
                  <c:v>62445</c:v>
                </c:pt>
                <c:pt idx="3297">
                  <c:v>62456</c:v>
                </c:pt>
                <c:pt idx="3298">
                  <c:v>62460</c:v>
                </c:pt>
                <c:pt idx="3299">
                  <c:v>62466</c:v>
                </c:pt>
                <c:pt idx="3300">
                  <c:v>62473</c:v>
                </c:pt>
                <c:pt idx="3301">
                  <c:v>62480</c:v>
                </c:pt>
                <c:pt idx="3302">
                  <c:v>62487</c:v>
                </c:pt>
                <c:pt idx="3303">
                  <c:v>62494</c:v>
                </c:pt>
                <c:pt idx="3304">
                  <c:v>62501</c:v>
                </c:pt>
                <c:pt idx="3305">
                  <c:v>62508</c:v>
                </c:pt>
                <c:pt idx="3306">
                  <c:v>62515</c:v>
                </c:pt>
                <c:pt idx="3307">
                  <c:v>62522</c:v>
                </c:pt>
                <c:pt idx="3308">
                  <c:v>62529</c:v>
                </c:pt>
                <c:pt idx="3309">
                  <c:v>62536</c:v>
                </c:pt>
                <c:pt idx="3310">
                  <c:v>62543</c:v>
                </c:pt>
                <c:pt idx="3311">
                  <c:v>62550</c:v>
                </c:pt>
                <c:pt idx="3312">
                  <c:v>62557</c:v>
                </c:pt>
                <c:pt idx="3313">
                  <c:v>62564</c:v>
                </c:pt>
                <c:pt idx="3314">
                  <c:v>62571</c:v>
                </c:pt>
                <c:pt idx="3315">
                  <c:v>62578</c:v>
                </c:pt>
                <c:pt idx="3316">
                  <c:v>62585</c:v>
                </c:pt>
                <c:pt idx="3317">
                  <c:v>62592</c:v>
                </c:pt>
                <c:pt idx="3318">
                  <c:v>62599</c:v>
                </c:pt>
                <c:pt idx="3319">
                  <c:v>62606</c:v>
                </c:pt>
                <c:pt idx="3320">
                  <c:v>62613</c:v>
                </c:pt>
                <c:pt idx="3321">
                  <c:v>62620</c:v>
                </c:pt>
                <c:pt idx="3322">
                  <c:v>62627</c:v>
                </c:pt>
                <c:pt idx="3323">
                  <c:v>62634</c:v>
                </c:pt>
                <c:pt idx="3324">
                  <c:v>62641</c:v>
                </c:pt>
                <c:pt idx="3325">
                  <c:v>62648</c:v>
                </c:pt>
                <c:pt idx="3326">
                  <c:v>62655</c:v>
                </c:pt>
                <c:pt idx="3327">
                  <c:v>62662</c:v>
                </c:pt>
                <c:pt idx="3328">
                  <c:v>62669</c:v>
                </c:pt>
                <c:pt idx="3329">
                  <c:v>62676</c:v>
                </c:pt>
                <c:pt idx="3330">
                  <c:v>62683</c:v>
                </c:pt>
                <c:pt idx="3331">
                  <c:v>62690</c:v>
                </c:pt>
                <c:pt idx="3332">
                  <c:v>62697</c:v>
                </c:pt>
                <c:pt idx="3333">
                  <c:v>62704</c:v>
                </c:pt>
                <c:pt idx="3334">
                  <c:v>62711</c:v>
                </c:pt>
                <c:pt idx="3335">
                  <c:v>62718</c:v>
                </c:pt>
                <c:pt idx="3336">
                  <c:v>62725</c:v>
                </c:pt>
                <c:pt idx="3337">
                  <c:v>62732</c:v>
                </c:pt>
                <c:pt idx="3338">
                  <c:v>62739</c:v>
                </c:pt>
                <c:pt idx="3339">
                  <c:v>62746</c:v>
                </c:pt>
                <c:pt idx="3340">
                  <c:v>62753</c:v>
                </c:pt>
                <c:pt idx="3341">
                  <c:v>62760</c:v>
                </c:pt>
                <c:pt idx="3342">
                  <c:v>62767</c:v>
                </c:pt>
                <c:pt idx="3343">
                  <c:v>62774</c:v>
                </c:pt>
                <c:pt idx="3344">
                  <c:v>62781</c:v>
                </c:pt>
                <c:pt idx="3345">
                  <c:v>62788</c:v>
                </c:pt>
                <c:pt idx="3346">
                  <c:v>62795</c:v>
                </c:pt>
                <c:pt idx="3347">
                  <c:v>62802</c:v>
                </c:pt>
                <c:pt idx="3348">
                  <c:v>62809</c:v>
                </c:pt>
                <c:pt idx="3349">
                  <c:v>62816</c:v>
                </c:pt>
                <c:pt idx="3350">
                  <c:v>62823</c:v>
                </c:pt>
                <c:pt idx="3351">
                  <c:v>62830</c:v>
                </c:pt>
                <c:pt idx="3352">
                  <c:v>62837</c:v>
                </c:pt>
                <c:pt idx="3353">
                  <c:v>62844</c:v>
                </c:pt>
                <c:pt idx="3354">
                  <c:v>62851</c:v>
                </c:pt>
                <c:pt idx="3355">
                  <c:v>62858</c:v>
                </c:pt>
                <c:pt idx="3356">
                  <c:v>62865</c:v>
                </c:pt>
                <c:pt idx="3357">
                  <c:v>62872</c:v>
                </c:pt>
                <c:pt idx="3358">
                  <c:v>62879</c:v>
                </c:pt>
                <c:pt idx="3359">
                  <c:v>62886</c:v>
                </c:pt>
                <c:pt idx="3360">
                  <c:v>62893</c:v>
                </c:pt>
                <c:pt idx="3361">
                  <c:v>62900</c:v>
                </c:pt>
                <c:pt idx="3362">
                  <c:v>62907</c:v>
                </c:pt>
                <c:pt idx="3363">
                  <c:v>62914</c:v>
                </c:pt>
                <c:pt idx="3364">
                  <c:v>62921</c:v>
                </c:pt>
                <c:pt idx="3365">
                  <c:v>62928</c:v>
                </c:pt>
                <c:pt idx="3366">
                  <c:v>62935</c:v>
                </c:pt>
                <c:pt idx="3367">
                  <c:v>62942</c:v>
                </c:pt>
                <c:pt idx="3368">
                  <c:v>62949</c:v>
                </c:pt>
                <c:pt idx="3369">
                  <c:v>62956</c:v>
                </c:pt>
                <c:pt idx="3370">
                  <c:v>62963</c:v>
                </c:pt>
                <c:pt idx="3371">
                  <c:v>62970</c:v>
                </c:pt>
                <c:pt idx="3372">
                  <c:v>62977</c:v>
                </c:pt>
                <c:pt idx="3373">
                  <c:v>62984</c:v>
                </c:pt>
                <c:pt idx="3374">
                  <c:v>62991</c:v>
                </c:pt>
                <c:pt idx="3375">
                  <c:v>62998</c:v>
                </c:pt>
                <c:pt idx="3376">
                  <c:v>63005</c:v>
                </c:pt>
                <c:pt idx="3377">
                  <c:v>63012</c:v>
                </c:pt>
                <c:pt idx="3378">
                  <c:v>63019</c:v>
                </c:pt>
                <c:pt idx="3379">
                  <c:v>63026</c:v>
                </c:pt>
                <c:pt idx="3380">
                  <c:v>63033</c:v>
                </c:pt>
                <c:pt idx="3381">
                  <c:v>63040</c:v>
                </c:pt>
                <c:pt idx="3382">
                  <c:v>63047</c:v>
                </c:pt>
                <c:pt idx="3383">
                  <c:v>63054</c:v>
                </c:pt>
                <c:pt idx="3384">
                  <c:v>63061</c:v>
                </c:pt>
                <c:pt idx="3385">
                  <c:v>63068</c:v>
                </c:pt>
                <c:pt idx="3386">
                  <c:v>63075</c:v>
                </c:pt>
                <c:pt idx="3387">
                  <c:v>63082</c:v>
                </c:pt>
                <c:pt idx="3388">
                  <c:v>63089</c:v>
                </c:pt>
                <c:pt idx="3389">
                  <c:v>63096</c:v>
                </c:pt>
                <c:pt idx="3390">
                  <c:v>63103</c:v>
                </c:pt>
                <c:pt idx="3391">
                  <c:v>63110</c:v>
                </c:pt>
                <c:pt idx="3392">
                  <c:v>63117</c:v>
                </c:pt>
                <c:pt idx="3393">
                  <c:v>63124</c:v>
                </c:pt>
                <c:pt idx="3394">
                  <c:v>63131</c:v>
                </c:pt>
                <c:pt idx="3395">
                  <c:v>63138</c:v>
                </c:pt>
                <c:pt idx="3396">
                  <c:v>63145</c:v>
                </c:pt>
                <c:pt idx="3397">
                  <c:v>63152</c:v>
                </c:pt>
                <c:pt idx="3398">
                  <c:v>63159</c:v>
                </c:pt>
                <c:pt idx="3399">
                  <c:v>63166</c:v>
                </c:pt>
                <c:pt idx="3400">
                  <c:v>63173</c:v>
                </c:pt>
                <c:pt idx="3401">
                  <c:v>63180</c:v>
                </c:pt>
                <c:pt idx="3402">
                  <c:v>63187</c:v>
                </c:pt>
                <c:pt idx="3403">
                  <c:v>63194</c:v>
                </c:pt>
                <c:pt idx="3404">
                  <c:v>63201</c:v>
                </c:pt>
                <c:pt idx="3405">
                  <c:v>63208</c:v>
                </c:pt>
                <c:pt idx="3406">
                  <c:v>63215</c:v>
                </c:pt>
                <c:pt idx="3407">
                  <c:v>63222</c:v>
                </c:pt>
                <c:pt idx="3408">
                  <c:v>63229</c:v>
                </c:pt>
                <c:pt idx="3409">
                  <c:v>63236</c:v>
                </c:pt>
                <c:pt idx="3410">
                  <c:v>63243</c:v>
                </c:pt>
                <c:pt idx="3411">
                  <c:v>63250</c:v>
                </c:pt>
                <c:pt idx="3412">
                  <c:v>63257</c:v>
                </c:pt>
                <c:pt idx="3413">
                  <c:v>63264</c:v>
                </c:pt>
                <c:pt idx="3414">
                  <c:v>63271</c:v>
                </c:pt>
                <c:pt idx="3415">
                  <c:v>63278</c:v>
                </c:pt>
                <c:pt idx="3416">
                  <c:v>63285</c:v>
                </c:pt>
                <c:pt idx="3417">
                  <c:v>63292</c:v>
                </c:pt>
                <c:pt idx="3418">
                  <c:v>63299</c:v>
                </c:pt>
                <c:pt idx="3419">
                  <c:v>63306</c:v>
                </c:pt>
                <c:pt idx="3420">
                  <c:v>63313</c:v>
                </c:pt>
                <c:pt idx="3421">
                  <c:v>63320</c:v>
                </c:pt>
                <c:pt idx="3422">
                  <c:v>63327</c:v>
                </c:pt>
                <c:pt idx="3423">
                  <c:v>63334</c:v>
                </c:pt>
                <c:pt idx="3424">
                  <c:v>63341</c:v>
                </c:pt>
                <c:pt idx="3425">
                  <c:v>63348</c:v>
                </c:pt>
                <c:pt idx="3426">
                  <c:v>63355</c:v>
                </c:pt>
                <c:pt idx="3427">
                  <c:v>63362</c:v>
                </c:pt>
                <c:pt idx="3428">
                  <c:v>63369</c:v>
                </c:pt>
                <c:pt idx="3429">
                  <c:v>63376</c:v>
                </c:pt>
                <c:pt idx="3430">
                  <c:v>63383</c:v>
                </c:pt>
                <c:pt idx="3431">
                  <c:v>63390</c:v>
                </c:pt>
                <c:pt idx="3432">
                  <c:v>63397</c:v>
                </c:pt>
                <c:pt idx="3433">
                  <c:v>63404</c:v>
                </c:pt>
                <c:pt idx="3434">
                  <c:v>63411</c:v>
                </c:pt>
                <c:pt idx="3435">
                  <c:v>63418</c:v>
                </c:pt>
                <c:pt idx="3436">
                  <c:v>63425</c:v>
                </c:pt>
                <c:pt idx="3437">
                  <c:v>63432</c:v>
                </c:pt>
                <c:pt idx="3438">
                  <c:v>63439</c:v>
                </c:pt>
                <c:pt idx="3439">
                  <c:v>63446</c:v>
                </c:pt>
                <c:pt idx="3440">
                  <c:v>63453</c:v>
                </c:pt>
                <c:pt idx="3441">
                  <c:v>63460</c:v>
                </c:pt>
                <c:pt idx="3442">
                  <c:v>63467</c:v>
                </c:pt>
                <c:pt idx="3443">
                  <c:v>63474</c:v>
                </c:pt>
                <c:pt idx="3444">
                  <c:v>63481</c:v>
                </c:pt>
                <c:pt idx="3445">
                  <c:v>63488</c:v>
                </c:pt>
                <c:pt idx="3446">
                  <c:v>63495</c:v>
                </c:pt>
                <c:pt idx="3447">
                  <c:v>63502</c:v>
                </c:pt>
                <c:pt idx="3448">
                  <c:v>63509</c:v>
                </c:pt>
                <c:pt idx="3449">
                  <c:v>63516</c:v>
                </c:pt>
                <c:pt idx="3450">
                  <c:v>63523</c:v>
                </c:pt>
                <c:pt idx="3451">
                  <c:v>63530</c:v>
                </c:pt>
                <c:pt idx="3452">
                  <c:v>63537</c:v>
                </c:pt>
                <c:pt idx="3453">
                  <c:v>63544</c:v>
                </c:pt>
                <c:pt idx="3454">
                  <c:v>63552</c:v>
                </c:pt>
                <c:pt idx="3455">
                  <c:v>63559</c:v>
                </c:pt>
                <c:pt idx="3456">
                  <c:v>63566</c:v>
                </c:pt>
                <c:pt idx="3457">
                  <c:v>63573</c:v>
                </c:pt>
                <c:pt idx="3458">
                  <c:v>63580</c:v>
                </c:pt>
                <c:pt idx="3459">
                  <c:v>63587</c:v>
                </c:pt>
                <c:pt idx="3460">
                  <c:v>63594</c:v>
                </c:pt>
                <c:pt idx="3461">
                  <c:v>63601</c:v>
                </c:pt>
                <c:pt idx="3462">
                  <c:v>63608</c:v>
                </c:pt>
                <c:pt idx="3463">
                  <c:v>63615</c:v>
                </c:pt>
                <c:pt idx="3464">
                  <c:v>63622</c:v>
                </c:pt>
                <c:pt idx="3465">
                  <c:v>63629</c:v>
                </c:pt>
                <c:pt idx="3466">
                  <c:v>63636</c:v>
                </c:pt>
                <c:pt idx="3467">
                  <c:v>63643</c:v>
                </c:pt>
                <c:pt idx="3468">
                  <c:v>63650</c:v>
                </c:pt>
                <c:pt idx="3469">
                  <c:v>63661</c:v>
                </c:pt>
                <c:pt idx="3470">
                  <c:v>63664</c:v>
                </c:pt>
                <c:pt idx="3471">
                  <c:v>63671</c:v>
                </c:pt>
                <c:pt idx="3472">
                  <c:v>63678</c:v>
                </c:pt>
                <c:pt idx="3473">
                  <c:v>63685</c:v>
                </c:pt>
                <c:pt idx="3474">
                  <c:v>63692</c:v>
                </c:pt>
                <c:pt idx="3475">
                  <c:v>63699</c:v>
                </c:pt>
                <c:pt idx="3476">
                  <c:v>63706</c:v>
                </c:pt>
                <c:pt idx="3477">
                  <c:v>63713</c:v>
                </c:pt>
                <c:pt idx="3478">
                  <c:v>63720</c:v>
                </c:pt>
                <c:pt idx="3479">
                  <c:v>63727</c:v>
                </c:pt>
                <c:pt idx="3480">
                  <c:v>63734</c:v>
                </c:pt>
                <c:pt idx="3481">
                  <c:v>63741</c:v>
                </c:pt>
                <c:pt idx="3482">
                  <c:v>63748</c:v>
                </c:pt>
                <c:pt idx="3483">
                  <c:v>63755</c:v>
                </c:pt>
                <c:pt idx="3484">
                  <c:v>63762</c:v>
                </c:pt>
                <c:pt idx="3485">
                  <c:v>63769</c:v>
                </c:pt>
                <c:pt idx="3486">
                  <c:v>63776</c:v>
                </c:pt>
                <c:pt idx="3487">
                  <c:v>63783</c:v>
                </c:pt>
                <c:pt idx="3488">
                  <c:v>63790</c:v>
                </c:pt>
                <c:pt idx="3489">
                  <c:v>63797</c:v>
                </c:pt>
                <c:pt idx="3490">
                  <c:v>63804</c:v>
                </c:pt>
                <c:pt idx="3491">
                  <c:v>63811</c:v>
                </c:pt>
                <c:pt idx="3492">
                  <c:v>63818</c:v>
                </c:pt>
                <c:pt idx="3493">
                  <c:v>63825</c:v>
                </c:pt>
                <c:pt idx="3494">
                  <c:v>63832</c:v>
                </c:pt>
                <c:pt idx="3495">
                  <c:v>63839</c:v>
                </c:pt>
                <c:pt idx="3496">
                  <c:v>63846</c:v>
                </c:pt>
                <c:pt idx="3497">
                  <c:v>63853</c:v>
                </c:pt>
                <c:pt idx="3498">
                  <c:v>63860</c:v>
                </c:pt>
                <c:pt idx="3499">
                  <c:v>63867</c:v>
                </c:pt>
                <c:pt idx="3500">
                  <c:v>63874</c:v>
                </c:pt>
                <c:pt idx="3501">
                  <c:v>63881</c:v>
                </c:pt>
                <c:pt idx="3502">
                  <c:v>63888</c:v>
                </c:pt>
                <c:pt idx="3503">
                  <c:v>63895</c:v>
                </c:pt>
                <c:pt idx="3504">
                  <c:v>63902</c:v>
                </c:pt>
                <c:pt idx="3505">
                  <c:v>63909</c:v>
                </c:pt>
                <c:pt idx="3506">
                  <c:v>63919</c:v>
                </c:pt>
                <c:pt idx="3507">
                  <c:v>63926</c:v>
                </c:pt>
                <c:pt idx="3508">
                  <c:v>63933</c:v>
                </c:pt>
                <c:pt idx="3509">
                  <c:v>63940</c:v>
                </c:pt>
                <c:pt idx="3510">
                  <c:v>63947</c:v>
                </c:pt>
                <c:pt idx="3511">
                  <c:v>63954</c:v>
                </c:pt>
                <c:pt idx="3512">
                  <c:v>63961</c:v>
                </c:pt>
                <c:pt idx="3513">
                  <c:v>63968</c:v>
                </c:pt>
                <c:pt idx="3514">
                  <c:v>63975</c:v>
                </c:pt>
                <c:pt idx="3515">
                  <c:v>63982</c:v>
                </c:pt>
                <c:pt idx="3516">
                  <c:v>63989</c:v>
                </c:pt>
                <c:pt idx="3517">
                  <c:v>63996</c:v>
                </c:pt>
                <c:pt idx="3518">
                  <c:v>64003</c:v>
                </c:pt>
                <c:pt idx="3519">
                  <c:v>64010</c:v>
                </c:pt>
                <c:pt idx="3520">
                  <c:v>64019</c:v>
                </c:pt>
                <c:pt idx="3521">
                  <c:v>64024</c:v>
                </c:pt>
                <c:pt idx="3522">
                  <c:v>64031</c:v>
                </c:pt>
                <c:pt idx="3523">
                  <c:v>64038</c:v>
                </c:pt>
                <c:pt idx="3524">
                  <c:v>64045</c:v>
                </c:pt>
                <c:pt idx="3525">
                  <c:v>64052</c:v>
                </c:pt>
                <c:pt idx="3526">
                  <c:v>64059</c:v>
                </c:pt>
                <c:pt idx="3527">
                  <c:v>64066</c:v>
                </c:pt>
                <c:pt idx="3528">
                  <c:v>64073</c:v>
                </c:pt>
                <c:pt idx="3529">
                  <c:v>64080</c:v>
                </c:pt>
                <c:pt idx="3530">
                  <c:v>64087</c:v>
                </c:pt>
                <c:pt idx="3531">
                  <c:v>64094</c:v>
                </c:pt>
                <c:pt idx="3532">
                  <c:v>64101</c:v>
                </c:pt>
                <c:pt idx="3533">
                  <c:v>64108</c:v>
                </c:pt>
              </c:numCache>
            </c:numRef>
          </c:cat>
          <c:val>
            <c:numRef>
              <c:f>Monitor!$AC$19:$AC$3552</c:f>
              <c:numCache>
                <c:formatCode>0.0000%</c:formatCode>
                <c:ptCount val="3534"/>
                <c:pt idx="0">
                  <c:v>-2.5890587230126272E-4</c:v>
                </c:pt>
                <c:pt idx="1">
                  <c:v>-2.5710892116670436E-4</c:v>
                </c:pt>
                <c:pt idx="2">
                  <c:v>-2.5351556961705768E-4</c:v>
                </c:pt>
                <c:pt idx="3">
                  <c:v>-2.5082041831492319E-4</c:v>
                </c:pt>
                <c:pt idx="4">
                  <c:v>-2.4758623663245771E-4</c:v>
                </c:pt>
                <c:pt idx="5">
                  <c:v>-2.4381302464959731E-4</c:v>
                </c:pt>
                <c:pt idx="6">
                  <c:v>-2.3446968021811898E-4</c:v>
                </c:pt>
                <c:pt idx="7">
                  <c:v>-2.2332987323459008E-4</c:v>
                </c:pt>
                <c:pt idx="8">
                  <c:v>-2.1686150939004278E-4</c:v>
                </c:pt>
                <c:pt idx="9">
                  <c:v>-2.0985411508522844E-4</c:v>
                </c:pt>
                <c:pt idx="10">
                  <c:v>-2.02307690240211E-4</c:v>
                </c:pt>
                <c:pt idx="11">
                  <c:v>-1.8541797683901962E-4</c:v>
                </c:pt>
                <c:pt idx="12">
                  <c:v>-1.6673168553804629E-4</c:v>
                </c:pt>
                <c:pt idx="13">
                  <c:v>-1.5649010787210926E-4</c:v>
                </c:pt>
                <c:pt idx="14">
                  <c:v>-1.4570949926628884E-4</c:v>
                </c:pt>
                <c:pt idx="15">
                  <c:v>-1.343898600802973E-4</c:v>
                </c:pt>
                <c:pt idx="16">
                  <c:v>-1.0995377865530287E-4</c:v>
                </c:pt>
                <c:pt idx="17">
                  <c:v>-8.3720994257241443E-5</c:v>
                </c:pt>
                <c:pt idx="18">
                  <c:v>-6.9706200371832949E-5</c:v>
                </c:pt>
                <c:pt idx="19">
                  <c:v>-5.5152375306732893E-5</c:v>
                </c:pt>
                <c:pt idx="20">
                  <c:v>-4.0059519101909302E-5</c:v>
                </c:pt>
                <c:pt idx="21">
                  <c:v>-8.0770357868686915E-6</c:v>
                </c:pt>
                <c:pt idx="22">
                  <c:v>2.5542986445969973E-5</c:v>
                </c:pt>
                <c:pt idx="23">
                  <c:v>4.2375604385469501E-5</c:v>
                </c:pt>
                <c:pt idx="24">
                  <c:v>5.8791858661422225E-5</c:v>
                </c:pt>
                <c:pt idx="25">
                  <c:v>7.4791749193892088E-5</c:v>
                </c:pt>
                <c:pt idx="26">
                  <c:v>1.0540368132971878E-4</c:v>
                </c:pt>
                <c:pt idx="27">
                  <c:v>1.3462767245009388E-4</c:v>
                </c:pt>
                <c:pt idx="28">
                  <c:v>1.4854574330591674E-4</c:v>
                </c:pt>
                <c:pt idx="29">
                  <c:v>1.6204745009851251E-4</c:v>
                </c:pt>
                <c:pt idx="30">
                  <c:v>1.7513279282788119E-4</c:v>
                </c:pt>
                <c:pt idx="31">
                  <c:v>1.9991570838762129E-4</c:v>
                </c:pt>
                <c:pt idx="32">
                  <c:v>2.233105213544917E-4</c:v>
                </c:pt>
                <c:pt idx="33">
                  <c:v>2.3431404280849222E-4</c:v>
                </c:pt>
                <c:pt idx="34">
                  <c:v>2.4490119979958536E-4</c:v>
                </c:pt>
                <c:pt idx="35">
                  <c:v>2.5507199240770717E-4</c:v>
                </c:pt>
                <c:pt idx="36">
                  <c:v>2.7402590466074628E-4</c:v>
                </c:pt>
                <c:pt idx="37">
                  <c:v>2.9159151813118456E-4</c:v>
                </c:pt>
                <c:pt idx="38">
                  <c:v>2.9968048826489735E-4</c:v>
                </c:pt>
                <c:pt idx="39">
                  <c:v>3.0735309361595853E-4</c:v>
                </c:pt>
                <c:pt idx="40">
                  <c:v>3.1460933458404838E-4</c:v>
                </c:pt>
                <c:pt idx="41">
                  <c:v>3.2773423231269305E-4</c:v>
                </c:pt>
                <c:pt idx="42">
                  <c:v>3.3947065110950803E-4</c:v>
                </c:pt>
                <c:pt idx="43">
                  <c:v>3.4464506848408405E-4</c:v>
                </c:pt>
                <c:pt idx="44">
                  <c:v>3.4947961948361694E-4</c:v>
                </c:pt>
                <c:pt idx="45">
                  <c:v>3.5428029797834881E-4</c:v>
                </c:pt>
                <c:pt idx="46">
                  <c:v>3.6402410901636983E-4</c:v>
                </c:pt>
                <c:pt idx="47">
                  <c:v>3.7390927010605424E-4</c:v>
                </c:pt>
                <c:pt idx="48">
                  <c:v>3.7892307779507917E-4</c:v>
                </c:pt>
                <c:pt idx="49">
                  <c:v>3.8397951122703944E-4</c:v>
                </c:pt>
                <c:pt idx="50">
                  <c:v>3.8907857056180717E-4</c:v>
                </c:pt>
                <c:pt idx="51">
                  <c:v>3.9941921857966634E-4</c:v>
                </c:pt>
                <c:pt idx="52">
                  <c:v>4.0990106652927238E-4</c:v>
                </c:pt>
                <c:pt idx="53">
                  <c:v>4.1521325513826923E-4</c:v>
                </c:pt>
                <c:pt idx="54">
                  <c:v>4.2056806965007354E-4</c:v>
                </c:pt>
                <c:pt idx="55">
                  <c:v>4.2596550998474925E-4</c:v>
                </c:pt>
                <c:pt idx="56">
                  <c:v>4.3690300710608199E-4</c:v>
                </c:pt>
                <c:pt idx="57">
                  <c:v>4.4798153003178243E-4</c:v>
                </c:pt>
                <c:pt idx="58">
                  <c:v>4.5359209972062331E-4</c:v>
                </c:pt>
                <c:pt idx="59">
                  <c:v>4.5924529531227165E-4</c:v>
                </c:pt>
                <c:pt idx="60">
                  <c:v>4.6494111672679139E-4</c:v>
                </c:pt>
                <c:pt idx="61">
                  <c:v>4.7647547648743682E-4</c:v>
                </c:pt>
                <c:pt idx="62">
                  <c:v>4.8815066125307283E-4</c:v>
                </c:pt>
                <c:pt idx="63">
                  <c:v>4.9405961218162986E-4</c:v>
                </c:pt>
                <c:pt idx="64">
                  <c:v>5.0001118885312223E-4</c:v>
                </c:pt>
                <c:pt idx="65">
                  <c:v>5.0600539158729418E-4</c:v>
                </c:pt>
                <c:pt idx="66">
                  <c:v>5.1795838349022461E-4</c:v>
                </c:pt>
                <c:pt idx="67">
                  <c:v>5.2967567675921146E-4</c:v>
                </c:pt>
                <c:pt idx="68">
                  <c:v>5.3540768938376004E-4</c:v>
                </c:pt>
                <c:pt idx="69">
                  <c:v>5.4106349800520093E-4</c:v>
                </c:pt>
                <c:pt idx="70">
                  <c:v>5.4664310262353411E-4</c:v>
                </c:pt>
                <c:pt idx="71">
                  <c:v>5.5754916190586812E-4</c:v>
                </c:pt>
                <c:pt idx="72">
                  <c:v>5.6819948098585371E-4</c:v>
                </c:pt>
                <c:pt idx="73">
                  <c:v>5.7339806558864836E-4</c:v>
                </c:pt>
                <c:pt idx="74">
                  <c:v>5.785204460284632E-4</c:v>
                </c:pt>
                <c:pt idx="75">
                  <c:v>5.8356662262504244E-4</c:v>
                </c:pt>
                <c:pt idx="76">
                  <c:v>5.9340594035894867E-4</c:v>
                </c:pt>
                <c:pt idx="77">
                  <c:v>6.0298928842072996E-4</c:v>
                </c:pt>
                <c:pt idx="78">
                  <c:v>6.0765444484189857E-4</c:v>
                </c:pt>
                <c:pt idx="79">
                  <c:v>6.1224339718002341E-4</c:v>
                </c:pt>
                <c:pt idx="80">
                  <c:v>6.1675614551504054E-4</c:v>
                </c:pt>
                <c:pt idx="81">
                  <c:v>6.2552871543886113E-4</c:v>
                </c:pt>
                <c:pt idx="82">
                  <c:v>6.3404509818454358E-4</c:v>
                </c:pt>
                <c:pt idx="83">
                  <c:v>6.3817682618427796E-4</c:v>
                </c:pt>
                <c:pt idx="84">
                  <c:v>6.4223235018090463E-4</c:v>
                </c:pt>
                <c:pt idx="85">
                  <c:v>6.4621167009448754E-4</c:v>
                </c:pt>
                <c:pt idx="86">
                  <c:v>6.5391748421461671E-4</c:v>
                </c:pt>
                <c:pt idx="87">
                  <c:v>6.6135044249016062E-4</c:v>
                </c:pt>
                <c:pt idx="88">
                  <c:v>6.6484994206028603E-4</c:v>
                </c:pt>
                <c:pt idx="89">
                  <c:v>6.6817443753919292E-4</c:v>
                </c:pt>
                <c:pt idx="90">
                  <c:v>6.7132392892688131E-4</c:v>
                </c:pt>
                <c:pt idx="91">
                  <c:v>6.7704083803299397E-4</c:v>
                </c:pt>
                <c:pt idx="92">
                  <c:v>6.8217185348551368E-4</c:v>
                </c:pt>
                <c:pt idx="93">
                  <c:v>6.8444632441710951E-4</c:v>
                </c:pt>
                <c:pt idx="94">
                  <c:v>6.8654579117755077E-4</c:v>
                </c:pt>
                <c:pt idx="95">
                  <c:v>6.8847025384677352E-4</c:v>
                </c:pt>
                <c:pt idx="96">
                  <c:v>6.9173716123138718E-4</c:v>
                </c:pt>
                <c:pt idx="97">
                  <c:v>6.9441806321179911E-4</c:v>
                </c:pt>
                <c:pt idx="98">
                  <c:v>6.9546750518512113E-4</c:v>
                </c:pt>
                <c:pt idx="99">
                  <c:v>6.9634194314716069E-4</c:v>
                </c:pt>
                <c:pt idx="100">
                  <c:v>6.9704137685810963E-4</c:v>
                </c:pt>
                <c:pt idx="101">
                  <c:v>6.9785825006718483E-4</c:v>
                </c:pt>
                <c:pt idx="102">
                  <c:v>6.9808907054991209E-4</c:v>
                </c:pt>
                <c:pt idx="103">
                  <c:v>6.9791348364489636E-4</c:v>
                </c:pt>
                <c:pt idx="104">
                  <c:v>6.9756289264866211E-4</c:v>
                </c:pt>
                <c:pt idx="105">
                  <c:v>6.970372974812733E-4</c:v>
                </c:pt>
                <c:pt idx="106">
                  <c:v>6.9540410328805535E-4</c:v>
                </c:pt>
                <c:pt idx="107">
                  <c:v>2.709200046941973E-3</c:v>
                </c:pt>
                <c:pt idx="108">
                  <c:v>6.9178425963656309E-4</c:v>
                </c:pt>
                <c:pt idx="109">
                  <c:v>6.9038013873701232E-4</c:v>
                </c:pt>
                <c:pt idx="110">
                  <c:v>6.8965850918090155E-4</c:v>
                </c:pt>
                <c:pt idx="111">
                  <c:v>6.9106321097578416E-4</c:v>
                </c:pt>
                <c:pt idx="112">
                  <c:v>6.9531189422100681E-4</c:v>
                </c:pt>
                <c:pt idx="113">
                  <c:v>6.988602164170743E-4</c:v>
                </c:pt>
                <c:pt idx="114">
                  <c:v>7.0326252909147513E-4</c:v>
                </c:pt>
                <c:pt idx="115">
                  <c:v>7.0851883208433719E-4</c:v>
                </c:pt>
                <c:pt idx="116">
                  <c:v>7.2187952074642681E-4</c:v>
                </c:pt>
                <c:pt idx="117">
                  <c:v>7.3808394963847945E-4</c:v>
                </c:pt>
                <c:pt idx="118">
                  <c:v>7.476102056624967E-4</c:v>
                </c:pt>
                <c:pt idx="119">
                  <c:v>7.579904523247194E-4</c:v>
                </c:pt>
                <c:pt idx="120">
                  <c:v>7.6922468994489179E-4</c:v>
                </c:pt>
                <c:pt idx="121">
                  <c:v>7.9454155497593604E-4</c:v>
                </c:pt>
                <c:pt idx="122">
                  <c:v>8.2270155016495039E-4</c:v>
                </c:pt>
                <c:pt idx="123">
                  <c:v>8.3820574329429576E-4</c:v>
                </c:pt>
                <c:pt idx="124">
                  <c:v>8.5456392770133505E-4</c:v>
                </c:pt>
                <c:pt idx="125">
                  <c:v>8.9973271924836951E-4</c:v>
                </c:pt>
                <c:pt idx="126">
                  <c:v>9.49164725376761E-4</c:v>
                </c:pt>
                <c:pt idx="127">
                  <c:v>9.706468608872143E-4</c:v>
                </c:pt>
                <c:pt idx="128">
                  <c:v>9.9298298871453028E-4</c:v>
                </c:pt>
                <c:pt idx="129">
                  <c:v>1.0530978914102818E-3</c:v>
                </c:pt>
                <c:pt idx="130">
                  <c:v>1.1169975069691418E-3</c:v>
                </c:pt>
                <c:pt idx="131">
                  <c:v>1.1416015190768292E-3</c:v>
                </c:pt>
                <c:pt idx="132">
                  <c:v>1.1642034507630683E-3</c:v>
                </c:pt>
                <c:pt idx="133">
                  <c:v>1.184803301708115E-3</c:v>
                </c:pt>
                <c:pt idx="134">
                  <c:v>1.2193335288923635E-3</c:v>
                </c:pt>
                <c:pt idx="135">
                  <c:v>1.2471818911219401E-3</c:v>
                </c:pt>
                <c:pt idx="136">
                  <c:v>1.257771333564861E-3</c:v>
                </c:pt>
                <c:pt idx="137">
                  <c:v>1.2663586938277405E-3</c:v>
                </c:pt>
                <c:pt idx="138">
                  <c:v>1.2729439715108981E-3</c:v>
                </c:pt>
                <c:pt idx="139">
                  <c:v>1.279445465200979E-3</c:v>
                </c:pt>
                <c:pt idx="140">
                  <c:v>1.2792642556469502E-3</c:v>
                </c:pt>
                <c:pt idx="141">
                  <c:v>1.2758391198719465E-3</c:v>
                </c:pt>
                <c:pt idx="142">
                  <c:v>1.2704119015172211E-3</c:v>
                </c:pt>
                <c:pt idx="143">
                  <c:v>1.2629826005827738E-3</c:v>
                </c:pt>
                <c:pt idx="144">
                  <c:v>1.2414546718897412E-3</c:v>
                </c:pt>
                <c:pt idx="145">
                  <c:v>1.2132445742452092E-3</c:v>
                </c:pt>
                <c:pt idx="146">
                  <c:v>1.1958048631299789E-3</c:v>
                </c:pt>
                <c:pt idx="147">
                  <c:v>1.1763630706340678E-3</c:v>
                </c:pt>
                <c:pt idx="148">
                  <c:v>1.154919197157156E-3</c:v>
                </c:pt>
                <c:pt idx="149">
                  <c:v>1.1053612420841574E-3</c:v>
                </c:pt>
                <c:pt idx="150">
                  <c:v>1.049122901113364E-3</c:v>
                </c:pt>
                <c:pt idx="151">
                  <c:v>1.0176686287266534E-3</c:v>
                </c:pt>
                <c:pt idx="152">
                  <c:v>9.8484259675402086E-4</c:v>
                </c:pt>
                <c:pt idx="153">
                  <c:v>9.531660803041575E-4</c:v>
                </c:pt>
                <c:pt idx="154">
                  <c:v>8.9574805421044346E-4</c:v>
                </c:pt>
                <c:pt idx="155">
                  <c:v>8.4425834859125359E-4</c:v>
                </c:pt>
                <c:pt idx="156">
                  <c:v>8.2148099706635946E-4</c:v>
                </c:pt>
                <c:pt idx="157">
                  <c:v>8.0048347750327764E-4</c:v>
                </c:pt>
                <c:pt idx="158">
                  <c:v>7.8126578950232783E-4</c:v>
                </c:pt>
                <c:pt idx="159">
                  <c:v>7.4876474124963011E-4</c:v>
                </c:pt>
                <c:pt idx="160">
                  <c:v>7.2219334792400502E-4</c:v>
                </c:pt>
                <c:pt idx="161">
                  <c:v>7.1187481405665665E-4</c:v>
                </c:pt>
                <c:pt idx="162">
                  <c:v>7.0333611055239942E-4</c:v>
                </c:pt>
                <c:pt idx="163">
                  <c:v>6.9657723693161699E-4</c:v>
                </c:pt>
                <c:pt idx="164">
                  <c:v>6.8899357525964433E-4</c:v>
                </c:pt>
                <c:pt idx="165">
                  <c:v>6.8734004264214832E-4</c:v>
                </c:pt>
                <c:pt idx="166">
                  <c:v>6.894803188384202E-4</c:v>
                </c:pt>
                <c:pt idx="167">
                  <c:v>6.9340042491816689E-4</c:v>
                </c:pt>
                <c:pt idx="168">
                  <c:v>6.991003610412605E-4</c:v>
                </c:pt>
                <c:pt idx="169">
                  <c:v>7.1643442594471196E-4</c:v>
                </c:pt>
                <c:pt idx="170">
                  <c:v>7.3969840724608105E-4</c:v>
                </c:pt>
                <c:pt idx="171">
                  <c:v>7.5429749502475829E-4</c:v>
                </c:pt>
                <c:pt idx="172">
                  <c:v>7.7026146293235342E-4</c:v>
                </c:pt>
                <c:pt idx="173">
                  <c:v>7.8593050787389984E-4</c:v>
                </c:pt>
                <c:pt idx="174">
                  <c:v>8.1490419590934948E-4</c:v>
                </c:pt>
                <c:pt idx="175">
                  <c:v>8.4150794836368448E-4</c:v>
                </c:pt>
                <c:pt idx="176">
                  <c:v>8.5362762330731812E-4</c:v>
                </c:pt>
                <c:pt idx="177">
                  <c:v>8.6503742401156103E-4</c:v>
                </c:pt>
                <c:pt idx="178">
                  <c:v>8.7573735039647715E-4</c:v>
                </c:pt>
                <c:pt idx="179">
                  <c:v>8.9477317909647525E-4</c:v>
                </c:pt>
                <c:pt idx="180">
                  <c:v>9.1143831186357716E-4</c:v>
                </c:pt>
                <c:pt idx="181">
                  <c:v>9.1858886585249877E-4</c:v>
                </c:pt>
                <c:pt idx="182">
                  <c:v>9.2502954528228543E-4</c:v>
                </c:pt>
                <c:pt idx="183">
                  <c:v>9.3076035007300106E-4</c:v>
                </c:pt>
                <c:pt idx="184">
                  <c:v>9.3985816428165947E-4</c:v>
                </c:pt>
                <c:pt idx="185">
                  <c:v>9.4658482204579286E-4</c:v>
                </c:pt>
                <c:pt idx="186">
                  <c:v>9.4876625308160101E-4</c:v>
                </c:pt>
                <c:pt idx="187">
                  <c:v>9.5023780939840208E-4</c:v>
                </c:pt>
                <c:pt idx="188">
                  <c:v>9.4968836521225342E-4</c:v>
                </c:pt>
                <c:pt idx="189">
                  <c:v>9.4415977628159453E-4</c:v>
                </c:pt>
                <c:pt idx="190">
                  <c:v>9.4066220900579367E-4</c:v>
                </c:pt>
                <c:pt idx="191">
                  <c:v>9.3645476701098573E-4</c:v>
                </c:pt>
                <c:pt idx="192">
                  <c:v>9.2567601413406919E-4</c:v>
                </c:pt>
                <c:pt idx="193">
                  <c:v>9.1273515585577059E-4</c:v>
                </c:pt>
                <c:pt idx="194">
                  <c:v>9.0623176315141052E-4</c:v>
                </c:pt>
                <c:pt idx="195">
                  <c:v>9.0027191829378239E-4</c:v>
                </c:pt>
                <c:pt idx="196">
                  <c:v>8.9485562144275832E-4</c:v>
                </c:pt>
                <c:pt idx="197">
                  <c:v>8.8583703369948807E-4</c:v>
                </c:pt>
                <c:pt idx="198">
                  <c:v>8.7862591274578961E-4</c:v>
                </c:pt>
                <c:pt idx="199">
                  <c:v>8.7592735512842523E-4</c:v>
                </c:pt>
                <c:pt idx="200">
                  <c:v>8.7377234543772886E-4</c:v>
                </c:pt>
                <c:pt idx="201">
                  <c:v>8.7216088343389231E-4</c:v>
                </c:pt>
                <c:pt idx="202">
                  <c:v>8.7075189160401578E-4</c:v>
                </c:pt>
                <c:pt idx="203">
                  <c:v>8.7115051348618522E-4</c:v>
                </c:pt>
                <c:pt idx="204">
                  <c:v>8.7225679039626414E-4</c:v>
                </c:pt>
                <c:pt idx="205">
                  <c:v>8.7390661523301105E-4</c:v>
                </c:pt>
                <c:pt idx="206">
                  <c:v>8.7609998775661779E-4</c:v>
                </c:pt>
                <c:pt idx="207">
                  <c:v>8.8230072133654858E-4</c:v>
                </c:pt>
                <c:pt idx="208">
                  <c:v>8.9030895631836415E-4</c:v>
                </c:pt>
                <c:pt idx="209">
                  <c:v>8.9522006807563059E-4</c:v>
                </c:pt>
                <c:pt idx="210">
                  <c:v>9.0067472783950109E-4</c:v>
                </c:pt>
                <c:pt idx="211">
                  <c:v>9.0667293537016747E-4</c:v>
                </c:pt>
                <c:pt idx="212">
                  <c:v>9.2048353065088406E-4</c:v>
                </c:pt>
                <c:pt idx="213">
                  <c:v>9.3594546768827058E-4</c:v>
                </c:pt>
                <c:pt idx="214">
                  <c:v>9.4372674762865927E-4</c:v>
                </c:pt>
                <c:pt idx="215">
                  <c:v>9.5111690811222616E-4</c:v>
                </c:pt>
                <c:pt idx="216">
                  <c:v>9.5811594897909913E-4</c:v>
                </c:pt>
                <c:pt idx="217">
                  <c:v>9.7081291634992795E-4</c:v>
                </c:pt>
                <c:pt idx="218">
                  <c:v>9.8220091564016343E-4</c:v>
                </c:pt>
                <c:pt idx="219">
                  <c:v>9.8724435810382261E-4</c:v>
                </c:pt>
                <c:pt idx="220">
                  <c:v>9.9189668079091575E-4</c:v>
                </c:pt>
                <c:pt idx="221">
                  <c:v>9.9615788370144287E-4</c:v>
                </c:pt>
                <c:pt idx="222">
                  <c:v>1.0033793536834423E-3</c:v>
                </c:pt>
                <c:pt idx="223">
                  <c:v>1.0092914978976353E-3</c:v>
                </c:pt>
                <c:pt idx="224">
                  <c:v>1.0115971019253323E-3</c:v>
                </c:pt>
                <c:pt idx="225">
                  <c:v>1.0135115862563993E-3</c:v>
                </c:pt>
                <c:pt idx="226">
                  <c:v>1.0150349506510281E-3</c:v>
                </c:pt>
                <c:pt idx="227">
                  <c:v>1.0167808185279625E-3</c:v>
                </c:pt>
                <c:pt idx="228">
                  <c:v>1.017217210064203E-3</c:v>
                </c:pt>
                <c:pt idx="229">
                  <c:v>1.0167849754161296E-3</c:v>
                </c:pt>
                <c:pt idx="230">
                  <c:v>1.015961620831618E-3</c:v>
                </c:pt>
                <c:pt idx="231">
                  <c:v>1.0147471465504765E-3</c:v>
                </c:pt>
                <c:pt idx="232">
                  <c:v>1.0110173044086679E-3</c:v>
                </c:pt>
                <c:pt idx="233">
                  <c:v>1.0059780510207617E-3</c:v>
                </c:pt>
                <c:pt idx="234">
                  <c:v>1.0028079776169818E-3</c:v>
                </c:pt>
                <c:pt idx="235">
                  <c:v>9.9924678451657201E-4</c:v>
                </c:pt>
                <c:pt idx="236">
                  <c:v>9.9552249396062109E-4</c:v>
                </c:pt>
                <c:pt idx="237">
                  <c:v>9.9087731166846993E-4</c:v>
                </c:pt>
                <c:pt idx="238">
                  <c:v>9.8948339090298987E-4</c:v>
                </c:pt>
                <c:pt idx="239">
                  <c:v>9.9041615221118207E-4</c:v>
                </c:pt>
                <c:pt idx="240">
                  <c:v>9.9232592838838229E-4</c:v>
                </c:pt>
                <c:pt idx="241">
                  <c:v>9.9521271951452661E-4</c:v>
                </c:pt>
                <c:pt idx="242">
                  <c:v>1.004245819302696E-3</c:v>
                </c:pt>
                <c:pt idx="243">
                  <c:v>1.0165300328690563E-3</c:v>
                </c:pt>
                <c:pt idx="244">
                  <c:v>1.0243018987399211E-3</c:v>
                </c:pt>
                <c:pt idx="245">
                  <c:v>1.0330507797995381E-3</c:v>
                </c:pt>
                <c:pt idx="246">
                  <c:v>1.0427766759679713E-3</c:v>
                </c:pt>
                <c:pt idx="247">
                  <c:v>1.0654883394245473E-3</c:v>
                </c:pt>
                <c:pt idx="248">
                  <c:v>1.0914504142878201E-3</c:v>
                </c:pt>
                <c:pt idx="249">
                  <c:v>1.1060613878388637E-3</c:v>
                </c:pt>
                <c:pt idx="250">
                  <c:v>1.1216493771382119E-3</c:v>
                </c:pt>
                <c:pt idx="251">
                  <c:v>1.1382143823457369E-3</c:v>
                </c:pt>
                <c:pt idx="252">
                  <c:v>1.1746049453353891E-3</c:v>
                </c:pt>
                <c:pt idx="253">
                  <c:v>1.2142445651353029E-3</c:v>
                </c:pt>
                <c:pt idx="254">
                  <c:v>1.2356946521219214E-3</c:v>
                </c:pt>
                <c:pt idx="255">
                  <c:v>1.2581217559759494E-3</c:v>
                </c:pt>
                <c:pt idx="256">
                  <c:v>1.281525876777323E-3</c:v>
                </c:pt>
                <c:pt idx="257">
                  <c:v>1.3315957675974488E-3</c:v>
                </c:pt>
                <c:pt idx="258">
                  <c:v>1.384384632370228E-3</c:v>
                </c:pt>
                <c:pt idx="259">
                  <c:v>1.4095064294927795E-3</c:v>
                </c:pt>
                <c:pt idx="260">
                  <c:v>1.4324378324293008E-3</c:v>
                </c:pt>
                <c:pt idx="261">
                  <c:v>1.4531788406202395E-3</c:v>
                </c:pt>
                <c:pt idx="262">
                  <c:v>1.4873656848024552E-3</c:v>
                </c:pt>
                <c:pt idx="263">
                  <c:v>1.5142389203326445E-3</c:v>
                </c:pt>
                <c:pt idx="264">
                  <c:v>1.5240279504791232E-3</c:v>
                </c:pt>
                <c:pt idx="265">
                  <c:v>1.5316265842812982E-3</c:v>
                </c:pt>
                <c:pt idx="266">
                  <c:v>1.5370348217391694E-3</c:v>
                </c:pt>
                <c:pt idx="267">
                  <c:v>1.5405565671144927E-3</c:v>
                </c:pt>
                <c:pt idx="268">
                  <c:v>1.536763805489727E-3</c:v>
                </c:pt>
                <c:pt idx="269">
                  <c:v>1.5312200597872305E-3</c:v>
                </c:pt>
                <c:pt idx="270">
                  <c:v>1.5234859179802385E-3</c:v>
                </c:pt>
                <c:pt idx="271">
                  <c:v>1.5135613795891345E-3</c:v>
                </c:pt>
                <c:pt idx="272">
                  <c:v>1.4864171200557053E-3</c:v>
                </c:pt>
                <c:pt idx="273">
                  <c:v>1.4519592676176529E-3</c:v>
                </c:pt>
                <c:pt idx="274">
                  <c:v>1.4310827513419611E-3</c:v>
                </c:pt>
                <c:pt idx="275">
                  <c:v>1.4080158404006227E-3</c:v>
                </c:pt>
                <c:pt idx="276">
                  <c:v>1.3827585353531902E-3</c:v>
                </c:pt>
                <c:pt idx="277">
                  <c:v>1.3249474889232005E-3</c:v>
                </c:pt>
                <c:pt idx="278">
                  <c:v>1.2598253827356132E-3</c:v>
                </c:pt>
                <c:pt idx="279">
                  <c:v>1.224279934710637E-3</c:v>
                </c:pt>
                <c:pt idx="280">
                  <c:v>1.1898631970108653E-3</c:v>
                </c:pt>
                <c:pt idx="281">
                  <c:v>1.1572389897551716E-3</c:v>
                </c:pt>
                <c:pt idx="282">
                  <c:v>1.0979690214618643E-3</c:v>
                </c:pt>
                <c:pt idx="283">
                  <c:v>1.0446674536623846E-3</c:v>
                </c:pt>
                <c:pt idx="284">
                  <c:v>1.0210058909532194E-3</c:v>
                </c:pt>
                <c:pt idx="285">
                  <c:v>9.9913685597030621E-4</c:v>
                </c:pt>
                <c:pt idx="286">
                  <c:v>9.7906034847383694E-4</c:v>
                </c:pt>
                <c:pt idx="287">
                  <c:v>9.4488490312016893E-4</c:v>
                </c:pt>
                <c:pt idx="288">
                  <c:v>9.1667958695751395E-4</c:v>
                </c:pt>
                <c:pt idx="289">
                  <c:v>9.0556571265665298E-4</c:v>
                </c:pt>
                <c:pt idx="290">
                  <c:v>8.9624436432345078E-4</c:v>
                </c:pt>
                <c:pt idx="291">
                  <c:v>8.8871554195790736E-4</c:v>
                </c:pt>
                <c:pt idx="292">
                  <c:v>8.7963513214717182E-4</c:v>
                </c:pt>
                <c:pt idx="293">
                  <c:v>8.7652550929462336E-4</c:v>
                </c:pt>
                <c:pt idx="294">
                  <c:v>8.7795931524858872E-4</c:v>
                </c:pt>
                <c:pt idx="295">
                  <c:v>8.8118564669059651E-4</c:v>
                </c:pt>
                <c:pt idx="296">
                  <c:v>8.8620450394039096E-4</c:v>
                </c:pt>
                <c:pt idx="297">
                  <c:v>9.022195653507481E-4</c:v>
                </c:pt>
                <c:pt idx="298">
                  <c:v>9.242051913371796E-4</c:v>
                </c:pt>
                <c:pt idx="299">
                  <c:v>9.3818667850520399E-4</c:v>
                </c:pt>
                <c:pt idx="300">
                  <c:v>9.5396069228037561E-4</c:v>
                </c:pt>
                <c:pt idx="301">
                  <c:v>9.7152723282256659E-4</c:v>
                </c:pt>
                <c:pt idx="302">
                  <c:v>1.0090193119172142E-3</c:v>
                </c:pt>
                <c:pt idx="303">
                  <c:v>1.0448408839724976E-3</c:v>
                </c:pt>
                <c:pt idx="304">
                  <c:v>1.061719606791911E-3</c:v>
                </c:pt>
                <c:pt idx="305">
                  <c:v>1.077978243229083E-3</c:v>
                </c:pt>
                <c:pt idx="306">
                  <c:v>1.0936167932040775E-3</c:v>
                </c:pt>
                <c:pt idx="307">
                  <c:v>1.122830439639344E-3</c:v>
                </c:pt>
                <c:pt idx="308">
                  <c:v>1.1499701266437512E-3</c:v>
                </c:pt>
                <c:pt idx="309">
                  <c:v>1.1625082431088174E-3</c:v>
                </c:pt>
                <c:pt idx="310">
                  <c:v>1.1744262725521537E-3</c:v>
                </c:pt>
                <c:pt idx="311">
                  <c:v>1.1857242151336322E-3</c:v>
                </c:pt>
                <c:pt idx="312">
                  <c:v>1.20625718507128E-3</c:v>
                </c:pt>
                <c:pt idx="313">
                  <c:v>1.2247151144428869E-3</c:v>
                </c:pt>
                <c:pt idx="314">
                  <c:v>1.2329126211962915E-3</c:v>
                </c:pt>
                <c:pt idx="315">
                  <c:v>1.2404900408480302E-3</c:v>
                </c:pt>
                <c:pt idx="316">
                  <c:v>1.2474473731582947E-3</c:v>
                </c:pt>
                <c:pt idx="317">
                  <c:v>1.2592994848237282E-3</c:v>
                </c:pt>
                <c:pt idx="318">
                  <c:v>1.2690758283451231E-3</c:v>
                </c:pt>
                <c:pt idx="319">
                  <c:v>1.2729327236282728E-3</c:v>
                </c:pt>
                <c:pt idx="320">
                  <c:v>1.2761695313301402E-3</c:v>
                </c:pt>
                <c:pt idx="321">
                  <c:v>1.2787862515306614E-3</c:v>
                </c:pt>
                <c:pt idx="322">
                  <c:v>1.2819572986622063E-3</c:v>
                </c:pt>
                <c:pt idx="323">
                  <c:v>1.2830522572393477E-3</c:v>
                </c:pt>
                <c:pt idx="324">
                  <c:v>1.2826723353054348E-3</c:v>
                </c:pt>
                <c:pt idx="325">
                  <c:v>1.2821913032112775E-3</c:v>
                </c:pt>
                <c:pt idx="326">
                  <c:v>1.2817129562492369E-3</c:v>
                </c:pt>
                <c:pt idx="327">
                  <c:v>1.2807697699734888E-3</c:v>
                </c:pt>
                <c:pt idx="328">
                  <c:v>1.279826421320962E-3</c:v>
                </c:pt>
                <c:pt idx="329">
                  <c:v>1.2793615008188652E-3</c:v>
                </c:pt>
                <c:pt idx="330">
                  <c:v>1.2788992655288212E-3</c:v>
                </c:pt>
                <c:pt idx="331">
                  <c:v>1.2784397154508298E-3</c:v>
                </c:pt>
                <c:pt idx="332">
                  <c:v>1.2775340998150142E-3</c:v>
                </c:pt>
                <c:pt idx="333">
                  <c:v>1.2766283678988799E-3</c:v>
                </c:pt>
                <c:pt idx="334">
                  <c:v>1.2761822441209603E-3</c:v>
                </c:pt>
                <c:pt idx="335">
                  <c:v>1.2757388057149655E-3</c:v>
                </c:pt>
                <c:pt idx="336">
                  <c:v>1.2752980524410873E-3</c:v>
                </c:pt>
                <c:pt idx="337">
                  <c:v>1.2744300084843729E-3</c:v>
                </c:pt>
                <c:pt idx="338">
                  <c:v>1.2735618921855263E-3</c:v>
                </c:pt>
                <c:pt idx="339">
                  <c:v>1.2731345652916559E-3</c:v>
                </c:pt>
                <c:pt idx="340">
                  <c:v>1.2727099236897743E-3</c:v>
                </c:pt>
                <c:pt idx="341">
                  <c:v>1.2722879672999454E-3</c:v>
                </c:pt>
                <c:pt idx="342">
                  <c:v>1.2714574959282743E-3</c:v>
                </c:pt>
                <c:pt idx="343">
                  <c:v>1.2706269944207094E-3</c:v>
                </c:pt>
                <c:pt idx="344">
                  <c:v>1.2702184643309522E-3</c:v>
                </c:pt>
                <c:pt idx="345">
                  <c:v>1.2698470572658493E-3</c:v>
                </c:pt>
                <c:pt idx="346">
                  <c:v>1.269650524235999E-3</c:v>
                </c:pt>
                <c:pt idx="347">
                  <c:v>1.2699596442722338E-3</c:v>
                </c:pt>
                <c:pt idx="348">
                  <c:v>1.2709575104352666E-3</c:v>
                </c:pt>
                <c:pt idx="349">
                  <c:v>1.2718075365647508E-3</c:v>
                </c:pt>
                <c:pt idx="350">
                  <c:v>1.2728668743822169E-3</c:v>
                </c:pt>
                <c:pt idx="351">
                  <c:v>1.2741355241274732E-3</c:v>
                </c:pt>
                <c:pt idx="352">
                  <c:v>1.2773750620720392E-3</c:v>
                </c:pt>
                <c:pt idx="353">
                  <c:v>1.2813032412672953E-3</c:v>
                </c:pt>
                <c:pt idx="354">
                  <c:v>1.2836184500919501E-3</c:v>
                </c:pt>
                <c:pt idx="355">
                  <c:v>1.286142970844395E-3</c:v>
                </c:pt>
                <c:pt idx="356">
                  <c:v>1.288876803364758E-3</c:v>
                </c:pt>
                <c:pt idx="357">
                  <c:v>1.295046833345026E-3</c:v>
                </c:pt>
                <c:pt idx="358">
                  <c:v>1.301905252084623E-3</c:v>
                </c:pt>
                <c:pt idx="359">
                  <c:v>1.3056856439241926E-3</c:v>
                </c:pt>
                <c:pt idx="360">
                  <c:v>1.3096753476116163E-3</c:v>
                </c:pt>
                <c:pt idx="361">
                  <c:v>1.3138743632268302E-3</c:v>
                </c:pt>
                <c:pt idx="362">
                  <c:v>1.3229749625942588E-3</c:v>
                </c:pt>
                <c:pt idx="363">
                  <c:v>1.332763544645843E-3</c:v>
                </c:pt>
                <c:pt idx="364">
                  <c:v>1.3380091198200716E-3</c:v>
                </c:pt>
                <c:pt idx="365">
                  <c:v>1.3434640068421544E-3</c:v>
                </c:pt>
                <c:pt idx="366">
                  <c:v>1.3491282059518994E-3</c:v>
                </c:pt>
                <c:pt idx="367">
                  <c:v>1.3622222361586722E-3</c:v>
                </c:pt>
                <c:pt idx="368">
                  <c:v>1.3782472921342048E-3</c:v>
                </c:pt>
                <c:pt idx="369">
                  <c:v>1.3877921077121158E-3</c:v>
                </c:pt>
                <c:pt idx="370">
                  <c:v>1.3982547495849929E-3</c:v>
                </c:pt>
                <c:pt idx="371">
                  <c:v>1.4096352179127081E-3</c:v>
                </c:pt>
                <c:pt idx="372">
                  <c:v>1.4354612998257466E-3</c:v>
                </c:pt>
                <c:pt idx="373">
                  <c:v>1.4643353569709916E-3</c:v>
                </c:pt>
                <c:pt idx="374">
                  <c:v>1.4803049586920025E-3</c:v>
                </c:pt>
                <c:pt idx="375">
                  <c:v>1.497192387427404E-3</c:v>
                </c:pt>
                <c:pt idx="376">
                  <c:v>1.5149976433370682E-3</c:v>
                </c:pt>
                <c:pt idx="377">
                  <c:v>1.5536742845601026E-3</c:v>
                </c:pt>
                <c:pt idx="378">
                  <c:v>1.5953969413562419E-3</c:v>
                </c:pt>
                <c:pt idx="379">
                  <c:v>1.6177913352155571E-3</c:v>
                </c:pt>
                <c:pt idx="380">
                  <c:v>1.6411035572083676E-3</c:v>
                </c:pt>
                <c:pt idx="381">
                  <c:v>1.6653336073346736E-3</c:v>
                </c:pt>
                <c:pt idx="382">
                  <c:v>1.7305103521558785E-3</c:v>
                </c:pt>
                <c:pt idx="383">
                  <c:v>1.8002512888415367E-3</c:v>
                </c:pt>
                <c:pt idx="384">
                  <c:v>1.8299883127248506E-3</c:v>
                </c:pt>
                <c:pt idx="385">
                  <c:v>1.860643166260445E-3</c:v>
                </c:pt>
                <c:pt idx="386">
                  <c:v>2.4290328014320295E-3</c:v>
                </c:pt>
                <c:pt idx="387">
                  <c:v>1.9924408822813433E-3</c:v>
                </c:pt>
                <c:pt idx="388">
                  <c:v>2.027684888075143E-3</c:v>
                </c:pt>
                <c:pt idx="389">
                  <c:v>2.0632033712697506E-3</c:v>
                </c:pt>
                <c:pt idx="390">
                  <c:v>2.0964229168640713E-3</c:v>
                </c:pt>
                <c:pt idx="391">
                  <c:v>2.1530672431335773E-3</c:v>
                </c:pt>
                <c:pt idx="392">
                  <c:v>2.1998781722665228E-3</c:v>
                </c:pt>
                <c:pt idx="393">
                  <c:v>2.2183862510960495E-3</c:v>
                </c:pt>
                <c:pt idx="394">
                  <c:v>2.2339520349579089E-3</c:v>
                </c:pt>
                <c:pt idx="395">
                  <c:v>2.246575523452421E-3</c:v>
                </c:pt>
                <c:pt idx="396">
                  <c:v>2.262029060755566E-3</c:v>
                </c:pt>
                <c:pt idx="397">
                  <c:v>2.2676465183213423E-3</c:v>
                </c:pt>
                <c:pt idx="398">
                  <c:v>2.2655585265418665E-3</c:v>
                </c:pt>
                <c:pt idx="399">
                  <c:v>2.2605282386756187E-3</c:v>
                </c:pt>
                <c:pt idx="400">
                  <c:v>2.252555654882471E-3</c:v>
                </c:pt>
                <c:pt idx="401">
                  <c:v>2.2268166085215313E-3</c:v>
                </c:pt>
                <c:pt idx="402">
                  <c:v>2.191242363878132E-3</c:v>
                </c:pt>
                <c:pt idx="403">
                  <c:v>2.1685583040476075E-3</c:v>
                </c:pt>
                <c:pt idx="404">
                  <c:v>2.1429319505283928E-3</c:v>
                </c:pt>
                <c:pt idx="405">
                  <c:v>2.1143633038800402E-3</c:v>
                </c:pt>
                <c:pt idx="406">
                  <c:v>2.047430013369933E-3</c:v>
                </c:pt>
                <c:pt idx="407">
                  <c:v>1.9706658007034861E-3</c:v>
                </c:pt>
                <c:pt idx="408">
                  <c:v>1.9273857001600447E-3</c:v>
                </c:pt>
                <c:pt idx="409">
                  <c:v>1.8811633117632454E-3</c:v>
                </c:pt>
                <c:pt idx="410">
                  <c:v>1.8329951507833897E-3</c:v>
                </c:pt>
                <c:pt idx="411">
                  <c:v>1.7447969143091768E-3</c:v>
                </c:pt>
                <c:pt idx="412">
                  <c:v>1.6667044221563287E-3</c:v>
                </c:pt>
                <c:pt idx="413">
                  <c:v>1.6327237278979112E-3</c:v>
                </c:pt>
                <c:pt idx="414">
                  <c:v>1.6017798269363226E-3</c:v>
                </c:pt>
                <c:pt idx="415">
                  <c:v>1.5738727185521384E-3</c:v>
                </c:pt>
                <c:pt idx="416">
                  <c:v>1.5281876266559635E-3</c:v>
                </c:pt>
                <c:pt idx="417">
                  <c:v>1.4926121970404438E-3</c:v>
                </c:pt>
                <c:pt idx="418">
                  <c:v>1.479889042270699E-3</c:v>
                </c:pt>
                <c:pt idx="419">
                  <c:v>1.4702026768009802E-3</c:v>
                </c:pt>
                <c:pt idx="420">
                  <c:v>1.4635531005513513E-3</c:v>
                </c:pt>
                <c:pt idx="421">
                  <c:v>1.4603825023140615E-3</c:v>
                </c:pt>
                <c:pt idx="422">
                  <c:v>1.4673226855155264E-3</c:v>
                </c:pt>
                <c:pt idx="423">
                  <c:v>1.4758570543271787E-3</c:v>
                </c:pt>
                <c:pt idx="424">
                  <c:v>1.4874282125187932E-3</c:v>
                </c:pt>
                <c:pt idx="425">
                  <c:v>1.5020361602502419E-3</c:v>
                </c:pt>
                <c:pt idx="426">
                  <c:v>1.5413812890319178E-3</c:v>
                </c:pt>
                <c:pt idx="427">
                  <c:v>1.5908358562466418E-3</c:v>
                </c:pt>
                <c:pt idx="428">
                  <c:v>1.6206277592711871E-3</c:v>
                </c:pt>
                <c:pt idx="429">
                  <c:v>1.6534564553527531E-3</c:v>
                </c:pt>
                <c:pt idx="430">
                  <c:v>1.6886204067834143E-3</c:v>
                </c:pt>
                <c:pt idx="431">
                  <c:v>1.7564518343782254E-3</c:v>
                </c:pt>
                <c:pt idx="432">
                  <c:v>1.820358002175837E-3</c:v>
                </c:pt>
                <c:pt idx="433">
                  <c:v>1.8503613084153159E-3</c:v>
                </c:pt>
                <c:pt idx="434">
                  <c:v>1.8791921769878428E-3</c:v>
                </c:pt>
                <c:pt idx="435">
                  <c:v>1.9068506077335456E-3</c:v>
                </c:pt>
                <c:pt idx="436">
                  <c:v>1.9582699930165148E-3</c:v>
                </c:pt>
                <c:pt idx="437">
                  <c:v>2.0057599461331677E-3</c:v>
                </c:pt>
                <c:pt idx="438">
                  <c:v>2.0275561833482669E-3</c:v>
                </c:pt>
                <c:pt idx="439">
                  <c:v>2.0481799813776291E-3</c:v>
                </c:pt>
                <c:pt idx="440">
                  <c:v>2.0676313397416379E-3</c:v>
                </c:pt>
                <c:pt idx="441">
                  <c:v>2.1026382040023606E-3</c:v>
                </c:pt>
                <c:pt idx="442">
                  <c:v>2.1337123738263131E-3</c:v>
                </c:pt>
                <c:pt idx="443">
                  <c:v>2.1473015317052813E-3</c:v>
                </c:pt>
                <c:pt idx="444">
                  <c:v>2.1597182490395994E-3</c:v>
                </c:pt>
                <c:pt idx="445">
                  <c:v>2.1709625257493315E-3</c:v>
                </c:pt>
                <c:pt idx="446">
                  <c:v>2.1895562600082741E-3</c:v>
                </c:pt>
                <c:pt idx="447">
                  <c:v>2.204215224024253E-3</c:v>
                </c:pt>
                <c:pt idx="448">
                  <c:v>2.2095972959323973E-3</c:v>
                </c:pt>
                <c:pt idx="449">
                  <c:v>2.2138069268162752E-3</c:v>
                </c:pt>
                <c:pt idx="450">
                  <c:v>2.2168441164360786E-3</c:v>
                </c:pt>
                <c:pt idx="451">
                  <c:v>2.2190240361741331E-3</c:v>
                </c:pt>
                <c:pt idx="452">
                  <c:v>2.217468678757939E-3</c:v>
                </c:pt>
                <c:pt idx="453">
                  <c:v>2.2158449580000905E-3</c:v>
                </c:pt>
                <c:pt idx="454">
                  <c:v>2.2142500917610164E-3</c:v>
                </c:pt>
                <c:pt idx="455">
                  <c:v>2.2126840800407166E-3</c:v>
                </c:pt>
                <c:pt idx="456">
                  <c:v>2.2096618009470603E-3</c:v>
                </c:pt>
                <c:pt idx="457">
                  <c:v>2.2067085783472606E-3</c:v>
                </c:pt>
                <c:pt idx="458">
                  <c:v>2.2052868391408964E-3</c:v>
                </c:pt>
                <c:pt idx="459">
                  <c:v>2.2038939544533065E-3</c:v>
                </c:pt>
                <c:pt idx="460">
                  <c:v>2.1999441691544774E-3</c:v>
                </c:pt>
                <c:pt idx="461">
                  <c:v>2.1961425913019639E-3</c:v>
                </c:pt>
                <c:pt idx="462">
                  <c:v>2.1949516882457942E-3</c:v>
                </c:pt>
                <c:pt idx="463">
                  <c:v>2.1937896397083989E-3</c:v>
                </c:pt>
                <c:pt idx="464">
                  <c:v>2.1915750658241251E-3</c:v>
                </c:pt>
                <c:pt idx="465">
                  <c:v>2.1894299905866887E-3</c:v>
                </c:pt>
                <c:pt idx="466">
                  <c:v>2.188412214563229E-3</c:v>
                </c:pt>
                <c:pt idx="467">
                  <c:v>2.1874232930585435E-3</c:v>
                </c:pt>
                <c:pt idx="468">
                  <c:v>2.1864632260726324E-3</c:v>
                </c:pt>
                <c:pt idx="469">
                  <c:v>2.184227209360845E-3</c:v>
                </c:pt>
                <c:pt idx="470">
                  <c:v>2.1822360096557247E-3</c:v>
                </c:pt>
                <c:pt idx="471">
                  <c:v>2.1822908756075066E-3</c:v>
                </c:pt>
                <c:pt idx="472">
                  <c:v>2.1832164018231737E-3</c:v>
                </c:pt>
                <c:pt idx="473">
                  <c:v>2.1879829534565687E-3</c:v>
                </c:pt>
                <c:pt idx="474">
                  <c:v>2.1956251108434799E-3</c:v>
                </c:pt>
                <c:pt idx="475">
                  <c:v>2.2009039390979979E-3</c:v>
                </c:pt>
                <c:pt idx="476">
                  <c:v>2.2070534280160814E-3</c:v>
                </c:pt>
                <c:pt idx="477">
                  <c:v>2.2140735772779863E-3</c:v>
                </c:pt>
                <c:pt idx="478">
                  <c:v>2.2310299043404314E-3</c:v>
                </c:pt>
                <c:pt idx="479">
                  <c:v>2.2508607813609416E-3</c:v>
                </c:pt>
                <c:pt idx="480">
                  <c:v>2.2622342343403545E-3</c:v>
                </c:pt>
                <c:pt idx="481">
                  <c:v>2.2744783483830133E-3</c:v>
                </c:pt>
                <c:pt idx="482">
                  <c:v>2.2875931232491098E-3</c:v>
                </c:pt>
                <c:pt idx="483">
                  <c:v>2.3167397859058525E-3</c:v>
                </c:pt>
                <c:pt idx="484">
                  <c:v>2.3487588354242916E-3</c:v>
                </c:pt>
                <c:pt idx="485">
                  <c:v>2.3662269172053385E-3</c:v>
                </c:pt>
                <c:pt idx="486">
                  <c:v>2.3845656606091836E-3</c:v>
                </c:pt>
                <c:pt idx="487">
                  <c:v>2.4037750658756352E-3</c:v>
                </c:pt>
                <c:pt idx="488">
                  <c:v>2.4451126896263276E-3</c:v>
                </c:pt>
                <c:pt idx="489">
                  <c:v>2.4893193078856513E-3</c:v>
                </c:pt>
                <c:pt idx="490">
                  <c:v>2.5128820245434724E-3</c:v>
                </c:pt>
                <c:pt idx="491">
                  <c:v>2.5373154039431967E-3</c:v>
                </c:pt>
                <c:pt idx="492">
                  <c:v>2.5626194462446961E-3</c:v>
                </c:pt>
                <c:pt idx="493">
                  <c:v>2.6136982764768391E-3</c:v>
                </c:pt>
                <c:pt idx="494">
                  <c:v>2.66246821461813E-3</c:v>
                </c:pt>
                <c:pt idx="495">
                  <c:v>2.6855910646528258E-3</c:v>
                </c:pt>
                <c:pt idx="496">
                  <c:v>2.7079509504357446E-3</c:v>
                </c:pt>
                <c:pt idx="497">
                  <c:v>2.7295478720468225E-3</c:v>
                </c:pt>
                <c:pt idx="498">
                  <c:v>2.770219816099484E-3</c:v>
                </c:pt>
                <c:pt idx="499">
                  <c:v>2.8083059116568165E-3</c:v>
                </c:pt>
                <c:pt idx="500">
                  <c:v>2.8260880093711194E-3</c:v>
                </c:pt>
                <c:pt idx="501">
                  <c:v>2.8431071420342846E-3</c:v>
                </c:pt>
                <c:pt idx="502">
                  <c:v>2.8593633094065041E-3</c:v>
                </c:pt>
                <c:pt idx="503">
                  <c:v>2.8893556156717182E-3</c:v>
                </c:pt>
                <c:pt idx="504">
                  <c:v>2.9167583247069473E-3</c:v>
                </c:pt>
                <c:pt idx="505">
                  <c:v>2.9291996645852691E-3</c:v>
                </c:pt>
                <c:pt idx="506">
                  <c:v>2.9408780386930289E-3</c:v>
                </c:pt>
                <c:pt idx="507">
                  <c:v>2.9517934468703544E-3</c:v>
                </c:pt>
                <c:pt idx="508">
                  <c:v>2.9711055638692585E-3</c:v>
                </c:pt>
                <c:pt idx="509">
                  <c:v>2.9878254200355059E-3</c:v>
                </c:pt>
                <c:pt idx="510">
                  <c:v>2.9949259980810439E-3</c:v>
                </c:pt>
                <c:pt idx="511">
                  <c:v>3.0012636100362755E-3</c:v>
                </c:pt>
                <c:pt idx="512">
                  <c:v>3.0068382556613926E-3</c:v>
                </c:pt>
                <c:pt idx="513">
                  <c:v>3.0154695842465884E-3</c:v>
                </c:pt>
                <c:pt idx="514">
                  <c:v>3.0216382487324722E-3</c:v>
                </c:pt>
                <c:pt idx="515">
                  <c:v>3.0241845023404323E-3</c:v>
                </c:pt>
                <c:pt idx="516">
                  <c:v>3.0267542290918215E-3</c:v>
                </c:pt>
                <c:pt idx="517">
                  <c:v>3.0293474290665756E-3</c:v>
                </c:pt>
                <c:pt idx="518">
                  <c:v>3.0481570767459942E-3</c:v>
                </c:pt>
                <c:pt idx="519">
                  <c:v>3.0681169091728577E-3</c:v>
                </c:pt>
                <c:pt idx="520">
                  <c:v>3.0892269264271022E-3</c:v>
                </c:pt>
                <c:pt idx="521">
                  <c:v>3.1114871288284718E-3</c:v>
                </c:pt>
                <c:pt idx="522">
                  <c:v>3.1348975164569026E-3</c:v>
                </c:pt>
                <c:pt idx="523">
                  <c:v>3.1594580896321389E-3</c:v>
                </c:pt>
                <c:pt idx="524">
                  <c:v>3.1851688485939889E-3</c:v>
                </c:pt>
                <c:pt idx="525">
                  <c:v>3.2120297935023245E-3</c:v>
                </c:pt>
                <c:pt idx="526">
                  <c:v>3.2400409246768902E-3</c:v>
                </c:pt>
                <c:pt idx="527">
                  <c:v>3.269202242357494E-3</c:v>
                </c:pt>
                <c:pt idx="528">
                  <c:v>3.2995137468638802E-3</c:v>
                </c:pt>
                <c:pt idx="529">
                  <c:v>3.330975438435857E-3</c:v>
                </c:pt>
                <c:pt idx="530">
                  <c:v>3.3635873174731046E-3</c:v>
                </c:pt>
                <c:pt idx="531">
                  <c:v>3.3973493842154312E-3</c:v>
                </c:pt>
                <c:pt idx="532">
                  <c:v>3.4322616389825811E-3</c:v>
                </c:pt>
                <c:pt idx="533">
                  <c:v>3.4683240820143624E-3</c:v>
                </c:pt>
                <c:pt idx="534">
                  <c:v>3.5055367138703275E-3</c:v>
                </c:pt>
                <c:pt idx="535">
                  <c:v>3.5438995347103486E-3</c:v>
                </c:pt>
                <c:pt idx="536">
                  <c:v>3.583412545093978E-3</c:v>
                </c:pt>
                <c:pt idx="537">
                  <c:v>3.6240757452610239E-3</c:v>
                </c:pt>
                <c:pt idx="538">
                  <c:v>3.6658891356111667E-3</c:v>
                </c:pt>
                <c:pt idx="539">
                  <c:v>3.7088527165440865E-3</c:v>
                </c:pt>
                <c:pt idx="540">
                  <c:v>3.7529664885393998E-3</c:v>
                </c:pt>
                <c:pt idx="541">
                  <c:v>3.7982304519967869E-3</c:v>
                </c:pt>
                <c:pt idx="542">
                  <c:v>3.8615766384331174E-3</c:v>
                </c:pt>
                <c:pt idx="543">
                  <c:v>3.9060602333940153E-3</c:v>
                </c:pt>
                <c:pt idx="544">
                  <c:v>3.9551044712915484E-3</c:v>
                </c:pt>
                <c:pt idx="545">
                  <c:v>4.0052989415251261E-3</c:v>
                </c:pt>
                <c:pt idx="546">
                  <c:v>4.0566436455602428E-3</c:v>
                </c:pt>
                <c:pt idx="547">
                  <c:v>4.1091385848357476E-3</c:v>
                </c:pt>
                <c:pt idx="548">
                  <c:v>4.1627837608437801E-3</c:v>
                </c:pt>
                <c:pt idx="549">
                  <c:v>4.2175791751830616E-3</c:v>
                </c:pt>
                <c:pt idx="550">
                  <c:v>4.2735248293990225E-3</c:v>
                </c:pt>
                <c:pt idx="551">
                  <c:v>4.3306207250637385E-3</c:v>
                </c:pt>
                <c:pt idx="552">
                  <c:v>4.3888668638825123E-3</c:v>
                </c:pt>
                <c:pt idx="553">
                  <c:v>4.4482632475340012E-3</c:v>
                </c:pt>
                <c:pt idx="554">
                  <c:v>4.5088098776435714E-3</c:v>
                </c:pt>
                <c:pt idx="555">
                  <c:v>4.5972338606325991E-3</c:v>
                </c:pt>
                <c:pt idx="556">
                  <c:v>4.6333538844312017E-3</c:v>
                </c:pt>
                <c:pt idx="557">
                  <c:v>4.6973512647063842E-3</c:v>
                </c:pt>
                <c:pt idx="558">
                  <c:v>4.7624988986072481E-3</c:v>
                </c:pt>
                <c:pt idx="559">
                  <c:v>4.8287967881055494E-3</c:v>
                </c:pt>
                <c:pt idx="560">
                  <c:v>4.896244935013172E-3</c:v>
                </c:pt>
                <c:pt idx="561">
                  <c:v>4.9648433413018722E-3</c:v>
                </c:pt>
                <c:pt idx="562">
                  <c:v>5.0345920089700513E-3</c:v>
                </c:pt>
                <c:pt idx="563">
                  <c:v>5.1054909400161108E-3</c:v>
                </c:pt>
                <c:pt idx="564">
                  <c:v>5.1775401364917428E-3</c:v>
                </c:pt>
                <c:pt idx="565">
                  <c:v>5.2507396004219942E-3</c:v>
                </c:pt>
                <c:pt idx="566">
                  <c:v>5.3250893339651384E-3</c:v>
                </c:pt>
                <c:pt idx="567">
                  <c:v>5.400589339199513E-3</c:v>
                </c:pt>
                <c:pt idx="568">
                  <c:v>5.4772396183366823E-3</c:v>
                </c:pt>
                <c:pt idx="569">
                  <c:v>5.5546281628959804E-3</c:v>
                </c:pt>
                <c:pt idx="570">
                  <c:v>5.6319043710484351E-3</c:v>
                </c:pt>
                <c:pt idx="571">
                  <c:v>5.7090283705019118E-3</c:v>
                </c:pt>
                <c:pt idx="572">
                  <c:v>5.786000160989957E-3</c:v>
                </c:pt>
                <c:pt idx="573">
                  <c:v>5.862819742166181E-3</c:v>
                </c:pt>
                <c:pt idx="574">
                  <c:v>5.939487113817421E-3</c:v>
                </c:pt>
                <c:pt idx="575">
                  <c:v>6.0160022755972875E-3</c:v>
                </c:pt>
                <c:pt idx="576">
                  <c:v>6.0923652272393269E-3</c:v>
                </c:pt>
                <c:pt idx="577">
                  <c:v>6.1685759684504404E-3</c:v>
                </c:pt>
                <c:pt idx="578">
                  <c:v>6.2446344989108837E-3</c:v>
                </c:pt>
                <c:pt idx="579">
                  <c:v>6.3205408183808487E-3</c:v>
                </c:pt>
                <c:pt idx="580">
                  <c:v>6.3962949265139457E-3</c:v>
                </c:pt>
                <c:pt idx="581">
                  <c:v>6.4718968230437213E-3</c:v>
                </c:pt>
                <c:pt idx="582">
                  <c:v>6.5473465077303672E-3</c:v>
                </c:pt>
                <c:pt idx="583">
                  <c:v>6.6226439802274939E-3</c:v>
                </c:pt>
                <c:pt idx="584">
                  <c:v>6.6977892402686479E-3</c:v>
                </c:pt>
                <c:pt idx="585">
                  <c:v>6.7727822875873755E-3</c:v>
                </c:pt>
                <c:pt idx="586">
                  <c:v>6.8476231218639327E-3</c:v>
                </c:pt>
                <c:pt idx="587">
                  <c:v>6.9223117428052205E-3</c:v>
                </c:pt>
                <c:pt idx="588">
                  <c:v>6.9968481501980762E-3</c:v>
                </c:pt>
                <c:pt idx="589">
                  <c:v>7.0712323436694646E-3</c:v>
                </c:pt>
                <c:pt idx="590">
                  <c:v>7.1454643229795778E-3</c:v>
                </c:pt>
                <c:pt idx="591">
                  <c:v>7.2195440878619621E-3</c:v>
                </c:pt>
                <c:pt idx="592">
                  <c:v>7.2934716379968734E-3</c:v>
                </c:pt>
                <c:pt idx="593">
                  <c:v>7.3672469731711487E-3</c:v>
                </c:pt>
                <c:pt idx="594">
                  <c:v>7.4670503832541257E-3</c:v>
                </c:pt>
                <c:pt idx="595">
                  <c:v>7.5351480429652895E-3</c:v>
                </c:pt>
                <c:pt idx="596">
                  <c:v>7.6084201588599853E-3</c:v>
                </c:pt>
                <c:pt idx="597">
                  <c:v>7.6815400352536756E-3</c:v>
                </c:pt>
                <c:pt idx="598">
                  <c:v>7.7545076718266159E-3</c:v>
                </c:pt>
                <c:pt idx="599">
                  <c:v>7.8273230688985507E-3</c:v>
                </c:pt>
                <c:pt idx="600">
                  <c:v>7.8999862260697995E-3</c:v>
                </c:pt>
                <c:pt idx="601">
                  <c:v>7.9724971433403624E-3</c:v>
                </c:pt>
                <c:pt idx="602">
                  <c:v>8.0448558205503673E-3</c:v>
                </c:pt>
                <c:pt idx="603">
                  <c:v>8.1170622576998142E-3</c:v>
                </c:pt>
                <c:pt idx="604">
                  <c:v>8.1891164547087669E-3</c:v>
                </c:pt>
                <c:pt idx="605">
                  <c:v>8.2610184114173535E-3</c:v>
                </c:pt>
                <c:pt idx="606">
                  <c:v>8.3327681277456378E-3</c:v>
                </c:pt>
                <c:pt idx="607">
                  <c:v>8.4043656036136838E-3</c:v>
                </c:pt>
                <c:pt idx="608">
                  <c:v>8.4758108390214915E-3</c:v>
                </c:pt>
                <c:pt idx="609">
                  <c:v>8.5471038336493166E-3</c:v>
                </c:pt>
                <c:pt idx="610">
                  <c:v>8.6385425547241823E-3</c:v>
                </c:pt>
                <c:pt idx="611">
                  <c:v>8.6892331008048274E-3</c:v>
                </c:pt>
                <c:pt idx="612">
                  <c:v>8.7600693730127688E-3</c:v>
                </c:pt>
                <c:pt idx="613">
                  <c:v>8.8307534042808555E-3</c:v>
                </c:pt>
                <c:pt idx="614">
                  <c:v>8.9012851943692795E-3</c:v>
                </c:pt>
                <c:pt idx="615">
                  <c:v>8.9716647433579766E-3</c:v>
                </c:pt>
                <c:pt idx="616">
                  <c:v>9.0418920510870748E-3</c:v>
                </c:pt>
                <c:pt idx="617">
                  <c:v>9.1119671173967021E-3</c:v>
                </c:pt>
                <c:pt idx="618">
                  <c:v>9.1818899422868583E-3</c:v>
                </c:pt>
                <c:pt idx="619">
                  <c:v>9.2516605256776074E-3</c:v>
                </c:pt>
                <c:pt idx="620">
                  <c:v>9.3212788674090774E-3</c:v>
                </c:pt>
                <c:pt idx="621">
                  <c:v>9.3906912599628356E-3</c:v>
                </c:pt>
                <c:pt idx="622">
                  <c:v>9.4598275030932655E-3</c:v>
                </c:pt>
                <c:pt idx="623">
                  <c:v>9.5286871737787493E-3</c:v>
                </c:pt>
                <c:pt idx="624">
                  <c:v>9.5972702717794789E-3</c:v>
                </c:pt>
                <c:pt idx="625">
                  <c:v>9.6655767968556461E-3</c:v>
                </c:pt>
                <c:pt idx="626">
                  <c:v>9.7336067490871869E-3</c:v>
                </c:pt>
                <c:pt idx="627">
                  <c:v>9.8013601280744211E-3</c:v>
                </c:pt>
                <c:pt idx="628">
                  <c:v>9.8688369336574766E-3</c:v>
                </c:pt>
                <c:pt idx="629">
                  <c:v>9.9360371659162894E-3</c:v>
                </c:pt>
                <c:pt idx="630">
                  <c:v>1.0002960824531115E-2</c:v>
                </c:pt>
                <c:pt idx="631">
                  <c:v>1.0069607909422018E-2</c:v>
                </c:pt>
                <c:pt idx="632">
                  <c:v>1.0135978420269254E-2</c:v>
                </c:pt>
                <c:pt idx="633">
                  <c:v>1.0202072357152758E-2</c:v>
                </c:pt>
                <c:pt idx="634">
                  <c:v>1.0267889719832723E-2</c:v>
                </c:pt>
                <c:pt idx="635">
                  <c:v>1.0333430508069341E-2</c:v>
                </c:pt>
                <c:pt idx="636">
                  <c:v>1.0398694721782675E-2</c:v>
                </c:pt>
                <c:pt idx="637">
                  <c:v>1.0463682360812854E-2</c:v>
                </c:pt>
                <c:pt idx="638">
                  <c:v>1.0528393425000004E-2</c:v>
                </c:pt>
                <c:pt idx="639">
                  <c:v>1.0592827914264191E-2</c:v>
                </c:pt>
                <c:pt idx="640">
                  <c:v>1.065698582828567E-2</c:v>
                </c:pt>
                <c:pt idx="641">
                  <c:v>1.0720867167144377E-2</c:v>
                </c:pt>
                <c:pt idx="642">
                  <c:v>1.0784471930440631E-2</c:v>
                </c:pt>
                <c:pt idx="643">
                  <c:v>1.0847800118334305E-2</c:v>
                </c:pt>
                <c:pt idx="644">
                  <c:v>1.0910851730425719E-2</c:v>
                </c:pt>
                <c:pt idx="645">
                  <c:v>1.0973626766714872E-2</c:v>
                </c:pt>
                <c:pt idx="646">
                  <c:v>1.1049650636314468E-2</c:v>
                </c:pt>
                <c:pt idx="647">
                  <c:v>1.1107213373930946E-2</c:v>
                </c:pt>
                <c:pt idx="648">
                  <c:v>1.1169119170819641E-2</c:v>
                </c:pt>
                <c:pt idx="649">
                  <c:v>1.1230748391346523E-2</c:v>
                </c:pt>
                <c:pt idx="650">
                  <c:v>1.1292101035111912E-2</c:v>
                </c:pt>
                <c:pt idx="651">
                  <c:v>1.1353177102195744E-2</c:v>
                </c:pt>
                <c:pt idx="652">
                  <c:v>1.1413976592438146E-2</c:v>
                </c:pt>
                <c:pt idx="653">
                  <c:v>1.1474499505599312E-2</c:v>
                </c:pt>
                <c:pt idx="654">
                  <c:v>1.1534745841679239E-2</c:v>
                </c:pt>
                <c:pt idx="655">
                  <c:v>1.1594715600358185E-2</c:v>
                </c:pt>
                <c:pt idx="656">
                  <c:v>1.165440878163615E-2</c:v>
                </c:pt>
                <c:pt idx="657">
                  <c:v>1.171382538535326E-2</c:v>
                </c:pt>
                <c:pt idx="658">
                  <c:v>1.1772965411429581E-2</c:v>
                </c:pt>
                <c:pt idx="659">
                  <c:v>1.1831828859465432E-2</c:v>
                </c:pt>
                <c:pt idx="660">
                  <c:v>1.1890415729700621E-2</c:v>
                </c:pt>
                <c:pt idx="661">
                  <c:v>1.1965335305124114E-2</c:v>
                </c:pt>
                <c:pt idx="662">
                  <c:v>1.2023289996569986E-2</c:v>
                </c:pt>
                <c:pt idx="663">
                  <c:v>1.2093897572595935E-2</c:v>
                </c:pt>
                <c:pt idx="664">
                  <c:v>1.2138369644061342E-2</c:v>
                </c:pt>
                <c:pt idx="665">
                  <c:v>1.2195494599787082E-2</c:v>
                </c:pt>
                <c:pt idx="666">
                  <c:v>1.2252342976672992E-2</c:v>
                </c:pt>
                <c:pt idx="667">
                  <c:v>1.2308914774639135E-2</c:v>
                </c:pt>
                <c:pt idx="668">
                  <c:v>1.2365209993525639E-2</c:v>
                </c:pt>
                <c:pt idx="669">
                  <c:v>1.2421228633172632E-2</c:v>
                </c:pt>
                <c:pt idx="670">
                  <c:v>1.2476970693580114E-2</c:v>
                </c:pt>
                <c:pt idx="671">
                  <c:v>1.2532436174428341E-2</c:v>
                </c:pt>
                <c:pt idx="672">
                  <c:v>1.2587625867084284E-2</c:v>
                </c:pt>
                <c:pt idx="673">
                  <c:v>1.2642671147817808E-2</c:v>
                </c:pt>
                <c:pt idx="674">
                  <c:v>1.269767252750853E-2</c:v>
                </c:pt>
                <c:pt idx="675">
                  <c:v>1.2752630005996579E-2</c:v>
                </c:pt>
                <c:pt idx="676">
                  <c:v>1.2807543583281955E-2</c:v>
                </c:pt>
                <c:pt idx="677">
                  <c:v>1.2862413259364658E-2</c:v>
                </c:pt>
                <c:pt idx="678">
                  <c:v>1.2917239034244687E-2</c:v>
                </c:pt>
                <c:pt idx="679">
                  <c:v>1.2972020907922044E-2</c:v>
                </c:pt>
                <c:pt idx="680">
                  <c:v>1.3026758880316791E-2</c:v>
                </c:pt>
                <c:pt idx="681">
                  <c:v>1.3081452951428929E-2</c:v>
                </c:pt>
                <c:pt idx="682">
                  <c:v>1.3136103121258458E-2</c:v>
                </c:pt>
                <c:pt idx="683">
                  <c:v>1.3190709389805377E-2</c:v>
                </c:pt>
                <c:pt idx="684">
                  <c:v>1.3245271757069688E-2</c:v>
                </c:pt>
                <c:pt idx="685">
                  <c:v>1.3299790222811581E-2</c:v>
                </c:pt>
                <c:pt idx="686">
                  <c:v>1.33542647873508E-2</c:v>
                </c:pt>
                <c:pt idx="687">
                  <c:v>1.3408695450447539E-2</c:v>
                </c:pt>
                <c:pt idx="688">
                  <c:v>1.346308221202186E-2</c:v>
                </c:pt>
                <c:pt idx="689">
                  <c:v>1.3517425072313571E-2</c:v>
                </c:pt>
                <c:pt idx="690">
                  <c:v>1.357172403100293E-2</c:v>
                </c:pt>
                <c:pt idx="691">
                  <c:v>1.3625979088409679E-2</c:v>
                </c:pt>
                <c:pt idx="692">
                  <c:v>1.3680190244134138E-2</c:v>
                </c:pt>
                <c:pt idx="693">
                  <c:v>1.3734357498416117E-2</c:v>
                </c:pt>
                <c:pt idx="694">
                  <c:v>1.3788480851175677E-2</c:v>
                </c:pt>
                <c:pt idx="695">
                  <c:v>1.3842560302412821E-2</c:v>
                </c:pt>
                <c:pt idx="696">
                  <c:v>1.3896595852047611E-2</c:v>
                </c:pt>
                <c:pt idx="697">
                  <c:v>1.3962963145108809E-2</c:v>
                </c:pt>
                <c:pt idx="698">
                  <c:v>1.4016907772214093E-2</c:v>
                </c:pt>
                <c:pt idx="699">
                  <c:v>1.405843909133786E-2</c:v>
                </c:pt>
                <c:pt idx="700">
                  <c:v>1.41122990344833E-2</c:v>
                </c:pt>
                <c:pt idx="701">
                  <c:v>1.416611507594645E-2</c:v>
                </c:pt>
                <c:pt idx="702">
                  <c:v>1.4219887215727312E-2</c:v>
                </c:pt>
                <c:pt idx="703">
                  <c:v>1.4273615453825883E-2</c:v>
                </c:pt>
                <c:pt idx="704">
                  <c:v>1.4327299790162229E-2</c:v>
                </c:pt>
                <c:pt idx="705">
                  <c:v>1.4380940224736349E-2</c:v>
                </c:pt>
                <c:pt idx="706">
                  <c:v>1.443453675762818E-2</c:v>
                </c:pt>
                <c:pt idx="707">
                  <c:v>1.4488089388597913E-2</c:v>
                </c:pt>
                <c:pt idx="708">
                  <c:v>1.4541598117885357E-2</c:v>
                </c:pt>
                <c:pt idx="709">
                  <c:v>1.4595062945250703E-2</c:v>
                </c:pt>
                <c:pt idx="710">
                  <c:v>1.4648483870773887E-2</c:v>
                </c:pt>
                <c:pt idx="711">
                  <c:v>1.4718305857190472E-2</c:v>
                </c:pt>
                <c:pt idx="712">
                  <c:v>1.4755194016213835E-2</c:v>
                </c:pt>
                <c:pt idx="713">
                  <c:v>1.4808483236210535E-2</c:v>
                </c:pt>
                <c:pt idx="714">
                  <c:v>1.48617285542052E-2</c:v>
                </c:pt>
                <c:pt idx="715">
                  <c:v>1.4914929970197832E-2</c:v>
                </c:pt>
                <c:pt idx="716">
                  <c:v>1.496808748418843E-2</c:v>
                </c:pt>
                <c:pt idx="717">
                  <c:v>1.5021201096336867E-2</c:v>
                </c:pt>
                <c:pt idx="718">
                  <c:v>1.5074270806403334E-2</c:v>
                </c:pt>
                <c:pt idx="719">
                  <c:v>1.5127296614467767E-2</c:v>
                </c:pt>
                <c:pt idx="720">
                  <c:v>1.518027852045023E-2</c:v>
                </c:pt>
                <c:pt idx="721">
                  <c:v>1.5233216524430659E-2</c:v>
                </c:pt>
                <c:pt idx="722">
                  <c:v>1.5286110626169247E-2</c:v>
                </c:pt>
                <c:pt idx="723">
                  <c:v>1.5338960825985737E-2</c:v>
                </c:pt>
                <c:pt idx="724">
                  <c:v>1.5391767123640321E-2</c:v>
                </c:pt>
                <c:pt idx="725">
                  <c:v>1.5444443588270573E-2</c:v>
                </c:pt>
                <c:pt idx="726">
                  <c:v>1.5496877900922357E-2</c:v>
                </c:pt>
                <c:pt idx="727">
                  <c:v>1.5549069384697134E-2</c:v>
                </c:pt>
                <c:pt idx="728">
                  <c:v>1.5601018039674841E-2</c:v>
                </c:pt>
                <c:pt idx="729">
                  <c:v>1.5652723865535734E-2</c:v>
                </c:pt>
                <c:pt idx="730">
                  <c:v>1.5704186862359748E-2</c:v>
                </c:pt>
                <c:pt idx="731">
                  <c:v>1.5755407029987012E-2</c:v>
                </c:pt>
                <c:pt idx="732">
                  <c:v>1.5806384368177717E-2</c:v>
                </c:pt>
                <c:pt idx="733">
                  <c:v>1.58571188770118E-2</c:v>
                </c:pt>
                <c:pt idx="734">
                  <c:v>1.5907610556249452E-2</c:v>
                </c:pt>
                <c:pt idx="735">
                  <c:v>1.5957859406050545E-2</c:v>
                </c:pt>
                <c:pt idx="736">
                  <c:v>1.6007865425935464E-2</c:v>
                </c:pt>
                <c:pt idx="737">
                  <c:v>1.6057628616064079E-2</c:v>
                </c:pt>
                <c:pt idx="738">
                  <c:v>1.6107148976116648E-2</c:v>
                </c:pt>
                <c:pt idx="739">
                  <c:v>1.6156426506332977E-2</c:v>
                </c:pt>
                <c:pt idx="740">
                  <c:v>1.6205461206393323E-2</c:v>
                </c:pt>
                <c:pt idx="741">
                  <c:v>1.6254253076137815E-2</c:v>
                </c:pt>
                <c:pt idx="742">
                  <c:v>1.6302802115646386E-2</c:v>
                </c:pt>
                <c:pt idx="743">
                  <c:v>1.6351108324599295E-2</c:v>
                </c:pt>
                <c:pt idx="744">
                  <c:v>1.6399171703156412E-2</c:v>
                </c:pt>
                <c:pt idx="745">
                  <c:v>1.644699225107793E-2</c:v>
                </c:pt>
                <c:pt idx="746">
                  <c:v>1.6494569968283912E-2</c:v>
                </c:pt>
                <c:pt idx="747">
                  <c:v>1.654190485453455E-2</c:v>
                </c:pt>
                <c:pt idx="748">
                  <c:v>1.6588996909989717E-2</c:v>
                </c:pt>
                <c:pt idx="749">
                  <c:v>1.6635846134409604E-2</c:v>
                </c:pt>
                <c:pt idx="750">
                  <c:v>1.6682452527714275E-2</c:v>
                </c:pt>
                <c:pt idx="751">
                  <c:v>1.6728816089823795E-2</c:v>
                </c:pt>
                <c:pt idx="752">
                  <c:v>1.6774936820738162E-2</c:v>
                </c:pt>
                <c:pt idx="753">
                  <c:v>1.6820814720137633E-2</c:v>
                </c:pt>
                <c:pt idx="754">
                  <c:v>1.6866449788182081E-2</c:v>
                </c:pt>
                <c:pt idx="755">
                  <c:v>1.691184202455176E-2</c:v>
                </c:pt>
                <c:pt idx="756">
                  <c:v>1.6956991429326607E-2</c:v>
                </c:pt>
                <c:pt idx="757">
                  <c:v>1.7001898002266813E-2</c:v>
                </c:pt>
                <c:pt idx="758">
                  <c:v>1.7046561743452315E-2</c:v>
                </c:pt>
                <c:pt idx="759">
                  <c:v>1.7090982652723241E-2</c:v>
                </c:pt>
                <c:pt idx="760">
                  <c:v>1.7135160729919718E-2</c:v>
                </c:pt>
                <c:pt idx="761">
                  <c:v>1.7179095974961811E-2</c:v>
                </c:pt>
                <c:pt idx="762">
                  <c:v>1.7222788387929455E-2</c:v>
                </c:pt>
                <c:pt idx="763">
                  <c:v>1.7266237968502907E-2</c:v>
                </c:pt>
                <c:pt idx="764">
                  <c:v>1.7309444716682165E-2</c:v>
                </c:pt>
                <c:pt idx="765">
                  <c:v>1.736630972962061E-2</c:v>
                </c:pt>
                <c:pt idx="766">
                  <c:v>1.7395129715618296E-2</c:v>
                </c:pt>
                <c:pt idx="767">
                  <c:v>1.7437607966215296E-2</c:v>
                </c:pt>
                <c:pt idx="768">
                  <c:v>1.7479843384098359E-2</c:v>
                </c:pt>
                <c:pt idx="769">
                  <c:v>1.7521835969107613E-2</c:v>
                </c:pt>
                <c:pt idx="770">
                  <c:v>1.7563585721243058E-2</c:v>
                </c:pt>
                <c:pt idx="771">
                  <c:v>1.7605092640424758E-2</c:v>
                </c:pt>
                <c:pt idx="772">
                  <c:v>1.764635672649284E-2</c:v>
                </c:pt>
                <c:pt idx="773">
                  <c:v>1.7687377979447305E-2</c:v>
                </c:pt>
                <c:pt idx="774">
                  <c:v>1.7728156399128281E-2</c:v>
                </c:pt>
                <c:pt idx="775">
                  <c:v>1.7768691985535767E-2</c:v>
                </c:pt>
                <c:pt idx="776">
                  <c:v>1.7808984738589828E-2</c:v>
                </c:pt>
                <c:pt idx="777">
                  <c:v>1.7849041098818574E-2</c:v>
                </c:pt>
                <c:pt idx="778">
                  <c:v>1.788889936246818E-2</c:v>
                </c:pt>
                <c:pt idx="779">
                  <c:v>1.7928565970066757E-2</c:v>
                </c:pt>
                <c:pt idx="780">
                  <c:v>1.7968040921694239E-2</c:v>
                </c:pt>
                <c:pt idx="781">
                  <c:v>1.8007324217110821E-2</c:v>
                </c:pt>
                <c:pt idx="782">
                  <c:v>1.8046415856476372E-2</c:v>
                </c:pt>
                <c:pt idx="783">
                  <c:v>1.808531583947115E-2</c:v>
                </c:pt>
                <c:pt idx="784">
                  <c:v>1.8124024166255026E-2</c:v>
                </c:pt>
                <c:pt idx="785">
                  <c:v>1.8162540836588192E-2</c:v>
                </c:pt>
                <c:pt idx="786">
                  <c:v>1.8200865850470649E-2</c:v>
                </c:pt>
                <c:pt idx="787">
                  <c:v>1.8238999207982332E-2</c:v>
                </c:pt>
                <c:pt idx="788">
                  <c:v>1.8276940908883432E-2</c:v>
                </c:pt>
                <c:pt idx="789">
                  <c:v>1.8314690953173951E-2</c:v>
                </c:pt>
                <c:pt idx="790">
                  <c:v>1.8352249340853888E-2</c:v>
                </c:pt>
                <c:pt idx="791">
                  <c:v>1.8389616071843307E-2</c:v>
                </c:pt>
                <c:pt idx="792">
                  <c:v>1.8426791145902399E-2</c:v>
                </c:pt>
                <c:pt idx="793">
                  <c:v>1.8463774563191038E-2</c:v>
                </c:pt>
                <c:pt idx="794">
                  <c:v>1.850056632354935E-2</c:v>
                </c:pt>
                <c:pt idx="795">
                  <c:v>1.85371664268974E-2</c:v>
                </c:pt>
                <c:pt idx="796">
                  <c:v>1.8573574873315124E-2</c:v>
                </c:pt>
                <c:pt idx="797">
                  <c:v>1.860979166264265E-2</c:v>
                </c:pt>
                <c:pt idx="798">
                  <c:v>1.8645816794800041E-2</c:v>
                </c:pt>
                <c:pt idx="799">
                  <c:v>1.8681650269707362E-2</c:v>
                </c:pt>
                <c:pt idx="800">
                  <c:v>1.8717292087444548E-2</c:v>
                </c:pt>
                <c:pt idx="801">
                  <c:v>1.8752742247851728E-2</c:v>
                </c:pt>
                <c:pt idx="802">
                  <c:v>1.8788000750848965E-2</c:v>
                </c:pt>
                <c:pt idx="803">
                  <c:v>1.8823067596516196E-2</c:v>
                </c:pt>
                <c:pt idx="804">
                  <c:v>1.8857942784613613E-2</c:v>
                </c:pt>
                <c:pt idx="805">
                  <c:v>1.889262631522115E-2</c:v>
                </c:pt>
                <c:pt idx="806">
                  <c:v>1.8927118188178937E-2</c:v>
                </c:pt>
                <c:pt idx="807">
                  <c:v>1.8961418403486974E-2</c:v>
                </c:pt>
                <c:pt idx="808">
                  <c:v>1.8995526961145259E-2</c:v>
                </c:pt>
                <c:pt idx="809">
                  <c:v>1.9029443861073858E-2</c:v>
                </c:pt>
                <c:pt idx="810">
                  <c:v>1.9063169103112898E-2</c:v>
                </c:pt>
                <c:pt idx="811">
                  <c:v>1.9096702687342315E-2</c:v>
                </c:pt>
                <c:pt idx="812">
                  <c:v>1.9130044613682173E-2</c:v>
                </c:pt>
                <c:pt idx="813">
                  <c:v>1.9163194881972601E-2</c:v>
                </c:pt>
                <c:pt idx="814">
                  <c:v>1.9196153492213597E-2</c:v>
                </c:pt>
                <c:pt idx="815">
                  <c:v>1.9228920444565034E-2</c:v>
                </c:pt>
                <c:pt idx="816">
                  <c:v>1.9272827086055599E-2</c:v>
                </c:pt>
                <c:pt idx="817">
                  <c:v>1.9293879374560063E-2</c:v>
                </c:pt>
                <c:pt idx="818">
                  <c:v>1.9326071352203655E-2</c:v>
                </c:pt>
                <c:pt idx="819">
                  <c:v>1.9358071671637944E-2</c:v>
                </c:pt>
                <c:pt idx="820">
                  <c:v>1.9389880332623122E-2</c:v>
                </c:pt>
                <c:pt idx="821">
                  <c:v>1.9421497335398996E-2</c:v>
                </c:pt>
                <c:pt idx="822">
                  <c:v>1.9452922679565887E-2</c:v>
                </c:pt>
                <c:pt idx="823">
                  <c:v>1.9484156365363603E-2</c:v>
                </c:pt>
                <c:pt idx="824">
                  <c:v>1.9515198392632271E-2</c:v>
                </c:pt>
                <c:pt idx="825">
                  <c:v>1.954604876121202E-2</c:v>
                </c:pt>
                <c:pt idx="826">
                  <c:v>1.9576707471182786E-2</c:v>
                </c:pt>
                <c:pt idx="827">
                  <c:v>1.9607174522464632E-2</c:v>
                </c:pt>
                <c:pt idx="828">
                  <c:v>1.9637449915057559E-2</c:v>
                </c:pt>
                <c:pt idx="829">
                  <c:v>1.9667527604916302E-2</c:v>
                </c:pt>
                <c:pt idx="830">
                  <c:v>1.9697371654707752E-2</c:v>
                </c:pt>
                <c:pt idx="831">
                  <c:v>1.9726976020386644E-2</c:v>
                </c:pt>
                <c:pt idx="832">
                  <c:v>1.9756340701952979E-2</c:v>
                </c:pt>
                <c:pt idx="833">
                  <c:v>1.9785465699326821E-2</c:v>
                </c:pt>
                <c:pt idx="834">
                  <c:v>1.9814351012348297E-2</c:v>
                </c:pt>
                <c:pt idx="835">
                  <c:v>1.9842996641097344E-2</c:v>
                </c:pt>
                <c:pt idx="836">
                  <c:v>1.9871402585573961E-2</c:v>
                </c:pt>
                <c:pt idx="837">
                  <c:v>1.9899568845458404E-2</c:v>
                </c:pt>
                <c:pt idx="838">
                  <c:v>1.9927495420910546E-2</c:v>
                </c:pt>
                <c:pt idx="839">
                  <c:v>1.995518231185045E-2</c:v>
                </c:pt>
                <c:pt idx="840">
                  <c:v>1.9982629518118245E-2</c:v>
                </c:pt>
                <c:pt idx="841">
                  <c:v>2.0009837039713929E-2</c:v>
                </c:pt>
                <c:pt idx="842">
                  <c:v>2.0036804876797376E-2</c:v>
                </c:pt>
                <c:pt idx="843">
                  <c:v>2.0063533028968905E-2</c:v>
                </c:pt>
                <c:pt idx="844">
                  <c:v>2.0090021496308452E-2</c:v>
                </c:pt>
                <c:pt idx="845">
                  <c:v>2.0116270278816017E-2</c:v>
                </c:pt>
                <c:pt idx="846">
                  <c:v>2.0142279376331729E-2</c:v>
                </c:pt>
                <c:pt idx="847">
                  <c:v>2.0168048788935522E-2</c:v>
                </c:pt>
                <c:pt idx="848">
                  <c:v>2.0193578516547461E-2</c:v>
                </c:pt>
                <c:pt idx="849">
                  <c:v>2.021886855908761E-2</c:v>
                </c:pt>
                <c:pt idx="850">
                  <c:v>2.0243918916396098E-2</c:v>
                </c:pt>
                <c:pt idx="851">
                  <c:v>2.0268729588632795E-2</c:v>
                </c:pt>
                <c:pt idx="852">
                  <c:v>2.0293300575557893E-2</c:v>
                </c:pt>
                <c:pt idx="853">
                  <c:v>2.031763187725133E-2</c:v>
                </c:pt>
                <c:pt idx="854">
                  <c:v>2.0351992118723405E-2</c:v>
                </c:pt>
                <c:pt idx="855">
                  <c:v>2.0373497497274684E-2</c:v>
                </c:pt>
                <c:pt idx="856">
                  <c:v>2.0397043927546932E-2</c:v>
                </c:pt>
                <c:pt idx="857">
                  <c:v>2.042035064826031E-2</c:v>
                </c:pt>
                <c:pt idx="858">
                  <c:v>2.0443417659254948E-2</c:v>
                </c:pt>
                <c:pt idx="859">
                  <c:v>2.0466244960344326E-2</c:v>
                </c:pt>
                <c:pt idx="860">
                  <c:v>2.048883255144851E-2</c:v>
                </c:pt>
                <c:pt idx="861">
                  <c:v>2.0511180432407627E-2</c:v>
                </c:pt>
                <c:pt idx="862">
                  <c:v>2.0533288603088451E-2</c:v>
                </c:pt>
                <c:pt idx="863">
                  <c:v>2.0555157063384399E-2</c:v>
                </c:pt>
                <c:pt idx="864">
                  <c:v>2.0576785813108955E-2</c:v>
                </c:pt>
                <c:pt idx="865">
                  <c:v>2.0598174852182183E-2</c:v>
                </c:pt>
                <c:pt idx="866">
                  <c:v>2.061932418044421E-2</c:v>
                </c:pt>
                <c:pt idx="867">
                  <c:v>2.0647939019049488E-2</c:v>
                </c:pt>
                <c:pt idx="868">
                  <c:v>2.066090370408169E-2</c:v>
                </c:pt>
                <c:pt idx="869">
                  <c:v>2.0681333899217336E-2</c:v>
                </c:pt>
                <c:pt idx="870">
                  <c:v>2.0701524383035519E-2</c:v>
                </c:pt>
                <c:pt idx="871">
                  <c:v>2.0721475155429658E-2</c:v>
                </c:pt>
                <c:pt idx="872">
                  <c:v>2.0745580029606359E-2</c:v>
                </c:pt>
                <c:pt idx="873">
                  <c:v>2.0764980652714371E-2</c:v>
                </c:pt>
                <c:pt idx="874">
                  <c:v>2.0784141589471616E-2</c:v>
                </c:pt>
                <c:pt idx="875">
                  <c:v>2.0803062840117903E-2</c:v>
                </c:pt>
                <c:pt idx="876">
                  <c:v>2.0821744404413423E-2</c:v>
                </c:pt>
                <c:pt idx="877">
                  <c:v>2.0840186282358175E-2</c:v>
                </c:pt>
                <c:pt idx="878">
                  <c:v>2.0858388473952161E-2</c:v>
                </c:pt>
                <c:pt idx="879">
                  <c:v>2.0876350979115443E-2</c:v>
                </c:pt>
                <c:pt idx="880">
                  <c:v>2.0894073797848023E-2</c:v>
                </c:pt>
                <c:pt idx="881">
                  <c:v>2.0911672823205052E-2</c:v>
                </c:pt>
                <c:pt idx="882">
                  <c:v>2.0929299537373325E-2</c:v>
                </c:pt>
                <c:pt idx="883">
                  <c:v>2.0946954852902877E-2</c:v>
                </c:pt>
                <c:pt idx="884">
                  <c:v>2.0964638769793709E-2</c:v>
                </c:pt>
                <c:pt idx="885">
                  <c:v>2.0982351288125756E-2</c:v>
                </c:pt>
                <c:pt idx="886">
                  <c:v>2.1000092407819082E-2</c:v>
                </c:pt>
                <c:pt idx="887">
                  <c:v>2.1017862128873688E-2</c:v>
                </c:pt>
                <c:pt idx="888">
                  <c:v>2.1035660451449445E-2</c:v>
                </c:pt>
                <c:pt idx="889">
                  <c:v>2.1053487375386482E-2</c:v>
                </c:pt>
                <c:pt idx="890">
                  <c:v>2.1071342900684797E-2</c:v>
                </c:pt>
                <c:pt idx="891">
                  <c:v>2.1089227027424329E-2</c:v>
                </c:pt>
                <c:pt idx="892">
                  <c:v>2.1107139755605075E-2</c:v>
                </c:pt>
                <c:pt idx="893">
                  <c:v>2.1125081085227038E-2</c:v>
                </c:pt>
                <c:pt idx="894">
                  <c:v>2.1143051016130343E-2</c:v>
                </c:pt>
                <c:pt idx="895">
                  <c:v>2.11610495485548E-2</c:v>
                </c:pt>
                <c:pt idx="896">
                  <c:v>2.1179076682420472E-2</c:v>
                </c:pt>
                <c:pt idx="897">
                  <c:v>2.119713241772736E-2</c:v>
                </c:pt>
                <c:pt idx="898">
                  <c:v>2.1215216754555399E-2</c:v>
                </c:pt>
                <c:pt idx="899">
                  <c:v>2.1233329692744718E-2</c:v>
                </c:pt>
                <c:pt idx="900">
                  <c:v>2.1251471232455188E-2</c:v>
                </c:pt>
                <c:pt idx="901">
                  <c:v>2.1269641373526937E-2</c:v>
                </c:pt>
                <c:pt idx="902">
                  <c:v>2.1287840116119838E-2</c:v>
                </c:pt>
                <c:pt idx="903">
                  <c:v>2.1306067460153955E-2</c:v>
                </c:pt>
                <c:pt idx="904">
                  <c:v>2.1324323405709222E-2</c:v>
                </c:pt>
                <c:pt idx="905">
                  <c:v>2.1342607952625769E-2</c:v>
                </c:pt>
                <c:pt idx="906">
                  <c:v>2.1365483109074823E-2</c:v>
                </c:pt>
                <c:pt idx="907">
                  <c:v>2.138188543589159E-2</c:v>
                </c:pt>
                <c:pt idx="908">
                  <c:v>2.1400259873303185E-2</c:v>
                </c:pt>
                <c:pt idx="909">
                  <c:v>2.1418662912155995E-2</c:v>
                </c:pt>
                <c:pt idx="910">
                  <c:v>2.1437094552529956E-2</c:v>
                </c:pt>
                <c:pt idx="911">
                  <c:v>2.1455554794345133E-2</c:v>
                </c:pt>
                <c:pt idx="912">
                  <c:v>2.1474043637761397E-2</c:v>
                </c:pt>
                <c:pt idx="913">
                  <c:v>2.1492561082618877E-2</c:v>
                </c:pt>
                <c:pt idx="914">
                  <c:v>2.1511107128997509E-2</c:v>
                </c:pt>
                <c:pt idx="915">
                  <c:v>2.1529681776977228E-2</c:v>
                </c:pt>
                <c:pt idx="916">
                  <c:v>2.1548285026398162E-2</c:v>
                </c:pt>
                <c:pt idx="917">
                  <c:v>2.1566916877340248E-2</c:v>
                </c:pt>
                <c:pt idx="918">
                  <c:v>2.1585577329883421E-2</c:v>
                </c:pt>
                <c:pt idx="919">
                  <c:v>2.1604266383947746E-2</c:v>
                </c:pt>
                <c:pt idx="920">
                  <c:v>2.1622984039453286E-2</c:v>
                </c:pt>
                <c:pt idx="921">
                  <c:v>2.1641730296559913E-2</c:v>
                </c:pt>
                <c:pt idx="922">
                  <c:v>2.166587465395331E-2</c:v>
                </c:pt>
                <c:pt idx="923">
                  <c:v>2.1691373342740405E-2</c:v>
                </c:pt>
                <c:pt idx="924">
                  <c:v>2.1703526519738503E-2</c:v>
                </c:pt>
                <c:pt idx="925">
                  <c:v>2.1722395354872859E-2</c:v>
                </c:pt>
                <c:pt idx="926">
                  <c:v>2.1741292791768174E-2</c:v>
                </c:pt>
                <c:pt idx="927">
                  <c:v>2.1760218830184641E-2</c:v>
                </c:pt>
                <c:pt idx="928">
                  <c:v>2.1779173470122259E-2</c:v>
                </c:pt>
                <c:pt idx="929">
                  <c:v>2.1798156711581029E-2</c:v>
                </c:pt>
                <c:pt idx="930">
                  <c:v>2.1817168554720823E-2</c:v>
                </c:pt>
                <c:pt idx="931">
                  <c:v>2.1836208999461704E-2</c:v>
                </c:pt>
                <c:pt idx="932">
                  <c:v>2.1855272344843968E-2</c:v>
                </c:pt>
                <c:pt idx="933">
                  <c:v>2.1874198966234104E-2</c:v>
                </c:pt>
                <c:pt idx="934">
                  <c:v>2.1892914752035253E-2</c:v>
                </c:pt>
                <c:pt idx="935">
                  <c:v>2.1911419702167478E-2</c:v>
                </c:pt>
                <c:pt idx="936">
                  <c:v>2.1929713816710716E-2</c:v>
                </c:pt>
                <c:pt idx="937">
                  <c:v>2.1947797095505095E-2</c:v>
                </c:pt>
                <c:pt idx="938">
                  <c:v>2.1965669538550614E-2</c:v>
                </c:pt>
                <c:pt idx="939">
                  <c:v>2.198333114592721E-2</c:v>
                </c:pt>
                <c:pt idx="940">
                  <c:v>2.2000781917554946E-2</c:v>
                </c:pt>
                <c:pt idx="941">
                  <c:v>2.201802185327395E-2</c:v>
                </c:pt>
                <c:pt idx="942">
                  <c:v>2.2035050953244095E-2</c:v>
                </c:pt>
                <c:pt idx="943">
                  <c:v>2.2051869217225573E-2</c:v>
                </c:pt>
                <c:pt idx="944">
                  <c:v>2.206847664545819E-2</c:v>
                </c:pt>
                <c:pt idx="945">
                  <c:v>2.2084873237702141E-2</c:v>
                </c:pt>
                <c:pt idx="946">
                  <c:v>2.2101058993877487E-2</c:v>
                </c:pt>
                <c:pt idx="947">
                  <c:v>2.2117033914224038E-2</c:v>
                </c:pt>
                <c:pt idx="948">
                  <c:v>2.2132797998422049E-2</c:v>
                </c:pt>
                <c:pt idx="949">
                  <c:v>2.2148351246631393E-2</c:v>
                </c:pt>
                <c:pt idx="950">
                  <c:v>2.2163693658852068E-2</c:v>
                </c:pt>
                <c:pt idx="951">
                  <c:v>2.2178825234844268E-2</c:v>
                </c:pt>
                <c:pt idx="952">
                  <c:v>2.2193745974767864E-2</c:v>
                </c:pt>
                <c:pt idx="953">
                  <c:v>2.2208455878542921E-2</c:v>
                </c:pt>
                <c:pt idx="954">
                  <c:v>2.2222954946249374E-2</c:v>
                </c:pt>
                <c:pt idx="955">
                  <c:v>2.2237243177567478E-2</c:v>
                </c:pt>
                <c:pt idx="956">
                  <c:v>2.2251320572737043E-2</c:v>
                </c:pt>
                <c:pt idx="957">
                  <c:v>2.2273016218496977E-2</c:v>
                </c:pt>
                <c:pt idx="958">
                  <c:v>2.2284083577739366E-2</c:v>
                </c:pt>
                <c:pt idx="959">
                  <c:v>2.2292287740715011E-2</c:v>
                </c:pt>
                <c:pt idx="960">
                  <c:v>2.2305521790730864E-2</c:v>
                </c:pt>
                <c:pt idx="961">
                  <c:v>2.231854500435837E-2</c:v>
                </c:pt>
                <c:pt idx="962">
                  <c:v>2.2331357381677464E-2</c:v>
                </c:pt>
                <c:pt idx="963">
                  <c:v>2.2343958922608209E-2</c:v>
                </c:pt>
                <c:pt idx="964">
                  <c:v>2.2356349627150607E-2</c:v>
                </c:pt>
                <c:pt idx="965">
                  <c:v>2.236852949522472E-2</c:v>
                </c:pt>
                <c:pt idx="966">
                  <c:v>2.2380498526910486E-2</c:v>
                </c:pt>
                <c:pt idx="967">
                  <c:v>2.2392256721968096E-2</c:v>
                </c:pt>
                <c:pt idx="968">
                  <c:v>2.2403804080637357E-2</c:v>
                </c:pt>
                <c:pt idx="969">
                  <c:v>2.2415140602758399E-2</c:v>
                </c:pt>
                <c:pt idx="970">
                  <c:v>2.242626628833122E-2</c:v>
                </c:pt>
                <c:pt idx="971">
                  <c:v>2.2443054396131146E-2</c:v>
                </c:pt>
                <c:pt idx="972">
                  <c:v>2.2447885149752267E-2</c:v>
                </c:pt>
                <c:pt idx="973">
                  <c:v>2.2458378325680428E-2</c:v>
                </c:pt>
                <c:pt idx="974">
                  <c:v>2.2468660664900497E-2</c:v>
                </c:pt>
                <c:pt idx="975">
                  <c:v>2.2482966102574942E-2</c:v>
                </c:pt>
                <c:pt idx="976">
                  <c:v>2.2488592833536103E-2</c:v>
                </c:pt>
                <c:pt idx="977">
                  <c:v>2.2498242662711831E-2</c:v>
                </c:pt>
                <c:pt idx="978">
                  <c:v>2.2507681655259404E-2</c:v>
                </c:pt>
                <c:pt idx="979">
                  <c:v>2.2516909811258756E-2</c:v>
                </c:pt>
                <c:pt idx="980">
                  <c:v>2.2525927130390144E-2</c:v>
                </c:pt>
                <c:pt idx="981">
                  <c:v>2.2534733612893376E-2</c:v>
                </c:pt>
                <c:pt idx="982">
                  <c:v>2.254332925860858E-2</c:v>
                </c:pt>
                <c:pt idx="983">
                  <c:v>2.2551714067455819E-2</c:v>
                </c:pt>
                <c:pt idx="984">
                  <c:v>2.2559888039674902E-2</c:v>
                </c:pt>
                <c:pt idx="985">
                  <c:v>2.2567851175026021E-2</c:v>
                </c:pt>
                <c:pt idx="986">
                  <c:v>2.2575603473589112E-2</c:v>
                </c:pt>
                <c:pt idx="987">
                  <c:v>2.2583144935364174E-2</c:v>
                </c:pt>
                <c:pt idx="988">
                  <c:v>2.2590475560271273E-2</c:v>
                </c:pt>
                <c:pt idx="989">
                  <c:v>2.2597595348310406E-2</c:v>
                </c:pt>
                <c:pt idx="990">
                  <c:v>2.2604504299481576E-2</c:v>
                </c:pt>
                <c:pt idx="991">
                  <c:v>2.2611202413864717E-2</c:v>
                </c:pt>
                <c:pt idx="992">
                  <c:v>2.2617689691220022E-2</c:v>
                </c:pt>
                <c:pt idx="993">
                  <c:v>2.2623966131787299E-2</c:v>
                </c:pt>
                <c:pt idx="994">
                  <c:v>2.2630031735486611E-2</c:v>
                </c:pt>
                <c:pt idx="995">
                  <c:v>2.2635886502158087E-2</c:v>
                </c:pt>
                <c:pt idx="996">
                  <c:v>2.2641530432041534E-2</c:v>
                </c:pt>
                <c:pt idx="997">
                  <c:v>2.264696352481721E-2</c:v>
                </c:pt>
                <c:pt idx="998">
                  <c:v>2.2652185780804857E-2</c:v>
                </c:pt>
                <c:pt idx="999">
                  <c:v>2.2657197199684731E-2</c:v>
                </c:pt>
                <c:pt idx="1000">
                  <c:v>2.2661997781696641E-2</c:v>
                </c:pt>
                <c:pt idx="1001">
                  <c:v>2.2666587526760651E-2</c:v>
                </c:pt>
                <c:pt idx="1002">
                  <c:v>2.2670966434796824E-2</c:v>
                </c:pt>
                <c:pt idx="1003">
                  <c:v>2.2675134505885097E-2</c:v>
                </c:pt>
                <c:pt idx="1004">
                  <c:v>2.2679091739945534E-2</c:v>
                </c:pt>
                <c:pt idx="1005">
                  <c:v>2.2682838136978134E-2</c:v>
                </c:pt>
                <c:pt idx="1006">
                  <c:v>2.2686373697062834E-2</c:v>
                </c:pt>
                <c:pt idx="1007">
                  <c:v>2.2689698420039761E-2</c:v>
                </c:pt>
                <c:pt idx="1008">
                  <c:v>2.2692812306068788E-2</c:v>
                </c:pt>
                <c:pt idx="1009">
                  <c:v>2.2698453750860104E-2</c:v>
                </c:pt>
                <c:pt idx="1010">
                  <c:v>2.2701101284172687E-2</c:v>
                </c:pt>
                <c:pt idx="1011">
                  <c:v>2.270088894198885E-2</c:v>
                </c:pt>
                <c:pt idx="1012">
                  <c:v>2.2703159479906532E-2</c:v>
                </c:pt>
                <c:pt idx="1013">
                  <c:v>2.2705219180716441E-2</c:v>
                </c:pt>
                <c:pt idx="1014">
                  <c:v>2.2707068044498513E-2</c:v>
                </c:pt>
                <c:pt idx="1015">
                  <c:v>2.2708706071252749E-2</c:v>
                </c:pt>
                <c:pt idx="1016">
                  <c:v>2.2710133260979148E-2</c:v>
                </c:pt>
                <c:pt idx="1017">
                  <c:v>2.2711349613517839E-2</c:v>
                </c:pt>
                <c:pt idx="1018">
                  <c:v>2.271235512910863E-2</c:v>
                </c:pt>
                <c:pt idx="1019">
                  <c:v>2.2713149807591648E-2</c:v>
                </c:pt>
                <c:pt idx="1020">
                  <c:v>2.271373364904683E-2</c:v>
                </c:pt>
                <c:pt idx="1021">
                  <c:v>2.2714106653474175E-2</c:v>
                </c:pt>
                <c:pt idx="1022">
                  <c:v>2.2717138630271805E-2</c:v>
                </c:pt>
                <c:pt idx="1023">
                  <c:v>2.2714220151005549E-2</c:v>
                </c:pt>
                <c:pt idx="1024">
                  <c:v>2.2713960644189513E-2</c:v>
                </c:pt>
                <c:pt idx="1025">
                  <c:v>2.271349030034564E-2</c:v>
                </c:pt>
                <c:pt idx="1026">
                  <c:v>2.2712809119393995E-2</c:v>
                </c:pt>
                <c:pt idx="1027">
                  <c:v>2.2711917101414514E-2</c:v>
                </c:pt>
                <c:pt idx="1028">
                  <c:v>2.271081424632726E-2</c:v>
                </c:pt>
                <c:pt idx="1029">
                  <c:v>2.270950055421217E-2</c:v>
                </c:pt>
                <c:pt idx="1030">
                  <c:v>2.2707976025069243E-2</c:v>
                </c:pt>
                <c:pt idx="1031">
                  <c:v>2.270624065889848E-2</c:v>
                </c:pt>
                <c:pt idx="1032">
                  <c:v>2.2704294455540008E-2</c:v>
                </c:pt>
                <c:pt idx="1033">
                  <c:v>2.27021374151537E-2</c:v>
                </c:pt>
                <c:pt idx="1034">
                  <c:v>2.2699769537899428E-2</c:v>
                </c:pt>
                <c:pt idx="1035">
                  <c:v>2.2697190823457447E-2</c:v>
                </c:pt>
                <c:pt idx="1036">
                  <c:v>2.269440127198763E-2</c:v>
                </c:pt>
                <c:pt idx="1037">
                  <c:v>2.2691490216910637E-2</c:v>
                </c:pt>
                <c:pt idx="1038">
                  <c:v>2.268857442482286E-2</c:v>
                </c:pt>
                <c:pt idx="1039">
                  <c:v>2.2685654598841865E-2</c:v>
                </c:pt>
                <c:pt idx="1040">
                  <c:v>2.2682730739287393E-2</c:v>
                </c:pt>
                <c:pt idx="1041">
                  <c:v>2.2679802845839703E-2</c:v>
                </c:pt>
                <c:pt idx="1042">
                  <c:v>2.2676870918738601E-2</c:v>
                </c:pt>
                <c:pt idx="1043">
                  <c:v>2.2673934958064024E-2</c:v>
                </c:pt>
                <c:pt idx="1044">
                  <c:v>2.2670994963496227E-2</c:v>
                </c:pt>
                <c:pt idx="1045">
                  <c:v>2.2668050935275019E-2</c:v>
                </c:pt>
                <c:pt idx="1046">
                  <c:v>2.2665102873320464E-2</c:v>
                </c:pt>
                <c:pt idx="1047">
                  <c:v>2.2662150777792434E-2</c:v>
                </c:pt>
                <c:pt idx="1048">
                  <c:v>2.265919464845112E-2</c:v>
                </c:pt>
                <c:pt idx="1049">
                  <c:v>2.2656234485296523E-2</c:v>
                </c:pt>
                <c:pt idx="1050">
                  <c:v>2.2653270288488514E-2</c:v>
                </c:pt>
                <c:pt idx="1051">
                  <c:v>2.2650302057947158E-2</c:v>
                </c:pt>
                <c:pt idx="1052">
                  <c:v>2.2647329793752391E-2</c:v>
                </c:pt>
                <c:pt idx="1053">
                  <c:v>2.264435349574434E-2</c:v>
                </c:pt>
                <c:pt idx="1054">
                  <c:v>2.2641373164082879E-2</c:v>
                </c:pt>
                <c:pt idx="1055">
                  <c:v>2.2638388798688069E-2</c:v>
                </c:pt>
                <c:pt idx="1056">
                  <c:v>2.2635400399639849E-2</c:v>
                </c:pt>
                <c:pt idx="1057">
                  <c:v>2.2632407966778345E-2</c:v>
                </c:pt>
                <c:pt idx="1058">
                  <c:v>2.262941150026343E-2</c:v>
                </c:pt>
                <c:pt idx="1059">
                  <c:v>2.2626411000095104E-2</c:v>
                </c:pt>
                <c:pt idx="1060">
                  <c:v>2.2623406466033558E-2</c:v>
                </c:pt>
                <c:pt idx="1061">
                  <c:v>2.26203978983186E-2</c:v>
                </c:pt>
                <c:pt idx="1062">
                  <c:v>2.2617385296950232E-2</c:v>
                </c:pt>
                <c:pt idx="1063">
                  <c:v>2.2614368661848516E-2</c:v>
                </c:pt>
                <c:pt idx="1064">
                  <c:v>2.2611347993093389E-2</c:v>
                </c:pt>
                <c:pt idx="1065">
                  <c:v>2.2608323290524979E-2</c:v>
                </c:pt>
                <c:pt idx="1066">
                  <c:v>2.2605294554223221E-2</c:v>
                </c:pt>
                <c:pt idx="1067">
                  <c:v>2.2602261784347988E-2</c:v>
                </c:pt>
                <c:pt idx="1068">
                  <c:v>2.2599224980659471E-2</c:v>
                </c:pt>
                <c:pt idx="1069">
                  <c:v>2.2596184143237608E-2</c:v>
                </c:pt>
                <c:pt idx="1070">
                  <c:v>2.2593139272162333E-2</c:v>
                </c:pt>
                <c:pt idx="1071">
                  <c:v>2.2590090367273774E-2</c:v>
                </c:pt>
                <c:pt idx="1072">
                  <c:v>2.2587037428731804E-2</c:v>
                </c:pt>
                <c:pt idx="1073">
                  <c:v>2.2583980456456487E-2</c:v>
                </c:pt>
                <c:pt idx="1074">
                  <c:v>2.2580919450607695E-2</c:v>
                </c:pt>
                <c:pt idx="1075">
                  <c:v>2.2577854410865683E-2</c:v>
                </c:pt>
                <c:pt idx="1076">
                  <c:v>2.257478533747026E-2</c:v>
                </c:pt>
                <c:pt idx="1077">
                  <c:v>2.2573663790167231E-2</c:v>
                </c:pt>
                <c:pt idx="1078">
                  <c:v>2.2568635089479372E-2</c:v>
                </c:pt>
                <c:pt idx="1079">
                  <c:v>2.2565553914963843E-2</c:v>
                </c:pt>
                <c:pt idx="1080">
                  <c:v>2.2562468706714967E-2</c:v>
                </c:pt>
                <c:pt idx="1081">
                  <c:v>2.2559379464732743E-2</c:v>
                </c:pt>
                <c:pt idx="1082">
                  <c:v>2.2556286189017172E-2</c:v>
                </c:pt>
                <c:pt idx="1083">
                  <c:v>2.2553188879728125E-2</c:v>
                </c:pt>
                <c:pt idx="1084">
                  <c:v>2.255008753654586E-2</c:v>
                </c:pt>
                <c:pt idx="1085">
                  <c:v>2.2546982159710183E-2</c:v>
                </c:pt>
                <c:pt idx="1086">
                  <c:v>2.2543872749141158E-2</c:v>
                </c:pt>
                <c:pt idx="1087">
                  <c:v>2.2540759304998659E-2</c:v>
                </c:pt>
                <c:pt idx="1088">
                  <c:v>2.253764182696294E-2</c:v>
                </c:pt>
                <c:pt idx="1089">
                  <c:v>2.2534520315273809E-2</c:v>
                </c:pt>
                <c:pt idx="1090">
                  <c:v>2.2531394769931268E-2</c:v>
                </c:pt>
                <c:pt idx="1091">
                  <c:v>2.2528265190855379E-2</c:v>
                </c:pt>
                <c:pt idx="1092">
                  <c:v>2.2525131578046143E-2</c:v>
                </c:pt>
                <c:pt idx="1093">
                  <c:v>2.2521993931503559E-2</c:v>
                </c:pt>
                <c:pt idx="1094">
                  <c:v>2.2518852251227628E-2</c:v>
                </c:pt>
                <c:pt idx="1095">
                  <c:v>2.2515706537298286E-2</c:v>
                </c:pt>
                <c:pt idx="1096">
                  <c:v>2.2512556789635596E-2</c:v>
                </c:pt>
                <c:pt idx="1097">
                  <c:v>2.2509403008319495E-2</c:v>
                </c:pt>
                <c:pt idx="1098">
                  <c:v>2.2506245193190111E-2</c:v>
                </c:pt>
                <c:pt idx="1099">
                  <c:v>2.2503083344407315E-2</c:v>
                </c:pt>
                <c:pt idx="1100">
                  <c:v>2.2499917461891172E-2</c:v>
                </c:pt>
                <c:pt idx="1101">
                  <c:v>2.2496747545721618E-2</c:v>
                </c:pt>
                <c:pt idx="1102">
                  <c:v>2.2493573595738781E-2</c:v>
                </c:pt>
                <c:pt idx="1103">
                  <c:v>2.2490395612182468E-2</c:v>
                </c:pt>
                <c:pt idx="1104">
                  <c:v>2.2487213594732935E-2</c:v>
                </c:pt>
                <c:pt idx="1105">
                  <c:v>2.2484027543789864E-2</c:v>
                </c:pt>
                <c:pt idx="1106">
                  <c:v>2.2480837458953573E-2</c:v>
                </c:pt>
                <c:pt idx="1107">
                  <c:v>2.2477643340463871E-2</c:v>
                </c:pt>
                <c:pt idx="1108">
                  <c:v>2.2474445188320757E-2</c:v>
                </c:pt>
                <c:pt idx="1109">
                  <c:v>2.2471243002364361E-2</c:v>
                </c:pt>
                <c:pt idx="1110">
                  <c:v>2.2468036782754552E-2</c:v>
                </c:pt>
                <c:pt idx="1111">
                  <c:v>2.2464826529411397E-2</c:v>
                </c:pt>
                <c:pt idx="1112">
                  <c:v>2.246161224241483E-2</c:v>
                </c:pt>
                <c:pt idx="1113">
                  <c:v>2.2458393921684916E-2</c:v>
                </c:pt>
                <c:pt idx="1114">
                  <c:v>2.2456120547176273E-2</c:v>
                </c:pt>
                <c:pt idx="1115">
                  <c:v>2.2452422749115186E-2</c:v>
                </c:pt>
                <c:pt idx="1116">
                  <c:v>2.2449190771709482E-2</c:v>
                </c:pt>
                <c:pt idx="1117">
                  <c:v>2.2445954760117459E-2</c:v>
                </c:pt>
                <c:pt idx="1118">
                  <c:v>2.2442714714419054E-2</c:v>
                </c:pt>
                <c:pt idx="1119">
                  <c:v>2.2439470634534331E-2</c:v>
                </c:pt>
                <c:pt idx="1120">
                  <c:v>2.2436222520489935E-2</c:v>
                </c:pt>
                <c:pt idx="1121">
                  <c:v>2.2432970372312511E-2</c:v>
                </c:pt>
                <c:pt idx="1122">
                  <c:v>2.2429714189975414E-2</c:v>
                </c:pt>
                <c:pt idx="1123">
                  <c:v>2.2426453973478644E-2</c:v>
                </c:pt>
                <c:pt idx="1124">
                  <c:v>2.2423189722875492E-2</c:v>
                </c:pt>
                <c:pt idx="1125">
                  <c:v>2.2419921438059376E-2</c:v>
                </c:pt>
                <c:pt idx="1126">
                  <c:v>2.2416649119110232E-2</c:v>
                </c:pt>
                <c:pt idx="1127">
                  <c:v>2.2410572284474739E-2</c:v>
                </c:pt>
                <c:pt idx="1128">
                  <c:v>2.2410092378786217E-2</c:v>
                </c:pt>
                <c:pt idx="1129">
                  <c:v>2.2406807957358055E-2</c:v>
                </c:pt>
                <c:pt idx="1130">
                  <c:v>2.240351950182351E-2</c:v>
                </c:pt>
                <c:pt idx="1131">
                  <c:v>2.2400227012129292E-2</c:v>
                </c:pt>
                <c:pt idx="1132">
                  <c:v>2.2396930488275402E-2</c:v>
                </c:pt>
                <c:pt idx="1133">
                  <c:v>2.2393629930288483E-2</c:v>
                </c:pt>
                <c:pt idx="1134">
                  <c:v>2.2390325338115247E-2</c:v>
                </c:pt>
                <c:pt idx="1135">
                  <c:v>2.2387016711808982E-2</c:v>
                </c:pt>
                <c:pt idx="1136">
                  <c:v>2.2383704051369691E-2</c:v>
                </c:pt>
                <c:pt idx="1137">
                  <c:v>2.2380387356770726E-2</c:v>
                </c:pt>
                <c:pt idx="1138">
                  <c:v>2.2377066628065378E-2</c:v>
                </c:pt>
                <c:pt idx="1139">
                  <c:v>2.2373741865173713E-2</c:v>
                </c:pt>
                <c:pt idx="1140">
                  <c:v>2.237041306814902E-2</c:v>
                </c:pt>
                <c:pt idx="1141">
                  <c:v>2.2367080236938008E-2</c:v>
                </c:pt>
                <c:pt idx="1142">
                  <c:v>2.2363743371620615E-2</c:v>
                </c:pt>
                <c:pt idx="1143">
                  <c:v>2.2360402472143548E-2</c:v>
                </c:pt>
                <c:pt idx="1144">
                  <c:v>2.2357057538506808E-2</c:v>
                </c:pt>
                <c:pt idx="1145">
                  <c:v>2.2353708570763686E-2</c:v>
                </c:pt>
                <c:pt idx="1146">
                  <c:v>2.2350355568860891E-2</c:v>
                </c:pt>
                <c:pt idx="1147">
                  <c:v>2.2346998532798423E-2</c:v>
                </c:pt>
                <c:pt idx="1148">
                  <c:v>2.2343637462602928E-2</c:v>
                </c:pt>
                <c:pt idx="1149">
                  <c:v>2.2340272358274404E-2</c:v>
                </c:pt>
                <c:pt idx="1150">
                  <c:v>2.2336903219786208E-2</c:v>
                </c:pt>
                <c:pt idx="1151">
                  <c:v>2.2333530047164984E-2</c:v>
                </c:pt>
                <c:pt idx="1152">
                  <c:v>2.2330152840384088E-2</c:v>
                </c:pt>
                <c:pt idx="1153">
                  <c:v>2.2326771599470163E-2</c:v>
                </c:pt>
                <c:pt idx="1154">
                  <c:v>2.2323386324396566E-2</c:v>
                </c:pt>
                <c:pt idx="1155">
                  <c:v>2.2319997015189941E-2</c:v>
                </c:pt>
                <c:pt idx="1156">
                  <c:v>2.2316603671850288E-2</c:v>
                </c:pt>
                <c:pt idx="1157">
                  <c:v>2.2313206294377608E-2</c:v>
                </c:pt>
                <c:pt idx="1158">
                  <c:v>2.23098048827719E-2</c:v>
                </c:pt>
                <c:pt idx="1159">
                  <c:v>2.2306399437006519E-2</c:v>
                </c:pt>
                <c:pt idx="1160">
                  <c:v>2.2302989957081465E-2</c:v>
                </c:pt>
                <c:pt idx="1161">
                  <c:v>2.2299576443050029E-2</c:v>
                </c:pt>
                <c:pt idx="1162">
                  <c:v>2.229615889485892E-2</c:v>
                </c:pt>
                <c:pt idx="1163">
                  <c:v>2.2292737312561428E-2</c:v>
                </c:pt>
                <c:pt idx="1164">
                  <c:v>2.2289311696077618E-2</c:v>
                </c:pt>
                <c:pt idx="1165">
                  <c:v>2.2285882045487426E-2</c:v>
                </c:pt>
                <c:pt idx="1166">
                  <c:v>2.2280531623355415E-2</c:v>
                </c:pt>
                <c:pt idx="1167">
                  <c:v>2.2276649224792777E-2</c:v>
                </c:pt>
                <c:pt idx="1168">
                  <c:v>2.2273206745211382E-2</c:v>
                </c:pt>
                <c:pt idx="1169">
                  <c:v>2.2269760231816704E-2</c:v>
                </c:pt>
                <c:pt idx="1170">
                  <c:v>2.2266309684928487E-2</c:v>
                </c:pt>
                <c:pt idx="1171">
                  <c:v>2.226285510414705E-2</c:v>
                </c:pt>
                <c:pt idx="1172">
                  <c:v>2.2259396489792138E-2</c:v>
                </c:pt>
                <c:pt idx="1173">
                  <c:v>2.2255933841623943E-2</c:v>
                </c:pt>
                <c:pt idx="1174">
                  <c:v>2.2252467159802336E-2</c:v>
                </c:pt>
                <c:pt idx="1175">
                  <c:v>2.2248996444247382E-2</c:v>
                </c:pt>
                <c:pt idx="1176">
                  <c:v>2.2245521695039017E-2</c:v>
                </c:pt>
                <c:pt idx="1177">
                  <c:v>2.2242042912097304E-2</c:v>
                </c:pt>
                <c:pt idx="1178">
                  <c:v>2.2238560095422244E-2</c:v>
                </c:pt>
                <c:pt idx="1179">
                  <c:v>2.2235073245093773E-2</c:v>
                </c:pt>
                <c:pt idx="1180">
                  <c:v>2.223158236111189E-2</c:v>
                </c:pt>
                <c:pt idx="1181">
                  <c:v>2.2228087443316724E-2</c:v>
                </c:pt>
                <c:pt idx="1182">
                  <c:v>2.2223588050618304E-2</c:v>
                </c:pt>
                <c:pt idx="1183">
                  <c:v>2.2221085506686222E-2</c:v>
                </c:pt>
                <c:pt idx="1184">
                  <c:v>2.2217578487850886E-2</c:v>
                </c:pt>
                <c:pt idx="1185">
                  <c:v>2.2214067435282203E-2</c:v>
                </c:pt>
                <c:pt idx="1186">
                  <c:v>2.2210552349060109E-2</c:v>
                </c:pt>
                <c:pt idx="1187">
                  <c:v>2.2207033229104667E-2</c:v>
                </c:pt>
                <c:pt idx="1188">
                  <c:v>2.2203510075415878E-2</c:v>
                </c:pt>
                <c:pt idx="1189">
                  <c:v>2.2199982888073677E-2</c:v>
                </c:pt>
                <c:pt idx="1190">
                  <c:v>2.2196451666998129E-2</c:v>
                </c:pt>
                <c:pt idx="1191">
                  <c:v>2.2192916412189234E-2</c:v>
                </c:pt>
                <c:pt idx="1192">
                  <c:v>2.2189377123806864E-2</c:v>
                </c:pt>
                <c:pt idx="1193">
                  <c:v>2.2185813697293E-2</c:v>
                </c:pt>
                <c:pt idx="1194">
                  <c:v>2.218219985446801E-2</c:v>
                </c:pt>
                <c:pt idx="1195">
                  <c:v>2.21785354370585E-2</c:v>
                </c:pt>
                <c:pt idx="1196">
                  <c:v>2.2174820445224341E-2</c:v>
                </c:pt>
                <c:pt idx="1197">
                  <c:v>2.2171054878885599E-2</c:v>
                </c:pt>
                <c:pt idx="1198">
                  <c:v>2.21672387378824E-2</c:v>
                </c:pt>
                <c:pt idx="1199">
                  <c:v>2.2163372022534489E-2</c:v>
                </c:pt>
                <c:pt idx="1200">
                  <c:v>2.2159454732442185E-2</c:v>
                </c:pt>
                <c:pt idx="1201">
                  <c:v>2.2155486867925234E-2</c:v>
                </c:pt>
                <c:pt idx="1202">
                  <c:v>2.2151468428823762E-2</c:v>
                </c:pt>
                <c:pt idx="1203">
                  <c:v>2.2147399415297642E-2</c:v>
                </c:pt>
                <c:pt idx="1204">
                  <c:v>2.2143279827107065E-2</c:v>
                </c:pt>
                <c:pt idx="1205">
                  <c:v>2.2139109664411905E-2</c:v>
                </c:pt>
                <c:pt idx="1206">
                  <c:v>2.2134888927292096E-2</c:v>
                </c:pt>
                <c:pt idx="1207">
                  <c:v>2.213061761550783E-2</c:v>
                </c:pt>
                <c:pt idx="1208">
                  <c:v>2.2126295729458789E-2</c:v>
                </c:pt>
                <c:pt idx="1209">
                  <c:v>2.2121923268665356E-2</c:v>
                </c:pt>
                <c:pt idx="1210">
                  <c:v>2.2117500233367338E-2</c:v>
                </c:pt>
                <c:pt idx="1211">
                  <c:v>2.2113026623644672E-2</c:v>
                </c:pt>
                <c:pt idx="1212">
                  <c:v>2.2108502439337485E-2</c:v>
                </c:pt>
                <c:pt idx="1213">
                  <c:v>2.2103927680525715E-2</c:v>
                </c:pt>
                <c:pt idx="1214">
                  <c:v>2.2099302347289296E-2</c:v>
                </c:pt>
                <c:pt idx="1215">
                  <c:v>2.2094626439468357E-2</c:v>
                </c:pt>
                <c:pt idx="1216">
                  <c:v>2.2089899957222769E-2</c:v>
                </c:pt>
                <c:pt idx="1217">
                  <c:v>2.2085122900392662E-2</c:v>
                </c:pt>
                <c:pt idx="1218">
                  <c:v>2.2079931142009457E-2</c:v>
                </c:pt>
                <c:pt idx="1219">
                  <c:v>2.207471604821265E-2</c:v>
                </c:pt>
                <c:pt idx="1220">
                  <c:v>2.2069780042928144E-2</c:v>
                </c:pt>
                <c:pt idx="1221">
                  <c:v>2.2064793463139054E-2</c:v>
                </c:pt>
                <c:pt idx="1222">
                  <c:v>2.2059756309005252E-2</c:v>
                </c:pt>
                <c:pt idx="1223">
                  <c:v>2.2054668580286929E-2</c:v>
                </c:pt>
                <c:pt idx="1224">
                  <c:v>2.2049530277064022E-2</c:v>
                </c:pt>
                <c:pt idx="1225">
                  <c:v>2.2044341399416467E-2</c:v>
                </c:pt>
                <c:pt idx="1226">
                  <c:v>2.2039101947264328E-2</c:v>
                </c:pt>
                <c:pt idx="1227">
                  <c:v>2.2033811920527668E-2</c:v>
                </c:pt>
                <c:pt idx="1228">
                  <c:v>2.2028471319446297E-2</c:v>
                </c:pt>
                <c:pt idx="1229">
                  <c:v>2.2023080143780405E-2</c:v>
                </c:pt>
                <c:pt idx="1230">
                  <c:v>2.2017638393769801E-2</c:v>
                </c:pt>
                <c:pt idx="1231">
                  <c:v>2.2012146069174676E-2</c:v>
                </c:pt>
                <c:pt idx="1232">
                  <c:v>2.2006603170154904E-2</c:v>
                </c:pt>
                <c:pt idx="1233">
                  <c:v>2.1999402272196988E-2</c:v>
                </c:pt>
                <c:pt idx="1234">
                  <c:v>2.1993743774366692E-2</c:v>
                </c:pt>
                <c:pt idx="1235">
                  <c:v>2.1987736714743633E-2</c:v>
                </c:pt>
                <c:pt idx="1236">
                  <c:v>2.198227505551209E-2</c:v>
                </c:pt>
                <c:pt idx="1237">
                  <c:v>2.1976464834327913E-2</c:v>
                </c:pt>
                <c:pt idx="1238">
                  <c:v>2.1970604038639152E-2</c:v>
                </c:pt>
                <c:pt idx="1239">
                  <c:v>2.1964692668525743E-2</c:v>
                </c:pt>
                <c:pt idx="1240">
                  <c:v>2.1958730723987685E-2</c:v>
                </c:pt>
                <c:pt idx="1241">
                  <c:v>2.1952718205024979E-2</c:v>
                </c:pt>
                <c:pt idx="1242">
                  <c:v>2.1946655111557689E-2</c:v>
                </c:pt>
                <c:pt idx="1243">
                  <c:v>2.1940541443745687E-2</c:v>
                </c:pt>
                <c:pt idx="1244">
                  <c:v>2.1934377201429101E-2</c:v>
                </c:pt>
                <c:pt idx="1245">
                  <c:v>2.192816238460793E-2</c:v>
                </c:pt>
                <c:pt idx="1246">
                  <c:v>2.1921896993521983E-2</c:v>
                </c:pt>
                <c:pt idx="1247">
                  <c:v>2.1915581027931452E-2</c:v>
                </c:pt>
                <c:pt idx="1248">
                  <c:v>2.1909214487836337E-2</c:v>
                </c:pt>
                <c:pt idx="1249">
                  <c:v>2.190279737339651E-2</c:v>
                </c:pt>
                <c:pt idx="1250">
                  <c:v>2.1896329684452098E-2</c:v>
                </c:pt>
                <c:pt idx="1251">
                  <c:v>2.1889811421083039E-2</c:v>
                </c:pt>
                <c:pt idx="1252">
                  <c:v>2.1883242583449203E-2</c:v>
                </c:pt>
                <c:pt idx="1253">
                  <c:v>2.1876623171310783E-2</c:v>
                </c:pt>
                <c:pt idx="1254">
                  <c:v>2.1869953184747715E-2</c:v>
                </c:pt>
                <c:pt idx="1255">
                  <c:v>2.1863232623759998E-2</c:v>
                </c:pt>
                <c:pt idx="1256">
                  <c:v>2.1856461488347634E-2</c:v>
                </c:pt>
                <c:pt idx="1257">
                  <c:v>2.1849639778590557E-2</c:v>
                </c:pt>
                <c:pt idx="1258">
                  <c:v>2.1842767494408832E-2</c:v>
                </c:pt>
                <c:pt idx="1259">
                  <c:v>2.1835844635802459E-2</c:v>
                </c:pt>
                <c:pt idx="1260">
                  <c:v>2.1828871202851374E-2</c:v>
                </c:pt>
                <c:pt idx="1261">
                  <c:v>2.1821847195475641E-2</c:v>
                </c:pt>
                <c:pt idx="1262">
                  <c:v>2.181477261367526E-2</c:v>
                </c:pt>
                <c:pt idx="1263">
                  <c:v>2.1807647457530166E-2</c:v>
                </c:pt>
                <c:pt idx="1264">
                  <c:v>2.180047172704036E-2</c:v>
                </c:pt>
                <c:pt idx="1265">
                  <c:v>2.1793245422205842E-2</c:v>
                </c:pt>
                <c:pt idx="1266">
                  <c:v>2.1785968542946677E-2</c:v>
                </c:pt>
                <c:pt idx="1267">
                  <c:v>2.1778641089182926E-2</c:v>
                </c:pt>
                <c:pt idx="1268">
                  <c:v>2.17712630611544E-2</c:v>
                </c:pt>
                <c:pt idx="1269">
                  <c:v>2.1759566836205835E-2</c:v>
                </c:pt>
                <c:pt idx="1270">
                  <c:v>2.1755523338722327E-2</c:v>
                </c:pt>
                <c:pt idx="1271">
                  <c:v>2.1748825530840676E-2</c:v>
                </c:pt>
                <c:pt idx="1272">
                  <c:v>2.1741245205353366E-2</c:v>
                </c:pt>
                <c:pt idx="1273">
                  <c:v>2.1733614305601279E-2</c:v>
                </c:pt>
                <c:pt idx="1274">
                  <c:v>2.1725932831344608E-2</c:v>
                </c:pt>
                <c:pt idx="1275">
                  <c:v>2.171820078282316E-2</c:v>
                </c:pt>
                <c:pt idx="1276">
                  <c:v>2.1710418159877065E-2</c:v>
                </c:pt>
                <c:pt idx="1277">
                  <c:v>2.170258496274613E-2</c:v>
                </c:pt>
                <c:pt idx="1278">
                  <c:v>2.169470119111061E-2</c:v>
                </c:pt>
                <c:pt idx="1279">
                  <c:v>2.1686766845210315E-2</c:v>
                </c:pt>
                <c:pt idx="1280">
                  <c:v>2.1678781924965307E-2</c:v>
                </c:pt>
                <c:pt idx="1281">
                  <c:v>2.1670746430295651E-2</c:v>
                </c:pt>
                <c:pt idx="1282">
                  <c:v>2.166294639339128E-2</c:v>
                </c:pt>
                <c:pt idx="1283">
                  <c:v>2.1654523718321883E-2</c:v>
                </c:pt>
                <c:pt idx="1284">
                  <c:v>2.1646336500698027E-2</c:v>
                </c:pt>
                <c:pt idx="1285">
                  <c:v>2.1638098708969267E-2</c:v>
                </c:pt>
                <c:pt idx="1286">
                  <c:v>2.1629810342735922E-2</c:v>
                </c:pt>
                <c:pt idx="1287">
                  <c:v>2.1621471402237802E-2</c:v>
                </c:pt>
                <c:pt idx="1288">
                  <c:v>2.1613081887394969E-2</c:v>
                </c:pt>
                <c:pt idx="1289">
                  <c:v>2.1604641798367297E-2</c:v>
                </c:pt>
                <c:pt idx="1290">
                  <c:v>2.1596151134914976E-2</c:v>
                </c:pt>
                <c:pt idx="1291">
                  <c:v>2.1587609897277815E-2</c:v>
                </c:pt>
                <c:pt idx="1292">
                  <c:v>2.1579018085295942E-2</c:v>
                </c:pt>
                <c:pt idx="1293">
                  <c:v>2.1570375699129229E-2</c:v>
                </c:pt>
                <c:pt idx="1294">
                  <c:v>2.1561682738457932E-2</c:v>
                </c:pt>
                <c:pt idx="1295">
                  <c:v>2.1552939203681731E-2</c:v>
                </c:pt>
                <c:pt idx="1296">
                  <c:v>2.1544145094640754E-2</c:v>
                </c:pt>
                <c:pt idx="1297">
                  <c:v>2.1535300411335001E-2</c:v>
                </c:pt>
                <c:pt idx="1298">
                  <c:v>2.15264051536046E-2</c:v>
                </c:pt>
                <c:pt idx="1299">
                  <c:v>2.1517459321689358E-2</c:v>
                </c:pt>
                <c:pt idx="1300">
                  <c:v>2.1508462915509341E-2</c:v>
                </c:pt>
                <c:pt idx="1301">
                  <c:v>2.1499415935144484E-2</c:v>
                </c:pt>
                <c:pt idx="1302">
                  <c:v>2.149031838051485E-2</c:v>
                </c:pt>
                <c:pt idx="1303">
                  <c:v>2.1481170251540505E-2</c:v>
                </c:pt>
                <c:pt idx="1304">
                  <c:v>2.1471971548381319E-2</c:v>
                </c:pt>
                <c:pt idx="1305">
                  <c:v>2.1462722270957357E-2</c:v>
                </c:pt>
                <c:pt idx="1306">
                  <c:v>2.1453422419348556E-2</c:v>
                </c:pt>
                <c:pt idx="1307">
                  <c:v>2.1444071993395042E-2</c:v>
                </c:pt>
                <c:pt idx="1308">
                  <c:v>2.1434670993336624E-2</c:v>
                </c:pt>
                <c:pt idx="1309">
                  <c:v>2.1425219418933494E-2</c:v>
                </c:pt>
                <c:pt idx="1310">
                  <c:v>2.1415717270425461E-2</c:v>
                </c:pt>
                <c:pt idx="1311">
                  <c:v>2.1406164547572715E-2</c:v>
                </c:pt>
                <c:pt idx="1312">
                  <c:v>2.1396561250615065E-2</c:v>
                </c:pt>
                <c:pt idx="1313">
                  <c:v>2.1386907379472575E-2</c:v>
                </c:pt>
                <c:pt idx="1314">
                  <c:v>2.1377202934065309E-2</c:v>
                </c:pt>
                <c:pt idx="1315">
                  <c:v>2.1367447914393267E-2</c:v>
                </c:pt>
                <c:pt idx="1316">
                  <c:v>2.1357642320616321E-2</c:v>
                </c:pt>
                <c:pt idx="1317">
                  <c:v>2.1347786152574599E-2</c:v>
                </c:pt>
                <c:pt idx="1318">
                  <c:v>2.1337879410348037E-2</c:v>
                </c:pt>
                <c:pt idx="1319">
                  <c:v>2.1327922093936635E-2</c:v>
                </c:pt>
                <c:pt idx="1320">
                  <c:v>2.1317914203420329E-2</c:v>
                </c:pt>
                <c:pt idx="1321">
                  <c:v>2.1307855738639248E-2</c:v>
                </c:pt>
                <c:pt idx="1322">
                  <c:v>2.1297746699833198E-2</c:v>
                </c:pt>
                <c:pt idx="1323">
                  <c:v>2.12875870866025E-2</c:v>
                </c:pt>
                <c:pt idx="1324">
                  <c:v>2.127737689942677E-2</c:v>
                </c:pt>
                <c:pt idx="1325">
                  <c:v>2.12671161380662E-2</c:v>
                </c:pt>
                <c:pt idx="1326">
                  <c:v>2.1256804802440854E-2</c:v>
                </c:pt>
                <c:pt idx="1327">
                  <c:v>2.124644289279054E-2</c:v>
                </c:pt>
                <c:pt idx="1328">
                  <c:v>2.123603040887545E-2</c:v>
                </c:pt>
                <c:pt idx="1329">
                  <c:v>2.1225567350855457E-2</c:v>
                </c:pt>
                <c:pt idx="1330">
                  <c:v>2.1215053718730559E-2</c:v>
                </c:pt>
                <c:pt idx="1331">
                  <c:v>2.1204489512420821E-2</c:v>
                </c:pt>
                <c:pt idx="1332">
                  <c:v>2.1193874732006179E-2</c:v>
                </c:pt>
                <c:pt idx="1333">
                  <c:v>2.118320937756657E-2</c:v>
                </c:pt>
                <c:pt idx="1334">
                  <c:v>2.117249344894212E-2</c:v>
                </c:pt>
                <c:pt idx="1335">
                  <c:v>2.1161726946132831E-2</c:v>
                </c:pt>
                <c:pt idx="1336">
                  <c:v>2.1150909869218637E-2</c:v>
                </c:pt>
                <c:pt idx="1337">
                  <c:v>2.1139409053335001E-2</c:v>
                </c:pt>
                <c:pt idx="1338">
                  <c:v>2.1129123993155474E-2</c:v>
                </c:pt>
                <c:pt idx="1339">
                  <c:v>2.1118155193926569E-2</c:v>
                </c:pt>
                <c:pt idx="1340">
                  <c:v>2.110713582059276E-2</c:v>
                </c:pt>
                <c:pt idx="1341">
                  <c:v>2.1096065873313918E-2</c:v>
                </c:pt>
                <c:pt idx="1342">
                  <c:v>2.1084945351850237E-2</c:v>
                </c:pt>
                <c:pt idx="1343">
                  <c:v>2.1073774256281652E-2</c:v>
                </c:pt>
                <c:pt idx="1344">
                  <c:v>2.1062552586768035E-2</c:v>
                </c:pt>
                <c:pt idx="1345">
                  <c:v>2.1051280342989642E-2</c:v>
                </c:pt>
                <c:pt idx="1346">
                  <c:v>2.1039957525346153E-2</c:v>
                </c:pt>
                <c:pt idx="1347">
                  <c:v>2.1028584133517825E-2</c:v>
                </c:pt>
                <c:pt idx="1348">
                  <c:v>2.1017160167664528E-2</c:v>
                </c:pt>
                <c:pt idx="1349">
                  <c:v>2.1005685627786264E-2</c:v>
                </c:pt>
                <c:pt idx="1350">
                  <c:v>2.0994160513723159E-2</c:v>
                </c:pt>
                <c:pt idx="1351">
                  <c:v>2.0982584825874895E-2</c:v>
                </c:pt>
                <c:pt idx="1352">
                  <c:v>2.0970958563761855E-2</c:v>
                </c:pt>
                <c:pt idx="1353">
                  <c:v>2.0959281727703782E-2</c:v>
                </c:pt>
                <c:pt idx="1354">
                  <c:v>2.0947554317540806E-2</c:v>
                </c:pt>
                <c:pt idx="1355">
                  <c:v>2.0935776333512734E-2</c:v>
                </c:pt>
                <c:pt idx="1356">
                  <c:v>2.0923947775379759E-2</c:v>
                </c:pt>
                <c:pt idx="1357">
                  <c:v>2.0912068643221815E-2</c:v>
                </c:pt>
                <c:pt idx="1358">
                  <c:v>2.090013893711884E-2</c:v>
                </c:pt>
                <c:pt idx="1359">
                  <c:v>2.088815865691096E-2</c:v>
                </c:pt>
                <c:pt idx="1360">
                  <c:v>2.0876127802758049E-2</c:v>
                </c:pt>
                <c:pt idx="1361">
                  <c:v>2.0864046374660106E-2</c:v>
                </c:pt>
                <c:pt idx="1362">
                  <c:v>2.0851914372617131E-2</c:v>
                </c:pt>
                <c:pt idx="1363">
                  <c:v>2.0839731796389316E-2</c:v>
                </c:pt>
                <c:pt idx="1364">
                  <c:v>2.0827498646376341E-2</c:v>
                </c:pt>
                <c:pt idx="1365">
                  <c:v>2.0815214922338399E-2</c:v>
                </c:pt>
                <c:pt idx="1366">
                  <c:v>2.0802880624355424E-2</c:v>
                </c:pt>
                <c:pt idx="1367">
                  <c:v>2.0790495752427418E-2</c:v>
                </c:pt>
                <c:pt idx="1368">
                  <c:v>2.0778060306474444E-2</c:v>
                </c:pt>
                <c:pt idx="1369">
                  <c:v>2.0765574286576438E-2</c:v>
                </c:pt>
                <c:pt idx="1370">
                  <c:v>2.07530376927334E-2</c:v>
                </c:pt>
                <c:pt idx="1371">
                  <c:v>2.0740450525025267E-2</c:v>
                </c:pt>
                <c:pt idx="1372">
                  <c:v>2.0727812783292165E-2</c:v>
                </c:pt>
                <c:pt idx="1373">
                  <c:v>2.0715124467614032E-2</c:v>
                </c:pt>
                <c:pt idx="1374">
                  <c:v>2.0702385578150739E-2</c:v>
                </c:pt>
                <c:pt idx="1375">
                  <c:v>2.0689596114742415E-2</c:v>
                </c:pt>
                <c:pt idx="1376">
                  <c:v>2.0676756077229186E-2</c:v>
                </c:pt>
                <c:pt idx="1377">
                  <c:v>2.0663865466010733E-2</c:v>
                </c:pt>
                <c:pt idx="1378">
                  <c:v>2.0650924280847249E-2</c:v>
                </c:pt>
                <c:pt idx="1379">
                  <c:v>2.0637932521738733E-2</c:v>
                </c:pt>
                <c:pt idx="1380">
                  <c:v>2.0624890188765121E-2</c:v>
                </c:pt>
                <c:pt idx="1381">
                  <c:v>2.0611797281926414E-2</c:v>
                </c:pt>
                <c:pt idx="1382">
                  <c:v>2.0598653801302547E-2</c:v>
                </c:pt>
                <c:pt idx="1383">
                  <c:v>2.0585459746573775E-2</c:v>
                </c:pt>
                <c:pt idx="1384">
                  <c:v>2.0572215118059844E-2</c:v>
                </c:pt>
                <c:pt idx="1385">
                  <c:v>2.0558919915760754E-2</c:v>
                </c:pt>
                <c:pt idx="1386">
                  <c:v>2.0545574139516631E-2</c:v>
                </c:pt>
                <c:pt idx="1387">
                  <c:v>2.0532177789487349E-2</c:v>
                </c:pt>
                <c:pt idx="1388">
                  <c:v>2.0517216811862582E-2</c:v>
                </c:pt>
                <c:pt idx="1389">
                  <c:v>2.0505233367913434E-2</c:v>
                </c:pt>
                <c:pt idx="1390">
                  <c:v>2.0491685296288864E-2</c:v>
                </c:pt>
                <c:pt idx="1391">
                  <c:v>2.0478086650959071E-2</c:v>
                </c:pt>
                <c:pt idx="1392">
                  <c:v>2.0464437431684246E-2</c:v>
                </c:pt>
                <c:pt idx="1393">
                  <c:v>2.0450737638624261E-2</c:v>
                </c:pt>
                <c:pt idx="1394">
                  <c:v>2.0436987271779117E-2</c:v>
                </c:pt>
                <c:pt idx="1395">
                  <c:v>2.0423186331148813E-2</c:v>
                </c:pt>
                <c:pt idx="1396">
                  <c:v>2.0409334816653413E-2</c:v>
                </c:pt>
                <c:pt idx="1397">
                  <c:v>2.0395432728372853E-2</c:v>
                </c:pt>
                <c:pt idx="1398">
                  <c:v>2.038148006638707E-2</c:v>
                </c:pt>
                <c:pt idx="1399">
                  <c:v>2.0367476830616127E-2</c:v>
                </c:pt>
                <c:pt idx="1400">
                  <c:v>2.0353423021060024E-2</c:v>
                </c:pt>
                <c:pt idx="1401">
                  <c:v>2.033931863755889E-2</c:v>
                </c:pt>
                <c:pt idx="1402">
                  <c:v>2.0325163680512404E-2</c:v>
                </c:pt>
                <c:pt idx="1403">
                  <c:v>2.0310958149520886E-2</c:v>
                </c:pt>
                <c:pt idx="1404">
                  <c:v>2.029670204490408E-2</c:v>
                </c:pt>
                <c:pt idx="1405">
                  <c:v>2.0282395366582051E-2</c:v>
                </c:pt>
                <c:pt idx="1406">
                  <c:v>2.026803811431499E-2</c:v>
                </c:pt>
                <c:pt idx="1407">
                  <c:v>2.0253630288502578E-2</c:v>
                </c:pt>
                <c:pt idx="1408">
                  <c:v>2.0239171888905005E-2</c:v>
                </c:pt>
                <c:pt idx="1409">
                  <c:v>2.0224662915522273E-2</c:v>
                </c:pt>
                <c:pt idx="1410">
                  <c:v>2.021010336859419E-2</c:v>
                </c:pt>
                <c:pt idx="1411">
                  <c:v>2.0195493247801011E-2</c:v>
                </c:pt>
                <c:pt idx="1412">
                  <c:v>2.0180832553302608E-2</c:v>
                </c:pt>
                <c:pt idx="1413">
                  <c:v>2.0166121285098981E-2</c:v>
                </c:pt>
                <c:pt idx="1414">
                  <c:v>2.0151359443350003E-2</c:v>
                </c:pt>
                <c:pt idx="1415">
                  <c:v>2.0136547027815865E-2</c:v>
                </c:pt>
                <c:pt idx="1416">
                  <c:v>2.012168403865644E-2</c:v>
                </c:pt>
                <c:pt idx="1417">
                  <c:v>2.0106770475711855E-2</c:v>
                </c:pt>
                <c:pt idx="1418">
                  <c:v>2.0091806339141982E-2</c:v>
                </c:pt>
                <c:pt idx="1419">
                  <c:v>2.0076791628946822E-2</c:v>
                </c:pt>
                <c:pt idx="1420">
                  <c:v>2.0061726345126374E-2</c:v>
                </c:pt>
                <c:pt idx="1421">
                  <c:v>2.0046610487600702E-2</c:v>
                </c:pt>
                <c:pt idx="1422">
                  <c:v>2.0031444056369807E-2</c:v>
                </c:pt>
                <c:pt idx="1423">
                  <c:v>2.0016227051673496E-2</c:v>
                </c:pt>
                <c:pt idx="1424">
                  <c:v>2.0000959473192026E-2</c:v>
                </c:pt>
                <c:pt idx="1425">
                  <c:v>1.998564132124514E-2</c:v>
                </c:pt>
                <c:pt idx="1426">
                  <c:v>1.9966431725211287E-2</c:v>
                </c:pt>
                <c:pt idx="1427">
                  <c:v>1.99515437805875E-2</c:v>
                </c:pt>
                <c:pt idx="1428">
                  <c:v>1.993605774250895E-2</c:v>
                </c:pt>
                <c:pt idx="1429">
                  <c:v>1.9920521126595148E-2</c:v>
                </c:pt>
                <c:pt idx="1430">
                  <c:v>1.9904933932846092E-2</c:v>
                </c:pt>
                <c:pt idx="1431">
                  <c:v>1.9889296161235137E-2</c:v>
                </c:pt>
                <c:pt idx="1432">
                  <c:v>1.9873607811868865E-2</c:v>
                </c:pt>
                <c:pt idx="1433">
                  <c:v>1.9857868884693985E-2</c:v>
                </c:pt>
                <c:pt idx="1434">
                  <c:v>1.9842079379763788E-2</c:v>
                </c:pt>
                <c:pt idx="1435">
                  <c:v>1.9826239297078274E-2</c:v>
                </c:pt>
                <c:pt idx="1436">
                  <c:v>1.9810348636717379E-2</c:v>
                </c:pt>
                <c:pt idx="1437">
                  <c:v>1.9794407398627811E-2</c:v>
                </c:pt>
                <c:pt idx="1438">
                  <c:v>1.9770461035655273E-2</c:v>
                </c:pt>
                <c:pt idx="1439">
                  <c:v>1.9762373189449178E-2</c:v>
                </c:pt>
                <c:pt idx="1440">
                  <c:v>1.9746280218386758E-2</c:v>
                </c:pt>
                <c:pt idx="1441">
                  <c:v>1.9730136669702247E-2</c:v>
                </c:pt>
                <c:pt idx="1442">
                  <c:v>1.9713942543422291E-2</c:v>
                </c:pt>
                <c:pt idx="1443">
                  <c:v>1.969769783954689E-2</c:v>
                </c:pt>
                <c:pt idx="1444">
                  <c:v>1.9681402558129335E-2</c:v>
                </c:pt>
                <c:pt idx="1445">
                  <c:v>1.9665056699169625E-2</c:v>
                </c:pt>
                <c:pt idx="1446">
                  <c:v>1.9648660262694406E-2</c:v>
                </c:pt>
                <c:pt idx="1447">
                  <c:v>1.9632213248730324E-2</c:v>
                </c:pt>
                <c:pt idx="1448">
                  <c:v>1.9615715657304023E-2</c:v>
                </c:pt>
                <c:pt idx="1449">
                  <c:v>1.9599167488388858E-2</c:v>
                </c:pt>
                <c:pt idx="1450">
                  <c:v>1.9582568742064765E-2</c:v>
                </c:pt>
                <c:pt idx="1451">
                  <c:v>1.95659194183051E-2</c:v>
                </c:pt>
                <c:pt idx="1452">
                  <c:v>1.9549219517163152E-2</c:v>
                </c:pt>
                <c:pt idx="1453">
                  <c:v>1.9532507308666069E-2</c:v>
                </c:pt>
                <c:pt idx="1454">
                  <c:v>1.9515861801746581E-2</c:v>
                </c:pt>
                <c:pt idx="1455">
                  <c:v>1.9499286699975471E-2</c:v>
                </c:pt>
                <c:pt idx="1456">
                  <c:v>1.9482782003299448E-2</c:v>
                </c:pt>
                <c:pt idx="1457">
                  <c:v>1.9466347711745158E-2</c:v>
                </c:pt>
                <c:pt idx="1458">
                  <c:v>1.9449983825179373E-2</c:v>
                </c:pt>
                <c:pt idx="1459">
                  <c:v>1.9433690343655385E-2</c:v>
                </c:pt>
                <c:pt idx="1460">
                  <c:v>1.9417467267119903E-2</c:v>
                </c:pt>
                <c:pt idx="1461">
                  <c:v>1.9401314595546282E-2</c:v>
                </c:pt>
                <c:pt idx="1462">
                  <c:v>1.938523232888123E-2</c:v>
                </c:pt>
                <c:pt idx="1463">
                  <c:v>1.9369220467151393E-2</c:v>
                </c:pt>
                <c:pt idx="1464">
                  <c:v>1.9353279010276836E-2</c:v>
                </c:pt>
                <c:pt idx="1465">
                  <c:v>1.9337407958230912E-2</c:v>
                </c:pt>
                <c:pt idx="1466">
                  <c:v>1.9321607311066913E-2</c:v>
                </c:pt>
                <c:pt idx="1467">
                  <c:v>1.9305877068651611E-2</c:v>
                </c:pt>
                <c:pt idx="1468">
                  <c:v>1.9290217231011653E-2</c:v>
                </c:pt>
                <c:pt idx="1469">
                  <c:v>1.9274627798120392E-2</c:v>
                </c:pt>
                <c:pt idx="1470">
                  <c:v>1.9259108769924538E-2</c:v>
                </c:pt>
                <c:pt idx="1471">
                  <c:v>1.9243660146397445E-2</c:v>
                </c:pt>
                <c:pt idx="1472">
                  <c:v>1.9228281927512469E-2</c:v>
                </c:pt>
                <c:pt idx="1473">
                  <c:v>1.9212974113296255E-2</c:v>
                </c:pt>
                <c:pt idx="1474">
                  <c:v>1.9197736703668866E-2</c:v>
                </c:pt>
                <c:pt idx="1475">
                  <c:v>1.9182569698630303E-2</c:v>
                </c:pt>
                <c:pt idx="1476">
                  <c:v>1.9167473098100629E-2</c:v>
                </c:pt>
                <c:pt idx="1477">
                  <c:v>1.915244690210649E-2</c:v>
                </c:pt>
                <c:pt idx="1478">
                  <c:v>1.9131658166893217E-2</c:v>
                </c:pt>
                <c:pt idx="1479">
                  <c:v>1.9117349987451959E-2</c:v>
                </c:pt>
                <c:pt idx="1480">
                  <c:v>1.9102556690944184E-2</c:v>
                </c:pt>
                <c:pt idx="1481">
                  <c:v>1.9087833790205622E-2</c:v>
                </c:pt>
                <c:pt idx="1482">
                  <c:v>1.9073181285236274E-2</c:v>
                </c:pt>
                <c:pt idx="1483">
                  <c:v>1.9058599175956203E-2</c:v>
                </c:pt>
                <c:pt idx="1484">
                  <c:v>1.9044087462285475E-2</c:v>
                </c:pt>
                <c:pt idx="1485">
                  <c:v>1.9029646144543833E-2</c:v>
                </c:pt>
                <c:pt idx="1486">
                  <c:v>1.901527522225166E-2</c:v>
                </c:pt>
                <c:pt idx="1487">
                  <c:v>1.9000974695728701E-2</c:v>
                </c:pt>
                <c:pt idx="1488">
                  <c:v>1.8986744564895019E-2</c:v>
                </c:pt>
                <c:pt idx="1489">
                  <c:v>1.8972584829590744E-2</c:v>
                </c:pt>
                <c:pt idx="1490">
                  <c:v>1.8958495490055682E-2</c:v>
                </c:pt>
                <c:pt idx="1491">
                  <c:v>1.8944476546050026E-2</c:v>
                </c:pt>
                <c:pt idx="1492">
                  <c:v>1.893052799789352E-2</c:v>
                </c:pt>
                <c:pt idx="1493">
                  <c:v>1.8912697588584493E-2</c:v>
                </c:pt>
                <c:pt idx="1494">
                  <c:v>1.8902842088248661E-2</c:v>
                </c:pt>
                <c:pt idx="1495">
                  <c:v>1.8889104726760308E-2</c:v>
                </c:pt>
                <c:pt idx="1496">
                  <c:v>1.8873491083821747E-2</c:v>
                </c:pt>
                <c:pt idx="1497">
                  <c:v>1.8859904570067698E-2</c:v>
                </c:pt>
                <c:pt idx="1498">
                  <c:v>1.8846388452002927E-2</c:v>
                </c:pt>
                <c:pt idx="1499">
                  <c:v>1.8832942729387625E-2</c:v>
                </c:pt>
                <c:pt idx="1500">
                  <c:v>1.8819567402461601E-2</c:v>
                </c:pt>
                <c:pt idx="1501">
                  <c:v>1.8806262471064983E-2</c:v>
                </c:pt>
                <c:pt idx="1502">
                  <c:v>1.8793027935117834E-2</c:v>
                </c:pt>
                <c:pt idx="1503">
                  <c:v>1.8779863794780027E-2</c:v>
                </c:pt>
                <c:pt idx="1504">
                  <c:v>1.8766770049971626E-2</c:v>
                </c:pt>
                <c:pt idx="1505">
                  <c:v>1.8753746700692631E-2</c:v>
                </c:pt>
                <c:pt idx="1506">
                  <c:v>1.8740793746943041E-2</c:v>
                </c:pt>
                <c:pt idx="1507">
                  <c:v>1.8727911188722857E-2</c:v>
                </c:pt>
                <c:pt idx="1508">
                  <c:v>1.8715099026032078E-2</c:v>
                </c:pt>
                <c:pt idx="1509">
                  <c:v>1.8702357258870705E-2</c:v>
                </c:pt>
                <c:pt idx="1510">
                  <c:v>1.8689685887158802E-2</c:v>
                </c:pt>
                <c:pt idx="1511">
                  <c:v>1.8677084910816433E-2</c:v>
                </c:pt>
                <c:pt idx="1512">
                  <c:v>1.8664554330083405E-2</c:v>
                </c:pt>
                <c:pt idx="1513">
                  <c:v>1.8652094144879783E-2</c:v>
                </c:pt>
                <c:pt idx="1514">
                  <c:v>1.8639704355045694E-2</c:v>
                </c:pt>
                <c:pt idx="1515">
                  <c:v>1.8627384960581139E-2</c:v>
                </c:pt>
                <c:pt idx="1516">
                  <c:v>1.861513596164599E-2</c:v>
                </c:pt>
                <c:pt idx="1517">
                  <c:v>1.860295735816031E-2</c:v>
                </c:pt>
                <c:pt idx="1518">
                  <c:v>1.85908491501241E-2</c:v>
                </c:pt>
                <c:pt idx="1519">
                  <c:v>1.8578811337457424E-2</c:v>
                </c:pt>
                <c:pt idx="1520">
                  <c:v>1.8566843920320153E-2</c:v>
                </c:pt>
                <c:pt idx="1521">
                  <c:v>1.855494689847248E-2</c:v>
                </c:pt>
                <c:pt idx="1522">
                  <c:v>1.8543120272074276E-2</c:v>
                </c:pt>
                <c:pt idx="1523">
                  <c:v>1.8531364041125542E-2</c:v>
                </c:pt>
                <c:pt idx="1524">
                  <c:v>1.8519678205546342E-2</c:v>
                </c:pt>
                <c:pt idx="1525">
                  <c:v>1.8508062765256739E-2</c:v>
                </c:pt>
                <c:pt idx="1526">
                  <c:v>1.8496517720496541E-2</c:v>
                </c:pt>
                <c:pt idx="1527">
                  <c:v>1.8485043070946006E-2</c:v>
                </c:pt>
                <c:pt idx="1528">
                  <c:v>1.8473638816924876E-2</c:v>
                </c:pt>
                <c:pt idx="1529">
                  <c:v>1.8462304958193343E-2</c:v>
                </c:pt>
                <c:pt idx="1530">
                  <c:v>1.8449109945031239E-2</c:v>
                </c:pt>
                <c:pt idx="1531">
                  <c:v>1.8438255163637507E-2</c:v>
                </c:pt>
                <c:pt idx="1532">
                  <c:v>1.8427142547450259E-2</c:v>
                </c:pt>
                <c:pt idx="1533">
                  <c:v>1.8416100326392737E-2</c:v>
                </c:pt>
                <c:pt idx="1534">
                  <c:v>1.840512850086462E-2</c:v>
                </c:pt>
                <c:pt idx="1535">
                  <c:v>1.8394227070626101E-2</c:v>
                </c:pt>
                <c:pt idx="1536">
                  <c:v>1.8383396035597244E-2</c:v>
                </c:pt>
                <c:pt idx="1537">
                  <c:v>1.8372635396017856E-2</c:v>
                </c:pt>
                <c:pt idx="1538">
                  <c:v>1.8361945151728065E-2</c:v>
                </c:pt>
                <c:pt idx="1539">
                  <c:v>1.8351325302568E-2</c:v>
                </c:pt>
                <c:pt idx="1540">
                  <c:v>1.8340775848857405E-2</c:v>
                </c:pt>
                <c:pt idx="1541">
                  <c:v>1.8330296790436407E-2</c:v>
                </c:pt>
                <c:pt idx="1542">
                  <c:v>1.831988812722507E-2</c:v>
                </c:pt>
                <c:pt idx="1543">
                  <c:v>1.8309549859303331E-2</c:v>
                </c:pt>
                <c:pt idx="1544">
                  <c:v>1.8297820894224159E-2</c:v>
                </c:pt>
                <c:pt idx="1545">
                  <c:v>1.82876334733173E-2</c:v>
                </c:pt>
                <c:pt idx="1546">
                  <c:v>1.8277516447460229E-2</c:v>
                </c:pt>
                <c:pt idx="1547">
                  <c:v>1.8266717163513135E-2</c:v>
                </c:pt>
                <c:pt idx="1548">
                  <c:v>1.8257493581774753E-2</c:v>
                </c:pt>
                <c:pt idx="1549">
                  <c:v>1.8247587741786475E-2</c:v>
                </c:pt>
                <c:pt idx="1550">
                  <c:v>1.8237752297087795E-2</c:v>
                </c:pt>
                <c:pt idx="1551">
                  <c:v>1.822798724751884E-2</c:v>
                </c:pt>
                <c:pt idx="1552">
                  <c:v>1.8218292593159546E-2</c:v>
                </c:pt>
                <c:pt idx="1553">
                  <c:v>1.8208668334009914E-2</c:v>
                </c:pt>
                <c:pt idx="1554">
                  <c:v>1.8199114470069944E-2</c:v>
                </c:pt>
                <c:pt idx="1555">
                  <c:v>1.8189631001339635E-2</c:v>
                </c:pt>
                <c:pt idx="1556">
                  <c:v>1.8180217927898923E-2</c:v>
                </c:pt>
                <c:pt idx="1557">
                  <c:v>1.8170875249508001E-2</c:v>
                </c:pt>
                <c:pt idx="1558">
                  <c:v>1.816160296632674E-2</c:v>
                </c:pt>
                <c:pt idx="1559">
                  <c:v>1.8152401078275204E-2</c:v>
                </c:pt>
                <c:pt idx="1560">
                  <c:v>1.8143269585513266E-2</c:v>
                </c:pt>
                <c:pt idx="1561">
                  <c:v>1.8134208487801118E-2</c:v>
                </c:pt>
                <c:pt idx="1562">
                  <c:v>1.8125217785378567E-2</c:v>
                </c:pt>
                <c:pt idx="1563">
                  <c:v>1.8116297478005805E-2</c:v>
                </c:pt>
                <c:pt idx="1564">
                  <c:v>1.8107447565762769E-2</c:v>
                </c:pt>
                <c:pt idx="1565">
                  <c:v>1.8098668048729394E-2</c:v>
                </c:pt>
                <c:pt idx="1566">
                  <c:v>1.8089958926825744E-2</c:v>
                </c:pt>
                <c:pt idx="1567">
                  <c:v>1.8081320199971884E-2</c:v>
                </c:pt>
                <c:pt idx="1568">
                  <c:v>1.8072751868407622E-2</c:v>
                </c:pt>
                <c:pt idx="1569">
                  <c:v>1.8064253931733276E-2</c:v>
                </c:pt>
                <c:pt idx="1570">
                  <c:v>1.8055826390348528E-2</c:v>
                </c:pt>
                <c:pt idx="1571">
                  <c:v>1.8047469244093506E-2</c:v>
                </c:pt>
                <c:pt idx="1572">
                  <c:v>1.8039182492808337E-2</c:v>
                </c:pt>
                <c:pt idx="1573">
                  <c:v>1.8030966136812765E-2</c:v>
                </c:pt>
                <c:pt idx="1574">
                  <c:v>1.8022820175787047E-2</c:v>
                </c:pt>
                <c:pt idx="1575">
                  <c:v>1.8014744609891054E-2</c:v>
                </c:pt>
                <c:pt idx="1576">
                  <c:v>1.8006739439124786E-2</c:v>
                </c:pt>
                <c:pt idx="1577">
                  <c:v>1.7998804663328372E-2</c:v>
                </c:pt>
                <c:pt idx="1578">
                  <c:v>1.7990940282661683E-2</c:v>
                </c:pt>
                <c:pt idx="1579">
                  <c:v>1.7983146297124719E-2</c:v>
                </c:pt>
                <c:pt idx="1580">
                  <c:v>1.7975422706637545E-2</c:v>
                </c:pt>
                <c:pt idx="1581">
                  <c:v>1.796748456763142E-2</c:v>
                </c:pt>
                <c:pt idx="1582">
                  <c:v>1.7959915719083508E-2</c:v>
                </c:pt>
                <c:pt idx="1583">
                  <c:v>1.7952674305474758E-2</c:v>
                </c:pt>
                <c:pt idx="1584">
                  <c:v>1.7945232295186742E-2</c:v>
                </c:pt>
                <c:pt idx="1585">
                  <c:v>1.793786068002845E-2</c:v>
                </c:pt>
                <c:pt idx="1586">
                  <c:v>1.7930559459840012E-2</c:v>
                </c:pt>
                <c:pt idx="1587">
                  <c:v>1.7923328634701363E-2</c:v>
                </c:pt>
                <c:pt idx="1588">
                  <c:v>1.7916168204612504E-2</c:v>
                </c:pt>
                <c:pt idx="1589">
                  <c:v>1.7909078169573434E-2</c:v>
                </c:pt>
                <c:pt idx="1590">
                  <c:v>1.7902058529504217E-2</c:v>
                </c:pt>
                <c:pt idx="1591">
                  <c:v>1.7895109284324917E-2</c:v>
                </c:pt>
                <c:pt idx="1592">
                  <c:v>1.7888230434435215E-2</c:v>
                </c:pt>
                <c:pt idx="1593">
                  <c:v>1.788142197943543E-2</c:v>
                </c:pt>
                <c:pt idx="1594">
                  <c:v>1.7874683919485435E-2</c:v>
                </c:pt>
                <c:pt idx="1595">
                  <c:v>1.7868016254585228E-2</c:v>
                </c:pt>
                <c:pt idx="1596">
                  <c:v>1.7861418984495003E-2</c:v>
                </c:pt>
                <c:pt idx="1597">
                  <c:v>1.7854892109534504E-2</c:v>
                </c:pt>
                <c:pt idx="1598">
                  <c:v>1.7848374826852975E-2</c:v>
                </c:pt>
                <c:pt idx="1599">
                  <c:v>1.7842049544603E-2</c:v>
                </c:pt>
                <c:pt idx="1600">
                  <c:v>1.7835733854631997E-2</c:v>
                </c:pt>
                <c:pt idx="1601">
                  <c:v>1.7829488559630846E-2</c:v>
                </c:pt>
                <c:pt idx="1602">
                  <c:v>1.7823313659679485E-2</c:v>
                </c:pt>
                <c:pt idx="1603">
                  <c:v>1.7817209154458169E-2</c:v>
                </c:pt>
                <c:pt idx="1604">
                  <c:v>1.7811175044446514E-2</c:v>
                </c:pt>
                <c:pt idx="1605">
                  <c:v>1.7805211329404713E-2</c:v>
                </c:pt>
                <c:pt idx="1606">
                  <c:v>1.7799318009172893E-2</c:v>
                </c:pt>
                <c:pt idx="1607">
                  <c:v>1.7793495083910926E-2</c:v>
                </c:pt>
                <c:pt idx="1608">
                  <c:v>1.7787742553778685E-2</c:v>
                </c:pt>
                <c:pt idx="1609">
                  <c:v>1.7782060418536361E-2</c:v>
                </c:pt>
                <c:pt idx="1610">
                  <c:v>1.7776448678183954E-2</c:v>
                </c:pt>
                <c:pt idx="1611">
                  <c:v>1.77709073328014E-2</c:v>
                </c:pt>
                <c:pt idx="1612">
                  <c:v>1.7765436382468636E-2</c:v>
                </c:pt>
                <c:pt idx="1613">
                  <c:v>1.7760035826945852E-2</c:v>
                </c:pt>
                <c:pt idx="1614">
                  <c:v>1.7754705666392923E-2</c:v>
                </c:pt>
                <c:pt idx="1615">
                  <c:v>1.7749445900809846E-2</c:v>
                </c:pt>
                <c:pt idx="1616">
                  <c:v>1.7744256530116687E-2</c:v>
                </c:pt>
                <c:pt idx="1617">
                  <c:v>1.773913755439338E-2</c:v>
                </c:pt>
                <c:pt idx="1618">
                  <c:v>1.7734088973559992E-2</c:v>
                </c:pt>
                <c:pt idx="1619">
                  <c:v>1.7729110787696456E-2</c:v>
                </c:pt>
                <c:pt idx="1620">
                  <c:v>1.7724202996722838E-2</c:v>
                </c:pt>
                <c:pt idx="1621">
                  <c:v>1.7719365600639136E-2</c:v>
                </c:pt>
                <c:pt idx="1622">
                  <c:v>1.7714598599525289E-2</c:v>
                </c:pt>
                <c:pt idx="1623">
                  <c:v>1.7709901993381294E-2</c:v>
                </c:pt>
                <c:pt idx="1624">
                  <c:v>1.7705275781967345E-2</c:v>
                </c:pt>
                <c:pt idx="1625">
                  <c:v>1.770071996568312E-2</c:v>
                </c:pt>
                <c:pt idx="1626">
                  <c:v>1.7696234544128941E-2</c:v>
                </c:pt>
                <c:pt idx="1627">
                  <c:v>1.769181951746468E-2</c:v>
                </c:pt>
                <c:pt idx="1628">
                  <c:v>1.7687474885850207E-2</c:v>
                </c:pt>
                <c:pt idx="1629">
                  <c:v>1.7683200649045716E-2</c:v>
                </c:pt>
                <c:pt idx="1630">
                  <c:v>1.7678996807131142E-2</c:v>
                </c:pt>
                <c:pt idx="1631">
                  <c:v>1.7674863360106485E-2</c:v>
                </c:pt>
                <c:pt idx="1632">
                  <c:v>1.7670800308051682E-2</c:v>
                </c:pt>
                <c:pt idx="1633">
                  <c:v>1.7666807650726923E-2</c:v>
                </c:pt>
                <c:pt idx="1634">
                  <c:v>1.7662885388451954E-2</c:v>
                </c:pt>
                <c:pt idx="1635">
                  <c:v>1.7659033520986966E-2</c:v>
                </c:pt>
                <c:pt idx="1636">
                  <c:v>1.765525204833196E-2</c:v>
                </c:pt>
                <c:pt idx="1637">
                  <c:v>1.765154097056687E-2</c:v>
                </c:pt>
                <c:pt idx="1638">
                  <c:v>1.764790028785157E-2</c:v>
                </c:pt>
                <c:pt idx="1639">
                  <c:v>1.7644329999866315E-2</c:v>
                </c:pt>
                <c:pt idx="1640">
                  <c:v>1.7640830106770977E-2</c:v>
                </c:pt>
                <c:pt idx="1641">
                  <c:v>1.7637400608565557E-2</c:v>
                </c:pt>
                <c:pt idx="1642">
                  <c:v>1.7634041505250053E-2</c:v>
                </c:pt>
                <c:pt idx="1643">
                  <c:v>1.7630752796744531E-2</c:v>
                </c:pt>
                <c:pt idx="1644">
                  <c:v>1.762753448304899E-2</c:v>
                </c:pt>
                <c:pt idx="1645">
                  <c:v>1.7624386564323302E-2</c:v>
                </c:pt>
                <c:pt idx="1646">
                  <c:v>1.7621309040407596E-2</c:v>
                </c:pt>
                <c:pt idx="1647">
                  <c:v>1.7618301911381806E-2</c:v>
                </c:pt>
                <c:pt idx="1648">
                  <c:v>1.761626429444263E-2</c:v>
                </c:pt>
                <c:pt idx="1649">
                  <c:v>1.7612498837840107E-2</c:v>
                </c:pt>
                <c:pt idx="1650">
                  <c:v>1.7609702893404133E-2</c:v>
                </c:pt>
                <c:pt idx="1651">
                  <c:v>1.7606977343698205E-2</c:v>
                </c:pt>
                <c:pt idx="1652">
                  <c:v>1.7604322188962129E-2</c:v>
                </c:pt>
                <c:pt idx="1653">
                  <c:v>1.7601737429036035E-2</c:v>
                </c:pt>
                <c:pt idx="1654">
                  <c:v>1.7599223063999858E-2</c:v>
                </c:pt>
                <c:pt idx="1655">
                  <c:v>1.7596779093693726E-2</c:v>
                </c:pt>
                <c:pt idx="1656">
                  <c:v>1.7594405518277512E-2</c:v>
                </c:pt>
                <c:pt idx="1657">
                  <c:v>1.759210233783115E-2</c:v>
                </c:pt>
                <c:pt idx="1658">
                  <c:v>1.7589869552114834E-2</c:v>
                </c:pt>
                <c:pt idx="1659">
                  <c:v>1.7587707161208499E-2</c:v>
                </c:pt>
                <c:pt idx="1660">
                  <c:v>1.7585615165112145E-2</c:v>
                </c:pt>
                <c:pt idx="1661">
                  <c:v>1.7583593563985644E-2</c:v>
                </c:pt>
                <c:pt idx="1662">
                  <c:v>1.7581642357589189E-2</c:v>
                </c:pt>
                <c:pt idx="1663">
                  <c:v>1.7579761546082651E-2</c:v>
                </c:pt>
                <c:pt idx="1664">
                  <c:v>1.7577951129386093E-2</c:v>
                </c:pt>
                <c:pt idx="1665">
                  <c:v>1.7576211107499518E-2</c:v>
                </c:pt>
                <c:pt idx="1666">
                  <c:v>1.7574541480422923E-2</c:v>
                </c:pt>
                <c:pt idx="1667">
                  <c:v>1.7572942248316181E-2</c:v>
                </c:pt>
                <c:pt idx="1668">
                  <c:v>1.7571413411019421E-2</c:v>
                </c:pt>
                <c:pt idx="1669">
                  <c:v>1.756995496837277E-2</c:v>
                </c:pt>
                <c:pt idx="1670">
                  <c:v>1.7568566920695972E-2</c:v>
                </c:pt>
                <c:pt idx="1671">
                  <c:v>1.7567249267749219E-2</c:v>
                </c:pt>
                <c:pt idx="1672">
                  <c:v>1.7566002009852255E-2</c:v>
                </c:pt>
                <c:pt idx="1673">
                  <c:v>1.7564825146605401E-2</c:v>
                </c:pt>
                <c:pt idx="1674">
                  <c:v>1.7563718678088591E-2</c:v>
                </c:pt>
                <c:pt idx="1675">
                  <c:v>1.7562682604541635E-2</c:v>
                </c:pt>
                <c:pt idx="1676">
                  <c:v>1.7561716925724724E-2</c:v>
                </c:pt>
                <c:pt idx="1677">
                  <c:v>1.7560821641877666E-2</c:v>
                </c:pt>
                <c:pt idx="1678">
                  <c:v>1.7559996752760654E-2</c:v>
                </c:pt>
                <c:pt idx="1679">
                  <c:v>1.7559242258453622E-2</c:v>
                </c:pt>
                <c:pt idx="1680">
                  <c:v>1.7558558158956572E-2</c:v>
                </c:pt>
                <c:pt idx="1681">
                  <c:v>1.7557944454349439E-2</c:v>
                </c:pt>
                <c:pt idx="1682">
                  <c:v>1.7557401144472351E-2</c:v>
                </c:pt>
                <c:pt idx="1683">
                  <c:v>1.7556928229405244E-2</c:v>
                </c:pt>
                <c:pt idx="1684">
                  <c:v>1.7556525709307991E-2</c:v>
                </c:pt>
                <c:pt idx="1685">
                  <c:v>1.7556193583940782E-2</c:v>
                </c:pt>
                <c:pt idx="1686">
                  <c:v>1.7555931853383555E-2</c:v>
                </c:pt>
                <c:pt idx="1687">
                  <c:v>1.7555740517716245E-2</c:v>
                </c:pt>
                <c:pt idx="1688">
                  <c:v>1.755561957677898E-2</c:v>
                </c:pt>
                <c:pt idx="1689">
                  <c:v>1.7555569030651696E-2</c:v>
                </c:pt>
                <c:pt idx="1690">
                  <c:v>1.755558887941433E-2</c:v>
                </c:pt>
                <c:pt idx="1691">
                  <c:v>1.7555679122986945E-2</c:v>
                </c:pt>
                <c:pt idx="1692">
                  <c:v>1.755583976136954E-2</c:v>
                </c:pt>
                <c:pt idx="1693">
                  <c:v>1.7556070794562117E-2</c:v>
                </c:pt>
                <c:pt idx="1694">
                  <c:v>1.755637222248474E-2</c:v>
                </c:pt>
                <c:pt idx="1695">
                  <c:v>1.7556744045377215E-2</c:v>
                </c:pt>
                <c:pt idx="1696">
                  <c:v>1.7557186263079672E-2</c:v>
                </c:pt>
                <c:pt idx="1697">
                  <c:v>1.7557698875512173E-2</c:v>
                </c:pt>
                <c:pt idx="1698">
                  <c:v>1.7558281882754656E-2</c:v>
                </c:pt>
                <c:pt idx="1699">
                  <c:v>1.7560849328098982E-2</c:v>
                </c:pt>
                <c:pt idx="1700">
                  <c:v>1.7559659081829437E-2</c:v>
                </c:pt>
                <c:pt idx="1701">
                  <c:v>1.75604532735818E-2</c:v>
                </c:pt>
                <c:pt idx="1702">
                  <c:v>1.7561317860144143E-2</c:v>
                </c:pt>
                <c:pt idx="1703">
                  <c:v>1.7562252841596404E-2</c:v>
                </c:pt>
                <c:pt idx="1704">
                  <c:v>1.7564415775614961E-2</c:v>
                </c:pt>
                <c:pt idx="1705">
                  <c:v>1.7565511766406416E-2</c:v>
                </c:pt>
                <c:pt idx="1706">
                  <c:v>1.7566678158908999E-2</c:v>
                </c:pt>
                <c:pt idx="1707">
                  <c:v>1.756791495312271E-2</c:v>
                </c:pt>
                <c:pt idx="1708">
                  <c:v>1.7569222149020902E-2</c:v>
                </c:pt>
                <c:pt idx="1709">
                  <c:v>1.7570599746630222E-2</c:v>
                </c:pt>
                <c:pt idx="1710">
                  <c:v>1.757204774595067E-2</c:v>
                </c:pt>
                <c:pt idx="1711">
                  <c:v>1.7573566146982245E-2</c:v>
                </c:pt>
                <c:pt idx="1712">
                  <c:v>1.7575154949751592E-2</c:v>
                </c:pt>
                <c:pt idx="1713">
                  <c:v>1.7576791271949332E-2</c:v>
                </c:pt>
                <c:pt idx="1714">
                  <c:v>1.7578427872724234E-2</c:v>
                </c:pt>
                <c:pt idx="1715">
                  <c:v>1.7580062537687624E-2</c:v>
                </c:pt>
                <c:pt idx="1716">
                  <c:v>1.7581695266892794E-2</c:v>
                </c:pt>
                <c:pt idx="1717">
                  <c:v>1.7583326060233162E-2</c:v>
                </c:pt>
                <c:pt idx="1718">
                  <c:v>1.758495491781531E-2</c:v>
                </c:pt>
                <c:pt idx="1719">
                  <c:v>1.7586581839559301E-2</c:v>
                </c:pt>
                <c:pt idx="1720">
                  <c:v>1.7588206825491781E-2</c:v>
                </c:pt>
                <c:pt idx="1721">
                  <c:v>1.758982987561275E-2</c:v>
                </c:pt>
                <c:pt idx="1722">
                  <c:v>1.7591450989895563E-2</c:v>
                </c:pt>
                <c:pt idx="1723">
                  <c:v>1.7593070168420155E-2</c:v>
                </c:pt>
                <c:pt idx="1724">
                  <c:v>1.7594687411079946E-2</c:v>
                </c:pt>
                <c:pt idx="1725">
                  <c:v>1.7596302717981516E-2</c:v>
                </c:pt>
                <c:pt idx="1726">
                  <c:v>1.7597916089018284E-2</c:v>
                </c:pt>
                <c:pt idx="1727">
                  <c:v>1.7599527524270187E-2</c:v>
                </c:pt>
                <c:pt idx="1728">
                  <c:v>1.7601137023710578E-2</c:v>
                </c:pt>
                <c:pt idx="1729">
                  <c:v>1.7602744587366104E-2</c:v>
                </c:pt>
                <c:pt idx="1730">
                  <c:v>1.7604350215156828E-2</c:v>
                </c:pt>
                <c:pt idx="1731">
                  <c:v>1.7605953907162686E-2</c:v>
                </c:pt>
                <c:pt idx="1732">
                  <c:v>1.7607555663383678E-2</c:v>
                </c:pt>
                <c:pt idx="1733">
                  <c:v>1.7609155483766514E-2</c:v>
                </c:pt>
                <c:pt idx="1734">
                  <c:v>1.7610753368311194E-2</c:v>
                </c:pt>
                <c:pt idx="1735">
                  <c:v>1.7612349317044362E-2</c:v>
                </c:pt>
                <c:pt idx="1736">
                  <c:v>1.761394333001931E-2</c:v>
                </c:pt>
                <c:pt idx="1737">
                  <c:v>1.7615535407129457E-2</c:v>
                </c:pt>
                <c:pt idx="1738">
                  <c:v>1.7617261935676254E-2</c:v>
                </c:pt>
                <c:pt idx="1739">
                  <c:v>1.7618304935362872E-2</c:v>
                </c:pt>
                <c:pt idx="1740">
                  <c:v>1.7619890496725077E-2</c:v>
                </c:pt>
                <c:pt idx="1741">
                  <c:v>1.7621474122515579E-2</c:v>
                </c:pt>
                <c:pt idx="1742">
                  <c:v>1.7623055812574506E-2</c:v>
                </c:pt>
                <c:pt idx="1743">
                  <c:v>1.7624635567141667E-2</c:v>
                </c:pt>
                <c:pt idx="1744">
                  <c:v>1.7626213386057188E-2</c:v>
                </c:pt>
                <c:pt idx="1745">
                  <c:v>1.7627789269161198E-2</c:v>
                </c:pt>
                <c:pt idx="1746">
                  <c:v>1.7629363216853378E-2</c:v>
                </c:pt>
                <c:pt idx="1747">
                  <c:v>1.7630935228813982E-2</c:v>
                </c:pt>
                <c:pt idx="1748">
                  <c:v>1.7632505305043011E-2</c:v>
                </c:pt>
                <c:pt idx="1749">
                  <c:v>1.7634073445700338E-2</c:v>
                </c:pt>
                <c:pt idx="1750">
                  <c:v>1.7635639650706025E-2</c:v>
                </c:pt>
                <c:pt idx="1751">
                  <c:v>1.763720392014001E-2</c:v>
                </c:pt>
                <c:pt idx="1752">
                  <c:v>1.7638766253922356E-2</c:v>
                </c:pt>
                <c:pt idx="1753">
                  <c:v>1.7640326651973126E-2</c:v>
                </c:pt>
                <c:pt idx="1754">
                  <c:v>1.7642330033913467E-2</c:v>
                </c:pt>
                <c:pt idx="1755">
                  <c:v>1.7643441641359559E-2</c:v>
                </c:pt>
                <c:pt idx="1756">
                  <c:v>1.7644996232455412E-2</c:v>
                </c:pt>
                <c:pt idx="1757">
                  <c:v>1.7646548888139435E-2</c:v>
                </c:pt>
                <c:pt idx="1758">
                  <c:v>1.7648099608171819E-2</c:v>
                </c:pt>
                <c:pt idx="1759">
                  <c:v>1.7649648392312756E-2</c:v>
                </c:pt>
                <c:pt idx="1760">
                  <c:v>1.7651195240961925E-2</c:v>
                </c:pt>
                <c:pt idx="1761">
                  <c:v>1.7652740153959456E-2</c:v>
                </c:pt>
                <c:pt idx="1762">
                  <c:v>1.765428313146522E-2</c:v>
                </c:pt>
                <c:pt idx="1763">
                  <c:v>1.7655824173159473E-2</c:v>
                </c:pt>
                <c:pt idx="1764">
                  <c:v>1.7657363279282023E-2</c:v>
                </c:pt>
                <c:pt idx="1765">
                  <c:v>1.7658900449752934E-2</c:v>
                </c:pt>
                <c:pt idx="1766">
                  <c:v>1.7660435684572207E-2</c:v>
                </c:pt>
                <c:pt idx="1767">
                  <c:v>1.766196898373984E-2</c:v>
                </c:pt>
                <c:pt idx="1768">
                  <c:v>1.766350034733577E-2</c:v>
                </c:pt>
                <c:pt idx="1769">
                  <c:v>1.7665029775280061E-2</c:v>
                </c:pt>
                <c:pt idx="1770">
                  <c:v>1.7666557267652649E-2</c:v>
                </c:pt>
                <c:pt idx="1771">
                  <c:v>1.7668082824133791E-2</c:v>
                </c:pt>
                <c:pt idx="1772">
                  <c:v>1.7669606445203101E-2</c:v>
                </c:pt>
                <c:pt idx="1773">
                  <c:v>1.7671128130540836E-2</c:v>
                </c:pt>
                <c:pt idx="1774">
                  <c:v>1.7672647880306869E-2</c:v>
                </c:pt>
                <c:pt idx="1775">
                  <c:v>1.7674165694421262E-2</c:v>
                </c:pt>
                <c:pt idx="1776">
                  <c:v>1.7675681572884017E-2</c:v>
                </c:pt>
                <c:pt idx="1777">
                  <c:v>1.7677195515695132E-2</c:v>
                </c:pt>
                <c:pt idx="1778">
                  <c:v>1.7678707522774673E-2</c:v>
                </c:pt>
                <c:pt idx="1779">
                  <c:v>1.7680217594362446E-2</c:v>
                </c:pt>
                <c:pt idx="1780">
                  <c:v>1.7681725730298581E-2</c:v>
                </c:pt>
                <c:pt idx="1781">
                  <c:v>1.7683231930583077E-2</c:v>
                </c:pt>
                <c:pt idx="1782">
                  <c:v>1.7684736195215933E-2</c:v>
                </c:pt>
                <c:pt idx="1783">
                  <c:v>1.7686238524117215E-2</c:v>
                </c:pt>
                <c:pt idx="1784">
                  <c:v>1.768773891752673E-2</c:v>
                </c:pt>
                <c:pt idx="1785">
                  <c:v>1.7689237375284605E-2</c:v>
                </c:pt>
                <c:pt idx="1786">
                  <c:v>1.7690733897390842E-2</c:v>
                </c:pt>
                <c:pt idx="1787">
                  <c:v>1.7692228483765504E-2</c:v>
                </c:pt>
                <c:pt idx="1788">
                  <c:v>1.7693721134568463E-2</c:v>
                </c:pt>
                <c:pt idx="1789">
                  <c:v>1.7695211849719783E-2</c:v>
                </c:pt>
                <c:pt idx="1790">
                  <c:v>1.7697454375125155E-2</c:v>
                </c:pt>
                <c:pt idx="1791">
                  <c:v>1.7698399721446378E-2</c:v>
                </c:pt>
                <c:pt idx="1792">
                  <c:v>1.7699884353064022E-2</c:v>
                </c:pt>
                <c:pt idx="1793">
                  <c:v>1.7701367049269834E-2</c:v>
                </c:pt>
                <c:pt idx="1794">
                  <c:v>1.7702847809584199E-2</c:v>
                </c:pt>
                <c:pt idx="1795">
                  <c:v>1.7704326634566669E-2</c:v>
                </c:pt>
                <c:pt idx="1796">
                  <c:v>1.7705803523657693E-2</c:v>
                </c:pt>
                <c:pt idx="1797">
                  <c:v>1.7707278477177013E-2</c:v>
                </c:pt>
                <c:pt idx="1798">
                  <c:v>1.7708751495044694E-2</c:v>
                </c:pt>
                <c:pt idx="1799">
                  <c:v>1.7710222577420609E-2</c:v>
                </c:pt>
                <c:pt idx="1800">
                  <c:v>1.7711691724064949E-2</c:v>
                </c:pt>
                <c:pt idx="1801">
                  <c:v>1.7713158934897777E-2</c:v>
                </c:pt>
                <c:pt idx="1802">
                  <c:v>1.7714624210318775E-2</c:v>
                </c:pt>
                <c:pt idx="1803">
                  <c:v>1.7716087550008197E-2</c:v>
                </c:pt>
                <c:pt idx="1804">
                  <c:v>1.7717966142569708E-2</c:v>
                </c:pt>
                <c:pt idx="1805">
                  <c:v>1.7719425057958205E-2</c:v>
                </c:pt>
                <c:pt idx="1806">
                  <c:v>1.7720882037615127E-2</c:v>
                </c:pt>
                <c:pt idx="1807">
                  <c:v>1.772362494309121E-2</c:v>
                </c:pt>
                <c:pt idx="1808">
                  <c:v>1.7723790190293798E-2</c:v>
                </c:pt>
                <c:pt idx="1809">
                  <c:v>1.7725241363075739E-2</c:v>
                </c:pt>
                <c:pt idx="1810">
                  <c:v>1.7726690600365913E-2</c:v>
                </c:pt>
                <c:pt idx="1811">
                  <c:v>1.7728137901844576E-2</c:v>
                </c:pt>
                <c:pt idx="1812">
                  <c:v>1.7729583267751536E-2</c:v>
                </c:pt>
                <c:pt idx="1813">
                  <c:v>1.7731026698006858E-2</c:v>
                </c:pt>
                <c:pt idx="1814">
                  <c:v>1.7732468192690476E-2</c:v>
                </c:pt>
                <c:pt idx="1815">
                  <c:v>1.7733907751802391E-2</c:v>
                </c:pt>
                <c:pt idx="1816">
                  <c:v>1.7735345375102796E-2</c:v>
                </c:pt>
                <c:pt idx="1817">
                  <c:v>1.7736781062831497E-2</c:v>
                </c:pt>
                <c:pt idx="1818">
                  <c:v>1.7738214814908559E-2</c:v>
                </c:pt>
                <c:pt idx="1819">
                  <c:v>1.7739646631413919E-2</c:v>
                </c:pt>
                <c:pt idx="1820">
                  <c:v>1.7741076512187703E-2</c:v>
                </c:pt>
                <c:pt idx="1821">
                  <c:v>1.7742504457309849E-2</c:v>
                </c:pt>
                <c:pt idx="1822">
                  <c:v>1.7743930466860292E-2</c:v>
                </c:pt>
                <c:pt idx="1823">
                  <c:v>1.7745354540759095E-2</c:v>
                </c:pt>
                <c:pt idx="1824">
                  <c:v>1.774677667900626E-2</c:v>
                </c:pt>
                <c:pt idx="1825">
                  <c:v>1.7748196881601785E-2</c:v>
                </c:pt>
                <c:pt idx="1826">
                  <c:v>1.7749615148625608E-2</c:v>
                </c:pt>
                <c:pt idx="1827">
                  <c:v>1.775103147983792E-2</c:v>
                </c:pt>
                <c:pt idx="1828">
                  <c:v>1.7752445875638401E-2</c:v>
                </c:pt>
                <c:pt idx="1829">
                  <c:v>1.7753858335707307E-2</c:v>
                </c:pt>
                <c:pt idx="1830">
                  <c:v>1.7755268860044637E-2</c:v>
                </c:pt>
                <c:pt idx="1831">
                  <c:v>1.7756677448890201E-2</c:v>
                </c:pt>
                <c:pt idx="1832">
                  <c:v>1.775808410200419E-2</c:v>
                </c:pt>
                <c:pt idx="1833">
                  <c:v>1.7759488819546476E-2</c:v>
                </c:pt>
                <c:pt idx="1834">
                  <c:v>1.7760891601437123E-2</c:v>
                </c:pt>
                <c:pt idx="1835">
                  <c:v>1.7762292447596195E-2</c:v>
                </c:pt>
                <c:pt idx="1836">
                  <c:v>1.7763691358183564E-2</c:v>
                </c:pt>
                <c:pt idx="1837">
                  <c:v>1.7765088333119294E-2</c:v>
                </c:pt>
                <c:pt idx="1838">
                  <c:v>1.7766483372403385E-2</c:v>
                </c:pt>
                <c:pt idx="1839">
                  <c:v>1.7767876476115774E-2</c:v>
                </c:pt>
                <c:pt idx="1840">
                  <c:v>1.7769267644176523E-2</c:v>
                </c:pt>
                <c:pt idx="1841">
                  <c:v>1.7771449854508958E-2</c:v>
                </c:pt>
                <c:pt idx="1842">
                  <c:v>1.7773317577365333E-2</c:v>
                </c:pt>
                <c:pt idx="1843">
                  <c:v>1.7773429534369001E-2</c:v>
                </c:pt>
                <c:pt idx="1844">
                  <c:v>1.7774812959823194E-2</c:v>
                </c:pt>
                <c:pt idx="1845">
                  <c:v>1.7776194449625748E-2</c:v>
                </c:pt>
                <c:pt idx="1846">
                  <c:v>1.77775740038566E-2</c:v>
                </c:pt>
                <c:pt idx="1847">
                  <c:v>1.7778951622355876E-2</c:v>
                </c:pt>
                <c:pt idx="1848">
                  <c:v>1.7780327305363386E-2</c:v>
                </c:pt>
                <c:pt idx="1849">
                  <c:v>1.7781701052559384E-2</c:v>
                </c:pt>
                <c:pt idx="1850">
                  <c:v>1.778307286418368E-2</c:v>
                </c:pt>
                <c:pt idx="1851">
                  <c:v>1.7784442740236273E-2</c:v>
                </c:pt>
                <c:pt idx="1852">
                  <c:v>1.778581068055729E-2</c:v>
                </c:pt>
                <c:pt idx="1853">
                  <c:v>1.7787176685306605E-2</c:v>
                </c:pt>
                <c:pt idx="1854">
                  <c:v>1.779068821373464E-2</c:v>
                </c:pt>
                <c:pt idx="1855">
                  <c:v>1.7789902887770381E-2</c:v>
                </c:pt>
                <c:pt idx="1856">
                  <c:v>1.7791263085564779E-2</c:v>
                </c:pt>
                <c:pt idx="1857">
                  <c:v>1.7792621347787474E-2</c:v>
                </c:pt>
                <c:pt idx="1858">
                  <c:v>1.7793977674198658E-2</c:v>
                </c:pt>
                <c:pt idx="1859">
                  <c:v>1.7796941576022629E-2</c:v>
                </c:pt>
                <c:pt idx="1860">
                  <c:v>1.7796684520305917E-2</c:v>
                </c:pt>
                <c:pt idx="1861">
                  <c:v>1.7798035039922055E-2</c:v>
                </c:pt>
                <c:pt idx="1862">
                  <c:v>1.7799383623886555E-2</c:v>
                </c:pt>
                <c:pt idx="1863">
                  <c:v>1.7800730272199417E-2</c:v>
                </c:pt>
                <c:pt idx="1864">
                  <c:v>1.7802074984860639E-2</c:v>
                </c:pt>
                <c:pt idx="1865">
                  <c:v>1.7803417761870222E-2</c:v>
                </c:pt>
                <c:pt idx="1866">
                  <c:v>1.7804758603388038E-2</c:v>
                </c:pt>
                <c:pt idx="1867">
                  <c:v>1.7806097509014407E-2</c:v>
                </c:pt>
                <c:pt idx="1868">
                  <c:v>1.7807434479228945E-2</c:v>
                </c:pt>
                <c:pt idx="1869">
                  <c:v>1.7808769513631972E-2</c:v>
                </c:pt>
                <c:pt idx="1870">
                  <c:v>1.7810102612543233E-2</c:v>
                </c:pt>
                <c:pt idx="1871">
                  <c:v>1.7811433775642982E-2</c:v>
                </c:pt>
                <c:pt idx="1872">
                  <c:v>1.7812763003250964E-2</c:v>
                </c:pt>
                <c:pt idx="1873">
                  <c:v>1.7814090295207308E-2</c:v>
                </c:pt>
                <c:pt idx="1874">
                  <c:v>1.7815415651432076E-2</c:v>
                </c:pt>
                <c:pt idx="1875">
                  <c:v>1.7816739072165078E-2</c:v>
                </c:pt>
                <c:pt idx="1876">
                  <c:v>1.7818060557086568E-2</c:v>
                </c:pt>
                <c:pt idx="1877">
                  <c:v>1.7819380106356419E-2</c:v>
                </c:pt>
                <c:pt idx="1878">
                  <c:v>1.7820697720134504E-2</c:v>
                </c:pt>
                <c:pt idx="1879">
                  <c:v>1.7822013398181014E-2</c:v>
                </c:pt>
                <c:pt idx="1880">
                  <c:v>1.7823327140575884E-2</c:v>
                </c:pt>
                <c:pt idx="1881">
                  <c:v>1.7824638947478988E-2</c:v>
                </c:pt>
                <c:pt idx="1882">
                  <c:v>1.7825948818650517E-2</c:v>
                </c:pt>
                <c:pt idx="1883">
                  <c:v>1.782725675409047E-2</c:v>
                </c:pt>
                <c:pt idx="1884">
                  <c:v>1.7828562753958721E-2</c:v>
                </c:pt>
                <c:pt idx="1885">
                  <c:v>1.7829866818255269E-2</c:v>
                </c:pt>
                <c:pt idx="1886">
                  <c:v>1.783116894666037E-2</c:v>
                </c:pt>
                <c:pt idx="1887">
                  <c:v>1.7832469139733576E-2</c:v>
                </c:pt>
                <c:pt idx="1888">
                  <c:v>1.7833767397075206E-2</c:v>
                </c:pt>
                <c:pt idx="1889">
                  <c:v>1.7835063718685262E-2</c:v>
                </c:pt>
                <c:pt idx="1890">
                  <c:v>1.7836358104723615E-2</c:v>
                </c:pt>
                <c:pt idx="1891">
                  <c:v>1.7837650555190265E-2</c:v>
                </c:pt>
                <c:pt idx="1892">
                  <c:v>1.783894106992534E-2</c:v>
                </c:pt>
                <c:pt idx="1893">
                  <c:v>1.7841831722222867E-2</c:v>
                </c:pt>
                <c:pt idx="1894">
                  <c:v>1.7843118142153447E-2</c:v>
                </c:pt>
                <c:pt idx="1895">
                  <c:v>1.7842801000300668E-2</c:v>
                </c:pt>
                <c:pt idx="1896">
                  <c:v>1.7844083772509123E-2</c:v>
                </c:pt>
                <c:pt idx="1897">
                  <c:v>1.7845364609065939E-2</c:v>
                </c:pt>
                <c:pt idx="1898">
                  <c:v>1.784664350989118E-2</c:v>
                </c:pt>
                <c:pt idx="1899">
                  <c:v>1.7847920475224655E-2</c:v>
                </c:pt>
                <c:pt idx="1900">
                  <c:v>1.7849195504826554E-2</c:v>
                </c:pt>
                <c:pt idx="1901">
                  <c:v>1.7850468598776814E-2</c:v>
                </c:pt>
                <c:pt idx="1902">
                  <c:v>1.7851739757235308E-2</c:v>
                </c:pt>
                <c:pt idx="1903">
                  <c:v>1.785300897988229E-2</c:v>
                </c:pt>
                <c:pt idx="1904">
                  <c:v>1.7854276266957569E-2</c:v>
                </c:pt>
                <c:pt idx="1905">
                  <c:v>1.785554161838121E-2</c:v>
                </c:pt>
                <c:pt idx="1906">
                  <c:v>1.7856805034153211E-2</c:v>
                </c:pt>
                <c:pt idx="1907">
                  <c:v>1.7858066514193638E-2</c:v>
                </c:pt>
                <c:pt idx="1908">
                  <c:v>1.7859326058742298E-2</c:v>
                </c:pt>
                <c:pt idx="1909">
                  <c:v>1.7862714973299276E-2</c:v>
                </c:pt>
                <c:pt idx="1910">
                  <c:v>1.7861839340804764E-2</c:v>
                </c:pt>
                <c:pt idx="1911">
                  <c:v>1.7863093078478443E-2</c:v>
                </c:pt>
                <c:pt idx="1912">
                  <c:v>1.7864344880260674E-2</c:v>
                </c:pt>
                <c:pt idx="1913">
                  <c:v>1.7865594746711011E-2</c:v>
                </c:pt>
                <c:pt idx="1914">
                  <c:v>1.7866842677269901E-2</c:v>
                </c:pt>
                <c:pt idx="1915">
                  <c:v>1.7868088672337024E-2</c:v>
                </c:pt>
                <c:pt idx="1916">
                  <c:v>1.7869332731672571E-2</c:v>
                </c:pt>
                <c:pt idx="1917">
                  <c:v>1.7870574855436416E-2</c:v>
                </c:pt>
                <c:pt idx="1918">
                  <c:v>1.7871815043468686E-2</c:v>
                </c:pt>
                <c:pt idx="1919">
                  <c:v>1.7873053295929253E-2</c:v>
                </c:pt>
                <c:pt idx="1920">
                  <c:v>1.7874289612818117E-2</c:v>
                </c:pt>
                <c:pt idx="1921">
                  <c:v>1.787552399389547E-2</c:v>
                </c:pt>
                <c:pt idx="1922">
                  <c:v>1.7876756439481056E-2</c:v>
                </c:pt>
                <c:pt idx="1923">
                  <c:v>1.7877986949335067E-2</c:v>
                </c:pt>
                <c:pt idx="1924">
                  <c:v>1.7879215523617376E-2</c:v>
                </c:pt>
                <c:pt idx="1925">
                  <c:v>1.7880442162168109E-2</c:v>
                </c:pt>
                <c:pt idx="1926">
                  <c:v>1.7881666865067203E-2</c:v>
                </c:pt>
                <c:pt idx="1927">
                  <c:v>1.7882889632394594E-2</c:v>
                </c:pt>
                <c:pt idx="1928">
                  <c:v>1.7884110464150282E-2</c:v>
                </c:pt>
                <c:pt idx="1929">
                  <c:v>1.7885329360174396E-2</c:v>
                </c:pt>
                <c:pt idx="1930">
                  <c:v>1.788654632054687E-2</c:v>
                </c:pt>
                <c:pt idx="1931">
                  <c:v>1.7887761345347641E-2</c:v>
                </c:pt>
                <c:pt idx="1932">
                  <c:v>1.7888974434336902E-2</c:v>
                </c:pt>
                <c:pt idx="1933">
                  <c:v>1.7890185587994267E-2</c:v>
                </c:pt>
                <c:pt idx="1934">
                  <c:v>1.7891394805760186E-2</c:v>
                </c:pt>
                <c:pt idx="1935">
                  <c:v>1.7892602087954401E-2</c:v>
                </c:pt>
                <c:pt idx="1936">
                  <c:v>1.7893807434496978E-2</c:v>
                </c:pt>
                <c:pt idx="1937">
                  <c:v>1.7895010845467851E-2</c:v>
                </c:pt>
                <c:pt idx="1938">
                  <c:v>1.7896212320627214E-2</c:v>
                </c:pt>
                <c:pt idx="1939">
                  <c:v>1.789741186029481E-2</c:v>
                </c:pt>
                <c:pt idx="1940">
                  <c:v>1.7898609464310766E-2</c:v>
                </c:pt>
                <c:pt idx="1941">
                  <c:v>1.7899805132595148E-2</c:v>
                </c:pt>
                <c:pt idx="1942">
                  <c:v>1.7900998865387763E-2</c:v>
                </c:pt>
                <c:pt idx="1943">
                  <c:v>1.790219066228893E-2</c:v>
                </c:pt>
                <c:pt idx="1944">
                  <c:v>1.7903380523778267E-2</c:v>
                </c:pt>
                <c:pt idx="1945">
                  <c:v>1.7904568449615965E-2</c:v>
                </c:pt>
                <c:pt idx="1946">
                  <c:v>1.7905754439722088E-2</c:v>
                </c:pt>
                <c:pt idx="1947">
                  <c:v>1.7906938494096636E-2</c:v>
                </c:pt>
                <c:pt idx="1948">
                  <c:v>1.7908120613059353E-2</c:v>
                </c:pt>
                <c:pt idx="1949">
                  <c:v>1.7909300796210559E-2</c:v>
                </c:pt>
                <c:pt idx="1950">
                  <c:v>1.7910479043790062E-2</c:v>
                </c:pt>
                <c:pt idx="1951">
                  <c:v>1.7911655355797862E-2</c:v>
                </c:pt>
                <c:pt idx="1952">
                  <c:v>1.7912829732074087E-2</c:v>
                </c:pt>
                <c:pt idx="1953">
                  <c:v>1.7914002172618737E-2</c:v>
                </c:pt>
                <c:pt idx="1954">
                  <c:v>1.7915172677751556E-2</c:v>
                </c:pt>
                <c:pt idx="1955">
                  <c:v>1.7916341247072864E-2</c:v>
                </c:pt>
                <c:pt idx="1956">
                  <c:v>1.7917507880742534E-2</c:v>
                </c:pt>
                <c:pt idx="1957">
                  <c:v>1.7918672578760564E-2</c:v>
                </c:pt>
                <c:pt idx="1958">
                  <c:v>1.7919835341366763E-2</c:v>
                </c:pt>
                <c:pt idx="1959">
                  <c:v>1.7920996168001579E-2</c:v>
                </c:pt>
                <c:pt idx="1960">
                  <c:v>1.7924270395306863E-2</c:v>
                </c:pt>
                <c:pt idx="1961">
                  <c:v>1.7923312014715975E-2</c:v>
                </c:pt>
                <c:pt idx="1962">
                  <c:v>1.7924467034555747E-2</c:v>
                </c:pt>
                <c:pt idx="1963">
                  <c:v>1.7925620118743879E-2</c:v>
                </c:pt>
                <c:pt idx="1964">
                  <c:v>1.7926771267440245E-2</c:v>
                </c:pt>
                <c:pt idx="1965">
                  <c:v>1.7927920480325099E-2</c:v>
                </c:pt>
                <c:pt idx="1966">
                  <c:v>1.7929067757718187E-2</c:v>
                </c:pt>
                <c:pt idx="1967">
                  <c:v>1.7930213099299763E-2</c:v>
                </c:pt>
                <c:pt idx="1968">
                  <c:v>1.7931356505309637E-2</c:v>
                </c:pt>
                <c:pt idx="1969">
                  <c:v>1.7932497975667872E-2</c:v>
                </c:pt>
                <c:pt idx="1970">
                  <c:v>1.7933637510454403E-2</c:v>
                </c:pt>
                <c:pt idx="1971">
                  <c:v>1.793477510950936E-2</c:v>
                </c:pt>
                <c:pt idx="1972">
                  <c:v>1.7935910772912678E-2</c:v>
                </c:pt>
                <c:pt idx="1973">
                  <c:v>1.7937041042230817E-2</c:v>
                </c:pt>
                <c:pt idx="1974">
                  <c:v>1.7938145353513235E-2</c:v>
                </c:pt>
                <c:pt idx="1975">
                  <c:v>1.7939220248166521E-2</c:v>
                </c:pt>
                <c:pt idx="1976">
                  <c:v>1.7940265726350546E-2</c:v>
                </c:pt>
                <c:pt idx="1977">
                  <c:v>1.7941281787825503E-2</c:v>
                </c:pt>
                <c:pt idx="1978">
                  <c:v>1.7942268432991071E-2</c:v>
                </c:pt>
                <c:pt idx="1979">
                  <c:v>1.7943225661367634E-2</c:v>
                </c:pt>
                <c:pt idx="1980">
                  <c:v>1.7944153473195001E-2</c:v>
                </c:pt>
                <c:pt idx="1981">
                  <c:v>1.7945051868633044E-2</c:v>
                </c:pt>
                <c:pt idx="1982">
                  <c:v>1.7945920847362018E-2</c:v>
                </c:pt>
                <c:pt idx="1983">
                  <c:v>1.7946760409541795E-2</c:v>
                </c:pt>
                <c:pt idx="1984">
                  <c:v>1.7947570555252312E-2</c:v>
                </c:pt>
                <c:pt idx="1985">
                  <c:v>1.7948351284413633E-2</c:v>
                </c:pt>
                <c:pt idx="1986">
                  <c:v>1.7949102596865885E-2</c:v>
                </c:pt>
                <c:pt idx="1987">
                  <c:v>1.7949824492848876E-2</c:v>
                </c:pt>
                <c:pt idx="1988">
                  <c:v>1.7950516972202735E-2</c:v>
                </c:pt>
                <c:pt idx="1989">
                  <c:v>1.7951180035087333E-2</c:v>
                </c:pt>
                <c:pt idx="1990">
                  <c:v>1.7951813681342799E-2</c:v>
                </c:pt>
                <c:pt idx="1991">
                  <c:v>1.7952417911129004E-2</c:v>
                </c:pt>
                <c:pt idx="1992">
                  <c:v>1.7952992724286077E-2</c:v>
                </c:pt>
                <c:pt idx="1993">
                  <c:v>1.7953538120893953E-2</c:v>
                </c:pt>
                <c:pt idx="1994">
                  <c:v>1.7954054100872696E-2</c:v>
                </c:pt>
                <c:pt idx="1995">
                  <c:v>1.7954540664462115E-2</c:v>
                </c:pt>
                <c:pt idx="1996">
                  <c:v>1.7954997811342466E-2</c:v>
                </c:pt>
                <c:pt idx="1997">
                  <c:v>1.795542554167362E-2</c:v>
                </c:pt>
                <c:pt idx="1998">
                  <c:v>1.7957302052740154E-2</c:v>
                </c:pt>
                <c:pt idx="1999">
                  <c:v>1.7957188198254315E-2</c:v>
                </c:pt>
                <c:pt idx="2000">
                  <c:v>1.7957519307207903E-2</c:v>
                </c:pt>
                <c:pt idx="2001">
                  <c:v>1.7957820996707952E-2</c:v>
                </c:pt>
                <c:pt idx="2002">
                  <c:v>1.7958093266674524E-2</c:v>
                </c:pt>
                <c:pt idx="2003">
                  <c:v>1.7958336117134266E-2</c:v>
                </c:pt>
                <c:pt idx="2004">
                  <c:v>1.7958549548113822E-2</c:v>
                </c:pt>
                <c:pt idx="2005">
                  <c:v>1.7958733559613194E-2</c:v>
                </c:pt>
                <c:pt idx="2006">
                  <c:v>1.7958888151579089E-2</c:v>
                </c:pt>
                <c:pt idx="2007">
                  <c:v>1.7959013324064799E-2</c:v>
                </c:pt>
                <c:pt idx="2008">
                  <c:v>1.7959109077070323E-2</c:v>
                </c:pt>
                <c:pt idx="2009">
                  <c:v>1.7959175410569017E-2</c:v>
                </c:pt>
                <c:pt idx="2010">
                  <c:v>1.795832348699733E-2</c:v>
                </c:pt>
                <c:pt idx="2011">
                  <c:v>1.7959219819045913E-2</c:v>
                </c:pt>
                <c:pt idx="2012">
                  <c:v>1.795919789405076E-2</c:v>
                </c:pt>
                <c:pt idx="2013">
                  <c:v>1.7959146549548777E-2</c:v>
                </c:pt>
                <c:pt idx="2014">
                  <c:v>1.7959065785539963E-2</c:v>
                </c:pt>
                <c:pt idx="2015">
                  <c:v>1.7958955602024318E-2</c:v>
                </c:pt>
                <c:pt idx="2016">
                  <c:v>1.7958815999028488E-2</c:v>
                </c:pt>
                <c:pt idx="2017">
                  <c:v>1.7958646976579118E-2</c:v>
                </c:pt>
                <c:pt idx="2018">
                  <c:v>1.7958448534596272E-2</c:v>
                </c:pt>
                <c:pt idx="2019">
                  <c:v>1.7958220673133241E-2</c:v>
                </c:pt>
                <c:pt idx="2020">
                  <c:v>1.7957963392136733E-2</c:v>
                </c:pt>
                <c:pt idx="2021">
                  <c:v>1.7957676691633395E-2</c:v>
                </c:pt>
                <c:pt idx="2022">
                  <c:v>1.7957360571623227E-2</c:v>
                </c:pt>
                <c:pt idx="2023">
                  <c:v>1.7957015032186163E-2</c:v>
                </c:pt>
                <c:pt idx="2024">
                  <c:v>1.7956640073215624E-2</c:v>
                </c:pt>
                <c:pt idx="2025">
                  <c:v>1.7956235694738254E-2</c:v>
                </c:pt>
                <c:pt idx="2026">
                  <c:v>1.7955801896807344E-2</c:v>
                </c:pt>
                <c:pt idx="2027">
                  <c:v>1.7955338679316313E-2</c:v>
                </c:pt>
                <c:pt idx="2028">
                  <c:v>1.7954846042398387E-2</c:v>
                </c:pt>
                <c:pt idx="2029">
                  <c:v>1.7954323985946985E-2</c:v>
                </c:pt>
                <c:pt idx="2030">
                  <c:v>1.7953772510015398E-2</c:v>
                </c:pt>
                <c:pt idx="2031">
                  <c:v>1.7953191614550335E-2</c:v>
                </c:pt>
                <c:pt idx="2032">
                  <c:v>1.7952581299631731E-2</c:v>
                </c:pt>
                <c:pt idx="2033">
                  <c:v>1.7951941565232943E-2</c:v>
                </c:pt>
                <c:pt idx="2034">
                  <c:v>1.7951272411327324E-2</c:v>
                </c:pt>
                <c:pt idx="2035">
                  <c:v>1.7950573837914874E-2</c:v>
                </c:pt>
                <c:pt idx="2036">
                  <c:v>1.7949845844995593E-2</c:v>
                </c:pt>
                <c:pt idx="2037">
                  <c:v>1.7949088432649418E-2</c:v>
                </c:pt>
                <c:pt idx="2038">
                  <c:v>1.7948301600743122E-2</c:v>
                </c:pt>
                <c:pt idx="2039">
                  <c:v>1.7947485349383285E-2</c:v>
                </c:pt>
                <c:pt idx="2040">
                  <c:v>1.7946639678543264E-2</c:v>
                </c:pt>
                <c:pt idx="2041">
                  <c:v>1.7945764588169766E-2</c:v>
                </c:pt>
                <c:pt idx="2042">
                  <c:v>1.7944860078369373E-2</c:v>
                </c:pt>
                <c:pt idx="2043">
                  <c:v>1.7943926149035505E-2</c:v>
                </c:pt>
                <c:pt idx="2044">
                  <c:v>1.7942962800194806E-2</c:v>
                </c:pt>
                <c:pt idx="2045">
                  <c:v>1.7941970031927212E-2</c:v>
                </c:pt>
                <c:pt idx="2046">
                  <c:v>1.7940947844152788E-2</c:v>
                </c:pt>
                <c:pt idx="2047">
                  <c:v>1.7939896236871533E-2</c:v>
                </c:pt>
                <c:pt idx="2048">
                  <c:v>1.7938815210136738E-2</c:v>
                </c:pt>
                <c:pt idx="2049">
                  <c:v>1.7937704763921758E-2</c:v>
                </c:pt>
                <c:pt idx="2050">
                  <c:v>1.7935704015141773E-2</c:v>
                </c:pt>
                <c:pt idx="2051">
                  <c:v>1.7934162884918337E-2</c:v>
                </c:pt>
                <c:pt idx="2052">
                  <c:v>1.7932955894890412E-2</c:v>
                </c:pt>
                <c:pt idx="2053">
                  <c:v>1.7931719488473163E-2</c:v>
                </c:pt>
                <c:pt idx="2054">
                  <c:v>1.7930453665346846E-2</c:v>
                </c:pt>
                <c:pt idx="2055">
                  <c:v>1.792915842551146E-2</c:v>
                </c:pt>
                <c:pt idx="2056">
                  <c:v>1.7927833769446622E-2</c:v>
                </c:pt>
                <c:pt idx="2057">
                  <c:v>1.7926479696752651E-2</c:v>
                </c:pt>
                <c:pt idx="2058">
                  <c:v>1.7925096207349611E-2</c:v>
                </c:pt>
                <c:pt idx="2059">
                  <c:v>1.7923683301557247E-2</c:v>
                </c:pt>
                <c:pt idx="2060">
                  <c:v>1.7922240979055815E-2</c:v>
                </c:pt>
                <c:pt idx="2061">
                  <c:v>1.7920769240085122E-2</c:v>
                </c:pt>
                <c:pt idx="2062">
                  <c:v>1.7919268084565232E-2</c:v>
                </c:pt>
                <c:pt idx="2063">
                  <c:v>1.791773751241621E-2</c:v>
                </c:pt>
                <c:pt idx="2064">
                  <c:v>1.7916177523797927E-2</c:v>
                </c:pt>
                <c:pt idx="2065">
                  <c:v>1.7914128599807455E-2</c:v>
                </c:pt>
                <c:pt idx="2066">
                  <c:v>1.7912969296913772E-2</c:v>
                </c:pt>
                <c:pt idx="2067">
                  <c:v>1.7911321058567964E-2</c:v>
                </c:pt>
                <c:pt idx="2068">
                  <c:v>1.7909643403672959E-2</c:v>
                </c:pt>
                <c:pt idx="2069">
                  <c:v>1.790793633238863E-2</c:v>
                </c:pt>
                <c:pt idx="2070">
                  <c:v>1.7906199844315296E-2</c:v>
                </c:pt>
                <c:pt idx="2071">
                  <c:v>1.7904433939772701E-2</c:v>
                </c:pt>
                <c:pt idx="2072">
                  <c:v>1.7902638618920719E-2</c:v>
                </c:pt>
                <c:pt idx="2073">
                  <c:v>1.7900813881199795E-2</c:v>
                </c:pt>
                <c:pt idx="2074">
                  <c:v>1.7898959727169483E-2</c:v>
                </c:pt>
                <c:pt idx="2075">
                  <c:v>1.7897076156430103E-2</c:v>
                </c:pt>
                <c:pt idx="2076">
                  <c:v>1.7895163169141526E-2</c:v>
                </c:pt>
                <c:pt idx="2077">
                  <c:v>1.7893220765303752E-2</c:v>
                </c:pt>
                <c:pt idx="2078">
                  <c:v>1.7891248944916782E-2</c:v>
                </c:pt>
                <c:pt idx="2079">
                  <c:v>1.7889247708140488E-2</c:v>
                </c:pt>
                <c:pt idx="2080">
                  <c:v>1.7887217054655125E-2</c:v>
                </c:pt>
                <c:pt idx="2081">
                  <c:v>1.7885156984540629E-2</c:v>
                </c:pt>
                <c:pt idx="2082">
                  <c:v>1.7883067498196681E-2</c:v>
                </c:pt>
                <c:pt idx="2083">
                  <c:v>1.7880948595143664E-2</c:v>
                </c:pt>
                <c:pt idx="2084">
                  <c:v>1.7878800275461515E-2</c:v>
                </c:pt>
                <c:pt idx="2085">
                  <c:v>1.7876622539390041E-2</c:v>
                </c:pt>
                <c:pt idx="2086">
                  <c:v>1.7874415386689435E-2</c:v>
                </c:pt>
                <c:pt idx="2087">
                  <c:v>1.7872178817359696E-2</c:v>
                </c:pt>
                <c:pt idx="2088">
                  <c:v>1.7869912831560697E-2</c:v>
                </c:pt>
                <c:pt idx="2089">
                  <c:v>1.7867617429212501E-2</c:v>
                </c:pt>
                <c:pt idx="2090">
                  <c:v>1.7865292610474981E-2</c:v>
                </c:pt>
                <c:pt idx="2091">
                  <c:v>1.7862938375028392E-2</c:v>
                </c:pt>
                <c:pt idx="2092">
                  <c:v>1.7860554723032607E-2</c:v>
                </c:pt>
                <c:pt idx="2093">
                  <c:v>1.7858141654647497E-2</c:v>
                </c:pt>
                <c:pt idx="2094">
                  <c:v>1.7855699169633255E-2</c:v>
                </c:pt>
                <c:pt idx="2095">
                  <c:v>1.785322726798988E-2</c:v>
                </c:pt>
                <c:pt idx="2096">
                  <c:v>1.7850725949877244E-2</c:v>
                </c:pt>
                <c:pt idx="2097">
                  <c:v>1.7848195215375284E-2</c:v>
                </c:pt>
                <c:pt idx="2098">
                  <c:v>1.784563506408432E-2</c:v>
                </c:pt>
                <c:pt idx="2099">
                  <c:v>1.7843045496404031E-2</c:v>
                </c:pt>
                <c:pt idx="2100">
                  <c:v>1.7840426512174545E-2</c:v>
                </c:pt>
                <c:pt idx="2101">
                  <c:v>1.7837778111395863E-2</c:v>
                </c:pt>
                <c:pt idx="2102">
                  <c:v>1.7834964338061532E-2</c:v>
                </c:pt>
                <c:pt idx="2103">
                  <c:v>1.7832003911317784E-2</c:v>
                </c:pt>
                <c:pt idx="2104">
                  <c:v>1.7829263058493083E-2</c:v>
                </c:pt>
                <c:pt idx="2105">
                  <c:v>1.7826492789199122E-2</c:v>
                </c:pt>
                <c:pt idx="2106">
                  <c:v>1.78236931034359E-2</c:v>
                </c:pt>
                <c:pt idx="2107">
                  <c:v>1.7820864001043546E-2</c:v>
                </c:pt>
                <c:pt idx="2108">
                  <c:v>1.7818005482181931E-2</c:v>
                </c:pt>
                <c:pt idx="2109">
                  <c:v>1.781511754677112E-2</c:v>
                </c:pt>
                <c:pt idx="2110">
                  <c:v>1.781220019505092E-2</c:v>
                </c:pt>
                <c:pt idx="2111">
                  <c:v>1.780925342646178E-2</c:v>
                </c:pt>
                <c:pt idx="2112">
                  <c:v>1.7806277241483315E-2</c:v>
                </c:pt>
                <c:pt idx="2113">
                  <c:v>1.7803271640035589E-2</c:v>
                </c:pt>
                <c:pt idx="2114">
                  <c:v>1.7800236622038668E-2</c:v>
                </c:pt>
                <c:pt idx="2115">
                  <c:v>1.7797172187492549E-2</c:v>
                </c:pt>
                <c:pt idx="2116">
                  <c:v>1.779318897597193E-2</c:v>
                </c:pt>
                <c:pt idx="2117">
                  <c:v>1.7790057303610496E-2</c:v>
                </c:pt>
                <c:pt idx="2118">
                  <c:v>1.7786896214779802E-2</c:v>
                </c:pt>
                <c:pt idx="2119">
                  <c:v>1.7784335519623884E-2</c:v>
                </c:pt>
                <c:pt idx="2120">
                  <c:v>1.7780485787550759E-2</c:v>
                </c:pt>
                <c:pt idx="2121">
                  <c:v>1.7777236449152412E-2</c:v>
                </c:pt>
                <c:pt idx="2122">
                  <c:v>1.7773957694284803E-2</c:v>
                </c:pt>
                <c:pt idx="2123">
                  <c:v>1.7770649522947934E-2</c:v>
                </c:pt>
                <c:pt idx="2124">
                  <c:v>1.7767311934981933E-2</c:v>
                </c:pt>
                <c:pt idx="2125">
                  <c:v>1.7763944930466735E-2</c:v>
                </c:pt>
                <c:pt idx="2126">
                  <c:v>1.7760548509562213E-2</c:v>
                </c:pt>
                <c:pt idx="2127">
                  <c:v>1.7757122672028558E-2</c:v>
                </c:pt>
                <c:pt idx="2128">
                  <c:v>1.7753667418105579E-2</c:v>
                </c:pt>
                <c:pt idx="2129">
                  <c:v>1.7750182747553467E-2</c:v>
                </c:pt>
                <c:pt idx="2130">
                  <c:v>1.7746668660532094E-2</c:v>
                </c:pt>
                <c:pt idx="2131">
                  <c:v>1.774312515688159E-2</c:v>
                </c:pt>
                <c:pt idx="2132">
                  <c:v>1.7739552237001632E-2</c:v>
                </c:pt>
                <c:pt idx="2133">
                  <c:v>1.7735949900252734E-2</c:v>
                </c:pt>
                <c:pt idx="2134">
                  <c:v>1.773231814735432E-2</c:v>
                </c:pt>
                <c:pt idx="2135">
                  <c:v>1.7728656977826773E-2</c:v>
                </c:pt>
                <c:pt idx="2136">
                  <c:v>1.7724966391590158E-2</c:v>
                </c:pt>
                <c:pt idx="2137">
                  <c:v>1.772124638912409E-2</c:v>
                </c:pt>
                <c:pt idx="2138">
                  <c:v>1.771749697002889E-2</c:v>
                </c:pt>
                <c:pt idx="2139">
                  <c:v>1.7713718134304557E-2</c:v>
                </c:pt>
                <c:pt idx="2140">
                  <c:v>1.77099098821909E-2</c:v>
                </c:pt>
                <c:pt idx="2141">
                  <c:v>1.7706072213687918E-2</c:v>
                </c:pt>
                <c:pt idx="2142">
                  <c:v>1.770220512863574E-2</c:v>
                </c:pt>
                <c:pt idx="2143">
                  <c:v>1.7698308627034365E-2</c:v>
                </c:pt>
                <c:pt idx="2144">
                  <c:v>1.7694382708803857E-2</c:v>
                </c:pt>
                <c:pt idx="2145">
                  <c:v>1.7690427374263962E-2</c:v>
                </c:pt>
                <c:pt idx="2146">
                  <c:v>1.7686442623254806E-2</c:v>
                </c:pt>
                <c:pt idx="2147">
                  <c:v>1.7682428455616517E-2</c:v>
                </c:pt>
                <c:pt idx="2148">
                  <c:v>1.7678384871508968E-2</c:v>
                </c:pt>
                <c:pt idx="2149">
                  <c:v>1.7674311870932158E-2</c:v>
                </c:pt>
                <c:pt idx="2150">
                  <c:v>1.7670209453806152E-2</c:v>
                </c:pt>
                <c:pt idx="2151">
                  <c:v>1.7666077620290821E-2</c:v>
                </c:pt>
                <c:pt idx="2152">
                  <c:v>1.7661916370226294E-2</c:v>
                </c:pt>
                <c:pt idx="2153">
                  <c:v>1.7658122558061873E-2</c:v>
                </c:pt>
                <c:pt idx="2154">
                  <c:v>1.7653895549658571E-2</c:v>
                </c:pt>
                <c:pt idx="2155">
                  <c:v>1.7649256121217149E-2</c:v>
                </c:pt>
                <c:pt idx="2156">
                  <c:v>1.7644977205115708E-2</c:v>
                </c:pt>
                <c:pt idx="2157">
                  <c:v>1.7640668872545007E-2</c:v>
                </c:pt>
                <c:pt idx="2158">
                  <c:v>1.7636331123584981E-2</c:v>
                </c:pt>
                <c:pt idx="2159">
                  <c:v>1.7631963958155694E-2</c:v>
                </c:pt>
                <c:pt idx="2160">
                  <c:v>1.7627567376257147E-2</c:v>
                </c:pt>
                <c:pt idx="2161">
                  <c:v>1.7623141377729468E-2</c:v>
                </c:pt>
                <c:pt idx="2162">
                  <c:v>1.76186859628924E-2</c:v>
                </c:pt>
                <c:pt idx="2163">
                  <c:v>1.7614201131426199E-2</c:v>
                </c:pt>
                <c:pt idx="2164">
                  <c:v>1.760968688365061E-2</c:v>
                </c:pt>
                <c:pt idx="2165">
                  <c:v>1.7605143219245889E-2</c:v>
                </c:pt>
                <c:pt idx="2166">
                  <c:v>1.7600570138371907E-2</c:v>
                </c:pt>
                <c:pt idx="2167">
                  <c:v>1.7595967641188537E-2</c:v>
                </c:pt>
                <c:pt idx="2168">
                  <c:v>1.7591335727376034E-2</c:v>
                </c:pt>
                <c:pt idx="2169">
                  <c:v>1.7587054691594162E-2</c:v>
                </c:pt>
                <c:pt idx="2170">
                  <c:v>1.7581983650423183E-2</c:v>
                </c:pt>
                <c:pt idx="2171">
                  <c:v>1.7577263487202899E-2</c:v>
                </c:pt>
                <c:pt idx="2172">
                  <c:v>1.7572513907513354E-2</c:v>
                </c:pt>
                <c:pt idx="2173">
                  <c:v>1.7567734911354549E-2</c:v>
                </c:pt>
                <c:pt idx="2174">
                  <c:v>1.7562926498886355E-2</c:v>
                </c:pt>
                <c:pt idx="2175">
                  <c:v>1.7558088669789029E-2</c:v>
                </c:pt>
                <c:pt idx="2176">
                  <c:v>1.7553221424142507E-2</c:v>
                </c:pt>
                <c:pt idx="2177">
                  <c:v>1.7548324762186596E-2</c:v>
                </c:pt>
                <c:pt idx="2178">
                  <c:v>1.7543398683681488E-2</c:v>
                </c:pt>
                <c:pt idx="2179">
                  <c:v>1.7538443188866992E-2</c:v>
                </c:pt>
                <c:pt idx="2180">
                  <c:v>1.7533458277423364E-2</c:v>
                </c:pt>
                <c:pt idx="2181">
                  <c:v>1.7528443949750283E-2</c:v>
                </c:pt>
                <c:pt idx="2182">
                  <c:v>1.7523400205288198E-2</c:v>
                </c:pt>
                <c:pt idx="2183">
                  <c:v>1.751832704459666E-2</c:v>
                </c:pt>
                <c:pt idx="2184">
                  <c:v>1.7513224467435862E-2</c:v>
                </c:pt>
                <c:pt idx="2185">
                  <c:v>1.7508092473725867E-2</c:v>
                </c:pt>
                <c:pt idx="2186">
                  <c:v>1.7502931063626548E-2</c:v>
                </c:pt>
                <c:pt idx="2187">
                  <c:v>1.7497740237057968E-2</c:v>
                </c:pt>
                <c:pt idx="2188">
                  <c:v>1.7492519994100064E-2</c:v>
                </c:pt>
                <c:pt idx="2189">
                  <c:v>1.7487270334592964E-2</c:v>
                </c:pt>
                <c:pt idx="2190">
                  <c:v>1.7481991258696539E-2</c:v>
                </c:pt>
                <c:pt idx="2191">
                  <c:v>1.7476682766410789E-2</c:v>
                </c:pt>
                <c:pt idx="2192">
                  <c:v>1.7471344857655779E-2</c:v>
                </c:pt>
                <c:pt idx="2193">
                  <c:v>1.7465977532351573E-2</c:v>
                </c:pt>
                <c:pt idx="2194">
                  <c:v>1.7460580790578106E-2</c:v>
                </c:pt>
                <c:pt idx="2195">
                  <c:v>1.7455154632495251E-2</c:v>
                </c:pt>
                <c:pt idx="2196">
                  <c:v>1.7449699058103008E-2</c:v>
                </c:pt>
                <c:pt idx="2197">
                  <c:v>1.7444214066841823E-2</c:v>
                </c:pt>
                <c:pt idx="2198">
                  <c:v>1.7438699659511059E-2</c:v>
                </c:pt>
                <c:pt idx="2199">
                  <c:v>1.7433155835631098E-2</c:v>
                </c:pt>
                <c:pt idx="2200">
                  <c:v>1.7427582595361812E-2</c:v>
                </c:pt>
                <c:pt idx="2201">
                  <c:v>1.742197993854333E-2</c:v>
                </c:pt>
                <c:pt idx="2202">
                  <c:v>1.7416347865495396E-2</c:v>
                </c:pt>
                <c:pt idx="2203">
                  <c:v>1.7410686375818329E-2</c:v>
                </c:pt>
                <c:pt idx="2204">
                  <c:v>1.7404995469831874E-2</c:v>
                </c:pt>
                <c:pt idx="2205">
                  <c:v>1.7399275147296223E-2</c:v>
                </c:pt>
                <c:pt idx="2206">
                  <c:v>1.7393525408451183E-2</c:v>
                </c:pt>
                <c:pt idx="2207">
                  <c:v>1.7387746253216818E-2</c:v>
                </c:pt>
                <c:pt idx="2208">
                  <c:v>1.7381937681433257E-2</c:v>
                </c:pt>
                <c:pt idx="2209">
                  <c:v>1.7376099693260372E-2</c:v>
                </c:pt>
                <c:pt idx="2210">
                  <c:v>1.7370232288698162E-2</c:v>
                </c:pt>
                <c:pt idx="2211">
                  <c:v>1.7364335467666692E-2</c:v>
                </c:pt>
                <c:pt idx="2212">
                  <c:v>1.7358409230165961E-2</c:v>
                </c:pt>
                <c:pt idx="2213">
                  <c:v>1.7352453576355842E-2</c:v>
                </c:pt>
                <c:pt idx="2214">
                  <c:v>1.7346468506236334E-2</c:v>
                </c:pt>
                <c:pt idx="2215">
                  <c:v>1.7340454019487694E-2</c:v>
                </c:pt>
                <c:pt idx="2216">
                  <c:v>1.7334410116509602E-2</c:v>
                </c:pt>
                <c:pt idx="2217">
                  <c:v>1.7328336796902377E-2</c:v>
                </c:pt>
                <c:pt idx="2218">
                  <c:v>1.7322234061225572E-2</c:v>
                </c:pt>
                <c:pt idx="2219">
                  <c:v>1.7316101908839698E-2</c:v>
                </c:pt>
                <c:pt idx="2220">
                  <c:v>1.7309838262390187E-2</c:v>
                </c:pt>
                <c:pt idx="2221">
                  <c:v>1.7303749354979914E-2</c:v>
                </c:pt>
                <c:pt idx="2222">
                  <c:v>1.7297528953506003E-2</c:v>
                </c:pt>
                <c:pt idx="2223">
                  <c:v>1.7291279135642768E-2</c:v>
                </c:pt>
                <c:pt idx="2224">
                  <c:v>1.7284999901310272E-2</c:v>
                </c:pt>
                <c:pt idx="2225">
                  <c:v>1.7278691250668388E-2</c:v>
                </c:pt>
                <c:pt idx="2226">
                  <c:v>1.7272353183477307E-2</c:v>
                </c:pt>
                <c:pt idx="2227">
                  <c:v>1.726598570013671E-2</c:v>
                </c:pt>
                <c:pt idx="2228">
                  <c:v>1.7259588800166981E-2</c:v>
                </c:pt>
                <c:pt idx="2229">
                  <c:v>1.7253162483887863E-2</c:v>
                </c:pt>
                <c:pt idx="2230">
                  <c:v>1.7246706751299357E-2</c:v>
                </c:pt>
                <c:pt idx="2231">
                  <c:v>1.7240221602081718E-2</c:v>
                </c:pt>
                <c:pt idx="2232">
                  <c:v>1.7233707036714563E-2</c:v>
                </c:pt>
                <c:pt idx="2233">
                  <c:v>1.722717000371965E-2</c:v>
                </c:pt>
                <c:pt idx="2234">
                  <c:v>1.7220651821325816E-2</c:v>
                </c:pt>
                <c:pt idx="2235">
                  <c:v>1.7214159438214693E-2</c:v>
                </c:pt>
                <c:pt idx="2236">
                  <c:v>1.7207692854386281E-2</c:v>
                </c:pt>
                <c:pt idx="2237">
                  <c:v>1.7201252069760642E-2</c:v>
                </c:pt>
                <c:pt idx="2238">
                  <c:v>1.7194837084577586E-2</c:v>
                </c:pt>
                <c:pt idx="2239">
                  <c:v>1.7188447898917047E-2</c:v>
                </c:pt>
                <c:pt idx="2240">
                  <c:v>1.7182084512299411E-2</c:v>
                </c:pt>
                <c:pt idx="2241">
                  <c:v>1.7175746925124358E-2</c:v>
                </c:pt>
                <c:pt idx="2242">
                  <c:v>1.716943513731195E-2</c:v>
                </c:pt>
                <c:pt idx="2243">
                  <c:v>1.7163149148782253E-2</c:v>
                </c:pt>
                <c:pt idx="2244">
                  <c:v>1.7156888959535266E-2</c:v>
                </c:pt>
                <c:pt idx="2245">
                  <c:v>1.7150654569570989E-2</c:v>
                </c:pt>
                <c:pt idx="2246">
                  <c:v>1.714444597912923E-2</c:v>
                </c:pt>
                <c:pt idx="2247">
                  <c:v>1.7138263187890246E-2</c:v>
                </c:pt>
                <c:pt idx="2248">
                  <c:v>1.7132106195854035E-2</c:v>
                </c:pt>
                <c:pt idx="2249">
                  <c:v>1.7125975003340344E-2</c:v>
                </c:pt>
                <c:pt idx="2250">
                  <c:v>1.7119869610029426E-2</c:v>
                </c:pt>
                <c:pt idx="2251">
                  <c:v>1.7113790015921282E-2</c:v>
                </c:pt>
                <c:pt idx="2252">
                  <c:v>1.710773622125572E-2</c:v>
                </c:pt>
                <c:pt idx="2253">
                  <c:v>1.7101708225872869E-2</c:v>
                </c:pt>
                <c:pt idx="2254">
                  <c:v>1.7095706029772728E-2</c:v>
                </c:pt>
                <c:pt idx="2255">
                  <c:v>1.7089729633035233E-2</c:v>
                </c:pt>
                <c:pt idx="2256">
                  <c:v>1.7083779035580449E-2</c:v>
                </c:pt>
                <c:pt idx="2257">
                  <c:v>1.7077854237568246E-2</c:v>
                </c:pt>
                <c:pt idx="2258">
                  <c:v>1.7071955238678882E-2</c:v>
                </c:pt>
                <c:pt idx="2259">
                  <c:v>1.7066082039072228E-2</c:v>
                </c:pt>
                <c:pt idx="2260">
                  <c:v>1.7060234638908156E-2</c:v>
                </c:pt>
                <c:pt idx="2261">
                  <c:v>1.7054413037866922E-2</c:v>
                </c:pt>
                <c:pt idx="2262">
                  <c:v>1.7048617236348207E-2</c:v>
                </c:pt>
                <c:pt idx="2263">
                  <c:v>1.704284723395233E-2</c:v>
                </c:pt>
                <c:pt idx="2264">
                  <c:v>1.7037103030999035E-2</c:v>
                </c:pt>
                <c:pt idx="2265">
                  <c:v>1.7031384627168578E-2</c:v>
                </c:pt>
                <c:pt idx="2266">
                  <c:v>1.7025692022700767E-2</c:v>
                </c:pt>
                <c:pt idx="2267">
                  <c:v>1.7020025217595602E-2</c:v>
                </c:pt>
                <c:pt idx="2268">
                  <c:v>1.7014384211613276E-2</c:v>
                </c:pt>
                <c:pt idx="2269">
                  <c:v>1.7008769004993596E-2</c:v>
                </c:pt>
                <c:pt idx="2270">
                  <c:v>1.7003179597736562E-2</c:v>
                </c:pt>
                <c:pt idx="2271">
                  <c:v>1.6997636534464178E-2</c:v>
                </c:pt>
                <c:pt idx="2272">
                  <c:v>1.6992078180990688E-2</c:v>
                </c:pt>
                <c:pt idx="2273">
                  <c:v>1.6986566171581785E-2</c:v>
                </c:pt>
                <c:pt idx="2274">
                  <c:v>1.6981079961455592E-2</c:v>
                </c:pt>
                <c:pt idx="2275">
                  <c:v>1.6975619550532173E-2</c:v>
                </c:pt>
                <c:pt idx="2276">
                  <c:v>1.6970184939051336E-2</c:v>
                </c:pt>
                <c:pt idx="2277">
                  <c:v>1.6964776126613401E-2</c:v>
                </c:pt>
                <c:pt idx="2278">
                  <c:v>1.6959393113618049E-2</c:v>
                </c:pt>
                <c:pt idx="2279">
                  <c:v>1.6954035899985342E-2</c:v>
                </c:pt>
                <c:pt idx="2280">
                  <c:v>1.6948704485395538E-2</c:v>
                </c:pt>
                <c:pt idx="2281">
                  <c:v>1.6943398870248316E-2</c:v>
                </c:pt>
                <c:pt idx="2282">
                  <c:v>1.6938119054303868E-2</c:v>
                </c:pt>
                <c:pt idx="2283">
                  <c:v>1.6932865037722067E-2</c:v>
                </c:pt>
                <c:pt idx="2284">
                  <c:v>1.6927636820183167E-2</c:v>
                </c:pt>
                <c:pt idx="2285">
                  <c:v>1.6922434402246722E-2</c:v>
                </c:pt>
                <c:pt idx="2286">
                  <c:v>1.6917257783353179E-2</c:v>
                </c:pt>
                <c:pt idx="2287">
                  <c:v>1.6912106963822282E-2</c:v>
                </c:pt>
                <c:pt idx="2288">
                  <c:v>1.6906981943494159E-2</c:v>
                </c:pt>
                <c:pt idx="2289">
                  <c:v>1.6901882722528683E-2</c:v>
                </c:pt>
                <c:pt idx="2290">
                  <c:v>1.689680930076598E-2</c:v>
                </c:pt>
                <c:pt idx="2291">
                  <c:v>1.6891761678285988E-2</c:v>
                </c:pt>
                <c:pt idx="2292">
                  <c:v>1.6886739854928834E-2</c:v>
                </c:pt>
                <c:pt idx="2293">
                  <c:v>1.6881743831094198E-2</c:v>
                </c:pt>
                <c:pt idx="2294">
                  <c:v>1.68767736063824E-2</c:v>
                </c:pt>
                <c:pt idx="2295">
                  <c:v>1.6871829180873377E-2</c:v>
                </c:pt>
                <c:pt idx="2296">
                  <c:v>1.6866910554647063E-2</c:v>
                </c:pt>
                <c:pt idx="2297">
                  <c:v>1.6862017727783396E-2</c:v>
                </c:pt>
                <c:pt idx="2298">
                  <c:v>1.6857150699962631E-2</c:v>
                </c:pt>
                <c:pt idx="2299">
                  <c:v>1.6852309471584448E-2</c:v>
                </c:pt>
                <c:pt idx="2300">
                  <c:v>1.6847494042488975E-2</c:v>
                </c:pt>
                <c:pt idx="2301">
                  <c:v>1.6842704412516341E-2</c:v>
                </c:pt>
                <c:pt idx="2302">
                  <c:v>1.6837940581826416E-2</c:v>
                </c:pt>
                <c:pt idx="2303">
                  <c:v>1.6833202550579074E-2</c:v>
                </c:pt>
                <c:pt idx="2304">
                  <c:v>1.682849031845457E-2</c:v>
                </c:pt>
                <c:pt idx="2305">
                  <c:v>1.6823803885452904E-2</c:v>
                </c:pt>
                <c:pt idx="2306">
                  <c:v>1.6819143251733948E-2</c:v>
                </c:pt>
                <c:pt idx="2307">
                  <c:v>1.6814508417297702E-2</c:v>
                </c:pt>
                <c:pt idx="2308">
                  <c:v>1.6809899382224103E-2</c:v>
                </c:pt>
                <c:pt idx="2309">
                  <c:v>1.6805316146353277E-2</c:v>
                </c:pt>
                <c:pt idx="2310">
                  <c:v>1.6800313550975332E-2</c:v>
                </c:pt>
                <c:pt idx="2311">
                  <c:v>1.6795720772551093E-2</c:v>
                </c:pt>
                <c:pt idx="2312">
                  <c:v>1.6791221885874563E-2</c:v>
                </c:pt>
                <c:pt idx="2313">
                  <c:v>1.6786748800985407E-2</c:v>
                </c:pt>
                <c:pt idx="2314">
                  <c:v>1.6782301517856979E-2</c:v>
                </c:pt>
                <c:pt idx="2315">
                  <c:v>1.6777880036435988E-2</c:v>
                </c:pt>
                <c:pt idx="2316">
                  <c:v>1.6773484356855661E-2</c:v>
                </c:pt>
                <c:pt idx="2317">
                  <c:v>1.6769114478929481E-2</c:v>
                </c:pt>
                <c:pt idx="2318">
                  <c:v>1.6764770402790674E-2</c:v>
                </c:pt>
                <c:pt idx="2319">
                  <c:v>1.6760452128412595E-2</c:v>
                </c:pt>
                <c:pt idx="2320">
                  <c:v>1.6756159655768599E-2</c:v>
                </c:pt>
                <c:pt idx="2321">
                  <c:v>1.6751892984858685E-2</c:v>
                </c:pt>
                <c:pt idx="2322">
                  <c:v>1.6747652115656209E-2</c:v>
                </c:pt>
                <c:pt idx="2323">
                  <c:v>1.6743437048241105E-2</c:v>
                </c:pt>
                <c:pt idx="2324">
                  <c:v>1.673924778253344E-2</c:v>
                </c:pt>
                <c:pt idx="2325">
                  <c:v>1.6735084318533211E-2</c:v>
                </c:pt>
                <c:pt idx="2326">
                  <c:v>1.6728403751580245E-2</c:v>
                </c:pt>
                <c:pt idx="2327">
                  <c:v>1.6726834795708356E-2</c:v>
                </c:pt>
                <c:pt idx="2328">
                  <c:v>1.6720809216819177E-2</c:v>
                </c:pt>
                <c:pt idx="2329">
                  <c:v>1.6716756708090585E-2</c:v>
                </c:pt>
                <c:pt idx="2330">
                  <c:v>1.6712729998484832E-2</c:v>
                </c:pt>
                <c:pt idx="2331">
                  <c:v>1.6708729088081853E-2</c:v>
                </c:pt>
                <c:pt idx="2332">
                  <c:v>1.670475397704152E-2</c:v>
                </c:pt>
                <c:pt idx="2333">
                  <c:v>1.6700804665124025E-2</c:v>
                </c:pt>
                <c:pt idx="2334">
                  <c:v>1.6696881152569176E-2</c:v>
                </c:pt>
                <c:pt idx="2335">
                  <c:v>1.6692983438977294E-2</c:v>
                </c:pt>
                <c:pt idx="2336">
                  <c:v>1.6689111524827993E-2</c:v>
                </c:pt>
                <c:pt idx="2337">
                  <c:v>1.6685265409881467E-2</c:v>
                </c:pt>
                <c:pt idx="2338">
                  <c:v>1.6681445094137715E-2</c:v>
                </c:pt>
                <c:pt idx="2339">
                  <c:v>1.66776505775168E-2</c:v>
                </c:pt>
                <c:pt idx="2340">
                  <c:v>1.667388186009866E-2</c:v>
                </c:pt>
                <c:pt idx="2341">
                  <c:v>1.6670138942043167E-2</c:v>
                </c:pt>
                <c:pt idx="2342">
                  <c:v>1.6666421823270383E-2</c:v>
                </c:pt>
                <c:pt idx="2343">
                  <c:v>1.6662730503540502E-2</c:v>
                </c:pt>
                <c:pt idx="2344">
                  <c:v>1.6659064983013394E-2</c:v>
                </c:pt>
                <c:pt idx="2345">
                  <c:v>1.6655425261689061E-2</c:v>
                </c:pt>
                <c:pt idx="2346">
                  <c:v>1.6651811339647438E-2</c:v>
                </c:pt>
                <c:pt idx="2347">
                  <c:v>1.6648223216808589E-2</c:v>
                </c:pt>
                <c:pt idx="2348">
                  <c:v>1.6644660893172514E-2</c:v>
                </c:pt>
                <c:pt idx="2349">
                  <c:v>1.6641124368899085E-2</c:v>
                </c:pt>
                <c:pt idx="2350">
                  <c:v>1.6637613643668558E-2</c:v>
                </c:pt>
                <c:pt idx="2351">
                  <c:v>1.663412871756087E-2</c:v>
                </c:pt>
                <c:pt idx="2352">
                  <c:v>1.66306695909757E-2</c:v>
                </c:pt>
                <c:pt idx="2353">
                  <c:v>1.6627236263193623E-2</c:v>
                </c:pt>
                <c:pt idx="2354">
                  <c:v>1.6623828734934065E-2</c:v>
                </c:pt>
                <c:pt idx="2355">
                  <c:v>1.6620447005717409E-2</c:v>
                </c:pt>
                <c:pt idx="2356">
                  <c:v>1.6617091075783463E-2</c:v>
                </c:pt>
                <c:pt idx="2357">
                  <c:v>1.6613760945052292E-2</c:v>
                </c:pt>
                <c:pt idx="2358">
                  <c:v>1.6610456613364022E-2</c:v>
                </c:pt>
                <c:pt idx="2359">
                  <c:v>1.6607178081038398E-2</c:v>
                </c:pt>
                <c:pt idx="2360">
                  <c:v>1.6603925347995485E-2</c:v>
                </c:pt>
                <c:pt idx="2361">
                  <c:v>1.660069841407541E-2</c:v>
                </c:pt>
                <c:pt idx="2362">
                  <c:v>1.6597197319581092E-2</c:v>
                </c:pt>
                <c:pt idx="2363">
                  <c:v>1.6593870430376967E-2</c:v>
                </c:pt>
                <c:pt idx="2364">
                  <c:v>1.6590724579597094E-2</c:v>
                </c:pt>
                <c:pt idx="2365">
                  <c:v>1.6587604528099931E-2</c:v>
                </c:pt>
                <c:pt idx="2366">
                  <c:v>1.6584510275885478E-2</c:v>
                </c:pt>
                <c:pt idx="2367">
                  <c:v>1.6581441822633991E-2</c:v>
                </c:pt>
                <c:pt idx="2368">
                  <c:v>1.657839916874515E-2</c:v>
                </c:pt>
                <c:pt idx="2369">
                  <c:v>1.6575382313979148E-2</c:v>
                </c:pt>
                <c:pt idx="2370">
                  <c:v>1.6572391258415919E-2</c:v>
                </c:pt>
                <c:pt idx="2371">
                  <c:v>1.6569426002055465E-2</c:v>
                </c:pt>
                <c:pt idx="2372">
                  <c:v>1.6566486544897785E-2</c:v>
                </c:pt>
                <c:pt idx="2373">
                  <c:v>1.6563572886862943E-2</c:v>
                </c:pt>
                <c:pt idx="2374">
                  <c:v>1.6560685028110811E-2</c:v>
                </c:pt>
                <c:pt idx="2375">
                  <c:v>1.6557822968481517E-2</c:v>
                </c:pt>
                <c:pt idx="2376">
                  <c:v>1.6554181086645414E-2</c:v>
                </c:pt>
                <c:pt idx="2377">
                  <c:v>1.6551377996565364E-2</c:v>
                </c:pt>
                <c:pt idx="2378">
                  <c:v>1.6548600705768024E-2</c:v>
                </c:pt>
                <c:pt idx="2379">
                  <c:v>1.6545828386327344E-2</c:v>
                </c:pt>
                <c:pt idx="2380">
                  <c:v>1.6543123521781666E-2</c:v>
                </c:pt>
                <c:pt idx="2381">
                  <c:v>1.6540423628432777E-2</c:v>
                </c:pt>
                <c:pt idx="2382">
                  <c:v>1.6537749534446533E-2</c:v>
                </c:pt>
                <c:pt idx="2383">
                  <c:v>1.6535101239423255E-2</c:v>
                </c:pt>
                <c:pt idx="2384">
                  <c:v>1.6532478743762624E-2</c:v>
                </c:pt>
                <c:pt idx="2385">
                  <c:v>1.6529882047384703E-2</c:v>
                </c:pt>
                <c:pt idx="2386">
                  <c:v>1.6527311149969748E-2</c:v>
                </c:pt>
                <c:pt idx="2387">
                  <c:v>1.6524766051917439E-2</c:v>
                </c:pt>
                <c:pt idx="2388">
                  <c:v>1.6522246752908032E-2</c:v>
                </c:pt>
                <c:pt idx="2389">
                  <c:v>1.6519753253261271E-2</c:v>
                </c:pt>
                <c:pt idx="2390">
                  <c:v>1.6517285552657412E-2</c:v>
                </c:pt>
                <c:pt idx="2391">
                  <c:v>1.6514843651176392E-2</c:v>
                </c:pt>
                <c:pt idx="2392">
                  <c:v>1.6512427548818209E-2</c:v>
                </c:pt>
                <c:pt idx="2393">
                  <c:v>1.6510037245902609E-2</c:v>
                </c:pt>
                <c:pt idx="2394">
                  <c:v>1.6507672742109847E-2</c:v>
                </c:pt>
                <c:pt idx="2395">
                  <c:v>1.6505334037439923E-2</c:v>
                </c:pt>
                <c:pt idx="2396">
                  <c:v>1.6503021131892837E-2</c:v>
                </c:pt>
                <c:pt idx="2397">
                  <c:v>1.6500734025628461E-2</c:v>
                </c:pt>
                <c:pt idx="2398">
                  <c:v>1.6498472718566859E-2</c:v>
                </c:pt>
                <c:pt idx="2399">
                  <c:v>1.6496237210548159E-2</c:v>
                </c:pt>
                <c:pt idx="2400">
                  <c:v>1.649402750181217E-2</c:v>
                </c:pt>
                <c:pt idx="2401">
                  <c:v>1.6491843592119082E-2</c:v>
                </c:pt>
                <c:pt idx="2402">
                  <c:v>1.6489685481788641E-2</c:v>
                </c:pt>
                <c:pt idx="2403">
                  <c:v>1.6487553170501101E-2</c:v>
                </c:pt>
                <c:pt idx="2404">
                  <c:v>1.6485446658416336E-2</c:v>
                </c:pt>
                <c:pt idx="2405">
                  <c:v>1.6483365945694217E-2</c:v>
                </c:pt>
                <c:pt idx="2406">
                  <c:v>1.6481311031935064E-2</c:v>
                </c:pt>
                <c:pt idx="2407">
                  <c:v>1.6479281917458621E-2</c:v>
                </c:pt>
                <c:pt idx="2408">
                  <c:v>1.6477278601945144E-2</c:v>
                </c:pt>
                <c:pt idx="2409">
                  <c:v>1.6475301085794314E-2</c:v>
                </c:pt>
                <c:pt idx="2410">
                  <c:v>1.6473349368766321E-2</c:v>
                </c:pt>
                <c:pt idx="2411">
                  <c:v>1.6471423451021039E-2</c:v>
                </c:pt>
                <c:pt idx="2412">
                  <c:v>1.6469523332398595E-2</c:v>
                </c:pt>
                <c:pt idx="2413">
                  <c:v>1.6466589556456412E-2</c:v>
                </c:pt>
                <c:pt idx="2414">
                  <c:v>1.646603033986338E-2</c:v>
                </c:pt>
                <c:pt idx="2415">
                  <c:v>1.646397777126829E-2</c:v>
                </c:pt>
                <c:pt idx="2416">
                  <c:v>1.6462180849377006E-2</c:v>
                </c:pt>
                <c:pt idx="2417">
                  <c:v>1.6460409726448688E-2</c:v>
                </c:pt>
                <c:pt idx="2418">
                  <c:v>1.6458664402962953E-2</c:v>
                </c:pt>
                <c:pt idx="2419">
                  <c:v>1.6456944878440183E-2</c:v>
                </c:pt>
                <c:pt idx="2420">
                  <c:v>1.6455251153120187E-2</c:v>
                </c:pt>
                <c:pt idx="2421">
                  <c:v>1.6453583227082902E-2</c:v>
                </c:pt>
                <c:pt idx="2422">
                  <c:v>1.6451941100248391E-2</c:v>
                </c:pt>
                <c:pt idx="2423">
                  <c:v>1.6450324772376845E-2</c:v>
                </c:pt>
                <c:pt idx="2424">
                  <c:v>1.644873424378801E-2</c:v>
                </c:pt>
                <c:pt idx="2425">
                  <c:v>1.6447169514322013E-2</c:v>
                </c:pt>
                <c:pt idx="2426">
                  <c:v>1.6446698692732298E-2</c:v>
                </c:pt>
                <c:pt idx="2427">
                  <c:v>1.6444117452838469E-2</c:v>
                </c:pt>
                <c:pt idx="2428">
                  <c:v>1.6442630120980795E-2</c:v>
                </c:pt>
                <c:pt idx="2429">
                  <c:v>1.6441168588245958E-2</c:v>
                </c:pt>
                <c:pt idx="2430">
                  <c:v>1.6439732854633959E-2</c:v>
                </c:pt>
                <c:pt idx="2431">
                  <c:v>1.6439150380564982E-2</c:v>
                </c:pt>
                <c:pt idx="2432">
                  <c:v>1.6436938784858413E-2</c:v>
                </c:pt>
                <c:pt idx="2433">
                  <c:v>1.6435580448614928E-2</c:v>
                </c:pt>
                <c:pt idx="2434">
                  <c:v>1.6434247911893962E-2</c:v>
                </c:pt>
                <c:pt idx="2435">
                  <c:v>1.643294117397609E-2</c:v>
                </c:pt>
                <c:pt idx="2436">
                  <c:v>1.64316602355008E-2</c:v>
                </c:pt>
                <c:pt idx="2437">
                  <c:v>1.643040509590854E-2</c:v>
                </c:pt>
                <c:pt idx="2438">
                  <c:v>1.642917575559899E-2</c:v>
                </c:pt>
                <c:pt idx="2439">
                  <c:v>1.6427972214492215E-2</c:v>
                </c:pt>
                <c:pt idx="2440">
                  <c:v>1.6426794472588213E-2</c:v>
                </c:pt>
                <c:pt idx="2441">
                  <c:v>1.6425642529966922E-2</c:v>
                </c:pt>
                <c:pt idx="2442">
                  <c:v>1.6424516386148724E-2</c:v>
                </c:pt>
                <c:pt idx="2443">
                  <c:v>1.6423416041693173E-2</c:v>
                </c:pt>
                <c:pt idx="2444">
                  <c:v>1.6422341496440396E-2</c:v>
                </c:pt>
                <c:pt idx="2445">
                  <c:v>1.6421292750310457E-2</c:v>
                </c:pt>
                <c:pt idx="2446">
                  <c:v>1.642026980322342E-2</c:v>
                </c:pt>
                <c:pt idx="2447">
                  <c:v>1.6419272655499029E-2</c:v>
                </c:pt>
                <c:pt idx="2448">
                  <c:v>1.6418301306897476E-2</c:v>
                </c:pt>
                <c:pt idx="2449">
                  <c:v>1.6417355757258889E-2</c:v>
                </c:pt>
                <c:pt idx="2450">
                  <c:v>1.6416436006982948E-2</c:v>
                </c:pt>
                <c:pt idx="2451">
                  <c:v>1.6415542055829846E-2</c:v>
                </c:pt>
                <c:pt idx="2452">
                  <c:v>1.6414673903879518E-2</c:v>
                </c:pt>
                <c:pt idx="2453">
                  <c:v>1.6413831550892155E-2</c:v>
                </c:pt>
                <c:pt idx="2454">
                  <c:v>1.6413014997267439E-2</c:v>
                </c:pt>
                <c:pt idx="2455">
                  <c:v>1.6412224242765561E-2</c:v>
                </c:pt>
                <c:pt idx="2456">
                  <c:v>1.6411459287386521E-2</c:v>
                </c:pt>
                <c:pt idx="2457">
                  <c:v>1.6410720131290191E-2</c:v>
                </c:pt>
                <c:pt idx="2458">
                  <c:v>1.6410006774156827E-2</c:v>
                </c:pt>
                <c:pt idx="2459">
                  <c:v>1.6409319216386109E-2</c:v>
                </c:pt>
                <c:pt idx="2460">
                  <c:v>1.6408657457498421E-2</c:v>
                </c:pt>
                <c:pt idx="2461">
                  <c:v>1.6408021498053316E-2</c:v>
                </c:pt>
                <c:pt idx="2462">
                  <c:v>1.6407411337651112E-2</c:v>
                </c:pt>
                <c:pt idx="2463">
                  <c:v>1.6406826976371747E-2</c:v>
                </c:pt>
                <c:pt idx="2464">
                  <c:v>1.6406268414295155E-2</c:v>
                </c:pt>
                <c:pt idx="2465">
                  <c:v>1.6406746643111703E-2</c:v>
                </c:pt>
                <c:pt idx="2466">
                  <c:v>1.640624513919331E-2</c:v>
                </c:pt>
                <c:pt idx="2467">
                  <c:v>1.6404747523122154E-2</c:v>
                </c:pt>
                <c:pt idx="2468">
                  <c:v>1.6404292157536915E-2</c:v>
                </c:pt>
                <c:pt idx="2469">
                  <c:v>1.6403862591234386E-2</c:v>
                </c:pt>
                <c:pt idx="2470">
                  <c:v>1.6403458824054695E-2</c:v>
                </c:pt>
                <c:pt idx="2471">
                  <c:v>1.6403080856077779E-2</c:v>
                </c:pt>
                <c:pt idx="2472">
                  <c:v>1.6402728687383572E-2</c:v>
                </c:pt>
                <c:pt idx="2473">
                  <c:v>1.6402402317732268E-2</c:v>
                </c:pt>
                <c:pt idx="2474">
                  <c:v>1.6402101747123865E-2</c:v>
                </c:pt>
                <c:pt idx="2475">
                  <c:v>1.6401826975878109E-2</c:v>
                </c:pt>
                <c:pt idx="2476">
                  <c:v>1.6401578003675255E-2</c:v>
                </c:pt>
                <c:pt idx="2477">
                  <c:v>1.6401354830675174E-2</c:v>
                </c:pt>
                <c:pt idx="2478">
                  <c:v>1.6401157456717996E-2</c:v>
                </c:pt>
                <c:pt idx="2479">
                  <c:v>1.6400985882123464E-2</c:v>
                </c:pt>
                <c:pt idx="2480">
                  <c:v>1.6400840106651771E-2</c:v>
                </c:pt>
                <c:pt idx="2481">
                  <c:v>1.6402185532566449E-2</c:v>
                </c:pt>
                <c:pt idx="2482">
                  <c:v>1.6400625952917025E-2</c:v>
                </c:pt>
                <c:pt idx="2483">
                  <c:v>1.6400557574973718E-2</c:v>
                </c:pt>
                <c:pt idx="2484">
                  <c:v>1.640051499591344E-2</c:v>
                </c:pt>
                <c:pt idx="2485">
                  <c:v>1.6400498216135873E-2</c:v>
                </c:pt>
                <c:pt idx="2486">
                  <c:v>1.6400507235561079E-2</c:v>
                </c:pt>
                <c:pt idx="2487">
                  <c:v>1.640054205418906E-2</c:v>
                </c:pt>
                <c:pt idx="2488">
                  <c:v>1.6400602671939879E-2</c:v>
                </c:pt>
                <c:pt idx="2489">
                  <c:v>1.64006890887336E-2</c:v>
                </c:pt>
                <c:pt idx="2490">
                  <c:v>1.6400801304810031E-2</c:v>
                </c:pt>
                <c:pt idx="2491">
                  <c:v>1.64009393200093E-2</c:v>
                </c:pt>
                <c:pt idx="2492">
                  <c:v>1.6401103134331407E-2</c:v>
                </c:pt>
                <c:pt idx="2493">
                  <c:v>1.6401241887260554E-2</c:v>
                </c:pt>
                <c:pt idx="2494">
                  <c:v>1.640128909981442E-2</c:v>
                </c:pt>
                <c:pt idx="2495">
                  <c:v>1.6401244371353485E-2</c:v>
                </c:pt>
                <c:pt idx="2496">
                  <c:v>1.6401107701957685E-2</c:v>
                </c:pt>
                <c:pt idx="2497">
                  <c:v>1.6400879091627019E-2</c:v>
                </c:pt>
                <c:pt idx="2498">
                  <c:v>1.6400558540361487E-2</c:v>
                </c:pt>
                <c:pt idx="2499">
                  <c:v>1.6400146048081155E-2</c:v>
                </c:pt>
                <c:pt idx="2500">
                  <c:v>1.6399641614865956E-2</c:v>
                </c:pt>
                <c:pt idx="2501">
                  <c:v>1.6399045240715893E-2</c:v>
                </c:pt>
                <c:pt idx="2502">
                  <c:v>1.6398356925630964E-2</c:v>
                </c:pt>
                <c:pt idx="2503">
                  <c:v>1.6397576669611169E-2</c:v>
                </c:pt>
                <c:pt idx="2504">
                  <c:v>1.6396704472496637E-2</c:v>
                </c:pt>
                <c:pt idx="2505">
                  <c:v>1.6395740334607112E-2</c:v>
                </c:pt>
                <c:pt idx="2506">
                  <c:v>1.6394684255702785E-2</c:v>
                </c:pt>
                <c:pt idx="2507">
                  <c:v>1.6393536235783657E-2</c:v>
                </c:pt>
                <c:pt idx="2508">
                  <c:v>1.6392296275009599E-2</c:v>
                </c:pt>
                <c:pt idx="2509">
                  <c:v>1.639096437322074E-2</c:v>
                </c:pt>
                <c:pt idx="2510">
                  <c:v>1.6389540530576951E-2</c:v>
                </c:pt>
                <c:pt idx="2511">
                  <c:v>1.6388024746918362E-2</c:v>
                </c:pt>
                <c:pt idx="2512">
                  <c:v>1.6386417022324906E-2</c:v>
                </c:pt>
                <c:pt idx="2513">
                  <c:v>1.6384717356796585E-2</c:v>
                </c:pt>
                <c:pt idx="2514">
                  <c:v>1.6382925750333399E-2</c:v>
                </c:pt>
                <c:pt idx="2515">
                  <c:v>1.6381042202855411E-2</c:v>
                </c:pt>
                <c:pt idx="2516">
                  <c:v>1.637906671460243E-2</c:v>
                </c:pt>
                <c:pt idx="2517">
                  <c:v>1.6376999285334648E-2</c:v>
                </c:pt>
                <c:pt idx="2518">
                  <c:v>1.6374839915052064E-2</c:v>
                </c:pt>
                <c:pt idx="2519">
                  <c:v>1.6372588603914551E-2</c:v>
                </c:pt>
                <c:pt idx="2520">
                  <c:v>1.6370245351842172E-2</c:v>
                </c:pt>
                <c:pt idx="2521">
                  <c:v>1.6367810158834928E-2</c:v>
                </c:pt>
                <c:pt idx="2522">
                  <c:v>1.6365283024892818E-2</c:v>
                </c:pt>
                <c:pt idx="2523">
                  <c:v>1.6362663950095779E-2</c:v>
                </c:pt>
                <c:pt idx="2524">
                  <c:v>1.6359952934204003E-2</c:v>
                </c:pt>
                <c:pt idx="2525">
                  <c:v>1.6357149977537233E-2</c:v>
                </c:pt>
                <c:pt idx="2526">
                  <c:v>1.6354255079935598E-2</c:v>
                </c:pt>
                <c:pt idx="2527">
                  <c:v>1.6351268241479033E-2</c:v>
                </c:pt>
                <c:pt idx="2528">
                  <c:v>1.6348189461927731E-2</c:v>
                </c:pt>
                <c:pt idx="2529">
                  <c:v>1.6345018741601436E-2</c:v>
                </c:pt>
                <c:pt idx="2530">
                  <c:v>1.6341756080340275E-2</c:v>
                </c:pt>
                <c:pt idx="2531">
                  <c:v>1.6338907165492245E-2</c:v>
                </c:pt>
                <c:pt idx="2532">
                  <c:v>1.6334954934933421E-2</c:v>
                </c:pt>
                <c:pt idx="2533">
                  <c:v>1.6331416451027536E-2</c:v>
                </c:pt>
                <c:pt idx="2534">
                  <c:v>1.6327786026186786E-2</c:v>
                </c:pt>
                <c:pt idx="2535">
                  <c:v>1.632406366041117E-2</c:v>
                </c:pt>
                <c:pt idx="2536">
                  <c:v>1.6320249353620753E-2</c:v>
                </c:pt>
                <c:pt idx="2537">
                  <c:v>1.6316343106135278E-2</c:v>
                </c:pt>
                <c:pt idx="2538">
                  <c:v>1.6312344917555066E-2</c:v>
                </c:pt>
                <c:pt idx="2539">
                  <c:v>1.6308254788199861E-2</c:v>
                </c:pt>
                <c:pt idx="2540">
                  <c:v>1.6304072718069662E-2</c:v>
                </c:pt>
                <c:pt idx="2541">
                  <c:v>1.6299798707004598E-2</c:v>
                </c:pt>
                <c:pt idx="2542">
                  <c:v>1.6295432755004668E-2</c:v>
                </c:pt>
                <c:pt idx="2543">
                  <c:v>1.6290974862069874E-2</c:v>
                </c:pt>
                <c:pt idx="2544">
                  <c:v>1.6286425028360085E-2</c:v>
                </c:pt>
                <c:pt idx="2545">
                  <c:v>1.6281783253875304E-2</c:v>
                </c:pt>
                <c:pt idx="2546">
                  <c:v>1.6277049538375721E-2</c:v>
                </c:pt>
                <c:pt idx="2547">
                  <c:v>1.6272223882021208E-2</c:v>
                </c:pt>
                <c:pt idx="2548">
                  <c:v>1.6267306284891703E-2</c:v>
                </c:pt>
                <c:pt idx="2549">
                  <c:v>1.6262296746907268E-2</c:v>
                </c:pt>
                <c:pt idx="2550">
                  <c:v>1.6257195267987967E-2</c:v>
                </c:pt>
                <c:pt idx="2551">
                  <c:v>1.6252001848213737E-2</c:v>
                </c:pt>
                <c:pt idx="2552">
                  <c:v>1.6246716487824386E-2</c:v>
                </c:pt>
                <c:pt idx="2553">
                  <c:v>1.6241339186340298E-2</c:v>
                </c:pt>
                <c:pt idx="2554">
                  <c:v>1.6235869944161152E-2</c:v>
                </c:pt>
                <c:pt idx="2555">
                  <c:v>1.6230308761127077E-2</c:v>
                </c:pt>
                <c:pt idx="2556">
                  <c:v>1.6224655637318008E-2</c:v>
                </c:pt>
                <c:pt idx="2557">
                  <c:v>1.6218910572654011E-2</c:v>
                </c:pt>
                <c:pt idx="2558">
                  <c:v>1.6213073567135083E-2</c:v>
                </c:pt>
                <c:pt idx="2559">
                  <c:v>1.6207144620841163E-2</c:v>
                </c:pt>
                <c:pt idx="2560">
                  <c:v>1.6201123733772249E-2</c:v>
                </c:pt>
                <c:pt idx="2561">
                  <c:v>1.619501090576847E-2</c:v>
                </c:pt>
                <c:pt idx="2562">
                  <c:v>1.6188806137069633E-2</c:v>
                </c:pt>
                <c:pt idx="2563">
                  <c:v>1.618250942767574E-2</c:v>
                </c:pt>
                <c:pt idx="2564">
                  <c:v>1.6176120777346981E-2</c:v>
                </c:pt>
                <c:pt idx="2565">
                  <c:v>1.6169640186323164E-2</c:v>
                </c:pt>
                <c:pt idx="2566">
                  <c:v>1.6163067654444419E-2</c:v>
                </c:pt>
                <c:pt idx="2567">
                  <c:v>1.6156403181870616E-2</c:v>
                </c:pt>
                <c:pt idx="2568">
                  <c:v>1.6149646768521819E-2</c:v>
                </c:pt>
                <c:pt idx="2569">
                  <c:v>1.614279841439803E-2</c:v>
                </c:pt>
                <c:pt idx="2570">
                  <c:v>1.6134440542463491E-2</c:v>
                </c:pt>
                <c:pt idx="2571">
                  <c:v>1.6127521598798822E-2</c:v>
                </c:pt>
                <c:pt idx="2572">
                  <c:v>1.6120370513128535E-2</c:v>
                </c:pt>
                <c:pt idx="2573">
                  <c:v>1.6113127478769584E-2</c:v>
                </c:pt>
                <c:pt idx="2574">
                  <c:v>1.6105792495775262E-2</c:v>
                </c:pt>
                <c:pt idx="2575">
                  <c:v>1.6098365564092276E-2</c:v>
                </c:pt>
                <c:pt idx="2576">
                  <c:v>1.6090846683827209E-2</c:v>
                </c:pt>
                <c:pt idx="2577">
                  <c:v>1.6083235854900124E-2</c:v>
                </c:pt>
                <c:pt idx="2578">
                  <c:v>1.6075533077390958E-2</c:v>
                </c:pt>
                <c:pt idx="2579">
                  <c:v>1.606773835129971E-2</c:v>
                </c:pt>
                <c:pt idx="2580">
                  <c:v>1.6059851676679671E-2</c:v>
                </c:pt>
                <c:pt idx="2581">
                  <c:v>1.605187305347755E-2</c:v>
                </c:pt>
                <c:pt idx="2582">
                  <c:v>1.6043802481746638E-2</c:v>
                </c:pt>
                <c:pt idx="2583">
                  <c:v>1.6035639961513581E-2</c:v>
                </c:pt>
                <c:pt idx="2584">
                  <c:v>1.6027385492778379E-2</c:v>
                </c:pt>
                <c:pt idx="2585">
                  <c:v>1.6019039075620967E-2</c:v>
                </c:pt>
                <c:pt idx="2586">
                  <c:v>1.6006245068647118E-2</c:v>
                </c:pt>
                <c:pt idx="2587">
                  <c:v>1.6002070395906287E-2</c:v>
                </c:pt>
                <c:pt idx="2588">
                  <c:v>1.5993448133428956E-2</c:v>
                </c:pt>
                <c:pt idx="2589">
                  <c:v>1.598473392255606E-2</c:v>
                </c:pt>
                <c:pt idx="2590">
                  <c:v>1.5975927763314246E-2</c:v>
                </c:pt>
                <c:pt idx="2591">
                  <c:v>1.5967029655703513E-2</c:v>
                </c:pt>
                <c:pt idx="2592">
                  <c:v>1.5958039599803797E-2</c:v>
                </c:pt>
                <c:pt idx="2593">
                  <c:v>1.5948957595561808E-2</c:v>
                </c:pt>
                <c:pt idx="2594">
                  <c:v>1.5939783643030836E-2</c:v>
                </c:pt>
                <c:pt idx="2595">
                  <c:v>1.5930517742237527E-2</c:v>
                </c:pt>
                <c:pt idx="2596">
                  <c:v>1.592115989318188E-2</c:v>
                </c:pt>
                <c:pt idx="2597">
                  <c:v>1.5911710095943832E-2</c:v>
                </c:pt>
                <c:pt idx="2598">
                  <c:v>1.5902168350470092E-2</c:v>
                </c:pt>
                <c:pt idx="2599">
                  <c:v>1.5892534656787305E-2</c:v>
                </c:pt>
                <c:pt idx="2600">
                  <c:v>1.5882809015002053E-2</c:v>
                </c:pt>
                <c:pt idx="2601">
                  <c:v>1.58729914250344E-2</c:v>
                </c:pt>
                <c:pt idx="2602">
                  <c:v>1.5863081886964281E-2</c:v>
                </c:pt>
                <c:pt idx="2603">
                  <c:v>1.5853080400844988E-2</c:v>
                </c:pt>
                <c:pt idx="2604">
                  <c:v>1.5842986966596584E-2</c:v>
                </c:pt>
                <c:pt idx="2605">
                  <c:v>1.5832801584325651E-2</c:v>
                </c:pt>
                <c:pt idx="2606">
                  <c:v>1.5822524254005543E-2</c:v>
                </c:pt>
                <c:pt idx="2607">
                  <c:v>1.5812154975742843E-2</c:v>
                </c:pt>
                <c:pt idx="2608">
                  <c:v>1.5801693749510903E-2</c:v>
                </c:pt>
                <c:pt idx="2609">
                  <c:v>1.579114057528308E-2</c:v>
                </c:pt>
                <c:pt idx="2610">
                  <c:v>1.5780495453139309E-2</c:v>
                </c:pt>
                <c:pt idx="2611">
                  <c:v>1.5769758383106236E-2</c:v>
                </c:pt>
                <c:pt idx="2612">
                  <c:v>1.5758929365157215E-2</c:v>
                </c:pt>
                <c:pt idx="2613">
                  <c:v>1.5748008399372182E-2</c:v>
                </c:pt>
                <c:pt idx="2614">
                  <c:v>1.5736995485777783E-2</c:v>
                </c:pt>
                <c:pt idx="2615">
                  <c:v>1.5725890624374017E-2</c:v>
                </c:pt>
                <c:pt idx="2616">
                  <c:v>1.571469381518753E-2</c:v>
                </c:pt>
                <c:pt idx="2617">
                  <c:v>1.5703405058218323E-2</c:v>
                </c:pt>
                <c:pt idx="2618">
                  <c:v>1.5692024353599621E-2</c:v>
                </c:pt>
                <c:pt idx="2619">
                  <c:v>1.5680551701224843E-2</c:v>
                </c:pt>
                <c:pt idx="2620">
                  <c:v>1.5668987101173926E-2</c:v>
                </c:pt>
                <c:pt idx="2621">
                  <c:v>1.5657330553500159E-2</c:v>
                </c:pt>
                <c:pt idx="2622">
                  <c:v>1.5641024499619682E-2</c:v>
                </c:pt>
                <c:pt idx="2623">
                  <c:v>1.5629663785690084E-2</c:v>
                </c:pt>
                <c:pt idx="2624">
                  <c:v>1.5617706162478484E-2</c:v>
                </c:pt>
                <c:pt idx="2625">
                  <c:v>1.5605656598811635E-2</c:v>
                </c:pt>
                <c:pt idx="2626">
                  <c:v>1.5593515094849408E-2</c:v>
                </c:pt>
                <c:pt idx="2627">
                  <c:v>1.5581281650591805E-2</c:v>
                </c:pt>
                <c:pt idx="2628">
                  <c:v>1.5568956265958889E-2</c:v>
                </c:pt>
                <c:pt idx="2629">
                  <c:v>1.5556538941030595E-2</c:v>
                </c:pt>
                <c:pt idx="2630">
                  <c:v>1.5544029675886861E-2</c:v>
                </c:pt>
                <c:pt idx="2631">
                  <c:v>1.5531428470287878E-2</c:v>
                </c:pt>
                <c:pt idx="2632">
                  <c:v>1.5518735324393518E-2</c:v>
                </c:pt>
                <c:pt idx="2633">
                  <c:v>1.5505950238363653E-2</c:v>
                </c:pt>
                <c:pt idx="2634">
                  <c:v>1.5493073212038411E-2</c:v>
                </c:pt>
                <c:pt idx="2635">
                  <c:v>1.5480104245337856E-2</c:v>
                </c:pt>
                <c:pt idx="2636">
                  <c:v>1.5467043338501796E-2</c:v>
                </c:pt>
                <c:pt idx="2637">
                  <c:v>1.5450115648052432E-2</c:v>
                </c:pt>
                <c:pt idx="2638">
                  <c:v>1.5440645704103417E-2</c:v>
                </c:pt>
                <c:pt idx="2639">
                  <c:v>1.5427308976541099E-2</c:v>
                </c:pt>
                <c:pt idx="2640">
                  <c:v>1.5413880308843275E-2</c:v>
                </c:pt>
                <c:pt idx="2641">
                  <c:v>1.5400359700850075E-2</c:v>
                </c:pt>
                <c:pt idx="2642">
                  <c:v>1.538674715272137E-2</c:v>
                </c:pt>
                <c:pt idx="2643">
                  <c:v>1.5373042664377223E-2</c:v>
                </c:pt>
                <c:pt idx="2644">
                  <c:v>1.5359246235897572E-2</c:v>
                </c:pt>
                <c:pt idx="2645">
                  <c:v>1.5345357867282416E-2</c:v>
                </c:pt>
                <c:pt idx="2646">
                  <c:v>1.533137755845182E-2</c:v>
                </c:pt>
                <c:pt idx="2647">
                  <c:v>1.5317305309485718E-2</c:v>
                </c:pt>
                <c:pt idx="2648">
                  <c:v>1.5303141120543984E-2</c:v>
                </c:pt>
                <c:pt idx="2649">
                  <c:v>1.5288884991386809E-2</c:v>
                </c:pt>
                <c:pt idx="2650">
                  <c:v>1.5274536922094128E-2</c:v>
                </c:pt>
                <c:pt idx="2651">
                  <c:v>1.526009691274588E-2</c:v>
                </c:pt>
                <c:pt idx="2652">
                  <c:v>1.5245564963421998E-2</c:v>
                </c:pt>
                <c:pt idx="2653">
                  <c:v>1.5230941073962612E-2</c:v>
                </c:pt>
                <c:pt idx="2654">
                  <c:v>1.521622524436772E-2</c:v>
                </c:pt>
                <c:pt idx="2655">
                  <c:v>1.5201417474797196E-2</c:v>
                </c:pt>
                <c:pt idx="2656">
                  <c:v>1.5186517765171104E-2</c:v>
                </c:pt>
                <c:pt idx="2657">
                  <c:v>1.5171526115489442E-2</c:v>
                </c:pt>
                <c:pt idx="2658">
                  <c:v>1.5156442525832148E-2</c:v>
                </c:pt>
                <c:pt idx="2659">
                  <c:v>1.5141266996279157E-2</c:v>
                </c:pt>
                <c:pt idx="2660">
                  <c:v>1.5125999526590661E-2</c:v>
                </c:pt>
                <c:pt idx="2661">
                  <c:v>1.5110640117006469E-2</c:v>
                </c:pt>
                <c:pt idx="2662">
                  <c:v>1.5095188767366707E-2</c:v>
                </c:pt>
                <c:pt idx="2663">
                  <c:v>1.5079645477911185E-2</c:v>
                </c:pt>
                <c:pt idx="2664">
                  <c:v>1.5064010248320159E-2</c:v>
                </c:pt>
                <c:pt idx="2665">
                  <c:v>1.5048283078913371E-2</c:v>
                </c:pt>
                <c:pt idx="2666">
                  <c:v>1.5032463969690824E-2</c:v>
                </c:pt>
                <c:pt idx="2667">
                  <c:v>1.5016552920412707E-2</c:v>
                </c:pt>
                <c:pt idx="2668">
                  <c:v>1.500054993131883E-2</c:v>
                </c:pt>
                <c:pt idx="2669">
                  <c:v>1.4984455002329256E-2</c:v>
                </c:pt>
                <c:pt idx="2670">
                  <c:v>1.4968268133523921E-2</c:v>
                </c:pt>
                <c:pt idx="2671">
                  <c:v>1.4951989324742954E-2</c:v>
                </c:pt>
                <c:pt idx="2672">
                  <c:v>1.4935618576146226E-2</c:v>
                </c:pt>
                <c:pt idx="2673">
                  <c:v>1.4919155887813673E-2</c:v>
                </c:pt>
                <c:pt idx="2674">
                  <c:v>1.4899349950723284E-2</c:v>
                </c:pt>
                <c:pt idx="2675">
                  <c:v>1.4883569105093031E-2</c:v>
                </c:pt>
                <c:pt idx="2676">
                  <c:v>1.486681746309948E-2</c:v>
                </c:pt>
                <c:pt idx="2677">
                  <c:v>1.4849973881210232E-2</c:v>
                </c:pt>
                <c:pt idx="2678">
                  <c:v>1.4833038359665096E-2</c:v>
                </c:pt>
                <c:pt idx="2679">
                  <c:v>1.4816010898304199E-2</c:v>
                </c:pt>
                <c:pt idx="2680">
                  <c:v>1.4798891497207478E-2</c:v>
                </c:pt>
                <c:pt idx="2681">
                  <c:v>1.4781680156294996E-2</c:v>
                </c:pt>
                <c:pt idx="2682">
                  <c:v>1.4764376875886498E-2</c:v>
                </c:pt>
                <c:pt idx="2683">
                  <c:v>1.4746981655582303E-2</c:v>
                </c:pt>
                <c:pt idx="2684">
                  <c:v>1.4729494495702156E-2</c:v>
                </c:pt>
                <c:pt idx="2685">
                  <c:v>1.471191539616612E-2</c:v>
                </c:pt>
                <c:pt idx="2686">
                  <c:v>1.4694244356814323E-2</c:v>
                </c:pt>
                <c:pt idx="2687">
                  <c:v>1.4671389354203868E-2</c:v>
                </c:pt>
                <c:pt idx="2688">
                  <c:v>1.4653508167272733E-2</c:v>
                </c:pt>
                <c:pt idx="2689">
                  <c:v>1.463553504068571E-2</c:v>
                </c:pt>
                <c:pt idx="2690">
                  <c:v>1.4617469974362862E-2</c:v>
                </c:pt>
                <c:pt idx="2691">
                  <c:v>1.4594699381724752E-2</c:v>
                </c:pt>
                <c:pt idx="2692">
                  <c:v>1.4581064023309054E-2</c:v>
                </c:pt>
                <c:pt idx="2693">
                  <c:v>1.4562723138418221E-2</c:v>
                </c:pt>
                <c:pt idx="2694">
                  <c:v>1.45442903138715E-2</c:v>
                </c:pt>
                <c:pt idx="2695">
                  <c:v>1.4525765549988634E-2</c:v>
                </c:pt>
                <c:pt idx="2696">
                  <c:v>1.450714884644988E-2</c:v>
                </c:pt>
                <c:pt idx="2697">
                  <c:v>1.4488440203415109E-2</c:v>
                </c:pt>
                <c:pt idx="2698">
                  <c:v>1.4469639620964259E-2</c:v>
                </c:pt>
                <c:pt idx="2699">
                  <c:v>1.4450747099017391E-2</c:v>
                </c:pt>
                <c:pt idx="2700">
                  <c:v>1.4431762637494572E-2</c:v>
                </c:pt>
                <c:pt idx="2701">
                  <c:v>1.4412686236635608E-2</c:v>
                </c:pt>
                <c:pt idx="2702">
                  <c:v>1.4393517896360564E-2</c:v>
                </c:pt>
                <c:pt idx="2703">
                  <c:v>1.4374257616509567E-2</c:v>
                </c:pt>
                <c:pt idx="2704">
                  <c:v>1.4354905397562234E-2</c:v>
                </c:pt>
                <c:pt idx="2705">
                  <c:v>1.4335461238959013E-2</c:v>
                </c:pt>
                <c:pt idx="2706">
                  <c:v>1.4315925141099584E-2</c:v>
                </c:pt>
                <c:pt idx="2707">
                  <c:v>1.429629710390401E-2</c:v>
                </c:pt>
                <c:pt idx="2708">
                  <c:v>1.4276577127292356E-2</c:v>
                </c:pt>
                <c:pt idx="2709">
                  <c:v>1.4256765211424494E-2</c:v>
                </c:pt>
                <c:pt idx="2710">
                  <c:v>1.4236861356220487E-2</c:v>
                </c:pt>
                <c:pt idx="2711">
                  <c:v>1.4216865561680336E-2</c:v>
                </c:pt>
                <c:pt idx="2712">
                  <c:v>1.4196777827883977E-2</c:v>
                </c:pt>
                <c:pt idx="2713">
                  <c:v>1.417659815483141E-2</c:v>
                </c:pt>
                <c:pt idx="2714">
                  <c:v>1.4156326542602571E-2</c:v>
                </c:pt>
                <c:pt idx="2715">
                  <c:v>1.4135962991037587E-2</c:v>
                </c:pt>
                <c:pt idx="2716">
                  <c:v>1.4115507500296332E-2</c:v>
                </c:pt>
                <c:pt idx="2717">
                  <c:v>1.4094960070378804E-2</c:v>
                </c:pt>
                <c:pt idx="2718">
                  <c:v>1.4074320701285004E-2</c:v>
                </c:pt>
                <c:pt idx="2719">
                  <c:v>1.4053589392934995E-2</c:v>
                </c:pt>
                <c:pt idx="2720">
                  <c:v>1.4032766145408715E-2</c:v>
                </c:pt>
                <c:pt idx="2721">
                  <c:v>1.4011850958866034E-2</c:v>
                </c:pt>
                <c:pt idx="2722">
                  <c:v>1.3990843833147082E-2</c:v>
                </c:pt>
                <c:pt idx="2723">
                  <c:v>1.3969744768331793E-2</c:v>
                </c:pt>
                <c:pt idx="2724">
                  <c:v>1.3948553764420168E-2</c:v>
                </c:pt>
                <c:pt idx="2725">
                  <c:v>1.3915067860930108E-2</c:v>
                </c:pt>
                <c:pt idx="2726">
                  <c:v>1.3900308001701944E-2</c:v>
                </c:pt>
                <c:pt idx="2727">
                  <c:v>1.388442911826715E-2</c:v>
                </c:pt>
                <c:pt idx="2728">
                  <c:v>1.3862870358209989E-2</c:v>
                </c:pt>
                <c:pt idx="2729">
                  <c:v>1.3841219659056492E-2</c:v>
                </c:pt>
                <c:pt idx="2730">
                  <c:v>1.3819477020966531E-2</c:v>
                </c:pt>
                <c:pt idx="2731">
                  <c:v>1.379764244386017E-2</c:v>
                </c:pt>
                <c:pt idx="2732">
                  <c:v>1.3775715927817345E-2</c:v>
                </c:pt>
                <c:pt idx="2733">
                  <c:v>1.3753697472838056E-2</c:v>
                </c:pt>
                <c:pt idx="2734">
                  <c:v>1.3731587078842367E-2</c:v>
                </c:pt>
                <c:pt idx="2735">
                  <c:v>1.3709384746070086E-2</c:v>
                </c:pt>
                <c:pt idx="2736">
                  <c:v>1.3687090474441277E-2</c:v>
                </c:pt>
                <c:pt idx="2737">
                  <c:v>1.3664704263716132E-2</c:v>
                </c:pt>
                <c:pt idx="2738">
                  <c:v>1.3642226114214395E-2</c:v>
                </c:pt>
                <c:pt idx="2739">
                  <c:v>1.3619656026095939E-2</c:v>
                </c:pt>
                <c:pt idx="2740">
                  <c:v>1.3596993998961082E-2</c:v>
                </c:pt>
                <c:pt idx="2741">
                  <c:v>1.3568742858893756E-2</c:v>
                </c:pt>
                <c:pt idx="2742">
                  <c:v>1.3551394128281657E-2</c:v>
                </c:pt>
                <c:pt idx="2743">
                  <c:v>1.3528456284976897E-2</c:v>
                </c:pt>
                <c:pt idx="2744">
                  <c:v>1.3505426502655737E-2</c:v>
                </c:pt>
                <c:pt idx="2745">
                  <c:v>1.3482304781717858E-2</c:v>
                </c:pt>
                <c:pt idx="2746">
                  <c:v>1.3459091122003386E-2</c:v>
                </c:pt>
                <c:pt idx="2747">
                  <c:v>1.3435785523672195E-2</c:v>
                </c:pt>
                <c:pt idx="2748">
                  <c:v>1.3412387986564411E-2</c:v>
                </c:pt>
                <c:pt idx="2749">
                  <c:v>1.3388898510839908E-2</c:v>
                </c:pt>
                <c:pt idx="2750">
                  <c:v>1.3365317096578622E-2</c:v>
                </c:pt>
                <c:pt idx="2751">
                  <c:v>1.3341643743540743E-2</c:v>
                </c:pt>
                <c:pt idx="2752">
                  <c:v>1.3317878451966081E-2</c:v>
                </c:pt>
                <c:pt idx="2753">
                  <c:v>1.3294128119785142E-2</c:v>
                </c:pt>
                <c:pt idx="2754">
                  <c:v>1.3270532472189345E-2</c:v>
                </c:pt>
                <c:pt idx="2755">
                  <c:v>1.3247092350665568E-2</c:v>
                </c:pt>
                <c:pt idx="2756">
                  <c:v>1.3223807755293748E-2</c:v>
                </c:pt>
                <c:pt idx="2757">
                  <c:v>1.3200678686153822E-2</c:v>
                </c:pt>
                <c:pt idx="2758">
                  <c:v>1.3177705142926044E-2</c:v>
                </c:pt>
                <c:pt idx="2759">
                  <c:v>1.3154887125850223E-2</c:v>
                </c:pt>
                <c:pt idx="2760">
                  <c:v>1.3132224634686551E-2</c:v>
                </c:pt>
                <c:pt idx="2761">
                  <c:v>1.31097176695949E-2</c:v>
                </c:pt>
                <c:pt idx="2762">
                  <c:v>1.3087366230335462E-2</c:v>
                </c:pt>
                <c:pt idx="2763">
                  <c:v>1.3065170317148045E-2</c:v>
                </c:pt>
                <c:pt idx="2764">
                  <c:v>1.3043129929872777E-2</c:v>
                </c:pt>
                <c:pt idx="2765">
                  <c:v>1.3021245068269849E-2</c:v>
                </c:pt>
                <c:pt idx="2766">
                  <c:v>1.299951573257907E-2</c:v>
                </c:pt>
                <c:pt idx="2767">
                  <c:v>1.297794192280044E-2</c:v>
                </c:pt>
                <c:pt idx="2768">
                  <c:v>1.2956523638694151E-2</c:v>
                </c:pt>
                <c:pt idx="2769">
                  <c:v>1.293526088050001E-2</c:v>
                </c:pt>
                <c:pt idx="2770">
                  <c:v>1.2914153647818338E-2</c:v>
                </c:pt>
                <c:pt idx="2771">
                  <c:v>1.2893201941048815E-2</c:v>
                </c:pt>
                <c:pt idx="2772">
                  <c:v>1.2872405759871697E-2</c:v>
                </c:pt>
                <c:pt idx="2773">
                  <c:v>1.2851765104286983E-2</c:v>
                </c:pt>
                <c:pt idx="2774">
                  <c:v>1.283127997437461E-2</c:v>
                </c:pt>
                <c:pt idx="2775">
                  <c:v>1.2810950370054641E-2</c:v>
                </c:pt>
                <c:pt idx="2776">
                  <c:v>1.2790776291327077E-2</c:v>
                </c:pt>
                <c:pt idx="2777">
                  <c:v>1.2770757738032046E-2</c:v>
                </c:pt>
                <c:pt idx="2778">
                  <c:v>1.2750894710409355E-2</c:v>
                </c:pt>
                <c:pt idx="2779">
                  <c:v>1.2731187208219197E-2</c:v>
                </c:pt>
                <c:pt idx="2780">
                  <c:v>1.2711635231461571E-2</c:v>
                </c:pt>
                <c:pt idx="2781">
                  <c:v>1.2692238780136478E-2</c:v>
                </c:pt>
                <c:pt idx="2782">
                  <c:v>1.2672997854323853E-2</c:v>
                </c:pt>
                <c:pt idx="2783">
                  <c:v>1.2653912453783889E-2</c:v>
                </c:pt>
                <c:pt idx="2784">
                  <c:v>1.2634982578596521E-2</c:v>
                </c:pt>
                <c:pt idx="2785">
                  <c:v>1.2616208228841685E-2</c:v>
                </c:pt>
                <c:pt idx="2786">
                  <c:v>1.259758940435951E-2</c:v>
                </c:pt>
                <c:pt idx="2787">
                  <c:v>1.2579126105149996E-2</c:v>
                </c:pt>
                <c:pt idx="2788">
                  <c:v>1.2560818331213142E-2</c:v>
                </c:pt>
                <c:pt idx="2789">
                  <c:v>1.2542666082548948E-2</c:v>
                </c:pt>
                <c:pt idx="2790">
                  <c:v>1.2524669359077478E-2</c:v>
                </c:pt>
                <c:pt idx="2791">
                  <c:v>1.2506828160798733E-2</c:v>
                </c:pt>
                <c:pt idx="2792">
                  <c:v>1.2484987059711017E-2</c:v>
                </c:pt>
                <c:pt idx="2793">
                  <c:v>1.2471612339819416E-2</c:v>
                </c:pt>
                <c:pt idx="2794">
                  <c:v>1.2454237716958971E-2</c:v>
                </c:pt>
                <c:pt idx="2795">
                  <c:v>1.2437018619291251E-2</c:v>
                </c:pt>
                <c:pt idx="2796">
                  <c:v>1.241995504673632E-2</c:v>
                </c:pt>
                <c:pt idx="2797">
                  <c:v>1.240304699921424E-2</c:v>
                </c:pt>
                <c:pt idx="2798">
                  <c:v>1.2386294476645077E-2</c:v>
                </c:pt>
                <c:pt idx="2799">
                  <c:v>1.2369697479108765E-2</c:v>
                </c:pt>
                <c:pt idx="2800">
                  <c:v>1.2353256006605307E-2</c:v>
                </c:pt>
                <c:pt idx="2801">
                  <c:v>1.23369700591347E-2</c:v>
                </c:pt>
                <c:pt idx="2802">
                  <c:v>1.2320839636537073E-2</c:v>
                </c:pt>
                <c:pt idx="2803">
                  <c:v>1.2304864738892363E-2</c:v>
                </c:pt>
                <c:pt idx="2804">
                  <c:v>1.2289045366120632E-2</c:v>
                </c:pt>
                <c:pt idx="2805">
                  <c:v>1.2273381518381754E-2</c:v>
                </c:pt>
                <c:pt idx="2806">
                  <c:v>1.2257873195355984E-2</c:v>
                </c:pt>
                <c:pt idx="2807">
                  <c:v>1.2242520397203194E-2</c:v>
                </c:pt>
                <c:pt idx="2808">
                  <c:v>1.2227323123923384E-2</c:v>
                </c:pt>
                <c:pt idx="2809">
                  <c:v>1.2212281375516554E-2</c:v>
                </c:pt>
                <c:pt idx="2810">
                  <c:v>1.2197395151822832E-2</c:v>
                </c:pt>
                <c:pt idx="2811">
                  <c:v>1.2182664452922154E-2</c:v>
                </c:pt>
                <c:pt idx="2812">
                  <c:v>1.2168089278734584E-2</c:v>
                </c:pt>
                <c:pt idx="2813">
                  <c:v>1.2153669629340058E-2</c:v>
                </c:pt>
                <c:pt idx="2814">
                  <c:v>1.2139405504578704E-2</c:v>
                </c:pt>
                <c:pt idx="2815">
                  <c:v>1.2125296904610394E-2</c:v>
                </c:pt>
                <c:pt idx="2816">
                  <c:v>1.2111343829355192E-2</c:v>
                </c:pt>
                <c:pt idx="2817">
                  <c:v>1.2097546278653226E-2</c:v>
                </c:pt>
                <c:pt idx="2818">
                  <c:v>1.2083904252664368E-2</c:v>
                </c:pt>
                <c:pt idx="2819">
                  <c:v>1.2070417751228746E-2</c:v>
                </c:pt>
                <c:pt idx="2820">
                  <c:v>1.2057086774426296E-2</c:v>
                </c:pt>
                <c:pt idx="2821">
                  <c:v>1.2043911322257017E-2</c:v>
                </c:pt>
                <c:pt idx="2822">
                  <c:v>1.2030891394640975E-2</c:v>
                </c:pt>
                <c:pt idx="2823">
                  <c:v>1.2018026991658104E-2</c:v>
                </c:pt>
                <c:pt idx="2824">
                  <c:v>1.2005318112988661E-2</c:v>
                </c:pt>
                <c:pt idx="2825">
                  <c:v>1.1992764759032326E-2</c:v>
                </c:pt>
                <c:pt idx="2826">
                  <c:v>1.1980366929549291E-2</c:v>
                </c:pt>
                <c:pt idx="2827">
                  <c:v>1.1968124624539556E-2</c:v>
                </c:pt>
                <c:pt idx="2828">
                  <c:v>1.1956037844083056E-2</c:v>
                </c:pt>
                <c:pt idx="2829">
                  <c:v>1.1944106588099856E-2</c:v>
                </c:pt>
                <c:pt idx="2830">
                  <c:v>1.1932330856430085E-2</c:v>
                </c:pt>
                <c:pt idx="2831">
                  <c:v>1.1920710649153676E-2</c:v>
                </c:pt>
                <c:pt idx="2832">
                  <c:v>1.1909245966430504E-2</c:v>
                </c:pt>
                <c:pt idx="2833">
                  <c:v>1.1897936808020759E-2</c:v>
                </c:pt>
                <c:pt idx="2834">
                  <c:v>1.1886783174004378E-2</c:v>
                </c:pt>
                <c:pt idx="2835">
                  <c:v>1.1875785064381361E-2</c:v>
                </c:pt>
                <c:pt idx="2836">
                  <c:v>1.1864942479071772E-2</c:v>
                </c:pt>
                <c:pt idx="2837">
                  <c:v>1.1854255418315418E-2</c:v>
                </c:pt>
                <c:pt idx="2838">
                  <c:v>1.1843723881552748E-2</c:v>
                </c:pt>
                <c:pt idx="2839">
                  <c:v>1.1833347869343314E-2</c:v>
                </c:pt>
                <c:pt idx="2840">
                  <c:v>1.1823127381447307E-2</c:v>
                </c:pt>
                <c:pt idx="2841">
                  <c:v>1.1813062417784792E-2</c:v>
                </c:pt>
                <c:pt idx="2842">
                  <c:v>1.1801127076765283E-2</c:v>
                </c:pt>
                <c:pt idx="2843">
                  <c:v>1.1793399063080301E-2</c:v>
                </c:pt>
                <c:pt idx="2844">
                  <c:v>1.1783800672278133E-2</c:v>
                </c:pt>
                <c:pt idx="2845">
                  <c:v>1.1774357805549585E-2</c:v>
                </c:pt>
                <c:pt idx="2846">
                  <c:v>1.1765070463054528E-2</c:v>
                </c:pt>
                <c:pt idx="2847">
                  <c:v>1.1755938644872899E-2</c:v>
                </c:pt>
                <c:pt idx="2848">
                  <c:v>1.1746962350844825E-2</c:v>
                </c:pt>
                <c:pt idx="2849">
                  <c:v>1.1738141580970307E-2</c:v>
                </c:pt>
                <c:pt idx="2850">
                  <c:v>1.1729476335249345E-2</c:v>
                </c:pt>
                <c:pt idx="2851">
                  <c:v>1.1720966613921746E-2</c:v>
                </c:pt>
                <c:pt idx="2852">
                  <c:v>1.1712612416507895E-2</c:v>
                </c:pt>
                <c:pt idx="2853">
                  <c:v>1.1704413743247599E-2</c:v>
                </c:pt>
                <c:pt idx="2854">
                  <c:v>1.1696370594300731E-2</c:v>
                </c:pt>
                <c:pt idx="2855">
                  <c:v>1.1688482969347547E-2</c:v>
                </c:pt>
                <c:pt idx="2856">
                  <c:v>1.1680750868547918E-2</c:v>
                </c:pt>
                <c:pt idx="2857">
                  <c:v>1.1673174291741972E-2</c:v>
                </c:pt>
                <c:pt idx="2858">
                  <c:v>1.1665753239169518E-2</c:v>
                </c:pt>
                <c:pt idx="2859">
                  <c:v>1.1658487710670684E-2</c:v>
                </c:pt>
                <c:pt idx="2860">
                  <c:v>1.1651377706165533E-2</c:v>
                </c:pt>
                <c:pt idx="2861">
                  <c:v>1.1644423225654066E-2</c:v>
                </c:pt>
                <c:pt idx="2862">
                  <c:v>1.163762426937609E-2</c:v>
                </c:pt>
                <c:pt idx="2863">
                  <c:v>1.1630980837091798E-2</c:v>
                </c:pt>
                <c:pt idx="2864">
                  <c:v>1.1624492928801189E-2</c:v>
                </c:pt>
                <c:pt idx="2865">
                  <c:v>1.16181605445842E-2</c:v>
                </c:pt>
                <c:pt idx="2866">
                  <c:v>1.161198368444083E-2</c:v>
                </c:pt>
                <c:pt idx="2867">
                  <c:v>1.1605962348131271E-2</c:v>
                </c:pt>
                <c:pt idx="2868">
                  <c:v>1.1600096535895332E-2</c:v>
                </c:pt>
                <c:pt idx="2869">
                  <c:v>1.1594386247733013E-2</c:v>
                </c:pt>
                <c:pt idx="2870">
                  <c:v>1.1588831483564377E-2</c:v>
                </c:pt>
                <c:pt idx="2871">
                  <c:v>1.1583432243309488E-2</c:v>
                </c:pt>
                <c:pt idx="2872">
                  <c:v>1.1578188527208155E-2</c:v>
                </c:pt>
                <c:pt idx="2873">
                  <c:v>1.1573100334940634E-2</c:v>
                </c:pt>
                <c:pt idx="2874">
                  <c:v>1.1568167666586859E-2</c:v>
                </c:pt>
                <c:pt idx="2875">
                  <c:v>1.1563390522226769E-2</c:v>
                </c:pt>
                <c:pt idx="2876">
                  <c:v>1.1558768901860361E-2</c:v>
                </c:pt>
                <c:pt idx="2877">
                  <c:v>1.1554302805487637E-2</c:v>
                </c:pt>
                <c:pt idx="2878">
                  <c:v>1.1549992232868789E-2</c:v>
                </c:pt>
                <c:pt idx="2879">
                  <c:v>1.1545837184243624E-2</c:v>
                </c:pt>
                <c:pt idx="2880">
                  <c:v>1.1541837659692078E-2</c:v>
                </c:pt>
                <c:pt idx="2881">
                  <c:v>1.1537993658974344E-2</c:v>
                </c:pt>
                <c:pt idx="2882">
                  <c:v>1.1533581766622891E-2</c:v>
                </c:pt>
                <c:pt idx="2883">
                  <c:v>1.1530161708606101E-2</c:v>
                </c:pt>
                <c:pt idx="2884">
                  <c:v>1.1526828501589037E-2</c:v>
                </c:pt>
                <c:pt idx="2885">
                  <c:v>1.1523650828477727E-2</c:v>
                </c:pt>
                <c:pt idx="2886">
                  <c:v>1.1520628689218881E-2</c:v>
                </c:pt>
                <c:pt idx="2887">
                  <c:v>1.1517762083919081E-2</c:v>
                </c:pt>
                <c:pt idx="2888">
                  <c:v>1.151505101249839E-2</c:v>
                </c:pt>
                <c:pt idx="2889">
                  <c:v>1.1512495474956808E-2</c:v>
                </c:pt>
                <c:pt idx="2890">
                  <c:v>1.1510095471241044E-2</c:v>
                </c:pt>
                <c:pt idx="2891">
                  <c:v>1.150785100140439E-2</c:v>
                </c:pt>
                <c:pt idx="2892">
                  <c:v>1.15057620654202E-2</c:v>
                </c:pt>
                <c:pt idx="2893">
                  <c:v>1.1503828663261828E-2</c:v>
                </c:pt>
                <c:pt idx="2894">
                  <c:v>1.150205079495592E-2</c:v>
                </c:pt>
                <c:pt idx="2895">
                  <c:v>1.1500428460475831E-2</c:v>
                </c:pt>
                <c:pt idx="2896">
                  <c:v>1.1498961659794915E-2</c:v>
                </c:pt>
                <c:pt idx="2897">
                  <c:v>1.1496767817193998E-2</c:v>
                </c:pt>
                <c:pt idx="2898">
                  <c:v>1.1496494659910539E-2</c:v>
                </c:pt>
                <c:pt idx="2899">
                  <c:v>1.1495494460653788E-2</c:v>
                </c:pt>
                <c:pt idx="2900">
                  <c:v>1.149464979519621E-2</c:v>
                </c:pt>
                <c:pt idx="2901">
                  <c:v>1.1493960663537806E-2</c:v>
                </c:pt>
                <c:pt idx="2902">
                  <c:v>1.149342706570522E-2</c:v>
                </c:pt>
                <c:pt idx="2903">
                  <c:v>1.1493049001645161E-2</c:v>
                </c:pt>
                <c:pt idx="2904">
                  <c:v>1.1492826471357631E-2</c:v>
                </c:pt>
                <c:pt idx="2905">
                  <c:v>1.1492759474869274E-2</c:v>
                </c:pt>
                <c:pt idx="2906">
                  <c:v>1.1492848012153445E-2</c:v>
                </c:pt>
                <c:pt idx="2907">
                  <c:v>1.1493092083263434E-2</c:v>
                </c:pt>
                <c:pt idx="2908">
                  <c:v>1.1493491688145951E-2</c:v>
                </c:pt>
                <c:pt idx="2909">
                  <c:v>1.1494046826827642E-2</c:v>
                </c:pt>
                <c:pt idx="2910">
                  <c:v>1.149475749928186E-2</c:v>
                </c:pt>
                <c:pt idx="2911">
                  <c:v>1.1495623705535252E-2</c:v>
                </c:pt>
                <c:pt idx="2912">
                  <c:v>1.1496645445641107E-2</c:v>
                </c:pt>
                <c:pt idx="2913">
                  <c:v>1.149782271951949E-2</c:v>
                </c:pt>
                <c:pt idx="2914">
                  <c:v>1.1499155527170402E-2</c:v>
                </c:pt>
                <c:pt idx="2915">
                  <c:v>1.1500643868673777E-2</c:v>
                </c:pt>
                <c:pt idx="2916">
                  <c:v>1.1502287743976325E-2</c:v>
                </c:pt>
                <c:pt idx="2917">
                  <c:v>1.1504087153104692E-2</c:v>
                </c:pt>
                <c:pt idx="2918">
                  <c:v>1.1506042096085523E-2</c:v>
                </c:pt>
                <c:pt idx="2919">
                  <c:v>1.1508152572892172E-2</c:v>
                </c:pt>
                <c:pt idx="2920">
                  <c:v>1.1510418583551285E-2</c:v>
                </c:pt>
                <c:pt idx="2921">
                  <c:v>1.1512840128089508E-2</c:v>
                </c:pt>
                <c:pt idx="2922">
                  <c:v>1.1515417206480194E-2</c:v>
                </c:pt>
                <c:pt idx="2923">
                  <c:v>1.1518149818723344E-2</c:v>
                </c:pt>
                <c:pt idx="2924">
                  <c:v>1.1521037964872249E-2</c:v>
                </c:pt>
                <c:pt idx="2925">
                  <c:v>1.1524081644926909E-2</c:v>
                </c:pt>
                <c:pt idx="2926">
                  <c:v>1.1527280858913969E-2</c:v>
                </c:pt>
                <c:pt idx="2927">
                  <c:v>1.1530635606806783E-2</c:v>
                </c:pt>
                <c:pt idx="2928">
                  <c:v>1.1534145888605352E-2</c:v>
                </c:pt>
                <c:pt idx="2929">
                  <c:v>1.1537811704389611E-2</c:v>
                </c:pt>
                <c:pt idx="2930">
                  <c:v>1.1541633054106271E-2</c:v>
                </c:pt>
                <c:pt idx="2931">
                  <c:v>1.1545609937835266E-2</c:v>
                </c:pt>
                <c:pt idx="2932">
                  <c:v>1.1549742355549952E-2</c:v>
                </c:pt>
                <c:pt idx="2933">
                  <c:v>1.1554030307276975E-2</c:v>
                </c:pt>
                <c:pt idx="2934">
                  <c:v>1.1559912186687171E-2</c:v>
                </c:pt>
                <c:pt idx="2935">
                  <c:v>1.1564042859770751E-2</c:v>
                </c:pt>
                <c:pt idx="2936">
                  <c:v>1.1568841543621033E-2</c:v>
                </c:pt>
                <c:pt idx="2937">
                  <c:v>1.1573795751305127E-2</c:v>
                </c:pt>
                <c:pt idx="2938">
                  <c:v>1.157890548306284E-2</c:v>
                </c:pt>
                <c:pt idx="2939">
                  <c:v>1.1584170738734301E-2</c:v>
                </c:pt>
                <c:pt idx="2940">
                  <c:v>1.1589591518479381E-2</c:v>
                </c:pt>
                <c:pt idx="2941">
                  <c:v>1.1595167822058272E-2</c:v>
                </c:pt>
                <c:pt idx="2942">
                  <c:v>1.1600899649710783E-2</c:v>
                </c:pt>
                <c:pt idx="2943">
                  <c:v>1.1606787001436913E-2</c:v>
                </c:pt>
                <c:pt idx="2944">
                  <c:v>1.1612829876996855E-2</c:v>
                </c:pt>
                <c:pt idx="2945">
                  <c:v>1.1619028276710353E-2</c:v>
                </c:pt>
                <c:pt idx="2946">
                  <c:v>1.1625382200417533E-2</c:v>
                </c:pt>
                <c:pt idx="2947">
                  <c:v>1.1631891648118398E-2</c:v>
                </c:pt>
                <c:pt idx="2948">
                  <c:v>1.1640489463218273E-2</c:v>
                </c:pt>
                <c:pt idx="2949">
                  <c:v>1.1645377115740985E-2</c:v>
                </c:pt>
                <c:pt idx="2950">
                  <c:v>1.1652353135582771E-2</c:v>
                </c:pt>
                <c:pt idx="2951">
                  <c:v>1.1659484679578114E-2</c:v>
                </c:pt>
                <c:pt idx="2952">
                  <c:v>1.1667825453169911E-2</c:v>
                </c:pt>
                <c:pt idx="2953">
                  <c:v>1.1675290262980198E-2</c:v>
                </c:pt>
                <c:pt idx="2954">
                  <c:v>1.1682910596864104E-2</c:v>
                </c:pt>
                <c:pt idx="2955">
                  <c:v>1.1690686454981503E-2</c:v>
                </c:pt>
                <c:pt idx="2956">
                  <c:v>1.1698617837092584E-2</c:v>
                </c:pt>
                <c:pt idx="2957">
                  <c:v>1.1706704743357221E-2</c:v>
                </c:pt>
                <c:pt idx="2958">
                  <c:v>1.1714947173775414E-2</c:v>
                </c:pt>
                <c:pt idx="2959">
                  <c:v>1.1723345128347162E-2</c:v>
                </c:pt>
                <c:pt idx="2960">
                  <c:v>1.1731898607072466E-2</c:v>
                </c:pt>
                <c:pt idx="2961">
                  <c:v>1.174060760987139E-2</c:v>
                </c:pt>
                <c:pt idx="2962">
                  <c:v>1.1749472136983741E-2</c:v>
                </c:pt>
                <c:pt idx="2963">
                  <c:v>1.1758492188249647E-2</c:v>
                </c:pt>
                <c:pt idx="2964">
                  <c:v>1.1767667763749046E-2</c:v>
                </c:pt>
                <c:pt idx="2965">
                  <c:v>1.1776998863402E-2</c:v>
                </c:pt>
                <c:pt idx="2966">
                  <c:v>1.1786485487368381E-2</c:v>
                </c:pt>
                <c:pt idx="2967">
                  <c:v>1.1796127635488318E-2</c:v>
                </c:pt>
                <c:pt idx="2968">
                  <c:v>1.1805925307841747E-2</c:v>
                </c:pt>
                <c:pt idx="2969">
                  <c:v>1.1815878504428667E-2</c:v>
                </c:pt>
                <c:pt idx="2970">
                  <c:v>1.1825987225488888E-2</c:v>
                </c:pt>
                <c:pt idx="2971">
                  <c:v>1.1836251470782599E-2</c:v>
                </c:pt>
                <c:pt idx="2972">
                  <c:v>1.1846671240229867E-2</c:v>
                </c:pt>
                <c:pt idx="2973">
                  <c:v>1.1857246534150434E-2</c:v>
                </c:pt>
                <c:pt idx="2974">
                  <c:v>1.1867977352304493E-2</c:v>
                </c:pt>
                <c:pt idx="2975">
                  <c:v>1.1878863694931852E-2</c:v>
                </c:pt>
                <c:pt idx="2976">
                  <c:v>1.1889905561712766E-2</c:v>
                </c:pt>
                <c:pt idx="2977">
                  <c:v>1.1901102953046916E-2</c:v>
                </c:pt>
                <c:pt idx="2978">
                  <c:v>1.1912455868694494E-2</c:v>
                </c:pt>
                <c:pt idx="2979">
                  <c:v>1.1923964308815371E-2</c:v>
                </c:pt>
                <c:pt idx="2980">
                  <c:v>1.1935628273249677E-2</c:v>
                </c:pt>
                <c:pt idx="2981">
                  <c:v>1.1947447762237218E-2</c:v>
                </c:pt>
                <c:pt idx="2982">
                  <c:v>1.1959422775538187E-2</c:v>
                </c:pt>
                <c:pt idx="2983">
                  <c:v>1.1971553313392391E-2</c:v>
                </c:pt>
                <c:pt idx="2984">
                  <c:v>1.1983839375719896E-2</c:v>
                </c:pt>
                <c:pt idx="2985">
                  <c:v>1.1996280962440764E-2</c:v>
                </c:pt>
                <c:pt idx="2986">
                  <c:v>1.2011798472437718E-2</c:v>
                </c:pt>
                <c:pt idx="2987">
                  <c:v>1.2023465210653228E-2</c:v>
                </c:pt>
                <c:pt idx="2988">
                  <c:v>1.2036395588861382E-2</c:v>
                </c:pt>
                <c:pt idx="2989">
                  <c:v>1.2049481491702707E-2</c:v>
                </c:pt>
                <c:pt idx="2990">
                  <c:v>1.2062722919017332E-2</c:v>
                </c:pt>
                <c:pt idx="2991">
                  <c:v>1.2076119870885194E-2</c:v>
                </c:pt>
                <c:pt idx="2992">
                  <c:v>1.2089672347386227E-2</c:v>
                </c:pt>
                <c:pt idx="2993">
                  <c:v>1.2103380348600368E-2</c:v>
                </c:pt>
                <c:pt idx="2994">
                  <c:v>1.2117243874447681E-2</c:v>
                </c:pt>
                <c:pt idx="2995">
                  <c:v>1.2131262924928166E-2</c:v>
                </c:pt>
                <c:pt idx="2996">
                  <c:v>1.2145437500121758E-2</c:v>
                </c:pt>
                <c:pt idx="2997">
                  <c:v>1.2159767600028459E-2</c:v>
                </c:pt>
                <c:pt idx="2998">
                  <c:v>1.2174253224648268E-2</c:v>
                </c:pt>
                <c:pt idx="2999">
                  <c:v>1.2190998662724439E-2</c:v>
                </c:pt>
                <c:pt idx="3000">
                  <c:v>1.2205817554598042E-2</c:v>
                </c:pt>
                <c:pt idx="3001">
                  <c:v>1.2220791971344624E-2</c:v>
                </c:pt>
                <c:pt idx="3002">
                  <c:v>1.2235921912884251E-2</c:v>
                </c:pt>
                <c:pt idx="3003">
                  <c:v>1.2255130788714208E-2</c:v>
                </c:pt>
                <c:pt idx="3004">
                  <c:v>1.2266648370422573E-2</c:v>
                </c:pt>
                <c:pt idx="3005">
                  <c:v>1.2282244886501203E-2</c:v>
                </c:pt>
                <c:pt idx="3006">
                  <c:v>1.2297996927452814E-2</c:v>
                </c:pt>
                <c:pt idx="3007">
                  <c:v>1.2313904493277406E-2</c:v>
                </c:pt>
                <c:pt idx="3008">
                  <c:v>1.2329967584054913E-2</c:v>
                </c:pt>
                <c:pt idx="3009">
                  <c:v>1.2346186199785336E-2</c:v>
                </c:pt>
                <c:pt idx="3010">
                  <c:v>1.2362560340468676E-2</c:v>
                </c:pt>
                <c:pt idx="3011">
                  <c:v>1.2379090006104931E-2</c:v>
                </c:pt>
                <c:pt idx="3012">
                  <c:v>1.2395774532025783E-2</c:v>
                </c:pt>
                <c:pt idx="3013">
                  <c:v>1.241250356882162E-2</c:v>
                </c:pt>
                <c:pt idx="3014">
                  <c:v>1.2429192692584579E-2</c:v>
                </c:pt>
                <c:pt idx="3015">
                  <c:v>1.2445841903154786E-2</c:v>
                </c:pt>
                <c:pt idx="3016">
                  <c:v>1.2462451200612179E-2</c:v>
                </c:pt>
                <c:pt idx="3017">
                  <c:v>1.2479020585036693E-2</c:v>
                </c:pt>
                <c:pt idx="3018">
                  <c:v>1.2495550056348392E-2</c:v>
                </c:pt>
                <c:pt idx="3019">
                  <c:v>1.2512039614467341E-2</c:v>
                </c:pt>
                <c:pt idx="3020">
                  <c:v>1.2528489259473474E-2</c:v>
                </c:pt>
                <c:pt idx="3021">
                  <c:v>1.2544898991446729E-2</c:v>
                </c:pt>
                <c:pt idx="3022">
                  <c:v>1.2561268810147297E-2</c:v>
                </c:pt>
                <c:pt idx="3023">
                  <c:v>1.2577598715814986E-2</c:v>
                </c:pt>
                <c:pt idx="3024">
                  <c:v>1.2593888708209988E-2</c:v>
                </c:pt>
                <c:pt idx="3025">
                  <c:v>1.2610138787652048E-2</c:v>
                </c:pt>
                <c:pt idx="3026">
                  <c:v>1.2626348953741484E-2</c:v>
                </c:pt>
                <c:pt idx="3027">
                  <c:v>1.2642519206798042E-2</c:v>
                </c:pt>
                <c:pt idx="3028">
                  <c:v>1.2658649546661849E-2</c:v>
                </c:pt>
                <c:pt idx="3029">
                  <c:v>1.2674739973412841E-2</c:v>
                </c:pt>
                <c:pt idx="3030">
                  <c:v>1.2690790486891146E-2</c:v>
                </c:pt>
                <c:pt idx="3031">
                  <c:v>1.2706801087256636E-2</c:v>
                </c:pt>
                <c:pt idx="3032">
                  <c:v>1.272277177434944E-2</c:v>
                </c:pt>
                <c:pt idx="3033">
                  <c:v>1.2738702548329428E-2</c:v>
                </c:pt>
                <c:pt idx="3034">
                  <c:v>1.275459340903673E-2</c:v>
                </c:pt>
                <c:pt idx="3035">
                  <c:v>1.2770444356631216E-2</c:v>
                </c:pt>
                <c:pt idx="3036">
                  <c:v>1.2786255390953016E-2</c:v>
                </c:pt>
                <c:pt idx="3037">
                  <c:v>1.2806083595131579E-2</c:v>
                </c:pt>
                <c:pt idx="3038">
                  <c:v>1.2821807929106477E-2</c:v>
                </c:pt>
                <c:pt idx="3039">
                  <c:v>1.2833449014602039E-2</c:v>
                </c:pt>
                <c:pt idx="3040">
                  <c:v>1.2849100396072899E-2</c:v>
                </c:pt>
                <c:pt idx="3041">
                  <c:v>1.2864711864351008E-2</c:v>
                </c:pt>
                <c:pt idx="3042">
                  <c:v>1.2880283419356431E-2</c:v>
                </c:pt>
                <c:pt idx="3043">
                  <c:v>1.2895815060929294E-2</c:v>
                </c:pt>
                <c:pt idx="3044">
                  <c:v>1.2911306789469279E-2</c:v>
                </c:pt>
                <c:pt idx="3045">
                  <c:v>1.2926758604736577E-2</c:v>
                </c:pt>
                <c:pt idx="3046">
                  <c:v>1.2942170506651252E-2</c:v>
                </c:pt>
                <c:pt idx="3047">
                  <c:v>1.2957542495373175E-2</c:v>
                </c:pt>
                <c:pt idx="3048">
                  <c:v>1.2972874570822412E-2</c:v>
                </c:pt>
                <c:pt idx="3049">
                  <c:v>1.2988166732998963E-2</c:v>
                </c:pt>
                <c:pt idx="3050">
                  <c:v>1.3003418981902826E-2</c:v>
                </c:pt>
                <c:pt idx="3051">
                  <c:v>1.301863131737413E-2</c:v>
                </c:pt>
                <c:pt idx="3052">
                  <c:v>1.3039075010816248E-2</c:v>
                </c:pt>
                <c:pt idx="3053">
                  <c:v>1.3048936248738485E-2</c:v>
                </c:pt>
                <c:pt idx="3054">
                  <c:v>1.3064028844311792E-2</c:v>
                </c:pt>
                <c:pt idx="3055">
                  <c:v>1.3079081526772285E-2</c:v>
                </c:pt>
                <c:pt idx="3056">
                  <c:v>1.3094094295800218E-2</c:v>
                </c:pt>
                <c:pt idx="3057">
                  <c:v>1.3109067151555465E-2</c:v>
                </c:pt>
                <c:pt idx="3058">
                  <c:v>1.3124000093958088E-2</c:v>
                </c:pt>
                <c:pt idx="3059">
                  <c:v>1.3138893123167961E-2</c:v>
                </c:pt>
                <c:pt idx="3060">
                  <c:v>1.3153746238865338E-2</c:v>
                </c:pt>
                <c:pt idx="3061">
                  <c:v>1.3168559441290029E-2</c:v>
                </c:pt>
                <c:pt idx="3062">
                  <c:v>1.3183332730442032E-2</c:v>
                </c:pt>
                <c:pt idx="3063">
                  <c:v>1.3198066106241413E-2</c:v>
                </c:pt>
                <c:pt idx="3064">
                  <c:v>1.321275956868817E-2</c:v>
                </c:pt>
                <c:pt idx="3065">
                  <c:v>1.3227413117702369E-2</c:v>
                </c:pt>
                <c:pt idx="3066">
                  <c:v>1.3242026753363945E-2</c:v>
                </c:pt>
                <c:pt idx="3067">
                  <c:v>1.3256600475672897E-2</c:v>
                </c:pt>
                <c:pt idx="3068">
                  <c:v>1.3271134284629227E-2</c:v>
                </c:pt>
                <c:pt idx="3069">
                  <c:v>1.3285628180232933E-2</c:v>
                </c:pt>
                <c:pt idx="3070">
                  <c:v>1.3300082162404081E-2</c:v>
                </c:pt>
                <c:pt idx="3071">
                  <c:v>1.3314496231222606E-2</c:v>
                </c:pt>
                <c:pt idx="3072">
                  <c:v>1.3328870386608571E-2</c:v>
                </c:pt>
                <c:pt idx="3073">
                  <c:v>1.3343204628641914E-2</c:v>
                </c:pt>
                <c:pt idx="3074">
                  <c:v>1.3357498957242697E-2</c:v>
                </c:pt>
                <c:pt idx="3075">
                  <c:v>1.3371753372570794E-2</c:v>
                </c:pt>
                <c:pt idx="3076">
                  <c:v>1.3385967874306459E-2</c:v>
                </c:pt>
                <c:pt idx="3077">
                  <c:v>1.3400142462769438E-2</c:v>
                </c:pt>
                <c:pt idx="3078">
                  <c:v>1.3414277137719921E-2</c:v>
                </c:pt>
                <c:pt idx="3079">
                  <c:v>1.3428371899317781E-2</c:v>
                </c:pt>
                <c:pt idx="3080">
                  <c:v>1.3442426747403147E-2</c:v>
                </c:pt>
                <c:pt idx="3081">
                  <c:v>1.3456441682135889E-2</c:v>
                </c:pt>
                <c:pt idx="3082">
                  <c:v>1.3470416703356136E-2</c:v>
                </c:pt>
                <c:pt idx="3083">
                  <c:v>1.3484351811143824E-2</c:v>
                </c:pt>
                <c:pt idx="3084">
                  <c:v>1.3498247005578889E-2</c:v>
                </c:pt>
                <c:pt idx="3085">
                  <c:v>1.351210228650146E-2</c:v>
                </c:pt>
                <c:pt idx="3086">
                  <c:v>1.3525917654071407E-2</c:v>
                </c:pt>
                <c:pt idx="3087">
                  <c:v>1.353969310788905E-2</c:v>
                </c:pt>
                <c:pt idx="3088">
                  <c:v>1.3553428648593879E-2</c:v>
                </c:pt>
                <c:pt idx="3089">
                  <c:v>1.3567124275626341E-2</c:v>
                </c:pt>
                <c:pt idx="3090">
                  <c:v>1.3580779989146308E-2</c:v>
                </c:pt>
                <c:pt idx="3091">
                  <c:v>1.3594395789313651E-2</c:v>
                </c:pt>
                <c:pt idx="3092">
                  <c:v>1.3607971676048436E-2</c:v>
                </c:pt>
                <c:pt idx="3093">
                  <c:v>1.3621507649190789E-2</c:v>
                </c:pt>
                <c:pt idx="3094">
                  <c:v>1.3635003708740712E-2</c:v>
                </c:pt>
                <c:pt idx="3095">
                  <c:v>1.3648459854938011E-2</c:v>
                </c:pt>
                <c:pt idx="3096">
                  <c:v>1.3661876087622815E-2</c:v>
                </c:pt>
                <c:pt idx="3097">
                  <c:v>1.3675252406795124E-2</c:v>
                </c:pt>
                <c:pt idx="3098">
                  <c:v>1.3688588812375002E-2</c:v>
                </c:pt>
                <c:pt idx="3099">
                  <c:v>1.3701885304522321E-2</c:v>
                </c:pt>
                <c:pt idx="3100">
                  <c:v>1.3715141883157145E-2</c:v>
                </c:pt>
                <c:pt idx="3101">
                  <c:v>1.3728358548279473E-2</c:v>
                </c:pt>
                <c:pt idx="3102">
                  <c:v>1.3741535299889307E-2</c:v>
                </c:pt>
                <c:pt idx="3103">
                  <c:v>1.3759469048327588E-2</c:v>
                </c:pt>
                <c:pt idx="3104">
                  <c:v>1.3767769062411617E-2</c:v>
                </c:pt>
                <c:pt idx="3105">
                  <c:v>1.3780826073244157E-2</c:v>
                </c:pt>
                <c:pt idx="3106">
                  <c:v>1.379384317080401E-2</c:v>
                </c:pt>
                <c:pt idx="3107">
                  <c:v>1.3806820354531624E-2</c:v>
                </c:pt>
                <c:pt idx="3108">
                  <c:v>1.3819757624906615E-2</c:v>
                </c:pt>
                <c:pt idx="3109">
                  <c:v>1.3832654981609238E-2</c:v>
                </c:pt>
                <c:pt idx="3110">
                  <c:v>1.3845512424799367E-2</c:v>
                </c:pt>
                <c:pt idx="3111">
                  <c:v>1.3858329954556936E-2</c:v>
                </c:pt>
                <c:pt idx="3112">
                  <c:v>1.3871107570562202E-2</c:v>
                </c:pt>
                <c:pt idx="3113">
                  <c:v>1.3883845273054973E-2</c:v>
                </c:pt>
                <c:pt idx="3114">
                  <c:v>1.3896543061955313E-2</c:v>
                </c:pt>
                <c:pt idx="3115">
                  <c:v>1.3909200937263222E-2</c:v>
                </c:pt>
                <c:pt idx="3116">
                  <c:v>1.3921818898898763E-2</c:v>
                </c:pt>
                <c:pt idx="3117">
                  <c:v>1.3934396947101746E-2</c:v>
                </c:pt>
                <c:pt idx="3118">
                  <c:v>1.3946935081712297E-2</c:v>
                </c:pt>
                <c:pt idx="3119">
                  <c:v>1.3959433302570545E-2</c:v>
                </c:pt>
                <c:pt idx="3120">
                  <c:v>1.3971891609916298E-2</c:v>
                </c:pt>
                <c:pt idx="3121">
                  <c:v>1.398431000366962E-2</c:v>
                </c:pt>
                <c:pt idx="3122">
                  <c:v>1.3996688483750575E-2</c:v>
                </c:pt>
                <c:pt idx="3123">
                  <c:v>1.4009027050239098E-2</c:v>
                </c:pt>
                <c:pt idx="3124">
                  <c:v>1.4021325703215126E-2</c:v>
                </c:pt>
                <c:pt idx="3125">
                  <c:v>1.4033584442358915E-2</c:v>
                </c:pt>
                <c:pt idx="3126">
                  <c:v>1.4045803268070145E-2</c:v>
                </c:pt>
                <c:pt idx="3127">
                  <c:v>1.4057982179949136E-2</c:v>
                </c:pt>
                <c:pt idx="3128">
                  <c:v>1.4070121178395567E-2</c:v>
                </c:pt>
                <c:pt idx="3129">
                  <c:v>1.4082220263089695E-2</c:v>
                </c:pt>
                <c:pt idx="3130">
                  <c:v>1.4094279434111456E-2</c:v>
                </c:pt>
                <c:pt idx="3131">
                  <c:v>1.4106298691620722E-2</c:v>
                </c:pt>
                <c:pt idx="3132">
                  <c:v>1.4118278035297749E-2</c:v>
                </c:pt>
                <c:pt idx="3133">
                  <c:v>1.413021746546228E-2</c:v>
                </c:pt>
                <c:pt idx="3134">
                  <c:v>1.4142116981874508E-2</c:v>
                </c:pt>
                <c:pt idx="3135">
                  <c:v>1.4153976584694306E-2</c:v>
                </c:pt>
                <c:pt idx="3136">
                  <c:v>1.4165796273841735E-2</c:v>
                </c:pt>
                <c:pt idx="3137">
                  <c:v>1.4177576049236862E-2</c:v>
                </c:pt>
                <c:pt idx="3138">
                  <c:v>1.4189315911039557E-2</c:v>
                </c:pt>
                <c:pt idx="3139">
                  <c:v>1.4201015859089949E-2</c:v>
                </c:pt>
                <c:pt idx="3140">
                  <c:v>1.4212675893467974E-2</c:v>
                </c:pt>
                <c:pt idx="3141">
                  <c:v>1.4224296014173632E-2</c:v>
                </c:pt>
                <c:pt idx="3142">
                  <c:v>1.4235876221206922E-2</c:v>
                </c:pt>
                <c:pt idx="3143">
                  <c:v>1.4247416514647782E-2</c:v>
                </c:pt>
                <c:pt idx="3144">
                  <c:v>1.4258916894176465E-2</c:v>
                </c:pt>
                <c:pt idx="3145">
                  <c:v>1.4270377360112718E-2</c:v>
                </c:pt>
                <c:pt idx="3146">
                  <c:v>1.4281797912296668E-2</c:v>
                </c:pt>
                <c:pt idx="3147">
                  <c:v>1.429317855080825E-2</c:v>
                </c:pt>
                <c:pt idx="3148">
                  <c:v>1.4304519275567529E-2</c:v>
                </c:pt>
                <c:pt idx="3149">
                  <c:v>1.4315820086654441E-2</c:v>
                </c:pt>
                <c:pt idx="3150">
                  <c:v>1.4327080983989049E-2</c:v>
                </c:pt>
                <c:pt idx="3151">
                  <c:v>1.433830196765129E-2</c:v>
                </c:pt>
                <c:pt idx="3152">
                  <c:v>1.4349483037481292E-2</c:v>
                </c:pt>
                <c:pt idx="3153">
                  <c:v>1.4360624193718863E-2</c:v>
                </c:pt>
                <c:pt idx="3154">
                  <c:v>1.4371725436124194E-2</c:v>
                </c:pt>
                <c:pt idx="3155">
                  <c:v>1.4382786764697286E-2</c:v>
                </c:pt>
                <c:pt idx="3156">
                  <c:v>1.4393808179677947E-2</c:v>
                </c:pt>
                <c:pt idx="3157">
                  <c:v>1.4404789680906305E-2</c:v>
                </c:pt>
                <c:pt idx="3158">
                  <c:v>1.4420004354571248E-2</c:v>
                </c:pt>
                <c:pt idx="3159">
                  <c:v>1.4426632941946238E-2</c:v>
                </c:pt>
                <c:pt idx="3160">
                  <c:v>1.4441169718768521E-2</c:v>
                </c:pt>
                <c:pt idx="3161">
                  <c:v>1.4451981028589245E-2</c:v>
                </c:pt>
                <c:pt idx="3162">
                  <c:v>1.4462752422099712E-2</c:v>
                </c:pt>
                <c:pt idx="3163">
                  <c:v>1.4473483899299922E-2</c:v>
                </c:pt>
                <c:pt idx="3164">
                  <c:v>1.4484175460109938E-2</c:v>
                </c:pt>
                <c:pt idx="3165">
                  <c:v>1.4494827104583052E-2</c:v>
                </c:pt>
                <c:pt idx="3166">
                  <c:v>1.4505438832665973E-2</c:v>
                </c:pt>
                <c:pt idx="3167">
                  <c:v>1.4516010644385346E-2</c:v>
                </c:pt>
                <c:pt idx="3168">
                  <c:v>1.4526542539714526E-2</c:v>
                </c:pt>
                <c:pt idx="3169">
                  <c:v>1.4537034518626868E-2</c:v>
                </c:pt>
                <c:pt idx="3170">
                  <c:v>1.4547486581149016E-2</c:v>
                </c:pt>
                <c:pt idx="3171">
                  <c:v>1.4557898727254326E-2</c:v>
                </c:pt>
                <c:pt idx="3172">
                  <c:v>1.4568270956916152E-2</c:v>
                </c:pt>
                <c:pt idx="3173">
                  <c:v>1.4578603270134494E-2</c:v>
                </c:pt>
                <c:pt idx="3174">
                  <c:v>1.4588895666909352E-2</c:v>
                </c:pt>
                <c:pt idx="3175">
                  <c:v>1.4599148147187435E-2</c:v>
                </c:pt>
                <c:pt idx="3176">
                  <c:v>1.460936071104868E-2</c:v>
                </c:pt>
                <c:pt idx="3177">
                  <c:v>1.461953335841315E-2</c:v>
                </c:pt>
                <c:pt idx="3178">
                  <c:v>1.4629666089254201E-2</c:v>
                </c:pt>
                <c:pt idx="3179">
                  <c:v>1.4639758903651767E-2</c:v>
                </c:pt>
                <c:pt idx="3180">
                  <c:v>1.4649811801472623E-2</c:v>
                </c:pt>
                <c:pt idx="3181">
                  <c:v>1.4659824782796704E-2</c:v>
                </c:pt>
                <c:pt idx="3182">
                  <c:v>1.466979784757072E-2</c:v>
                </c:pt>
                <c:pt idx="3183">
                  <c:v>1.4679730995847962E-2</c:v>
                </c:pt>
                <c:pt idx="3184">
                  <c:v>1.4689624227548492E-2</c:v>
                </c:pt>
                <c:pt idx="3185">
                  <c:v>1.4699477542672312E-2</c:v>
                </c:pt>
                <c:pt idx="3186">
                  <c:v>1.4709290941246067E-2</c:v>
                </c:pt>
                <c:pt idx="3187">
                  <c:v>1.4719064423216466E-2</c:v>
                </c:pt>
                <c:pt idx="3188">
                  <c:v>1.4728797988583509E-2</c:v>
                </c:pt>
                <c:pt idx="3189">
                  <c:v>1.4738491637373841E-2</c:v>
                </c:pt>
                <c:pt idx="3190">
                  <c:v>1.4748145369560817E-2</c:v>
                </c:pt>
                <c:pt idx="3191">
                  <c:v>1.4757759185091146E-2</c:v>
                </c:pt>
                <c:pt idx="3192">
                  <c:v>1.4767333084018119E-2</c:v>
                </c:pt>
                <c:pt idx="3193">
                  <c:v>1.4776867066288446E-2</c:v>
                </c:pt>
                <c:pt idx="3194">
                  <c:v>1.4789438581637171E-2</c:v>
                </c:pt>
                <c:pt idx="3195">
                  <c:v>1.4797901126062385E-2</c:v>
                </c:pt>
                <c:pt idx="3196">
                  <c:v>1.4807303180317533E-2</c:v>
                </c:pt>
                <c:pt idx="3197">
                  <c:v>1.4816665320740441E-2</c:v>
                </c:pt>
                <c:pt idx="3198">
                  <c:v>1.4825987547251174E-2</c:v>
                </c:pt>
                <c:pt idx="3199">
                  <c:v>1.4835269860009603E-2</c:v>
                </c:pt>
                <c:pt idx="3200">
                  <c:v>1.4844512258695985E-2</c:v>
                </c:pt>
                <c:pt idx="3201">
                  <c:v>1.4853714743630064E-2</c:v>
                </c:pt>
                <c:pt idx="3202">
                  <c:v>1.4862877314651968E-2</c:v>
                </c:pt>
                <c:pt idx="3203">
                  <c:v>1.487199997168176E-2</c:v>
                </c:pt>
                <c:pt idx="3204">
                  <c:v>1.488108271471944E-2</c:v>
                </c:pt>
                <c:pt idx="3205">
                  <c:v>1.4890125544084754E-2</c:v>
                </c:pt>
                <c:pt idx="3206">
                  <c:v>1.4899128459378019E-2</c:v>
                </c:pt>
                <c:pt idx="3207">
                  <c:v>1.4908091460839046E-2</c:v>
                </c:pt>
                <c:pt idx="3208">
                  <c:v>1.4917014548307961E-2</c:v>
                </c:pt>
                <c:pt idx="3209">
                  <c:v>1.4928428440299513E-2</c:v>
                </c:pt>
                <c:pt idx="3210">
                  <c:v>1.4934740981509265E-2</c:v>
                </c:pt>
                <c:pt idx="3211">
                  <c:v>1.494354432732159E-2</c:v>
                </c:pt>
                <c:pt idx="3212">
                  <c:v>1.4952307758981931E-2</c:v>
                </c:pt>
                <c:pt idx="3213">
                  <c:v>1.4961031276889969E-2</c:v>
                </c:pt>
                <c:pt idx="3214">
                  <c:v>1.4969714880805896E-2</c:v>
                </c:pt>
                <c:pt idx="3215">
                  <c:v>1.4978358570649775E-2</c:v>
                </c:pt>
                <c:pt idx="3216">
                  <c:v>1.498696234674135E-2</c:v>
                </c:pt>
                <c:pt idx="3217">
                  <c:v>1.4995526208840815E-2</c:v>
                </c:pt>
                <c:pt idx="3218">
                  <c:v>1.5004050156948168E-2</c:v>
                </c:pt>
                <c:pt idx="3219">
                  <c:v>1.5012534191063409E-2</c:v>
                </c:pt>
                <c:pt idx="3220">
                  <c:v>1.5020978311346411E-2</c:v>
                </c:pt>
                <c:pt idx="3221">
                  <c:v>1.5029382517637302E-2</c:v>
                </c:pt>
                <c:pt idx="3222">
                  <c:v>1.5037746809936081E-2</c:v>
                </c:pt>
                <c:pt idx="3223">
                  <c:v>1.5046071188242749E-2</c:v>
                </c:pt>
                <c:pt idx="3224">
                  <c:v>1.5054355652717177E-2</c:v>
                </c:pt>
                <c:pt idx="3225">
                  <c:v>1.5062600203119558E-2</c:v>
                </c:pt>
                <c:pt idx="3226">
                  <c:v>1.5070804839449892E-2</c:v>
                </c:pt>
                <c:pt idx="3227">
                  <c:v>1.5078969562027922E-2</c:v>
                </c:pt>
                <c:pt idx="3228">
                  <c:v>1.5087094370533904E-2</c:v>
                </c:pt>
                <c:pt idx="3229">
                  <c:v>1.509517926496784E-2</c:v>
                </c:pt>
                <c:pt idx="3230">
                  <c:v>1.5103224245489599E-2</c:v>
                </c:pt>
                <c:pt idx="3231">
                  <c:v>1.511122931217912E-2</c:v>
                </c:pt>
                <c:pt idx="3232">
                  <c:v>1.511919446463672E-2</c:v>
                </c:pt>
                <c:pt idx="3233">
                  <c:v>1.5127119703182146E-2</c:v>
                </c:pt>
                <c:pt idx="3234">
                  <c:v>1.5135005027815396E-2</c:v>
                </c:pt>
                <c:pt idx="3235">
                  <c:v>1.5142850438376598E-2</c:v>
                </c:pt>
                <c:pt idx="3236">
                  <c:v>1.5150655934945689E-2</c:v>
                </c:pt>
                <c:pt idx="3237">
                  <c:v>1.5158421517442733E-2</c:v>
                </c:pt>
                <c:pt idx="3238">
                  <c:v>1.5166147186107537E-2</c:v>
                </c:pt>
                <c:pt idx="3239">
                  <c:v>1.5173832940620358E-2</c:v>
                </c:pt>
                <c:pt idx="3240">
                  <c:v>1.5181478781300939E-2</c:v>
                </c:pt>
                <c:pt idx="3241">
                  <c:v>1.5189084707749601E-2</c:v>
                </c:pt>
                <c:pt idx="3242">
                  <c:v>1.5196650720366023E-2</c:v>
                </c:pt>
                <c:pt idx="3243">
                  <c:v>1.5204176818910398E-2</c:v>
                </c:pt>
                <c:pt idx="3244">
                  <c:v>1.5211663003382725E-2</c:v>
                </c:pt>
                <c:pt idx="3245">
                  <c:v>1.5219109273783005E-2</c:v>
                </c:pt>
                <c:pt idx="3246">
                  <c:v>1.5228419488302336E-2</c:v>
                </c:pt>
                <c:pt idx="3247">
                  <c:v>1.523493116342145E-2</c:v>
                </c:pt>
                <c:pt idx="3248">
                  <c:v>1.5242251989846523E-2</c:v>
                </c:pt>
                <c:pt idx="3249">
                  <c:v>1.5249532902119611E-2</c:v>
                </c:pt>
                <c:pt idx="3250">
                  <c:v>1.5256773900480525E-2</c:v>
                </c:pt>
                <c:pt idx="3251">
                  <c:v>1.5263974984929263E-2</c:v>
                </c:pt>
                <c:pt idx="3252">
                  <c:v>1.5271136155066145E-2</c:v>
                </c:pt>
                <c:pt idx="3253">
                  <c:v>1.5278257411290852E-2</c:v>
                </c:pt>
                <c:pt idx="3254">
                  <c:v>1.5285338753443511E-2</c:v>
                </c:pt>
                <c:pt idx="3255">
                  <c:v>1.5292380181604059E-2</c:v>
                </c:pt>
                <c:pt idx="3256">
                  <c:v>1.529938169569256E-2</c:v>
                </c:pt>
                <c:pt idx="3257">
                  <c:v>1.5306343295709013E-2</c:v>
                </c:pt>
                <c:pt idx="3258">
                  <c:v>1.531326498181329E-2</c:v>
                </c:pt>
                <c:pt idx="3259">
                  <c:v>1.5322105643136297E-2</c:v>
                </c:pt>
                <c:pt idx="3260">
                  <c:v>1.5328936096938861E-2</c:v>
                </c:pt>
                <c:pt idx="3261">
                  <c:v>1.5335726636749314E-2</c:v>
                </c:pt>
                <c:pt idx="3262">
                  <c:v>1.5342477262487719E-2</c:v>
                </c:pt>
                <c:pt idx="3263">
                  <c:v>1.5351752327550372E-2</c:v>
                </c:pt>
                <c:pt idx="3264">
                  <c:v>1.5355858771748387E-2</c:v>
                </c:pt>
                <c:pt idx="3265">
                  <c:v>1.5362489655350586E-2</c:v>
                </c:pt>
                <c:pt idx="3266">
                  <c:v>1.5369080624720866E-2</c:v>
                </c:pt>
                <c:pt idx="3267">
                  <c:v>1.5375631680099033E-2</c:v>
                </c:pt>
                <c:pt idx="3268">
                  <c:v>1.538214282148509E-2</c:v>
                </c:pt>
                <c:pt idx="3269">
                  <c:v>1.5388614048719162E-2</c:v>
                </c:pt>
                <c:pt idx="3270">
                  <c:v>1.5395045361881188E-2</c:v>
                </c:pt>
                <c:pt idx="3271">
                  <c:v>1.5401436760891229E-2</c:v>
                </c:pt>
                <c:pt idx="3272">
                  <c:v>1.5407788617691764E-2</c:v>
                </c:pt>
                <c:pt idx="3273">
                  <c:v>1.5414111338198921E-2</c:v>
                </c:pt>
                <c:pt idx="3274">
                  <c:v>1.5420409753907904E-2</c:v>
                </c:pt>
                <c:pt idx="3275">
                  <c:v>1.5426683865058521E-2</c:v>
                </c:pt>
                <c:pt idx="3276">
                  <c:v>1.5432933671410964E-2</c:v>
                </c:pt>
                <c:pt idx="3277">
                  <c:v>1.5439159173125105E-2</c:v>
                </c:pt>
                <c:pt idx="3278">
                  <c:v>1.5445360370121008E-2</c:v>
                </c:pt>
                <c:pt idx="3279">
                  <c:v>1.545153726247861E-2</c:v>
                </c:pt>
                <c:pt idx="3280">
                  <c:v>1.5457689850117973E-2</c:v>
                </c:pt>
                <c:pt idx="3281">
                  <c:v>1.5463818132959162E-2</c:v>
                </c:pt>
                <c:pt idx="3282">
                  <c:v>1.5469922111241985E-2</c:v>
                </c:pt>
                <c:pt idx="3283">
                  <c:v>1.5476001784726634E-2</c:v>
                </c:pt>
                <c:pt idx="3284">
                  <c:v>1.5482057153572981E-2</c:v>
                </c:pt>
                <c:pt idx="3285">
                  <c:v>1.5488088217621154E-2</c:v>
                </c:pt>
                <c:pt idx="3286">
                  <c:v>1.5494094976951089E-2</c:v>
                </c:pt>
                <c:pt idx="3287">
                  <c:v>1.5500077431722659E-2</c:v>
                </c:pt>
                <c:pt idx="3288">
                  <c:v>1.5506035581696054E-2</c:v>
                </c:pt>
                <c:pt idx="3289">
                  <c:v>1.5511969426951211E-2</c:v>
                </c:pt>
                <c:pt idx="3290">
                  <c:v>1.551787896748813E-2</c:v>
                </c:pt>
                <c:pt idx="3291">
                  <c:v>1.5523764203466683E-2</c:v>
                </c:pt>
                <c:pt idx="3292">
                  <c:v>1.5529625134407254E-2</c:v>
                </c:pt>
                <c:pt idx="3293">
                  <c:v>1.5535461761029268E-2</c:v>
                </c:pt>
                <c:pt idx="3294">
                  <c:v>1.5541274082693235E-2</c:v>
                </c:pt>
                <c:pt idx="3295">
                  <c:v>1.5547062099638964E-2</c:v>
                </c:pt>
                <c:pt idx="3296">
                  <c:v>1.5552825811946391E-2</c:v>
                </c:pt>
                <c:pt idx="3297">
                  <c:v>1.5561833968567029E-2</c:v>
                </c:pt>
                <c:pt idx="3298">
                  <c:v>1.5566581637678212E-2</c:v>
                </c:pt>
                <c:pt idx="3299">
                  <c:v>1.5569971120319437E-2</c:v>
                </c:pt>
                <c:pt idx="3300">
                  <c:v>1.5575637613833848E-2</c:v>
                </c:pt>
                <c:pt idx="3301">
                  <c:v>1.5581279802470149E-2</c:v>
                </c:pt>
                <c:pt idx="3302">
                  <c:v>1.5586897686388212E-2</c:v>
                </c:pt>
                <c:pt idx="3303">
                  <c:v>1.5592491265667974E-2</c:v>
                </c:pt>
                <c:pt idx="3304">
                  <c:v>1.5598060540149561E-2</c:v>
                </c:pt>
                <c:pt idx="3305">
                  <c:v>1.5603605509832974E-2</c:v>
                </c:pt>
                <c:pt idx="3306">
                  <c:v>1.5609126174958021E-2</c:v>
                </c:pt>
                <c:pt idx="3307">
                  <c:v>1.5614622535125022E-2</c:v>
                </c:pt>
                <c:pt idx="3308">
                  <c:v>1.5620094590813594E-2</c:v>
                </c:pt>
                <c:pt idx="3309">
                  <c:v>1.5625542341624055E-2</c:v>
                </c:pt>
                <c:pt idx="3310">
                  <c:v>1.5630965787636342E-2</c:v>
                </c:pt>
                <c:pt idx="3311">
                  <c:v>1.5636364929090263E-2</c:v>
                </c:pt>
                <c:pt idx="3312">
                  <c:v>1.5641739765666074E-2</c:v>
                </c:pt>
                <c:pt idx="3313">
                  <c:v>1.5649974559568847E-2</c:v>
                </c:pt>
                <c:pt idx="3314">
                  <c:v>1.5652416524742918E-2</c:v>
                </c:pt>
                <c:pt idx="3315">
                  <c:v>1.5659872796003338E-2</c:v>
                </c:pt>
                <c:pt idx="3316">
                  <c:v>1.5662996064866874E-2</c:v>
                </c:pt>
                <c:pt idx="3317">
                  <c:v>1.5668249377691623E-2</c:v>
                </c:pt>
                <c:pt idx="3318">
                  <c:v>1.5673478386037942E-2</c:v>
                </c:pt>
                <c:pt idx="3319">
                  <c:v>1.5678683089426215E-2</c:v>
                </c:pt>
                <c:pt idx="3320">
                  <c:v>1.5683863488176186E-2</c:v>
                </c:pt>
                <c:pt idx="3321">
                  <c:v>1.5689019582048047E-2</c:v>
                </c:pt>
                <c:pt idx="3322">
                  <c:v>1.5694151371281606E-2</c:v>
                </c:pt>
                <c:pt idx="3323">
                  <c:v>1.5699258855796927E-2</c:v>
                </c:pt>
                <c:pt idx="3324">
                  <c:v>1.5704342035514074E-2</c:v>
                </c:pt>
                <c:pt idx="3325">
                  <c:v>1.5709400910433047E-2</c:v>
                </c:pt>
                <c:pt idx="3326">
                  <c:v>1.5714435480713718E-2</c:v>
                </c:pt>
                <c:pt idx="3327">
                  <c:v>1.5719445746116278E-2</c:v>
                </c:pt>
                <c:pt idx="3328">
                  <c:v>1.5724431706800601E-2</c:v>
                </c:pt>
                <c:pt idx="3329">
                  <c:v>1.5729393362766686E-2</c:v>
                </c:pt>
                <c:pt idx="3330">
                  <c:v>1.5734330714014533E-2</c:v>
                </c:pt>
                <c:pt idx="3331">
                  <c:v>1.5739243760544142E-2</c:v>
                </c:pt>
                <c:pt idx="3332">
                  <c:v>1.574413250219564E-2</c:v>
                </c:pt>
                <c:pt idx="3333">
                  <c:v>1.5748996939048965E-2</c:v>
                </c:pt>
                <c:pt idx="3334">
                  <c:v>1.5753837071184051E-2</c:v>
                </c:pt>
                <c:pt idx="3335">
                  <c:v>1.5758652898680836E-2</c:v>
                </c:pt>
                <c:pt idx="3336">
                  <c:v>1.5763444421299511E-2</c:v>
                </c:pt>
                <c:pt idx="3337">
                  <c:v>1.5768211639199947E-2</c:v>
                </c:pt>
                <c:pt idx="3338">
                  <c:v>1.577295455230221E-2</c:v>
                </c:pt>
                <c:pt idx="3339">
                  <c:v>1.5777673160606298E-2</c:v>
                </c:pt>
                <c:pt idx="3340">
                  <c:v>1.5782367464352021E-2</c:v>
                </c:pt>
                <c:pt idx="3341">
                  <c:v>1.5787037463139697E-2</c:v>
                </c:pt>
                <c:pt idx="3342">
                  <c:v>1.5791683157129199E-2</c:v>
                </c:pt>
                <c:pt idx="3343">
                  <c:v>1.5796304546400464E-2</c:v>
                </c:pt>
                <c:pt idx="3344">
                  <c:v>1.5800901631033426E-2</c:v>
                </c:pt>
                <c:pt idx="3345">
                  <c:v>1.5805474410788278E-2</c:v>
                </c:pt>
                <c:pt idx="3346">
                  <c:v>1.5810022885744957E-2</c:v>
                </c:pt>
                <c:pt idx="3347">
                  <c:v>1.5814547056063333E-2</c:v>
                </c:pt>
                <c:pt idx="3348">
                  <c:v>1.5819046921423663E-2</c:v>
                </c:pt>
                <c:pt idx="3349">
                  <c:v>1.5825521481391824E-2</c:v>
                </c:pt>
                <c:pt idx="3350">
                  <c:v>1.5829968115552706E-2</c:v>
                </c:pt>
                <c:pt idx="3351">
                  <c:v>1.5832400689115289E-2</c:v>
                </c:pt>
                <c:pt idx="3352">
                  <c:v>1.5836803335522731E-2</c:v>
                </c:pt>
                <c:pt idx="3353">
                  <c:v>1.5841181676972127E-2</c:v>
                </c:pt>
                <c:pt idx="3354">
                  <c:v>1.5845535713863157E-2</c:v>
                </c:pt>
                <c:pt idx="3355">
                  <c:v>1.5849865445796141E-2</c:v>
                </c:pt>
                <c:pt idx="3356">
                  <c:v>1.5854170873170759E-2</c:v>
                </c:pt>
                <c:pt idx="3357">
                  <c:v>1.585845199558733E-2</c:v>
                </c:pt>
                <c:pt idx="3358">
                  <c:v>1.5862708813205728E-2</c:v>
                </c:pt>
                <c:pt idx="3359">
                  <c:v>1.5866941326185824E-2</c:v>
                </c:pt>
                <c:pt idx="3360">
                  <c:v>1.5871149534207873E-2</c:v>
                </c:pt>
                <c:pt idx="3361">
                  <c:v>1.5875333437591621E-2</c:v>
                </c:pt>
                <c:pt idx="3362">
                  <c:v>1.5879493036097259E-2</c:v>
                </c:pt>
                <c:pt idx="3363">
                  <c:v>1.5883628329964594E-2</c:v>
                </c:pt>
                <c:pt idx="3364">
                  <c:v>1.5890311530149859E-2</c:v>
                </c:pt>
                <c:pt idx="3365">
                  <c:v>1.5891826003064935E-2</c:v>
                </c:pt>
                <c:pt idx="3366">
                  <c:v>1.5895888382457812E-2</c:v>
                </c:pt>
                <c:pt idx="3367">
                  <c:v>1.5899926457052516E-2</c:v>
                </c:pt>
                <c:pt idx="3368">
                  <c:v>1.5903940226928981E-2</c:v>
                </c:pt>
                <c:pt idx="3369">
                  <c:v>1.5907929691927336E-2</c:v>
                </c:pt>
                <c:pt idx="3370">
                  <c:v>1.5911894852207453E-2</c:v>
                </c:pt>
                <c:pt idx="3371">
                  <c:v>1.5915835707529524E-2</c:v>
                </c:pt>
                <c:pt idx="3372">
                  <c:v>1.5919752258293229E-2</c:v>
                </c:pt>
                <c:pt idx="3373">
                  <c:v>1.5923644504098888E-2</c:v>
                </c:pt>
                <c:pt idx="3374">
                  <c:v>1.5927512445266245E-2</c:v>
                </c:pt>
                <c:pt idx="3375">
                  <c:v>1.593135608139562E-2</c:v>
                </c:pt>
                <c:pt idx="3376">
                  <c:v>1.5935175412966629E-2</c:v>
                </c:pt>
                <c:pt idx="3377">
                  <c:v>1.5938970439659528E-2</c:v>
                </c:pt>
                <c:pt idx="3378">
                  <c:v>1.5942741161554252E-2</c:v>
                </c:pt>
                <c:pt idx="3379">
                  <c:v>1.5946487578570867E-2</c:v>
                </c:pt>
                <c:pt idx="3380">
                  <c:v>1.5950209690869244E-2</c:v>
                </c:pt>
                <c:pt idx="3381">
                  <c:v>1.5953907498369446E-2</c:v>
                </c:pt>
                <c:pt idx="3382">
                  <c:v>1.5957581000991539E-2</c:v>
                </c:pt>
                <c:pt idx="3383">
                  <c:v>1.5961230198895393E-2</c:v>
                </c:pt>
                <c:pt idx="3384">
                  <c:v>1.5964855092001073E-2</c:v>
                </c:pt>
                <c:pt idx="3385">
                  <c:v>1.5968455680228644E-2</c:v>
                </c:pt>
                <c:pt idx="3386">
                  <c:v>1.5972031963737976E-2</c:v>
                </c:pt>
                <c:pt idx="3387">
                  <c:v>1.5975583942449134E-2</c:v>
                </c:pt>
                <c:pt idx="3388">
                  <c:v>1.5979111616282182E-2</c:v>
                </c:pt>
                <c:pt idx="3389">
                  <c:v>1.5982614985317056E-2</c:v>
                </c:pt>
                <c:pt idx="3390">
                  <c:v>1.5986094049553756E-2</c:v>
                </c:pt>
                <c:pt idx="3391">
                  <c:v>1.5989548809072218E-2</c:v>
                </c:pt>
                <c:pt idx="3392">
                  <c:v>1.5992979263792506E-2</c:v>
                </c:pt>
                <c:pt idx="3393">
                  <c:v>1.5996385413554748E-2</c:v>
                </c:pt>
                <c:pt idx="3394">
                  <c:v>1.5999767258598752E-2</c:v>
                </c:pt>
                <c:pt idx="3395">
                  <c:v>1.6003124798764645E-2</c:v>
                </c:pt>
                <c:pt idx="3396">
                  <c:v>1.6006458034212301E-2</c:v>
                </c:pt>
                <c:pt idx="3397">
                  <c:v>1.6009766964781846E-2</c:v>
                </c:pt>
                <c:pt idx="3398">
                  <c:v>1.6013051590633154E-2</c:v>
                </c:pt>
                <c:pt idx="3399">
                  <c:v>1.6016311911526415E-2</c:v>
                </c:pt>
                <c:pt idx="3400">
                  <c:v>1.6019547927701439E-2</c:v>
                </c:pt>
                <c:pt idx="3401">
                  <c:v>1.6022759639078288E-2</c:v>
                </c:pt>
                <c:pt idx="3402">
                  <c:v>1.6025947045656963E-2</c:v>
                </c:pt>
                <c:pt idx="3403">
                  <c:v>1.6029110147277592E-2</c:v>
                </c:pt>
                <c:pt idx="3404">
                  <c:v>1.6032248944179983E-2</c:v>
                </c:pt>
                <c:pt idx="3405">
                  <c:v>1.60353634362842E-2</c:v>
                </c:pt>
                <c:pt idx="3406">
                  <c:v>1.6038453623510307E-2</c:v>
                </c:pt>
                <c:pt idx="3407">
                  <c:v>1.6041519506018176E-2</c:v>
                </c:pt>
                <c:pt idx="3408">
                  <c:v>1.6044561083647935E-2</c:v>
                </c:pt>
                <c:pt idx="3409">
                  <c:v>1.6047578356479519E-2</c:v>
                </c:pt>
                <c:pt idx="3410">
                  <c:v>1.6050571324432994E-2</c:v>
                </c:pt>
                <c:pt idx="3411">
                  <c:v>1.6053539987588294E-2</c:v>
                </c:pt>
                <c:pt idx="3412">
                  <c:v>1.6056484345945421E-2</c:v>
                </c:pt>
                <c:pt idx="3413">
                  <c:v>1.6059404399504373E-2</c:v>
                </c:pt>
                <c:pt idx="3414">
                  <c:v>1.6064556074910641E-2</c:v>
                </c:pt>
                <c:pt idx="3415">
                  <c:v>1.606517159214782E-2</c:v>
                </c:pt>
                <c:pt idx="3416">
                  <c:v>1.6068018731152378E-2</c:v>
                </c:pt>
                <c:pt idx="3417">
                  <c:v>1.6070841565358762E-2</c:v>
                </c:pt>
                <c:pt idx="3418">
                  <c:v>1.6073640094687036E-2</c:v>
                </c:pt>
                <c:pt idx="3419">
                  <c:v>1.6076414319377008E-2</c:v>
                </c:pt>
                <c:pt idx="3420">
                  <c:v>1.607916423918887E-2</c:v>
                </c:pt>
                <c:pt idx="3421">
                  <c:v>1.6081889854122622E-2</c:v>
                </c:pt>
                <c:pt idx="3422">
                  <c:v>1.6084591164178264E-2</c:v>
                </c:pt>
                <c:pt idx="3423">
                  <c:v>1.6087268169515667E-2</c:v>
                </c:pt>
                <c:pt idx="3424">
                  <c:v>1.6089920869974961E-2</c:v>
                </c:pt>
                <c:pt idx="3425">
                  <c:v>1.6092549265556144E-2</c:v>
                </c:pt>
                <c:pt idx="3426">
                  <c:v>1.609515335641909E-2</c:v>
                </c:pt>
                <c:pt idx="3427">
                  <c:v>1.6097733142323989E-2</c:v>
                </c:pt>
                <c:pt idx="3428">
                  <c:v>1.610028862351065E-2</c:v>
                </c:pt>
                <c:pt idx="3429">
                  <c:v>1.6102819799819201E-2</c:v>
                </c:pt>
                <c:pt idx="3430">
                  <c:v>1.6105326671329578E-2</c:v>
                </c:pt>
                <c:pt idx="3431">
                  <c:v>1.6107809238041781E-2</c:v>
                </c:pt>
                <c:pt idx="3432">
                  <c:v>1.6110267499875874E-2</c:v>
                </c:pt>
                <c:pt idx="3433">
                  <c:v>1.6112701456751921E-2</c:v>
                </c:pt>
                <c:pt idx="3434">
                  <c:v>1.6115111108989666E-2</c:v>
                </c:pt>
                <c:pt idx="3435">
                  <c:v>1.6117496456349301E-2</c:v>
                </c:pt>
                <c:pt idx="3436">
                  <c:v>1.6119857498750889E-2</c:v>
                </c:pt>
                <c:pt idx="3437">
                  <c:v>1.6122194236354304E-2</c:v>
                </c:pt>
                <c:pt idx="3438">
                  <c:v>1.6124506669319416E-2</c:v>
                </c:pt>
                <c:pt idx="3439">
                  <c:v>1.6126794797246546E-2</c:v>
                </c:pt>
                <c:pt idx="3440">
                  <c:v>1.6129058620375503E-2</c:v>
                </c:pt>
                <c:pt idx="3441">
                  <c:v>1.6131298138706285E-2</c:v>
                </c:pt>
                <c:pt idx="3442">
                  <c:v>1.6133513352318829E-2</c:v>
                </c:pt>
                <c:pt idx="3443">
                  <c:v>1.6135704260813455E-2</c:v>
                </c:pt>
                <c:pt idx="3444">
                  <c:v>1.6137870864669779E-2</c:v>
                </c:pt>
                <c:pt idx="3445">
                  <c:v>1.6140013163647993E-2</c:v>
                </c:pt>
                <c:pt idx="3446">
                  <c:v>1.6142131157748096E-2</c:v>
                </c:pt>
                <c:pt idx="3447">
                  <c:v>1.6144224847050026E-2</c:v>
                </c:pt>
                <c:pt idx="3448">
                  <c:v>1.6146294231473846E-2</c:v>
                </c:pt>
                <c:pt idx="3449">
                  <c:v>1.6148339311099491E-2</c:v>
                </c:pt>
                <c:pt idx="3450">
                  <c:v>1.6150360085926962E-2</c:v>
                </c:pt>
                <c:pt idx="3451">
                  <c:v>1.6152356555796388E-2</c:v>
                </c:pt>
                <c:pt idx="3452">
                  <c:v>1.6154328720947575E-2</c:v>
                </c:pt>
                <c:pt idx="3453">
                  <c:v>1.6156276581140716E-2</c:v>
                </c:pt>
                <c:pt idx="3454">
                  <c:v>1.615996890898419E-2</c:v>
                </c:pt>
                <c:pt idx="3455">
                  <c:v>1.6161362873221563E-2</c:v>
                </c:pt>
                <c:pt idx="3456">
                  <c:v>1.6163231042440884E-2</c:v>
                </c:pt>
                <c:pt idx="3457">
                  <c:v>1.6165074904650467E-2</c:v>
                </c:pt>
                <c:pt idx="3458">
                  <c:v>1.6166894459850312E-2</c:v>
                </c:pt>
                <c:pt idx="3459">
                  <c:v>1.6168689708040418E-2</c:v>
                </c:pt>
                <c:pt idx="3460">
                  <c:v>1.6170460649220786E-2</c:v>
                </c:pt>
                <c:pt idx="3461">
                  <c:v>1.6172207283391415E-2</c:v>
                </c:pt>
                <c:pt idx="3462">
                  <c:v>1.6173929610552307E-2</c:v>
                </c:pt>
                <c:pt idx="3463">
                  <c:v>1.617562763070346E-2</c:v>
                </c:pt>
                <c:pt idx="3464">
                  <c:v>1.6177301343844874E-2</c:v>
                </c:pt>
                <c:pt idx="3465">
                  <c:v>1.6178950749976551E-2</c:v>
                </c:pt>
                <c:pt idx="3466">
                  <c:v>1.6180575849071843E-2</c:v>
                </c:pt>
                <c:pt idx="3467">
                  <c:v>1.6182176641157398E-2</c:v>
                </c:pt>
                <c:pt idx="3468">
                  <c:v>1.6183753126233213E-2</c:v>
                </c:pt>
                <c:pt idx="3469">
                  <c:v>1.6185235565071565E-2</c:v>
                </c:pt>
                <c:pt idx="3470">
                  <c:v>1.618683317530234E-2</c:v>
                </c:pt>
                <c:pt idx="3471">
                  <c:v>1.6188336739348941E-2</c:v>
                </c:pt>
                <c:pt idx="3472">
                  <c:v>1.6189815996332513E-2</c:v>
                </c:pt>
                <c:pt idx="3473">
                  <c:v>1.6191270946306346E-2</c:v>
                </c:pt>
                <c:pt idx="3474">
                  <c:v>1.6192701589243796E-2</c:v>
                </c:pt>
                <c:pt idx="3475">
                  <c:v>1.6194107925144863E-2</c:v>
                </c:pt>
                <c:pt idx="3476">
                  <c:v>1.6195489954089481E-2</c:v>
                </c:pt>
                <c:pt idx="3477">
                  <c:v>1.6196847675944426E-2</c:v>
                </c:pt>
                <c:pt idx="3478">
                  <c:v>1.6198181090789632E-2</c:v>
                </c:pt>
                <c:pt idx="3479">
                  <c:v>1.6199490198625099E-2</c:v>
                </c:pt>
                <c:pt idx="3480">
                  <c:v>1.6200774999397538E-2</c:v>
                </c:pt>
                <c:pt idx="3481">
                  <c:v>1.6202035493160238E-2</c:v>
                </c:pt>
                <c:pt idx="3482">
                  <c:v>1.6203271679939846E-2</c:v>
                </c:pt>
                <c:pt idx="3483">
                  <c:v>1.6204483559629779E-2</c:v>
                </c:pt>
                <c:pt idx="3484">
                  <c:v>1.6205671132309973E-2</c:v>
                </c:pt>
                <c:pt idx="3485">
                  <c:v>1.6206834397927139E-2</c:v>
                </c:pt>
                <c:pt idx="3486">
                  <c:v>1.6207973356561212E-2</c:v>
                </c:pt>
                <c:pt idx="3487">
                  <c:v>1.6209088008132255E-2</c:v>
                </c:pt>
                <c:pt idx="3488">
                  <c:v>1.6210178352666915E-2</c:v>
                </c:pt>
                <c:pt idx="3489">
                  <c:v>1.6211244390191837E-2</c:v>
                </c:pt>
                <c:pt idx="3490">
                  <c:v>1.6212286120680375E-2</c:v>
                </c:pt>
                <c:pt idx="3491">
                  <c:v>1.6213303544079238E-2</c:v>
                </c:pt>
                <c:pt idx="3492">
                  <c:v>1.6214296660495009E-2</c:v>
                </c:pt>
                <c:pt idx="3493">
                  <c:v>1.6215265469847751E-2</c:v>
                </c:pt>
                <c:pt idx="3494">
                  <c:v>1.6216209972190754E-2</c:v>
                </c:pt>
                <c:pt idx="3495">
                  <c:v>1.6217130167470728E-2</c:v>
                </c:pt>
                <c:pt idx="3496">
                  <c:v>1.6218026055714319E-2</c:v>
                </c:pt>
                <c:pt idx="3497">
                  <c:v>1.6218897636921525E-2</c:v>
                </c:pt>
                <c:pt idx="3498">
                  <c:v>1.6219744911092349E-2</c:v>
                </c:pt>
                <c:pt idx="3499">
                  <c:v>1.6220567878226788E-2</c:v>
                </c:pt>
                <c:pt idx="3500">
                  <c:v>1.6221366538324844E-2</c:v>
                </c:pt>
                <c:pt idx="3501">
                  <c:v>1.6222140891386516E-2</c:v>
                </c:pt>
                <c:pt idx="3502">
                  <c:v>1.6222890937385159E-2</c:v>
                </c:pt>
                <c:pt idx="3503">
                  <c:v>1.6223616676374064E-2</c:v>
                </c:pt>
                <c:pt idx="3504">
                  <c:v>1.622431810829994E-2</c:v>
                </c:pt>
                <c:pt idx="3505">
                  <c:v>1.6224995233162787E-2</c:v>
                </c:pt>
                <c:pt idx="3506">
                  <c:v>1.6225509769522972E-2</c:v>
                </c:pt>
                <c:pt idx="3507">
                  <c:v>1.6225720509428498E-2</c:v>
                </c:pt>
                <c:pt idx="3508">
                  <c:v>1.6226317714513883E-2</c:v>
                </c:pt>
                <c:pt idx="3509">
                  <c:v>1.6226890614641221E-2</c:v>
                </c:pt>
                <c:pt idx="3510">
                  <c:v>1.6227439210050321E-2</c:v>
                </c:pt>
                <c:pt idx="3511">
                  <c:v>1.6227963500501374E-2</c:v>
                </c:pt>
                <c:pt idx="3512">
                  <c:v>1.6228463485994382E-2</c:v>
                </c:pt>
                <c:pt idx="3513">
                  <c:v>1.6228939166849088E-2</c:v>
                </c:pt>
                <c:pt idx="3514">
                  <c:v>1.6229390542665811E-2</c:v>
                </c:pt>
                <c:pt idx="3515">
                  <c:v>1.6229817613844233E-2</c:v>
                </c:pt>
                <c:pt idx="3516">
                  <c:v>1.6230220380064608E-2</c:v>
                </c:pt>
                <c:pt idx="3517">
                  <c:v>1.6230598841406874E-2</c:v>
                </c:pt>
                <c:pt idx="3518">
                  <c:v>1.6230952997791093E-2</c:v>
                </c:pt>
                <c:pt idx="3519">
                  <c:v>1.6231282849457074E-2</c:v>
                </c:pt>
                <c:pt idx="3520">
                  <c:v>1.6231671231183853E-2</c:v>
                </c:pt>
                <c:pt idx="3521">
                  <c:v>1.623186963807477E-2</c:v>
                </c:pt>
                <c:pt idx="3522">
                  <c:v>1.6232126575186356E-2</c:v>
                </c:pt>
                <c:pt idx="3523">
                  <c:v>1.6232359207419833E-2</c:v>
                </c:pt>
                <c:pt idx="3524">
                  <c:v>1.6232567534855136E-2</c:v>
                </c:pt>
                <c:pt idx="3525">
                  <c:v>1.623275155717252E-2</c:v>
                </c:pt>
                <c:pt idx="3526">
                  <c:v>1.6232911274851602E-2</c:v>
                </c:pt>
                <c:pt idx="3527">
                  <c:v>1.6233046687732511E-2</c:v>
                </c:pt>
                <c:pt idx="3528">
                  <c:v>1.6233157795495501E-2</c:v>
                </c:pt>
                <c:pt idx="3529">
                  <c:v>1.6233244598620189E-2</c:v>
                </c:pt>
                <c:pt idx="3530">
                  <c:v>1.6233307096866767E-2</c:v>
                </c:pt>
                <c:pt idx="3531">
                  <c:v>1.6233345290235235E-2</c:v>
                </c:pt>
                <c:pt idx="3532">
                  <c:v>1.6233359178645657E-2</c:v>
                </c:pt>
                <c:pt idx="3533">
                  <c:v>#N/A</c:v>
                </c:pt>
              </c:numCache>
            </c:numRef>
          </c:val>
          <c:smooth val="0"/>
        </c:ser>
        <c:dLbls>
          <c:showLegendKey val="0"/>
          <c:showVal val="0"/>
          <c:showCatName val="0"/>
          <c:showSerName val="0"/>
          <c:showPercent val="0"/>
          <c:showBubbleSize val="0"/>
        </c:dLbls>
        <c:marker val="1"/>
        <c:smooth val="0"/>
        <c:axId val="660319232"/>
        <c:axId val="658243968"/>
      </c:lineChart>
      <c:dateAx>
        <c:axId val="660319232"/>
        <c:scaling>
          <c:orientation val="minMax"/>
          <c:max val="42918"/>
          <c:min val="42185"/>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58243968"/>
        <c:crosses val="autoZero"/>
        <c:auto val="1"/>
        <c:lblOffset val="100"/>
        <c:baseTimeUnit val="days"/>
        <c:majorUnit val="3"/>
        <c:majorTimeUnit val="months"/>
      </c:dateAx>
      <c:valAx>
        <c:axId val="658243968"/>
        <c:scaling>
          <c:orientation val="minMax"/>
          <c:max val="4.0000000000000001E-3"/>
          <c:min val="0"/>
        </c:scaling>
        <c:delete val="0"/>
        <c:axPos val="l"/>
        <c:majorGridlines/>
        <c:numFmt formatCode="0.00%" sourceLinked="0"/>
        <c:majorTickMark val="out"/>
        <c:minorTickMark val="none"/>
        <c:tickLblPos val="nextTo"/>
        <c:crossAx val="66031923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s/quantlib/QuantLibXL/Data2/XLS/EUR/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M30"/>
  <sheetViews>
    <sheetView workbookViewId="0">
      <selection activeCell="D11" sqref="D11"/>
    </sheetView>
  </sheetViews>
  <sheetFormatPr defaultColWidth="8" defaultRowHeight="11.25" x14ac:dyDescent="0.2"/>
  <cols>
    <col min="1" max="2" width="2.7109375" style="69" customWidth="1"/>
    <col min="3" max="3" width="18" style="69" bestFit="1" customWidth="1"/>
    <col min="4" max="4" width="23.85546875" style="69" bestFit="1" customWidth="1"/>
    <col min="5" max="6" width="2.7109375" style="69" customWidth="1"/>
    <col min="7" max="7" width="4" style="69" bestFit="1" customWidth="1"/>
    <col min="8" max="8" width="3.28515625" style="69" bestFit="1" customWidth="1"/>
    <col min="9" max="10" width="2.7109375" style="69" customWidth="1"/>
    <col min="11" max="11" width="18.5703125" style="69" bestFit="1" customWidth="1"/>
    <col min="12" max="12" width="43.140625" style="69" customWidth="1"/>
    <col min="13" max="13" width="2.7109375" style="69" customWidth="1"/>
    <col min="14" max="16384" width="8" style="69"/>
  </cols>
  <sheetData>
    <row r="1" spans="2:13" ht="12" thickBot="1" x14ac:dyDescent="0.25">
      <c r="B1" s="69" t="str">
        <f>_xll.qlxlVersion(TRUE,Trigger)</f>
        <v>QuantLibXL 1.6.0 - MS VC++ (version unknown) - Multithreaded Dynamic Runtime library - Release Configuration - Jun 25 2015 17:04:19</v>
      </c>
    </row>
    <row r="2" spans="2:13" ht="18.75" thickBot="1" x14ac:dyDescent="0.3">
      <c r="B2" s="316" t="s">
        <v>80</v>
      </c>
      <c r="C2" s="317"/>
      <c r="D2" s="317"/>
      <c r="E2" s="318"/>
      <c r="J2" s="316" t="s">
        <v>101</v>
      </c>
      <c r="K2" s="317"/>
      <c r="L2" s="317"/>
      <c r="M2" s="319"/>
    </row>
    <row r="3" spans="2:13" ht="12" thickBot="1" x14ac:dyDescent="0.25">
      <c r="B3" s="25"/>
      <c r="C3" s="49"/>
      <c r="D3" s="23"/>
      <c r="E3" s="22"/>
      <c r="J3" s="65"/>
      <c r="K3" s="68"/>
      <c r="L3" s="68"/>
      <c r="M3" s="67"/>
    </row>
    <row r="4" spans="2:13" x14ac:dyDescent="0.2">
      <c r="B4" s="25"/>
      <c r="C4" s="48" t="s">
        <v>79</v>
      </c>
      <c r="D4" s="36" t="s">
        <v>76</v>
      </c>
      <c r="E4" s="22"/>
      <c r="G4" s="71" t="s">
        <v>78</v>
      </c>
      <c r="H4" s="72"/>
      <c r="J4" s="65"/>
      <c r="K4" s="64" t="s">
        <v>100</v>
      </c>
      <c r="L4" s="58" t="b">
        <v>0</v>
      </c>
      <c r="M4" s="63"/>
    </row>
    <row r="5" spans="2:13" x14ac:dyDescent="0.2">
      <c r="B5" s="25"/>
      <c r="C5" s="47" t="s">
        <v>77</v>
      </c>
      <c r="D5" s="26">
        <v>6</v>
      </c>
      <c r="E5" s="22"/>
      <c r="G5" s="73" t="s">
        <v>76</v>
      </c>
      <c r="H5" s="74" t="s">
        <v>75</v>
      </c>
      <c r="J5" s="65"/>
      <c r="K5" s="64" t="s">
        <v>99</v>
      </c>
      <c r="L5" s="66"/>
      <c r="M5" s="63"/>
    </row>
    <row r="6" spans="2:13" x14ac:dyDescent="0.2">
      <c r="B6" s="25"/>
      <c r="C6" s="47" t="s">
        <v>74</v>
      </c>
      <c r="D6" s="26" t="str">
        <f>_xll.qlPeriodEquivalent(D5&amp;"M")</f>
        <v>6M</v>
      </c>
      <c r="E6" s="22"/>
      <c r="G6" s="73" t="s">
        <v>73</v>
      </c>
      <c r="H6" s="74"/>
      <c r="J6" s="65"/>
      <c r="K6" s="64" t="s">
        <v>98</v>
      </c>
      <c r="L6" s="55" t="b">
        <v>1</v>
      </c>
      <c r="M6" s="63"/>
    </row>
    <row r="7" spans="2:13" ht="12" thickBot="1" x14ac:dyDescent="0.25">
      <c r="B7" s="25"/>
      <c r="C7" s="47" t="s">
        <v>72</v>
      </c>
      <c r="D7" s="26" t="str">
        <f>Months&amp;IF(UPPER(Currency)="EUR","E","L")</f>
        <v>6E</v>
      </c>
      <c r="E7" s="22"/>
      <c r="G7" s="73" t="s">
        <v>71</v>
      </c>
      <c r="H7" s="74"/>
      <c r="J7" s="62"/>
      <c r="K7" s="61"/>
      <c r="L7" s="61"/>
      <c r="M7" s="60"/>
    </row>
    <row r="8" spans="2:13" ht="12" thickBot="1" x14ac:dyDescent="0.25">
      <c r="B8" s="25"/>
      <c r="C8" s="47" t="s">
        <v>70</v>
      </c>
      <c r="D8" s="26" t="str">
        <f>VLOOKUP(Currency,G4:H8,2)</f>
        <v>AB</v>
      </c>
      <c r="E8" s="22"/>
      <c r="G8" s="75" t="s">
        <v>69</v>
      </c>
      <c r="H8" s="76" t="s">
        <v>68</v>
      </c>
      <c r="J8" s="70"/>
      <c r="K8" s="70"/>
      <c r="L8" s="70"/>
      <c r="M8" s="70"/>
    </row>
    <row r="9" spans="2:13" ht="18.75" thickBot="1" x14ac:dyDescent="0.3">
      <c r="B9" s="25"/>
      <c r="C9" s="47" t="s">
        <v>67</v>
      </c>
      <c r="D9" s="26" t="str">
        <f>Currency&amp;"_YC"&amp;IndexTenor&amp;"RH"</f>
        <v>EUR_YC6MRH</v>
      </c>
      <c r="E9" s="22"/>
      <c r="J9" s="316" t="s">
        <v>97</v>
      </c>
      <c r="K9" s="317"/>
      <c r="L9" s="317"/>
      <c r="M9" s="319"/>
    </row>
    <row r="10" spans="2:13" ht="12.75" x14ac:dyDescent="0.2">
      <c r="B10" s="25"/>
      <c r="C10" s="46" t="s">
        <v>66</v>
      </c>
      <c r="D10" s="26" t="b">
        <v>1</v>
      </c>
      <c r="E10" s="22"/>
      <c r="J10" s="57"/>
      <c r="K10" s="59"/>
      <c r="L10" s="59"/>
      <c r="M10" s="54"/>
    </row>
    <row r="11" spans="2:13" ht="12.75" x14ac:dyDescent="0.2">
      <c r="B11" s="25"/>
      <c r="C11" s="46" t="s">
        <v>65</v>
      </c>
      <c r="D11" s="45"/>
      <c r="E11" s="22"/>
      <c r="J11" s="57"/>
      <c r="K11" s="56" t="s">
        <v>96</v>
      </c>
      <c r="L11" s="58" t="s">
        <v>95</v>
      </c>
      <c r="M11" s="54"/>
    </row>
    <row r="12" spans="2:13" ht="12.75" x14ac:dyDescent="0.2">
      <c r="B12" s="25"/>
      <c r="C12" s="44" t="s">
        <v>64</v>
      </c>
      <c r="D12" s="43" t="b">
        <v>1</v>
      </c>
      <c r="E12" s="22"/>
      <c r="J12" s="57"/>
      <c r="K12" s="56" t="s">
        <v>94</v>
      </c>
      <c r="L12" s="55" t="s">
        <v>93</v>
      </c>
      <c r="M12" s="54"/>
    </row>
    <row r="13" spans="2:13" ht="12.75" x14ac:dyDescent="0.2">
      <c r="B13" s="25"/>
      <c r="C13" s="30"/>
      <c r="D13" s="30"/>
      <c r="E13" s="22"/>
      <c r="J13" s="57"/>
      <c r="K13" s="56" t="s">
        <v>118</v>
      </c>
      <c r="L13" s="58" t="s">
        <v>117</v>
      </c>
      <c r="M13" s="54"/>
    </row>
    <row r="14" spans="2:13" ht="12.75" x14ac:dyDescent="0.2">
      <c r="B14" s="25"/>
      <c r="C14" s="40" t="s">
        <v>63</v>
      </c>
      <c r="D14" s="42" t="str">
        <f>_xll.qlPiecewiseYieldCurve(D16,NDays,Calendar,_xll.ohPack(Selected!D2:D126),DayCounter,JumpQuotes,JumpDates,Accuracy,TraitsID,InterpolatorID,Permanent,,ObjectOverwrite)</f>
        <v>_EURYC6M#0009</v>
      </c>
      <c r="E14" s="22"/>
      <c r="J14" s="57"/>
      <c r="K14" s="56" t="s">
        <v>116</v>
      </c>
      <c r="L14" s="58" t="s">
        <v>115</v>
      </c>
      <c r="M14" s="54"/>
    </row>
    <row r="15" spans="2:13" ht="12.75" x14ac:dyDescent="0.2">
      <c r="B15" s="25"/>
      <c r="C15" s="32" t="s">
        <v>45</v>
      </c>
      <c r="D15" s="41" t="str">
        <f>_xll.ohRangeRetrieveError(YieldCurve)</f>
        <v/>
      </c>
      <c r="E15" s="22"/>
      <c r="J15" s="57"/>
      <c r="K15" s="56" t="s">
        <v>114</v>
      </c>
      <c r="L15" s="58" t="str">
        <f>PROPER(Currency)&amp;"ON"</f>
        <v>EurON</v>
      </c>
      <c r="M15" s="54"/>
    </row>
    <row r="16" spans="2:13" ht="13.5" thickBot="1" x14ac:dyDescent="0.25">
      <c r="B16" s="25"/>
      <c r="C16" s="40" t="s">
        <v>62</v>
      </c>
      <c r="D16" s="39" t="str">
        <f>"_"&amp;Currency&amp;"YC"&amp;IndexTenor</f>
        <v>_EURYC6M</v>
      </c>
      <c r="E16" s="22"/>
      <c r="J16" s="53"/>
      <c r="K16" s="52"/>
      <c r="L16" s="52"/>
      <c r="M16" s="51"/>
    </row>
    <row r="17" spans="2:5" x14ac:dyDescent="0.2">
      <c r="B17" s="25"/>
      <c r="C17" s="34" t="s">
        <v>61</v>
      </c>
      <c r="D17" s="38">
        <v>2</v>
      </c>
      <c r="E17" s="22"/>
    </row>
    <row r="18" spans="2:5" x14ac:dyDescent="0.2">
      <c r="B18" s="25"/>
      <c r="C18" s="34" t="s">
        <v>60</v>
      </c>
      <c r="D18" s="37" t="s">
        <v>134</v>
      </c>
      <c r="E18" s="22"/>
    </row>
    <row r="19" spans="2:5" x14ac:dyDescent="0.2">
      <c r="B19" s="25"/>
      <c r="C19" s="34" t="s">
        <v>59</v>
      </c>
      <c r="D19" s="37"/>
      <c r="E19" s="22"/>
    </row>
    <row r="20" spans="2:5" x14ac:dyDescent="0.2">
      <c r="B20" s="25"/>
      <c r="C20" s="34" t="s">
        <v>58</v>
      </c>
      <c r="D20" s="35" t="e">
        <f>NA()</f>
        <v>#N/A</v>
      </c>
      <c r="E20" s="22"/>
    </row>
    <row r="21" spans="2:5" x14ac:dyDescent="0.2">
      <c r="B21" s="25"/>
      <c r="C21" s="34" t="s">
        <v>57</v>
      </c>
      <c r="D21" s="33" t="s">
        <v>56</v>
      </c>
      <c r="E21" s="22"/>
    </row>
    <row r="22" spans="2:5" x14ac:dyDescent="0.2">
      <c r="B22" s="25"/>
      <c r="C22" s="32" t="s">
        <v>55</v>
      </c>
      <c r="D22" s="31" t="s">
        <v>54</v>
      </c>
      <c r="E22" s="22"/>
    </row>
    <row r="23" spans="2:5" x14ac:dyDescent="0.2">
      <c r="B23" s="25"/>
      <c r="C23" s="30"/>
      <c r="D23" s="30"/>
      <c r="E23" s="22"/>
    </row>
    <row r="24" spans="2:5" x14ac:dyDescent="0.2">
      <c r="B24" s="25"/>
      <c r="C24" s="29">
        <f>_xll.qlTermStructureReferenceDate(YieldCurve)</f>
        <v>42187</v>
      </c>
      <c r="D24" s="28">
        <f>MAX(_xll.ohPack(Selected!J1:J126))</f>
        <v>1.0000148446648052</v>
      </c>
      <c r="E24" s="22"/>
    </row>
    <row r="25" spans="2:5" x14ac:dyDescent="0.2">
      <c r="B25" s="25"/>
      <c r="C25" s="27">
        <f>MAX(_xll.ohPack(Selected!I2:I126))</f>
        <v>64102</v>
      </c>
      <c r="D25" s="26">
        <f>MIN(_xll.ohPack(Selected!J1:J126))</f>
        <v>0.3726363685078245</v>
      </c>
      <c r="E25" s="22"/>
    </row>
    <row r="26" spans="2:5" x14ac:dyDescent="0.2">
      <c r="B26" s="25"/>
      <c r="C26" s="89" t="s">
        <v>45</v>
      </c>
      <c r="D26" s="90" t="str">
        <f>_xll.ohRangeRetrieveError(Selected!J1)</f>
        <v/>
      </c>
      <c r="E26" s="22"/>
    </row>
    <row r="27" spans="2:5" x14ac:dyDescent="0.2">
      <c r="B27" s="25"/>
      <c r="C27" s="89" t="str">
        <f>[1]Euribor!$E$11</f>
        <v>EUR6M#0000</v>
      </c>
      <c r="D27" s="26" t="b">
        <f>_xll.qlRelinkableHandleLinkTo(C27,YieldCurve)</f>
        <v>1</v>
      </c>
      <c r="E27" s="22"/>
    </row>
    <row r="28" spans="2:5" x14ac:dyDescent="0.2">
      <c r="B28" s="25"/>
      <c r="C28" s="24" t="s">
        <v>139</v>
      </c>
      <c r="D28" s="43" t="b">
        <v>0</v>
      </c>
      <c r="E28" s="22"/>
    </row>
    <row r="29" spans="2:5" ht="12" thickBot="1" x14ac:dyDescent="0.25">
      <c r="B29" s="21"/>
      <c r="C29" s="20"/>
      <c r="D29" s="20"/>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abSelected="1" topLeftCell="C1" workbookViewId="0">
      <selection activeCell="G6" sqref="G6"/>
    </sheetView>
  </sheetViews>
  <sheetFormatPr defaultColWidth="10.28515625" defaultRowHeight="11.25" outlineLevelCol="1" x14ac:dyDescent="0.2"/>
  <cols>
    <col min="1" max="1" width="2.7109375" style="5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50"/>
  </cols>
  <sheetData>
    <row r="1" spans="2:10" ht="33.75" x14ac:dyDescent="0.2">
      <c r="B1" s="77" t="s">
        <v>44</v>
      </c>
      <c r="C1" s="77" t="s">
        <v>156</v>
      </c>
      <c r="D1" s="77" t="s">
        <v>43</v>
      </c>
      <c r="E1" s="77" t="s">
        <v>42</v>
      </c>
      <c r="F1" s="77" t="s">
        <v>41</v>
      </c>
      <c r="G1" s="77" t="s">
        <v>40</v>
      </c>
      <c r="H1" s="77" t="s">
        <v>39</v>
      </c>
      <c r="I1" s="77" t="s">
        <v>38</v>
      </c>
      <c r="J1" s="77" t="s">
        <v>37</v>
      </c>
    </row>
    <row r="2" spans="2:10" x14ac:dyDescent="0.2">
      <c r="B2" s="182" t="str">
        <f>Deposits!J3</f>
        <v>obj_007b5#0003</v>
      </c>
      <c r="C2" s="78" t="str">
        <f>_xll.qlRateHelperQuoteName(B2)</f>
        <v>EURSND_SYNTH6M_Quote</v>
      </c>
      <c r="D2" s="79">
        <f>_xll.qlRateHelperQuoteValue($B2,Trigger)</f>
        <v>-3.9500000000000001E-4</v>
      </c>
      <c r="E2" s="79"/>
      <c r="F2" s="80" t="b">
        <v>0</v>
      </c>
      <c r="G2" s="80">
        <v>10</v>
      </c>
      <c r="H2" s="80">
        <v>1</v>
      </c>
      <c r="I2" s="85">
        <f>_xll.qlRateHelperEarliestDate($B2,Trigger)</f>
        <v>42187</v>
      </c>
      <c r="J2" s="86">
        <f>_xll.qlRateHelperLatestDate($B2,Trigger)</f>
        <v>42188</v>
      </c>
    </row>
    <row r="3" spans="2:10" x14ac:dyDescent="0.2">
      <c r="B3" s="182" t="str">
        <f>Deposits!J4</f>
        <v>obj_007ae#0003</v>
      </c>
      <c r="C3" s="78" t="str">
        <f>_xll.qlRateHelperQuoteName(B3)</f>
        <v>EURSWD_SYNTH6M_Quote</v>
      </c>
      <c r="D3" s="79">
        <f>_xll.qlRateHelperQuoteValue($B3,Trigger)</f>
        <v>-3.4900000000000003E-4</v>
      </c>
      <c r="E3" s="79"/>
      <c r="F3" s="80" t="b">
        <v>0</v>
      </c>
      <c r="G3" s="80">
        <v>10</v>
      </c>
      <c r="H3" s="80">
        <v>1</v>
      </c>
      <c r="I3" s="85">
        <f>_xll.qlRateHelperEarliestDate($B3,Trigger)</f>
        <v>42187</v>
      </c>
      <c r="J3" s="86">
        <f>_xll.qlRateHelperLatestDate($B3,Trigger)</f>
        <v>42194</v>
      </c>
    </row>
    <row r="4" spans="2:10" x14ac:dyDescent="0.2">
      <c r="B4" s="182" t="str">
        <f>Deposits!J5</f>
        <v>obj_007b1#0003</v>
      </c>
      <c r="C4" s="78" t="str">
        <f>_xll.qlRateHelperQuoteName(B4)</f>
        <v>EUR2WD_SYNTH6M_Quote</v>
      </c>
      <c r="D4" s="79">
        <f>_xll.qlRateHelperQuoteValue($B4,Trigger)</f>
        <v>-2.9700000000000001E-4</v>
      </c>
      <c r="E4" s="79"/>
      <c r="F4" s="80" t="b">
        <v>0</v>
      </c>
      <c r="G4" s="80">
        <v>10</v>
      </c>
      <c r="H4" s="80">
        <v>1</v>
      </c>
      <c r="I4" s="85">
        <f>_xll.qlRateHelperEarliestDate($B4,Trigger)</f>
        <v>42187</v>
      </c>
      <c r="J4" s="86">
        <f>_xll.qlRateHelperLatestDate($B4,Trigger)</f>
        <v>42201</v>
      </c>
    </row>
    <row r="5" spans="2:10" x14ac:dyDescent="0.2">
      <c r="B5" s="182" t="str">
        <f>Deposits!J6</f>
        <v>obj_007ac#0003</v>
      </c>
      <c r="C5" s="78" t="str">
        <f>_xll.qlRateHelperQuoteName(B5)</f>
        <v>EUR3WD_SYNTH6M_Quote</v>
      </c>
      <c r="D5" s="79">
        <f>_xll.qlRateHelperQuoteValue($B5,Trigger)</f>
        <v>-2.4800000000000001E-4</v>
      </c>
      <c r="E5" s="79"/>
      <c r="F5" s="80" t="b">
        <v>0</v>
      </c>
      <c r="G5" s="80">
        <v>10</v>
      </c>
      <c r="H5" s="80">
        <v>1</v>
      </c>
      <c r="I5" s="85">
        <f>_xll.qlRateHelperEarliestDate($B5,Trigger)</f>
        <v>42187</v>
      </c>
      <c r="J5" s="86">
        <f>_xll.qlRateHelperLatestDate($B5,Trigger)</f>
        <v>42208</v>
      </c>
    </row>
    <row r="6" spans="2:10" x14ac:dyDescent="0.2">
      <c r="B6" s="182" t="str">
        <f>Deposits!J7</f>
        <v>obj_007b3#0003</v>
      </c>
      <c r="C6" s="78" t="str">
        <f>_xll.qlRateHelperQuoteName(B6)</f>
        <v>EUR1MD_SYNTH6M_Quote</v>
      </c>
      <c r="D6" s="79">
        <f>_xll.qlRateHelperQuoteValue($B6,Trigger)</f>
        <v>-1.6699999999999999E-4</v>
      </c>
      <c r="E6" s="79"/>
      <c r="F6" s="83" t="b">
        <v>1</v>
      </c>
      <c r="G6" s="80">
        <v>10</v>
      </c>
      <c r="H6" s="80">
        <v>1</v>
      </c>
      <c r="I6" s="85">
        <f>_xll.qlRateHelperEarliestDate($B6,Trigger)</f>
        <v>42187</v>
      </c>
      <c r="J6" s="86">
        <f>_xll.qlRateHelperLatestDate($B6,Trigger)</f>
        <v>42219</v>
      </c>
    </row>
    <row r="7" spans="2:10" x14ac:dyDescent="0.2">
      <c r="B7" s="182" t="str">
        <f>Deposits!J8</f>
        <v>obj_007b4#0003</v>
      </c>
      <c r="C7" s="78" t="str">
        <f>_xll.qlRateHelperQuoteName(B7)</f>
        <v>EUR2MD_SYNTH6M_Quote</v>
      </c>
      <c r="D7" s="79">
        <f>_xll.qlRateHelperQuoteValue($B7,Trigger)</f>
        <v>1.7E-5</v>
      </c>
      <c r="E7" s="79"/>
      <c r="F7" s="83" t="b">
        <v>1</v>
      </c>
      <c r="G7" s="80">
        <v>10</v>
      </c>
      <c r="H7" s="80">
        <v>1</v>
      </c>
      <c r="I7" s="85">
        <f>_xll.qlRateHelperEarliestDate($B7,Trigger)</f>
        <v>42187</v>
      </c>
      <c r="J7" s="86">
        <f>_xll.qlRateHelperLatestDate($B7,Trigger)</f>
        <v>42249</v>
      </c>
    </row>
    <row r="8" spans="2:10" x14ac:dyDescent="0.2">
      <c r="B8" s="182" t="str">
        <f>Deposits!J9</f>
        <v>obj_007af#0003</v>
      </c>
      <c r="C8" s="78" t="str">
        <f>_xll.qlRateHelperQuoteName(B8)</f>
        <v>EUR3MD_SYNTH6M_Quote</v>
      </c>
      <c r="D8" s="79">
        <f>_xll.qlRateHelperQuoteValue($B8,Trigger)</f>
        <v>1.4999999999999999E-4</v>
      </c>
      <c r="E8" s="79"/>
      <c r="F8" s="83" t="b">
        <v>1</v>
      </c>
      <c r="G8" s="80">
        <v>10</v>
      </c>
      <c r="H8" s="80">
        <v>1</v>
      </c>
      <c r="I8" s="85">
        <f>_xll.qlRateHelperEarliestDate($B8,Trigger)</f>
        <v>42187</v>
      </c>
      <c r="J8" s="86">
        <f>_xll.qlRateHelperLatestDate($B8,Trigger)</f>
        <v>42279</v>
      </c>
    </row>
    <row r="9" spans="2:10" x14ac:dyDescent="0.2">
      <c r="B9" s="182" t="str">
        <f>Deposits!J10</f>
        <v>obj_007b2#0003</v>
      </c>
      <c r="C9" s="78" t="str">
        <f>_xll.qlRateHelperQuoteName(B9)</f>
        <v>EUR4MD_SYNTH6M_Quote</v>
      </c>
      <c r="D9" s="79">
        <f>_xll.qlRateHelperQuoteValue($B9,Trigger)</f>
        <v>2.61E-4</v>
      </c>
      <c r="E9" s="79"/>
      <c r="F9" s="83" t="b">
        <v>1</v>
      </c>
      <c r="G9" s="80">
        <v>10</v>
      </c>
      <c r="H9" s="80">
        <v>1</v>
      </c>
      <c r="I9" s="85">
        <f>_xll.qlRateHelperEarliestDate($B9,Trigger)</f>
        <v>42187</v>
      </c>
      <c r="J9" s="86">
        <f>_xll.qlRateHelperLatestDate($B9,Trigger)</f>
        <v>42310</v>
      </c>
    </row>
    <row r="10" spans="2:10" x14ac:dyDescent="0.2">
      <c r="B10" s="182" t="str">
        <f>Deposits!J11</f>
        <v>obj_007ad#0003</v>
      </c>
      <c r="C10" s="78" t="str">
        <f>_xll.qlRateHelperQuoteName(B10)</f>
        <v>EUR5MD_SYNTH6M_Quote</v>
      </c>
      <c r="D10" s="79">
        <f>_xll.qlRateHelperQuoteValue($B10,Trigger)</f>
        <v>3.5799999999999997E-4</v>
      </c>
      <c r="E10" s="79"/>
      <c r="F10" s="83" t="b">
        <v>1</v>
      </c>
      <c r="G10" s="80">
        <v>10</v>
      </c>
      <c r="H10" s="80">
        <v>1</v>
      </c>
      <c r="I10" s="85">
        <f>_xll.qlRateHelperEarliestDate($B10,Trigger)</f>
        <v>42187</v>
      </c>
      <c r="J10" s="86">
        <f>_xll.qlRateHelperLatestDate($B10,Trigger)</f>
        <v>42340</v>
      </c>
    </row>
    <row r="11" spans="2:10" x14ac:dyDescent="0.2">
      <c r="B11" s="183" t="str">
        <f>Deposits!J12</f>
        <v>obj_007b0#0003</v>
      </c>
      <c r="C11" s="81" t="str">
        <f>_xll.qlRateHelperQuoteName(B11)</f>
        <v>EUR6MD_SYNTH6M_Quote</v>
      </c>
      <c r="D11" s="82">
        <f>_xll.qlRateHelperQuoteValue($B11,Trigger)</f>
        <v>4.4000000000000002E-4</v>
      </c>
      <c r="E11" s="82"/>
      <c r="F11" s="83" t="b">
        <v>1</v>
      </c>
      <c r="G11" s="83">
        <v>10</v>
      </c>
      <c r="H11" s="83">
        <v>1</v>
      </c>
      <c r="I11" s="87">
        <f>_xll.qlRateHelperEarliestDate($B11,Trigger)</f>
        <v>42187</v>
      </c>
      <c r="J11" s="88">
        <f>_xll.qlRateHelperLatestDate($B11,Trigger)</f>
        <v>42373</v>
      </c>
    </row>
    <row r="12" spans="2:10" x14ac:dyDescent="0.2">
      <c r="B12" s="182" t="str">
        <f>FRAs!H3</f>
        <v>obj_00777#0003</v>
      </c>
      <c r="C12" s="78" t="str">
        <f>_xll.qlRateHelperQuoteName(B12)</f>
        <v>EUR1x7F_Quote</v>
      </c>
      <c r="D12" s="79">
        <f>_xll.qlRateHelperQuoteValue($B12,Trigger)</f>
        <v>6.7000000000000002E-4</v>
      </c>
      <c r="E12" s="79"/>
      <c r="F12" s="80" t="b">
        <v>1</v>
      </c>
      <c r="G12" s="80">
        <v>20</v>
      </c>
      <c r="H12" s="80">
        <v>1</v>
      </c>
      <c r="I12" s="85">
        <f>_xll.qlRateHelperEarliestDate($B12,Trigger)</f>
        <v>42219</v>
      </c>
      <c r="J12" s="86">
        <f>_xll.qlRateHelperLatestDate($B12,Trigger)</f>
        <v>42403</v>
      </c>
    </row>
    <row r="13" spans="2:10" x14ac:dyDescent="0.2">
      <c r="B13" s="182" t="str">
        <f>FRAs!H4</f>
        <v>obj_00779#0003</v>
      </c>
      <c r="C13" s="78" t="str">
        <f>_xll.qlRateHelperQuoteName(B13)</f>
        <v>EUR2x8F_Quote</v>
      </c>
      <c r="D13" s="79">
        <f>_xll.qlRateHelperQuoteValue($B13,Trigger)</f>
        <v>7.6000000000000015E-4</v>
      </c>
      <c r="E13" s="79"/>
      <c r="F13" s="80" t="b">
        <v>1</v>
      </c>
      <c r="G13" s="80">
        <v>20</v>
      </c>
      <c r="H13" s="80">
        <v>1</v>
      </c>
      <c r="I13" s="85">
        <f>_xll.qlRateHelperEarliestDate($B13,Trigger)</f>
        <v>42249</v>
      </c>
      <c r="J13" s="86">
        <f>_xll.qlRateHelperLatestDate($B13,Trigger)</f>
        <v>42431</v>
      </c>
    </row>
    <row r="14" spans="2:10" x14ac:dyDescent="0.2">
      <c r="B14" s="182" t="str">
        <f>FRAs!H5</f>
        <v>obj_00786#0003</v>
      </c>
      <c r="C14" s="78" t="str">
        <f>_xll.qlRateHelperQuoteName(B14)</f>
        <v>EUR3x9F_Quote</v>
      </c>
      <c r="D14" s="79">
        <f>_xll.qlRateHelperQuoteValue($B14,Trigger)</f>
        <v>8.4000000000000014E-4</v>
      </c>
      <c r="E14" s="79"/>
      <c r="F14" s="80" t="b">
        <v>1</v>
      </c>
      <c r="G14" s="80">
        <v>20</v>
      </c>
      <c r="H14" s="80">
        <v>1</v>
      </c>
      <c r="I14" s="85">
        <f>_xll.qlRateHelperEarliestDate($B14,Trigger)</f>
        <v>42279</v>
      </c>
      <c r="J14" s="86">
        <f>_xll.qlRateHelperLatestDate($B14,Trigger)</f>
        <v>42464</v>
      </c>
    </row>
    <row r="15" spans="2:10" x14ac:dyDescent="0.2">
      <c r="B15" s="182" t="str">
        <f>FRAs!H6</f>
        <v>obj_0077d#0003</v>
      </c>
      <c r="C15" s="78" t="str">
        <f>_xll.qlRateHelperQuoteName(B15)</f>
        <v>EUR4x10F_Quote</v>
      </c>
      <c r="D15" s="79">
        <f>_xll.qlRateHelperQuoteValue($B15,Trigger)</f>
        <v>8.8999999999999995E-4</v>
      </c>
      <c r="E15" s="79"/>
      <c r="F15" s="80" t="b">
        <v>1</v>
      </c>
      <c r="G15" s="80">
        <v>20</v>
      </c>
      <c r="H15" s="80">
        <v>1</v>
      </c>
      <c r="I15" s="85">
        <f>_xll.qlRateHelperEarliestDate($B15,Trigger)</f>
        <v>42310</v>
      </c>
      <c r="J15" s="86">
        <f>_xll.qlRateHelperLatestDate($B15,Trigger)</f>
        <v>42492</v>
      </c>
    </row>
    <row r="16" spans="2:10" x14ac:dyDescent="0.2">
      <c r="B16" s="182" t="str">
        <f>FRAs!H7</f>
        <v>obj_0077e#0003</v>
      </c>
      <c r="C16" s="78" t="str">
        <f>_xll.qlRateHelperQuoteName(B16)</f>
        <v>EUR5x11F_Quote</v>
      </c>
      <c r="D16" s="79">
        <f>_xll.qlRateHelperQuoteValue($B16,Trigger)</f>
        <v>9.2999999999999995E-4</v>
      </c>
      <c r="E16" s="79"/>
      <c r="F16" s="80" t="b">
        <v>1</v>
      </c>
      <c r="G16" s="80">
        <v>20</v>
      </c>
      <c r="H16" s="80">
        <v>1</v>
      </c>
      <c r="I16" s="85">
        <f>_xll.qlRateHelperEarliestDate($B16,Trigger)</f>
        <v>42340</v>
      </c>
      <c r="J16" s="86">
        <f>_xll.qlRateHelperLatestDate($B16,Trigger)</f>
        <v>42523</v>
      </c>
    </row>
    <row r="17" spans="2:12" x14ac:dyDescent="0.2">
      <c r="B17" s="182" t="str">
        <f>FRAs!H8</f>
        <v>obj_0077b#0003</v>
      </c>
      <c r="C17" s="78" t="str">
        <f>_xll.qlRateHelperQuoteName(B17)</f>
        <v>EUR6x12F_Quote</v>
      </c>
      <c r="D17" s="79">
        <f>_xll.qlRateHelperQuoteValue($B17,Trigger)</f>
        <v>9.7999999999999997E-4</v>
      </c>
      <c r="E17" s="79"/>
      <c r="F17" s="80" t="b">
        <v>1</v>
      </c>
      <c r="G17" s="80">
        <v>20</v>
      </c>
      <c r="H17" s="80">
        <v>1</v>
      </c>
      <c r="I17" s="85">
        <f>_xll.qlRateHelperEarliestDate($B17,Trigger)</f>
        <v>42373</v>
      </c>
      <c r="J17" s="86">
        <f>_xll.qlRateHelperLatestDate($B17,Trigger)</f>
        <v>42555</v>
      </c>
    </row>
    <row r="18" spans="2:12" x14ac:dyDescent="0.2">
      <c r="B18" s="182" t="str">
        <f>FRAs!H9</f>
        <v>obj_00781#0003</v>
      </c>
      <c r="C18" s="78" t="str">
        <f>_xll.qlRateHelperQuoteName(B18)</f>
        <v>EUR7x13F_Quote</v>
      </c>
      <c r="D18" s="79">
        <f>_xll.qlRateHelperQuoteValue($B18,Trigger)</f>
        <v>1.0200000000000001E-3</v>
      </c>
      <c r="E18" s="79"/>
      <c r="F18" s="80" t="b">
        <v>1</v>
      </c>
      <c r="G18" s="80">
        <v>20</v>
      </c>
      <c r="H18" s="80">
        <v>1</v>
      </c>
      <c r="I18" s="85">
        <f>_xll.qlRateHelperEarliestDate($B18,Trigger)</f>
        <v>42402</v>
      </c>
      <c r="J18" s="86">
        <f>_xll.qlRateHelperLatestDate($B18,Trigger)</f>
        <v>42584</v>
      </c>
    </row>
    <row r="19" spans="2:12" x14ac:dyDescent="0.2">
      <c r="B19" s="182" t="str">
        <f>FRAs!H10</f>
        <v>obj_00783#0003</v>
      </c>
      <c r="C19" s="78" t="str">
        <f>_xll.qlRateHelperQuoteName(B19)</f>
        <v>EUR8x14F_Quote</v>
      </c>
      <c r="D19" s="79">
        <f>_xll.qlRateHelperQuoteValue($B19,Trigger)</f>
        <v>1.0500000000000002E-3</v>
      </c>
      <c r="E19" s="79"/>
      <c r="F19" s="80" t="b">
        <v>1</v>
      </c>
      <c r="G19" s="80">
        <v>20</v>
      </c>
      <c r="H19" s="80">
        <v>1</v>
      </c>
      <c r="I19" s="85">
        <f>_xll.qlRateHelperEarliestDate($B19,Trigger)</f>
        <v>42431</v>
      </c>
      <c r="J19" s="86">
        <f>_xll.qlRateHelperLatestDate($B19,Trigger)</f>
        <v>42615</v>
      </c>
    </row>
    <row r="20" spans="2:12" x14ac:dyDescent="0.2">
      <c r="B20" s="182" t="str">
        <f>FRAs!H11</f>
        <v>obj_00785#0003</v>
      </c>
      <c r="C20" s="78" t="str">
        <f>_xll.qlRateHelperQuoteName(B20)</f>
        <v>EUR9x15F_Quote</v>
      </c>
      <c r="D20" s="79">
        <f>_xll.qlRateHelperQuoteValue($B20,Trigger)</f>
        <v>1.1000000000000001E-3</v>
      </c>
      <c r="E20" s="79"/>
      <c r="F20" s="80" t="b">
        <v>1</v>
      </c>
      <c r="G20" s="80">
        <v>20</v>
      </c>
      <c r="H20" s="80">
        <v>1</v>
      </c>
      <c r="I20" s="85">
        <f>_xll.qlRateHelperEarliestDate($B20,Trigger)</f>
        <v>42464</v>
      </c>
      <c r="J20" s="86">
        <f>_xll.qlRateHelperLatestDate($B20,Trigger)</f>
        <v>42647</v>
      </c>
    </row>
    <row r="21" spans="2:12" x14ac:dyDescent="0.2">
      <c r="B21" s="182" t="str">
        <f>FRAs!H12</f>
        <v>obj_0077a#0003</v>
      </c>
      <c r="C21" s="78" t="str">
        <f>_xll.qlRateHelperQuoteName(B21)</f>
        <v>EUR10x16F_Quote</v>
      </c>
      <c r="D21" s="79">
        <f>_xll.qlRateHelperQuoteValue($B21,Trigger)</f>
        <v>1.16E-3</v>
      </c>
      <c r="E21" s="79"/>
      <c r="F21" s="80" t="b">
        <v>1</v>
      </c>
      <c r="G21" s="80">
        <v>20</v>
      </c>
      <c r="H21" s="80">
        <v>1</v>
      </c>
      <c r="I21" s="85">
        <f>_xll.qlRateHelperEarliestDate($B21,Trigger)</f>
        <v>42492</v>
      </c>
      <c r="J21" s="86">
        <f>_xll.qlRateHelperLatestDate($B21,Trigger)</f>
        <v>42676</v>
      </c>
    </row>
    <row r="22" spans="2:12" x14ac:dyDescent="0.2">
      <c r="B22" s="182" t="str">
        <f>FRAs!H13</f>
        <v>obj_0077f#0003</v>
      </c>
      <c r="C22" s="78" t="str">
        <f>_xll.qlRateHelperQuoteName(B22)</f>
        <v>EUR11x17F_Quote</v>
      </c>
      <c r="D22" s="79">
        <f>_xll.qlRateHelperQuoteValue($B22,Trigger)</f>
        <v>1.2099999999999999E-3</v>
      </c>
      <c r="E22" s="79"/>
      <c r="F22" s="80" t="b">
        <v>1</v>
      </c>
      <c r="G22" s="80">
        <v>20</v>
      </c>
      <c r="H22" s="80">
        <v>1</v>
      </c>
      <c r="I22" s="85">
        <f>_xll.qlRateHelperEarliestDate($B22,Trigger)</f>
        <v>42523</v>
      </c>
      <c r="J22" s="86">
        <f>_xll.qlRateHelperLatestDate($B22,Trigger)</f>
        <v>42706</v>
      </c>
    </row>
    <row r="23" spans="2:12" x14ac:dyDescent="0.2">
      <c r="B23" s="182" t="str">
        <f>FRAs!H14</f>
        <v>obj_00782#0003</v>
      </c>
      <c r="C23" s="78" t="str">
        <f>_xll.qlRateHelperQuoteName(B23)</f>
        <v>EUR12x18F_Quote</v>
      </c>
      <c r="D23" s="79">
        <f>_xll.qlRateHelperQuoteValue($B23,Trigger)</f>
        <v>1.31E-3</v>
      </c>
      <c r="E23" s="79"/>
      <c r="F23" s="80" t="b">
        <v>1</v>
      </c>
      <c r="G23" s="80">
        <v>20</v>
      </c>
      <c r="H23" s="80">
        <v>1</v>
      </c>
      <c r="I23" s="85">
        <f>_xll.qlRateHelperEarliestDate($B23,Trigger)</f>
        <v>42555</v>
      </c>
      <c r="J23" s="86">
        <f>_xll.qlRateHelperLatestDate($B23,Trigger)</f>
        <v>42739</v>
      </c>
    </row>
    <row r="24" spans="2:12" x14ac:dyDescent="0.2">
      <c r="B24" s="182" t="str">
        <f>FRAs!H15</f>
        <v>obj_00775#0003</v>
      </c>
      <c r="C24" s="78" t="str">
        <f>_xll.qlRateHelperQuoteName(B24)</f>
        <v>EUR13x19F_Quote</v>
      </c>
      <c r="D24" s="79">
        <f>_xll.qlRateHelperQuoteValue($B24,Trigger)</f>
        <v>1.4199999999999998E-3</v>
      </c>
      <c r="E24" s="79"/>
      <c r="F24" s="80" t="b">
        <v>1</v>
      </c>
      <c r="G24" s="80">
        <v>20</v>
      </c>
      <c r="H24" s="80">
        <v>1</v>
      </c>
      <c r="I24" s="85">
        <f>_xll.qlRateHelperEarliestDate($B24,Trigger)</f>
        <v>42584</v>
      </c>
      <c r="J24" s="86">
        <f>_xll.qlRateHelperLatestDate($B24,Trigger)</f>
        <v>42768</v>
      </c>
    </row>
    <row r="25" spans="2:12" x14ac:dyDescent="0.2">
      <c r="B25" s="182" t="str">
        <f>FRAs!H16</f>
        <v>obj_00780#0003</v>
      </c>
      <c r="C25" s="78" t="str">
        <f>_xll.qlRateHelperQuoteName(B25)</f>
        <v>EUR14x20F_Quote</v>
      </c>
      <c r="D25" s="79">
        <f>_xll.qlRateHelperQuoteValue($B25,Trigger)</f>
        <v>1.5199999999999999E-3</v>
      </c>
      <c r="E25" s="79"/>
      <c r="F25" s="80" t="b">
        <v>1</v>
      </c>
      <c r="G25" s="80">
        <v>20</v>
      </c>
      <c r="H25" s="80">
        <v>1</v>
      </c>
      <c r="I25" s="85">
        <f>_xll.qlRateHelperEarliestDate($B25,Trigger)</f>
        <v>42615</v>
      </c>
      <c r="J25" s="86">
        <f>_xll.qlRateHelperLatestDate($B25,Trigger)</f>
        <v>42796</v>
      </c>
    </row>
    <row r="26" spans="2:12" x14ac:dyDescent="0.2">
      <c r="B26" s="182" t="str">
        <f>FRAs!H17</f>
        <v>obj_0077c#0003</v>
      </c>
      <c r="C26" s="78" t="str">
        <f>_xll.qlRateHelperQuoteName(B26)</f>
        <v>EUR15x21F_Quote</v>
      </c>
      <c r="D26" s="79">
        <f>_xll.qlRateHelperQuoteValue($B26,Trigger)</f>
        <v>1.6699999999999998E-3</v>
      </c>
      <c r="E26" s="79"/>
      <c r="F26" s="80" t="b">
        <v>1</v>
      </c>
      <c r="G26" s="80">
        <v>20</v>
      </c>
      <c r="H26" s="80">
        <v>1</v>
      </c>
      <c r="I26" s="85">
        <f>_xll.qlRateHelperEarliestDate($B26,Trigger)</f>
        <v>42646</v>
      </c>
      <c r="J26" s="86">
        <f>_xll.qlRateHelperLatestDate($B26,Trigger)</f>
        <v>42828</v>
      </c>
    </row>
    <row r="27" spans="2:12" x14ac:dyDescent="0.2">
      <c r="B27" s="182" t="str">
        <f>FRAs!H18</f>
        <v>obj_00784#0003</v>
      </c>
      <c r="C27" s="78" t="str">
        <f>_xll.qlRateHelperQuoteName(B27)</f>
        <v>EUR16x22F_Quote</v>
      </c>
      <c r="D27" s="79">
        <f>_xll.qlRateHelperQuoteValue($B27,Trigger)</f>
        <v>1.82E-3</v>
      </c>
      <c r="E27" s="79"/>
      <c r="F27" s="80" t="b">
        <v>1</v>
      </c>
      <c r="G27" s="80">
        <v>20</v>
      </c>
      <c r="H27" s="80">
        <v>1</v>
      </c>
      <c r="I27" s="85">
        <f>_xll.qlRateHelperEarliestDate($B27,Trigger)</f>
        <v>42676</v>
      </c>
      <c r="J27" s="86">
        <f>_xll.qlRateHelperLatestDate($B27,Trigger)</f>
        <v>42857</v>
      </c>
    </row>
    <row r="28" spans="2:12" x14ac:dyDescent="0.2">
      <c r="B28" s="182" t="str">
        <f>FRAs!H19</f>
        <v>obj_007ab#0003</v>
      </c>
      <c r="C28" s="78" t="str">
        <f>_xll.qlRateHelperQuoteName(B28)</f>
        <v>EUR17x23F_Quote</v>
      </c>
      <c r="D28" s="79">
        <f>_xll.qlRateHelperQuoteValue($B28,Trigger)</f>
        <v>1.99E-3</v>
      </c>
      <c r="E28" s="79"/>
      <c r="F28" s="80" t="b">
        <v>1</v>
      </c>
      <c r="G28" s="80">
        <v>20</v>
      </c>
      <c r="H28" s="80">
        <v>1</v>
      </c>
      <c r="I28" s="85">
        <f>_xll.qlRateHelperEarliestDate($B28,Trigger)</f>
        <v>42706</v>
      </c>
      <c r="J28" s="86">
        <f>_xll.qlRateHelperLatestDate($B28,Trigger)</f>
        <v>42888</v>
      </c>
    </row>
    <row r="29" spans="2:12" x14ac:dyDescent="0.2">
      <c r="B29" s="183" t="str">
        <f>FRAs!H20</f>
        <v>obj_00776#0003</v>
      </c>
      <c r="C29" s="81" t="str">
        <f>_xll.qlRateHelperQuoteName(B29)</f>
        <v>EUR18x24F_Quote</v>
      </c>
      <c r="D29" s="82">
        <f>_xll.qlRateHelperQuoteValue($B29,Trigger)</f>
        <v>2.1600000000000005E-3</v>
      </c>
      <c r="E29" s="82"/>
      <c r="F29" s="83" t="b">
        <v>1</v>
      </c>
      <c r="G29" s="83">
        <v>20</v>
      </c>
      <c r="H29" s="83">
        <v>1</v>
      </c>
      <c r="I29" s="87">
        <f>_xll.qlRateHelperEarliestDate($B29,Trigger)</f>
        <v>42737</v>
      </c>
      <c r="J29" s="88">
        <f>_xll.qlRateHelperLatestDate($B29,Trigger)</f>
        <v>42919</v>
      </c>
    </row>
    <row r="30" spans="2:12" x14ac:dyDescent="0.2">
      <c r="B30" s="182" t="str">
        <f>Swaps!L5</f>
        <v>obj_007a0#0003</v>
      </c>
      <c r="C30" s="78" t="str">
        <f>_xll.qlRateHelperQuoteName(B30)</f>
        <v>EURAB6E1Y_Quote</v>
      </c>
      <c r="D30" s="79">
        <f>_xll.qlRateHelperQuoteValue($B30,Trigger)</f>
        <v>7.400000000000001E-4</v>
      </c>
      <c r="E30" s="79">
        <f>_xll.qlSwapRateHelperSpread($B30,Trigger)</f>
        <v>0</v>
      </c>
      <c r="F30" s="80" t="b">
        <v>0</v>
      </c>
      <c r="G30" s="80">
        <v>50</v>
      </c>
      <c r="H30" s="80">
        <v>1</v>
      </c>
      <c r="I30" s="85">
        <f>_xll.qlRateHelperEarliestDate($B30,Trigger)</f>
        <v>42187</v>
      </c>
      <c r="J30" s="86">
        <f>_xll.qlRateHelperLatestDate($B30,Trigger)</f>
        <v>42555</v>
      </c>
      <c r="L30" s="84"/>
    </row>
    <row r="31" spans="2:12" x14ac:dyDescent="0.2">
      <c r="B31" s="182" t="str">
        <f>Swaps!L6</f>
        <v>obj_00792#0003</v>
      </c>
      <c r="C31" s="78" t="str">
        <f>_xll.qlRateHelperQuoteName(B31)</f>
        <v>EURAB6E15M_Quote</v>
      </c>
      <c r="D31" s="79">
        <f>_xll.qlRateHelperQuoteValue($B31,Trigger)</f>
        <v>7.6000000000000015E-4</v>
      </c>
      <c r="E31" s="79">
        <f>_xll.qlSwapRateHelperSpread($B31,Trigger)</f>
        <v>0</v>
      </c>
      <c r="F31" s="80" t="b">
        <v>0</v>
      </c>
      <c r="G31" s="80">
        <v>50</v>
      </c>
      <c r="H31" s="80">
        <v>1</v>
      </c>
      <c r="I31" s="85">
        <f>_xll.qlRateHelperEarliestDate($B31,Trigger)</f>
        <v>42187</v>
      </c>
      <c r="J31" s="86">
        <f>_xll.qlRateHelperLatestDate($B31,Trigger)</f>
        <v>42646</v>
      </c>
      <c r="L31" s="84"/>
    </row>
    <row r="32" spans="2:12" x14ac:dyDescent="0.2">
      <c r="B32" s="182" t="str">
        <f>Swaps!L7</f>
        <v>obj_00778#0003</v>
      </c>
      <c r="C32" s="78" t="str">
        <f>_xll.qlRateHelperQuoteName(B32)</f>
        <v>EURAB6E18M_Quote</v>
      </c>
      <c r="D32" s="79">
        <f>_xll.qlRateHelperQuoteValue($B32,Trigger)</f>
        <v>9.3999999999999997E-4</v>
      </c>
      <c r="E32" s="79">
        <f>_xll.qlSwapRateHelperSpread($B32,Trigger)</f>
        <v>0</v>
      </c>
      <c r="F32" s="80" t="b">
        <v>0</v>
      </c>
      <c r="G32" s="80">
        <v>50</v>
      </c>
      <c r="H32" s="80">
        <v>1</v>
      </c>
      <c r="I32" s="85">
        <f>_xll.qlRateHelperEarliestDate($B32,Trigger)</f>
        <v>42187</v>
      </c>
      <c r="J32" s="86">
        <f>_xll.qlRateHelperLatestDate($B32,Trigger)</f>
        <v>42737</v>
      </c>
      <c r="L32" s="84"/>
    </row>
    <row r="33" spans="2:12" x14ac:dyDescent="0.2">
      <c r="B33" s="182" t="str">
        <f>Swaps!L8</f>
        <v>obj_007a8#0003</v>
      </c>
      <c r="C33" s="78" t="str">
        <f>_xll.qlRateHelperQuoteName(B33)</f>
        <v>EURAB6E21M_Quote</v>
      </c>
      <c r="D33" s="79">
        <f>_xll.qlRateHelperQuoteValue($B33,Trigger)</f>
        <v>1.0200000000000001E-3</v>
      </c>
      <c r="E33" s="79">
        <f>_xll.qlSwapRateHelperSpread($B33,Trigger)</f>
        <v>0</v>
      </c>
      <c r="F33" s="80" t="b">
        <v>0</v>
      </c>
      <c r="G33" s="80">
        <v>50</v>
      </c>
      <c r="H33" s="80">
        <v>1</v>
      </c>
      <c r="I33" s="85">
        <f>_xll.qlRateHelperEarliestDate($B33,Trigger)</f>
        <v>42187</v>
      </c>
      <c r="J33" s="86">
        <f>_xll.qlRateHelperLatestDate($B33,Trigger)</f>
        <v>42828</v>
      </c>
      <c r="L33" s="84"/>
    </row>
    <row r="34" spans="2:12" x14ac:dyDescent="0.2">
      <c r="B34" s="182" t="str">
        <f>Swaps!L9</f>
        <v>obj_0079c#0003</v>
      </c>
      <c r="C34" s="78" t="str">
        <f>_xll.qlRateHelperQuoteName(B34)</f>
        <v>EURAB6E2Y_Quote</v>
      </c>
      <c r="D34" s="79">
        <f>_xll.qlRateHelperQuoteValue($B34,Trigger)</f>
        <v>1.2600000000000001E-3</v>
      </c>
      <c r="E34" s="79">
        <f>_xll.qlSwapRateHelperSpread($B34,Trigger)</f>
        <v>0</v>
      </c>
      <c r="F34" s="80" t="b">
        <v>1</v>
      </c>
      <c r="G34" s="80">
        <v>50</v>
      </c>
      <c r="H34" s="80">
        <v>1</v>
      </c>
      <c r="I34" s="85">
        <f>_xll.qlRateHelperEarliestDate($B34,Trigger)</f>
        <v>42187</v>
      </c>
      <c r="J34" s="86">
        <f>_xll.qlRateHelperLatestDate($B34,Trigger)</f>
        <v>42919</v>
      </c>
      <c r="L34" s="84"/>
    </row>
    <row r="35" spans="2:12" x14ac:dyDescent="0.2">
      <c r="B35" s="182" t="str">
        <f>Swaps!L10</f>
        <v>obj_0078a#0003</v>
      </c>
      <c r="C35" s="78" t="str">
        <f>_xll.qlRateHelperQuoteName(B35)</f>
        <v>EURAB6E3Y_Quote</v>
      </c>
      <c r="D35" s="79">
        <f>_xll.qlRateHelperQuoteValue($B35,Trigger)</f>
        <v>2.1900000000000001E-3</v>
      </c>
      <c r="E35" s="79">
        <f>_xll.qlSwapRateHelperSpread($B35,Trigger)</f>
        <v>0</v>
      </c>
      <c r="F35" s="80" t="b">
        <v>1</v>
      </c>
      <c r="G35" s="80">
        <v>50</v>
      </c>
      <c r="H35" s="80">
        <v>1</v>
      </c>
      <c r="I35" s="85">
        <f>_xll.qlRateHelperEarliestDate($B35,Trigger)</f>
        <v>42187</v>
      </c>
      <c r="J35" s="86">
        <f>_xll.qlRateHelperLatestDate($B35,Trigger)</f>
        <v>43283</v>
      </c>
      <c r="L35" s="84"/>
    </row>
    <row r="36" spans="2:12" x14ac:dyDescent="0.2">
      <c r="B36" s="182" t="str">
        <f>Swaps!L11</f>
        <v>obj_00787#0003</v>
      </c>
      <c r="C36" s="78" t="str">
        <f>_xll.qlRateHelperQuoteName(B36)</f>
        <v>EURAB6E4Y_Quote</v>
      </c>
      <c r="D36" s="79">
        <f>_xll.qlRateHelperQuoteValue($B36,Trigger)</f>
        <v>3.5299999999999997E-3</v>
      </c>
      <c r="E36" s="79">
        <f>_xll.qlSwapRateHelperSpread($B36,Trigger)</f>
        <v>0</v>
      </c>
      <c r="F36" s="80" t="b">
        <v>1</v>
      </c>
      <c r="G36" s="80">
        <v>50</v>
      </c>
      <c r="H36" s="80">
        <v>1</v>
      </c>
      <c r="I36" s="85">
        <f>_xll.qlRateHelperEarliestDate($B36,Trigger)</f>
        <v>42187</v>
      </c>
      <c r="J36" s="86">
        <f>_xll.qlRateHelperLatestDate($B36,Trigger)</f>
        <v>43648</v>
      </c>
      <c r="L36" s="84"/>
    </row>
    <row r="37" spans="2:12" x14ac:dyDescent="0.2">
      <c r="B37" s="182" t="str">
        <f>Swaps!L12</f>
        <v>obj_00798#0003</v>
      </c>
      <c r="C37" s="78" t="str">
        <f>_xll.qlRateHelperQuoteName(B37)</f>
        <v>EURAB6E5Y_Quote</v>
      </c>
      <c r="D37" s="79">
        <f>_xll.qlRateHelperQuoteValue($B37,Trigger)</f>
        <v>5.0600000000000003E-3</v>
      </c>
      <c r="E37" s="79">
        <f>_xll.qlSwapRateHelperSpread($B37,Trigger)</f>
        <v>0</v>
      </c>
      <c r="F37" s="80" t="b">
        <v>1</v>
      </c>
      <c r="G37" s="80">
        <v>50</v>
      </c>
      <c r="H37" s="80">
        <v>1</v>
      </c>
      <c r="I37" s="85">
        <f>_xll.qlRateHelperEarliestDate($B37,Trigger)</f>
        <v>42187</v>
      </c>
      <c r="J37" s="86">
        <f>_xll.qlRateHelperLatestDate($B37,Trigger)</f>
        <v>44014</v>
      </c>
      <c r="L37" s="84"/>
    </row>
    <row r="38" spans="2:12" x14ac:dyDescent="0.2">
      <c r="B38" s="182" t="str">
        <f>Swaps!L13</f>
        <v>obj_007a9#0003</v>
      </c>
      <c r="C38" s="78" t="str">
        <f>_xll.qlRateHelperQuoteName(B38)</f>
        <v>EURAB6E6Y_Quote</v>
      </c>
      <c r="D38" s="79">
        <f>_xll.qlRateHelperQuoteValue($B38,Trigger)</f>
        <v>6.5700000000000003E-3</v>
      </c>
      <c r="E38" s="79">
        <f>_xll.qlSwapRateHelperSpread($B38,Trigger)</f>
        <v>0</v>
      </c>
      <c r="F38" s="80" t="b">
        <v>1</v>
      </c>
      <c r="G38" s="80">
        <v>50</v>
      </c>
      <c r="H38" s="80">
        <v>1</v>
      </c>
      <c r="I38" s="85">
        <f>_xll.qlRateHelperEarliestDate($B38,Trigger)</f>
        <v>42187</v>
      </c>
      <c r="J38" s="86">
        <f>_xll.qlRateHelperLatestDate($B38,Trigger)</f>
        <v>44379</v>
      </c>
      <c r="L38" s="84"/>
    </row>
    <row r="39" spans="2:12" x14ac:dyDescent="0.2">
      <c r="B39" s="182" t="str">
        <f>Swaps!L14</f>
        <v>obj_007a3#0003</v>
      </c>
      <c r="C39" s="78" t="str">
        <f>_xll.qlRateHelperQuoteName(B39)</f>
        <v>EURAB6E7Y_Quote</v>
      </c>
      <c r="D39" s="79">
        <f>_xll.qlRateHelperQuoteValue($B39,Trigger)</f>
        <v>8.0300000000000007E-3</v>
      </c>
      <c r="E39" s="79">
        <f>_xll.qlSwapRateHelperSpread($B39,Trigger)</f>
        <v>0</v>
      </c>
      <c r="F39" s="80" t="b">
        <v>1</v>
      </c>
      <c r="G39" s="80">
        <v>50</v>
      </c>
      <c r="H39" s="80">
        <v>1</v>
      </c>
      <c r="I39" s="85">
        <f>_xll.qlRateHelperEarliestDate($B39,Trigger)</f>
        <v>42187</v>
      </c>
      <c r="J39" s="86">
        <f>_xll.qlRateHelperLatestDate($B39,Trigger)</f>
        <v>44746</v>
      </c>
      <c r="L39" s="84"/>
    </row>
    <row r="40" spans="2:12" x14ac:dyDescent="0.2">
      <c r="B40" s="182" t="str">
        <f>Swaps!L15</f>
        <v>obj_0079e#0003</v>
      </c>
      <c r="C40" s="78" t="str">
        <f>_xll.qlRateHelperQuoteName(B40)</f>
        <v>EURAB6E8Y_Quote</v>
      </c>
      <c r="D40" s="79">
        <f>_xll.qlRateHelperQuoteValue($B40,Trigger)</f>
        <v>9.3699999999999999E-3</v>
      </c>
      <c r="E40" s="79">
        <f>_xll.qlSwapRateHelperSpread($B40,Trigger)</f>
        <v>0</v>
      </c>
      <c r="F40" s="80" t="b">
        <v>1</v>
      </c>
      <c r="G40" s="80">
        <v>50</v>
      </c>
      <c r="H40" s="80">
        <v>1</v>
      </c>
      <c r="I40" s="85">
        <f>_xll.qlRateHelperEarliestDate($B40,Trigger)</f>
        <v>42187</v>
      </c>
      <c r="J40" s="86">
        <f>_xll.qlRateHelperLatestDate($B40,Trigger)</f>
        <v>45110</v>
      </c>
      <c r="L40" s="84"/>
    </row>
    <row r="41" spans="2:12" x14ac:dyDescent="0.2">
      <c r="B41" s="182" t="str">
        <f>Swaps!L16</f>
        <v>obj_0079d#0003</v>
      </c>
      <c r="C41" s="78" t="str">
        <f>_xll.qlRateHelperQuoteName(B41)</f>
        <v>EURAB6E9Y_Quote</v>
      </c>
      <c r="D41" s="79">
        <f>_xll.qlRateHelperQuoteValue($B41,Trigger)</f>
        <v>1.0580000000000001E-2</v>
      </c>
      <c r="E41" s="79">
        <f>_xll.qlSwapRateHelperSpread($B41,Trigger)</f>
        <v>0</v>
      </c>
      <c r="F41" s="80" t="b">
        <v>1</v>
      </c>
      <c r="G41" s="80">
        <v>50</v>
      </c>
      <c r="H41" s="80">
        <v>1</v>
      </c>
      <c r="I41" s="85">
        <f>_xll.qlRateHelperEarliestDate($B41,Trigger)</f>
        <v>42187</v>
      </c>
      <c r="J41" s="86">
        <f>_xll.qlRateHelperLatestDate($B41,Trigger)</f>
        <v>45475</v>
      </c>
      <c r="L41" s="84"/>
    </row>
    <row r="42" spans="2:12" x14ac:dyDescent="0.2">
      <c r="B42" s="182" t="str">
        <f>Swaps!L17</f>
        <v>obj_0078d#0003</v>
      </c>
      <c r="C42" s="78" t="str">
        <f>_xll.qlRateHelperQuoteName(B42)</f>
        <v>EURAB6E10Y_Quote</v>
      </c>
      <c r="D42" s="79">
        <f>_xll.qlRateHelperQuoteValue($B42,Trigger)</f>
        <v>1.1639999999999999E-2</v>
      </c>
      <c r="E42" s="79">
        <f>_xll.qlSwapRateHelperSpread($B42,Trigger)</f>
        <v>0</v>
      </c>
      <c r="F42" s="80" t="b">
        <v>1</v>
      </c>
      <c r="G42" s="80">
        <v>50</v>
      </c>
      <c r="H42" s="80">
        <v>1</v>
      </c>
      <c r="I42" s="85">
        <f>_xll.qlRateHelperEarliestDate($B42,Trigger)</f>
        <v>42187</v>
      </c>
      <c r="J42" s="86">
        <f>_xll.qlRateHelperLatestDate($B42,Trigger)</f>
        <v>45840</v>
      </c>
      <c r="L42" s="84"/>
    </row>
    <row r="43" spans="2:12" x14ac:dyDescent="0.2">
      <c r="B43" s="182" t="str">
        <f>Swaps!L18</f>
        <v>obj_0078f#0003</v>
      </c>
      <c r="C43" s="78" t="str">
        <f>_xll.qlRateHelperQuoteName(B43)</f>
        <v>EURAB6E11Y_Quote</v>
      </c>
      <c r="D43" s="79">
        <f>_xll.qlRateHelperQuoteValue($B43,Trigger)</f>
        <v>1.2570000000000001E-2</v>
      </c>
      <c r="E43" s="79">
        <f>_xll.qlSwapRateHelperSpread($B43,Trigger)</f>
        <v>0</v>
      </c>
      <c r="F43" s="80" t="b">
        <v>0</v>
      </c>
      <c r="G43" s="80">
        <v>50</v>
      </c>
      <c r="H43" s="80">
        <v>1</v>
      </c>
      <c r="I43" s="85">
        <f>_xll.qlRateHelperEarliestDate($B43,Trigger)</f>
        <v>42187</v>
      </c>
      <c r="J43" s="86">
        <f>_xll.qlRateHelperLatestDate($B43,Trigger)</f>
        <v>46205</v>
      </c>
      <c r="L43" s="84"/>
    </row>
    <row r="44" spans="2:12" x14ac:dyDescent="0.2">
      <c r="B44" s="182" t="str">
        <f>Swaps!L19</f>
        <v>obj_007a7#0003</v>
      </c>
      <c r="C44" s="78" t="str">
        <f>_xll.qlRateHelperQuoteName(B44)</f>
        <v>EURAB6E12Y_Quote</v>
      </c>
      <c r="D44" s="79">
        <f>_xll.qlRateHelperQuoteValue($B44,Trigger)</f>
        <v>1.3389999999999999E-2</v>
      </c>
      <c r="E44" s="79">
        <f>_xll.qlSwapRateHelperSpread($B44,Trigger)</f>
        <v>0</v>
      </c>
      <c r="F44" s="80" t="b">
        <v>1</v>
      </c>
      <c r="G44" s="80">
        <v>50</v>
      </c>
      <c r="H44" s="80">
        <v>1</v>
      </c>
      <c r="I44" s="85">
        <f>_xll.qlRateHelperEarliestDate($B44,Trigger)</f>
        <v>42187</v>
      </c>
      <c r="J44" s="86">
        <f>_xll.qlRateHelperLatestDate($B44,Trigger)</f>
        <v>46570</v>
      </c>
      <c r="L44" s="84"/>
    </row>
    <row r="45" spans="2:12" x14ac:dyDescent="0.2">
      <c r="B45" s="182" t="str">
        <f>Swaps!L20</f>
        <v>obj_007a6#0003</v>
      </c>
      <c r="C45" s="78" t="str">
        <f>_xll.qlRateHelperQuoteName(B45)</f>
        <v>EURAB6E13Y_Quote</v>
      </c>
      <c r="D45" s="79">
        <f>_xll.qlRateHelperQuoteValue($B45,Trigger)</f>
        <v>1.4070000000000001E-2</v>
      </c>
      <c r="E45" s="79">
        <f>_xll.qlSwapRateHelperSpread($B45,Trigger)</f>
        <v>0</v>
      </c>
      <c r="F45" s="80" t="b">
        <v>0</v>
      </c>
      <c r="G45" s="80">
        <v>50</v>
      </c>
      <c r="H45" s="80">
        <v>1</v>
      </c>
      <c r="I45" s="85">
        <f>_xll.qlRateHelperEarliestDate($B45,Trigger)</f>
        <v>42187</v>
      </c>
      <c r="J45" s="86">
        <f>_xll.qlRateHelperLatestDate($B45,Trigger)</f>
        <v>46937</v>
      </c>
      <c r="L45" s="84"/>
    </row>
    <row r="46" spans="2:12" x14ac:dyDescent="0.2">
      <c r="B46" s="182" t="str">
        <f>Swaps!L21</f>
        <v>obj_00793#0003</v>
      </c>
      <c r="C46" s="78" t="str">
        <f>_xll.qlRateHelperQuoteName(B46)</f>
        <v>EURAB6E14Y_Quote</v>
      </c>
      <c r="D46" s="79">
        <f>_xll.qlRateHelperQuoteValue($B46,Trigger)</f>
        <v>1.4649999999999998E-2</v>
      </c>
      <c r="E46" s="79">
        <f>_xll.qlSwapRateHelperSpread($B46,Trigger)</f>
        <v>0</v>
      </c>
      <c r="F46" s="80" t="b">
        <v>0</v>
      </c>
      <c r="G46" s="80">
        <v>50</v>
      </c>
      <c r="H46" s="80">
        <v>1</v>
      </c>
      <c r="I46" s="85">
        <f>_xll.qlRateHelperEarliestDate($B46,Trigger)</f>
        <v>42187</v>
      </c>
      <c r="J46" s="86">
        <f>_xll.qlRateHelperLatestDate($B46,Trigger)</f>
        <v>47301</v>
      </c>
      <c r="L46" s="84"/>
    </row>
    <row r="47" spans="2:12" x14ac:dyDescent="0.2">
      <c r="B47" s="182" t="str">
        <f>Swaps!L22</f>
        <v>obj_007a2#0003</v>
      </c>
      <c r="C47" s="196" t="str">
        <f>_xll.qlRateHelperQuoteName(B47)</f>
        <v>EURAB6E15Y_Quote</v>
      </c>
      <c r="D47" s="197">
        <f>_xll.qlRateHelperQuoteValue($B47,Trigger)</f>
        <v>1.512E-2</v>
      </c>
      <c r="E47" s="197">
        <f>_xll.qlSwapRateHelperSpread($B47,Trigger)</f>
        <v>0</v>
      </c>
      <c r="F47" s="198" t="b">
        <v>1</v>
      </c>
      <c r="G47" s="198">
        <v>50</v>
      </c>
      <c r="H47" s="198">
        <v>1</v>
      </c>
      <c r="I47" s="199">
        <f>_xll.qlRateHelperEarliestDate($B47,Trigger)</f>
        <v>42187</v>
      </c>
      <c r="J47" s="200">
        <f>_xll.qlRateHelperLatestDate($B47,Trigger)</f>
        <v>47666</v>
      </c>
      <c r="L47" s="84"/>
    </row>
    <row r="48" spans="2:12" x14ac:dyDescent="0.2">
      <c r="B48" s="182" t="str">
        <f>Swaps!L23</f>
        <v>obj_0079a#0003</v>
      </c>
      <c r="C48" s="78" t="str">
        <f>_xll.qlRateHelperQuoteName(B48)</f>
        <v>EURAB6E16Y_Quote</v>
      </c>
      <c r="D48" s="79">
        <f>_xll.qlRateHelperQuoteValue($B48,Trigger)</f>
        <v>1.5529999999999999E-2</v>
      </c>
      <c r="E48" s="79">
        <f>_xll.qlSwapRateHelperSpread($B48,Trigger)</f>
        <v>0</v>
      </c>
      <c r="F48" s="80" t="b">
        <v>0</v>
      </c>
      <c r="G48" s="80">
        <v>50</v>
      </c>
      <c r="H48" s="80">
        <v>1</v>
      </c>
      <c r="I48" s="85">
        <f>_xll.qlRateHelperEarliestDate($B48,Trigger)</f>
        <v>42187</v>
      </c>
      <c r="J48" s="86">
        <f>_xll.qlRateHelperLatestDate($B48,Trigger)</f>
        <v>48031</v>
      </c>
      <c r="L48" s="84"/>
    </row>
    <row r="49" spans="2:12" x14ac:dyDescent="0.2">
      <c r="B49" s="182" t="str">
        <f>Swaps!L24</f>
        <v>obj_00795#0003</v>
      </c>
      <c r="C49" s="78" t="str">
        <f>_xll.qlRateHelperQuoteName(B49)</f>
        <v>EURAB6E17Y_Quote</v>
      </c>
      <c r="D49" s="79">
        <f>_xll.qlRateHelperQuoteValue($B49,Trigger)</f>
        <v>1.5869999999999999E-2</v>
      </c>
      <c r="E49" s="79">
        <f>_xll.qlSwapRateHelperSpread($B49,Trigger)</f>
        <v>0</v>
      </c>
      <c r="F49" s="80" t="b">
        <v>0</v>
      </c>
      <c r="G49" s="80">
        <v>50</v>
      </c>
      <c r="H49" s="80">
        <v>1</v>
      </c>
      <c r="I49" s="85">
        <f>_xll.qlRateHelperEarliestDate($B49,Trigger)</f>
        <v>42187</v>
      </c>
      <c r="J49" s="86">
        <f>_xll.qlRateHelperLatestDate($B49,Trigger)</f>
        <v>48397</v>
      </c>
      <c r="L49" s="84"/>
    </row>
    <row r="50" spans="2:12" x14ac:dyDescent="0.2">
      <c r="B50" s="182" t="str">
        <f>Swaps!L25</f>
        <v>obj_00799#0003</v>
      </c>
      <c r="C50" s="78" t="str">
        <f>_xll.qlRateHelperQuoteName(B50)</f>
        <v>EURAB6E18Y_Quote</v>
      </c>
      <c r="D50" s="79">
        <f>_xll.qlRateHelperQuoteValue($B50,Trigger)</f>
        <v>1.6150000000000001E-2</v>
      </c>
      <c r="E50" s="79">
        <f>_xll.qlSwapRateHelperSpread($B50,Trigger)</f>
        <v>0</v>
      </c>
      <c r="F50" s="80" t="b">
        <v>0</v>
      </c>
      <c r="G50" s="80">
        <v>50</v>
      </c>
      <c r="H50" s="80">
        <v>1</v>
      </c>
      <c r="I50" s="85">
        <f>_xll.qlRateHelperEarliestDate($B50,Trigger)</f>
        <v>42187</v>
      </c>
      <c r="J50" s="86">
        <f>_xll.qlRateHelperLatestDate($B50,Trigger)</f>
        <v>48764</v>
      </c>
      <c r="L50" s="84"/>
    </row>
    <row r="51" spans="2:12" x14ac:dyDescent="0.2">
      <c r="B51" s="182" t="str">
        <f>Swaps!L26</f>
        <v>obj_0079f#0003</v>
      </c>
      <c r="C51" s="78" t="str">
        <f>_xll.qlRateHelperQuoteName(B51)</f>
        <v>EURAB6E19Y_Quote</v>
      </c>
      <c r="D51" s="79">
        <f>_xll.qlRateHelperQuoteValue($B51,Trigger)</f>
        <v>1.6369999999999999E-2</v>
      </c>
      <c r="E51" s="79">
        <f>_xll.qlSwapRateHelperSpread($B51,Trigger)</f>
        <v>0</v>
      </c>
      <c r="F51" s="80" t="b">
        <v>0</v>
      </c>
      <c r="G51" s="80">
        <v>50</v>
      </c>
      <c r="H51" s="80">
        <v>1</v>
      </c>
      <c r="I51" s="85">
        <f>_xll.qlRateHelperEarliestDate($B51,Trigger)</f>
        <v>42187</v>
      </c>
      <c r="J51" s="86">
        <f>_xll.qlRateHelperLatestDate($B51,Trigger)</f>
        <v>49128</v>
      </c>
      <c r="L51" s="84"/>
    </row>
    <row r="52" spans="2:12" x14ac:dyDescent="0.2">
      <c r="B52" s="182" t="str">
        <f>Swaps!L27</f>
        <v>obj_0078c#0003</v>
      </c>
      <c r="C52" s="78" t="str">
        <f>_xll.qlRateHelperQuoteName(B52)</f>
        <v>EURAB6E20Y_Quote</v>
      </c>
      <c r="D52" s="79">
        <f>_xll.qlRateHelperQuoteValue($B52,Trigger)</f>
        <v>1.6539999999999999E-2</v>
      </c>
      <c r="E52" s="79">
        <f>_xll.qlSwapRateHelperSpread($B52,Trigger)</f>
        <v>0</v>
      </c>
      <c r="F52" s="80" t="b">
        <v>1</v>
      </c>
      <c r="G52" s="80">
        <v>50</v>
      </c>
      <c r="H52" s="80">
        <v>1</v>
      </c>
      <c r="I52" s="85">
        <f>_xll.qlRateHelperEarliestDate($B52,Trigger)</f>
        <v>42187</v>
      </c>
      <c r="J52" s="86">
        <f>_xll.qlRateHelperLatestDate($B52,Trigger)</f>
        <v>49492</v>
      </c>
      <c r="L52" s="84"/>
    </row>
    <row r="53" spans="2:12" x14ac:dyDescent="0.2">
      <c r="B53" s="182" t="str">
        <f>Swaps!L28</f>
        <v>obj_0079b#0003</v>
      </c>
      <c r="C53" s="78" t="str">
        <f>_xll.qlRateHelperQuoteName(B53)</f>
        <v>EURAB6E21Y_Quote</v>
      </c>
      <c r="D53" s="79">
        <f>_xll.qlRateHelperQuoteValue($B53,Trigger)</f>
        <v>1.6670000000000001E-2</v>
      </c>
      <c r="E53" s="79">
        <f>_xll.qlSwapRateHelperSpread($B53,Trigger)</f>
        <v>0</v>
      </c>
      <c r="F53" s="80" t="b">
        <v>0</v>
      </c>
      <c r="G53" s="80">
        <v>50</v>
      </c>
      <c r="H53" s="80">
        <v>1</v>
      </c>
      <c r="I53" s="85">
        <f>_xll.qlRateHelperEarliestDate($B53,Trigger)</f>
        <v>42187</v>
      </c>
      <c r="J53" s="86">
        <f>_xll.qlRateHelperLatestDate($B53,Trigger)</f>
        <v>49858</v>
      </c>
      <c r="L53" s="84"/>
    </row>
    <row r="54" spans="2:12" x14ac:dyDescent="0.2">
      <c r="B54" s="182" t="str">
        <f>Swaps!L29</f>
        <v>obj_0078e#0003</v>
      </c>
      <c r="C54" s="78" t="str">
        <f>_xll.qlRateHelperQuoteName(B54)</f>
        <v>EURAB6E22Y_Quote</v>
      </c>
      <c r="D54" s="79">
        <f>_xll.qlRateHelperQuoteValue($B54,Trigger)</f>
        <v>1.6750000000000001E-2</v>
      </c>
      <c r="E54" s="79">
        <f>_xll.qlSwapRateHelperSpread($B54,Trigger)</f>
        <v>0</v>
      </c>
      <c r="F54" s="80" t="b">
        <v>0</v>
      </c>
      <c r="G54" s="80">
        <v>50</v>
      </c>
      <c r="H54" s="80">
        <v>1</v>
      </c>
      <c r="I54" s="85">
        <f>_xll.qlRateHelperEarliestDate($B54,Trigger)</f>
        <v>42187</v>
      </c>
      <c r="J54" s="86">
        <f>_xll.qlRateHelperLatestDate($B54,Trigger)</f>
        <v>50223</v>
      </c>
      <c r="L54" s="84"/>
    </row>
    <row r="55" spans="2:12" x14ac:dyDescent="0.2">
      <c r="B55" s="182" t="str">
        <f>Swaps!L30</f>
        <v>obj_00791#0003</v>
      </c>
      <c r="C55" s="78" t="str">
        <f>_xll.qlRateHelperQuoteName(B55)</f>
        <v>EURAB6E23Y_Quote</v>
      </c>
      <c r="D55" s="79">
        <f>_xll.qlRateHelperQuoteValue($B55,Trigger)</f>
        <v>1.6810000000000002E-2</v>
      </c>
      <c r="E55" s="79">
        <f>_xll.qlSwapRateHelperSpread($B55,Trigger)</f>
        <v>0</v>
      </c>
      <c r="F55" s="80" t="b">
        <v>0</v>
      </c>
      <c r="G55" s="80">
        <v>50</v>
      </c>
      <c r="H55" s="80">
        <v>1</v>
      </c>
      <c r="I55" s="85">
        <f>_xll.qlRateHelperEarliestDate($B55,Trigger)</f>
        <v>42187</v>
      </c>
      <c r="J55" s="86">
        <f>_xll.qlRateHelperLatestDate($B55,Trigger)</f>
        <v>50588</v>
      </c>
      <c r="L55" s="84"/>
    </row>
    <row r="56" spans="2:12" x14ac:dyDescent="0.2">
      <c r="B56" s="182" t="str">
        <f>Swaps!L31</f>
        <v>obj_007a1#0003</v>
      </c>
      <c r="C56" s="78" t="str">
        <f>_xll.qlRateHelperQuoteName(B56)</f>
        <v>EURAB6E24Y_Quote</v>
      </c>
      <c r="D56" s="79">
        <f>_xll.qlRateHelperQuoteValue($B56,Trigger)</f>
        <v>1.685E-2</v>
      </c>
      <c r="E56" s="79">
        <f>_xll.qlSwapRateHelperSpread($B56,Trigger)</f>
        <v>0</v>
      </c>
      <c r="F56" s="80" t="b">
        <v>0</v>
      </c>
      <c r="G56" s="80">
        <v>50</v>
      </c>
      <c r="H56" s="80">
        <v>1</v>
      </c>
      <c r="I56" s="85">
        <f>_xll.qlRateHelperEarliestDate($B56,Trigger)</f>
        <v>42187</v>
      </c>
      <c r="J56" s="86">
        <f>_xll.qlRateHelperLatestDate($B56,Trigger)</f>
        <v>50955</v>
      </c>
      <c r="L56" s="84"/>
    </row>
    <row r="57" spans="2:12" x14ac:dyDescent="0.2">
      <c r="B57" s="182" t="str">
        <f>Swaps!L32</f>
        <v>obj_00796#0003</v>
      </c>
      <c r="C57" s="78" t="str">
        <f>_xll.qlRateHelperQuoteName(B57)</f>
        <v>EURAB6E25Y_Quote</v>
      </c>
      <c r="D57" s="79">
        <f>_xll.qlRateHelperQuoteValue($B57,Trigger)</f>
        <v>1.6879999999999999E-2</v>
      </c>
      <c r="E57" s="79">
        <f>_xll.qlSwapRateHelperSpread($B57,Trigger)</f>
        <v>0</v>
      </c>
      <c r="F57" s="80" t="b">
        <v>1</v>
      </c>
      <c r="G57" s="80">
        <v>50</v>
      </c>
      <c r="H57" s="80">
        <v>1</v>
      </c>
      <c r="I57" s="85">
        <f>_xll.qlRateHelperEarliestDate($B57,Trigger)</f>
        <v>42187</v>
      </c>
      <c r="J57" s="86">
        <f>_xll.qlRateHelperLatestDate($B57,Trigger)</f>
        <v>51319</v>
      </c>
      <c r="L57" s="84"/>
    </row>
    <row r="58" spans="2:12" x14ac:dyDescent="0.2">
      <c r="B58" s="182" t="str">
        <f>Swaps!L33</f>
        <v>obj_00794#0003</v>
      </c>
      <c r="C58" s="78" t="str">
        <f>_xll.qlRateHelperQuoteName(B58)</f>
        <v>EURAB6E26Y_Quote</v>
      </c>
      <c r="D58" s="79">
        <f>_xll.qlRateHelperQuoteValue($B58,Trigger)</f>
        <v>1.6910000000000001E-2</v>
      </c>
      <c r="E58" s="79">
        <f>_xll.qlSwapRateHelperSpread($B58,Trigger)</f>
        <v>0</v>
      </c>
      <c r="F58" s="80" t="b">
        <v>0</v>
      </c>
      <c r="G58" s="80">
        <v>50</v>
      </c>
      <c r="H58" s="80">
        <v>1</v>
      </c>
      <c r="I58" s="85">
        <f>_xll.qlRateHelperEarliestDate($B58,Trigger)</f>
        <v>42187</v>
      </c>
      <c r="J58" s="86">
        <f>_xll.qlRateHelperLatestDate($B58,Trigger)</f>
        <v>51684</v>
      </c>
      <c r="L58" s="84"/>
    </row>
    <row r="59" spans="2:12" x14ac:dyDescent="0.2">
      <c r="B59" s="182" t="str">
        <f>Swaps!L34</f>
        <v>obj_007aa#0003</v>
      </c>
      <c r="C59" s="78" t="str">
        <f>_xll.qlRateHelperQuoteName(B59)</f>
        <v>EURAB6E27Y_Quote</v>
      </c>
      <c r="D59" s="79">
        <f>_xll.qlRateHelperQuoteValue($B59,Trigger)</f>
        <v>1.695E-2</v>
      </c>
      <c r="E59" s="79">
        <f>_xll.qlSwapRateHelperSpread($B59,Trigger)</f>
        <v>0</v>
      </c>
      <c r="F59" s="80" t="b">
        <v>0</v>
      </c>
      <c r="G59" s="80">
        <v>50</v>
      </c>
      <c r="H59" s="80">
        <v>1</v>
      </c>
      <c r="I59" s="85">
        <f>_xll.qlRateHelperEarliestDate($B59,Trigger)</f>
        <v>42187</v>
      </c>
      <c r="J59" s="86">
        <f>_xll.qlRateHelperLatestDate($B59,Trigger)</f>
        <v>52049</v>
      </c>
      <c r="L59" s="84"/>
    </row>
    <row r="60" spans="2:12" x14ac:dyDescent="0.2">
      <c r="B60" s="182" t="str">
        <f>Swaps!L35</f>
        <v>obj_007a5#0003</v>
      </c>
      <c r="C60" s="78" t="str">
        <f>_xll.qlRateHelperQuoteName(B60)</f>
        <v>EURAB6E28Y_Quote</v>
      </c>
      <c r="D60" s="79">
        <f>_xll.qlRateHelperQuoteValue($B60,Trigger)</f>
        <v>1.6979999999999999E-2</v>
      </c>
      <c r="E60" s="79">
        <f>_xll.qlSwapRateHelperSpread($B60,Trigger)</f>
        <v>0</v>
      </c>
      <c r="F60" s="80" t="b">
        <v>0</v>
      </c>
      <c r="G60" s="80">
        <v>50</v>
      </c>
      <c r="H60" s="80">
        <v>1</v>
      </c>
      <c r="I60" s="85">
        <f>_xll.qlRateHelperEarliestDate($B60,Trigger)</f>
        <v>42187</v>
      </c>
      <c r="J60" s="86">
        <f>_xll.qlRateHelperLatestDate($B60,Trigger)</f>
        <v>52414</v>
      </c>
      <c r="L60" s="84"/>
    </row>
    <row r="61" spans="2:12" x14ac:dyDescent="0.2">
      <c r="B61" s="182" t="str">
        <f>Swaps!L36</f>
        <v>obj_0078b#0003</v>
      </c>
      <c r="C61" s="78" t="str">
        <f>_xll.qlRateHelperQuoteName(B61)</f>
        <v>EURAB6E29Y_Quote</v>
      </c>
      <c r="D61" s="79">
        <f>_xll.qlRateHelperQuoteValue($B61,Trigger)</f>
        <v>1.702E-2</v>
      </c>
      <c r="E61" s="79">
        <f>_xll.qlSwapRateHelperSpread($B61,Trigger)</f>
        <v>0</v>
      </c>
      <c r="F61" s="80" t="b">
        <v>0</v>
      </c>
      <c r="G61" s="80">
        <v>50</v>
      </c>
      <c r="H61" s="80">
        <v>1</v>
      </c>
      <c r="I61" s="85">
        <f>_xll.qlRateHelperEarliestDate($B61,Trigger)</f>
        <v>42187</v>
      </c>
      <c r="J61" s="86">
        <f>_xll.qlRateHelperLatestDate($B61,Trigger)</f>
        <v>52782</v>
      </c>
      <c r="L61" s="84"/>
    </row>
    <row r="62" spans="2:12" x14ac:dyDescent="0.2">
      <c r="B62" s="182" t="str">
        <f>Swaps!L37</f>
        <v>obj_00797#0003</v>
      </c>
      <c r="C62" s="78" t="str">
        <f>_xll.qlRateHelperQuoteName(B62)</f>
        <v>EURAB6E30Y_Quote</v>
      </c>
      <c r="D62" s="79">
        <f>_xll.qlRateHelperQuoteValue($B62,Trigger)</f>
        <v>1.7049999999999999E-2</v>
      </c>
      <c r="E62" s="79">
        <f>_xll.qlSwapRateHelperSpread($B62,Trigger)</f>
        <v>0</v>
      </c>
      <c r="F62" s="80" t="b">
        <v>1</v>
      </c>
      <c r="G62" s="80">
        <v>50</v>
      </c>
      <c r="H62" s="80">
        <v>1</v>
      </c>
      <c r="I62" s="85">
        <f>_xll.qlRateHelperEarliestDate($B62,Trigger)</f>
        <v>42187</v>
      </c>
      <c r="J62" s="86">
        <f>_xll.qlRateHelperLatestDate($B62,Trigger)</f>
        <v>53146</v>
      </c>
      <c r="L62" s="84"/>
    </row>
    <row r="63" spans="2:12" x14ac:dyDescent="0.2">
      <c r="B63" s="182" t="str">
        <f>Swaps!L38</f>
        <v>obj_00789#0003</v>
      </c>
      <c r="C63" s="78" t="str">
        <f>_xll.qlRateHelperQuoteName(B63)</f>
        <v>EURAB6E35Y_Quote</v>
      </c>
      <c r="D63" s="79">
        <f>_xll.qlRateHelperQuoteValue($B63,Trigger)</f>
        <v>1.7170000000000001E-2</v>
      </c>
      <c r="E63" s="79">
        <f>_xll.qlSwapRateHelperSpread($B63,Trigger)</f>
        <v>0</v>
      </c>
      <c r="F63" s="80" t="b">
        <v>1</v>
      </c>
      <c r="G63" s="80">
        <v>50</v>
      </c>
      <c r="H63" s="80">
        <v>1</v>
      </c>
      <c r="I63" s="85">
        <f>_xll.qlRateHelperEarliestDate($B63,Trigger)</f>
        <v>42187</v>
      </c>
      <c r="J63" s="86">
        <f>_xll.qlRateHelperLatestDate($B63,Trigger)</f>
        <v>54973</v>
      </c>
      <c r="L63" s="84"/>
    </row>
    <row r="64" spans="2:12" x14ac:dyDescent="0.2">
      <c r="B64" s="182" t="str">
        <f>Swaps!L39</f>
        <v>obj_00788#0003</v>
      </c>
      <c r="C64" s="78" t="str">
        <f>_xll.qlRateHelperQuoteName(B64)</f>
        <v>EURAB6E40Y_Quote</v>
      </c>
      <c r="D64" s="79">
        <f>_xll.qlRateHelperQuoteValue($B64,Trigger)</f>
        <v>1.7159999999999998E-2</v>
      </c>
      <c r="E64" s="79">
        <f>_xll.qlSwapRateHelperSpread($B64,Trigger)</f>
        <v>0</v>
      </c>
      <c r="F64" s="80" t="b">
        <v>1</v>
      </c>
      <c r="G64" s="80">
        <v>50</v>
      </c>
      <c r="H64" s="80">
        <v>1</v>
      </c>
      <c r="I64" s="85">
        <f>_xll.qlRateHelperEarliestDate($B64,Trigger)</f>
        <v>42187</v>
      </c>
      <c r="J64" s="86">
        <f>_xll.qlRateHelperLatestDate($B64,Trigger)</f>
        <v>56797</v>
      </c>
      <c r="L64" s="84"/>
    </row>
    <row r="65" spans="2:12" x14ac:dyDescent="0.2">
      <c r="B65" s="182" t="str">
        <f>Swaps!L40</f>
        <v>obj_00790#0003</v>
      </c>
      <c r="C65" s="78" t="str">
        <f>_xll.qlRateHelperQuoteName(B65)</f>
        <v>EURAB6E50Y_Quote</v>
      </c>
      <c r="D65" s="79">
        <f>_xll.qlRateHelperQuoteValue($B65,Trigger)</f>
        <v>1.6730000000000002E-2</v>
      </c>
      <c r="E65" s="79">
        <f>_xll.qlSwapRateHelperSpread($B65,Trigger)</f>
        <v>0</v>
      </c>
      <c r="F65" s="80" t="b">
        <v>1</v>
      </c>
      <c r="G65" s="80">
        <v>50</v>
      </c>
      <c r="H65" s="80">
        <v>1</v>
      </c>
      <c r="I65" s="85">
        <f>_xll.qlRateHelperEarliestDate($B65,Trigger)</f>
        <v>42187</v>
      </c>
      <c r="J65" s="86">
        <f>_xll.qlRateHelperLatestDate($B65,Trigger)</f>
        <v>60450</v>
      </c>
      <c r="L65" s="84"/>
    </row>
    <row r="66" spans="2:12" x14ac:dyDescent="0.2">
      <c r="B66" s="183" t="str">
        <f>Swaps!L41</f>
        <v>obj_007a4#0003</v>
      </c>
      <c r="C66" s="81" t="str">
        <f>_xll.qlRateHelperQuoteName(B66)</f>
        <v>EURAB6E60Y_Quote</v>
      </c>
      <c r="D66" s="82">
        <f>_xll.qlRateHelperQuoteValue($B66,Trigger)</f>
        <v>1.6579999999999998E-2</v>
      </c>
      <c r="E66" s="82">
        <f>_xll.qlSwapRateHelperSpread($B66,Trigger)</f>
        <v>0</v>
      </c>
      <c r="F66" s="83" t="b">
        <v>1</v>
      </c>
      <c r="G66" s="83">
        <v>50</v>
      </c>
      <c r="H66" s="83">
        <v>1</v>
      </c>
      <c r="I66" s="87">
        <f>_xll.qlRateHelperEarliestDate($B66,Trigger)</f>
        <v>42187</v>
      </c>
      <c r="J66" s="88">
        <f>_xll.qlRateHelperLatestDate($B66,Trigger)</f>
        <v>64102</v>
      </c>
      <c r="L66" s="84"/>
    </row>
    <row r="67" spans="2:12" x14ac:dyDescent="0.2">
      <c r="B67" s="184">
        <f>ForwardSwaps!K6</f>
        <v>0</v>
      </c>
      <c r="C67" s="180" t="e">
        <f>_xll.qlRateHelperQuoteName(B67)</f>
        <v>#NUM!</v>
      </c>
      <c r="D67" s="185" t="e">
        <f>_xll.qlRateHelperQuoteValue($B67,Trigger)</f>
        <v>#NUM!</v>
      </c>
      <c r="E67" s="185" t="e">
        <f>_xll.qlSwapRateHelperSpread($B67,Trigger)</f>
        <v>#NUM!</v>
      </c>
      <c r="F67" s="186" t="b">
        <v>0</v>
      </c>
      <c r="G67" s="186">
        <v>50</v>
      </c>
      <c r="H67" s="186">
        <v>1</v>
      </c>
      <c r="I67" s="187" t="e">
        <f>_xll.qlRateHelperEarliestDate($B67,Trigger)</f>
        <v>#NUM!</v>
      </c>
      <c r="J67" s="188" t="e">
        <f>_xll.qlRateHelperLatestDate($B67,Trigger)</f>
        <v>#NUM!</v>
      </c>
      <c r="L67" s="84"/>
    </row>
    <row r="68" spans="2:12" x14ac:dyDescent="0.2">
      <c r="B68" s="182">
        <f>ForwardSwaps!K7</f>
        <v>0</v>
      </c>
      <c r="C68" s="78" t="e">
        <f>_xll.qlRateHelperQuoteName(B68)</f>
        <v>#NUM!</v>
      </c>
      <c r="D68" s="79" t="e">
        <f>_xll.qlRateHelperQuoteValue($B68,Trigger)</f>
        <v>#NUM!</v>
      </c>
      <c r="E68" s="79" t="e">
        <f>_xll.qlSwapRateHelperSpread($B68,Trigger)</f>
        <v>#NUM!</v>
      </c>
      <c r="F68" s="80" t="b">
        <v>0</v>
      </c>
      <c r="G68" s="80">
        <v>50</v>
      </c>
      <c r="H68" s="80">
        <v>1</v>
      </c>
      <c r="I68" s="85" t="e">
        <f>_xll.qlRateHelperEarliestDate($B68,Trigger)</f>
        <v>#NUM!</v>
      </c>
      <c r="J68" s="86" t="e">
        <f>_xll.qlRateHelperLatestDate($B68,Trigger)</f>
        <v>#NUM!</v>
      </c>
      <c r="L68" s="84"/>
    </row>
    <row r="69" spans="2:12" x14ac:dyDescent="0.2">
      <c r="B69" s="182">
        <f>ForwardSwaps!K8</f>
        <v>0</v>
      </c>
      <c r="C69" s="78" t="e">
        <f>_xll.qlRateHelperQuoteName(B69)</f>
        <v>#NUM!</v>
      </c>
      <c r="D69" s="79" t="e">
        <f>_xll.qlRateHelperQuoteValue($B69,Trigger)</f>
        <v>#NUM!</v>
      </c>
      <c r="E69" s="79" t="e">
        <f>_xll.qlSwapRateHelperSpread($B69,Trigger)</f>
        <v>#NUM!</v>
      </c>
      <c r="F69" s="80" t="b">
        <v>0</v>
      </c>
      <c r="G69" s="80">
        <v>50</v>
      </c>
      <c r="H69" s="80">
        <v>1</v>
      </c>
      <c r="I69" s="85" t="e">
        <f>_xll.qlRateHelperEarliestDate($B69,Trigger)</f>
        <v>#NUM!</v>
      </c>
      <c r="J69" s="86" t="e">
        <f>_xll.qlRateHelperLatestDate($B69,Trigger)</f>
        <v>#NUM!</v>
      </c>
      <c r="L69" s="84"/>
    </row>
    <row r="70" spans="2:12" x14ac:dyDescent="0.2">
      <c r="B70" s="182">
        <f>ForwardSwaps!K9</f>
        <v>0</v>
      </c>
      <c r="C70" s="78" t="e">
        <f>_xll.qlRateHelperQuoteName(B70)</f>
        <v>#NUM!</v>
      </c>
      <c r="D70" s="79" t="e">
        <f>_xll.qlRateHelperQuoteValue($B70,Trigger)</f>
        <v>#NUM!</v>
      </c>
      <c r="E70" s="79" t="e">
        <f>_xll.qlSwapRateHelperSpread($B70,Trigger)</f>
        <v>#NUM!</v>
      </c>
      <c r="F70" s="80" t="b">
        <v>0</v>
      </c>
      <c r="G70" s="80">
        <v>50</v>
      </c>
      <c r="H70" s="80">
        <v>1</v>
      </c>
      <c r="I70" s="85" t="e">
        <f>_xll.qlRateHelperEarliestDate($B70,Trigger)</f>
        <v>#NUM!</v>
      </c>
      <c r="J70" s="86" t="e">
        <f>_xll.qlRateHelperLatestDate($B70,Trigger)</f>
        <v>#NUM!</v>
      </c>
      <c r="L70" s="84"/>
    </row>
    <row r="71" spans="2:12" x14ac:dyDescent="0.2">
      <c r="B71" s="182">
        <f>ForwardSwaps!K10</f>
        <v>0</v>
      </c>
      <c r="C71" s="78" t="e">
        <f>_xll.qlRateHelperQuoteName(B71)</f>
        <v>#NUM!</v>
      </c>
      <c r="D71" s="79" t="e">
        <f>_xll.qlRateHelperQuoteValue($B71,Trigger)</f>
        <v>#NUM!</v>
      </c>
      <c r="E71" s="79" t="e">
        <f>_xll.qlSwapRateHelperSpread($B71,Trigger)</f>
        <v>#NUM!</v>
      </c>
      <c r="F71" s="80" t="b">
        <v>0</v>
      </c>
      <c r="G71" s="80">
        <v>50</v>
      </c>
      <c r="H71" s="80">
        <v>1</v>
      </c>
      <c r="I71" s="85" t="e">
        <f>_xll.qlRateHelperEarliestDate($B71,Trigger)</f>
        <v>#NUM!</v>
      </c>
      <c r="J71" s="86" t="e">
        <f>_xll.qlRateHelperLatestDate($B71,Trigger)</f>
        <v>#NUM!</v>
      </c>
      <c r="L71" s="84"/>
    </row>
    <row r="72" spans="2:12" x14ac:dyDescent="0.2">
      <c r="B72" s="182">
        <f>ForwardSwaps!K11</f>
        <v>0</v>
      </c>
      <c r="C72" s="78" t="e">
        <f>_xll.qlRateHelperQuoteName(B72)</f>
        <v>#NUM!</v>
      </c>
      <c r="D72" s="79" t="e">
        <f>_xll.qlRateHelperQuoteValue($B72,Trigger)</f>
        <v>#NUM!</v>
      </c>
      <c r="E72" s="79" t="e">
        <f>_xll.qlSwapRateHelperSpread($B72,Trigger)</f>
        <v>#NUM!</v>
      </c>
      <c r="F72" s="80" t="b">
        <v>0</v>
      </c>
      <c r="G72" s="80">
        <v>50</v>
      </c>
      <c r="H72" s="80">
        <v>1</v>
      </c>
      <c r="I72" s="85" t="e">
        <f>_xll.qlRateHelperEarliestDate($B72,Trigger)</f>
        <v>#NUM!</v>
      </c>
      <c r="J72" s="86" t="e">
        <f>_xll.qlRateHelperLatestDate($B72,Trigger)</f>
        <v>#NUM!</v>
      </c>
      <c r="L72" s="84"/>
    </row>
    <row r="73" spans="2:12" x14ac:dyDescent="0.2">
      <c r="B73" s="182">
        <f>ForwardSwaps!K12</f>
        <v>0</v>
      </c>
      <c r="C73" s="78" t="e">
        <f>_xll.qlRateHelperQuoteName(B73)</f>
        <v>#NUM!</v>
      </c>
      <c r="D73" s="79" t="e">
        <f>_xll.qlRateHelperQuoteValue($B73,Trigger)</f>
        <v>#NUM!</v>
      </c>
      <c r="E73" s="79" t="e">
        <f>_xll.qlSwapRateHelperSpread($B73,Trigger)</f>
        <v>#NUM!</v>
      </c>
      <c r="F73" s="80" t="b">
        <v>0</v>
      </c>
      <c r="G73" s="80">
        <v>50</v>
      </c>
      <c r="H73" s="80">
        <v>1</v>
      </c>
      <c r="I73" s="85" t="e">
        <f>_xll.qlRateHelperEarliestDate($B73,Trigger)</f>
        <v>#NUM!</v>
      </c>
      <c r="J73" s="86" t="e">
        <f>_xll.qlRateHelperLatestDate($B73,Trigger)</f>
        <v>#NUM!</v>
      </c>
      <c r="L73" s="84"/>
    </row>
    <row r="74" spans="2:12" x14ac:dyDescent="0.2">
      <c r="B74" s="182">
        <f>ForwardSwaps!K13</f>
        <v>0</v>
      </c>
      <c r="C74" s="78" t="e">
        <f>_xll.qlRateHelperQuoteName(B74)</f>
        <v>#NUM!</v>
      </c>
      <c r="D74" s="79" t="e">
        <f>_xll.qlRateHelperQuoteValue($B74,Trigger)</f>
        <v>#NUM!</v>
      </c>
      <c r="E74" s="79" t="e">
        <f>_xll.qlSwapRateHelperSpread($B74,Trigger)</f>
        <v>#NUM!</v>
      </c>
      <c r="F74" s="80" t="b">
        <v>0</v>
      </c>
      <c r="G74" s="80">
        <v>50</v>
      </c>
      <c r="H74" s="80">
        <v>1</v>
      </c>
      <c r="I74" s="85" t="e">
        <f>_xll.qlRateHelperEarliestDate($B74,Trigger)</f>
        <v>#NUM!</v>
      </c>
      <c r="J74" s="86" t="e">
        <f>_xll.qlRateHelperLatestDate($B74,Trigger)</f>
        <v>#NUM!</v>
      </c>
      <c r="L74" s="84"/>
    </row>
    <row r="75" spans="2:12" x14ac:dyDescent="0.2">
      <c r="B75" s="182">
        <f>ForwardSwaps!K14</f>
        <v>0</v>
      </c>
      <c r="C75" s="78" t="e">
        <f>_xll.qlRateHelperQuoteName(B75)</f>
        <v>#NUM!</v>
      </c>
      <c r="D75" s="79" t="e">
        <f>_xll.qlRateHelperQuoteValue($B75,Trigger)</f>
        <v>#NUM!</v>
      </c>
      <c r="E75" s="79" t="e">
        <f>_xll.qlSwapRateHelperSpread($B75,Trigger)</f>
        <v>#NUM!</v>
      </c>
      <c r="F75" s="80" t="b">
        <v>0</v>
      </c>
      <c r="G75" s="80">
        <v>50</v>
      </c>
      <c r="H75" s="80">
        <v>1</v>
      </c>
      <c r="I75" s="85" t="e">
        <f>_xll.qlRateHelperEarliestDate($B75,Trigger)</f>
        <v>#NUM!</v>
      </c>
      <c r="J75" s="86" t="e">
        <f>_xll.qlRateHelperLatestDate($B75,Trigger)</f>
        <v>#NUM!</v>
      </c>
      <c r="L75" s="84"/>
    </row>
    <row r="76" spans="2:12" x14ac:dyDescent="0.2">
      <c r="B76" s="182">
        <f>ForwardSwaps!K15</f>
        <v>0</v>
      </c>
      <c r="C76" s="78" t="e">
        <f>_xll.qlRateHelperQuoteName(B76)</f>
        <v>#NUM!</v>
      </c>
      <c r="D76" s="79" t="e">
        <f>_xll.qlRateHelperQuoteValue($B76,Trigger)</f>
        <v>#NUM!</v>
      </c>
      <c r="E76" s="79" t="e">
        <f>_xll.qlSwapRateHelperSpread($B76,Trigger)</f>
        <v>#NUM!</v>
      </c>
      <c r="F76" s="80" t="b">
        <v>0</v>
      </c>
      <c r="G76" s="80">
        <v>50</v>
      </c>
      <c r="H76" s="80">
        <v>1</v>
      </c>
      <c r="I76" s="85" t="e">
        <f>_xll.qlRateHelperEarliestDate($B76,Trigger)</f>
        <v>#NUM!</v>
      </c>
      <c r="J76" s="86" t="e">
        <f>_xll.qlRateHelperLatestDate($B76,Trigger)</f>
        <v>#NUM!</v>
      </c>
      <c r="L76" s="84"/>
    </row>
    <row r="77" spans="2:12" x14ac:dyDescent="0.2">
      <c r="B77" s="182">
        <f>ForwardSwaps!K16</f>
        <v>0</v>
      </c>
      <c r="C77" s="78" t="e">
        <f>_xll.qlRateHelperQuoteName(B77)</f>
        <v>#NUM!</v>
      </c>
      <c r="D77" s="79" t="e">
        <f>_xll.qlRateHelperQuoteValue($B77,Trigger)</f>
        <v>#NUM!</v>
      </c>
      <c r="E77" s="79" t="e">
        <f>_xll.qlSwapRateHelperSpread($B77,Trigger)</f>
        <v>#NUM!</v>
      </c>
      <c r="F77" s="80" t="b">
        <v>0</v>
      </c>
      <c r="G77" s="80">
        <v>50</v>
      </c>
      <c r="H77" s="80">
        <v>1</v>
      </c>
      <c r="I77" s="85" t="e">
        <f>_xll.qlRateHelperEarliestDate($B77,Trigger)</f>
        <v>#NUM!</v>
      </c>
      <c r="J77" s="86" t="e">
        <f>_xll.qlRateHelperLatestDate($B77,Trigger)</f>
        <v>#NUM!</v>
      </c>
      <c r="L77" s="84"/>
    </row>
    <row r="78" spans="2:12" x14ac:dyDescent="0.2">
      <c r="B78" s="182">
        <f>ForwardSwaps!K17</f>
        <v>0</v>
      </c>
      <c r="C78" s="78" t="e">
        <f>_xll.qlRateHelperQuoteName(B78)</f>
        <v>#NUM!</v>
      </c>
      <c r="D78" s="79" t="e">
        <f>_xll.qlRateHelperQuoteValue($B78,Trigger)</f>
        <v>#NUM!</v>
      </c>
      <c r="E78" s="79" t="e">
        <f>_xll.qlSwapRateHelperSpread($B78,Trigger)</f>
        <v>#NUM!</v>
      </c>
      <c r="F78" s="80" t="b">
        <v>0</v>
      </c>
      <c r="G78" s="80">
        <v>50</v>
      </c>
      <c r="H78" s="80">
        <v>1</v>
      </c>
      <c r="I78" s="85" t="e">
        <f>_xll.qlRateHelperEarliestDate($B78,Trigger)</f>
        <v>#NUM!</v>
      </c>
      <c r="J78" s="86" t="e">
        <f>_xll.qlRateHelperLatestDate($B78,Trigger)</f>
        <v>#NUM!</v>
      </c>
      <c r="L78" s="84"/>
    </row>
    <row r="79" spans="2:12" x14ac:dyDescent="0.2">
      <c r="B79" s="182">
        <f>ForwardSwaps!K18</f>
        <v>0</v>
      </c>
      <c r="C79" s="78" t="e">
        <f>_xll.qlRateHelperQuoteName(B79)</f>
        <v>#NUM!</v>
      </c>
      <c r="D79" s="79" t="e">
        <f>_xll.qlRateHelperQuoteValue($B79,Trigger)</f>
        <v>#NUM!</v>
      </c>
      <c r="E79" s="79" t="e">
        <f>_xll.qlSwapRateHelperSpread($B79,Trigger)</f>
        <v>#NUM!</v>
      </c>
      <c r="F79" s="80" t="b">
        <v>0</v>
      </c>
      <c r="G79" s="80">
        <v>50</v>
      </c>
      <c r="H79" s="80">
        <v>1</v>
      </c>
      <c r="I79" s="85" t="e">
        <f>_xll.qlRateHelperEarliestDate($B79,Trigger)</f>
        <v>#NUM!</v>
      </c>
      <c r="J79" s="86" t="e">
        <f>_xll.qlRateHelperLatestDate($B79,Trigger)</f>
        <v>#NUM!</v>
      </c>
      <c r="L79" s="84"/>
    </row>
    <row r="80" spans="2:12" x14ac:dyDescent="0.2">
      <c r="B80" s="182">
        <f>ForwardSwaps!K19</f>
        <v>0</v>
      </c>
      <c r="C80" s="196" t="e">
        <f>_xll.qlRateHelperQuoteName(B80)</f>
        <v>#NUM!</v>
      </c>
      <c r="D80" s="197" t="e">
        <f>_xll.qlRateHelperQuoteValue($B80,Trigger)</f>
        <v>#NUM!</v>
      </c>
      <c r="E80" s="197" t="e">
        <f>_xll.qlSwapRateHelperSpread($B80,Trigger)</f>
        <v>#NUM!</v>
      </c>
      <c r="F80" s="198" t="b">
        <v>0</v>
      </c>
      <c r="G80" s="198">
        <v>50</v>
      </c>
      <c r="H80" s="198">
        <v>1</v>
      </c>
      <c r="I80" s="199" t="e">
        <f>_xll.qlRateHelperEarliestDate($B80,Trigger)</f>
        <v>#NUM!</v>
      </c>
      <c r="J80" s="200" t="e">
        <f>_xll.qlRateHelperLatestDate($B80,Trigger)</f>
        <v>#NUM!</v>
      </c>
      <c r="L80" s="84"/>
    </row>
    <row r="81" spans="2:12" x14ac:dyDescent="0.2">
      <c r="B81" s="182">
        <f>ForwardSwaps!K20</f>
        <v>0</v>
      </c>
      <c r="C81" s="78" t="e">
        <f>_xll.qlRateHelperQuoteName(B81)</f>
        <v>#NUM!</v>
      </c>
      <c r="D81" s="79" t="e">
        <f>_xll.qlRateHelperQuoteValue($B81,Trigger)</f>
        <v>#NUM!</v>
      </c>
      <c r="E81" s="79" t="e">
        <f>_xll.qlSwapRateHelperSpread($B81,Trigger)</f>
        <v>#NUM!</v>
      </c>
      <c r="F81" s="80" t="b">
        <v>0</v>
      </c>
      <c r="G81" s="80">
        <v>50</v>
      </c>
      <c r="H81" s="80">
        <v>1</v>
      </c>
      <c r="I81" s="85" t="e">
        <f>_xll.qlRateHelperEarliestDate($B81,Trigger)</f>
        <v>#NUM!</v>
      </c>
      <c r="J81" s="86" t="e">
        <f>_xll.qlRateHelperLatestDate($B81,Trigger)</f>
        <v>#NUM!</v>
      </c>
      <c r="L81" s="84"/>
    </row>
    <row r="82" spans="2:12" x14ac:dyDescent="0.2">
      <c r="B82" s="182">
        <f>ForwardSwaps!K21</f>
        <v>0</v>
      </c>
      <c r="C82" s="78" t="e">
        <f>_xll.qlRateHelperQuoteName(B82)</f>
        <v>#NUM!</v>
      </c>
      <c r="D82" s="79" t="e">
        <f>_xll.qlRateHelperQuoteValue($B82,Trigger)</f>
        <v>#NUM!</v>
      </c>
      <c r="E82" s="79" t="e">
        <f>_xll.qlSwapRateHelperSpread($B82,Trigger)</f>
        <v>#NUM!</v>
      </c>
      <c r="F82" s="80" t="b">
        <v>0</v>
      </c>
      <c r="G82" s="80">
        <v>50</v>
      </c>
      <c r="H82" s="80">
        <v>1</v>
      </c>
      <c r="I82" s="85" t="e">
        <f>_xll.qlRateHelperEarliestDate($B82,Trigger)</f>
        <v>#NUM!</v>
      </c>
      <c r="J82" s="86" t="e">
        <f>_xll.qlRateHelperLatestDate($B82,Trigger)</f>
        <v>#NUM!</v>
      </c>
      <c r="L82" s="84"/>
    </row>
    <row r="83" spans="2:12" x14ac:dyDescent="0.2">
      <c r="B83" s="182">
        <f>ForwardSwaps!K22</f>
        <v>0</v>
      </c>
      <c r="C83" s="78" t="e">
        <f>_xll.qlRateHelperQuoteName(B83)</f>
        <v>#NUM!</v>
      </c>
      <c r="D83" s="79" t="e">
        <f>_xll.qlRateHelperQuoteValue($B83,Trigger)</f>
        <v>#NUM!</v>
      </c>
      <c r="E83" s="79" t="e">
        <f>_xll.qlSwapRateHelperSpread($B83,Trigger)</f>
        <v>#NUM!</v>
      </c>
      <c r="F83" s="80" t="b">
        <v>0</v>
      </c>
      <c r="G83" s="80">
        <v>50</v>
      </c>
      <c r="H83" s="80">
        <v>1</v>
      </c>
      <c r="I83" s="85" t="e">
        <f>_xll.qlRateHelperEarliestDate($B83,Trigger)</f>
        <v>#NUM!</v>
      </c>
      <c r="J83" s="86" t="e">
        <f>_xll.qlRateHelperLatestDate($B83,Trigger)</f>
        <v>#NUM!</v>
      </c>
      <c r="L83" s="84"/>
    </row>
    <row r="84" spans="2:12" x14ac:dyDescent="0.2">
      <c r="B84" s="183">
        <f>ForwardSwaps!K23</f>
        <v>0</v>
      </c>
      <c r="C84" s="81" t="e">
        <f>_xll.qlRateHelperQuoteName(B84)</f>
        <v>#NUM!</v>
      </c>
      <c r="D84" s="82" t="e">
        <f>_xll.qlRateHelperQuoteValue($B84,Trigger)</f>
        <v>#NUM!</v>
      </c>
      <c r="E84" s="82" t="e">
        <f>_xll.qlSwapRateHelperSpread($B84,Trigger)</f>
        <v>#NUM!</v>
      </c>
      <c r="F84" s="83" t="b">
        <v>0</v>
      </c>
      <c r="G84" s="83">
        <v>50</v>
      </c>
      <c r="H84" s="83">
        <v>1</v>
      </c>
      <c r="I84" s="87" t="e">
        <f>_xll.qlRateHelperEarliestDate($B84,Trigger)</f>
        <v>#NUM!</v>
      </c>
      <c r="J84" s="88" t="e">
        <f>_xll.qlRateHelperLatestDate($B84,Trigger)</f>
        <v>#NUM!</v>
      </c>
      <c r="L84" s="84"/>
    </row>
    <row r="85" spans="2:12" x14ac:dyDescent="0.2">
      <c r="B85" s="184">
        <f>ForwardSwaps!K24</f>
        <v>0</v>
      </c>
      <c r="C85" s="180" t="e">
        <f>_xll.qlRateHelperQuoteName(B85)</f>
        <v>#NUM!</v>
      </c>
      <c r="D85" s="185" t="e">
        <f>_xll.qlRateHelperQuoteValue($B85,Trigger)</f>
        <v>#NUM!</v>
      </c>
      <c r="E85" s="185" t="e">
        <f>_xll.qlSwapRateHelperSpread($B85,Trigger)</f>
        <v>#NUM!</v>
      </c>
      <c r="F85" s="186" t="b">
        <v>0</v>
      </c>
      <c r="G85" s="186">
        <v>50</v>
      </c>
      <c r="H85" s="186">
        <v>1</v>
      </c>
      <c r="I85" s="187" t="e">
        <f>_xll.qlRateHelperEarliestDate($B85,Trigger)</f>
        <v>#NUM!</v>
      </c>
      <c r="J85" s="188" t="e">
        <f>_xll.qlRateHelperLatestDate($B85,Trigger)</f>
        <v>#NUM!</v>
      </c>
      <c r="L85" s="84"/>
    </row>
    <row r="86" spans="2:12" x14ac:dyDescent="0.2">
      <c r="B86" s="182">
        <f>ForwardSwaps!K25</f>
        <v>0</v>
      </c>
      <c r="C86" s="78" t="e">
        <f>_xll.qlRateHelperQuoteName(B86)</f>
        <v>#NUM!</v>
      </c>
      <c r="D86" s="79" t="e">
        <f>_xll.qlRateHelperQuoteValue($B86,Trigger)</f>
        <v>#NUM!</v>
      </c>
      <c r="E86" s="79" t="e">
        <f>_xll.qlSwapRateHelperSpread($B86,Trigger)</f>
        <v>#NUM!</v>
      </c>
      <c r="F86" s="80" t="b">
        <v>0</v>
      </c>
      <c r="G86" s="80">
        <v>50</v>
      </c>
      <c r="H86" s="80">
        <v>1</v>
      </c>
      <c r="I86" s="85" t="e">
        <f>_xll.qlRateHelperEarliestDate($B86,Trigger)</f>
        <v>#NUM!</v>
      </c>
      <c r="J86" s="86" t="e">
        <f>_xll.qlRateHelperLatestDate($B86,Trigger)</f>
        <v>#NUM!</v>
      </c>
      <c r="L86" s="84"/>
    </row>
    <row r="87" spans="2:12" x14ac:dyDescent="0.2">
      <c r="B87" s="182">
        <f>ForwardSwaps!K26</f>
        <v>0</v>
      </c>
      <c r="C87" s="78" t="e">
        <f>_xll.qlRateHelperQuoteName(B87)</f>
        <v>#NUM!</v>
      </c>
      <c r="D87" s="79" t="e">
        <f>_xll.qlRateHelperQuoteValue($B87,Trigger)</f>
        <v>#NUM!</v>
      </c>
      <c r="E87" s="79" t="e">
        <f>_xll.qlSwapRateHelperSpread($B87,Trigger)</f>
        <v>#NUM!</v>
      </c>
      <c r="F87" s="80" t="b">
        <v>0</v>
      </c>
      <c r="G87" s="80">
        <v>50</v>
      </c>
      <c r="H87" s="80">
        <v>1</v>
      </c>
      <c r="I87" s="85" t="e">
        <f>_xll.qlRateHelperEarliestDate($B87,Trigger)</f>
        <v>#NUM!</v>
      </c>
      <c r="J87" s="86" t="e">
        <f>_xll.qlRateHelperLatestDate($B87,Trigger)</f>
        <v>#NUM!</v>
      </c>
      <c r="L87" s="84"/>
    </row>
    <row r="88" spans="2:12" x14ac:dyDescent="0.2">
      <c r="B88" s="182">
        <f>ForwardSwaps!K27</f>
        <v>0</v>
      </c>
      <c r="C88" s="78" t="e">
        <f>_xll.qlRateHelperQuoteName(B88)</f>
        <v>#NUM!</v>
      </c>
      <c r="D88" s="79" t="e">
        <f>_xll.qlRateHelperQuoteValue($B88,Trigger)</f>
        <v>#NUM!</v>
      </c>
      <c r="E88" s="79" t="e">
        <f>_xll.qlSwapRateHelperSpread($B88,Trigger)</f>
        <v>#NUM!</v>
      </c>
      <c r="F88" s="80" t="b">
        <v>0</v>
      </c>
      <c r="G88" s="80">
        <v>50</v>
      </c>
      <c r="H88" s="80">
        <v>1</v>
      </c>
      <c r="I88" s="85" t="e">
        <f>_xll.qlRateHelperEarliestDate($B88,Trigger)</f>
        <v>#NUM!</v>
      </c>
      <c r="J88" s="86" t="e">
        <f>_xll.qlRateHelperLatestDate($B88,Trigger)</f>
        <v>#NUM!</v>
      </c>
      <c r="L88" s="84"/>
    </row>
    <row r="89" spans="2:12" x14ac:dyDescent="0.2">
      <c r="B89" s="182">
        <f>ForwardSwaps!K28</f>
        <v>0</v>
      </c>
      <c r="C89" s="78" t="e">
        <f>_xll.qlRateHelperQuoteName(B89)</f>
        <v>#NUM!</v>
      </c>
      <c r="D89" s="79" t="e">
        <f>_xll.qlRateHelperQuoteValue($B89,Trigger)</f>
        <v>#NUM!</v>
      </c>
      <c r="E89" s="79" t="e">
        <f>_xll.qlSwapRateHelperSpread($B89,Trigger)</f>
        <v>#NUM!</v>
      </c>
      <c r="F89" s="80" t="b">
        <v>0</v>
      </c>
      <c r="G89" s="80">
        <v>50</v>
      </c>
      <c r="H89" s="80">
        <v>1</v>
      </c>
      <c r="I89" s="85" t="e">
        <f>_xll.qlRateHelperEarliestDate($B89,Trigger)</f>
        <v>#NUM!</v>
      </c>
      <c r="J89" s="86" t="e">
        <f>_xll.qlRateHelperLatestDate($B89,Trigger)</f>
        <v>#NUM!</v>
      </c>
      <c r="L89" s="84"/>
    </row>
    <row r="90" spans="2:12" x14ac:dyDescent="0.2">
      <c r="B90" s="182">
        <f>ForwardSwaps!K29</f>
        <v>0</v>
      </c>
      <c r="C90" s="78" t="e">
        <f>_xll.qlRateHelperQuoteName(B90)</f>
        <v>#NUM!</v>
      </c>
      <c r="D90" s="79" t="e">
        <f>_xll.qlRateHelperQuoteValue($B90,Trigger)</f>
        <v>#NUM!</v>
      </c>
      <c r="E90" s="79" t="e">
        <f>_xll.qlSwapRateHelperSpread($B90,Trigger)</f>
        <v>#NUM!</v>
      </c>
      <c r="F90" s="80" t="b">
        <v>0</v>
      </c>
      <c r="G90" s="80">
        <v>50</v>
      </c>
      <c r="H90" s="80">
        <v>1</v>
      </c>
      <c r="I90" s="85" t="e">
        <f>_xll.qlRateHelperEarliestDate($B90,Trigger)</f>
        <v>#NUM!</v>
      </c>
      <c r="J90" s="86" t="e">
        <f>_xll.qlRateHelperLatestDate($B90,Trigger)</f>
        <v>#NUM!</v>
      </c>
      <c r="L90" s="84"/>
    </row>
    <row r="91" spans="2:12" x14ac:dyDescent="0.2">
      <c r="B91" s="182">
        <f>ForwardSwaps!K30</f>
        <v>0</v>
      </c>
      <c r="C91" s="78" t="e">
        <f>_xll.qlRateHelperQuoteName(B91)</f>
        <v>#NUM!</v>
      </c>
      <c r="D91" s="79" t="e">
        <f>_xll.qlRateHelperQuoteValue($B91,Trigger)</f>
        <v>#NUM!</v>
      </c>
      <c r="E91" s="79" t="e">
        <f>_xll.qlSwapRateHelperSpread($B91,Trigger)</f>
        <v>#NUM!</v>
      </c>
      <c r="F91" s="80" t="b">
        <v>0</v>
      </c>
      <c r="G91" s="80">
        <v>50</v>
      </c>
      <c r="H91" s="80">
        <v>1</v>
      </c>
      <c r="I91" s="85" t="e">
        <f>_xll.qlRateHelperEarliestDate($B91,Trigger)</f>
        <v>#NUM!</v>
      </c>
      <c r="J91" s="86" t="e">
        <f>_xll.qlRateHelperLatestDate($B91,Trigger)</f>
        <v>#NUM!</v>
      </c>
      <c r="L91" s="84"/>
    </row>
    <row r="92" spans="2:12" x14ac:dyDescent="0.2">
      <c r="B92" s="182">
        <f>ForwardSwaps!K31</f>
        <v>0</v>
      </c>
      <c r="C92" s="78" t="e">
        <f>_xll.qlRateHelperQuoteName(B92)</f>
        <v>#NUM!</v>
      </c>
      <c r="D92" s="79" t="e">
        <f>_xll.qlRateHelperQuoteValue($B92,Trigger)</f>
        <v>#NUM!</v>
      </c>
      <c r="E92" s="79" t="e">
        <f>_xll.qlSwapRateHelperSpread($B92,Trigger)</f>
        <v>#NUM!</v>
      </c>
      <c r="F92" s="80" t="b">
        <v>0</v>
      </c>
      <c r="G92" s="80">
        <v>50</v>
      </c>
      <c r="H92" s="80">
        <v>1</v>
      </c>
      <c r="I92" s="85" t="e">
        <f>_xll.qlRateHelperEarliestDate($B92,Trigger)</f>
        <v>#NUM!</v>
      </c>
      <c r="J92" s="86" t="e">
        <f>_xll.qlRateHelperLatestDate($B92,Trigger)</f>
        <v>#NUM!</v>
      </c>
      <c r="L92" s="84"/>
    </row>
    <row r="93" spans="2:12" x14ac:dyDescent="0.2">
      <c r="B93" s="182">
        <f>ForwardSwaps!K32</f>
        <v>0</v>
      </c>
      <c r="C93" s="78" t="e">
        <f>_xll.qlRateHelperQuoteName(B93)</f>
        <v>#NUM!</v>
      </c>
      <c r="D93" s="79" t="e">
        <f>_xll.qlRateHelperQuoteValue($B93,Trigger)</f>
        <v>#NUM!</v>
      </c>
      <c r="E93" s="79" t="e">
        <f>_xll.qlSwapRateHelperSpread($B93,Trigger)</f>
        <v>#NUM!</v>
      </c>
      <c r="F93" s="80" t="b">
        <v>0</v>
      </c>
      <c r="G93" s="80">
        <v>50</v>
      </c>
      <c r="H93" s="80">
        <v>1</v>
      </c>
      <c r="I93" s="85" t="e">
        <f>_xll.qlRateHelperEarliestDate($B93,Trigger)</f>
        <v>#NUM!</v>
      </c>
      <c r="J93" s="86" t="e">
        <f>_xll.qlRateHelperLatestDate($B93,Trigger)</f>
        <v>#NUM!</v>
      </c>
      <c r="L93" s="84"/>
    </row>
    <row r="94" spans="2:12" x14ac:dyDescent="0.2">
      <c r="B94" s="182">
        <f>ForwardSwaps!K33</f>
        <v>0</v>
      </c>
      <c r="C94" s="78" t="e">
        <f>_xll.qlRateHelperQuoteName(B94)</f>
        <v>#NUM!</v>
      </c>
      <c r="D94" s="79" t="e">
        <f>_xll.qlRateHelperQuoteValue($B94,Trigger)</f>
        <v>#NUM!</v>
      </c>
      <c r="E94" s="79" t="e">
        <f>_xll.qlSwapRateHelperSpread($B94,Trigger)</f>
        <v>#NUM!</v>
      </c>
      <c r="F94" s="80" t="b">
        <v>0</v>
      </c>
      <c r="G94" s="80">
        <v>50</v>
      </c>
      <c r="H94" s="80">
        <v>1</v>
      </c>
      <c r="I94" s="85" t="e">
        <f>_xll.qlRateHelperEarliestDate($B94,Trigger)</f>
        <v>#NUM!</v>
      </c>
      <c r="J94" s="86" t="e">
        <f>_xll.qlRateHelperLatestDate($B94,Trigger)</f>
        <v>#NUM!</v>
      </c>
      <c r="L94" s="84"/>
    </row>
    <row r="95" spans="2:12" x14ac:dyDescent="0.2">
      <c r="B95" s="182">
        <f>ForwardSwaps!K34</f>
        <v>0</v>
      </c>
      <c r="C95" s="78" t="e">
        <f>_xll.qlRateHelperQuoteName(B95)</f>
        <v>#NUM!</v>
      </c>
      <c r="D95" s="79" t="e">
        <f>_xll.qlRateHelperQuoteValue($B95,Trigger)</f>
        <v>#NUM!</v>
      </c>
      <c r="E95" s="79" t="e">
        <f>_xll.qlSwapRateHelperSpread($B95,Trigger)</f>
        <v>#NUM!</v>
      </c>
      <c r="F95" s="80" t="b">
        <v>0</v>
      </c>
      <c r="G95" s="80">
        <v>50</v>
      </c>
      <c r="H95" s="80">
        <v>1</v>
      </c>
      <c r="I95" s="85" t="e">
        <f>_xll.qlRateHelperEarliestDate($B95,Trigger)</f>
        <v>#NUM!</v>
      </c>
      <c r="J95" s="86" t="e">
        <f>_xll.qlRateHelperLatestDate($B95,Trigger)</f>
        <v>#NUM!</v>
      </c>
      <c r="L95" s="84"/>
    </row>
    <row r="96" spans="2:12" x14ac:dyDescent="0.2">
      <c r="B96" s="182">
        <f>ForwardSwaps!K35</f>
        <v>0</v>
      </c>
      <c r="C96" s="78" t="e">
        <f>_xll.qlRateHelperQuoteName(B96)</f>
        <v>#NUM!</v>
      </c>
      <c r="D96" s="79" t="e">
        <f>_xll.qlRateHelperQuoteValue($B96,Trigger)</f>
        <v>#NUM!</v>
      </c>
      <c r="E96" s="79" t="e">
        <f>_xll.qlSwapRateHelperSpread($B96,Trigger)</f>
        <v>#NUM!</v>
      </c>
      <c r="F96" s="80" t="b">
        <v>0</v>
      </c>
      <c r="G96" s="80">
        <v>50</v>
      </c>
      <c r="H96" s="80">
        <v>1</v>
      </c>
      <c r="I96" s="85" t="e">
        <f>_xll.qlRateHelperEarliestDate($B96,Trigger)</f>
        <v>#NUM!</v>
      </c>
      <c r="J96" s="86" t="e">
        <f>_xll.qlRateHelperLatestDate($B96,Trigger)</f>
        <v>#NUM!</v>
      </c>
      <c r="L96" s="84"/>
    </row>
    <row r="97" spans="2:12" x14ac:dyDescent="0.2">
      <c r="B97" s="182">
        <f>ForwardSwaps!K36</f>
        <v>0</v>
      </c>
      <c r="C97" s="78" t="e">
        <f>_xll.qlRateHelperQuoteName(B97)</f>
        <v>#NUM!</v>
      </c>
      <c r="D97" s="79" t="e">
        <f>_xll.qlRateHelperQuoteValue($B97,Trigger)</f>
        <v>#NUM!</v>
      </c>
      <c r="E97" s="79" t="e">
        <f>_xll.qlSwapRateHelperSpread($B97,Trigger)</f>
        <v>#NUM!</v>
      </c>
      <c r="F97" s="80" t="b">
        <v>0</v>
      </c>
      <c r="G97" s="80">
        <v>50</v>
      </c>
      <c r="H97" s="80">
        <v>1</v>
      </c>
      <c r="I97" s="85" t="e">
        <f>_xll.qlRateHelperEarliestDate($B97,Trigger)</f>
        <v>#NUM!</v>
      </c>
      <c r="J97" s="86" t="e">
        <f>_xll.qlRateHelperLatestDate($B97,Trigger)</f>
        <v>#NUM!</v>
      </c>
      <c r="L97" s="84"/>
    </row>
    <row r="98" spans="2:12" x14ac:dyDescent="0.2">
      <c r="B98" s="182">
        <f>ForwardSwaps!K37</f>
        <v>0</v>
      </c>
      <c r="C98" s="78" t="e">
        <f>_xll.qlRateHelperQuoteName(B98)</f>
        <v>#NUM!</v>
      </c>
      <c r="D98" s="79" t="e">
        <f>_xll.qlRateHelperQuoteValue($B98,Trigger)</f>
        <v>#NUM!</v>
      </c>
      <c r="E98" s="79" t="e">
        <f>_xll.qlSwapRateHelperSpread($B98,Trigger)</f>
        <v>#NUM!</v>
      </c>
      <c r="F98" s="80" t="b">
        <v>0</v>
      </c>
      <c r="G98" s="80">
        <v>50</v>
      </c>
      <c r="H98" s="80">
        <v>1</v>
      </c>
      <c r="I98" s="85" t="e">
        <f>_xll.qlRateHelperEarliestDate($B98,Trigger)</f>
        <v>#NUM!</v>
      </c>
      <c r="J98" s="86" t="e">
        <f>_xll.qlRateHelperLatestDate($B98,Trigger)</f>
        <v>#NUM!</v>
      </c>
      <c r="L98" s="84"/>
    </row>
    <row r="99" spans="2:12" x14ac:dyDescent="0.2">
      <c r="B99" s="182">
        <f>ForwardSwaps!K38</f>
        <v>0</v>
      </c>
      <c r="C99" s="78" t="e">
        <f>_xll.qlRateHelperQuoteName(B99)</f>
        <v>#NUM!</v>
      </c>
      <c r="D99" s="79" t="e">
        <f>_xll.qlRateHelperQuoteValue($B99,Trigger)</f>
        <v>#NUM!</v>
      </c>
      <c r="E99" s="79" t="e">
        <f>_xll.qlSwapRateHelperSpread($B99,Trigger)</f>
        <v>#NUM!</v>
      </c>
      <c r="F99" s="80" t="b">
        <v>0</v>
      </c>
      <c r="G99" s="80">
        <v>50</v>
      </c>
      <c r="H99" s="80">
        <v>1</v>
      </c>
      <c r="I99" s="85" t="e">
        <f>_xll.qlRateHelperEarliestDate($B99,Trigger)</f>
        <v>#NUM!</v>
      </c>
      <c r="J99" s="86" t="e">
        <f>_xll.qlRateHelperLatestDate($B99,Trigger)</f>
        <v>#NUM!</v>
      </c>
      <c r="L99" s="84"/>
    </row>
    <row r="100" spans="2:12" x14ac:dyDescent="0.2">
      <c r="B100" s="182">
        <f>ForwardSwaps!K39</f>
        <v>0</v>
      </c>
      <c r="C100" s="78" t="e">
        <f>_xll.qlRateHelperQuoteName(B100)</f>
        <v>#NUM!</v>
      </c>
      <c r="D100" s="79" t="e">
        <f>_xll.qlRateHelperQuoteValue($B100,Trigger)</f>
        <v>#NUM!</v>
      </c>
      <c r="E100" s="79" t="e">
        <f>_xll.qlSwapRateHelperSpread($B100,Trigger)</f>
        <v>#NUM!</v>
      </c>
      <c r="F100" s="80" t="b">
        <v>0</v>
      </c>
      <c r="G100" s="80">
        <v>50</v>
      </c>
      <c r="H100" s="80">
        <v>1</v>
      </c>
      <c r="I100" s="85" t="e">
        <f>_xll.qlRateHelperEarliestDate($B100,Trigger)</f>
        <v>#NUM!</v>
      </c>
      <c r="J100" s="86" t="e">
        <f>_xll.qlRateHelperLatestDate($B100,Trigger)</f>
        <v>#NUM!</v>
      </c>
      <c r="L100" s="84"/>
    </row>
    <row r="101" spans="2:12" x14ac:dyDescent="0.2">
      <c r="B101" s="182">
        <f>ForwardSwaps!K40</f>
        <v>0</v>
      </c>
      <c r="C101" s="78" t="e">
        <f>_xll.qlRateHelperQuoteName(B101)</f>
        <v>#NUM!</v>
      </c>
      <c r="D101" s="79" t="e">
        <f>_xll.qlRateHelperQuoteValue($B101,Trigger)</f>
        <v>#NUM!</v>
      </c>
      <c r="E101" s="79" t="e">
        <f>_xll.qlSwapRateHelperSpread($B101,Trigger)</f>
        <v>#NUM!</v>
      </c>
      <c r="F101" s="80" t="b">
        <v>0</v>
      </c>
      <c r="G101" s="80">
        <v>50</v>
      </c>
      <c r="H101" s="80">
        <v>1</v>
      </c>
      <c r="I101" s="85" t="e">
        <f>_xll.qlRateHelperEarliestDate($B101,Trigger)</f>
        <v>#NUM!</v>
      </c>
      <c r="J101" s="86" t="e">
        <f>_xll.qlRateHelperLatestDate($B101,Trigger)</f>
        <v>#NUM!</v>
      </c>
      <c r="L101" s="84"/>
    </row>
    <row r="102" spans="2:12" x14ac:dyDescent="0.2">
      <c r="B102" s="183">
        <f>ForwardSwaps!K41</f>
        <v>0</v>
      </c>
      <c r="C102" s="81" t="e">
        <f>_xll.qlRateHelperQuoteName(B102)</f>
        <v>#NUM!</v>
      </c>
      <c r="D102" s="82" t="e">
        <f>_xll.qlRateHelperQuoteValue($B102,Trigger)</f>
        <v>#NUM!</v>
      </c>
      <c r="E102" s="82" t="e">
        <f>_xll.qlSwapRateHelperSpread($B102,Trigger)</f>
        <v>#NUM!</v>
      </c>
      <c r="F102" s="83" t="b">
        <v>0</v>
      </c>
      <c r="G102" s="83">
        <v>50</v>
      </c>
      <c r="H102" s="83">
        <v>1</v>
      </c>
      <c r="I102" s="87" t="e">
        <f>_xll.qlRateHelperEarliestDate($B102,Trigger)</f>
        <v>#NUM!</v>
      </c>
      <c r="J102" s="88" t="e">
        <f>_xll.qlRateHelperLatestDate($B102,Trigger)</f>
        <v>#NUM!</v>
      </c>
      <c r="L102" s="84"/>
    </row>
    <row r="103" spans="2:12" x14ac:dyDescent="0.2">
      <c r="B103" s="184">
        <f>ForwardSwaps!K42</f>
        <v>0</v>
      </c>
      <c r="C103" s="180" t="e">
        <f>_xll.qlRateHelperQuoteName(B103)</f>
        <v>#NUM!</v>
      </c>
      <c r="D103" s="185" t="e">
        <f>_xll.qlRateHelperQuoteValue($B103,Trigger)</f>
        <v>#NUM!</v>
      </c>
      <c r="E103" s="185" t="e">
        <f>_xll.qlSwapRateHelperSpread($B103,Trigger)</f>
        <v>#NUM!</v>
      </c>
      <c r="F103" s="186" t="b">
        <v>0</v>
      </c>
      <c r="G103" s="186">
        <v>50</v>
      </c>
      <c r="H103" s="186">
        <v>1</v>
      </c>
      <c r="I103" s="187" t="e">
        <f>_xll.qlRateHelperEarliestDate($B103,Trigger)</f>
        <v>#NUM!</v>
      </c>
      <c r="J103" s="188" t="e">
        <f>_xll.qlRateHelperLatestDate($B103,Trigger)</f>
        <v>#NUM!</v>
      </c>
      <c r="L103" s="84"/>
    </row>
    <row r="104" spans="2:12" x14ac:dyDescent="0.2">
      <c r="B104" s="182">
        <f>ForwardSwaps!K43</f>
        <v>0</v>
      </c>
      <c r="C104" s="78" t="e">
        <f>_xll.qlRateHelperQuoteName(B104)</f>
        <v>#NUM!</v>
      </c>
      <c r="D104" s="79" t="e">
        <f>_xll.qlRateHelperQuoteValue($B104,Trigger)</f>
        <v>#NUM!</v>
      </c>
      <c r="E104" s="79" t="e">
        <f>_xll.qlSwapRateHelperSpread($B104,Trigger)</f>
        <v>#NUM!</v>
      </c>
      <c r="F104" s="80" t="b">
        <v>0</v>
      </c>
      <c r="G104" s="80">
        <v>50</v>
      </c>
      <c r="H104" s="80">
        <v>1</v>
      </c>
      <c r="I104" s="85" t="e">
        <f>_xll.qlRateHelperEarliestDate($B104,Trigger)</f>
        <v>#NUM!</v>
      </c>
      <c r="J104" s="86" t="e">
        <f>_xll.qlRateHelperLatestDate($B104,Trigger)</f>
        <v>#NUM!</v>
      </c>
      <c r="L104" s="84"/>
    </row>
    <row r="105" spans="2:12" x14ac:dyDescent="0.2">
      <c r="B105" s="182">
        <f>ForwardSwaps!K44</f>
        <v>0</v>
      </c>
      <c r="C105" s="78" t="e">
        <f>_xll.qlRateHelperQuoteName(B105)</f>
        <v>#NUM!</v>
      </c>
      <c r="D105" s="79" t="e">
        <f>_xll.qlRateHelperQuoteValue($B105,Trigger)</f>
        <v>#NUM!</v>
      </c>
      <c r="E105" s="79" t="e">
        <f>_xll.qlSwapRateHelperSpread($B105,Trigger)</f>
        <v>#NUM!</v>
      </c>
      <c r="F105" s="80" t="b">
        <v>0</v>
      </c>
      <c r="G105" s="80">
        <v>50</v>
      </c>
      <c r="H105" s="80">
        <v>1</v>
      </c>
      <c r="I105" s="85" t="e">
        <f>_xll.qlRateHelperEarliestDate($B105,Trigger)</f>
        <v>#NUM!</v>
      </c>
      <c r="J105" s="86" t="e">
        <f>_xll.qlRateHelperLatestDate($B105,Trigger)</f>
        <v>#NUM!</v>
      </c>
      <c r="L105" s="84"/>
    </row>
    <row r="106" spans="2:12" x14ac:dyDescent="0.2">
      <c r="B106" s="182">
        <f>ForwardSwaps!K45</f>
        <v>0</v>
      </c>
      <c r="C106" s="78" t="e">
        <f>_xll.qlRateHelperQuoteName(B106)</f>
        <v>#NUM!</v>
      </c>
      <c r="D106" s="79" t="e">
        <f>_xll.qlRateHelperQuoteValue($B106,Trigger)</f>
        <v>#NUM!</v>
      </c>
      <c r="E106" s="79" t="e">
        <f>_xll.qlSwapRateHelperSpread($B106,Trigger)</f>
        <v>#NUM!</v>
      </c>
      <c r="F106" s="80" t="b">
        <v>0</v>
      </c>
      <c r="G106" s="80">
        <v>50</v>
      </c>
      <c r="H106" s="80">
        <v>1</v>
      </c>
      <c r="I106" s="85" t="e">
        <f>_xll.qlRateHelperEarliestDate($B106,Trigger)</f>
        <v>#NUM!</v>
      </c>
      <c r="J106" s="86" t="e">
        <f>_xll.qlRateHelperLatestDate($B106,Trigger)</f>
        <v>#NUM!</v>
      </c>
      <c r="L106" s="84"/>
    </row>
    <row r="107" spans="2:12" x14ac:dyDescent="0.2">
      <c r="B107" s="182">
        <f>ForwardSwaps!K46</f>
        <v>0</v>
      </c>
      <c r="C107" s="78" t="e">
        <f>_xll.qlRateHelperQuoteName(B107)</f>
        <v>#NUM!</v>
      </c>
      <c r="D107" s="79" t="e">
        <f>_xll.qlRateHelperQuoteValue($B107,Trigger)</f>
        <v>#NUM!</v>
      </c>
      <c r="E107" s="79" t="e">
        <f>_xll.qlSwapRateHelperSpread($B107,Trigger)</f>
        <v>#NUM!</v>
      </c>
      <c r="F107" s="80" t="b">
        <v>0</v>
      </c>
      <c r="G107" s="80">
        <v>50</v>
      </c>
      <c r="H107" s="80">
        <v>1</v>
      </c>
      <c r="I107" s="85" t="e">
        <f>_xll.qlRateHelperEarliestDate($B107,Trigger)</f>
        <v>#NUM!</v>
      </c>
      <c r="J107" s="86" t="e">
        <f>_xll.qlRateHelperLatestDate($B107,Trigger)</f>
        <v>#NUM!</v>
      </c>
      <c r="L107" s="84"/>
    </row>
    <row r="108" spans="2:12" x14ac:dyDescent="0.2">
      <c r="B108" s="182">
        <f>ForwardSwaps!K47</f>
        <v>0</v>
      </c>
      <c r="C108" s="78" t="e">
        <f>_xll.qlRateHelperQuoteName(B108)</f>
        <v>#NUM!</v>
      </c>
      <c r="D108" s="79" t="e">
        <f>_xll.qlRateHelperQuoteValue($B108,Trigger)</f>
        <v>#NUM!</v>
      </c>
      <c r="E108" s="79" t="e">
        <f>_xll.qlSwapRateHelperSpread($B108,Trigger)</f>
        <v>#NUM!</v>
      </c>
      <c r="F108" s="80" t="b">
        <v>0</v>
      </c>
      <c r="G108" s="80">
        <v>50</v>
      </c>
      <c r="H108" s="80">
        <v>1</v>
      </c>
      <c r="I108" s="85" t="e">
        <f>_xll.qlRateHelperEarliestDate($B108,Trigger)</f>
        <v>#NUM!</v>
      </c>
      <c r="J108" s="86" t="e">
        <f>_xll.qlRateHelperLatestDate($B108,Trigger)</f>
        <v>#NUM!</v>
      </c>
      <c r="L108" s="84"/>
    </row>
    <row r="109" spans="2:12" x14ac:dyDescent="0.2">
      <c r="B109" s="182">
        <f>ForwardSwaps!K48</f>
        <v>0</v>
      </c>
      <c r="C109" s="78" t="e">
        <f>_xll.qlRateHelperQuoteName(B109)</f>
        <v>#NUM!</v>
      </c>
      <c r="D109" s="79" t="e">
        <f>_xll.qlRateHelperQuoteValue($B109,Trigger)</f>
        <v>#NUM!</v>
      </c>
      <c r="E109" s="79" t="e">
        <f>_xll.qlSwapRateHelperSpread($B109,Trigger)</f>
        <v>#NUM!</v>
      </c>
      <c r="F109" s="80" t="b">
        <v>0</v>
      </c>
      <c r="G109" s="80">
        <v>50</v>
      </c>
      <c r="H109" s="80">
        <v>1</v>
      </c>
      <c r="I109" s="85" t="e">
        <f>_xll.qlRateHelperEarliestDate($B109,Trigger)</f>
        <v>#NUM!</v>
      </c>
      <c r="J109" s="86" t="e">
        <f>_xll.qlRateHelperLatestDate($B109,Trigger)</f>
        <v>#NUM!</v>
      </c>
      <c r="L109" s="84"/>
    </row>
    <row r="110" spans="2:12" x14ac:dyDescent="0.2">
      <c r="B110" s="182">
        <f>ForwardSwaps!K49</f>
        <v>0</v>
      </c>
      <c r="C110" s="78" t="e">
        <f>_xll.qlRateHelperQuoteName(B110)</f>
        <v>#NUM!</v>
      </c>
      <c r="D110" s="79" t="e">
        <f>_xll.qlRateHelperQuoteValue($B110,Trigger)</f>
        <v>#NUM!</v>
      </c>
      <c r="E110" s="79" t="e">
        <f>_xll.qlSwapRateHelperSpread($B110,Trigger)</f>
        <v>#NUM!</v>
      </c>
      <c r="F110" s="80" t="b">
        <v>0</v>
      </c>
      <c r="G110" s="80">
        <v>50</v>
      </c>
      <c r="H110" s="80">
        <v>1</v>
      </c>
      <c r="I110" s="85" t="e">
        <f>_xll.qlRateHelperEarliestDate($B110,Trigger)</f>
        <v>#NUM!</v>
      </c>
      <c r="J110" s="86" t="e">
        <f>_xll.qlRateHelperLatestDate($B110,Trigger)</f>
        <v>#NUM!</v>
      </c>
      <c r="L110" s="84"/>
    </row>
    <row r="111" spans="2:12" x14ac:dyDescent="0.2">
      <c r="B111" s="182">
        <f>ForwardSwaps!K50</f>
        <v>0</v>
      </c>
      <c r="C111" s="78" t="e">
        <f>_xll.qlRateHelperQuoteName(B111)</f>
        <v>#NUM!</v>
      </c>
      <c r="D111" s="79" t="e">
        <f>_xll.qlRateHelperQuoteValue($B111,Trigger)</f>
        <v>#NUM!</v>
      </c>
      <c r="E111" s="79" t="e">
        <f>_xll.qlSwapRateHelperSpread($B111,Trigger)</f>
        <v>#NUM!</v>
      </c>
      <c r="F111" s="80" t="b">
        <v>0</v>
      </c>
      <c r="G111" s="80">
        <v>50</v>
      </c>
      <c r="H111" s="80">
        <v>1</v>
      </c>
      <c r="I111" s="85" t="e">
        <f>_xll.qlRateHelperEarliestDate($B111,Trigger)</f>
        <v>#NUM!</v>
      </c>
      <c r="J111" s="86" t="e">
        <f>_xll.qlRateHelperLatestDate($B111,Trigger)</f>
        <v>#NUM!</v>
      </c>
      <c r="L111" s="84"/>
    </row>
    <row r="112" spans="2:12" x14ac:dyDescent="0.2">
      <c r="B112" s="182">
        <f>ForwardSwaps!K51</f>
        <v>0</v>
      </c>
      <c r="C112" s="78" t="e">
        <f>_xll.qlRateHelperQuoteName(B112)</f>
        <v>#NUM!</v>
      </c>
      <c r="D112" s="79" t="e">
        <f>_xll.qlRateHelperQuoteValue($B112,Trigger)</f>
        <v>#NUM!</v>
      </c>
      <c r="E112" s="79" t="e">
        <f>_xll.qlSwapRateHelperSpread($B112,Trigger)</f>
        <v>#NUM!</v>
      </c>
      <c r="F112" s="80" t="b">
        <v>0</v>
      </c>
      <c r="G112" s="80">
        <v>50</v>
      </c>
      <c r="H112" s="80">
        <v>1</v>
      </c>
      <c r="I112" s="85" t="e">
        <f>_xll.qlRateHelperEarliestDate($B112,Trigger)</f>
        <v>#NUM!</v>
      </c>
      <c r="J112" s="86" t="e">
        <f>_xll.qlRateHelperLatestDate($B112,Trigger)</f>
        <v>#NUM!</v>
      </c>
      <c r="L112" s="84"/>
    </row>
    <row r="113" spans="2:12" x14ac:dyDescent="0.2">
      <c r="B113" s="182">
        <f>ForwardSwaps!K52</f>
        <v>0</v>
      </c>
      <c r="C113" s="78" t="e">
        <f>_xll.qlRateHelperQuoteName(B113)</f>
        <v>#NUM!</v>
      </c>
      <c r="D113" s="79" t="e">
        <f>_xll.qlRateHelperQuoteValue($B113,Trigger)</f>
        <v>#NUM!</v>
      </c>
      <c r="E113" s="79" t="e">
        <f>_xll.qlSwapRateHelperSpread($B113,Trigger)</f>
        <v>#NUM!</v>
      </c>
      <c r="F113" s="80" t="b">
        <v>0</v>
      </c>
      <c r="G113" s="80">
        <v>50</v>
      </c>
      <c r="H113" s="80">
        <v>1</v>
      </c>
      <c r="I113" s="85" t="e">
        <f>_xll.qlRateHelperEarliestDate($B113,Trigger)</f>
        <v>#NUM!</v>
      </c>
      <c r="J113" s="86" t="e">
        <f>_xll.qlRateHelperLatestDate($B113,Trigger)</f>
        <v>#NUM!</v>
      </c>
      <c r="L113" s="84"/>
    </row>
    <row r="114" spans="2:12" x14ac:dyDescent="0.2">
      <c r="B114" s="182">
        <f>ForwardSwaps!K53</f>
        <v>0</v>
      </c>
      <c r="C114" s="78" t="e">
        <f>_xll.qlRateHelperQuoteName(B114)</f>
        <v>#NUM!</v>
      </c>
      <c r="D114" s="79" t="e">
        <f>_xll.qlRateHelperQuoteValue($B114,Trigger)</f>
        <v>#NUM!</v>
      </c>
      <c r="E114" s="79" t="e">
        <f>_xll.qlSwapRateHelperSpread($B114,Trigger)</f>
        <v>#NUM!</v>
      </c>
      <c r="F114" s="80" t="b">
        <v>0</v>
      </c>
      <c r="G114" s="80">
        <v>50</v>
      </c>
      <c r="H114" s="80">
        <v>1</v>
      </c>
      <c r="I114" s="85" t="e">
        <f>_xll.qlRateHelperEarliestDate($B114,Trigger)</f>
        <v>#NUM!</v>
      </c>
      <c r="J114" s="86" t="e">
        <f>_xll.qlRateHelperLatestDate($B114,Trigger)</f>
        <v>#NUM!</v>
      </c>
      <c r="L114" s="84"/>
    </row>
    <row r="115" spans="2:12" x14ac:dyDescent="0.2">
      <c r="B115" s="182">
        <f>ForwardSwaps!K54</f>
        <v>0</v>
      </c>
      <c r="C115" s="78" t="e">
        <f>_xll.qlRateHelperQuoteName(B115)</f>
        <v>#NUM!</v>
      </c>
      <c r="D115" s="79" t="e">
        <f>_xll.qlRateHelperQuoteValue($B115,Trigger)</f>
        <v>#NUM!</v>
      </c>
      <c r="E115" s="79" t="e">
        <f>_xll.qlSwapRateHelperSpread($B115,Trigger)</f>
        <v>#NUM!</v>
      </c>
      <c r="F115" s="80" t="b">
        <v>0</v>
      </c>
      <c r="G115" s="80">
        <v>50</v>
      </c>
      <c r="H115" s="80">
        <v>1</v>
      </c>
      <c r="I115" s="85" t="e">
        <f>_xll.qlRateHelperEarliestDate($B115,Trigger)</f>
        <v>#NUM!</v>
      </c>
      <c r="J115" s="86" t="e">
        <f>_xll.qlRateHelperLatestDate($B115,Trigger)</f>
        <v>#NUM!</v>
      </c>
      <c r="L115" s="84"/>
    </row>
    <row r="116" spans="2:12" x14ac:dyDescent="0.2">
      <c r="B116" s="182">
        <f>ForwardSwaps!K55</f>
        <v>0</v>
      </c>
      <c r="C116" s="78" t="e">
        <f>_xll.qlRateHelperQuoteName(B116)</f>
        <v>#NUM!</v>
      </c>
      <c r="D116" s="79" t="e">
        <f>_xll.qlRateHelperQuoteValue($B116,Trigger)</f>
        <v>#NUM!</v>
      </c>
      <c r="E116" s="79" t="e">
        <f>_xll.qlSwapRateHelperSpread($B116,Trigger)</f>
        <v>#NUM!</v>
      </c>
      <c r="F116" s="80" t="b">
        <v>0</v>
      </c>
      <c r="G116" s="80">
        <v>50</v>
      </c>
      <c r="H116" s="80">
        <v>1</v>
      </c>
      <c r="I116" s="85" t="e">
        <f>_xll.qlRateHelperEarliestDate($B116,Trigger)</f>
        <v>#NUM!</v>
      </c>
      <c r="J116" s="86" t="e">
        <f>_xll.qlRateHelperLatestDate($B116,Trigger)</f>
        <v>#NUM!</v>
      </c>
      <c r="L116" s="84"/>
    </row>
    <row r="117" spans="2:12" x14ac:dyDescent="0.2">
      <c r="B117" s="182">
        <f>ForwardSwaps!K56</f>
        <v>0</v>
      </c>
      <c r="C117" s="78" t="e">
        <f>_xll.qlRateHelperQuoteName(B117)</f>
        <v>#NUM!</v>
      </c>
      <c r="D117" s="79" t="e">
        <f>_xll.qlRateHelperQuoteValue($B117,Trigger)</f>
        <v>#NUM!</v>
      </c>
      <c r="E117" s="79" t="e">
        <f>_xll.qlSwapRateHelperSpread($B117,Trigger)</f>
        <v>#NUM!</v>
      </c>
      <c r="F117" s="80" t="b">
        <v>0</v>
      </c>
      <c r="G117" s="80">
        <v>50</v>
      </c>
      <c r="H117" s="80">
        <v>1</v>
      </c>
      <c r="I117" s="85" t="e">
        <f>_xll.qlRateHelperEarliestDate($B117,Trigger)</f>
        <v>#NUM!</v>
      </c>
      <c r="J117" s="86" t="e">
        <f>_xll.qlRateHelperLatestDate($B117,Trigger)</f>
        <v>#NUM!</v>
      </c>
      <c r="L117" s="84"/>
    </row>
    <row r="118" spans="2:12" x14ac:dyDescent="0.2">
      <c r="B118" s="182">
        <f>ForwardSwaps!K57</f>
        <v>0</v>
      </c>
      <c r="C118" s="78" t="e">
        <f>_xll.qlRateHelperQuoteName(B118)</f>
        <v>#NUM!</v>
      </c>
      <c r="D118" s="79" t="e">
        <f>_xll.qlRateHelperQuoteValue($B118,Trigger)</f>
        <v>#NUM!</v>
      </c>
      <c r="E118" s="79" t="e">
        <f>_xll.qlSwapRateHelperSpread($B118,Trigger)</f>
        <v>#NUM!</v>
      </c>
      <c r="F118" s="80" t="b">
        <v>0</v>
      </c>
      <c r="G118" s="80">
        <v>50</v>
      </c>
      <c r="H118" s="80">
        <v>1</v>
      </c>
      <c r="I118" s="85" t="e">
        <f>_xll.qlRateHelperEarliestDate($B118,Trigger)</f>
        <v>#NUM!</v>
      </c>
      <c r="J118" s="86" t="e">
        <f>_xll.qlRateHelperLatestDate($B118,Trigger)</f>
        <v>#NUM!</v>
      </c>
      <c r="L118" s="84"/>
    </row>
    <row r="119" spans="2:12" x14ac:dyDescent="0.2">
      <c r="B119" s="182">
        <f>ForwardSwaps!K58</f>
        <v>0</v>
      </c>
      <c r="C119" s="78" t="e">
        <f>_xll.qlRateHelperQuoteName(B119)</f>
        <v>#NUM!</v>
      </c>
      <c r="D119" s="79" t="e">
        <f>_xll.qlRateHelperQuoteValue($B119,Trigger)</f>
        <v>#NUM!</v>
      </c>
      <c r="E119" s="79" t="e">
        <f>_xll.qlSwapRateHelperSpread($B119,Trigger)</f>
        <v>#NUM!</v>
      </c>
      <c r="F119" s="80" t="b">
        <v>0</v>
      </c>
      <c r="G119" s="80">
        <v>50</v>
      </c>
      <c r="H119" s="80">
        <v>1</v>
      </c>
      <c r="I119" s="85" t="e">
        <f>_xll.qlRateHelperEarliestDate($B119,Trigger)</f>
        <v>#NUM!</v>
      </c>
      <c r="J119" s="86" t="e">
        <f>_xll.qlRateHelperLatestDate($B119,Trigger)</f>
        <v>#NUM!</v>
      </c>
      <c r="L119" s="84"/>
    </row>
    <row r="120" spans="2:12" x14ac:dyDescent="0.2">
      <c r="B120" s="183">
        <f>ForwardSwaps!K59</f>
        <v>0</v>
      </c>
      <c r="C120" s="81" t="e">
        <f>_xll.qlRateHelperQuoteName(B120)</f>
        <v>#NUM!</v>
      </c>
      <c r="D120" s="82" t="e">
        <f>_xll.qlRateHelperQuoteValue($B120,Trigger)</f>
        <v>#NUM!</v>
      </c>
      <c r="E120" s="82" t="e">
        <f>_xll.qlSwapRateHelperSpread($B120,Trigger)</f>
        <v>#NUM!</v>
      </c>
      <c r="F120" s="83" t="b">
        <v>0</v>
      </c>
      <c r="G120" s="83">
        <v>50</v>
      </c>
      <c r="H120" s="83">
        <v>1</v>
      </c>
      <c r="I120" s="87" t="e">
        <f>_xll.qlRateHelperEarliestDate($B120,Trigger)</f>
        <v>#NUM!</v>
      </c>
      <c r="J120" s="88" t="e">
        <f>_xll.qlRateHelperLatestDate($B120,Trigger)</f>
        <v>#NUM!</v>
      </c>
      <c r="L120" s="84"/>
    </row>
    <row r="121" spans="2:12" x14ac:dyDescent="0.2">
      <c r="B121" s="184">
        <f>ForwardSwaps!K60</f>
        <v>0</v>
      </c>
      <c r="C121" s="180" t="e">
        <f>_xll.qlRateHelperQuoteName(B121)</f>
        <v>#NUM!</v>
      </c>
      <c r="D121" s="185" t="e">
        <f>_xll.qlRateHelperQuoteValue($B121,Trigger)</f>
        <v>#NUM!</v>
      </c>
      <c r="E121" s="185" t="e">
        <f>_xll.qlSwapRateHelperSpread($B121,Trigger)</f>
        <v>#NUM!</v>
      </c>
      <c r="F121" s="186" t="b">
        <v>0</v>
      </c>
      <c r="G121" s="186">
        <v>50</v>
      </c>
      <c r="H121" s="186">
        <v>1</v>
      </c>
      <c r="I121" s="187" t="e">
        <f>_xll.qlRateHelperEarliestDate($B121,Trigger)</f>
        <v>#NUM!</v>
      </c>
      <c r="J121" s="188" t="e">
        <f>_xll.qlRateHelperLatestDate($B121,Trigger)</f>
        <v>#NUM!</v>
      </c>
      <c r="L121" s="84"/>
    </row>
    <row r="122" spans="2:12" x14ac:dyDescent="0.2">
      <c r="B122" s="182">
        <f>ForwardSwaps!K61</f>
        <v>0</v>
      </c>
      <c r="C122" s="78" t="e">
        <f>_xll.qlRateHelperQuoteName(B122)</f>
        <v>#NUM!</v>
      </c>
      <c r="D122" s="79" t="e">
        <f>_xll.qlRateHelperQuoteValue($B122,Trigger)</f>
        <v>#NUM!</v>
      </c>
      <c r="E122" s="79" t="e">
        <f>_xll.qlSwapRateHelperSpread($B122,Trigger)</f>
        <v>#NUM!</v>
      </c>
      <c r="F122" s="80" t="b">
        <v>0</v>
      </c>
      <c r="G122" s="80">
        <v>50</v>
      </c>
      <c r="H122" s="80">
        <v>1</v>
      </c>
      <c r="I122" s="85" t="e">
        <f>_xll.qlRateHelperEarliestDate($B122,Trigger)</f>
        <v>#NUM!</v>
      </c>
      <c r="J122" s="86" t="e">
        <f>_xll.qlRateHelperLatestDate($B122,Trigger)</f>
        <v>#NUM!</v>
      </c>
      <c r="L122" s="84"/>
    </row>
    <row r="123" spans="2:12" x14ac:dyDescent="0.2">
      <c r="B123" s="182">
        <f>ForwardSwaps!K62</f>
        <v>0</v>
      </c>
      <c r="C123" s="78" t="e">
        <f>_xll.qlRateHelperQuoteName(B123)</f>
        <v>#NUM!</v>
      </c>
      <c r="D123" s="79" t="e">
        <f>_xll.qlRateHelperQuoteValue($B123,Trigger)</f>
        <v>#NUM!</v>
      </c>
      <c r="E123" s="79" t="e">
        <f>_xll.qlSwapRateHelperSpread($B123,Trigger)</f>
        <v>#NUM!</v>
      </c>
      <c r="F123" s="80" t="b">
        <v>0</v>
      </c>
      <c r="G123" s="80">
        <v>50</v>
      </c>
      <c r="H123" s="80">
        <v>1</v>
      </c>
      <c r="I123" s="85" t="e">
        <f>_xll.qlRateHelperEarliestDate($B123,Trigger)</f>
        <v>#NUM!</v>
      </c>
      <c r="J123" s="86" t="e">
        <f>_xll.qlRateHelperLatestDate($B123,Trigger)</f>
        <v>#NUM!</v>
      </c>
      <c r="L123" s="84"/>
    </row>
    <row r="124" spans="2:12" x14ac:dyDescent="0.2">
      <c r="B124" s="182">
        <f>ForwardSwaps!K63</f>
        <v>0</v>
      </c>
      <c r="C124" s="78" t="e">
        <f>_xll.qlRateHelperQuoteName(B124)</f>
        <v>#NUM!</v>
      </c>
      <c r="D124" s="79" t="e">
        <f>_xll.qlRateHelperQuoteValue($B124,Trigger)</f>
        <v>#NUM!</v>
      </c>
      <c r="E124" s="79" t="e">
        <f>_xll.qlSwapRateHelperSpread($B124,Trigger)</f>
        <v>#NUM!</v>
      </c>
      <c r="F124" s="80" t="b">
        <v>0</v>
      </c>
      <c r="G124" s="80">
        <v>50</v>
      </c>
      <c r="H124" s="80">
        <v>1</v>
      </c>
      <c r="I124" s="85" t="e">
        <f>_xll.qlRateHelperEarliestDate($B124,Trigger)</f>
        <v>#NUM!</v>
      </c>
      <c r="J124" s="86" t="e">
        <f>_xll.qlRateHelperLatestDate($B124,Trigger)</f>
        <v>#NUM!</v>
      </c>
      <c r="L124" s="84"/>
    </row>
    <row r="125" spans="2:12" x14ac:dyDescent="0.2">
      <c r="B125" s="182">
        <f>ForwardSwaps!K64</f>
        <v>0</v>
      </c>
      <c r="C125" s="78" t="e">
        <f>_xll.qlRateHelperQuoteName(B125)</f>
        <v>#NUM!</v>
      </c>
      <c r="D125" s="79" t="e">
        <f>_xll.qlRateHelperQuoteValue($B125,Trigger)</f>
        <v>#NUM!</v>
      </c>
      <c r="E125" s="79" t="e">
        <f>_xll.qlSwapRateHelperSpread($B125,Trigger)</f>
        <v>#NUM!</v>
      </c>
      <c r="F125" s="80" t="b">
        <v>0</v>
      </c>
      <c r="G125" s="80">
        <v>50</v>
      </c>
      <c r="H125" s="80">
        <v>1</v>
      </c>
      <c r="I125" s="85" t="e">
        <f>_xll.qlRateHelperEarliestDate($B125,Trigger)</f>
        <v>#NUM!</v>
      </c>
      <c r="J125" s="86" t="e">
        <f>_xll.qlRateHelperLatestDate($B125,Trigger)</f>
        <v>#NUM!</v>
      </c>
      <c r="L125" s="84"/>
    </row>
    <row r="126" spans="2:12" x14ac:dyDescent="0.2">
      <c r="B126" s="182">
        <f>ForwardSwaps!K65</f>
        <v>0</v>
      </c>
      <c r="C126" s="78" t="e">
        <f>_xll.qlRateHelperQuoteName(B126)</f>
        <v>#NUM!</v>
      </c>
      <c r="D126" s="79" t="e">
        <f>_xll.qlRateHelperQuoteValue($B126,Trigger)</f>
        <v>#NUM!</v>
      </c>
      <c r="E126" s="79" t="e">
        <f>_xll.qlSwapRateHelperSpread($B126,Trigger)</f>
        <v>#NUM!</v>
      </c>
      <c r="F126" s="80" t="b">
        <v>0</v>
      </c>
      <c r="G126" s="80">
        <v>50</v>
      </c>
      <c r="H126" s="80">
        <v>1</v>
      </c>
      <c r="I126" s="85" t="e">
        <f>_xll.qlRateHelperEarliestDate($B126,Trigger)</f>
        <v>#NUM!</v>
      </c>
      <c r="J126" s="86" t="e">
        <f>_xll.qlRateHelperLatestDate($B126,Trigger)</f>
        <v>#NUM!</v>
      </c>
      <c r="L126" s="84"/>
    </row>
    <row r="127" spans="2:12" x14ac:dyDescent="0.2">
      <c r="B127" s="182">
        <f>ForwardSwaps!K66</f>
        <v>0</v>
      </c>
      <c r="C127" s="78" t="e">
        <f>_xll.qlRateHelperQuoteName(B127)</f>
        <v>#NUM!</v>
      </c>
      <c r="D127" s="79" t="e">
        <f>_xll.qlRateHelperQuoteValue($B127,Trigger)</f>
        <v>#NUM!</v>
      </c>
      <c r="E127" s="79" t="e">
        <f>_xll.qlSwapRateHelperSpread($B127,Trigger)</f>
        <v>#NUM!</v>
      </c>
      <c r="F127" s="80" t="b">
        <v>0</v>
      </c>
      <c r="G127" s="80">
        <v>50</v>
      </c>
      <c r="H127" s="80">
        <v>1</v>
      </c>
      <c r="I127" s="85" t="e">
        <f>_xll.qlRateHelperEarliestDate($B127,Trigger)</f>
        <v>#NUM!</v>
      </c>
      <c r="J127" s="86" t="e">
        <f>_xll.qlRateHelperLatestDate($B127,Trigger)</f>
        <v>#NUM!</v>
      </c>
      <c r="L127" s="84"/>
    </row>
    <row r="128" spans="2:12" x14ac:dyDescent="0.2">
      <c r="B128" s="182">
        <f>ForwardSwaps!K67</f>
        <v>0</v>
      </c>
      <c r="C128" s="78" t="e">
        <f>_xll.qlRateHelperQuoteName(B128)</f>
        <v>#NUM!</v>
      </c>
      <c r="D128" s="79" t="e">
        <f>_xll.qlRateHelperQuoteValue($B128,Trigger)</f>
        <v>#NUM!</v>
      </c>
      <c r="E128" s="79" t="e">
        <f>_xll.qlSwapRateHelperSpread($B128,Trigger)</f>
        <v>#NUM!</v>
      </c>
      <c r="F128" s="80" t="b">
        <v>0</v>
      </c>
      <c r="G128" s="80">
        <v>50</v>
      </c>
      <c r="H128" s="80">
        <v>1</v>
      </c>
      <c r="I128" s="85" t="e">
        <f>_xll.qlRateHelperEarliestDate($B128,Trigger)</f>
        <v>#NUM!</v>
      </c>
      <c r="J128" s="86" t="e">
        <f>_xll.qlRateHelperLatestDate($B128,Trigger)</f>
        <v>#NUM!</v>
      </c>
      <c r="L128" s="84"/>
    </row>
    <row r="129" spans="2:12" x14ac:dyDescent="0.2">
      <c r="B129" s="182">
        <f>ForwardSwaps!K68</f>
        <v>0</v>
      </c>
      <c r="C129" s="78" t="e">
        <f>_xll.qlRateHelperQuoteName(B129)</f>
        <v>#NUM!</v>
      </c>
      <c r="D129" s="79" t="e">
        <f>_xll.qlRateHelperQuoteValue($B129,Trigger)</f>
        <v>#NUM!</v>
      </c>
      <c r="E129" s="79" t="e">
        <f>_xll.qlSwapRateHelperSpread($B129,Trigger)</f>
        <v>#NUM!</v>
      </c>
      <c r="F129" s="80" t="b">
        <v>0</v>
      </c>
      <c r="G129" s="80">
        <v>50</v>
      </c>
      <c r="H129" s="80">
        <v>1</v>
      </c>
      <c r="I129" s="85" t="e">
        <f>_xll.qlRateHelperEarliestDate($B129,Trigger)</f>
        <v>#NUM!</v>
      </c>
      <c r="J129" s="86" t="e">
        <f>_xll.qlRateHelperLatestDate($B129,Trigger)</f>
        <v>#NUM!</v>
      </c>
      <c r="L129" s="84"/>
    </row>
    <row r="130" spans="2:12" x14ac:dyDescent="0.2">
      <c r="B130" s="182">
        <f>ForwardSwaps!K69</f>
        <v>0</v>
      </c>
      <c r="C130" s="78" t="e">
        <f>_xll.qlRateHelperQuoteName(B130)</f>
        <v>#NUM!</v>
      </c>
      <c r="D130" s="79" t="e">
        <f>_xll.qlRateHelperQuoteValue($B130,Trigger)</f>
        <v>#NUM!</v>
      </c>
      <c r="E130" s="79" t="e">
        <f>_xll.qlSwapRateHelperSpread($B130,Trigger)</f>
        <v>#NUM!</v>
      </c>
      <c r="F130" s="80" t="b">
        <v>0</v>
      </c>
      <c r="G130" s="80">
        <v>50</v>
      </c>
      <c r="H130" s="80">
        <v>1</v>
      </c>
      <c r="I130" s="85" t="e">
        <f>_xll.qlRateHelperEarliestDate($B130,Trigger)</f>
        <v>#NUM!</v>
      </c>
      <c r="J130" s="86" t="e">
        <f>_xll.qlRateHelperLatestDate($B130,Trigger)</f>
        <v>#NUM!</v>
      </c>
      <c r="L130" s="84"/>
    </row>
    <row r="131" spans="2:12" x14ac:dyDescent="0.2">
      <c r="B131" s="182">
        <f>ForwardSwaps!K70</f>
        <v>0</v>
      </c>
      <c r="C131" s="78" t="e">
        <f>_xll.qlRateHelperQuoteName(B131)</f>
        <v>#NUM!</v>
      </c>
      <c r="D131" s="79" t="e">
        <f>_xll.qlRateHelperQuoteValue($B131,Trigger)</f>
        <v>#NUM!</v>
      </c>
      <c r="E131" s="79" t="e">
        <f>_xll.qlSwapRateHelperSpread($B131,Trigger)</f>
        <v>#NUM!</v>
      </c>
      <c r="F131" s="80" t="b">
        <v>0</v>
      </c>
      <c r="G131" s="80">
        <v>50</v>
      </c>
      <c r="H131" s="80">
        <v>1</v>
      </c>
      <c r="I131" s="85" t="e">
        <f>_xll.qlRateHelperEarliestDate($B131,Trigger)</f>
        <v>#NUM!</v>
      </c>
      <c r="J131" s="86" t="e">
        <f>_xll.qlRateHelperLatestDate($B131,Trigger)</f>
        <v>#NUM!</v>
      </c>
      <c r="L131" s="84"/>
    </row>
    <row r="132" spans="2:12" x14ac:dyDescent="0.2">
      <c r="B132" s="182">
        <f>ForwardSwaps!K71</f>
        <v>0</v>
      </c>
      <c r="C132" s="78" t="e">
        <f>_xll.qlRateHelperQuoteName(B132)</f>
        <v>#NUM!</v>
      </c>
      <c r="D132" s="79" t="e">
        <f>_xll.qlRateHelperQuoteValue($B132,Trigger)</f>
        <v>#NUM!</v>
      </c>
      <c r="E132" s="79" t="e">
        <f>_xll.qlSwapRateHelperSpread($B132,Trigger)</f>
        <v>#NUM!</v>
      </c>
      <c r="F132" s="80" t="b">
        <v>0</v>
      </c>
      <c r="G132" s="80">
        <v>50</v>
      </c>
      <c r="H132" s="80">
        <v>1</v>
      </c>
      <c r="I132" s="85" t="e">
        <f>_xll.qlRateHelperEarliestDate($B132,Trigger)</f>
        <v>#NUM!</v>
      </c>
      <c r="J132" s="86" t="e">
        <f>_xll.qlRateHelperLatestDate($B132,Trigger)</f>
        <v>#NUM!</v>
      </c>
      <c r="L132" s="84"/>
    </row>
    <row r="133" spans="2:12" x14ac:dyDescent="0.2">
      <c r="B133" s="182">
        <f>ForwardSwaps!K72</f>
        <v>0</v>
      </c>
      <c r="C133" s="78" t="e">
        <f>_xll.qlRateHelperQuoteName(B133)</f>
        <v>#NUM!</v>
      </c>
      <c r="D133" s="79" t="e">
        <f>_xll.qlRateHelperQuoteValue($B133,Trigger)</f>
        <v>#NUM!</v>
      </c>
      <c r="E133" s="79" t="e">
        <f>_xll.qlSwapRateHelperSpread($B133,Trigger)</f>
        <v>#NUM!</v>
      </c>
      <c r="F133" s="80" t="b">
        <v>0</v>
      </c>
      <c r="G133" s="80">
        <v>50</v>
      </c>
      <c r="H133" s="80">
        <v>1</v>
      </c>
      <c r="I133" s="85" t="e">
        <f>_xll.qlRateHelperEarliestDate($B133,Trigger)</f>
        <v>#NUM!</v>
      </c>
      <c r="J133" s="86" t="e">
        <f>_xll.qlRateHelperLatestDate($B133,Trigger)</f>
        <v>#NUM!</v>
      </c>
      <c r="L133" s="84"/>
    </row>
    <row r="134" spans="2:12" x14ac:dyDescent="0.2">
      <c r="B134" s="182">
        <f>ForwardSwaps!K73</f>
        <v>0</v>
      </c>
      <c r="C134" s="78" t="e">
        <f>_xll.qlRateHelperQuoteName(B134)</f>
        <v>#NUM!</v>
      </c>
      <c r="D134" s="79" t="e">
        <f>_xll.qlRateHelperQuoteValue($B134,Trigger)</f>
        <v>#NUM!</v>
      </c>
      <c r="E134" s="79" t="e">
        <f>_xll.qlSwapRateHelperSpread($B134,Trigger)</f>
        <v>#NUM!</v>
      </c>
      <c r="F134" s="80" t="b">
        <v>0</v>
      </c>
      <c r="G134" s="80">
        <v>50</v>
      </c>
      <c r="H134" s="80">
        <v>1</v>
      </c>
      <c r="I134" s="85" t="e">
        <f>_xll.qlRateHelperEarliestDate($B134,Trigger)</f>
        <v>#NUM!</v>
      </c>
      <c r="J134" s="86" t="e">
        <f>_xll.qlRateHelperLatestDate($B134,Trigger)</f>
        <v>#NUM!</v>
      </c>
      <c r="L134" s="84"/>
    </row>
    <row r="135" spans="2:12" x14ac:dyDescent="0.2">
      <c r="B135" s="182">
        <f>ForwardSwaps!K74</f>
        <v>0</v>
      </c>
      <c r="C135" s="78" t="e">
        <f>_xll.qlRateHelperQuoteName(B135)</f>
        <v>#NUM!</v>
      </c>
      <c r="D135" s="79" t="e">
        <f>_xll.qlRateHelperQuoteValue($B135,Trigger)</f>
        <v>#NUM!</v>
      </c>
      <c r="E135" s="79" t="e">
        <f>_xll.qlSwapRateHelperSpread($B135,Trigger)</f>
        <v>#NUM!</v>
      </c>
      <c r="F135" s="80" t="b">
        <v>0</v>
      </c>
      <c r="G135" s="80">
        <v>50</v>
      </c>
      <c r="H135" s="80">
        <v>1</v>
      </c>
      <c r="I135" s="85" t="e">
        <f>_xll.qlRateHelperEarliestDate($B135,Trigger)</f>
        <v>#NUM!</v>
      </c>
      <c r="J135" s="86" t="e">
        <f>_xll.qlRateHelperLatestDate($B135,Trigger)</f>
        <v>#NUM!</v>
      </c>
      <c r="L135" s="84"/>
    </row>
    <row r="136" spans="2:12" x14ac:dyDescent="0.2">
      <c r="B136" s="182">
        <f>ForwardSwaps!K75</f>
        <v>0</v>
      </c>
      <c r="C136" s="78" t="e">
        <f>_xll.qlRateHelperQuoteName(B136)</f>
        <v>#NUM!</v>
      </c>
      <c r="D136" s="79" t="e">
        <f>_xll.qlRateHelperQuoteValue($B136,Trigger)</f>
        <v>#NUM!</v>
      </c>
      <c r="E136" s="79" t="e">
        <f>_xll.qlSwapRateHelperSpread($B136,Trigger)</f>
        <v>#NUM!</v>
      </c>
      <c r="F136" s="80" t="b">
        <v>0</v>
      </c>
      <c r="G136" s="80">
        <v>50</v>
      </c>
      <c r="H136" s="80">
        <v>1</v>
      </c>
      <c r="I136" s="85" t="e">
        <f>_xll.qlRateHelperEarliestDate($B136,Trigger)</f>
        <v>#NUM!</v>
      </c>
      <c r="J136" s="86" t="e">
        <f>_xll.qlRateHelperLatestDate($B136,Trigger)</f>
        <v>#NUM!</v>
      </c>
      <c r="L136" s="84"/>
    </row>
    <row r="137" spans="2:12" x14ac:dyDescent="0.2">
      <c r="B137" s="182">
        <f>ForwardSwaps!K76</f>
        <v>0</v>
      </c>
      <c r="C137" s="78" t="e">
        <f>_xll.qlRateHelperQuoteName(B137)</f>
        <v>#NUM!</v>
      </c>
      <c r="D137" s="79" t="e">
        <f>_xll.qlRateHelperQuoteValue($B137,Trigger)</f>
        <v>#NUM!</v>
      </c>
      <c r="E137" s="79" t="e">
        <f>_xll.qlSwapRateHelperSpread($B137,Trigger)</f>
        <v>#NUM!</v>
      </c>
      <c r="F137" s="80" t="b">
        <v>0</v>
      </c>
      <c r="G137" s="80">
        <v>50</v>
      </c>
      <c r="H137" s="80">
        <v>1</v>
      </c>
      <c r="I137" s="85" t="e">
        <f>_xll.qlRateHelperEarliestDate($B137,Trigger)</f>
        <v>#NUM!</v>
      </c>
      <c r="J137" s="86" t="e">
        <f>_xll.qlRateHelperLatestDate($B137,Trigger)</f>
        <v>#NUM!</v>
      </c>
      <c r="L137" s="84"/>
    </row>
    <row r="138" spans="2:12" x14ac:dyDescent="0.2">
      <c r="B138" s="183">
        <f>ForwardSwaps!K77</f>
        <v>0</v>
      </c>
      <c r="C138" s="81" t="e">
        <f>_xll.qlRateHelperQuoteName(B138)</f>
        <v>#NUM!</v>
      </c>
      <c r="D138" s="82" t="e">
        <f>_xll.qlRateHelperQuoteValue($B138,Trigger)</f>
        <v>#NUM!</v>
      </c>
      <c r="E138" s="82" t="e">
        <f>_xll.qlSwapRateHelperSpread($B138,Trigger)</f>
        <v>#NUM!</v>
      </c>
      <c r="F138" s="83" t="b">
        <v>0</v>
      </c>
      <c r="G138" s="83">
        <v>50</v>
      </c>
      <c r="H138" s="83">
        <v>1</v>
      </c>
      <c r="I138" s="87" t="e">
        <f>_xll.qlRateHelperEarliestDate($B138,Trigger)</f>
        <v>#NUM!</v>
      </c>
      <c r="J138" s="88" t="e">
        <f>_xll.qlRateHelperLatestDate($B138,Trigger)</f>
        <v>#NUM!</v>
      </c>
      <c r="L138" s="84"/>
    </row>
    <row r="139" spans="2:12" x14ac:dyDescent="0.2">
      <c r="B139" s="184">
        <f>ForwardSwaps!K78</f>
        <v>0</v>
      </c>
      <c r="C139" s="180" t="e">
        <f>_xll.qlRateHelperQuoteName(B139)</f>
        <v>#NUM!</v>
      </c>
      <c r="D139" s="185" t="e">
        <f>_xll.qlRateHelperQuoteValue($B139,Trigger)</f>
        <v>#NUM!</v>
      </c>
      <c r="E139" s="185" t="e">
        <f>_xll.qlSwapRateHelperSpread($B139,Trigger)</f>
        <v>#NUM!</v>
      </c>
      <c r="F139" s="186" t="b">
        <v>0</v>
      </c>
      <c r="G139" s="186">
        <v>50</v>
      </c>
      <c r="H139" s="186">
        <v>1</v>
      </c>
      <c r="I139" s="187" t="e">
        <f>_xll.qlRateHelperEarliestDate($B139,Trigger)</f>
        <v>#NUM!</v>
      </c>
      <c r="J139" s="188" t="e">
        <f>_xll.qlRateHelperLatestDate($B139,Trigger)</f>
        <v>#NUM!</v>
      </c>
      <c r="L139" s="84"/>
    </row>
    <row r="140" spans="2:12" x14ac:dyDescent="0.2">
      <c r="B140" s="182">
        <f>ForwardSwaps!K79</f>
        <v>0</v>
      </c>
      <c r="C140" s="78" t="e">
        <f>_xll.qlRateHelperQuoteName(B140)</f>
        <v>#NUM!</v>
      </c>
      <c r="D140" s="79" t="e">
        <f>_xll.qlRateHelperQuoteValue($B140,Trigger)</f>
        <v>#NUM!</v>
      </c>
      <c r="E140" s="79" t="e">
        <f>_xll.qlSwapRateHelperSpread($B140,Trigger)</f>
        <v>#NUM!</v>
      </c>
      <c r="F140" s="80" t="b">
        <v>0</v>
      </c>
      <c r="G140" s="80">
        <v>50</v>
      </c>
      <c r="H140" s="80">
        <v>1</v>
      </c>
      <c r="I140" s="85" t="e">
        <f>_xll.qlRateHelperEarliestDate($B140,Trigger)</f>
        <v>#NUM!</v>
      </c>
      <c r="J140" s="86" t="e">
        <f>_xll.qlRateHelperLatestDate($B140,Trigger)</f>
        <v>#NUM!</v>
      </c>
      <c r="L140" s="84"/>
    </row>
    <row r="141" spans="2:12" x14ac:dyDescent="0.2">
      <c r="B141" s="182">
        <f>ForwardSwaps!K80</f>
        <v>0</v>
      </c>
      <c r="C141" s="78" t="e">
        <f>_xll.qlRateHelperQuoteName(B141)</f>
        <v>#NUM!</v>
      </c>
      <c r="D141" s="79" t="e">
        <f>_xll.qlRateHelperQuoteValue($B141,Trigger)</f>
        <v>#NUM!</v>
      </c>
      <c r="E141" s="79" t="e">
        <f>_xll.qlSwapRateHelperSpread($B141,Trigger)</f>
        <v>#NUM!</v>
      </c>
      <c r="F141" s="80" t="b">
        <v>0</v>
      </c>
      <c r="G141" s="80">
        <v>50</v>
      </c>
      <c r="H141" s="80">
        <v>1</v>
      </c>
      <c r="I141" s="85" t="e">
        <f>_xll.qlRateHelperEarliestDate($B141,Trigger)</f>
        <v>#NUM!</v>
      </c>
      <c r="J141" s="86" t="e">
        <f>_xll.qlRateHelperLatestDate($B141,Trigger)</f>
        <v>#NUM!</v>
      </c>
      <c r="L141" s="84"/>
    </row>
    <row r="142" spans="2:12" x14ac:dyDescent="0.2">
      <c r="B142" s="182">
        <f>ForwardSwaps!K81</f>
        <v>0</v>
      </c>
      <c r="C142" s="78" t="e">
        <f>_xll.qlRateHelperQuoteName(B142)</f>
        <v>#NUM!</v>
      </c>
      <c r="D142" s="79" t="e">
        <f>_xll.qlRateHelperQuoteValue($B142,Trigger)</f>
        <v>#NUM!</v>
      </c>
      <c r="E142" s="79" t="e">
        <f>_xll.qlSwapRateHelperSpread($B142,Trigger)</f>
        <v>#NUM!</v>
      </c>
      <c r="F142" s="80" t="b">
        <v>0</v>
      </c>
      <c r="G142" s="80">
        <v>50</v>
      </c>
      <c r="H142" s="80">
        <v>1</v>
      </c>
      <c r="I142" s="85" t="e">
        <f>_xll.qlRateHelperEarliestDate($B142,Trigger)</f>
        <v>#NUM!</v>
      </c>
      <c r="J142" s="86" t="e">
        <f>_xll.qlRateHelperLatestDate($B142,Trigger)</f>
        <v>#NUM!</v>
      </c>
      <c r="L142" s="84"/>
    </row>
    <row r="143" spans="2:12" x14ac:dyDescent="0.2">
      <c r="B143" s="182">
        <f>ForwardSwaps!K82</f>
        <v>0</v>
      </c>
      <c r="C143" s="78" t="e">
        <f>_xll.qlRateHelperQuoteName(B143)</f>
        <v>#NUM!</v>
      </c>
      <c r="D143" s="79" t="e">
        <f>_xll.qlRateHelperQuoteValue($B143,Trigger)</f>
        <v>#NUM!</v>
      </c>
      <c r="E143" s="79" t="e">
        <f>_xll.qlSwapRateHelperSpread($B143,Trigger)</f>
        <v>#NUM!</v>
      </c>
      <c r="F143" s="80" t="b">
        <v>0</v>
      </c>
      <c r="G143" s="80">
        <v>50</v>
      </c>
      <c r="H143" s="80">
        <v>1</v>
      </c>
      <c r="I143" s="85" t="e">
        <f>_xll.qlRateHelperEarliestDate($B143,Trigger)</f>
        <v>#NUM!</v>
      </c>
      <c r="J143" s="86" t="e">
        <f>_xll.qlRateHelperLatestDate($B143,Trigger)</f>
        <v>#NUM!</v>
      </c>
      <c r="L143" s="84"/>
    </row>
    <row r="144" spans="2:12" x14ac:dyDescent="0.2">
      <c r="B144" s="182">
        <f>ForwardSwaps!K83</f>
        <v>0</v>
      </c>
      <c r="C144" s="78" t="e">
        <f>_xll.qlRateHelperQuoteName(B144)</f>
        <v>#NUM!</v>
      </c>
      <c r="D144" s="79" t="e">
        <f>_xll.qlRateHelperQuoteValue($B144,Trigger)</f>
        <v>#NUM!</v>
      </c>
      <c r="E144" s="79" t="e">
        <f>_xll.qlSwapRateHelperSpread($B144,Trigger)</f>
        <v>#NUM!</v>
      </c>
      <c r="F144" s="80" t="b">
        <v>0</v>
      </c>
      <c r="G144" s="80">
        <v>50</v>
      </c>
      <c r="H144" s="80">
        <v>1</v>
      </c>
      <c r="I144" s="85" t="e">
        <f>_xll.qlRateHelperEarliestDate($B144,Trigger)</f>
        <v>#NUM!</v>
      </c>
      <c r="J144" s="86" t="e">
        <f>_xll.qlRateHelperLatestDate($B144,Trigger)</f>
        <v>#NUM!</v>
      </c>
      <c r="L144" s="84"/>
    </row>
    <row r="145" spans="2:12" x14ac:dyDescent="0.2">
      <c r="B145" s="182">
        <f>ForwardSwaps!K84</f>
        <v>0</v>
      </c>
      <c r="C145" s="78" t="e">
        <f>_xll.qlRateHelperQuoteName(B145)</f>
        <v>#NUM!</v>
      </c>
      <c r="D145" s="79" t="e">
        <f>_xll.qlRateHelperQuoteValue($B145,Trigger)</f>
        <v>#NUM!</v>
      </c>
      <c r="E145" s="79" t="e">
        <f>_xll.qlSwapRateHelperSpread($B145,Trigger)</f>
        <v>#NUM!</v>
      </c>
      <c r="F145" s="80" t="b">
        <v>0</v>
      </c>
      <c r="G145" s="80">
        <v>50</v>
      </c>
      <c r="H145" s="80">
        <v>1</v>
      </c>
      <c r="I145" s="85" t="e">
        <f>_xll.qlRateHelperEarliestDate($B145,Trigger)</f>
        <v>#NUM!</v>
      </c>
      <c r="J145" s="86" t="e">
        <f>_xll.qlRateHelperLatestDate($B145,Trigger)</f>
        <v>#NUM!</v>
      </c>
      <c r="L145" s="84"/>
    </row>
    <row r="146" spans="2:12" x14ac:dyDescent="0.2">
      <c r="B146" s="182">
        <f>ForwardSwaps!K85</f>
        <v>0</v>
      </c>
      <c r="C146" s="78" t="e">
        <f>_xll.qlRateHelperQuoteName(B146)</f>
        <v>#NUM!</v>
      </c>
      <c r="D146" s="79" t="e">
        <f>_xll.qlRateHelperQuoteValue($B146,Trigger)</f>
        <v>#NUM!</v>
      </c>
      <c r="E146" s="79" t="e">
        <f>_xll.qlSwapRateHelperSpread($B146,Trigger)</f>
        <v>#NUM!</v>
      </c>
      <c r="F146" s="80" t="b">
        <v>0</v>
      </c>
      <c r="G146" s="80">
        <v>50</v>
      </c>
      <c r="H146" s="80">
        <v>1</v>
      </c>
      <c r="I146" s="85" t="e">
        <f>_xll.qlRateHelperEarliestDate($B146,Trigger)</f>
        <v>#NUM!</v>
      </c>
      <c r="J146" s="86" t="e">
        <f>_xll.qlRateHelperLatestDate($B146,Trigger)</f>
        <v>#NUM!</v>
      </c>
      <c r="L146" s="84"/>
    </row>
    <row r="147" spans="2:12" x14ac:dyDescent="0.2">
      <c r="B147" s="182">
        <f>ForwardSwaps!K86</f>
        <v>0</v>
      </c>
      <c r="C147" s="78" t="e">
        <f>_xll.qlRateHelperQuoteName(B147)</f>
        <v>#NUM!</v>
      </c>
      <c r="D147" s="79" t="e">
        <f>_xll.qlRateHelperQuoteValue($B147,Trigger)</f>
        <v>#NUM!</v>
      </c>
      <c r="E147" s="79" t="e">
        <f>_xll.qlSwapRateHelperSpread($B147,Trigger)</f>
        <v>#NUM!</v>
      </c>
      <c r="F147" s="80" t="b">
        <v>0</v>
      </c>
      <c r="G147" s="80">
        <v>50</v>
      </c>
      <c r="H147" s="80">
        <v>1</v>
      </c>
      <c r="I147" s="85" t="e">
        <f>_xll.qlRateHelperEarliestDate($B147,Trigger)</f>
        <v>#NUM!</v>
      </c>
      <c r="J147" s="86" t="e">
        <f>_xll.qlRateHelperLatestDate($B147,Trigger)</f>
        <v>#NUM!</v>
      </c>
      <c r="L147" s="84"/>
    </row>
    <row r="148" spans="2:12" x14ac:dyDescent="0.2">
      <c r="B148" s="182">
        <f>ForwardSwaps!K87</f>
        <v>0</v>
      </c>
      <c r="C148" s="78" t="e">
        <f>_xll.qlRateHelperQuoteName(B148)</f>
        <v>#NUM!</v>
      </c>
      <c r="D148" s="79" t="e">
        <f>_xll.qlRateHelperQuoteValue($B148,Trigger)</f>
        <v>#NUM!</v>
      </c>
      <c r="E148" s="79" t="e">
        <f>_xll.qlSwapRateHelperSpread($B148,Trigger)</f>
        <v>#NUM!</v>
      </c>
      <c r="F148" s="80" t="b">
        <v>0</v>
      </c>
      <c r="G148" s="80">
        <v>50</v>
      </c>
      <c r="H148" s="80">
        <v>1</v>
      </c>
      <c r="I148" s="85" t="e">
        <f>_xll.qlRateHelperEarliestDate($B148,Trigger)</f>
        <v>#NUM!</v>
      </c>
      <c r="J148" s="86" t="e">
        <f>_xll.qlRateHelperLatestDate($B148,Trigger)</f>
        <v>#NUM!</v>
      </c>
      <c r="L148" s="84"/>
    </row>
    <row r="149" spans="2:12" x14ac:dyDescent="0.2">
      <c r="B149" s="182">
        <f>ForwardSwaps!K88</f>
        <v>0</v>
      </c>
      <c r="C149" s="78" t="e">
        <f>_xll.qlRateHelperQuoteName(B149)</f>
        <v>#NUM!</v>
      </c>
      <c r="D149" s="79" t="e">
        <f>_xll.qlRateHelperQuoteValue($B149,Trigger)</f>
        <v>#NUM!</v>
      </c>
      <c r="E149" s="79" t="e">
        <f>_xll.qlSwapRateHelperSpread($B149,Trigger)</f>
        <v>#NUM!</v>
      </c>
      <c r="F149" s="80" t="b">
        <v>0</v>
      </c>
      <c r="G149" s="80">
        <v>50</v>
      </c>
      <c r="H149" s="80">
        <v>1</v>
      </c>
      <c r="I149" s="85" t="e">
        <f>_xll.qlRateHelperEarliestDate($B149,Trigger)</f>
        <v>#NUM!</v>
      </c>
      <c r="J149" s="86" t="e">
        <f>_xll.qlRateHelperLatestDate($B149,Trigger)</f>
        <v>#NUM!</v>
      </c>
      <c r="L149" s="84"/>
    </row>
    <row r="150" spans="2:12" x14ac:dyDescent="0.2">
      <c r="B150" s="182">
        <f>ForwardSwaps!K89</f>
        <v>0</v>
      </c>
      <c r="C150" s="78" t="e">
        <f>_xll.qlRateHelperQuoteName(B150)</f>
        <v>#NUM!</v>
      </c>
      <c r="D150" s="79" t="e">
        <f>_xll.qlRateHelperQuoteValue($B150,Trigger)</f>
        <v>#NUM!</v>
      </c>
      <c r="E150" s="79" t="e">
        <f>_xll.qlSwapRateHelperSpread($B150,Trigger)</f>
        <v>#NUM!</v>
      </c>
      <c r="F150" s="80" t="b">
        <v>0</v>
      </c>
      <c r="G150" s="80">
        <v>50</v>
      </c>
      <c r="H150" s="80">
        <v>1</v>
      </c>
      <c r="I150" s="85" t="e">
        <f>_xll.qlRateHelperEarliestDate($B150,Trigger)</f>
        <v>#NUM!</v>
      </c>
      <c r="J150" s="86" t="e">
        <f>_xll.qlRateHelperLatestDate($B150,Trigger)</f>
        <v>#NUM!</v>
      </c>
      <c r="L150" s="84"/>
    </row>
    <row r="151" spans="2:12" x14ac:dyDescent="0.2">
      <c r="B151" s="182">
        <f>ForwardSwaps!K90</f>
        <v>0</v>
      </c>
      <c r="C151" s="78" t="e">
        <f>_xll.qlRateHelperQuoteName(B151)</f>
        <v>#NUM!</v>
      </c>
      <c r="D151" s="79" t="e">
        <f>_xll.qlRateHelperQuoteValue($B151,Trigger)</f>
        <v>#NUM!</v>
      </c>
      <c r="E151" s="79" t="e">
        <f>_xll.qlSwapRateHelperSpread($B151,Trigger)</f>
        <v>#NUM!</v>
      </c>
      <c r="F151" s="80" t="b">
        <v>0</v>
      </c>
      <c r="G151" s="80">
        <v>50</v>
      </c>
      <c r="H151" s="80">
        <v>1</v>
      </c>
      <c r="I151" s="85" t="e">
        <f>_xll.qlRateHelperEarliestDate($B151,Trigger)</f>
        <v>#NUM!</v>
      </c>
      <c r="J151" s="86" t="e">
        <f>_xll.qlRateHelperLatestDate($B151,Trigger)</f>
        <v>#NUM!</v>
      </c>
      <c r="L151" s="84"/>
    </row>
    <row r="152" spans="2:12" x14ac:dyDescent="0.2">
      <c r="B152" s="182">
        <f>ForwardSwaps!K91</f>
        <v>0</v>
      </c>
      <c r="C152" s="78" t="e">
        <f>_xll.qlRateHelperQuoteName(B152)</f>
        <v>#NUM!</v>
      </c>
      <c r="D152" s="79" t="e">
        <f>_xll.qlRateHelperQuoteValue($B152,Trigger)</f>
        <v>#NUM!</v>
      </c>
      <c r="E152" s="79" t="e">
        <f>_xll.qlSwapRateHelperSpread($B152,Trigger)</f>
        <v>#NUM!</v>
      </c>
      <c r="F152" s="80" t="b">
        <v>0</v>
      </c>
      <c r="G152" s="80">
        <v>50</v>
      </c>
      <c r="H152" s="80">
        <v>1</v>
      </c>
      <c r="I152" s="85" t="e">
        <f>_xll.qlRateHelperEarliestDate($B152,Trigger)</f>
        <v>#NUM!</v>
      </c>
      <c r="J152" s="86" t="e">
        <f>_xll.qlRateHelperLatestDate($B152,Trigger)</f>
        <v>#NUM!</v>
      </c>
      <c r="L152" s="84"/>
    </row>
    <row r="153" spans="2:12" x14ac:dyDescent="0.2">
      <c r="B153" s="182">
        <f>ForwardSwaps!K92</f>
        <v>0</v>
      </c>
      <c r="C153" s="78" t="e">
        <f>_xll.qlRateHelperQuoteName(B153)</f>
        <v>#NUM!</v>
      </c>
      <c r="D153" s="79" t="e">
        <f>_xll.qlRateHelperQuoteValue($B153,Trigger)</f>
        <v>#NUM!</v>
      </c>
      <c r="E153" s="79" t="e">
        <f>_xll.qlSwapRateHelperSpread($B153,Trigger)</f>
        <v>#NUM!</v>
      </c>
      <c r="F153" s="80" t="b">
        <v>0</v>
      </c>
      <c r="G153" s="80">
        <v>50</v>
      </c>
      <c r="H153" s="80">
        <v>1</v>
      </c>
      <c r="I153" s="85" t="e">
        <f>_xll.qlRateHelperEarliestDate($B153,Trigger)</f>
        <v>#NUM!</v>
      </c>
      <c r="J153" s="86" t="e">
        <f>_xll.qlRateHelperLatestDate($B153,Trigger)</f>
        <v>#NUM!</v>
      </c>
      <c r="L153" s="84"/>
    </row>
    <row r="154" spans="2:12" x14ac:dyDescent="0.2">
      <c r="B154" s="182">
        <f>ForwardSwaps!K93</f>
        <v>0</v>
      </c>
      <c r="C154" s="78" t="e">
        <f>_xll.qlRateHelperQuoteName(B154)</f>
        <v>#NUM!</v>
      </c>
      <c r="D154" s="79" t="e">
        <f>_xll.qlRateHelperQuoteValue($B154,Trigger)</f>
        <v>#NUM!</v>
      </c>
      <c r="E154" s="79" t="e">
        <f>_xll.qlSwapRateHelperSpread($B154,Trigger)</f>
        <v>#NUM!</v>
      </c>
      <c r="F154" s="80" t="b">
        <v>0</v>
      </c>
      <c r="G154" s="80">
        <v>50</v>
      </c>
      <c r="H154" s="80">
        <v>1</v>
      </c>
      <c r="I154" s="85" t="e">
        <f>_xll.qlRateHelperEarliestDate($B154,Trigger)</f>
        <v>#NUM!</v>
      </c>
      <c r="J154" s="86" t="e">
        <f>_xll.qlRateHelperLatestDate($B154,Trigger)</f>
        <v>#NUM!</v>
      </c>
      <c r="L154" s="84"/>
    </row>
    <row r="155" spans="2:12" x14ac:dyDescent="0.2">
      <c r="B155" s="182">
        <f>ForwardSwaps!K94</f>
        <v>0</v>
      </c>
      <c r="C155" s="78" t="e">
        <f>_xll.qlRateHelperQuoteName(B155)</f>
        <v>#NUM!</v>
      </c>
      <c r="D155" s="79" t="e">
        <f>_xll.qlRateHelperQuoteValue($B155,Trigger)</f>
        <v>#NUM!</v>
      </c>
      <c r="E155" s="79" t="e">
        <f>_xll.qlSwapRateHelperSpread($B155,Trigger)</f>
        <v>#NUM!</v>
      </c>
      <c r="F155" s="80" t="b">
        <v>0</v>
      </c>
      <c r="G155" s="80">
        <v>50</v>
      </c>
      <c r="H155" s="80">
        <v>1</v>
      </c>
      <c r="I155" s="85" t="e">
        <f>_xll.qlRateHelperEarliestDate($B155,Trigger)</f>
        <v>#NUM!</v>
      </c>
      <c r="J155" s="86" t="e">
        <f>_xll.qlRateHelperLatestDate($B155,Trigger)</f>
        <v>#NUM!</v>
      </c>
      <c r="L155" s="84"/>
    </row>
    <row r="156" spans="2:12" x14ac:dyDescent="0.2">
      <c r="B156" s="183">
        <f>ForwardSwaps!K95</f>
        <v>0</v>
      </c>
      <c r="C156" s="81" t="e">
        <f>_xll.qlRateHelperQuoteName(B156)</f>
        <v>#NUM!</v>
      </c>
      <c r="D156" s="82" t="e">
        <f>_xll.qlRateHelperQuoteValue($B156,Trigger)</f>
        <v>#NUM!</v>
      </c>
      <c r="E156" s="82" t="e">
        <f>_xll.qlSwapRateHelperSpread($B156,Trigger)</f>
        <v>#NUM!</v>
      </c>
      <c r="F156" s="83" t="b">
        <v>0</v>
      </c>
      <c r="G156" s="83">
        <v>50</v>
      </c>
      <c r="H156" s="83">
        <v>1</v>
      </c>
      <c r="I156" s="87" t="e">
        <f>_xll.qlRateHelperEarliestDate($B156,Trigger)</f>
        <v>#NUM!</v>
      </c>
      <c r="J156" s="88" t="e">
        <f>_xll.qlRateHelperLatestDate($B156,Trigger)</f>
        <v>#NUM!</v>
      </c>
      <c r="L156" s="84"/>
    </row>
    <row r="157" spans="2:12" x14ac:dyDescent="0.2">
      <c r="B157" s="184">
        <f>ForwardSwaps!K96</f>
        <v>0</v>
      </c>
      <c r="C157" s="180" t="e">
        <f>_xll.qlRateHelperQuoteName(B157)</f>
        <v>#NUM!</v>
      </c>
      <c r="D157" s="185" t="e">
        <f>_xll.qlRateHelperQuoteValue($B157,Trigger)</f>
        <v>#NUM!</v>
      </c>
      <c r="E157" s="185" t="e">
        <f>_xll.qlSwapRateHelperSpread($B157,Trigger)</f>
        <v>#NUM!</v>
      </c>
      <c r="F157" s="186" t="b">
        <v>0</v>
      </c>
      <c r="G157" s="186">
        <v>50</v>
      </c>
      <c r="H157" s="186">
        <v>1</v>
      </c>
      <c r="I157" s="187" t="e">
        <f>_xll.qlRateHelperEarliestDate($B157,Trigger)</f>
        <v>#NUM!</v>
      </c>
      <c r="J157" s="188" t="e">
        <f>_xll.qlRateHelperLatestDate($B157,Trigger)</f>
        <v>#NUM!</v>
      </c>
      <c r="L157" s="84"/>
    </row>
    <row r="158" spans="2:12" x14ac:dyDescent="0.2">
      <c r="B158" s="182">
        <f>ForwardSwaps!K97</f>
        <v>0</v>
      </c>
      <c r="C158" s="78" t="e">
        <f>_xll.qlRateHelperQuoteName(B158)</f>
        <v>#NUM!</v>
      </c>
      <c r="D158" s="79" t="e">
        <f>_xll.qlRateHelperQuoteValue($B158,Trigger)</f>
        <v>#NUM!</v>
      </c>
      <c r="E158" s="79" t="e">
        <f>_xll.qlSwapRateHelperSpread($B158,Trigger)</f>
        <v>#NUM!</v>
      </c>
      <c r="F158" s="80" t="b">
        <v>0</v>
      </c>
      <c r="G158" s="80">
        <v>50</v>
      </c>
      <c r="H158" s="80">
        <v>1</v>
      </c>
      <c r="I158" s="85" t="e">
        <f>_xll.qlRateHelperEarliestDate($B158,Trigger)</f>
        <v>#NUM!</v>
      </c>
      <c r="J158" s="86" t="e">
        <f>_xll.qlRateHelperLatestDate($B158,Trigger)</f>
        <v>#NUM!</v>
      </c>
      <c r="L158" s="84"/>
    </row>
    <row r="159" spans="2:12" x14ac:dyDescent="0.2">
      <c r="B159" s="182">
        <f>ForwardSwaps!K98</f>
        <v>0</v>
      </c>
      <c r="C159" s="78" t="e">
        <f>_xll.qlRateHelperQuoteName(B159)</f>
        <v>#NUM!</v>
      </c>
      <c r="D159" s="79" t="e">
        <f>_xll.qlRateHelperQuoteValue($B159,Trigger)</f>
        <v>#NUM!</v>
      </c>
      <c r="E159" s="79" t="e">
        <f>_xll.qlSwapRateHelperSpread($B159,Trigger)</f>
        <v>#NUM!</v>
      </c>
      <c r="F159" s="80" t="b">
        <v>0</v>
      </c>
      <c r="G159" s="80">
        <v>50</v>
      </c>
      <c r="H159" s="80">
        <v>1</v>
      </c>
      <c r="I159" s="85" t="e">
        <f>_xll.qlRateHelperEarliestDate($B159,Trigger)</f>
        <v>#NUM!</v>
      </c>
      <c r="J159" s="86" t="e">
        <f>_xll.qlRateHelperLatestDate($B159,Trigger)</f>
        <v>#NUM!</v>
      </c>
      <c r="L159" s="84"/>
    </row>
    <row r="160" spans="2:12" x14ac:dyDescent="0.2">
      <c r="B160" s="182">
        <f>ForwardSwaps!K99</f>
        <v>0</v>
      </c>
      <c r="C160" s="78" t="e">
        <f>_xll.qlRateHelperQuoteName(B160)</f>
        <v>#NUM!</v>
      </c>
      <c r="D160" s="79" t="e">
        <f>_xll.qlRateHelperQuoteValue($B160,Trigger)</f>
        <v>#NUM!</v>
      </c>
      <c r="E160" s="79" t="e">
        <f>_xll.qlSwapRateHelperSpread($B160,Trigger)</f>
        <v>#NUM!</v>
      </c>
      <c r="F160" s="80" t="b">
        <v>0</v>
      </c>
      <c r="G160" s="80">
        <v>50</v>
      </c>
      <c r="H160" s="80">
        <v>1</v>
      </c>
      <c r="I160" s="85" t="e">
        <f>_xll.qlRateHelperEarliestDate($B160,Trigger)</f>
        <v>#NUM!</v>
      </c>
      <c r="J160" s="86" t="e">
        <f>_xll.qlRateHelperLatestDate($B160,Trigger)</f>
        <v>#NUM!</v>
      </c>
      <c r="L160" s="84"/>
    </row>
    <row r="161" spans="2:12" x14ac:dyDescent="0.2">
      <c r="B161" s="182">
        <f>ForwardSwaps!K100</f>
        <v>0</v>
      </c>
      <c r="C161" s="78" t="e">
        <f>_xll.qlRateHelperQuoteName(B161)</f>
        <v>#NUM!</v>
      </c>
      <c r="D161" s="79" t="e">
        <f>_xll.qlRateHelperQuoteValue($B161,Trigger)</f>
        <v>#NUM!</v>
      </c>
      <c r="E161" s="79" t="e">
        <f>_xll.qlSwapRateHelperSpread($B161,Trigger)</f>
        <v>#NUM!</v>
      </c>
      <c r="F161" s="80" t="b">
        <v>0</v>
      </c>
      <c r="G161" s="80">
        <v>50</v>
      </c>
      <c r="H161" s="80">
        <v>1</v>
      </c>
      <c r="I161" s="85" t="e">
        <f>_xll.qlRateHelperEarliestDate($B161,Trigger)</f>
        <v>#NUM!</v>
      </c>
      <c r="J161" s="86" t="e">
        <f>_xll.qlRateHelperLatestDate($B161,Trigger)</f>
        <v>#NUM!</v>
      </c>
      <c r="L161" s="84"/>
    </row>
    <row r="162" spans="2:12" x14ac:dyDescent="0.2">
      <c r="B162" s="182">
        <f>ForwardSwaps!K101</f>
        <v>0</v>
      </c>
      <c r="C162" s="78" t="e">
        <f>_xll.qlRateHelperQuoteName(B162)</f>
        <v>#NUM!</v>
      </c>
      <c r="D162" s="79" t="e">
        <f>_xll.qlRateHelperQuoteValue($B162,Trigger)</f>
        <v>#NUM!</v>
      </c>
      <c r="E162" s="79" t="e">
        <f>_xll.qlSwapRateHelperSpread($B162,Trigger)</f>
        <v>#NUM!</v>
      </c>
      <c r="F162" s="80" t="b">
        <v>0</v>
      </c>
      <c r="G162" s="80">
        <v>50</v>
      </c>
      <c r="H162" s="80">
        <v>1</v>
      </c>
      <c r="I162" s="85" t="e">
        <f>_xll.qlRateHelperEarliestDate($B162,Trigger)</f>
        <v>#NUM!</v>
      </c>
      <c r="J162" s="86" t="e">
        <f>_xll.qlRateHelperLatestDate($B162,Trigger)</f>
        <v>#NUM!</v>
      </c>
      <c r="L162" s="84"/>
    </row>
    <row r="163" spans="2:12" x14ac:dyDescent="0.2">
      <c r="B163" s="182">
        <f>ForwardSwaps!K102</f>
        <v>0</v>
      </c>
      <c r="C163" s="78" t="e">
        <f>_xll.qlRateHelperQuoteName(B163)</f>
        <v>#NUM!</v>
      </c>
      <c r="D163" s="79" t="e">
        <f>_xll.qlRateHelperQuoteValue($B163,Trigger)</f>
        <v>#NUM!</v>
      </c>
      <c r="E163" s="79" t="e">
        <f>_xll.qlSwapRateHelperSpread($B163,Trigger)</f>
        <v>#NUM!</v>
      </c>
      <c r="F163" s="80" t="b">
        <v>0</v>
      </c>
      <c r="G163" s="80">
        <v>50</v>
      </c>
      <c r="H163" s="80">
        <v>1</v>
      </c>
      <c r="I163" s="85" t="e">
        <f>_xll.qlRateHelperEarliestDate($B163,Trigger)</f>
        <v>#NUM!</v>
      </c>
      <c r="J163" s="86" t="e">
        <f>_xll.qlRateHelperLatestDate($B163,Trigger)</f>
        <v>#NUM!</v>
      </c>
      <c r="L163" s="84"/>
    </row>
    <row r="164" spans="2:12" x14ac:dyDescent="0.2">
      <c r="B164" s="182">
        <f>ForwardSwaps!K103</f>
        <v>0</v>
      </c>
      <c r="C164" s="78" t="e">
        <f>_xll.qlRateHelperQuoteName(B164)</f>
        <v>#NUM!</v>
      </c>
      <c r="D164" s="79" t="e">
        <f>_xll.qlRateHelperQuoteValue($B164,Trigger)</f>
        <v>#NUM!</v>
      </c>
      <c r="E164" s="79" t="e">
        <f>_xll.qlSwapRateHelperSpread($B164,Trigger)</f>
        <v>#NUM!</v>
      </c>
      <c r="F164" s="80" t="b">
        <v>0</v>
      </c>
      <c r="G164" s="80">
        <v>50</v>
      </c>
      <c r="H164" s="80">
        <v>1</v>
      </c>
      <c r="I164" s="85" t="e">
        <f>_xll.qlRateHelperEarliestDate($B164,Trigger)</f>
        <v>#NUM!</v>
      </c>
      <c r="J164" s="86" t="e">
        <f>_xll.qlRateHelperLatestDate($B164,Trigger)</f>
        <v>#NUM!</v>
      </c>
      <c r="L164" s="84"/>
    </row>
    <row r="165" spans="2:12" x14ac:dyDescent="0.2">
      <c r="B165" s="182">
        <f>ForwardSwaps!K104</f>
        <v>0</v>
      </c>
      <c r="C165" s="78" t="e">
        <f>_xll.qlRateHelperQuoteName(B165)</f>
        <v>#NUM!</v>
      </c>
      <c r="D165" s="79" t="e">
        <f>_xll.qlRateHelperQuoteValue($B165,Trigger)</f>
        <v>#NUM!</v>
      </c>
      <c r="E165" s="79" t="e">
        <f>_xll.qlSwapRateHelperSpread($B165,Trigger)</f>
        <v>#NUM!</v>
      </c>
      <c r="F165" s="80" t="b">
        <v>0</v>
      </c>
      <c r="G165" s="80">
        <v>50</v>
      </c>
      <c r="H165" s="80">
        <v>1</v>
      </c>
      <c r="I165" s="85" t="e">
        <f>_xll.qlRateHelperEarliestDate($B165,Trigger)</f>
        <v>#NUM!</v>
      </c>
      <c r="J165" s="86" t="e">
        <f>_xll.qlRateHelperLatestDate($B165,Trigger)</f>
        <v>#NUM!</v>
      </c>
      <c r="L165" s="84"/>
    </row>
    <row r="166" spans="2:12" x14ac:dyDescent="0.2">
      <c r="B166" s="182">
        <f>ForwardSwaps!K105</f>
        <v>0</v>
      </c>
      <c r="C166" s="78" t="e">
        <f>_xll.qlRateHelperQuoteName(B166)</f>
        <v>#NUM!</v>
      </c>
      <c r="D166" s="79" t="e">
        <f>_xll.qlRateHelperQuoteValue($B166,Trigger)</f>
        <v>#NUM!</v>
      </c>
      <c r="E166" s="79" t="e">
        <f>_xll.qlSwapRateHelperSpread($B166,Trigger)</f>
        <v>#NUM!</v>
      </c>
      <c r="F166" s="80" t="b">
        <v>0</v>
      </c>
      <c r="G166" s="80">
        <v>50</v>
      </c>
      <c r="H166" s="80">
        <v>1</v>
      </c>
      <c r="I166" s="85" t="e">
        <f>_xll.qlRateHelperEarliestDate($B166,Trigger)</f>
        <v>#NUM!</v>
      </c>
      <c r="J166" s="86" t="e">
        <f>_xll.qlRateHelperLatestDate($B166,Trigger)</f>
        <v>#NUM!</v>
      </c>
      <c r="L166" s="84"/>
    </row>
    <row r="167" spans="2:12" x14ac:dyDescent="0.2">
      <c r="B167" s="182">
        <f>ForwardSwaps!K106</f>
        <v>0</v>
      </c>
      <c r="C167" s="78" t="e">
        <f>_xll.qlRateHelperQuoteName(B167)</f>
        <v>#NUM!</v>
      </c>
      <c r="D167" s="79" t="e">
        <f>_xll.qlRateHelperQuoteValue($B167,Trigger)</f>
        <v>#NUM!</v>
      </c>
      <c r="E167" s="79" t="e">
        <f>_xll.qlSwapRateHelperSpread($B167,Trigger)</f>
        <v>#NUM!</v>
      </c>
      <c r="F167" s="80" t="b">
        <v>0</v>
      </c>
      <c r="G167" s="80">
        <v>50</v>
      </c>
      <c r="H167" s="80">
        <v>1</v>
      </c>
      <c r="I167" s="85" t="e">
        <f>_xll.qlRateHelperEarliestDate($B167,Trigger)</f>
        <v>#NUM!</v>
      </c>
      <c r="J167" s="86" t="e">
        <f>_xll.qlRateHelperLatestDate($B167,Trigger)</f>
        <v>#NUM!</v>
      </c>
      <c r="L167" s="84"/>
    </row>
    <row r="168" spans="2:12" x14ac:dyDescent="0.2">
      <c r="B168" s="182">
        <f>ForwardSwaps!K107</f>
        <v>0</v>
      </c>
      <c r="C168" s="78" t="e">
        <f>_xll.qlRateHelperQuoteName(B168)</f>
        <v>#NUM!</v>
      </c>
      <c r="D168" s="79" t="e">
        <f>_xll.qlRateHelperQuoteValue($B168,Trigger)</f>
        <v>#NUM!</v>
      </c>
      <c r="E168" s="79" t="e">
        <f>_xll.qlSwapRateHelperSpread($B168,Trigger)</f>
        <v>#NUM!</v>
      </c>
      <c r="F168" s="80" t="b">
        <v>0</v>
      </c>
      <c r="G168" s="80">
        <v>50</v>
      </c>
      <c r="H168" s="80">
        <v>1</v>
      </c>
      <c r="I168" s="85" t="e">
        <f>_xll.qlRateHelperEarliestDate($B168,Trigger)</f>
        <v>#NUM!</v>
      </c>
      <c r="J168" s="86" t="e">
        <f>_xll.qlRateHelperLatestDate($B168,Trigger)</f>
        <v>#NUM!</v>
      </c>
      <c r="L168" s="84"/>
    </row>
    <row r="169" spans="2:12" x14ac:dyDescent="0.2">
      <c r="B169" s="182">
        <f>ForwardSwaps!K108</f>
        <v>0</v>
      </c>
      <c r="C169" s="78" t="e">
        <f>_xll.qlRateHelperQuoteName(B169)</f>
        <v>#NUM!</v>
      </c>
      <c r="D169" s="79" t="e">
        <f>_xll.qlRateHelperQuoteValue($B169,Trigger)</f>
        <v>#NUM!</v>
      </c>
      <c r="E169" s="79" t="e">
        <f>_xll.qlSwapRateHelperSpread($B169,Trigger)</f>
        <v>#NUM!</v>
      </c>
      <c r="F169" s="80" t="b">
        <v>0</v>
      </c>
      <c r="G169" s="80">
        <v>50</v>
      </c>
      <c r="H169" s="80">
        <v>1</v>
      </c>
      <c r="I169" s="85" t="e">
        <f>_xll.qlRateHelperEarliestDate($B169,Trigger)</f>
        <v>#NUM!</v>
      </c>
      <c r="J169" s="86" t="e">
        <f>_xll.qlRateHelperLatestDate($B169,Trigger)</f>
        <v>#NUM!</v>
      </c>
      <c r="L169" s="84"/>
    </row>
    <row r="170" spans="2:12" x14ac:dyDescent="0.2">
      <c r="B170" s="182">
        <f>ForwardSwaps!K109</f>
        <v>0</v>
      </c>
      <c r="C170" s="78" t="e">
        <f>_xll.qlRateHelperQuoteName(B170)</f>
        <v>#NUM!</v>
      </c>
      <c r="D170" s="79" t="e">
        <f>_xll.qlRateHelperQuoteValue($B170,Trigger)</f>
        <v>#NUM!</v>
      </c>
      <c r="E170" s="79" t="e">
        <f>_xll.qlSwapRateHelperSpread($B170,Trigger)</f>
        <v>#NUM!</v>
      </c>
      <c r="F170" s="80" t="b">
        <v>0</v>
      </c>
      <c r="G170" s="80">
        <v>50</v>
      </c>
      <c r="H170" s="80">
        <v>1</v>
      </c>
      <c r="I170" s="85" t="e">
        <f>_xll.qlRateHelperEarliestDate($B170,Trigger)</f>
        <v>#NUM!</v>
      </c>
      <c r="J170" s="86" t="e">
        <f>_xll.qlRateHelperLatestDate($B170,Trigger)</f>
        <v>#NUM!</v>
      </c>
      <c r="L170" s="84"/>
    </row>
    <row r="171" spans="2:12" x14ac:dyDescent="0.2">
      <c r="B171" s="182">
        <f>ForwardSwaps!K110</f>
        <v>0</v>
      </c>
      <c r="C171" s="78" t="e">
        <f>_xll.qlRateHelperQuoteName(B171)</f>
        <v>#NUM!</v>
      </c>
      <c r="D171" s="79" t="e">
        <f>_xll.qlRateHelperQuoteValue($B171,Trigger)</f>
        <v>#NUM!</v>
      </c>
      <c r="E171" s="79" t="e">
        <f>_xll.qlSwapRateHelperSpread($B171,Trigger)</f>
        <v>#NUM!</v>
      </c>
      <c r="F171" s="80" t="b">
        <v>0</v>
      </c>
      <c r="G171" s="80">
        <v>50</v>
      </c>
      <c r="H171" s="80">
        <v>1</v>
      </c>
      <c r="I171" s="85" t="e">
        <f>_xll.qlRateHelperEarliestDate($B171,Trigger)</f>
        <v>#NUM!</v>
      </c>
      <c r="J171" s="86" t="e">
        <f>_xll.qlRateHelperLatestDate($B171,Trigger)</f>
        <v>#NUM!</v>
      </c>
      <c r="L171" s="84"/>
    </row>
    <row r="172" spans="2:12" x14ac:dyDescent="0.2">
      <c r="B172" s="182">
        <f>ForwardSwaps!K111</f>
        <v>0</v>
      </c>
      <c r="C172" s="78" t="e">
        <f>_xll.qlRateHelperQuoteName(B172)</f>
        <v>#NUM!</v>
      </c>
      <c r="D172" s="79" t="e">
        <f>_xll.qlRateHelperQuoteValue($B172,Trigger)</f>
        <v>#NUM!</v>
      </c>
      <c r="E172" s="79" t="e">
        <f>_xll.qlSwapRateHelperSpread($B172,Trigger)</f>
        <v>#NUM!</v>
      </c>
      <c r="F172" s="80" t="b">
        <v>0</v>
      </c>
      <c r="G172" s="80">
        <v>50</v>
      </c>
      <c r="H172" s="80">
        <v>1</v>
      </c>
      <c r="I172" s="85" t="e">
        <f>_xll.qlRateHelperEarliestDate($B172,Trigger)</f>
        <v>#NUM!</v>
      </c>
      <c r="J172" s="86" t="e">
        <f>_xll.qlRateHelperLatestDate($B172,Trigger)</f>
        <v>#NUM!</v>
      </c>
      <c r="L172" s="84"/>
    </row>
    <row r="173" spans="2:12" x14ac:dyDescent="0.2">
      <c r="B173" s="182">
        <f>ForwardSwaps!K112</f>
        <v>0</v>
      </c>
      <c r="C173" s="78" t="e">
        <f>_xll.qlRateHelperQuoteName(B173)</f>
        <v>#NUM!</v>
      </c>
      <c r="D173" s="79" t="e">
        <f>_xll.qlRateHelperQuoteValue($B173,Trigger)</f>
        <v>#NUM!</v>
      </c>
      <c r="E173" s="79" t="e">
        <f>_xll.qlSwapRateHelperSpread($B173,Trigger)</f>
        <v>#NUM!</v>
      </c>
      <c r="F173" s="80" t="b">
        <v>0</v>
      </c>
      <c r="G173" s="80">
        <v>50</v>
      </c>
      <c r="H173" s="80">
        <v>1</v>
      </c>
      <c r="I173" s="85" t="e">
        <f>_xll.qlRateHelperEarliestDate($B173,Trigger)</f>
        <v>#NUM!</v>
      </c>
      <c r="J173" s="86" t="e">
        <f>_xll.qlRateHelperLatestDate($B173,Trigger)</f>
        <v>#NUM!</v>
      </c>
      <c r="L173" s="84"/>
    </row>
    <row r="174" spans="2:12" x14ac:dyDescent="0.2">
      <c r="B174" s="183">
        <f>ForwardSwaps!K113</f>
        <v>0</v>
      </c>
      <c r="C174" s="81" t="e">
        <f>_xll.qlRateHelperQuoteName(B174)</f>
        <v>#NUM!</v>
      </c>
      <c r="D174" s="82" t="e">
        <f>_xll.qlRateHelperQuoteValue($B174,Trigger)</f>
        <v>#NUM!</v>
      </c>
      <c r="E174" s="82" t="e">
        <f>_xll.qlSwapRateHelperSpread($B174,Trigger)</f>
        <v>#NUM!</v>
      </c>
      <c r="F174" s="83" t="b">
        <v>0</v>
      </c>
      <c r="G174" s="83">
        <v>50</v>
      </c>
      <c r="H174" s="83">
        <v>1</v>
      </c>
      <c r="I174" s="87" t="e">
        <f>_xll.qlRateHelperEarliestDate($B174,Trigger)</f>
        <v>#NUM!</v>
      </c>
      <c r="J174" s="88" t="e">
        <f>_xll.qlRateHelperLatestDate($B174,Trigger)</f>
        <v>#NUM!</v>
      </c>
      <c r="L174" s="84"/>
    </row>
    <row r="175" spans="2:12" x14ac:dyDescent="0.2">
      <c r="B175" s="184">
        <f>ForwardSwaps!K114</f>
        <v>0</v>
      </c>
      <c r="C175" s="180" t="e">
        <f>_xll.qlRateHelperQuoteName(B175)</f>
        <v>#NUM!</v>
      </c>
      <c r="D175" s="185" t="e">
        <f>_xll.qlRateHelperQuoteValue($B175,Trigger)</f>
        <v>#NUM!</v>
      </c>
      <c r="E175" s="185" t="e">
        <f>_xll.qlSwapRateHelperSpread($B175,Trigger)</f>
        <v>#NUM!</v>
      </c>
      <c r="F175" s="186" t="b">
        <v>0</v>
      </c>
      <c r="G175" s="186">
        <v>50</v>
      </c>
      <c r="H175" s="186">
        <v>1</v>
      </c>
      <c r="I175" s="187" t="e">
        <f>_xll.qlRateHelperEarliestDate($B175,Trigger)</f>
        <v>#NUM!</v>
      </c>
      <c r="J175" s="188" t="e">
        <f>_xll.qlRateHelperLatestDate($B175,Trigger)</f>
        <v>#NUM!</v>
      </c>
      <c r="L175" s="84"/>
    </row>
    <row r="176" spans="2:12" x14ac:dyDescent="0.2">
      <c r="B176" s="182">
        <f>ForwardSwaps!K115</f>
        <v>0</v>
      </c>
      <c r="C176" s="78" t="e">
        <f>_xll.qlRateHelperQuoteName(B176)</f>
        <v>#NUM!</v>
      </c>
      <c r="D176" s="79" t="e">
        <f>_xll.qlRateHelperQuoteValue($B176,Trigger)</f>
        <v>#NUM!</v>
      </c>
      <c r="E176" s="79" t="e">
        <f>_xll.qlSwapRateHelperSpread($B176,Trigger)</f>
        <v>#NUM!</v>
      </c>
      <c r="F176" s="80" t="b">
        <v>0</v>
      </c>
      <c r="G176" s="80">
        <v>50</v>
      </c>
      <c r="H176" s="80">
        <v>1</v>
      </c>
      <c r="I176" s="85" t="e">
        <f>_xll.qlRateHelperEarliestDate($B176,Trigger)</f>
        <v>#NUM!</v>
      </c>
      <c r="J176" s="86" t="e">
        <f>_xll.qlRateHelperLatestDate($B176,Trigger)</f>
        <v>#NUM!</v>
      </c>
      <c r="L176" s="84"/>
    </row>
    <row r="177" spans="2:12" x14ac:dyDescent="0.2">
      <c r="B177" s="182">
        <f>ForwardSwaps!K116</f>
        <v>0</v>
      </c>
      <c r="C177" s="78" t="e">
        <f>_xll.qlRateHelperQuoteName(B177)</f>
        <v>#NUM!</v>
      </c>
      <c r="D177" s="79" t="e">
        <f>_xll.qlRateHelperQuoteValue($B177,Trigger)</f>
        <v>#NUM!</v>
      </c>
      <c r="E177" s="79" t="e">
        <f>_xll.qlSwapRateHelperSpread($B177,Trigger)</f>
        <v>#NUM!</v>
      </c>
      <c r="F177" s="80" t="b">
        <v>0</v>
      </c>
      <c r="G177" s="80">
        <v>50</v>
      </c>
      <c r="H177" s="80">
        <v>1</v>
      </c>
      <c r="I177" s="85" t="e">
        <f>_xll.qlRateHelperEarliestDate($B177,Trigger)</f>
        <v>#NUM!</v>
      </c>
      <c r="J177" s="86" t="e">
        <f>_xll.qlRateHelperLatestDate($B177,Trigger)</f>
        <v>#NUM!</v>
      </c>
      <c r="L177" s="84"/>
    </row>
    <row r="178" spans="2:12" x14ac:dyDescent="0.2">
      <c r="B178" s="182">
        <f>ForwardSwaps!K117</f>
        <v>0</v>
      </c>
      <c r="C178" s="78" t="e">
        <f>_xll.qlRateHelperQuoteName(B178)</f>
        <v>#NUM!</v>
      </c>
      <c r="D178" s="79" t="e">
        <f>_xll.qlRateHelperQuoteValue($B178,Trigger)</f>
        <v>#NUM!</v>
      </c>
      <c r="E178" s="79" t="e">
        <f>_xll.qlSwapRateHelperSpread($B178,Trigger)</f>
        <v>#NUM!</v>
      </c>
      <c r="F178" s="80" t="b">
        <v>0</v>
      </c>
      <c r="G178" s="80">
        <v>50</v>
      </c>
      <c r="H178" s="80">
        <v>1</v>
      </c>
      <c r="I178" s="85" t="e">
        <f>_xll.qlRateHelperEarliestDate($B178,Trigger)</f>
        <v>#NUM!</v>
      </c>
      <c r="J178" s="86" t="e">
        <f>_xll.qlRateHelperLatestDate($B178,Trigger)</f>
        <v>#NUM!</v>
      </c>
      <c r="L178" s="84"/>
    </row>
    <row r="179" spans="2:12" x14ac:dyDescent="0.2">
      <c r="B179" s="182">
        <f>ForwardSwaps!K118</f>
        <v>0</v>
      </c>
      <c r="C179" s="78" t="e">
        <f>_xll.qlRateHelperQuoteName(B179)</f>
        <v>#NUM!</v>
      </c>
      <c r="D179" s="79" t="e">
        <f>_xll.qlRateHelperQuoteValue($B179,Trigger)</f>
        <v>#NUM!</v>
      </c>
      <c r="E179" s="79" t="e">
        <f>_xll.qlSwapRateHelperSpread($B179,Trigger)</f>
        <v>#NUM!</v>
      </c>
      <c r="F179" s="80" t="b">
        <v>0</v>
      </c>
      <c r="G179" s="80">
        <v>50</v>
      </c>
      <c r="H179" s="80">
        <v>1</v>
      </c>
      <c r="I179" s="85" t="e">
        <f>_xll.qlRateHelperEarliestDate($B179,Trigger)</f>
        <v>#NUM!</v>
      </c>
      <c r="J179" s="86" t="e">
        <f>_xll.qlRateHelperLatestDate($B179,Trigger)</f>
        <v>#NUM!</v>
      </c>
      <c r="L179" s="84"/>
    </row>
    <row r="180" spans="2:12" x14ac:dyDescent="0.2">
      <c r="B180" s="182">
        <f>ForwardSwaps!K119</f>
        <v>0</v>
      </c>
      <c r="C180" s="78" t="e">
        <f>_xll.qlRateHelperQuoteName(B180)</f>
        <v>#NUM!</v>
      </c>
      <c r="D180" s="79" t="e">
        <f>_xll.qlRateHelperQuoteValue($B180,Trigger)</f>
        <v>#NUM!</v>
      </c>
      <c r="E180" s="79" t="e">
        <f>_xll.qlSwapRateHelperSpread($B180,Trigger)</f>
        <v>#NUM!</v>
      </c>
      <c r="F180" s="80" t="b">
        <v>0</v>
      </c>
      <c r="G180" s="80">
        <v>50</v>
      </c>
      <c r="H180" s="80">
        <v>1</v>
      </c>
      <c r="I180" s="85" t="e">
        <f>_xll.qlRateHelperEarliestDate($B180,Trigger)</f>
        <v>#NUM!</v>
      </c>
      <c r="J180" s="86" t="e">
        <f>_xll.qlRateHelperLatestDate($B180,Trigger)</f>
        <v>#NUM!</v>
      </c>
      <c r="L180" s="84"/>
    </row>
    <row r="181" spans="2:12" x14ac:dyDescent="0.2">
      <c r="B181" s="182">
        <f>ForwardSwaps!K120</f>
        <v>0</v>
      </c>
      <c r="C181" s="78" t="e">
        <f>_xll.qlRateHelperQuoteName(B181)</f>
        <v>#NUM!</v>
      </c>
      <c r="D181" s="79" t="e">
        <f>_xll.qlRateHelperQuoteValue($B181,Trigger)</f>
        <v>#NUM!</v>
      </c>
      <c r="E181" s="79" t="e">
        <f>_xll.qlSwapRateHelperSpread($B181,Trigger)</f>
        <v>#NUM!</v>
      </c>
      <c r="F181" s="80" t="b">
        <v>0</v>
      </c>
      <c r="G181" s="80">
        <v>50</v>
      </c>
      <c r="H181" s="80">
        <v>1</v>
      </c>
      <c r="I181" s="85" t="e">
        <f>_xll.qlRateHelperEarliestDate($B181,Trigger)</f>
        <v>#NUM!</v>
      </c>
      <c r="J181" s="86" t="e">
        <f>_xll.qlRateHelperLatestDate($B181,Trigger)</f>
        <v>#NUM!</v>
      </c>
      <c r="L181" s="84"/>
    </row>
    <row r="182" spans="2:12" x14ac:dyDescent="0.2">
      <c r="B182" s="182">
        <f>ForwardSwaps!K121</f>
        <v>0</v>
      </c>
      <c r="C182" s="78" t="e">
        <f>_xll.qlRateHelperQuoteName(B182)</f>
        <v>#NUM!</v>
      </c>
      <c r="D182" s="79" t="e">
        <f>_xll.qlRateHelperQuoteValue($B182,Trigger)</f>
        <v>#NUM!</v>
      </c>
      <c r="E182" s="79" t="e">
        <f>_xll.qlSwapRateHelperSpread($B182,Trigger)</f>
        <v>#NUM!</v>
      </c>
      <c r="F182" s="80" t="b">
        <v>0</v>
      </c>
      <c r="G182" s="80">
        <v>50</v>
      </c>
      <c r="H182" s="80">
        <v>1</v>
      </c>
      <c r="I182" s="85" t="e">
        <f>_xll.qlRateHelperEarliestDate($B182,Trigger)</f>
        <v>#NUM!</v>
      </c>
      <c r="J182" s="86" t="e">
        <f>_xll.qlRateHelperLatestDate($B182,Trigger)</f>
        <v>#NUM!</v>
      </c>
      <c r="L182" s="84"/>
    </row>
    <row r="183" spans="2:12" x14ac:dyDescent="0.2">
      <c r="B183" s="182">
        <f>ForwardSwaps!K122</f>
        <v>0</v>
      </c>
      <c r="C183" s="78" t="e">
        <f>_xll.qlRateHelperQuoteName(B183)</f>
        <v>#NUM!</v>
      </c>
      <c r="D183" s="79" t="e">
        <f>_xll.qlRateHelperQuoteValue($B183,Trigger)</f>
        <v>#NUM!</v>
      </c>
      <c r="E183" s="79" t="e">
        <f>_xll.qlSwapRateHelperSpread($B183,Trigger)</f>
        <v>#NUM!</v>
      </c>
      <c r="F183" s="80" t="b">
        <v>0</v>
      </c>
      <c r="G183" s="80">
        <v>50</v>
      </c>
      <c r="H183" s="80">
        <v>1</v>
      </c>
      <c r="I183" s="85" t="e">
        <f>_xll.qlRateHelperEarliestDate($B183,Trigger)</f>
        <v>#NUM!</v>
      </c>
      <c r="J183" s="86" t="e">
        <f>_xll.qlRateHelperLatestDate($B183,Trigger)</f>
        <v>#NUM!</v>
      </c>
      <c r="L183" s="84"/>
    </row>
    <row r="184" spans="2:12" x14ac:dyDescent="0.2">
      <c r="B184" s="182">
        <f>ForwardSwaps!K123</f>
        <v>0</v>
      </c>
      <c r="C184" s="78" t="e">
        <f>_xll.qlRateHelperQuoteName(B184)</f>
        <v>#NUM!</v>
      </c>
      <c r="D184" s="79" t="e">
        <f>_xll.qlRateHelperQuoteValue($B184,Trigger)</f>
        <v>#NUM!</v>
      </c>
      <c r="E184" s="79" t="e">
        <f>_xll.qlSwapRateHelperSpread($B184,Trigger)</f>
        <v>#NUM!</v>
      </c>
      <c r="F184" s="80" t="b">
        <v>0</v>
      </c>
      <c r="G184" s="80">
        <v>50</v>
      </c>
      <c r="H184" s="80">
        <v>1</v>
      </c>
      <c r="I184" s="85" t="e">
        <f>_xll.qlRateHelperEarliestDate($B184,Trigger)</f>
        <v>#NUM!</v>
      </c>
      <c r="J184" s="86" t="e">
        <f>_xll.qlRateHelperLatestDate($B184,Trigger)</f>
        <v>#NUM!</v>
      </c>
      <c r="L184" s="84"/>
    </row>
    <row r="185" spans="2:12" x14ac:dyDescent="0.2">
      <c r="B185" s="182">
        <f>ForwardSwaps!K124</f>
        <v>0</v>
      </c>
      <c r="C185" s="78" t="e">
        <f>_xll.qlRateHelperQuoteName(B185)</f>
        <v>#NUM!</v>
      </c>
      <c r="D185" s="79" t="e">
        <f>_xll.qlRateHelperQuoteValue($B185,Trigger)</f>
        <v>#NUM!</v>
      </c>
      <c r="E185" s="79" t="e">
        <f>_xll.qlSwapRateHelperSpread($B185,Trigger)</f>
        <v>#NUM!</v>
      </c>
      <c r="F185" s="80" t="b">
        <v>0</v>
      </c>
      <c r="G185" s="80">
        <v>50</v>
      </c>
      <c r="H185" s="80">
        <v>1</v>
      </c>
      <c r="I185" s="85" t="e">
        <f>_xll.qlRateHelperEarliestDate($B185,Trigger)</f>
        <v>#NUM!</v>
      </c>
      <c r="J185" s="86" t="e">
        <f>_xll.qlRateHelperLatestDate($B185,Trigger)</f>
        <v>#NUM!</v>
      </c>
      <c r="L185" s="84"/>
    </row>
    <row r="186" spans="2:12" x14ac:dyDescent="0.2">
      <c r="B186" s="182">
        <f>ForwardSwaps!K125</f>
        <v>0</v>
      </c>
      <c r="C186" s="78" t="e">
        <f>_xll.qlRateHelperQuoteName(B186)</f>
        <v>#NUM!</v>
      </c>
      <c r="D186" s="79" t="e">
        <f>_xll.qlRateHelperQuoteValue($B186,Trigger)</f>
        <v>#NUM!</v>
      </c>
      <c r="E186" s="79" t="e">
        <f>_xll.qlSwapRateHelperSpread($B186,Trigger)</f>
        <v>#NUM!</v>
      </c>
      <c r="F186" s="80" t="b">
        <v>0</v>
      </c>
      <c r="G186" s="80">
        <v>50</v>
      </c>
      <c r="H186" s="80">
        <v>1</v>
      </c>
      <c r="I186" s="85" t="e">
        <f>_xll.qlRateHelperEarliestDate($B186,Trigger)</f>
        <v>#NUM!</v>
      </c>
      <c r="J186" s="86" t="e">
        <f>_xll.qlRateHelperLatestDate($B186,Trigger)</f>
        <v>#NUM!</v>
      </c>
      <c r="L186" s="84"/>
    </row>
    <row r="187" spans="2:12" x14ac:dyDescent="0.2">
      <c r="B187" s="182">
        <f>ForwardSwaps!K126</f>
        <v>0</v>
      </c>
      <c r="C187" s="78" t="e">
        <f>_xll.qlRateHelperQuoteName(B187)</f>
        <v>#NUM!</v>
      </c>
      <c r="D187" s="79" t="e">
        <f>_xll.qlRateHelperQuoteValue($B187,Trigger)</f>
        <v>#NUM!</v>
      </c>
      <c r="E187" s="79" t="e">
        <f>_xll.qlSwapRateHelperSpread($B187,Trigger)</f>
        <v>#NUM!</v>
      </c>
      <c r="F187" s="80" t="b">
        <v>0</v>
      </c>
      <c r="G187" s="80">
        <v>50</v>
      </c>
      <c r="H187" s="80">
        <v>1</v>
      </c>
      <c r="I187" s="85" t="e">
        <f>_xll.qlRateHelperEarliestDate($B187,Trigger)</f>
        <v>#NUM!</v>
      </c>
      <c r="J187" s="86" t="e">
        <f>_xll.qlRateHelperLatestDate($B187,Trigger)</f>
        <v>#NUM!</v>
      </c>
      <c r="L187" s="84"/>
    </row>
    <row r="188" spans="2:12" x14ac:dyDescent="0.2">
      <c r="B188" s="182">
        <f>ForwardSwaps!K127</f>
        <v>0</v>
      </c>
      <c r="C188" s="78" t="e">
        <f>_xll.qlRateHelperQuoteName(B188)</f>
        <v>#NUM!</v>
      </c>
      <c r="D188" s="79" t="e">
        <f>_xll.qlRateHelperQuoteValue($B188,Trigger)</f>
        <v>#NUM!</v>
      </c>
      <c r="E188" s="79" t="e">
        <f>_xll.qlSwapRateHelperSpread($B188,Trigger)</f>
        <v>#NUM!</v>
      </c>
      <c r="F188" s="80" t="b">
        <v>0</v>
      </c>
      <c r="G188" s="80">
        <v>50</v>
      </c>
      <c r="H188" s="80">
        <v>1</v>
      </c>
      <c r="I188" s="85" t="e">
        <f>_xll.qlRateHelperEarliestDate($B188,Trigger)</f>
        <v>#NUM!</v>
      </c>
      <c r="J188" s="86" t="e">
        <f>_xll.qlRateHelperLatestDate($B188,Trigger)</f>
        <v>#NUM!</v>
      </c>
      <c r="L188" s="84"/>
    </row>
    <row r="189" spans="2:12" x14ac:dyDescent="0.2">
      <c r="B189" s="182">
        <f>ForwardSwaps!K128</f>
        <v>0</v>
      </c>
      <c r="C189" s="78" t="e">
        <f>_xll.qlRateHelperQuoteName(B189)</f>
        <v>#NUM!</v>
      </c>
      <c r="D189" s="79" t="e">
        <f>_xll.qlRateHelperQuoteValue($B189,Trigger)</f>
        <v>#NUM!</v>
      </c>
      <c r="E189" s="79" t="e">
        <f>_xll.qlSwapRateHelperSpread($B189,Trigger)</f>
        <v>#NUM!</v>
      </c>
      <c r="F189" s="80" t="b">
        <v>0</v>
      </c>
      <c r="G189" s="80">
        <v>50</v>
      </c>
      <c r="H189" s="80">
        <v>1</v>
      </c>
      <c r="I189" s="85" t="e">
        <f>_xll.qlRateHelperEarliestDate($B189,Trigger)</f>
        <v>#NUM!</v>
      </c>
      <c r="J189" s="86" t="e">
        <f>_xll.qlRateHelperLatestDate($B189,Trigger)</f>
        <v>#NUM!</v>
      </c>
      <c r="L189" s="84"/>
    </row>
    <row r="190" spans="2:12" x14ac:dyDescent="0.2">
      <c r="B190" s="182">
        <f>ForwardSwaps!K129</f>
        <v>0</v>
      </c>
      <c r="C190" s="78" t="e">
        <f>_xll.qlRateHelperQuoteName(B190)</f>
        <v>#NUM!</v>
      </c>
      <c r="D190" s="79" t="e">
        <f>_xll.qlRateHelperQuoteValue($B190,Trigger)</f>
        <v>#NUM!</v>
      </c>
      <c r="E190" s="79" t="e">
        <f>_xll.qlSwapRateHelperSpread($B190,Trigger)</f>
        <v>#NUM!</v>
      </c>
      <c r="F190" s="80" t="b">
        <v>0</v>
      </c>
      <c r="G190" s="80">
        <v>50</v>
      </c>
      <c r="H190" s="80">
        <v>1</v>
      </c>
      <c r="I190" s="85" t="e">
        <f>_xll.qlRateHelperEarliestDate($B190,Trigger)</f>
        <v>#NUM!</v>
      </c>
      <c r="J190" s="86" t="e">
        <f>_xll.qlRateHelperLatestDate($B190,Trigger)</f>
        <v>#NUM!</v>
      </c>
      <c r="L190" s="84"/>
    </row>
    <row r="191" spans="2:12" x14ac:dyDescent="0.2">
      <c r="B191" s="182">
        <f>ForwardSwaps!K130</f>
        <v>0</v>
      </c>
      <c r="C191" s="78" t="e">
        <f>_xll.qlRateHelperQuoteName(B191)</f>
        <v>#NUM!</v>
      </c>
      <c r="D191" s="79" t="e">
        <f>_xll.qlRateHelperQuoteValue($B191,Trigger)</f>
        <v>#NUM!</v>
      </c>
      <c r="E191" s="79" t="e">
        <f>_xll.qlSwapRateHelperSpread($B191,Trigger)</f>
        <v>#NUM!</v>
      </c>
      <c r="F191" s="80" t="b">
        <v>0</v>
      </c>
      <c r="G191" s="80">
        <v>50</v>
      </c>
      <c r="H191" s="80">
        <v>1</v>
      </c>
      <c r="I191" s="85" t="e">
        <f>_xll.qlRateHelperEarliestDate($B191,Trigger)</f>
        <v>#NUM!</v>
      </c>
      <c r="J191" s="86" t="e">
        <f>_xll.qlRateHelperLatestDate($B191,Trigger)</f>
        <v>#NUM!</v>
      </c>
      <c r="L191" s="84"/>
    </row>
    <row r="192" spans="2:12" x14ac:dyDescent="0.2">
      <c r="B192" s="183">
        <f>ForwardSwaps!K131</f>
        <v>0</v>
      </c>
      <c r="C192" s="81" t="e">
        <f>_xll.qlRateHelperQuoteName(B192)</f>
        <v>#NUM!</v>
      </c>
      <c r="D192" s="82" t="e">
        <f>_xll.qlRateHelperQuoteValue($B192,Trigger)</f>
        <v>#NUM!</v>
      </c>
      <c r="E192" s="82" t="e">
        <f>_xll.qlSwapRateHelperSpread($B192,Trigger)</f>
        <v>#NUM!</v>
      </c>
      <c r="F192" s="83" t="b">
        <v>0</v>
      </c>
      <c r="G192" s="83">
        <v>50</v>
      </c>
      <c r="H192" s="83">
        <v>1</v>
      </c>
      <c r="I192" s="87" t="e">
        <f>_xll.qlRateHelperEarliestDate($B192,Trigger)</f>
        <v>#NUM!</v>
      </c>
      <c r="J192" s="88" t="e">
        <f>_xll.qlRateHelperLatestDate($B192,Trigger)</f>
        <v>#NUM!</v>
      </c>
      <c r="L192" s="84"/>
    </row>
    <row r="193" spans="2:12" x14ac:dyDescent="0.2">
      <c r="B193" s="184">
        <f>ForwardSwaps!K132</f>
        <v>0</v>
      </c>
      <c r="C193" s="180" t="e">
        <f>_xll.qlRateHelperQuoteName(B193)</f>
        <v>#NUM!</v>
      </c>
      <c r="D193" s="185" t="e">
        <f>_xll.qlRateHelperQuoteValue($B193,Trigger)</f>
        <v>#NUM!</v>
      </c>
      <c r="E193" s="185" t="e">
        <f>_xll.qlSwapRateHelperSpread($B193,Trigger)</f>
        <v>#NUM!</v>
      </c>
      <c r="F193" s="186" t="b">
        <v>0</v>
      </c>
      <c r="G193" s="186">
        <v>50</v>
      </c>
      <c r="H193" s="186">
        <v>1</v>
      </c>
      <c r="I193" s="187" t="e">
        <f>_xll.qlRateHelperEarliestDate($B193,Trigger)</f>
        <v>#NUM!</v>
      </c>
      <c r="J193" s="188" t="e">
        <f>_xll.qlRateHelperLatestDate($B193,Trigger)</f>
        <v>#NUM!</v>
      </c>
      <c r="L193" s="84"/>
    </row>
    <row r="194" spans="2:12" x14ac:dyDescent="0.2">
      <c r="B194" s="182">
        <f>ForwardSwaps!K133</f>
        <v>0</v>
      </c>
      <c r="C194" s="78" t="e">
        <f>_xll.qlRateHelperQuoteName(B194)</f>
        <v>#NUM!</v>
      </c>
      <c r="D194" s="79" t="e">
        <f>_xll.qlRateHelperQuoteValue($B194,Trigger)</f>
        <v>#NUM!</v>
      </c>
      <c r="E194" s="79" t="e">
        <f>_xll.qlSwapRateHelperSpread($B194,Trigger)</f>
        <v>#NUM!</v>
      </c>
      <c r="F194" s="80" t="b">
        <v>0</v>
      </c>
      <c r="G194" s="80">
        <v>50</v>
      </c>
      <c r="H194" s="80">
        <v>1</v>
      </c>
      <c r="I194" s="85" t="e">
        <f>_xll.qlRateHelperEarliestDate($B194,Trigger)</f>
        <v>#NUM!</v>
      </c>
      <c r="J194" s="86" t="e">
        <f>_xll.qlRateHelperLatestDate($B194,Trigger)</f>
        <v>#NUM!</v>
      </c>
      <c r="L194" s="84"/>
    </row>
    <row r="195" spans="2:12" x14ac:dyDescent="0.2">
      <c r="B195" s="182">
        <f>ForwardSwaps!K134</f>
        <v>0</v>
      </c>
      <c r="C195" s="78" t="e">
        <f>_xll.qlRateHelperQuoteName(B195)</f>
        <v>#NUM!</v>
      </c>
      <c r="D195" s="79" t="e">
        <f>_xll.qlRateHelperQuoteValue($B195,Trigger)</f>
        <v>#NUM!</v>
      </c>
      <c r="E195" s="79" t="e">
        <f>_xll.qlSwapRateHelperSpread($B195,Trigger)</f>
        <v>#NUM!</v>
      </c>
      <c r="F195" s="80" t="b">
        <v>0</v>
      </c>
      <c r="G195" s="80">
        <v>50</v>
      </c>
      <c r="H195" s="80">
        <v>1</v>
      </c>
      <c r="I195" s="85" t="e">
        <f>_xll.qlRateHelperEarliestDate($B195,Trigger)</f>
        <v>#NUM!</v>
      </c>
      <c r="J195" s="86" t="e">
        <f>_xll.qlRateHelperLatestDate($B195,Trigger)</f>
        <v>#NUM!</v>
      </c>
      <c r="L195" s="84"/>
    </row>
    <row r="196" spans="2:12" x14ac:dyDescent="0.2">
      <c r="B196" s="182">
        <f>ForwardSwaps!K135</f>
        <v>0</v>
      </c>
      <c r="C196" s="78" t="e">
        <f>_xll.qlRateHelperQuoteName(B196)</f>
        <v>#NUM!</v>
      </c>
      <c r="D196" s="79" t="e">
        <f>_xll.qlRateHelperQuoteValue($B196,Trigger)</f>
        <v>#NUM!</v>
      </c>
      <c r="E196" s="79" t="e">
        <f>_xll.qlSwapRateHelperSpread($B196,Trigger)</f>
        <v>#NUM!</v>
      </c>
      <c r="F196" s="80" t="b">
        <v>0</v>
      </c>
      <c r="G196" s="80">
        <v>50</v>
      </c>
      <c r="H196" s="80">
        <v>1</v>
      </c>
      <c r="I196" s="85" t="e">
        <f>_xll.qlRateHelperEarliestDate($B196,Trigger)</f>
        <v>#NUM!</v>
      </c>
      <c r="J196" s="86" t="e">
        <f>_xll.qlRateHelperLatestDate($B196,Trigger)</f>
        <v>#NUM!</v>
      </c>
      <c r="L196" s="84"/>
    </row>
    <row r="197" spans="2:12" x14ac:dyDescent="0.2">
      <c r="B197" s="182">
        <f>ForwardSwaps!K136</f>
        <v>0</v>
      </c>
      <c r="C197" s="78" t="e">
        <f>_xll.qlRateHelperQuoteName(B197)</f>
        <v>#NUM!</v>
      </c>
      <c r="D197" s="79" t="e">
        <f>_xll.qlRateHelperQuoteValue($B197,Trigger)</f>
        <v>#NUM!</v>
      </c>
      <c r="E197" s="79" t="e">
        <f>_xll.qlSwapRateHelperSpread($B197,Trigger)</f>
        <v>#NUM!</v>
      </c>
      <c r="F197" s="80" t="b">
        <v>0</v>
      </c>
      <c r="G197" s="80">
        <v>50</v>
      </c>
      <c r="H197" s="80">
        <v>1</v>
      </c>
      <c r="I197" s="85" t="e">
        <f>_xll.qlRateHelperEarliestDate($B197,Trigger)</f>
        <v>#NUM!</v>
      </c>
      <c r="J197" s="86" t="e">
        <f>_xll.qlRateHelperLatestDate($B197,Trigger)</f>
        <v>#NUM!</v>
      </c>
      <c r="L197" s="84"/>
    </row>
    <row r="198" spans="2:12" x14ac:dyDescent="0.2">
      <c r="B198" s="182">
        <f>ForwardSwaps!K137</f>
        <v>0</v>
      </c>
      <c r="C198" s="78" t="e">
        <f>_xll.qlRateHelperQuoteName(B198)</f>
        <v>#NUM!</v>
      </c>
      <c r="D198" s="79" t="e">
        <f>_xll.qlRateHelperQuoteValue($B198,Trigger)</f>
        <v>#NUM!</v>
      </c>
      <c r="E198" s="79" t="e">
        <f>_xll.qlSwapRateHelperSpread($B198,Trigger)</f>
        <v>#NUM!</v>
      </c>
      <c r="F198" s="80" t="b">
        <v>0</v>
      </c>
      <c r="G198" s="80">
        <v>50</v>
      </c>
      <c r="H198" s="80">
        <v>1</v>
      </c>
      <c r="I198" s="85" t="e">
        <f>_xll.qlRateHelperEarliestDate($B198,Trigger)</f>
        <v>#NUM!</v>
      </c>
      <c r="J198" s="86" t="e">
        <f>_xll.qlRateHelperLatestDate($B198,Trigger)</f>
        <v>#NUM!</v>
      </c>
      <c r="L198" s="84"/>
    </row>
    <row r="199" spans="2:12" x14ac:dyDescent="0.2">
      <c r="B199" s="182">
        <f>ForwardSwaps!K138</f>
        <v>0</v>
      </c>
      <c r="C199" s="78" t="e">
        <f>_xll.qlRateHelperQuoteName(B199)</f>
        <v>#NUM!</v>
      </c>
      <c r="D199" s="79" t="e">
        <f>_xll.qlRateHelperQuoteValue($B199,Trigger)</f>
        <v>#NUM!</v>
      </c>
      <c r="E199" s="79" t="e">
        <f>_xll.qlSwapRateHelperSpread($B199,Trigger)</f>
        <v>#NUM!</v>
      </c>
      <c r="F199" s="80" t="b">
        <v>0</v>
      </c>
      <c r="G199" s="80">
        <v>50</v>
      </c>
      <c r="H199" s="80">
        <v>1</v>
      </c>
      <c r="I199" s="85" t="e">
        <f>_xll.qlRateHelperEarliestDate($B199,Trigger)</f>
        <v>#NUM!</v>
      </c>
      <c r="J199" s="86" t="e">
        <f>_xll.qlRateHelperLatestDate($B199,Trigger)</f>
        <v>#NUM!</v>
      </c>
      <c r="L199" s="84"/>
    </row>
    <row r="200" spans="2:12" x14ac:dyDescent="0.2">
      <c r="B200" s="182">
        <f>ForwardSwaps!K139</f>
        <v>0</v>
      </c>
      <c r="C200" s="78" t="e">
        <f>_xll.qlRateHelperQuoteName(B200)</f>
        <v>#NUM!</v>
      </c>
      <c r="D200" s="79" t="e">
        <f>_xll.qlRateHelperQuoteValue($B200,Trigger)</f>
        <v>#NUM!</v>
      </c>
      <c r="E200" s="79" t="e">
        <f>_xll.qlSwapRateHelperSpread($B200,Trigger)</f>
        <v>#NUM!</v>
      </c>
      <c r="F200" s="80" t="b">
        <v>0</v>
      </c>
      <c r="G200" s="80">
        <v>50</v>
      </c>
      <c r="H200" s="80">
        <v>1</v>
      </c>
      <c r="I200" s="85" t="e">
        <f>_xll.qlRateHelperEarliestDate($B200,Trigger)</f>
        <v>#NUM!</v>
      </c>
      <c r="J200" s="86" t="e">
        <f>_xll.qlRateHelperLatestDate($B200,Trigger)</f>
        <v>#NUM!</v>
      </c>
      <c r="L200" s="84"/>
    </row>
    <row r="201" spans="2:12" x14ac:dyDescent="0.2">
      <c r="B201" s="182">
        <f>ForwardSwaps!K140</f>
        <v>0</v>
      </c>
      <c r="C201" s="78" t="e">
        <f>_xll.qlRateHelperQuoteName(B201)</f>
        <v>#NUM!</v>
      </c>
      <c r="D201" s="79" t="e">
        <f>_xll.qlRateHelperQuoteValue($B201,Trigger)</f>
        <v>#NUM!</v>
      </c>
      <c r="E201" s="79" t="e">
        <f>_xll.qlSwapRateHelperSpread($B201,Trigger)</f>
        <v>#NUM!</v>
      </c>
      <c r="F201" s="80" t="b">
        <v>0</v>
      </c>
      <c r="G201" s="80">
        <v>50</v>
      </c>
      <c r="H201" s="80">
        <v>1</v>
      </c>
      <c r="I201" s="85" t="e">
        <f>_xll.qlRateHelperEarliestDate($B201,Trigger)</f>
        <v>#NUM!</v>
      </c>
      <c r="J201" s="86" t="e">
        <f>_xll.qlRateHelperLatestDate($B201,Trigger)</f>
        <v>#NUM!</v>
      </c>
      <c r="L201" s="84"/>
    </row>
    <row r="202" spans="2:12" x14ac:dyDescent="0.2">
      <c r="B202" s="182">
        <f>ForwardSwaps!K141</f>
        <v>0</v>
      </c>
      <c r="C202" s="78" t="e">
        <f>_xll.qlRateHelperQuoteName(B202)</f>
        <v>#NUM!</v>
      </c>
      <c r="D202" s="79" t="e">
        <f>_xll.qlRateHelperQuoteValue($B202,Trigger)</f>
        <v>#NUM!</v>
      </c>
      <c r="E202" s="79" t="e">
        <f>_xll.qlSwapRateHelperSpread($B202,Trigger)</f>
        <v>#NUM!</v>
      </c>
      <c r="F202" s="80" t="b">
        <v>0</v>
      </c>
      <c r="G202" s="80">
        <v>50</v>
      </c>
      <c r="H202" s="80">
        <v>1</v>
      </c>
      <c r="I202" s="85" t="e">
        <f>_xll.qlRateHelperEarliestDate($B202,Trigger)</f>
        <v>#NUM!</v>
      </c>
      <c r="J202" s="86" t="e">
        <f>_xll.qlRateHelperLatestDate($B202,Trigger)</f>
        <v>#NUM!</v>
      </c>
      <c r="L202" s="84"/>
    </row>
    <row r="203" spans="2:12" x14ac:dyDescent="0.2">
      <c r="B203" s="182">
        <f>ForwardSwaps!K142</f>
        <v>0</v>
      </c>
      <c r="C203" s="78" t="e">
        <f>_xll.qlRateHelperQuoteName(B203)</f>
        <v>#NUM!</v>
      </c>
      <c r="D203" s="79" t="e">
        <f>_xll.qlRateHelperQuoteValue($B203,Trigger)</f>
        <v>#NUM!</v>
      </c>
      <c r="E203" s="79" t="e">
        <f>_xll.qlSwapRateHelperSpread($B203,Trigger)</f>
        <v>#NUM!</v>
      </c>
      <c r="F203" s="80" t="b">
        <v>0</v>
      </c>
      <c r="G203" s="80">
        <v>50</v>
      </c>
      <c r="H203" s="80">
        <v>1</v>
      </c>
      <c r="I203" s="85" t="e">
        <f>_xll.qlRateHelperEarliestDate($B203,Trigger)</f>
        <v>#NUM!</v>
      </c>
      <c r="J203" s="86" t="e">
        <f>_xll.qlRateHelperLatestDate($B203,Trigger)</f>
        <v>#NUM!</v>
      </c>
      <c r="L203" s="84"/>
    </row>
    <row r="204" spans="2:12" x14ac:dyDescent="0.2">
      <c r="B204" s="182">
        <f>ForwardSwaps!K143</f>
        <v>0</v>
      </c>
      <c r="C204" s="78" t="e">
        <f>_xll.qlRateHelperQuoteName(B204)</f>
        <v>#NUM!</v>
      </c>
      <c r="D204" s="79" t="e">
        <f>_xll.qlRateHelperQuoteValue($B204,Trigger)</f>
        <v>#NUM!</v>
      </c>
      <c r="E204" s="79" t="e">
        <f>_xll.qlSwapRateHelperSpread($B204,Trigger)</f>
        <v>#NUM!</v>
      </c>
      <c r="F204" s="80" t="b">
        <v>0</v>
      </c>
      <c r="G204" s="80">
        <v>50</v>
      </c>
      <c r="H204" s="80">
        <v>1</v>
      </c>
      <c r="I204" s="85" t="e">
        <f>_xll.qlRateHelperEarliestDate($B204,Trigger)</f>
        <v>#NUM!</v>
      </c>
      <c r="J204" s="86" t="e">
        <f>_xll.qlRateHelperLatestDate($B204,Trigger)</f>
        <v>#NUM!</v>
      </c>
      <c r="L204" s="84"/>
    </row>
    <row r="205" spans="2:12" x14ac:dyDescent="0.2">
      <c r="B205" s="182">
        <f>ForwardSwaps!K144</f>
        <v>0</v>
      </c>
      <c r="C205" s="78" t="e">
        <f>_xll.qlRateHelperQuoteName(B205)</f>
        <v>#NUM!</v>
      </c>
      <c r="D205" s="79" t="e">
        <f>_xll.qlRateHelperQuoteValue($B205,Trigger)</f>
        <v>#NUM!</v>
      </c>
      <c r="E205" s="79" t="e">
        <f>_xll.qlSwapRateHelperSpread($B205,Trigger)</f>
        <v>#NUM!</v>
      </c>
      <c r="F205" s="80" t="b">
        <v>0</v>
      </c>
      <c r="G205" s="80">
        <v>50</v>
      </c>
      <c r="H205" s="80">
        <v>1</v>
      </c>
      <c r="I205" s="85" t="e">
        <f>_xll.qlRateHelperEarliestDate($B205,Trigger)</f>
        <v>#NUM!</v>
      </c>
      <c r="J205" s="86" t="e">
        <f>_xll.qlRateHelperLatestDate($B205,Trigger)</f>
        <v>#NUM!</v>
      </c>
      <c r="L205" s="84"/>
    </row>
    <row r="206" spans="2:12" x14ac:dyDescent="0.2">
      <c r="B206" s="182">
        <f>ForwardSwaps!K145</f>
        <v>0</v>
      </c>
      <c r="C206" s="78" t="e">
        <f>_xll.qlRateHelperQuoteName(B206)</f>
        <v>#NUM!</v>
      </c>
      <c r="D206" s="79" t="e">
        <f>_xll.qlRateHelperQuoteValue($B206,Trigger)</f>
        <v>#NUM!</v>
      </c>
      <c r="E206" s="79" t="e">
        <f>_xll.qlSwapRateHelperSpread($B206,Trigger)</f>
        <v>#NUM!</v>
      </c>
      <c r="F206" s="80" t="b">
        <v>0</v>
      </c>
      <c r="G206" s="80">
        <v>50</v>
      </c>
      <c r="H206" s="80">
        <v>1</v>
      </c>
      <c r="I206" s="85" t="e">
        <f>_xll.qlRateHelperEarliestDate($B206,Trigger)</f>
        <v>#NUM!</v>
      </c>
      <c r="J206" s="86" t="e">
        <f>_xll.qlRateHelperLatestDate($B206,Trigger)</f>
        <v>#NUM!</v>
      </c>
      <c r="L206" s="84"/>
    </row>
    <row r="207" spans="2:12" x14ac:dyDescent="0.2">
      <c r="B207" s="182">
        <f>ForwardSwaps!K146</f>
        <v>0</v>
      </c>
      <c r="C207" s="78" t="e">
        <f>_xll.qlRateHelperQuoteName(B207)</f>
        <v>#NUM!</v>
      </c>
      <c r="D207" s="79" t="e">
        <f>_xll.qlRateHelperQuoteValue($B207,Trigger)</f>
        <v>#NUM!</v>
      </c>
      <c r="E207" s="79" t="e">
        <f>_xll.qlSwapRateHelperSpread($B207,Trigger)</f>
        <v>#NUM!</v>
      </c>
      <c r="F207" s="80" t="b">
        <v>0</v>
      </c>
      <c r="G207" s="80">
        <v>50</v>
      </c>
      <c r="H207" s="80">
        <v>1</v>
      </c>
      <c r="I207" s="85" t="e">
        <f>_xll.qlRateHelperEarliestDate($B207,Trigger)</f>
        <v>#NUM!</v>
      </c>
      <c r="J207" s="86" t="e">
        <f>_xll.qlRateHelperLatestDate($B207,Trigger)</f>
        <v>#NUM!</v>
      </c>
      <c r="L207" s="84"/>
    </row>
    <row r="208" spans="2:12" x14ac:dyDescent="0.2">
      <c r="B208" s="182">
        <f>ForwardSwaps!K147</f>
        <v>0</v>
      </c>
      <c r="C208" s="78" t="e">
        <f>_xll.qlRateHelperQuoteName(B208)</f>
        <v>#NUM!</v>
      </c>
      <c r="D208" s="79" t="e">
        <f>_xll.qlRateHelperQuoteValue($B208,Trigger)</f>
        <v>#NUM!</v>
      </c>
      <c r="E208" s="79" t="e">
        <f>_xll.qlSwapRateHelperSpread($B208,Trigger)</f>
        <v>#NUM!</v>
      </c>
      <c r="F208" s="80" t="b">
        <v>0</v>
      </c>
      <c r="G208" s="80">
        <v>50</v>
      </c>
      <c r="H208" s="80">
        <v>1</v>
      </c>
      <c r="I208" s="85" t="e">
        <f>_xll.qlRateHelperEarliestDate($B208,Trigger)</f>
        <v>#NUM!</v>
      </c>
      <c r="J208" s="86" t="e">
        <f>_xll.qlRateHelperLatestDate($B208,Trigger)</f>
        <v>#NUM!</v>
      </c>
      <c r="L208" s="84"/>
    </row>
    <row r="209" spans="2:12" x14ac:dyDescent="0.2">
      <c r="B209" s="182">
        <f>ForwardSwaps!K148</f>
        <v>0</v>
      </c>
      <c r="C209" s="78" t="e">
        <f>_xll.qlRateHelperQuoteName(B209)</f>
        <v>#NUM!</v>
      </c>
      <c r="D209" s="79" t="e">
        <f>_xll.qlRateHelperQuoteValue($B209,Trigger)</f>
        <v>#NUM!</v>
      </c>
      <c r="E209" s="79" t="e">
        <f>_xll.qlSwapRateHelperSpread($B209,Trigger)</f>
        <v>#NUM!</v>
      </c>
      <c r="F209" s="80" t="b">
        <v>0</v>
      </c>
      <c r="G209" s="80">
        <v>50</v>
      </c>
      <c r="H209" s="80">
        <v>1</v>
      </c>
      <c r="I209" s="85" t="e">
        <f>_xll.qlRateHelperEarliestDate($B209,Trigger)</f>
        <v>#NUM!</v>
      </c>
      <c r="J209" s="86" t="e">
        <f>_xll.qlRateHelperLatestDate($B209,Trigger)</f>
        <v>#NUM!</v>
      </c>
      <c r="L209" s="84"/>
    </row>
    <row r="210" spans="2:12" x14ac:dyDescent="0.2">
      <c r="B210" s="183">
        <f>ForwardSwaps!K149</f>
        <v>0</v>
      </c>
      <c r="C210" s="81" t="e">
        <f>_xll.qlRateHelperQuoteName(B210)</f>
        <v>#NUM!</v>
      </c>
      <c r="D210" s="82" t="e">
        <f>_xll.qlRateHelperQuoteValue($B210,Trigger)</f>
        <v>#NUM!</v>
      </c>
      <c r="E210" s="82" t="e">
        <f>_xll.qlSwapRateHelperSpread($B210,Trigger)</f>
        <v>#NUM!</v>
      </c>
      <c r="F210" s="83" t="b">
        <v>0</v>
      </c>
      <c r="G210" s="83">
        <v>50</v>
      </c>
      <c r="H210" s="83">
        <v>1</v>
      </c>
      <c r="I210" s="87" t="e">
        <f>_xll.qlRateHelperEarliestDate($B210,Trigger)</f>
        <v>#NUM!</v>
      </c>
      <c r="J210" s="88" t="e">
        <f>_xll.qlRateHelperLatestDate($B210,Trigger)</f>
        <v>#NUM!</v>
      </c>
      <c r="L210" s="84"/>
    </row>
    <row r="211" spans="2:12" x14ac:dyDescent="0.2">
      <c r="B211" s="184">
        <f>ForwardSwaps!K150</f>
        <v>0</v>
      </c>
      <c r="C211" s="180" t="e">
        <f>_xll.qlRateHelperQuoteName(B211)</f>
        <v>#NUM!</v>
      </c>
      <c r="D211" s="185" t="e">
        <f>_xll.qlRateHelperQuoteValue($B211,Trigger)</f>
        <v>#NUM!</v>
      </c>
      <c r="E211" s="185" t="e">
        <f>_xll.qlSwapRateHelperSpread($B211,Trigger)</f>
        <v>#NUM!</v>
      </c>
      <c r="F211" s="186" t="b">
        <v>0</v>
      </c>
      <c r="G211" s="186">
        <v>50</v>
      </c>
      <c r="H211" s="186">
        <v>1</v>
      </c>
      <c r="I211" s="187" t="e">
        <f>_xll.qlRateHelperEarliestDate($B211,Trigger)</f>
        <v>#NUM!</v>
      </c>
      <c r="J211" s="188" t="e">
        <f>_xll.qlRateHelperLatestDate($B211,Trigger)</f>
        <v>#NUM!</v>
      </c>
      <c r="L211" s="84"/>
    </row>
    <row r="212" spans="2:12" x14ac:dyDescent="0.2">
      <c r="B212" s="182">
        <f>ForwardSwaps!K151</f>
        <v>0</v>
      </c>
      <c r="C212" s="78" t="e">
        <f>_xll.qlRateHelperQuoteName(B212)</f>
        <v>#NUM!</v>
      </c>
      <c r="D212" s="79" t="e">
        <f>_xll.qlRateHelperQuoteValue($B212,Trigger)</f>
        <v>#NUM!</v>
      </c>
      <c r="E212" s="79" t="e">
        <f>_xll.qlSwapRateHelperSpread($B212,Trigger)</f>
        <v>#NUM!</v>
      </c>
      <c r="F212" s="80" t="b">
        <v>0</v>
      </c>
      <c r="G212" s="80">
        <v>50</v>
      </c>
      <c r="H212" s="80">
        <v>1</v>
      </c>
      <c r="I212" s="85" t="e">
        <f>_xll.qlRateHelperEarliestDate($B212,Trigger)</f>
        <v>#NUM!</v>
      </c>
      <c r="J212" s="86" t="e">
        <f>_xll.qlRateHelperLatestDate($B212,Trigger)</f>
        <v>#NUM!</v>
      </c>
      <c r="L212" s="84"/>
    </row>
    <row r="213" spans="2:12" x14ac:dyDescent="0.2">
      <c r="B213" s="182">
        <f>ForwardSwaps!K152</f>
        <v>0</v>
      </c>
      <c r="C213" s="78" t="e">
        <f>_xll.qlRateHelperQuoteName(B213)</f>
        <v>#NUM!</v>
      </c>
      <c r="D213" s="79" t="e">
        <f>_xll.qlRateHelperQuoteValue($B213,Trigger)</f>
        <v>#NUM!</v>
      </c>
      <c r="E213" s="79" t="e">
        <f>_xll.qlSwapRateHelperSpread($B213,Trigger)</f>
        <v>#NUM!</v>
      </c>
      <c r="F213" s="80" t="b">
        <v>0</v>
      </c>
      <c r="G213" s="80">
        <v>50</v>
      </c>
      <c r="H213" s="80">
        <v>1</v>
      </c>
      <c r="I213" s="85" t="e">
        <f>_xll.qlRateHelperEarliestDate($B213,Trigger)</f>
        <v>#NUM!</v>
      </c>
      <c r="J213" s="86" t="e">
        <f>_xll.qlRateHelperLatestDate($B213,Trigger)</f>
        <v>#NUM!</v>
      </c>
      <c r="L213" s="84"/>
    </row>
    <row r="214" spans="2:12" x14ac:dyDescent="0.2">
      <c r="B214" s="182">
        <f>ForwardSwaps!K153</f>
        <v>0</v>
      </c>
      <c r="C214" s="78" t="e">
        <f>_xll.qlRateHelperQuoteName(B214)</f>
        <v>#NUM!</v>
      </c>
      <c r="D214" s="79" t="e">
        <f>_xll.qlRateHelperQuoteValue($B214,Trigger)</f>
        <v>#NUM!</v>
      </c>
      <c r="E214" s="79" t="e">
        <f>_xll.qlSwapRateHelperSpread($B214,Trigger)</f>
        <v>#NUM!</v>
      </c>
      <c r="F214" s="80" t="b">
        <v>0</v>
      </c>
      <c r="G214" s="80">
        <v>50</v>
      </c>
      <c r="H214" s="80">
        <v>1</v>
      </c>
      <c r="I214" s="85" t="e">
        <f>_xll.qlRateHelperEarliestDate($B214,Trigger)</f>
        <v>#NUM!</v>
      </c>
      <c r="J214" s="86" t="e">
        <f>_xll.qlRateHelperLatestDate($B214,Trigger)</f>
        <v>#NUM!</v>
      </c>
      <c r="L214" s="84"/>
    </row>
    <row r="215" spans="2:12" x14ac:dyDescent="0.2">
      <c r="B215" s="182">
        <f>ForwardSwaps!K154</f>
        <v>0</v>
      </c>
      <c r="C215" s="78" t="e">
        <f>_xll.qlRateHelperQuoteName(B215)</f>
        <v>#NUM!</v>
      </c>
      <c r="D215" s="79" t="e">
        <f>_xll.qlRateHelperQuoteValue($B215,Trigger)</f>
        <v>#NUM!</v>
      </c>
      <c r="E215" s="79" t="e">
        <f>_xll.qlSwapRateHelperSpread($B215,Trigger)</f>
        <v>#NUM!</v>
      </c>
      <c r="F215" s="80" t="b">
        <v>0</v>
      </c>
      <c r="G215" s="80">
        <v>50</v>
      </c>
      <c r="H215" s="80">
        <v>1</v>
      </c>
      <c r="I215" s="85" t="e">
        <f>_xll.qlRateHelperEarliestDate($B215,Trigger)</f>
        <v>#NUM!</v>
      </c>
      <c r="J215" s="86" t="e">
        <f>_xll.qlRateHelperLatestDate($B215,Trigger)</f>
        <v>#NUM!</v>
      </c>
      <c r="L215" s="84"/>
    </row>
    <row r="216" spans="2:12" x14ac:dyDescent="0.2">
      <c r="B216" s="182">
        <f>ForwardSwaps!K155</f>
        <v>0</v>
      </c>
      <c r="C216" s="78" t="e">
        <f>_xll.qlRateHelperQuoteName(B216)</f>
        <v>#NUM!</v>
      </c>
      <c r="D216" s="79" t="e">
        <f>_xll.qlRateHelperQuoteValue($B216,Trigger)</f>
        <v>#NUM!</v>
      </c>
      <c r="E216" s="79" t="e">
        <f>_xll.qlSwapRateHelperSpread($B216,Trigger)</f>
        <v>#NUM!</v>
      </c>
      <c r="F216" s="80" t="b">
        <v>0</v>
      </c>
      <c r="G216" s="80">
        <v>50</v>
      </c>
      <c r="H216" s="80">
        <v>1</v>
      </c>
      <c r="I216" s="85" t="e">
        <f>_xll.qlRateHelperEarliestDate($B216,Trigger)</f>
        <v>#NUM!</v>
      </c>
      <c r="J216" s="86" t="e">
        <f>_xll.qlRateHelperLatestDate($B216,Trigger)</f>
        <v>#NUM!</v>
      </c>
      <c r="L216" s="84"/>
    </row>
    <row r="217" spans="2:12" x14ac:dyDescent="0.2">
      <c r="B217" s="182">
        <f>ForwardSwaps!K156</f>
        <v>0</v>
      </c>
      <c r="C217" s="78" t="e">
        <f>_xll.qlRateHelperQuoteName(B217)</f>
        <v>#NUM!</v>
      </c>
      <c r="D217" s="79" t="e">
        <f>_xll.qlRateHelperQuoteValue($B217,Trigger)</f>
        <v>#NUM!</v>
      </c>
      <c r="E217" s="79" t="e">
        <f>_xll.qlSwapRateHelperSpread($B217,Trigger)</f>
        <v>#NUM!</v>
      </c>
      <c r="F217" s="80" t="b">
        <v>0</v>
      </c>
      <c r="G217" s="80">
        <v>50</v>
      </c>
      <c r="H217" s="80">
        <v>1</v>
      </c>
      <c r="I217" s="85" t="e">
        <f>_xll.qlRateHelperEarliestDate($B217,Trigger)</f>
        <v>#NUM!</v>
      </c>
      <c r="J217" s="86" t="e">
        <f>_xll.qlRateHelperLatestDate($B217,Trigger)</f>
        <v>#NUM!</v>
      </c>
      <c r="L217" s="84"/>
    </row>
    <row r="218" spans="2:12" x14ac:dyDescent="0.2">
      <c r="B218" s="182">
        <f>ForwardSwaps!K157</f>
        <v>0</v>
      </c>
      <c r="C218" s="78" t="e">
        <f>_xll.qlRateHelperQuoteName(B218)</f>
        <v>#NUM!</v>
      </c>
      <c r="D218" s="79" t="e">
        <f>_xll.qlRateHelperQuoteValue($B218,Trigger)</f>
        <v>#NUM!</v>
      </c>
      <c r="E218" s="79" t="e">
        <f>_xll.qlSwapRateHelperSpread($B218,Trigger)</f>
        <v>#NUM!</v>
      </c>
      <c r="F218" s="80" t="b">
        <v>0</v>
      </c>
      <c r="G218" s="80">
        <v>50</v>
      </c>
      <c r="H218" s="80">
        <v>1</v>
      </c>
      <c r="I218" s="85" t="e">
        <f>_xll.qlRateHelperEarliestDate($B218,Trigger)</f>
        <v>#NUM!</v>
      </c>
      <c r="J218" s="86" t="e">
        <f>_xll.qlRateHelperLatestDate($B218,Trigger)</f>
        <v>#NUM!</v>
      </c>
      <c r="L218" s="84"/>
    </row>
    <row r="219" spans="2:12" x14ac:dyDescent="0.2">
      <c r="B219" s="182">
        <f>ForwardSwaps!K158</f>
        <v>0</v>
      </c>
      <c r="C219" s="78" t="e">
        <f>_xll.qlRateHelperQuoteName(B219)</f>
        <v>#NUM!</v>
      </c>
      <c r="D219" s="79" t="e">
        <f>_xll.qlRateHelperQuoteValue($B219,Trigger)</f>
        <v>#NUM!</v>
      </c>
      <c r="E219" s="79" t="e">
        <f>_xll.qlSwapRateHelperSpread($B219,Trigger)</f>
        <v>#NUM!</v>
      </c>
      <c r="F219" s="80" t="b">
        <v>0</v>
      </c>
      <c r="G219" s="80">
        <v>50</v>
      </c>
      <c r="H219" s="80">
        <v>1</v>
      </c>
      <c r="I219" s="85" t="e">
        <f>_xll.qlRateHelperEarliestDate($B219,Trigger)</f>
        <v>#NUM!</v>
      </c>
      <c r="J219" s="86" t="e">
        <f>_xll.qlRateHelperLatestDate($B219,Trigger)</f>
        <v>#NUM!</v>
      </c>
      <c r="L219" s="84"/>
    </row>
    <row r="220" spans="2:12" x14ac:dyDescent="0.2">
      <c r="B220" s="182">
        <f>ForwardSwaps!K159</f>
        <v>0</v>
      </c>
      <c r="C220" s="78" t="e">
        <f>_xll.qlRateHelperQuoteName(B220)</f>
        <v>#NUM!</v>
      </c>
      <c r="D220" s="79" t="e">
        <f>_xll.qlRateHelperQuoteValue($B220,Trigger)</f>
        <v>#NUM!</v>
      </c>
      <c r="E220" s="79" t="e">
        <f>_xll.qlSwapRateHelperSpread($B220,Trigger)</f>
        <v>#NUM!</v>
      </c>
      <c r="F220" s="80" t="b">
        <v>0</v>
      </c>
      <c r="G220" s="80">
        <v>50</v>
      </c>
      <c r="H220" s="80">
        <v>1</v>
      </c>
      <c r="I220" s="85" t="e">
        <f>_xll.qlRateHelperEarliestDate($B220,Trigger)</f>
        <v>#NUM!</v>
      </c>
      <c r="J220" s="86" t="e">
        <f>_xll.qlRateHelperLatestDate($B220,Trigger)</f>
        <v>#NUM!</v>
      </c>
      <c r="L220" s="84"/>
    </row>
    <row r="221" spans="2:12" x14ac:dyDescent="0.2">
      <c r="B221" s="182">
        <f>ForwardSwaps!K160</f>
        <v>0</v>
      </c>
      <c r="C221" s="78" t="e">
        <f>_xll.qlRateHelperQuoteName(B221)</f>
        <v>#NUM!</v>
      </c>
      <c r="D221" s="79" t="e">
        <f>_xll.qlRateHelperQuoteValue($B221,Trigger)</f>
        <v>#NUM!</v>
      </c>
      <c r="E221" s="79" t="e">
        <f>_xll.qlSwapRateHelperSpread($B221,Trigger)</f>
        <v>#NUM!</v>
      </c>
      <c r="F221" s="80" t="b">
        <v>0</v>
      </c>
      <c r="G221" s="80">
        <v>50</v>
      </c>
      <c r="H221" s="80">
        <v>1</v>
      </c>
      <c r="I221" s="85" t="e">
        <f>_xll.qlRateHelperEarliestDate($B221,Trigger)</f>
        <v>#NUM!</v>
      </c>
      <c r="J221" s="86" t="e">
        <f>_xll.qlRateHelperLatestDate($B221,Trigger)</f>
        <v>#NUM!</v>
      </c>
      <c r="L221" s="84"/>
    </row>
    <row r="222" spans="2:12" x14ac:dyDescent="0.2">
      <c r="B222" s="182">
        <f>ForwardSwaps!K161</f>
        <v>0</v>
      </c>
      <c r="C222" s="78" t="e">
        <f>_xll.qlRateHelperQuoteName(B222)</f>
        <v>#NUM!</v>
      </c>
      <c r="D222" s="79" t="e">
        <f>_xll.qlRateHelperQuoteValue($B222,Trigger)</f>
        <v>#NUM!</v>
      </c>
      <c r="E222" s="79" t="e">
        <f>_xll.qlSwapRateHelperSpread($B222,Trigger)</f>
        <v>#NUM!</v>
      </c>
      <c r="F222" s="80" t="b">
        <v>0</v>
      </c>
      <c r="G222" s="80">
        <v>50</v>
      </c>
      <c r="H222" s="80">
        <v>1</v>
      </c>
      <c r="I222" s="85" t="e">
        <f>_xll.qlRateHelperEarliestDate($B222,Trigger)</f>
        <v>#NUM!</v>
      </c>
      <c r="J222" s="86" t="e">
        <f>_xll.qlRateHelperLatestDate($B222,Trigger)</f>
        <v>#NUM!</v>
      </c>
      <c r="L222" s="84"/>
    </row>
    <row r="223" spans="2:12" x14ac:dyDescent="0.2">
      <c r="B223" s="182">
        <f>ForwardSwaps!K162</f>
        <v>0</v>
      </c>
      <c r="C223" s="78" t="e">
        <f>_xll.qlRateHelperQuoteName(B223)</f>
        <v>#NUM!</v>
      </c>
      <c r="D223" s="79" t="e">
        <f>_xll.qlRateHelperQuoteValue($B223,Trigger)</f>
        <v>#NUM!</v>
      </c>
      <c r="E223" s="79" t="e">
        <f>_xll.qlSwapRateHelperSpread($B223,Trigger)</f>
        <v>#NUM!</v>
      </c>
      <c r="F223" s="80" t="b">
        <v>0</v>
      </c>
      <c r="G223" s="80">
        <v>50</v>
      </c>
      <c r="H223" s="80">
        <v>1</v>
      </c>
      <c r="I223" s="85" t="e">
        <f>_xll.qlRateHelperEarliestDate($B223,Trigger)</f>
        <v>#NUM!</v>
      </c>
      <c r="J223" s="86" t="e">
        <f>_xll.qlRateHelperLatestDate($B223,Trigger)</f>
        <v>#NUM!</v>
      </c>
      <c r="L223" s="84"/>
    </row>
    <row r="224" spans="2:12" x14ac:dyDescent="0.2">
      <c r="B224" s="182">
        <f>ForwardSwaps!K163</f>
        <v>0</v>
      </c>
      <c r="C224" s="78" t="e">
        <f>_xll.qlRateHelperQuoteName(B224)</f>
        <v>#NUM!</v>
      </c>
      <c r="D224" s="79" t="e">
        <f>_xll.qlRateHelperQuoteValue($B224,Trigger)</f>
        <v>#NUM!</v>
      </c>
      <c r="E224" s="79" t="e">
        <f>_xll.qlSwapRateHelperSpread($B224,Trigger)</f>
        <v>#NUM!</v>
      </c>
      <c r="F224" s="80" t="b">
        <v>0</v>
      </c>
      <c r="G224" s="80">
        <v>50</v>
      </c>
      <c r="H224" s="80">
        <v>1</v>
      </c>
      <c r="I224" s="85" t="e">
        <f>_xll.qlRateHelperEarliestDate($B224,Trigger)</f>
        <v>#NUM!</v>
      </c>
      <c r="J224" s="86" t="e">
        <f>_xll.qlRateHelperLatestDate($B224,Trigger)</f>
        <v>#NUM!</v>
      </c>
      <c r="L224" s="84"/>
    </row>
    <row r="225" spans="2:12" x14ac:dyDescent="0.2">
      <c r="B225" s="182">
        <f>ForwardSwaps!K164</f>
        <v>0</v>
      </c>
      <c r="C225" s="78" t="e">
        <f>_xll.qlRateHelperQuoteName(B225)</f>
        <v>#NUM!</v>
      </c>
      <c r="D225" s="79" t="e">
        <f>_xll.qlRateHelperQuoteValue($B225,Trigger)</f>
        <v>#NUM!</v>
      </c>
      <c r="E225" s="79" t="e">
        <f>_xll.qlSwapRateHelperSpread($B225,Trigger)</f>
        <v>#NUM!</v>
      </c>
      <c r="F225" s="80" t="b">
        <v>0</v>
      </c>
      <c r="G225" s="80">
        <v>50</v>
      </c>
      <c r="H225" s="80">
        <v>1</v>
      </c>
      <c r="I225" s="85" t="e">
        <f>_xll.qlRateHelperEarliestDate($B225,Trigger)</f>
        <v>#NUM!</v>
      </c>
      <c r="J225" s="86" t="e">
        <f>_xll.qlRateHelperLatestDate($B225,Trigger)</f>
        <v>#NUM!</v>
      </c>
      <c r="L225" s="84"/>
    </row>
    <row r="226" spans="2:12" x14ac:dyDescent="0.2">
      <c r="B226" s="182">
        <f>ForwardSwaps!K165</f>
        <v>0</v>
      </c>
      <c r="C226" s="78" t="e">
        <f>_xll.qlRateHelperQuoteName(B226)</f>
        <v>#NUM!</v>
      </c>
      <c r="D226" s="79" t="e">
        <f>_xll.qlRateHelperQuoteValue($B226,Trigger)</f>
        <v>#NUM!</v>
      </c>
      <c r="E226" s="79" t="e">
        <f>_xll.qlSwapRateHelperSpread($B226,Trigger)</f>
        <v>#NUM!</v>
      </c>
      <c r="F226" s="80" t="b">
        <v>0</v>
      </c>
      <c r="G226" s="80">
        <v>50</v>
      </c>
      <c r="H226" s="80">
        <v>1</v>
      </c>
      <c r="I226" s="85" t="e">
        <f>_xll.qlRateHelperEarliestDate($B226,Trigger)</f>
        <v>#NUM!</v>
      </c>
      <c r="J226" s="86" t="e">
        <f>_xll.qlRateHelperLatestDate($B226,Trigger)</f>
        <v>#NUM!</v>
      </c>
      <c r="L226" s="84"/>
    </row>
    <row r="227" spans="2:12" x14ac:dyDescent="0.2">
      <c r="B227" s="182">
        <f>ForwardSwaps!K166</f>
        <v>0</v>
      </c>
      <c r="C227" s="78" t="e">
        <f>_xll.qlRateHelperQuoteName(B227)</f>
        <v>#NUM!</v>
      </c>
      <c r="D227" s="79" t="e">
        <f>_xll.qlRateHelperQuoteValue($B227,Trigger)</f>
        <v>#NUM!</v>
      </c>
      <c r="E227" s="79" t="e">
        <f>_xll.qlSwapRateHelperSpread($B227,Trigger)</f>
        <v>#NUM!</v>
      </c>
      <c r="F227" s="80" t="b">
        <v>0</v>
      </c>
      <c r="G227" s="80">
        <v>50</v>
      </c>
      <c r="H227" s="80">
        <v>1</v>
      </c>
      <c r="I227" s="85" t="e">
        <f>_xll.qlRateHelperEarliestDate($B227,Trigger)</f>
        <v>#NUM!</v>
      </c>
      <c r="J227" s="86" t="e">
        <f>_xll.qlRateHelperLatestDate($B227,Trigger)</f>
        <v>#NUM!</v>
      </c>
      <c r="L227" s="84"/>
    </row>
    <row r="228" spans="2:12" x14ac:dyDescent="0.2">
      <c r="B228" s="183">
        <f>ForwardSwaps!K167</f>
        <v>0</v>
      </c>
      <c r="C228" s="81" t="e">
        <f>_xll.qlRateHelperQuoteName(B228)</f>
        <v>#NUM!</v>
      </c>
      <c r="D228" s="82" t="e">
        <f>_xll.qlRateHelperQuoteValue($B228,Trigger)</f>
        <v>#NUM!</v>
      </c>
      <c r="E228" s="82" t="e">
        <f>_xll.qlSwapRateHelperSpread($B228,Trigger)</f>
        <v>#NUM!</v>
      </c>
      <c r="F228" s="83" t="b">
        <v>0</v>
      </c>
      <c r="G228" s="83">
        <v>50</v>
      </c>
      <c r="H228" s="83">
        <v>1</v>
      </c>
      <c r="I228" s="87" t="e">
        <f>_xll.qlRateHelperEarliestDate($B228,Trigger)</f>
        <v>#NUM!</v>
      </c>
      <c r="J228" s="88" t="e">
        <f>_xll.qlRateHelperLatestDate($B228,Trigger)</f>
        <v>#NUM!</v>
      </c>
      <c r="L228" s="84"/>
    </row>
    <row r="229" spans="2:12" x14ac:dyDescent="0.2">
      <c r="B229" s="184">
        <f>ForwardSwaps!K168</f>
        <v>0</v>
      </c>
      <c r="C229" s="180" t="e">
        <f>_xll.qlRateHelperQuoteName(B229)</f>
        <v>#NUM!</v>
      </c>
      <c r="D229" s="185" t="e">
        <f>_xll.qlRateHelperQuoteValue($B229,Trigger)</f>
        <v>#NUM!</v>
      </c>
      <c r="E229" s="185" t="e">
        <f>_xll.qlSwapRateHelperSpread($B229,Trigger)</f>
        <v>#NUM!</v>
      </c>
      <c r="F229" s="186" t="b">
        <v>0</v>
      </c>
      <c r="G229" s="186">
        <v>50</v>
      </c>
      <c r="H229" s="186">
        <v>1</v>
      </c>
      <c r="I229" s="187" t="e">
        <f>_xll.qlRateHelperEarliestDate($B229,Trigger)</f>
        <v>#NUM!</v>
      </c>
      <c r="J229" s="188" t="e">
        <f>_xll.qlRateHelperLatestDate($B229,Trigger)</f>
        <v>#NUM!</v>
      </c>
      <c r="L229" s="84"/>
    </row>
    <row r="230" spans="2:12" x14ac:dyDescent="0.2">
      <c r="B230" s="182">
        <f>ForwardSwaps!K169</f>
        <v>0</v>
      </c>
      <c r="C230" s="78" t="e">
        <f>_xll.qlRateHelperQuoteName(B230)</f>
        <v>#NUM!</v>
      </c>
      <c r="D230" s="79" t="e">
        <f>_xll.qlRateHelperQuoteValue($B230,Trigger)</f>
        <v>#NUM!</v>
      </c>
      <c r="E230" s="79" t="e">
        <f>_xll.qlSwapRateHelperSpread($B230,Trigger)</f>
        <v>#NUM!</v>
      </c>
      <c r="F230" s="80" t="b">
        <v>0</v>
      </c>
      <c r="G230" s="80">
        <v>50</v>
      </c>
      <c r="H230" s="80">
        <v>1</v>
      </c>
      <c r="I230" s="85" t="e">
        <f>_xll.qlRateHelperEarliestDate($B230,Trigger)</f>
        <v>#NUM!</v>
      </c>
      <c r="J230" s="86" t="e">
        <f>_xll.qlRateHelperLatestDate($B230,Trigger)</f>
        <v>#NUM!</v>
      </c>
      <c r="L230" s="84"/>
    </row>
    <row r="231" spans="2:12" x14ac:dyDescent="0.2">
      <c r="B231" s="182">
        <f>ForwardSwaps!K170</f>
        <v>0</v>
      </c>
      <c r="C231" s="78" t="e">
        <f>_xll.qlRateHelperQuoteName(B231)</f>
        <v>#NUM!</v>
      </c>
      <c r="D231" s="79" t="e">
        <f>_xll.qlRateHelperQuoteValue($B231,Trigger)</f>
        <v>#NUM!</v>
      </c>
      <c r="E231" s="79" t="e">
        <f>_xll.qlSwapRateHelperSpread($B231,Trigger)</f>
        <v>#NUM!</v>
      </c>
      <c r="F231" s="80" t="b">
        <v>0</v>
      </c>
      <c r="G231" s="80">
        <v>50</v>
      </c>
      <c r="H231" s="80">
        <v>1</v>
      </c>
      <c r="I231" s="85" t="e">
        <f>_xll.qlRateHelperEarliestDate($B231,Trigger)</f>
        <v>#NUM!</v>
      </c>
      <c r="J231" s="86" t="e">
        <f>_xll.qlRateHelperLatestDate($B231,Trigger)</f>
        <v>#NUM!</v>
      </c>
      <c r="L231" s="84"/>
    </row>
    <row r="232" spans="2:12" x14ac:dyDescent="0.2">
      <c r="B232" s="182">
        <f>ForwardSwaps!K171</f>
        <v>0</v>
      </c>
      <c r="C232" s="78" t="e">
        <f>_xll.qlRateHelperQuoteName(B232)</f>
        <v>#NUM!</v>
      </c>
      <c r="D232" s="79" t="e">
        <f>_xll.qlRateHelperQuoteValue($B232,Trigger)</f>
        <v>#NUM!</v>
      </c>
      <c r="E232" s="79" t="e">
        <f>_xll.qlSwapRateHelperSpread($B232,Trigger)</f>
        <v>#NUM!</v>
      </c>
      <c r="F232" s="80" t="b">
        <v>0</v>
      </c>
      <c r="G232" s="80">
        <v>50</v>
      </c>
      <c r="H232" s="80">
        <v>1</v>
      </c>
      <c r="I232" s="85" t="e">
        <f>_xll.qlRateHelperEarliestDate($B232,Trigger)</f>
        <v>#NUM!</v>
      </c>
      <c r="J232" s="86" t="e">
        <f>_xll.qlRateHelperLatestDate($B232,Trigger)</f>
        <v>#NUM!</v>
      </c>
      <c r="L232" s="84"/>
    </row>
    <row r="233" spans="2:12" x14ac:dyDescent="0.2">
      <c r="B233" s="182">
        <f>ForwardSwaps!K172</f>
        <v>0</v>
      </c>
      <c r="C233" s="78" t="e">
        <f>_xll.qlRateHelperQuoteName(B233)</f>
        <v>#NUM!</v>
      </c>
      <c r="D233" s="79" t="e">
        <f>_xll.qlRateHelperQuoteValue($B233,Trigger)</f>
        <v>#NUM!</v>
      </c>
      <c r="E233" s="79" t="e">
        <f>_xll.qlSwapRateHelperSpread($B233,Trigger)</f>
        <v>#NUM!</v>
      </c>
      <c r="F233" s="80" t="b">
        <v>0</v>
      </c>
      <c r="G233" s="80">
        <v>50</v>
      </c>
      <c r="H233" s="80">
        <v>1</v>
      </c>
      <c r="I233" s="85" t="e">
        <f>_xll.qlRateHelperEarliestDate($B233,Trigger)</f>
        <v>#NUM!</v>
      </c>
      <c r="J233" s="86" t="e">
        <f>_xll.qlRateHelperLatestDate($B233,Trigger)</f>
        <v>#NUM!</v>
      </c>
      <c r="L233" s="84"/>
    </row>
    <row r="234" spans="2:12" x14ac:dyDescent="0.2">
      <c r="B234" s="182">
        <f>ForwardSwaps!K173</f>
        <v>0</v>
      </c>
      <c r="C234" s="78" t="e">
        <f>_xll.qlRateHelperQuoteName(B234)</f>
        <v>#NUM!</v>
      </c>
      <c r="D234" s="79" t="e">
        <f>_xll.qlRateHelperQuoteValue($B234,Trigger)</f>
        <v>#NUM!</v>
      </c>
      <c r="E234" s="79" t="e">
        <f>_xll.qlSwapRateHelperSpread($B234,Trigger)</f>
        <v>#NUM!</v>
      </c>
      <c r="F234" s="80" t="b">
        <v>0</v>
      </c>
      <c r="G234" s="80">
        <v>50</v>
      </c>
      <c r="H234" s="80">
        <v>1</v>
      </c>
      <c r="I234" s="85" t="e">
        <f>_xll.qlRateHelperEarliestDate($B234,Trigger)</f>
        <v>#NUM!</v>
      </c>
      <c r="J234" s="86" t="e">
        <f>_xll.qlRateHelperLatestDate($B234,Trigger)</f>
        <v>#NUM!</v>
      </c>
      <c r="L234" s="84"/>
    </row>
    <row r="235" spans="2:12" x14ac:dyDescent="0.2">
      <c r="B235" s="182">
        <f>ForwardSwaps!K174</f>
        <v>0</v>
      </c>
      <c r="C235" s="78" t="e">
        <f>_xll.qlRateHelperQuoteName(B235)</f>
        <v>#NUM!</v>
      </c>
      <c r="D235" s="79" t="e">
        <f>_xll.qlRateHelperQuoteValue($B235,Trigger)</f>
        <v>#NUM!</v>
      </c>
      <c r="E235" s="79" t="e">
        <f>_xll.qlSwapRateHelperSpread($B235,Trigger)</f>
        <v>#NUM!</v>
      </c>
      <c r="F235" s="80" t="b">
        <v>0</v>
      </c>
      <c r="G235" s="80">
        <v>50</v>
      </c>
      <c r="H235" s="80">
        <v>1</v>
      </c>
      <c r="I235" s="85" t="e">
        <f>_xll.qlRateHelperEarliestDate($B235,Trigger)</f>
        <v>#NUM!</v>
      </c>
      <c r="J235" s="86" t="e">
        <f>_xll.qlRateHelperLatestDate($B235,Trigger)</f>
        <v>#NUM!</v>
      </c>
      <c r="L235" s="84"/>
    </row>
    <row r="236" spans="2:12" x14ac:dyDescent="0.2">
      <c r="B236" s="182">
        <f>ForwardSwaps!K175</f>
        <v>0</v>
      </c>
      <c r="C236" s="78" t="e">
        <f>_xll.qlRateHelperQuoteName(B236)</f>
        <v>#NUM!</v>
      </c>
      <c r="D236" s="79" t="e">
        <f>_xll.qlRateHelperQuoteValue($B236,Trigger)</f>
        <v>#NUM!</v>
      </c>
      <c r="E236" s="79" t="e">
        <f>_xll.qlSwapRateHelperSpread($B236,Trigger)</f>
        <v>#NUM!</v>
      </c>
      <c r="F236" s="80" t="b">
        <v>0</v>
      </c>
      <c r="G236" s="80">
        <v>50</v>
      </c>
      <c r="H236" s="80">
        <v>1</v>
      </c>
      <c r="I236" s="85" t="e">
        <f>_xll.qlRateHelperEarliestDate($B236,Trigger)</f>
        <v>#NUM!</v>
      </c>
      <c r="J236" s="86" t="e">
        <f>_xll.qlRateHelperLatestDate($B236,Trigger)</f>
        <v>#NUM!</v>
      </c>
      <c r="L236" s="84"/>
    </row>
    <row r="237" spans="2:12" x14ac:dyDescent="0.2">
      <c r="B237" s="182">
        <f>ForwardSwaps!K176</f>
        <v>0</v>
      </c>
      <c r="C237" s="78" t="e">
        <f>_xll.qlRateHelperQuoteName(B237)</f>
        <v>#NUM!</v>
      </c>
      <c r="D237" s="79" t="e">
        <f>_xll.qlRateHelperQuoteValue($B237,Trigger)</f>
        <v>#NUM!</v>
      </c>
      <c r="E237" s="79" t="e">
        <f>_xll.qlSwapRateHelperSpread($B237,Trigger)</f>
        <v>#NUM!</v>
      </c>
      <c r="F237" s="80" t="b">
        <v>0</v>
      </c>
      <c r="G237" s="80">
        <v>50</v>
      </c>
      <c r="H237" s="80">
        <v>1</v>
      </c>
      <c r="I237" s="85" t="e">
        <f>_xll.qlRateHelperEarliestDate($B237,Trigger)</f>
        <v>#NUM!</v>
      </c>
      <c r="J237" s="86" t="e">
        <f>_xll.qlRateHelperLatestDate($B237,Trigger)</f>
        <v>#NUM!</v>
      </c>
      <c r="L237" s="84"/>
    </row>
    <row r="238" spans="2:12" x14ac:dyDescent="0.2">
      <c r="B238" s="182">
        <f>ForwardSwaps!K177</f>
        <v>0</v>
      </c>
      <c r="C238" s="78" t="e">
        <f>_xll.qlRateHelperQuoteName(B238)</f>
        <v>#NUM!</v>
      </c>
      <c r="D238" s="79" t="e">
        <f>_xll.qlRateHelperQuoteValue($B238,Trigger)</f>
        <v>#NUM!</v>
      </c>
      <c r="E238" s="79" t="e">
        <f>_xll.qlSwapRateHelperSpread($B238,Trigger)</f>
        <v>#NUM!</v>
      </c>
      <c r="F238" s="80" t="b">
        <v>0</v>
      </c>
      <c r="G238" s="80">
        <v>50</v>
      </c>
      <c r="H238" s="80">
        <v>1</v>
      </c>
      <c r="I238" s="85" t="e">
        <f>_xll.qlRateHelperEarliestDate($B238,Trigger)</f>
        <v>#NUM!</v>
      </c>
      <c r="J238" s="86" t="e">
        <f>_xll.qlRateHelperLatestDate($B238,Trigger)</f>
        <v>#NUM!</v>
      </c>
      <c r="L238" s="84"/>
    </row>
    <row r="239" spans="2:12" x14ac:dyDescent="0.2">
      <c r="B239" s="182">
        <f>ForwardSwaps!K178</f>
        <v>0</v>
      </c>
      <c r="C239" s="78" t="e">
        <f>_xll.qlRateHelperQuoteName(B239)</f>
        <v>#NUM!</v>
      </c>
      <c r="D239" s="79" t="e">
        <f>_xll.qlRateHelperQuoteValue($B239,Trigger)</f>
        <v>#NUM!</v>
      </c>
      <c r="E239" s="79" t="e">
        <f>_xll.qlSwapRateHelperSpread($B239,Trigger)</f>
        <v>#NUM!</v>
      </c>
      <c r="F239" s="80" t="b">
        <v>0</v>
      </c>
      <c r="G239" s="80">
        <v>50</v>
      </c>
      <c r="H239" s="80">
        <v>1</v>
      </c>
      <c r="I239" s="85" t="e">
        <f>_xll.qlRateHelperEarliestDate($B239,Trigger)</f>
        <v>#NUM!</v>
      </c>
      <c r="J239" s="86" t="e">
        <f>_xll.qlRateHelperLatestDate($B239,Trigger)</f>
        <v>#NUM!</v>
      </c>
      <c r="L239" s="84"/>
    </row>
    <row r="240" spans="2:12" x14ac:dyDescent="0.2">
      <c r="B240" s="182">
        <f>ForwardSwaps!K179</f>
        <v>0</v>
      </c>
      <c r="C240" s="78" t="e">
        <f>_xll.qlRateHelperQuoteName(B240)</f>
        <v>#NUM!</v>
      </c>
      <c r="D240" s="79" t="e">
        <f>_xll.qlRateHelperQuoteValue($B240,Trigger)</f>
        <v>#NUM!</v>
      </c>
      <c r="E240" s="79" t="e">
        <f>_xll.qlSwapRateHelperSpread($B240,Trigger)</f>
        <v>#NUM!</v>
      </c>
      <c r="F240" s="80" t="b">
        <v>0</v>
      </c>
      <c r="G240" s="80">
        <v>50</v>
      </c>
      <c r="H240" s="80">
        <v>1</v>
      </c>
      <c r="I240" s="85" t="e">
        <f>_xll.qlRateHelperEarliestDate($B240,Trigger)</f>
        <v>#NUM!</v>
      </c>
      <c r="J240" s="86" t="e">
        <f>_xll.qlRateHelperLatestDate($B240,Trigger)</f>
        <v>#NUM!</v>
      </c>
      <c r="L240" s="84"/>
    </row>
    <row r="241" spans="2:12" x14ac:dyDescent="0.2">
      <c r="B241" s="182">
        <f>ForwardSwaps!K180</f>
        <v>0</v>
      </c>
      <c r="C241" s="78" t="e">
        <f>_xll.qlRateHelperQuoteName(B241)</f>
        <v>#NUM!</v>
      </c>
      <c r="D241" s="79" t="e">
        <f>_xll.qlRateHelperQuoteValue($B241,Trigger)</f>
        <v>#NUM!</v>
      </c>
      <c r="E241" s="79" t="e">
        <f>_xll.qlSwapRateHelperSpread($B241,Trigger)</f>
        <v>#NUM!</v>
      </c>
      <c r="F241" s="80" t="b">
        <v>0</v>
      </c>
      <c r="G241" s="80">
        <v>50</v>
      </c>
      <c r="H241" s="80">
        <v>1</v>
      </c>
      <c r="I241" s="85" t="e">
        <f>_xll.qlRateHelperEarliestDate($B241,Trigger)</f>
        <v>#NUM!</v>
      </c>
      <c r="J241" s="86" t="e">
        <f>_xll.qlRateHelperLatestDate($B241,Trigger)</f>
        <v>#NUM!</v>
      </c>
      <c r="L241" s="84"/>
    </row>
    <row r="242" spans="2:12" x14ac:dyDescent="0.2">
      <c r="B242" s="182">
        <f>ForwardSwaps!K181</f>
        <v>0</v>
      </c>
      <c r="C242" s="78" t="e">
        <f>_xll.qlRateHelperQuoteName(B242)</f>
        <v>#NUM!</v>
      </c>
      <c r="D242" s="79" t="e">
        <f>_xll.qlRateHelperQuoteValue($B242,Trigger)</f>
        <v>#NUM!</v>
      </c>
      <c r="E242" s="79" t="e">
        <f>_xll.qlSwapRateHelperSpread($B242,Trigger)</f>
        <v>#NUM!</v>
      </c>
      <c r="F242" s="80" t="b">
        <v>0</v>
      </c>
      <c r="G242" s="80">
        <v>50</v>
      </c>
      <c r="H242" s="80">
        <v>1</v>
      </c>
      <c r="I242" s="85" t="e">
        <f>_xll.qlRateHelperEarliestDate($B242,Trigger)</f>
        <v>#NUM!</v>
      </c>
      <c r="J242" s="86" t="e">
        <f>_xll.qlRateHelperLatestDate($B242,Trigger)</f>
        <v>#NUM!</v>
      </c>
      <c r="L242" s="84"/>
    </row>
    <row r="243" spans="2:12" x14ac:dyDescent="0.2">
      <c r="B243" s="182">
        <f>ForwardSwaps!K182</f>
        <v>0</v>
      </c>
      <c r="C243" s="78" t="e">
        <f>_xll.qlRateHelperQuoteName(B243)</f>
        <v>#NUM!</v>
      </c>
      <c r="D243" s="79" t="e">
        <f>_xll.qlRateHelperQuoteValue($B243,Trigger)</f>
        <v>#NUM!</v>
      </c>
      <c r="E243" s="79" t="e">
        <f>_xll.qlSwapRateHelperSpread($B243,Trigger)</f>
        <v>#NUM!</v>
      </c>
      <c r="F243" s="80" t="b">
        <v>0</v>
      </c>
      <c r="G243" s="80">
        <v>50</v>
      </c>
      <c r="H243" s="80">
        <v>1</v>
      </c>
      <c r="I243" s="85" t="e">
        <f>_xll.qlRateHelperEarliestDate($B243,Trigger)</f>
        <v>#NUM!</v>
      </c>
      <c r="J243" s="86" t="e">
        <f>_xll.qlRateHelperLatestDate($B243,Trigger)</f>
        <v>#NUM!</v>
      </c>
      <c r="L243" s="84"/>
    </row>
    <row r="244" spans="2:12" x14ac:dyDescent="0.2">
      <c r="B244" s="182">
        <f>ForwardSwaps!K183</f>
        <v>0</v>
      </c>
      <c r="C244" s="78" t="e">
        <f>_xll.qlRateHelperQuoteName(B244)</f>
        <v>#NUM!</v>
      </c>
      <c r="D244" s="79" t="e">
        <f>_xll.qlRateHelperQuoteValue($B244,Trigger)</f>
        <v>#NUM!</v>
      </c>
      <c r="E244" s="79" t="e">
        <f>_xll.qlSwapRateHelperSpread($B244,Trigger)</f>
        <v>#NUM!</v>
      </c>
      <c r="F244" s="80" t="b">
        <v>0</v>
      </c>
      <c r="G244" s="80">
        <v>50</v>
      </c>
      <c r="H244" s="80">
        <v>1</v>
      </c>
      <c r="I244" s="85" t="e">
        <f>_xll.qlRateHelperEarliestDate($B244,Trigger)</f>
        <v>#NUM!</v>
      </c>
      <c r="J244" s="86" t="e">
        <f>_xll.qlRateHelperLatestDate($B244,Trigger)</f>
        <v>#NUM!</v>
      </c>
      <c r="L244" s="84"/>
    </row>
    <row r="245" spans="2:12" x14ac:dyDescent="0.2">
      <c r="B245" s="182">
        <f>ForwardSwaps!K184</f>
        <v>0</v>
      </c>
      <c r="C245" s="78" t="e">
        <f>_xll.qlRateHelperQuoteName(B245)</f>
        <v>#NUM!</v>
      </c>
      <c r="D245" s="79" t="e">
        <f>_xll.qlRateHelperQuoteValue($B245,Trigger)</f>
        <v>#NUM!</v>
      </c>
      <c r="E245" s="79" t="e">
        <f>_xll.qlSwapRateHelperSpread($B245,Trigger)</f>
        <v>#NUM!</v>
      </c>
      <c r="F245" s="80" t="b">
        <v>0</v>
      </c>
      <c r="G245" s="80">
        <v>50</v>
      </c>
      <c r="H245" s="80">
        <v>1</v>
      </c>
      <c r="I245" s="85" t="e">
        <f>_xll.qlRateHelperEarliestDate($B245,Trigger)</f>
        <v>#NUM!</v>
      </c>
      <c r="J245" s="86" t="e">
        <f>_xll.qlRateHelperLatestDate($B245,Trigger)</f>
        <v>#NUM!</v>
      </c>
      <c r="L245" s="84"/>
    </row>
    <row r="246" spans="2:12" x14ac:dyDescent="0.2">
      <c r="B246" s="183">
        <f>ForwardSwaps!K185</f>
        <v>0</v>
      </c>
      <c r="C246" s="81" t="e">
        <f>_xll.qlRateHelperQuoteName(B246)</f>
        <v>#NUM!</v>
      </c>
      <c r="D246" s="82" t="e">
        <f>_xll.qlRateHelperQuoteValue($B246,Trigger)</f>
        <v>#NUM!</v>
      </c>
      <c r="E246" s="82" t="e">
        <f>_xll.qlSwapRateHelperSpread($B246,Trigger)</f>
        <v>#NUM!</v>
      </c>
      <c r="F246" s="83" t="b">
        <v>0</v>
      </c>
      <c r="G246" s="83">
        <v>50</v>
      </c>
      <c r="H246" s="83">
        <v>1</v>
      </c>
      <c r="I246" s="87" t="e">
        <f>_xll.qlRateHelperEarliestDate($B246,Trigger)</f>
        <v>#NUM!</v>
      </c>
      <c r="J246" s="88" t="e">
        <f>_xll.qlRateHelperLatestDate($B246,Trigger)</f>
        <v>#NUM!</v>
      </c>
      <c r="L246" s="84"/>
    </row>
    <row r="247" spans="2:12" x14ac:dyDescent="0.2">
      <c r="B247" s="184">
        <f>ForwardSwaps!K186</f>
        <v>0</v>
      </c>
      <c r="C247" s="180" t="e">
        <f>_xll.qlRateHelperQuoteName(B247)</f>
        <v>#NUM!</v>
      </c>
      <c r="D247" s="185" t="e">
        <f>_xll.qlRateHelperQuoteValue($B247,Trigger)</f>
        <v>#NUM!</v>
      </c>
      <c r="E247" s="185" t="e">
        <f>_xll.qlSwapRateHelperSpread($B247,Trigger)</f>
        <v>#NUM!</v>
      </c>
      <c r="F247" s="186" t="b">
        <v>0</v>
      </c>
      <c r="G247" s="186">
        <v>50</v>
      </c>
      <c r="H247" s="186">
        <v>1</v>
      </c>
      <c r="I247" s="187" t="e">
        <f>_xll.qlRateHelperEarliestDate($B247,Trigger)</f>
        <v>#NUM!</v>
      </c>
      <c r="J247" s="188" t="e">
        <f>_xll.qlRateHelperLatestDate($B247,Trigger)</f>
        <v>#NUM!</v>
      </c>
      <c r="L247" s="84"/>
    </row>
    <row r="248" spans="2:12" x14ac:dyDescent="0.2">
      <c r="B248" s="182">
        <f>ForwardSwaps!K187</f>
        <v>0</v>
      </c>
      <c r="C248" s="78" t="e">
        <f>_xll.qlRateHelperQuoteName(B248)</f>
        <v>#NUM!</v>
      </c>
      <c r="D248" s="79" t="e">
        <f>_xll.qlRateHelperQuoteValue($B248,Trigger)</f>
        <v>#NUM!</v>
      </c>
      <c r="E248" s="79" t="e">
        <f>_xll.qlSwapRateHelperSpread($B248,Trigger)</f>
        <v>#NUM!</v>
      </c>
      <c r="F248" s="80" t="b">
        <v>0</v>
      </c>
      <c r="G248" s="80">
        <v>50</v>
      </c>
      <c r="H248" s="80">
        <v>1</v>
      </c>
      <c r="I248" s="85" t="e">
        <f>_xll.qlRateHelperEarliestDate($B248,Trigger)</f>
        <v>#NUM!</v>
      </c>
      <c r="J248" s="86" t="e">
        <f>_xll.qlRateHelperLatestDate($B248,Trigger)</f>
        <v>#NUM!</v>
      </c>
      <c r="L248" s="84"/>
    </row>
    <row r="249" spans="2:12" x14ac:dyDescent="0.2">
      <c r="B249" s="182">
        <f>ForwardSwaps!K188</f>
        <v>0</v>
      </c>
      <c r="C249" s="78" t="e">
        <f>_xll.qlRateHelperQuoteName(B249)</f>
        <v>#NUM!</v>
      </c>
      <c r="D249" s="79" t="e">
        <f>_xll.qlRateHelperQuoteValue($B249,Trigger)</f>
        <v>#NUM!</v>
      </c>
      <c r="E249" s="79" t="e">
        <f>_xll.qlSwapRateHelperSpread($B249,Trigger)</f>
        <v>#NUM!</v>
      </c>
      <c r="F249" s="80" t="b">
        <v>0</v>
      </c>
      <c r="G249" s="80">
        <v>50</v>
      </c>
      <c r="H249" s="80">
        <v>1</v>
      </c>
      <c r="I249" s="85" t="e">
        <f>_xll.qlRateHelperEarliestDate($B249,Trigger)</f>
        <v>#NUM!</v>
      </c>
      <c r="J249" s="86" t="e">
        <f>_xll.qlRateHelperLatestDate($B249,Trigger)</f>
        <v>#NUM!</v>
      </c>
      <c r="L249" s="84"/>
    </row>
    <row r="250" spans="2:12" x14ac:dyDescent="0.2">
      <c r="B250" s="182">
        <f>ForwardSwaps!K189</f>
        <v>0</v>
      </c>
      <c r="C250" s="78" t="e">
        <f>_xll.qlRateHelperQuoteName(B250)</f>
        <v>#NUM!</v>
      </c>
      <c r="D250" s="79" t="e">
        <f>_xll.qlRateHelperQuoteValue($B250,Trigger)</f>
        <v>#NUM!</v>
      </c>
      <c r="E250" s="79" t="e">
        <f>_xll.qlSwapRateHelperSpread($B250,Trigger)</f>
        <v>#NUM!</v>
      </c>
      <c r="F250" s="80" t="b">
        <v>0</v>
      </c>
      <c r="G250" s="80">
        <v>50</v>
      </c>
      <c r="H250" s="80">
        <v>1</v>
      </c>
      <c r="I250" s="85" t="e">
        <f>_xll.qlRateHelperEarliestDate($B250,Trigger)</f>
        <v>#NUM!</v>
      </c>
      <c r="J250" s="86" t="e">
        <f>_xll.qlRateHelperLatestDate($B250,Trigger)</f>
        <v>#NUM!</v>
      </c>
      <c r="L250" s="84"/>
    </row>
    <row r="251" spans="2:12" x14ac:dyDescent="0.2">
      <c r="B251" s="182">
        <f>ForwardSwaps!K190</f>
        <v>0</v>
      </c>
      <c r="C251" s="78" t="e">
        <f>_xll.qlRateHelperQuoteName(B251)</f>
        <v>#NUM!</v>
      </c>
      <c r="D251" s="79" t="e">
        <f>_xll.qlRateHelperQuoteValue($B251,Trigger)</f>
        <v>#NUM!</v>
      </c>
      <c r="E251" s="79" t="e">
        <f>_xll.qlSwapRateHelperSpread($B251,Trigger)</f>
        <v>#NUM!</v>
      </c>
      <c r="F251" s="80" t="b">
        <v>0</v>
      </c>
      <c r="G251" s="80">
        <v>50</v>
      </c>
      <c r="H251" s="80">
        <v>1</v>
      </c>
      <c r="I251" s="85" t="e">
        <f>_xll.qlRateHelperEarliestDate($B251,Trigger)</f>
        <v>#NUM!</v>
      </c>
      <c r="J251" s="86" t="e">
        <f>_xll.qlRateHelperLatestDate($B251,Trigger)</f>
        <v>#NUM!</v>
      </c>
      <c r="L251" s="84"/>
    </row>
    <row r="252" spans="2:12" x14ac:dyDescent="0.2">
      <c r="B252" s="182">
        <f>ForwardSwaps!K191</f>
        <v>0</v>
      </c>
      <c r="C252" s="78" t="e">
        <f>_xll.qlRateHelperQuoteName(B252)</f>
        <v>#NUM!</v>
      </c>
      <c r="D252" s="79" t="e">
        <f>_xll.qlRateHelperQuoteValue($B252,Trigger)</f>
        <v>#NUM!</v>
      </c>
      <c r="E252" s="79" t="e">
        <f>_xll.qlSwapRateHelperSpread($B252,Trigger)</f>
        <v>#NUM!</v>
      </c>
      <c r="F252" s="80" t="b">
        <v>0</v>
      </c>
      <c r="G252" s="80">
        <v>50</v>
      </c>
      <c r="H252" s="80">
        <v>1</v>
      </c>
      <c r="I252" s="85" t="e">
        <f>_xll.qlRateHelperEarliestDate($B252,Trigger)</f>
        <v>#NUM!</v>
      </c>
      <c r="J252" s="86" t="e">
        <f>_xll.qlRateHelperLatestDate($B252,Trigger)</f>
        <v>#NUM!</v>
      </c>
      <c r="L252" s="84"/>
    </row>
    <row r="253" spans="2:12" x14ac:dyDescent="0.2">
      <c r="B253" s="182">
        <f>ForwardSwaps!K192</f>
        <v>0</v>
      </c>
      <c r="C253" s="78" t="e">
        <f>_xll.qlRateHelperQuoteName(B253)</f>
        <v>#NUM!</v>
      </c>
      <c r="D253" s="79" t="e">
        <f>_xll.qlRateHelperQuoteValue($B253,Trigger)</f>
        <v>#NUM!</v>
      </c>
      <c r="E253" s="79" t="e">
        <f>_xll.qlSwapRateHelperSpread($B253,Trigger)</f>
        <v>#NUM!</v>
      </c>
      <c r="F253" s="80" t="b">
        <v>0</v>
      </c>
      <c r="G253" s="80">
        <v>50</v>
      </c>
      <c r="H253" s="80">
        <v>1</v>
      </c>
      <c r="I253" s="85" t="e">
        <f>_xll.qlRateHelperEarliestDate($B253,Trigger)</f>
        <v>#NUM!</v>
      </c>
      <c r="J253" s="86" t="e">
        <f>_xll.qlRateHelperLatestDate($B253,Trigger)</f>
        <v>#NUM!</v>
      </c>
      <c r="L253" s="84"/>
    </row>
    <row r="254" spans="2:12" x14ac:dyDescent="0.2">
      <c r="B254" s="182">
        <f>ForwardSwaps!K193</f>
        <v>0</v>
      </c>
      <c r="C254" s="78" t="e">
        <f>_xll.qlRateHelperQuoteName(B254)</f>
        <v>#NUM!</v>
      </c>
      <c r="D254" s="79" t="e">
        <f>_xll.qlRateHelperQuoteValue($B254,Trigger)</f>
        <v>#NUM!</v>
      </c>
      <c r="E254" s="79" t="e">
        <f>_xll.qlSwapRateHelperSpread($B254,Trigger)</f>
        <v>#NUM!</v>
      </c>
      <c r="F254" s="80" t="b">
        <v>0</v>
      </c>
      <c r="G254" s="80">
        <v>50</v>
      </c>
      <c r="H254" s="80">
        <v>1</v>
      </c>
      <c r="I254" s="85" t="e">
        <f>_xll.qlRateHelperEarliestDate($B254,Trigger)</f>
        <v>#NUM!</v>
      </c>
      <c r="J254" s="86" t="e">
        <f>_xll.qlRateHelperLatestDate($B254,Trigger)</f>
        <v>#NUM!</v>
      </c>
      <c r="L254" s="84"/>
    </row>
    <row r="255" spans="2:12" x14ac:dyDescent="0.2">
      <c r="B255" s="182">
        <f>ForwardSwaps!K194</f>
        <v>0</v>
      </c>
      <c r="C255" s="78" t="e">
        <f>_xll.qlRateHelperQuoteName(B255)</f>
        <v>#NUM!</v>
      </c>
      <c r="D255" s="79" t="e">
        <f>_xll.qlRateHelperQuoteValue($B255,Trigger)</f>
        <v>#NUM!</v>
      </c>
      <c r="E255" s="79" t="e">
        <f>_xll.qlSwapRateHelperSpread($B255,Trigger)</f>
        <v>#NUM!</v>
      </c>
      <c r="F255" s="80" t="b">
        <v>0</v>
      </c>
      <c r="G255" s="80">
        <v>50</v>
      </c>
      <c r="H255" s="80">
        <v>1</v>
      </c>
      <c r="I255" s="85" t="e">
        <f>_xll.qlRateHelperEarliestDate($B255,Trigger)</f>
        <v>#NUM!</v>
      </c>
      <c r="J255" s="86" t="e">
        <f>_xll.qlRateHelperLatestDate($B255,Trigger)</f>
        <v>#NUM!</v>
      </c>
      <c r="L255" s="84"/>
    </row>
    <row r="256" spans="2:12" x14ac:dyDescent="0.2">
      <c r="B256" s="182">
        <f>ForwardSwaps!K195</f>
        <v>0</v>
      </c>
      <c r="C256" s="78" t="e">
        <f>_xll.qlRateHelperQuoteName(B256)</f>
        <v>#NUM!</v>
      </c>
      <c r="D256" s="79" t="e">
        <f>_xll.qlRateHelperQuoteValue($B256,Trigger)</f>
        <v>#NUM!</v>
      </c>
      <c r="E256" s="79" t="e">
        <f>_xll.qlSwapRateHelperSpread($B256,Trigger)</f>
        <v>#NUM!</v>
      </c>
      <c r="F256" s="80" t="b">
        <v>0</v>
      </c>
      <c r="G256" s="80">
        <v>50</v>
      </c>
      <c r="H256" s="80">
        <v>1</v>
      </c>
      <c r="I256" s="85" t="e">
        <f>_xll.qlRateHelperEarliestDate($B256,Trigger)</f>
        <v>#NUM!</v>
      </c>
      <c r="J256" s="86" t="e">
        <f>_xll.qlRateHelperLatestDate($B256,Trigger)</f>
        <v>#NUM!</v>
      </c>
      <c r="L256" s="84"/>
    </row>
    <row r="257" spans="2:12" x14ac:dyDescent="0.2">
      <c r="B257" s="182">
        <f>ForwardSwaps!K196</f>
        <v>0</v>
      </c>
      <c r="C257" s="78" t="e">
        <f>_xll.qlRateHelperQuoteName(B257)</f>
        <v>#NUM!</v>
      </c>
      <c r="D257" s="79" t="e">
        <f>_xll.qlRateHelperQuoteValue($B257,Trigger)</f>
        <v>#NUM!</v>
      </c>
      <c r="E257" s="79" t="e">
        <f>_xll.qlSwapRateHelperSpread($B257,Trigger)</f>
        <v>#NUM!</v>
      </c>
      <c r="F257" s="80" t="b">
        <v>0</v>
      </c>
      <c r="G257" s="80">
        <v>50</v>
      </c>
      <c r="H257" s="80">
        <v>1</v>
      </c>
      <c r="I257" s="85" t="e">
        <f>_xll.qlRateHelperEarliestDate($B257,Trigger)</f>
        <v>#NUM!</v>
      </c>
      <c r="J257" s="86" t="e">
        <f>_xll.qlRateHelperLatestDate($B257,Trigger)</f>
        <v>#NUM!</v>
      </c>
      <c r="L257" s="84"/>
    </row>
    <row r="258" spans="2:12" x14ac:dyDescent="0.2">
      <c r="B258" s="182">
        <f>ForwardSwaps!K197</f>
        <v>0</v>
      </c>
      <c r="C258" s="78" t="e">
        <f>_xll.qlRateHelperQuoteName(B258)</f>
        <v>#NUM!</v>
      </c>
      <c r="D258" s="79" t="e">
        <f>_xll.qlRateHelperQuoteValue($B258,Trigger)</f>
        <v>#NUM!</v>
      </c>
      <c r="E258" s="79" t="e">
        <f>_xll.qlSwapRateHelperSpread($B258,Trigger)</f>
        <v>#NUM!</v>
      </c>
      <c r="F258" s="80" t="b">
        <v>0</v>
      </c>
      <c r="G258" s="80">
        <v>50</v>
      </c>
      <c r="H258" s="80">
        <v>1</v>
      </c>
      <c r="I258" s="85" t="e">
        <f>_xll.qlRateHelperEarliestDate($B258,Trigger)</f>
        <v>#NUM!</v>
      </c>
      <c r="J258" s="86" t="e">
        <f>_xll.qlRateHelperLatestDate($B258,Trigger)</f>
        <v>#NUM!</v>
      </c>
      <c r="L258" s="84"/>
    </row>
    <row r="259" spans="2:12" x14ac:dyDescent="0.2">
      <c r="B259" s="182">
        <f>ForwardSwaps!K198</f>
        <v>0</v>
      </c>
      <c r="C259" s="78" t="e">
        <f>_xll.qlRateHelperQuoteName(B259)</f>
        <v>#NUM!</v>
      </c>
      <c r="D259" s="79" t="e">
        <f>_xll.qlRateHelperQuoteValue($B259,Trigger)</f>
        <v>#NUM!</v>
      </c>
      <c r="E259" s="79" t="e">
        <f>_xll.qlSwapRateHelperSpread($B259,Trigger)</f>
        <v>#NUM!</v>
      </c>
      <c r="F259" s="80" t="b">
        <v>0</v>
      </c>
      <c r="G259" s="80">
        <v>50</v>
      </c>
      <c r="H259" s="80">
        <v>1</v>
      </c>
      <c r="I259" s="85" t="e">
        <f>_xll.qlRateHelperEarliestDate($B259,Trigger)</f>
        <v>#NUM!</v>
      </c>
      <c r="J259" s="86" t="e">
        <f>_xll.qlRateHelperLatestDate($B259,Trigger)</f>
        <v>#NUM!</v>
      </c>
      <c r="L259" s="84"/>
    </row>
    <row r="260" spans="2:12" x14ac:dyDescent="0.2">
      <c r="B260" s="182">
        <f>ForwardSwaps!K199</f>
        <v>0</v>
      </c>
      <c r="C260" s="78" t="e">
        <f>_xll.qlRateHelperQuoteName(B260)</f>
        <v>#NUM!</v>
      </c>
      <c r="D260" s="79" t="e">
        <f>_xll.qlRateHelperQuoteValue($B260,Trigger)</f>
        <v>#NUM!</v>
      </c>
      <c r="E260" s="79" t="e">
        <f>_xll.qlSwapRateHelperSpread($B260,Trigger)</f>
        <v>#NUM!</v>
      </c>
      <c r="F260" s="80" t="b">
        <v>0</v>
      </c>
      <c r="G260" s="80">
        <v>50</v>
      </c>
      <c r="H260" s="80">
        <v>1</v>
      </c>
      <c r="I260" s="85" t="e">
        <f>_xll.qlRateHelperEarliestDate($B260,Trigger)</f>
        <v>#NUM!</v>
      </c>
      <c r="J260" s="86" t="e">
        <f>_xll.qlRateHelperLatestDate($B260,Trigger)</f>
        <v>#NUM!</v>
      </c>
      <c r="L260" s="84"/>
    </row>
    <row r="261" spans="2:12" x14ac:dyDescent="0.2">
      <c r="B261" s="182">
        <f>ForwardSwaps!K200</f>
        <v>0</v>
      </c>
      <c r="C261" s="78" t="e">
        <f>_xll.qlRateHelperQuoteName(B261)</f>
        <v>#NUM!</v>
      </c>
      <c r="D261" s="79" t="e">
        <f>_xll.qlRateHelperQuoteValue($B261,Trigger)</f>
        <v>#NUM!</v>
      </c>
      <c r="E261" s="79" t="e">
        <f>_xll.qlSwapRateHelperSpread($B261,Trigger)</f>
        <v>#NUM!</v>
      </c>
      <c r="F261" s="80" t="b">
        <v>0</v>
      </c>
      <c r="G261" s="80">
        <v>50</v>
      </c>
      <c r="H261" s="80">
        <v>1</v>
      </c>
      <c r="I261" s="85" t="e">
        <f>_xll.qlRateHelperEarliestDate($B261,Trigger)</f>
        <v>#NUM!</v>
      </c>
      <c r="J261" s="86" t="e">
        <f>_xll.qlRateHelperLatestDate($B261,Trigger)</f>
        <v>#NUM!</v>
      </c>
      <c r="L261" s="84"/>
    </row>
    <row r="262" spans="2:12" x14ac:dyDescent="0.2">
      <c r="B262" s="182">
        <f>ForwardSwaps!K201</f>
        <v>0</v>
      </c>
      <c r="C262" s="78" t="e">
        <f>_xll.qlRateHelperQuoteName(B262)</f>
        <v>#NUM!</v>
      </c>
      <c r="D262" s="79" t="e">
        <f>_xll.qlRateHelperQuoteValue($B262,Trigger)</f>
        <v>#NUM!</v>
      </c>
      <c r="E262" s="79" t="e">
        <f>_xll.qlSwapRateHelperSpread($B262,Trigger)</f>
        <v>#NUM!</v>
      </c>
      <c r="F262" s="80" t="b">
        <v>0</v>
      </c>
      <c r="G262" s="80">
        <v>50</v>
      </c>
      <c r="H262" s="80">
        <v>1</v>
      </c>
      <c r="I262" s="85" t="e">
        <f>_xll.qlRateHelperEarliestDate($B262,Trigger)</f>
        <v>#NUM!</v>
      </c>
      <c r="J262" s="86" t="e">
        <f>_xll.qlRateHelperLatestDate($B262,Trigger)</f>
        <v>#NUM!</v>
      </c>
      <c r="L262" s="84"/>
    </row>
    <row r="263" spans="2:12" x14ac:dyDescent="0.2">
      <c r="B263" s="182">
        <f>ForwardSwaps!K202</f>
        <v>0</v>
      </c>
      <c r="C263" s="78" t="e">
        <f>_xll.qlRateHelperQuoteName(B263)</f>
        <v>#NUM!</v>
      </c>
      <c r="D263" s="79" t="e">
        <f>_xll.qlRateHelperQuoteValue($B263,Trigger)</f>
        <v>#NUM!</v>
      </c>
      <c r="E263" s="79" t="e">
        <f>_xll.qlSwapRateHelperSpread($B263,Trigger)</f>
        <v>#NUM!</v>
      </c>
      <c r="F263" s="80" t="b">
        <v>0</v>
      </c>
      <c r="G263" s="80">
        <v>50</v>
      </c>
      <c r="H263" s="80">
        <v>1</v>
      </c>
      <c r="I263" s="85" t="e">
        <f>_xll.qlRateHelperEarliestDate($B263,Trigger)</f>
        <v>#NUM!</v>
      </c>
      <c r="J263" s="86" t="e">
        <f>_xll.qlRateHelperLatestDate($B263,Trigger)</f>
        <v>#NUM!</v>
      </c>
      <c r="L263" s="84"/>
    </row>
    <row r="264" spans="2:12" x14ac:dyDescent="0.2">
      <c r="B264" s="183">
        <f>ForwardSwaps!K203</f>
        <v>0</v>
      </c>
      <c r="C264" s="81" t="e">
        <f>_xll.qlRateHelperQuoteName(B264)</f>
        <v>#NUM!</v>
      </c>
      <c r="D264" s="82" t="e">
        <f>_xll.qlRateHelperQuoteValue($B264,Trigger)</f>
        <v>#NUM!</v>
      </c>
      <c r="E264" s="82" t="e">
        <f>_xll.qlSwapRateHelperSpread($B264,Trigger)</f>
        <v>#NUM!</v>
      </c>
      <c r="F264" s="83" t="b">
        <v>0</v>
      </c>
      <c r="G264" s="83">
        <v>50</v>
      </c>
      <c r="H264" s="83">
        <v>1</v>
      </c>
      <c r="I264" s="87" t="e">
        <f>_xll.qlRateHelperEarliestDate($B264,Trigger)</f>
        <v>#NUM!</v>
      </c>
      <c r="J264" s="88" t="e">
        <f>_xll.qlRateHelperLatestDate($B264,Trigger)</f>
        <v>#NUM!</v>
      </c>
      <c r="L264" s="84"/>
    </row>
    <row r="265" spans="2:12" x14ac:dyDescent="0.2">
      <c r="B265" s="184">
        <f>ForwardSwaps!K204</f>
        <v>0</v>
      </c>
      <c r="C265" s="180" t="e">
        <f>_xll.qlRateHelperQuoteName(B265)</f>
        <v>#NUM!</v>
      </c>
      <c r="D265" s="185" t="e">
        <f>_xll.qlRateHelperQuoteValue($B265,Trigger)</f>
        <v>#NUM!</v>
      </c>
      <c r="E265" s="185" t="e">
        <f>_xll.qlSwapRateHelperSpread($B265,Trigger)</f>
        <v>#NUM!</v>
      </c>
      <c r="F265" s="186" t="b">
        <v>0</v>
      </c>
      <c r="G265" s="186">
        <v>50</v>
      </c>
      <c r="H265" s="186">
        <v>1</v>
      </c>
      <c r="I265" s="187" t="e">
        <f>_xll.qlRateHelperEarliestDate($B265,Trigger)</f>
        <v>#NUM!</v>
      </c>
      <c r="J265" s="188" t="e">
        <f>_xll.qlRateHelperLatestDate($B265,Trigger)</f>
        <v>#NUM!</v>
      </c>
      <c r="L265" s="84"/>
    </row>
    <row r="266" spans="2:12" x14ac:dyDescent="0.2">
      <c r="B266" s="182">
        <f>ForwardSwaps!K205</f>
        <v>0</v>
      </c>
      <c r="C266" s="78" t="e">
        <f>_xll.qlRateHelperQuoteName(B266)</f>
        <v>#NUM!</v>
      </c>
      <c r="D266" s="79" t="e">
        <f>_xll.qlRateHelperQuoteValue($B266,Trigger)</f>
        <v>#NUM!</v>
      </c>
      <c r="E266" s="79" t="e">
        <f>_xll.qlSwapRateHelperSpread($B266,Trigger)</f>
        <v>#NUM!</v>
      </c>
      <c r="F266" s="80" t="b">
        <v>0</v>
      </c>
      <c r="G266" s="80">
        <v>50</v>
      </c>
      <c r="H266" s="80">
        <v>1</v>
      </c>
      <c r="I266" s="85" t="e">
        <f>_xll.qlRateHelperEarliestDate($B266,Trigger)</f>
        <v>#NUM!</v>
      </c>
      <c r="J266" s="86" t="e">
        <f>_xll.qlRateHelperLatestDate($B266,Trigger)</f>
        <v>#NUM!</v>
      </c>
      <c r="L266" s="84"/>
    </row>
    <row r="267" spans="2:12" x14ac:dyDescent="0.2">
      <c r="B267" s="182">
        <f>ForwardSwaps!K206</f>
        <v>0</v>
      </c>
      <c r="C267" s="78" t="e">
        <f>_xll.qlRateHelperQuoteName(B267)</f>
        <v>#NUM!</v>
      </c>
      <c r="D267" s="79" t="e">
        <f>_xll.qlRateHelperQuoteValue($B267,Trigger)</f>
        <v>#NUM!</v>
      </c>
      <c r="E267" s="79" t="e">
        <f>_xll.qlSwapRateHelperSpread($B267,Trigger)</f>
        <v>#NUM!</v>
      </c>
      <c r="F267" s="80" t="b">
        <v>0</v>
      </c>
      <c r="G267" s="80">
        <v>50</v>
      </c>
      <c r="H267" s="80">
        <v>1</v>
      </c>
      <c r="I267" s="85" t="e">
        <f>_xll.qlRateHelperEarliestDate($B267,Trigger)</f>
        <v>#NUM!</v>
      </c>
      <c r="J267" s="86" t="e">
        <f>_xll.qlRateHelperLatestDate($B267,Trigger)</f>
        <v>#NUM!</v>
      </c>
      <c r="L267" s="84"/>
    </row>
    <row r="268" spans="2:12" x14ac:dyDescent="0.2">
      <c r="B268" s="182">
        <f>ForwardSwaps!K207</f>
        <v>0</v>
      </c>
      <c r="C268" s="78" t="e">
        <f>_xll.qlRateHelperQuoteName(B268)</f>
        <v>#NUM!</v>
      </c>
      <c r="D268" s="79" t="e">
        <f>_xll.qlRateHelperQuoteValue($B268,Trigger)</f>
        <v>#NUM!</v>
      </c>
      <c r="E268" s="79" t="e">
        <f>_xll.qlSwapRateHelperSpread($B268,Trigger)</f>
        <v>#NUM!</v>
      </c>
      <c r="F268" s="80" t="b">
        <v>0</v>
      </c>
      <c r="G268" s="80">
        <v>50</v>
      </c>
      <c r="H268" s="80">
        <v>1</v>
      </c>
      <c r="I268" s="85" t="e">
        <f>_xll.qlRateHelperEarliestDate($B268,Trigger)</f>
        <v>#NUM!</v>
      </c>
      <c r="J268" s="86" t="e">
        <f>_xll.qlRateHelperLatestDate($B268,Trigger)</f>
        <v>#NUM!</v>
      </c>
      <c r="L268" s="84"/>
    </row>
    <row r="269" spans="2:12" x14ac:dyDescent="0.2">
      <c r="B269" s="182">
        <f>ForwardSwaps!K208</f>
        <v>0</v>
      </c>
      <c r="C269" s="78" t="e">
        <f>_xll.qlRateHelperQuoteName(B269)</f>
        <v>#NUM!</v>
      </c>
      <c r="D269" s="79" t="e">
        <f>_xll.qlRateHelperQuoteValue($B269,Trigger)</f>
        <v>#NUM!</v>
      </c>
      <c r="E269" s="79" t="e">
        <f>_xll.qlSwapRateHelperSpread($B269,Trigger)</f>
        <v>#NUM!</v>
      </c>
      <c r="F269" s="80" t="b">
        <v>0</v>
      </c>
      <c r="G269" s="80">
        <v>50</v>
      </c>
      <c r="H269" s="80">
        <v>1</v>
      </c>
      <c r="I269" s="85" t="e">
        <f>_xll.qlRateHelperEarliestDate($B269,Trigger)</f>
        <v>#NUM!</v>
      </c>
      <c r="J269" s="86" t="e">
        <f>_xll.qlRateHelperLatestDate($B269,Trigger)</f>
        <v>#NUM!</v>
      </c>
      <c r="L269" s="84"/>
    </row>
    <row r="270" spans="2:12" x14ac:dyDescent="0.2">
      <c r="B270" s="182">
        <f>ForwardSwaps!K209</f>
        <v>0</v>
      </c>
      <c r="C270" s="78" t="e">
        <f>_xll.qlRateHelperQuoteName(B270)</f>
        <v>#NUM!</v>
      </c>
      <c r="D270" s="79" t="e">
        <f>_xll.qlRateHelperQuoteValue($B270,Trigger)</f>
        <v>#NUM!</v>
      </c>
      <c r="E270" s="79" t="e">
        <f>_xll.qlSwapRateHelperSpread($B270,Trigger)</f>
        <v>#NUM!</v>
      </c>
      <c r="F270" s="80" t="b">
        <v>0</v>
      </c>
      <c r="G270" s="80">
        <v>50</v>
      </c>
      <c r="H270" s="80">
        <v>1</v>
      </c>
      <c r="I270" s="85" t="e">
        <f>_xll.qlRateHelperEarliestDate($B270,Trigger)</f>
        <v>#NUM!</v>
      </c>
      <c r="J270" s="86" t="e">
        <f>_xll.qlRateHelperLatestDate($B270,Trigger)</f>
        <v>#NUM!</v>
      </c>
      <c r="L270" s="84"/>
    </row>
    <row r="271" spans="2:12" x14ac:dyDescent="0.2">
      <c r="B271" s="182">
        <f>ForwardSwaps!K210</f>
        <v>0</v>
      </c>
      <c r="C271" s="78" t="e">
        <f>_xll.qlRateHelperQuoteName(B271)</f>
        <v>#NUM!</v>
      </c>
      <c r="D271" s="79" t="e">
        <f>_xll.qlRateHelperQuoteValue($B271,Trigger)</f>
        <v>#NUM!</v>
      </c>
      <c r="E271" s="79" t="e">
        <f>_xll.qlSwapRateHelperSpread($B271,Trigger)</f>
        <v>#NUM!</v>
      </c>
      <c r="F271" s="80" t="b">
        <v>0</v>
      </c>
      <c r="G271" s="80">
        <v>50</v>
      </c>
      <c r="H271" s="80">
        <v>1</v>
      </c>
      <c r="I271" s="85" t="e">
        <f>_xll.qlRateHelperEarliestDate($B271,Trigger)</f>
        <v>#NUM!</v>
      </c>
      <c r="J271" s="86" t="e">
        <f>_xll.qlRateHelperLatestDate($B271,Trigger)</f>
        <v>#NUM!</v>
      </c>
      <c r="L271" s="84"/>
    </row>
    <row r="272" spans="2:12" x14ac:dyDescent="0.2">
      <c r="B272" s="182">
        <f>ForwardSwaps!K211</f>
        <v>0</v>
      </c>
      <c r="C272" s="78" t="e">
        <f>_xll.qlRateHelperQuoteName(B272)</f>
        <v>#NUM!</v>
      </c>
      <c r="D272" s="79" t="e">
        <f>_xll.qlRateHelperQuoteValue($B272,Trigger)</f>
        <v>#NUM!</v>
      </c>
      <c r="E272" s="79" t="e">
        <f>_xll.qlSwapRateHelperSpread($B272,Trigger)</f>
        <v>#NUM!</v>
      </c>
      <c r="F272" s="80" t="b">
        <v>0</v>
      </c>
      <c r="G272" s="80">
        <v>50</v>
      </c>
      <c r="H272" s="80">
        <v>1</v>
      </c>
      <c r="I272" s="85" t="e">
        <f>_xll.qlRateHelperEarliestDate($B272,Trigger)</f>
        <v>#NUM!</v>
      </c>
      <c r="J272" s="86" t="e">
        <f>_xll.qlRateHelperLatestDate($B272,Trigger)</f>
        <v>#NUM!</v>
      </c>
      <c r="L272" s="84"/>
    </row>
    <row r="273" spans="2:12" x14ac:dyDescent="0.2">
      <c r="B273" s="182">
        <f>ForwardSwaps!K212</f>
        <v>0</v>
      </c>
      <c r="C273" s="78" t="e">
        <f>_xll.qlRateHelperQuoteName(B273)</f>
        <v>#NUM!</v>
      </c>
      <c r="D273" s="79" t="e">
        <f>_xll.qlRateHelperQuoteValue($B273,Trigger)</f>
        <v>#NUM!</v>
      </c>
      <c r="E273" s="79" t="e">
        <f>_xll.qlSwapRateHelperSpread($B273,Trigger)</f>
        <v>#NUM!</v>
      </c>
      <c r="F273" s="80" t="b">
        <v>0</v>
      </c>
      <c r="G273" s="80">
        <v>50</v>
      </c>
      <c r="H273" s="80">
        <v>1</v>
      </c>
      <c r="I273" s="85" t="e">
        <f>_xll.qlRateHelperEarliestDate($B273,Trigger)</f>
        <v>#NUM!</v>
      </c>
      <c r="J273" s="86" t="e">
        <f>_xll.qlRateHelperLatestDate($B273,Trigger)</f>
        <v>#NUM!</v>
      </c>
      <c r="L273" s="84"/>
    </row>
    <row r="274" spans="2:12" x14ac:dyDescent="0.2">
      <c r="B274" s="182">
        <f>ForwardSwaps!K213</f>
        <v>0</v>
      </c>
      <c r="C274" s="78" t="e">
        <f>_xll.qlRateHelperQuoteName(B274)</f>
        <v>#NUM!</v>
      </c>
      <c r="D274" s="79" t="e">
        <f>_xll.qlRateHelperQuoteValue($B274,Trigger)</f>
        <v>#NUM!</v>
      </c>
      <c r="E274" s="79" t="e">
        <f>_xll.qlSwapRateHelperSpread($B274,Trigger)</f>
        <v>#NUM!</v>
      </c>
      <c r="F274" s="80" t="b">
        <v>0</v>
      </c>
      <c r="G274" s="80">
        <v>50</v>
      </c>
      <c r="H274" s="80">
        <v>1</v>
      </c>
      <c r="I274" s="85" t="e">
        <f>_xll.qlRateHelperEarliestDate($B274,Trigger)</f>
        <v>#NUM!</v>
      </c>
      <c r="J274" s="86" t="e">
        <f>_xll.qlRateHelperLatestDate($B274,Trigger)</f>
        <v>#NUM!</v>
      </c>
      <c r="L274" s="84"/>
    </row>
    <row r="275" spans="2:12" x14ac:dyDescent="0.2">
      <c r="B275" s="182">
        <f>ForwardSwaps!K214</f>
        <v>0</v>
      </c>
      <c r="C275" s="78" t="e">
        <f>_xll.qlRateHelperQuoteName(B275)</f>
        <v>#NUM!</v>
      </c>
      <c r="D275" s="79" t="e">
        <f>_xll.qlRateHelperQuoteValue($B275,Trigger)</f>
        <v>#NUM!</v>
      </c>
      <c r="E275" s="79" t="e">
        <f>_xll.qlSwapRateHelperSpread($B275,Trigger)</f>
        <v>#NUM!</v>
      </c>
      <c r="F275" s="80" t="b">
        <v>0</v>
      </c>
      <c r="G275" s="80">
        <v>50</v>
      </c>
      <c r="H275" s="80">
        <v>1</v>
      </c>
      <c r="I275" s="85" t="e">
        <f>_xll.qlRateHelperEarliestDate($B275,Trigger)</f>
        <v>#NUM!</v>
      </c>
      <c r="J275" s="86" t="e">
        <f>_xll.qlRateHelperLatestDate($B275,Trigger)</f>
        <v>#NUM!</v>
      </c>
      <c r="L275" s="84"/>
    </row>
    <row r="276" spans="2:12" x14ac:dyDescent="0.2">
      <c r="B276" s="182">
        <f>ForwardSwaps!K215</f>
        <v>0</v>
      </c>
      <c r="C276" s="78" t="e">
        <f>_xll.qlRateHelperQuoteName(B276)</f>
        <v>#NUM!</v>
      </c>
      <c r="D276" s="79" t="e">
        <f>_xll.qlRateHelperQuoteValue($B276,Trigger)</f>
        <v>#NUM!</v>
      </c>
      <c r="E276" s="79" t="e">
        <f>_xll.qlSwapRateHelperSpread($B276,Trigger)</f>
        <v>#NUM!</v>
      </c>
      <c r="F276" s="80" t="b">
        <v>0</v>
      </c>
      <c r="G276" s="80">
        <v>50</v>
      </c>
      <c r="H276" s="80">
        <v>1</v>
      </c>
      <c r="I276" s="85" t="e">
        <f>_xll.qlRateHelperEarliestDate($B276,Trigger)</f>
        <v>#NUM!</v>
      </c>
      <c r="J276" s="86" t="e">
        <f>_xll.qlRateHelperLatestDate($B276,Trigger)</f>
        <v>#NUM!</v>
      </c>
      <c r="L276" s="84"/>
    </row>
    <row r="277" spans="2:12" x14ac:dyDescent="0.2">
      <c r="B277" s="182">
        <f>ForwardSwaps!K216</f>
        <v>0</v>
      </c>
      <c r="C277" s="78" t="e">
        <f>_xll.qlRateHelperQuoteName(B277)</f>
        <v>#NUM!</v>
      </c>
      <c r="D277" s="79" t="e">
        <f>_xll.qlRateHelperQuoteValue($B277,Trigger)</f>
        <v>#NUM!</v>
      </c>
      <c r="E277" s="79" t="e">
        <f>_xll.qlSwapRateHelperSpread($B277,Trigger)</f>
        <v>#NUM!</v>
      </c>
      <c r="F277" s="80" t="b">
        <v>0</v>
      </c>
      <c r="G277" s="80">
        <v>50</v>
      </c>
      <c r="H277" s="80">
        <v>1</v>
      </c>
      <c r="I277" s="85" t="e">
        <f>_xll.qlRateHelperEarliestDate($B277,Trigger)</f>
        <v>#NUM!</v>
      </c>
      <c r="J277" s="86" t="e">
        <f>_xll.qlRateHelperLatestDate($B277,Trigger)</f>
        <v>#NUM!</v>
      </c>
      <c r="L277" s="84"/>
    </row>
    <row r="278" spans="2:12" x14ac:dyDescent="0.2">
      <c r="B278" s="182">
        <f>ForwardSwaps!K217</f>
        <v>0</v>
      </c>
      <c r="C278" s="78" t="e">
        <f>_xll.qlRateHelperQuoteName(B278)</f>
        <v>#NUM!</v>
      </c>
      <c r="D278" s="79" t="e">
        <f>_xll.qlRateHelperQuoteValue($B278,Trigger)</f>
        <v>#NUM!</v>
      </c>
      <c r="E278" s="79" t="e">
        <f>_xll.qlSwapRateHelperSpread($B278,Trigger)</f>
        <v>#NUM!</v>
      </c>
      <c r="F278" s="80" t="b">
        <v>0</v>
      </c>
      <c r="G278" s="80">
        <v>50</v>
      </c>
      <c r="H278" s="80">
        <v>1</v>
      </c>
      <c r="I278" s="85" t="e">
        <f>_xll.qlRateHelperEarliestDate($B278,Trigger)</f>
        <v>#NUM!</v>
      </c>
      <c r="J278" s="86" t="e">
        <f>_xll.qlRateHelperLatestDate($B278,Trigger)</f>
        <v>#NUM!</v>
      </c>
      <c r="L278" s="84"/>
    </row>
    <row r="279" spans="2:12" x14ac:dyDescent="0.2">
      <c r="B279" s="182">
        <f>ForwardSwaps!K218</f>
        <v>0</v>
      </c>
      <c r="C279" s="78" t="e">
        <f>_xll.qlRateHelperQuoteName(B279)</f>
        <v>#NUM!</v>
      </c>
      <c r="D279" s="79" t="e">
        <f>_xll.qlRateHelperQuoteValue($B279,Trigger)</f>
        <v>#NUM!</v>
      </c>
      <c r="E279" s="79" t="e">
        <f>_xll.qlSwapRateHelperSpread($B279,Trigger)</f>
        <v>#NUM!</v>
      </c>
      <c r="F279" s="80" t="b">
        <v>0</v>
      </c>
      <c r="G279" s="80">
        <v>50</v>
      </c>
      <c r="H279" s="80">
        <v>1</v>
      </c>
      <c r="I279" s="85" t="e">
        <f>_xll.qlRateHelperEarliestDate($B279,Trigger)</f>
        <v>#NUM!</v>
      </c>
      <c r="J279" s="86" t="e">
        <f>_xll.qlRateHelperLatestDate($B279,Trigger)</f>
        <v>#NUM!</v>
      </c>
      <c r="L279" s="84"/>
    </row>
    <row r="280" spans="2:12" x14ac:dyDescent="0.2">
      <c r="B280" s="182">
        <f>ForwardSwaps!K219</f>
        <v>0</v>
      </c>
      <c r="C280" s="78" t="e">
        <f>_xll.qlRateHelperQuoteName(B280)</f>
        <v>#NUM!</v>
      </c>
      <c r="D280" s="79" t="e">
        <f>_xll.qlRateHelperQuoteValue($B280,Trigger)</f>
        <v>#NUM!</v>
      </c>
      <c r="E280" s="79" t="e">
        <f>_xll.qlSwapRateHelperSpread($B280,Trigger)</f>
        <v>#NUM!</v>
      </c>
      <c r="F280" s="80" t="b">
        <v>0</v>
      </c>
      <c r="G280" s="80">
        <v>50</v>
      </c>
      <c r="H280" s="80">
        <v>1</v>
      </c>
      <c r="I280" s="85" t="e">
        <f>_xll.qlRateHelperEarliestDate($B280,Trigger)</f>
        <v>#NUM!</v>
      </c>
      <c r="J280" s="86" t="e">
        <f>_xll.qlRateHelperLatestDate($B280,Trigger)</f>
        <v>#NUM!</v>
      </c>
      <c r="L280" s="84"/>
    </row>
    <row r="281" spans="2:12" x14ac:dyDescent="0.2">
      <c r="B281" s="182">
        <f>ForwardSwaps!K220</f>
        <v>0</v>
      </c>
      <c r="C281" s="78" t="e">
        <f>_xll.qlRateHelperQuoteName(B281)</f>
        <v>#NUM!</v>
      </c>
      <c r="D281" s="79" t="e">
        <f>_xll.qlRateHelperQuoteValue($B281,Trigger)</f>
        <v>#NUM!</v>
      </c>
      <c r="E281" s="79" t="e">
        <f>_xll.qlSwapRateHelperSpread($B281,Trigger)</f>
        <v>#NUM!</v>
      </c>
      <c r="F281" s="80" t="b">
        <v>0</v>
      </c>
      <c r="G281" s="80">
        <v>50</v>
      </c>
      <c r="H281" s="80">
        <v>1</v>
      </c>
      <c r="I281" s="85" t="e">
        <f>_xll.qlRateHelperEarliestDate($B281,Trigger)</f>
        <v>#NUM!</v>
      </c>
      <c r="J281" s="86" t="e">
        <f>_xll.qlRateHelperLatestDate($B281,Trigger)</f>
        <v>#NUM!</v>
      </c>
      <c r="L281" s="84"/>
    </row>
    <row r="282" spans="2:12" x14ac:dyDescent="0.2">
      <c r="B282" s="183">
        <f>ForwardSwaps!K221</f>
        <v>0</v>
      </c>
      <c r="C282" s="81" t="e">
        <f>_xll.qlRateHelperQuoteName(B282)</f>
        <v>#NUM!</v>
      </c>
      <c r="D282" s="82" t="e">
        <f>_xll.qlRateHelperQuoteValue($B282,Trigger)</f>
        <v>#NUM!</v>
      </c>
      <c r="E282" s="82" t="e">
        <f>_xll.qlSwapRateHelperSpread($B282,Trigger)</f>
        <v>#NUM!</v>
      </c>
      <c r="F282" s="83" t="b">
        <v>0</v>
      </c>
      <c r="G282" s="83">
        <v>50</v>
      </c>
      <c r="H282" s="83">
        <v>1</v>
      </c>
      <c r="I282" s="87" t="e">
        <f>_xll.qlRateHelperEarliestDate($B282,Trigger)</f>
        <v>#NUM!</v>
      </c>
      <c r="J282" s="88" t="e">
        <f>_xll.qlRateHelperLatestDate($B282,Trigger)</f>
        <v>#NUM!</v>
      </c>
      <c r="L282" s="84"/>
    </row>
    <row r="283" spans="2:12" x14ac:dyDescent="0.2">
      <c r="B283" s="184">
        <f>ForwardSwaps!K222</f>
        <v>0</v>
      </c>
      <c r="C283" s="180" t="e">
        <f>_xll.qlRateHelperQuoteName(B283)</f>
        <v>#NUM!</v>
      </c>
      <c r="D283" s="185" t="e">
        <f>_xll.qlRateHelperQuoteValue($B283,Trigger)</f>
        <v>#NUM!</v>
      </c>
      <c r="E283" s="185" t="e">
        <f>_xll.qlSwapRateHelperSpread($B283,Trigger)</f>
        <v>#NUM!</v>
      </c>
      <c r="F283" s="186" t="b">
        <v>0</v>
      </c>
      <c r="G283" s="186">
        <v>50</v>
      </c>
      <c r="H283" s="186">
        <v>1</v>
      </c>
      <c r="I283" s="187" t="e">
        <f>_xll.qlRateHelperEarliestDate($B283,Trigger)</f>
        <v>#NUM!</v>
      </c>
      <c r="J283" s="188" t="e">
        <f>_xll.qlRateHelperLatestDate($B283,Trigger)</f>
        <v>#NUM!</v>
      </c>
      <c r="L283" s="84"/>
    </row>
    <row r="284" spans="2:12" x14ac:dyDescent="0.2">
      <c r="B284" s="182">
        <f>ForwardSwaps!K223</f>
        <v>0</v>
      </c>
      <c r="C284" s="78" t="e">
        <f>_xll.qlRateHelperQuoteName(B284)</f>
        <v>#NUM!</v>
      </c>
      <c r="D284" s="79" t="e">
        <f>_xll.qlRateHelperQuoteValue($B284,Trigger)</f>
        <v>#NUM!</v>
      </c>
      <c r="E284" s="79" t="e">
        <f>_xll.qlSwapRateHelperSpread($B284,Trigger)</f>
        <v>#NUM!</v>
      </c>
      <c r="F284" s="80" t="b">
        <v>0</v>
      </c>
      <c r="G284" s="80">
        <v>50</v>
      </c>
      <c r="H284" s="80">
        <v>1</v>
      </c>
      <c r="I284" s="85" t="e">
        <f>_xll.qlRateHelperEarliestDate($B284,Trigger)</f>
        <v>#NUM!</v>
      </c>
      <c r="J284" s="86" t="e">
        <f>_xll.qlRateHelperLatestDate($B284,Trigger)</f>
        <v>#NUM!</v>
      </c>
      <c r="L284" s="84"/>
    </row>
    <row r="285" spans="2:12" x14ac:dyDescent="0.2">
      <c r="B285" s="182">
        <f>ForwardSwaps!K224</f>
        <v>0</v>
      </c>
      <c r="C285" s="78" t="e">
        <f>_xll.qlRateHelperQuoteName(B285)</f>
        <v>#NUM!</v>
      </c>
      <c r="D285" s="79" t="e">
        <f>_xll.qlRateHelperQuoteValue($B285,Trigger)</f>
        <v>#NUM!</v>
      </c>
      <c r="E285" s="79" t="e">
        <f>_xll.qlSwapRateHelperSpread($B285,Trigger)</f>
        <v>#NUM!</v>
      </c>
      <c r="F285" s="80" t="b">
        <v>0</v>
      </c>
      <c r="G285" s="80">
        <v>50</v>
      </c>
      <c r="H285" s="80">
        <v>1</v>
      </c>
      <c r="I285" s="85" t="e">
        <f>_xll.qlRateHelperEarliestDate($B285,Trigger)</f>
        <v>#NUM!</v>
      </c>
      <c r="J285" s="86" t="e">
        <f>_xll.qlRateHelperLatestDate($B285,Trigger)</f>
        <v>#NUM!</v>
      </c>
      <c r="L285" s="84"/>
    </row>
    <row r="286" spans="2:12" x14ac:dyDescent="0.2">
      <c r="B286" s="182">
        <f>ForwardSwaps!K225</f>
        <v>0</v>
      </c>
      <c r="C286" s="78" t="e">
        <f>_xll.qlRateHelperQuoteName(B286)</f>
        <v>#NUM!</v>
      </c>
      <c r="D286" s="79" t="e">
        <f>_xll.qlRateHelperQuoteValue($B286,Trigger)</f>
        <v>#NUM!</v>
      </c>
      <c r="E286" s="79" t="e">
        <f>_xll.qlSwapRateHelperSpread($B286,Trigger)</f>
        <v>#NUM!</v>
      </c>
      <c r="F286" s="80" t="b">
        <v>0</v>
      </c>
      <c r="G286" s="80">
        <v>50</v>
      </c>
      <c r="H286" s="80">
        <v>1</v>
      </c>
      <c r="I286" s="85" t="e">
        <f>_xll.qlRateHelperEarliestDate($B286,Trigger)</f>
        <v>#NUM!</v>
      </c>
      <c r="J286" s="86" t="e">
        <f>_xll.qlRateHelperLatestDate($B286,Trigger)</f>
        <v>#NUM!</v>
      </c>
      <c r="L286" s="84"/>
    </row>
    <row r="287" spans="2:12" x14ac:dyDescent="0.2">
      <c r="B287" s="182">
        <f>ForwardSwaps!K226</f>
        <v>0</v>
      </c>
      <c r="C287" s="78" t="e">
        <f>_xll.qlRateHelperQuoteName(B287)</f>
        <v>#NUM!</v>
      </c>
      <c r="D287" s="79" t="e">
        <f>_xll.qlRateHelperQuoteValue($B287,Trigger)</f>
        <v>#NUM!</v>
      </c>
      <c r="E287" s="79" t="e">
        <f>_xll.qlSwapRateHelperSpread($B287,Trigger)</f>
        <v>#NUM!</v>
      </c>
      <c r="F287" s="80" t="b">
        <v>0</v>
      </c>
      <c r="G287" s="80">
        <v>50</v>
      </c>
      <c r="H287" s="80">
        <v>1</v>
      </c>
      <c r="I287" s="85" t="e">
        <f>_xll.qlRateHelperEarliestDate($B287,Trigger)</f>
        <v>#NUM!</v>
      </c>
      <c r="J287" s="86" t="e">
        <f>_xll.qlRateHelperLatestDate($B287,Trigger)</f>
        <v>#NUM!</v>
      </c>
      <c r="L287" s="84"/>
    </row>
    <row r="288" spans="2:12" x14ac:dyDescent="0.2">
      <c r="B288" s="182">
        <f>ForwardSwaps!K227</f>
        <v>0</v>
      </c>
      <c r="C288" s="78" t="e">
        <f>_xll.qlRateHelperQuoteName(B288)</f>
        <v>#NUM!</v>
      </c>
      <c r="D288" s="79" t="e">
        <f>_xll.qlRateHelperQuoteValue($B288,Trigger)</f>
        <v>#NUM!</v>
      </c>
      <c r="E288" s="79" t="e">
        <f>_xll.qlSwapRateHelperSpread($B288,Trigger)</f>
        <v>#NUM!</v>
      </c>
      <c r="F288" s="80" t="b">
        <v>0</v>
      </c>
      <c r="G288" s="80">
        <v>50</v>
      </c>
      <c r="H288" s="80">
        <v>1</v>
      </c>
      <c r="I288" s="85" t="e">
        <f>_xll.qlRateHelperEarliestDate($B288,Trigger)</f>
        <v>#NUM!</v>
      </c>
      <c r="J288" s="86" t="e">
        <f>_xll.qlRateHelperLatestDate($B288,Trigger)</f>
        <v>#NUM!</v>
      </c>
      <c r="L288" s="84"/>
    </row>
    <row r="289" spans="2:12" x14ac:dyDescent="0.2">
      <c r="B289" s="182">
        <f>ForwardSwaps!K228</f>
        <v>0</v>
      </c>
      <c r="C289" s="78" t="e">
        <f>_xll.qlRateHelperQuoteName(B289)</f>
        <v>#NUM!</v>
      </c>
      <c r="D289" s="79" t="e">
        <f>_xll.qlRateHelperQuoteValue($B289,Trigger)</f>
        <v>#NUM!</v>
      </c>
      <c r="E289" s="79" t="e">
        <f>_xll.qlSwapRateHelperSpread($B289,Trigger)</f>
        <v>#NUM!</v>
      </c>
      <c r="F289" s="80" t="b">
        <v>0</v>
      </c>
      <c r="G289" s="80">
        <v>50</v>
      </c>
      <c r="H289" s="80">
        <v>1</v>
      </c>
      <c r="I289" s="85" t="e">
        <f>_xll.qlRateHelperEarliestDate($B289,Trigger)</f>
        <v>#NUM!</v>
      </c>
      <c r="J289" s="86" t="e">
        <f>_xll.qlRateHelperLatestDate($B289,Trigger)</f>
        <v>#NUM!</v>
      </c>
      <c r="L289" s="84"/>
    </row>
    <row r="290" spans="2:12" x14ac:dyDescent="0.2">
      <c r="B290" s="182">
        <f>ForwardSwaps!K229</f>
        <v>0</v>
      </c>
      <c r="C290" s="78" t="e">
        <f>_xll.qlRateHelperQuoteName(B290)</f>
        <v>#NUM!</v>
      </c>
      <c r="D290" s="79" t="e">
        <f>_xll.qlRateHelperQuoteValue($B290,Trigger)</f>
        <v>#NUM!</v>
      </c>
      <c r="E290" s="79" t="e">
        <f>_xll.qlSwapRateHelperSpread($B290,Trigger)</f>
        <v>#NUM!</v>
      </c>
      <c r="F290" s="80" t="b">
        <v>0</v>
      </c>
      <c r="G290" s="80">
        <v>50</v>
      </c>
      <c r="H290" s="80">
        <v>1</v>
      </c>
      <c r="I290" s="85" t="e">
        <f>_xll.qlRateHelperEarliestDate($B290,Trigger)</f>
        <v>#NUM!</v>
      </c>
      <c r="J290" s="86" t="e">
        <f>_xll.qlRateHelperLatestDate($B290,Trigger)</f>
        <v>#NUM!</v>
      </c>
      <c r="L290" s="84"/>
    </row>
    <row r="291" spans="2:12" x14ac:dyDescent="0.2">
      <c r="B291" s="182">
        <f>ForwardSwaps!K230</f>
        <v>0</v>
      </c>
      <c r="C291" s="78" t="e">
        <f>_xll.qlRateHelperQuoteName(B291)</f>
        <v>#NUM!</v>
      </c>
      <c r="D291" s="79" t="e">
        <f>_xll.qlRateHelperQuoteValue($B291,Trigger)</f>
        <v>#NUM!</v>
      </c>
      <c r="E291" s="79" t="e">
        <f>_xll.qlSwapRateHelperSpread($B291,Trigger)</f>
        <v>#NUM!</v>
      </c>
      <c r="F291" s="80" t="b">
        <v>0</v>
      </c>
      <c r="G291" s="80">
        <v>50</v>
      </c>
      <c r="H291" s="80">
        <v>1</v>
      </c>
      <c r="I291" s="85" t="e">
        <f>_xll.qlRateHelperEarliestDate($B291,Trigger)</f>
        <v>#NUM!</v>
      </c>
      <c r="J291" s="86" t="e">
        <f>_xll.qlRateHelperLatestDate($B291,Trigger)</f>
        <v>#NUM!</v>
      </c>
      <c r="L291" s="84"/>
    </row>
    <row r="292" spans="2:12" x14ac:dyDescent="0.2">
      <c r="B292" s="182">
        <f>ForwardSwaps!K231</f>
        <v>0</v>
      </c>
      <c r="C292" s="78" t="e">
        <f>_xll.qlRateHelperQuoteName(B292)</f>
        <v>#NUM!</v>
      </c>
      <c r="D292" s="79" t="e">
        <f>_xll.qlRateHelperQuoteValue($B292,Trigger)</f>
        <v>#NUM!</v>
      </c>
      <c r="E292" s="79" t="e">
        <f>_xll.qlSwapRateHelperSpread($B292,Trigger)</f>
        <v>#NUM!</v>
      </c>
      <c r="F292" s="80" t="b">
        <v>0</v>
      </c>
      <c r="G292" s="80">
        <v>50</v>
      </c>
      <c r="H292" s="80">
        <v>1</v>
      </c>
      <c r="I292" s="85" t="e">
        <f>_xll.qlRateHelperEarliestDate($B292,Trigger)</f>
        <v>#NUM!</v>
      </c>
      <c r="J292" s="86" t="e">
        <f>_xll.qlRateHelperLatestDate($B292,Trigger)</f>
        <v>#NUM!</v>
      </c>
      <c r="L292" s="84"/>
    </row>
    <row r="293" spans="2:12" x14ac:dyDescent="0.2">
      <c r="B293" s="182">
        <f>ForwardSwaps!K232</f>
        <v>0</v>
      </c>
      <c r="C293" s="78" t="e">
        <f>_xll.qlRateHelperQuoteName(B293)</f>
        <v>#NUM!</v>
      </c>
      <c r="D293" s="79" t="e">
        <f>_xll.qlRateHelperQuoteValue($B293,Trigger)</f>
        <v>#NUM!</v>
      </c>
      <c r="E293" s="79" t="e">
        <f>_xll.qlSwapRateHelperSpread($B293,Trigger)</f>
        <v>#NUM!</v>
      </c>
      <c r="F293" s="80" t="b">
        <v>0</v>
      </c>
      <c r="G293" s="80">
        <v>50</v>
      </c>
      <c r="H293" s="80">
        <v>1</v>
      </c>
      <c r="I293" s="85" t="e">
        <f>_xll.qlRateHelperEarliestDate($B293,Trigger)</f>
        <v>#NUM!</v>
      </c>
      <c r="J293" s="86" t="e">
        <f>_xll.qlRateHelperLatestDate($B293,Trigger)</f>
        <v>#NUM!</v>
      </c>
      <c r="L293" s="84"/>
    </row>
    <row r="294" spans="2:12" x14ac:dyDescent="0.2">
      <c r="B294" s="182">
        <f>ForwardSwaps!K233</f>
        <v>0</v>
      </c>
      <c r="C294" s="78" t="e">
        <f>_xll.qlRateHelperQuoteName(B294)</f>
        <v>#NUM!</v>
      </c>
      <c r="D294" s="79" t="e">
        <f>_xll.qlRateHelperQuoteValue($B294,Trigger)</f>
        <v>#NUM!</v>
      </c>
      <c r="E294" s="79" t="e">
        <f>_xll.qlSwapRateHelperSpread($B294,Trigger)</f>
        <v>#NUM!</v>
      </c>
      <c r="F294" s="80" t="b">
        <v>0</v>
      </c>
      <c r="G294" s="80">
        <v>50</v>
      </c>
      <c r="H294" s="80">
        <v>1</v>
      </c>
      <c r="I294" s="85" t="e">
        <f>_xll.qlRateHelperEarliestDate($B294,Trigger)</f>
        <v>#NUM!</v>
      </c>
      <c r="J294" s="86" t="e">
        <f>_xll.qlRateHelperLatestDate($B294,Trigger)</f>
        <v>#NUM!</v>
      </c>
      <c r="L294" s="84"/>
    </row>
    <row r="295" spans="2:12" x14ac:dyDescent="0.2">
      <c r="B295" s="182">
        <f>ForwardSwaps!K234</f>
        <v>0</v>
      </c>
      <c r="C295" s="78" t="e">
        <f>_xll.qlRateHelperQuoteName(B295)</f>
        <v>#NUM!</v>
      </c>
      <c r="D295" s="79" t="e">
        <f>_xll.qlRateHelperQuoteValue($B295,Trigger)</f>
        <v>#NUM!</v>
      </c>
      <c r="E295" s="79" t="e">
        <f>_xll.qlSwapRateHelperSpread($B295,Trigger)</f>
        <v>#NUM!</v>
      </c>
      <c r="F295" s="80" t="b">
        <v>0</v>
      </c>
      <c r="G295" s="80">
        <v>50</v>
      </c>
      <c r="H295" s="80">
        <v>1</v>
      </c>
      <c r="I295" s="85" t="e">
        <f>_xll.qlRateHelperEarliestDate($B295,Trigger)</f>
        <v>#NUM!</v>
      </c>
      <c r="J295" s="86" t="e">
        <f>_xll.qlRateHelperLatestDate($B295,Trigger)</f>
        <v>#NUM!</v>
      </c>
      <c r="L295" s="84"/>
    </row>
    <row r="296" spans="2:12" x14ac:dyDescent="0.2">
      <c r="B296" s="182">
        <f>ForwardSwaps!K235</f>
        <v>0</v>
      </c>
      <c r="C296" s="78" t="e">
        <f>_xll.qlRateHelperQuoteName(B296)</f>
        <v>#NUM!</v>
      </c>
      <c r="D296" s="79" t="e">
        <f>_xll.qlRateHelperQuoteValue($B296,Trigger)</f>
        <v>#NUM!</v>
      </c>
      <c r="E296" s="79" t="e">
        <f>_xll.qlSwapRateHelperSpread($B296,Trigger)</f>
        <v>#NUM!</v>
      </c>
      <c r="F296" s="80" t="b">
        <v>0</v>
      </c>
      <c r="G296" s="80">
        <v>50</v>
      </c>
      <c r="H296" s="80">
        <v>1</v>
      </c>
      <c r="I296" s="85" t="e">
        <f>_xll.qlRateHelperEarliestDate($B296,Trigger)</f>
        <v>#NUM!</v>
      </c>
      <c r="J296" s="86" t="e">
        <f>_xll.qlRateHelperLatestDate($B296,Trigger)</f>
        <v>#NUM!</v>
      </c>
      <c r="L296" s="84"/>
    </row>
    <row r="297" spans="2:12" x14ac:dyDescent="0.2">
      <c r="B297" s="182">
        <f>ForwardSwaps!K236</f>
        <v>0</v>
      </c>
      <c r="C297" s="78" t="e">
        <f>_xll.qlRateHelperQuoteName(B297)</f>
        <v>#NUM!</v>
      </c>
      <c r="D297" s="79" t="e">
        <f>_xll.qlRateHelperQuoteValue($B297,Trigger)</f>
        <v>#NUM!</v>
      </c>
      <c r="E297" s="79" t="e">
        <f>_xll.qlSwapRateHelperSpread($B297,Trigger)</f>
        <v>#NUM!</v>
      </c>
      <c r="F297" s="80" t="b">
        <v>0</v>
      </c>
      <c r="G297" s="80">
        <v>50</v>
      </c>
      <c r="H297" s="80">
        <v>1</v>
      </c>
      <c r="I297" s="85" t="e">
        <f>_xll.qlRateHelperEarliestDate($B297,Trigger)</f>
        <v>#NUM!</v>
      </c>
      <c r="J297" s="86" t="e">
        <f>_xll.qlRateHelperLatestDate($B297,Trigger)</f>
        <v>#NUM!</v>
      </c>
      <c r="L297" s="84"/>
    </row>
    <row r="298" spans="2:12" x14ac:dyDescent="0.2">
      <c r="B298" s="182">
        <f>ForwardSwaps!K237</f>
        <v>0</v>
      </c>
      <c r="C298" s="78" t="e">
        <f>_xll.qlRateHelperQuoteName(B298)</f>
        <v>#NUM!</v>
      </c>
      <c r="D298" s="79" t="e">
        <f>_xll.qlRateHelperQuoteValue($B298,Trigger)</f>
        <v>#NUM!</v>
      </c>
      <c r="E298" s="79" t="e">
        <f>_xll.qlSwapRateHelperSpread($B298,Trigger)</f>
        <v>#NUM!</v>
      </c>
      <c r="F298" s="80" t="b">
        <v>0</v>
      </c>
      <c r="G298" s="80">
        <v>50</v>
      </c>
      <c r="H298" s="80">
        <v>1</v>
      </c>
      <c r="I298" s="85" t="e">
        <f>_xll.qlRateHelperEarliestDate($B298,Trigger)</f>
        <v>#NUM!</v>
      </c>
      <c r="J298" s="86" t="e">
        <f>_xll.qlRateHelperLatestDate($B298,Trigger)</f>
        <v>#NUM!</v>
      </c>
      <c r="L298" s="84"/>
    </row>
    <row r="299" spans="2:12" x14ac:dyDescent="0.2">
      <c r="B299" s="182">
        <f>ForwardSwaps!K238</f>
        <v>0</v>
      </c>
      <c r="C299" s="78" t="e">
        <f>_xll.qlRateHelperQuoteName(B299)</f>
        <v>#NUM!</v>
      </c>
      <c r="D299" s="79" t="e">
        <f>_xll.qlRateHelperQuoteValue($B299,Trigger)</f>
        <v>#NUM!</v>
      </c>
      <c r="E299" s="79" t="e">
        <f>_xll.qlSwapRateHelperSpread($B299,Trigger)</f>
        <v>#NUM!</v>
      </c>
      <c r="F299" s="80" t="b">
        <v>0</v>
      </c>
      <c r="G299" s="80">
        <v>50</v>
      </c>
      <c r="H299" s="80">
        <v>1</v>
      </c>
      <c r="I299" s="85" t="e">
        <f>_xll.qlRateHelperEarliestDate($B299,Trigger)</f>
        <v>#NUM!</v>
      </c>
      <c r="J299" s="86" t="e">
        <f>_xll.qlRateHelperLatestDate($B299,Trigger)</f>
        <v>#NUM!</v>
      </c>
      <c r="L299" s="84"/>
    </row>
    <row r="300" spans="2:12" x14ac:dyDescent="0.2">
      <c r="B300" s="183">
        <f>ForwardSwaps!K239</f>
        <v>0</v>
      </c>
      <c r="C300" s="81" t="e">
        <f>_xll.qlRateHelperQuoteName(B300)</f>
        <v>#NUM!</v>
      </c>
      <c r="D300" s="82" t="e">
        <f>_xll.qlRateHelperQuoteValue($B300,Trigger)</f>
        <v>#NUM!</v>
      </c>
      <c r="E300" s="82" t="e">
        <f>_xll.qlSwapRateHelperSpread($B300,Trigger)</f>
        <v>#NUM!</v>
      </c>
      <c r="F300" s="83" t="b">
        <v>0</v>
      </c>
      <c r="G300" s="83">
        <v>50</v>
      </c>
      <c r="H300" s="83">
        <v>1</v>
      </c>
      <c r="I300" s="87" t="e">
        <f>_xll.qlRateHelperEarliestDate($B300,Trigger)</f>
        <v>#NUM!</v>
      </c>
      <c r="J300" s="88" t="e">
        <f>_xll.qlRateHelperLatestDate($B300,Trigger)</f>
        <v>#NUM!</v>
      </c>
      <c r="L300" s="84"/>
    </row>
    <row r="301" spans="2:12" x14ac:dyDescent="0.2">
      <c r="B301" s="184">
        <f>ForwardSwaps!K240</f>
        <v>0</v>
      </c>
      <c r="C301" s="201" t="e">
        <f>_xll.qlRateHelperQuoteName(B301)</f>
        <v>#NUM!</v>
      </c>
      <c r="D301" s="202" t="e">
        <f>_xll.qlRateHelperQuoteValue($B301,Trigger)</f>
        <v>#NUM!</v>
      </c>
      <c r="E301" s="202" t="e">
        <f>_xll.qlSwapRateHelperSpread($B301,Trigger)</f>
        <v>#NUM!</v>
      </c>
      <c r="F301" s="203" t="b">
        <v>0</v>
      </c>
      <c r="G301" s="203">
        <v>50</v>
      </c>
      <c r="H301" s="203">
        <v>1</v>
      </c>
      <c r="I301" s="204" t="e">
        <f>_xll.qlRateHelperEarliestDate($B301,Trigger)</f>
        <v>#NUM!</v>
      </c>
      <c r="J301" s="205" t="e">
        <f>_xll.qlRateHelperLatestDate($B301,Trigger)</f>
        <v>#NUM!</v>
      </c>
      <c r="L301" s="84"/>
    </row>
    <row r="302" spans="2:12" x14ac:dyDescent="0.2">
      <c r="B302" s="182">
        <f>ForwardSwaps!K241</f>
        <v>0</v>
      </c>
      <c r="C302" s="78" t="e">
        <f>_xll.qlRateHelperQuoteName(B302)</f>
        <v>#NUM!</v>
      </c>
      <c r="D302" s="79" t="e">
        <f>_xll.qlRateHelperQuoteValue($B302,Trigger)</f>
        <v>#NUM!</v>
      </c>
      <c r="E302" s="79" t="e">
        <f>_xll.qlSwapRateHelperSpread($B302,Trigger)</f>
        <v>#NUM!</v>
      </c>
      <c r="F302" s="80" t="b">
        <v>0</v>
      </c>
      <c r="G302" s="80">
        <v>50</v>
      </c>
      <c r="H302" s="80">
        <v>1</v>
      </c>
      <c r="I302" s="85" t="e">
        <f>_xll.qlRateHelperEarliestDate($B302,Trigger)</f>
        <v>#NUM!</v>
      </c>
      <c r="J302" s="86" t="e">
        <f>_xll.qlRateHelperLatestDate($B302,Trigger)</f>
        <v>#NUM!</v>
      </c>
      <c r="L302" s="84"/>
    </row>
    <row r="303" spans="2:12" x14ac:dyDescent="0.2">
      <c r="B303" s="182">
        <f>ForwardSwaps!K242</f>
        <v>0</v>
      </c>
      <c r="C303" s="78" t="e">
        <f>_xll.qlRateHelperQuoteName(B303)</f>
        <v>#NUM!</v>
      </c>
      <c r="D303" s="79" t="e">
        <f>_xll.qlRateHelperQuoteValue($B303,Trigger)</f>
        <v>#NUM!</v>
      </c>
      <c r="E303" s="79" t="e">
        <f>_xll.qlSwapRateHelperSpread($B303,Trigger)</f>
        <v>#NUM!</v>
      </c>
      <c r="F303" s="80" t="b">
        <v>0</v>
      </c>
      <c r="G303" s="80">
        <v>50</v>
      </c>
      <c r="H303" s="80">
        <v>1</v>
      </c>
      <c r="I303" s="85" t="e">
        <f>_xll.qlRateHelperEarliestDate($B303,Trigger)</f>
        <v>#NUM!</v>
      </c>
      <c r="J303" s="86" t="e">
        <f>_xll.qlRateHelperLatestDate($B303,Trigger)</f>
        <v>#NUM!</v>
      </c>
      <c r="L303" s="84"/>
    </row>
    <row r="304" spans="2:12" x14ac:dyDescent="0.2">
      <c r="B304" s="182">
        <f>ForwardSwaps!K243</f>
        <v>0</v>
      </c>
      <c r="C304" s="78" t="e">
        <f>_xll.qlRateHelperQuoteName(B304)</f>
        <v>#NUM!</v>
      </c>
      <c r="D304" s="79" t="e">
        <f>_xll.qlRateHelperQuoteValue($B304,Trigger)</f>
        <v>#NUM!</v>
      </c>
      <c r="E304" s="79" t="e">
        <f>_xll.qlSwapRateHelperSpread($B304,Trigger)</f>
        <v>#NUM!</v>
      </c>
      <c r="F304" s="80" t="b">
        <v>0</v>
      </c>
      <c r="G304" s="80">
        <v>50</v>
      </c>
      <c r="H304" s="80">
        <v>1</v>
      </c>
      <c r="I304" s="85" t="e">
        <f>_xll.qlRateHelperEarliestDate($B304,Trigger)</f>
        <v>#NUM!</v>
      </c>
      <c r="J304" s="86" t="e">
        <f>_xll.qlRateHelperLatestDate($B304,Trigger)</f>
        <v>#NUM!</v>
      </c>
      <c r="L304" s="84"/>
    </row>
    <row r="305" spans="2:12" x14ac:dyDescent="0.2">
      <c r="B305" s="182">
        <f>ForwardSwaps!K244</f>
        <v>0</v>
      </c>
      <c r="C305" s="78" t="e">
        <f>_xll.qlRateHelperQuoteName(B305)</f>
        <v>#NUM!</v>
      </c>
      <c r="D305" s="79" t="e">
        <f>_xll.qlRateHelperQuoteValue($B305,Trigger)</f>
        <v>#NUM!</v>
      </c>
      <c r="E305" s="79" t="e">
        <f>_xll.qlSwapRateHelperSpread($B305,Trigger)</f>
        <v>#NUM!</v>
      </c>
      <c r="F305" s="80" t="b">
        <v>0</v>
      </c>
      <c r="G305" s="80">
        <v>50</v>
      </c>
      <c r="H305" s="80">
        <v>1</v>
      </c>
      <c r="I305" s="85" t="e">
        <f>_xll.qlRateHelperEarliestDate($B305,Trigger)</f>
        <v>#NUM!</v>
      </c>
      <c r="J305" s="86" t="e">
        <f>_xll.qlRateHelperLatestDate($B305,Trigger)</f>
        <v>#NUM!</v>
      </c>
      <c r="L305" s="84"/>
    </row>
    <row r="306" spans="2:12" x14ac:dyDescent="0.2">
      <c r="B306" s="182">
        <f>ForwardSwaps!K245</f>
        <v>0</v>
      </c>
      <c r="C306" s="78" t="e">
        <f>_xll.qlRateHelperQuoteName(B306)</f>
        <v>#NUM!</v>
      </c>
      <c r="D306" s="79" t="e">
        <f>_xll.qlRateHelperQuoteValue($B306,Trigger)</f>
        <v>#NUM!</v>
      </c>
      <c r="E306" s="79" t="e">
        <f>_xll.qlSwapRateHelperSpread($B306,Trigger)</f>
        <v>#NUM!</v>
      </c>
      <c r="F306" s="80" t="b">
        <v>0</v>
      </c>
      <c r="G306" s="80">
        <v>50</v>
      </c>
      <c r="H306" s="80">
        <v>1</v>
      </c>
      <c r="I306" s="85" t="e">
        <f>_xll.qlRateHelperEarliestDate($B306,Trigger)</f>
        <v>#NUM!</v>
      </c>
      <c r="J306" s="86" t="e">
        <f>_xll.qlRateHelperLatestDate($B306,Trigger)</f>
        <v>#NUM!</v>
      </c>
      <c r="L306" s="84"/>
    </row>
    <row r="307" spans="2:12" x14ac:dyDescent="0.2">
      <c r="B307" s="182">
        <f>ForwardSwaps!K246</f>
        <v>0</v>
      </c>
      <c r="C307" s="78" t="e">
        <f>_xll.qlRateHelperQuoteName(B307)</f>
        <v>#NUM!</v>
      </c>
      <c r="D307" s="79" t="e">
        <f>_xll.qlRateHelperQuoteValue($B307,Trigger)</f>
        <v>#NUM!</v>
      </c>
      <c r="E307" s="79" t="e">
        <f>_xll.qlSwapRateHelperSpread($B307,Trigger)</f>
        <v>#NUM!</v>
      </c>
      <c r="F307" s="80" t="b">
        <v>0</v>
      </c>
      <c r="G307" s="80">
        <v>50</v>
      </c>
      <c r="H307" s="80">
        <v>1</v>
      </c>
      <c r="I307" s="85" t="e">
        <f>_xll.qlRateHelperEarliestDate($B307,Trigger)</f>
        <v>#NUM!</v>
      </c>
      <c r="J307" s="86" t="e">
        <f>_xll.qlRateHelperLatestDate($B307,Trigger)</f>
        <v>#NUM!</v>
      </c>
      <c r="L307" s="84"/>
    </row>
    <row r="308" spans="2:12" x14ac:dyDescent="0.2">
      <c r="B308" s="182">
        <f>ForwardSwaps!K247</f>
        <v>0</v>
      </c>
      <c r="C308" s="78" t="e">
        <f>_xll.qlRateHelperQuoteName(B308)</f>
        <v>#NUM!</v>
      </c>
      <c r="D308" s="79" t="e">
        <f>_xll.qlRateHelperQuoteValue($B308,Trigger)</f>
        <v>#NUM!</v>
      </c>
      <c r="E308" s="79" t="e">
        <f>_xll.qlSwapRateHelperSpread($B308,Trigger)</f>
        <v>#NUM!</v>
      </c>
      <c r="F308" s="80" t="b">
        <v>0</v>
      </c>
      <c r="G308" s="80">
        <v>50</v>
      </c>
      <c r="H308" s="80">
        <v>1</v>
      </c>
      <c r="I308" s="85" t="e">
        <f>_xll.qlRateHelperEarliestDate($B308,Trigger)</f>
        <v>#NUM!</v>
      </c>
      <c r="J308" s="86" t="e">
        <f>_xll.qlRateHelperLatestDate($B308,Trigger)</f>
        <v>#NUM!</v>
      </c>
      <c r="L308" s="84"/>
    </row>
    <row r="309" spans="2:12" x14ac:dyDescent="0.2">
      <c r="B309" s="182">
        <f>ForwardSwaps!K248</f>
        <v>0</v>
      </c>
      <c r="C309" s="78" t="e">
        <f>_xll.qlRateHelperQuoteName(B309)</f>
        <v>#NUM!</v>
      </c>
      <c r="D309" s="79" t="e">
        <f>_xll.qlRateHelperQuoteValue($B309,Trigger)</f>
        <v>#NUM!</v>
      </c>
      <c r="E309" s="79" t="e">
        <f>_xll.qlSwapRateHelperSpread($B309,Trigger)</f>
        <v>#NUM!</v>
      </c>
      <c r="F309" s="80" t="b">
        <v>0</v>
      </c>
      <c r="G309" s="80">
        <v>50</v>
      </c>
      <c r="H309" s="80">
        <v>1</v>
      </c>
      <c r="I309" s="85" t="e">
        <f>_xll.qlRateHelperEarliestDate($B309,Trigger)</f>
        <v>#NUM!</v>
      </c>
      <c r="J309" s="86" t="e">
        <f>_xll.qlRateHelperLatestDate($B309,Trigger)</f>
        <v>#NUM!</v>
      </c>
      <c r="L309" s="84"/>
    </row>
    <row r="310" spans="2:12" x14ac:dyDescent="0.2">
      <c r="B310" s="182">
        <f>ForwardSwaps!K249</f>
        <v>0</v>
      </c>
      <c r="C310" s="78" t="e">
        <f>_xll.qlRateHelperQuoteName(B310)</f>
        <v>#NUM!</v>
      </c>
      <c r="D310" s="79" t="e">
        <f>_xll.qlRateHelperQuoteValue($B310,Trigger)</f>
        <v>#NUM!</v>
      </c>
      <c r="E310" s="79" t="e">
        <f>_xll.qlSwapRateHelperSpread($B310,Trigger)</f>
        <v>#NUM!</v>
      </c>
      <c r="F310" s="80" t="b">
        <v>0</v>
      </c>
      <c r="G310" s="80">
        <v>50</v>
      </c>
      <c r="H310" s="80">
        <v>1</v>
      </c>
      <c r="I310" s="85" t="e">
        <f>_xll.qlRateHelperEarliestDate($B310,Trigger)</f>
        <v>#NUM!</v>
      </c>
      <c r="J310" s="86" t="e">
        <f>_xll.qlRateHelperLatestDate($B310,Trigger)</f>
        <v>#NUM!</v>
      </c>
      <c r="L310" s="84"/>
    </row>
    <row r="311" spans="2:12" x14ac:dyDescent="0.2">
      <c r="B311" s="182">
        <f>ForwardSwaps!K250</f>
        <v>0</v>
      </c>
      <c r="C311" s="78" t="e">
        <f>_xll.qlRateHelperQuoteName(B311)</f>
        <v>#NUM!</v>
      </c>
      <c r="D311" s="79" t="e">
        <f>_xll.qlRateHelperQuoteValue($B311,Trigger)</f>
        <v>#NUM!</v>
      </c>
      <c r="E311" s="79" t="e">
        <f>_xll.qlSwapRateHelperSpread($B311,Trigger)</f>
        <v>#NUM!</v>
      </c>
      <c r="F311" s="80" t="b">
        <v>0</v>
      </c>
      <c r="G311" s="80">
        <v>50</v>
      </c>
      <c r="H311" s="80">
        <v>1</v>
      </c>
      <c r="I311" s="85" t="e">
        <f>_xll.qlRateHelperEarliestDate($B311,Trigger)</f>
        <v>#NUM!</v>
      </c>
      <c r="J311" s="86" t="e">
        <f>_xll.qlRateHelperLatestDate($B311,Trigger)</f>
        <v>#NUM!</v>
      </c>
      <c r="L311" s="84"/>
    </row>
    <row r="312" spans="2:12" x14ac:dyDescent="0.2">
      <c r="B312" s="182">
        <f>ForwardSwaps!K251</f>
        <v>0</v>
      </c>
      <c r="C312" s="78" t="e">
        <f>_xll.qlRateHelperQuoteName(B312)</f>
        <v>#NUM!</v>
      </c>
      <c r="D312" s="79" t="e">
        <f>_xll.qlRateHelperQuoteValue($B312,Trigger)</f>
        <v>#NUM!</v>
      </c>
      <c r="E312" s="79" t="e">
        <f>_xll.qlSwapRateHelperSpread($B312,Trigger)</f>
        <v>#NUM!</v>
      </c>
      <c r="F312" s="80" t="b">
        <v>0</v>
      </c>
      <c r="G312" s="80">
        <v>50</v>
      </c>
      <c r="H312" s="80">
        <v>1</v>
      </c>
      <c r="I312" s="85" t="e">
        <f>_xll.qlRateHelperEarliestDate($B312,Trigger)</f>
        <v>#NUM!</v>
      </c>
      <c r="J312" s="86" t="e">
        <f>_xll.qlRateHelperLatestDate($B312,Trigger)</f>
        <v>#NUM!</v>
      </c>
      <c r="L312" s="84"/>
    </row>
    <row r="313" spans="2:12" x14ac:dyDescent="0.2">
      <c r="B313" s="182">
        <f>ForwardSwaps!K252</f>
        <v>0</v>
      </c>
      <c r="C313" s="78" t="e">
        <f>_xll.qlRateHelperQuoteName(B313)</f>
        <v>#NUM!</v>
      </c>
      <c r="D313" s="79" t="e">
        <f>_xll.qlRateHelperQuoteValue($B313,Trigger)</f>
        <v>#NUM!</v>
      </c>
      <c r="E313" s="79" t="e">
        <f>_xll.qlSwapRateHelperSpread($B313,Trigger)</f>
        <v>#NUM!</v>
      </c>
      <c r="F313" s="80" t="b">
        <v>0</v>
      </c>
      <c r="G313" s="80">
        <v>50</v>
      </c>
      <c r="H313" s="80">
        <v>1</v>
      </c>
      <c r="I313" s="85" t="e">
        <f>_xll.qlRateHelperEarliestDate($B313,Trigger)</f>
        <v>#NUM!</v>
      </c>
      <c r="J313" s="86" t="e">
        <f>_xll.qlRateHelperLatestDate($B313,Trigger)</f>
        <v>#NUM!</v>
      </c>
      <c r="L313" s="84"/>
    </row>
    <row r="314" spans="2:12" x14ac:dyDescent="0.2">
      <c r="B314" s="182">
        <f>ForwardSwaps!K253</f>
        <v>0</v>
      </c>
      <c r="C314" s="78" t="e">
        <f>_xll.qlRateHelperQuoteName(B314)</f>
        <v>#NUM!</v>
      </c>
      <c r="D314" s="79" t="e">
        <f>_xll.qlRateHelperQuoteValue($B314,Trigger)</f>
        <v>#NUM!</v>
      </c>
      <c r="E314" s="79" t="e">
        <f>_xll.qlSwapRateHelperSpread($B314,Trigger)</f>
        <v>#NUM!</v>
      </c>
      <c r="F314" s="80" t="b">
        <v>0</v>
      </c>
      <c r="G314" s="80">
        <v>50</v>
      </c>
      <c r="H314" s="80">
        <v>1</v>
      </c>
      <c r="I314" s="85" t="e">
        <f>_xll.qlRateHelperEarliestDate($B314,Trigger)</f>
        <v>#NUM!</v>
      </c>
      <c r="J314" s="86" t="e">
        <f>_xll.qlRateHelperLatestDate($B314,Trigger)</f>
        <v>#NUM!</v>
      </c>
      <c r="L314" s="84"/>
    </row>
    <row r="315" spans="2:12" x14ac:dyDescent="0.2">
      <c r="B315" s="182">
        <f>ForwardSwaps!K254</f>
        <v>0</v>
      </c>
      <c r="C315" s="78" t="e">
        <f>_xll.qlRateHelperQuoteName(B315)</f>
        <v>#NUM!</v>
      </c>
      <c r="D315" s="79" t="e">
        <f>_xll.qlRateHelperQuoteValue($B315,Trigger)</f>
        <v>#NUM!</v>
      </c>
      <c r="E315" s="79" t="e">
        <f>_xll.qlSwapRateHelperSpread($B315,Trigger)</f>
        <v>#NUM!</v>
      </c>
      <c r="F315" s="80" t="b">
        <v>0</v>
      </c>
      <c r="G315" s="80">
        <v>50</v>
      </c>
      <c r="H315" s="80">
        <v>1</v>
      </c>
      <c r="I315" s="85" t="e">
        <f>_xll.qlRateHelperEarliestDate($B315,Trigger)</f>
        <v>#NUM!</v>
      </c>
      <c r="J315" s="86" t="e">
        <f>_xll.qlRateHelperLatestDate($B315,Trigger)</f>
        <v>#NUM!</v>
      </c>
      <c r="L315" s="84"/>
    </row>
    <row r="316" spans="2:12" x14ac:dyDescent="0.2">
      <c r="B316" s="182">
        <f>ForwardSwaps!K255</f>
        <v>0</v>
      </c>
      <c r="C316" s="78" t="e">
        <f>_xll.qlRateHelperQuoteName(B316)</f>
        <v>#NUM!</v>
      </c>
      <c r="D316" s="79" t="e">
        <f>_xll.qlRateHelperQuoteValue($B316,Trigger)</f>
        <v>#NUM!</v>
      </c>
      <c r="E316" s="79" t="e">
        <f>_xll.qlSwapRateHelperSpread($B316,Trigger)</f>
        <v>#NUM!</v>
      </c>
      <c r="F316" s="80" t="b">
        <v>0</v>
      </c>
      <c r="G316" s="80">
        <v>50</v>
      </c>
      <c r="H316" s="80">
        <v>1</v>
      </c>
      <c r="I316" s="85" t="e">
        <f>_xll.qlRateHelperEarliestDate($B316,Trigger)</f>
        <v>#NUM!</v>
      </c>
      <c r="J316" s="86" t="e">
        <f>_xll.qlRateHelperLatestDate($B316,Trigger)</f>
        <v>#NUM!</v>
      </c>
      <c r="L316" s="84"/>
    </row>
    <row r="317" spans="2:12" x14ac:dyDescent="0.2">
      <c r="B317" s="182">
        <f>ForwardSwaps!K256</f>
        <v>0</v>
      </c>
      <c r="C317" s="78" t="e">
        <f>_xll.qlRateHelperQuoteName(B317)</f>
        <v>#NUM!</v>
      </c>
      <c r="D317" s="79" t="e">
        <f>_xll.qlRateHelperQuoteValue($B317,Trigger)</f>
        <v>#NUM!</v>
      </c>
      <c r="E317" s="79" t="e">
        <f>_xll.qlSwapRateHelperSpread($B317,Trigger)</f>
        <v>#NUM!</v>
      </c>
      <c r="F317" s="80" t="b">
        <v>0</v>
      </c>
      <c r="G317" s="80">
        <v>50</v>
      </c>
      <c r="H317" s="80">
        <v>1</v>
      </c>
      <c r="I317" s="85" t="e">
        <f>_xll.qlRateHelperEarliestDate($B317,Trigger)</f>
        <v>#NUM!</v>
      </c>
      <c r="J317" s="86" t="e">
        <f>_xll.qlRateHelperLatestDate($B317,Trigger)</f>
        <v>#NUM!</v>
      </c>
      <c r="L317" s="84"/>
    </row>
    <row r="318" spans="2:12" x14ac:dyDescent="0.2">
      <c r="B318" s="183">
        <f>ForwardSwaps!K257</f>
        <v>0</v>
      </c>
      <c r="C318" s="81" t="e">
        <f>_xll.qlRateHelperQuoteName(B318)</f>
        <v>#NUM!</v>
      </c>
      <c r="D318" s="82" t="e">
        <f>_xll.qlRateHelperQuoteValue($B318,Trigger)</f>
        <v>#NUM!</v>
      </c>
      <c r="E318" s="82" t="e">
        <f>_xll.qlSwapRateHelperSpread($B318,Trigger)</f>
        <v>#NUM!</v>
      </c>
      <c r="F318" s="83" t="b">
        <v>0</v>
      </c>
      <c r="G318" s="83">
        <v>50</v>
      </c>
      <c r="H318" s="83">
        <v>1</v>
      </c>
      <c r="I318" s="87" t="e">
        <f>_xll.qlRateHelperEarliestDate($B318,Trigger)</f>
        <v>#NUM!</v>
      </c>
      <c r="J318" s="88" t="e">
        <f>_xll.qlRateHelperLatestDate($B318,Trigger)</f>
        <v>#NUM!</v>
      </c>
      <c r="L318" s="84"/>
    </row>
    <row r="319" spans="2:12" x14ac:dyDescent="0.2">
      <c r="B319" s="184">
        <f>ForwardSwaps!K258</f>
        <v>0</v>
      </c>
      <c r="C319" s="180" t="e">
        <f>_xll.qlRateHelperQuoteName(B319)</f>
        <v>#NUM!</v>
      </c>
      <c r="D319" s="185" t="e">
        <f>_xll.qlRateHelperQuoteValue($B319,Trigger)</f>
        <v>#NUM!</v>
      </c>
      <c r="E319" s="185" t="e">
        <f>_xll.qlSwapRateHelperSpread($B319,Trigger)</f>
        <v>#NUM!</v>
      </c>
      <c r="F319" s="186" t="b">
        <v>0</v>
      </c>
      <c r="G319" s="186">
        <v>50</v>
      </c>
      <c r="H319" s="186">
        <v>1</v>
      </c>
      <c r="I319" s="187" t="e">
        <f>_xll.qlRateHelperEarliestDate($B319,Trigger)</f>
        <v>#NUM!</v>
      </c>
      <c r="J319" s="188" t="e">
        <f>_xll.qlRateHelperLatestDate($B319,Trigger)</f>
        <v>#NUM!</v>
      </c>
      <c r="L319" s="84"/>
    </row>
    <row r="320" spans="2:12" x14ac:dyDescent="0.2">
      <c r="B320" s="182">
        <f>ForwardSwaps!K259</f>
        <v>0</v>
      </c>
      <c r="C320" s="78" t="e">
        <f>_xll.qlRateHelperQuoteName(B320)</f>
        <v>#NUM!</v>
      </c>
      <c r="D320" s="79" t="e">
        <f>_xll.qlRateHelperQuoteValue($B320,Trigger)</f>
        <v>#NUM!</v>
      </c>
      <c r="E320" s="79" t="e">
        <f>_xll.qlSwapRateHelperSpread($B320,Trigger)</f>
        <v>#NUM!</v>
      </c>
      <c r="F320" s="80" t="b">
        <v>0</v>
      </c>
      <c r="G320" s="80">
        <v>50</v>
      </c>
      <c r="H320" s="80">
        <v>1</v>
      </c>
      <c r="I320" s="85" t="e">
        <f>_xll.qlRateHelperEarliestDate($B320,Trigger)</f>
        <v>#NUM!</v>
      </c>
      <c r="J320" s="86" t="e">
        <f>_xll.qlRateHelperLatestDate($B320,Trigger)</f>
        <v>#NUM!</v>
      </c>
      <c r="L320" s="84"/>
    </row>
    <row r="321" spans="2:12" x14ac:dyDescent="0.2">
      <c r="B321" s="182">
        <f>ForwardSwaps!K260</f>
        <v>0</v>
      </c>
      <c r="C321" s="78" t="e">
        <f>_xll.qlRateHelperQuoteName(B321)</f>
        <v>#NUM!</v>
      </c>
      <c r="D321" s="79" t="e">
        <f>_xll.qlRateHelperQuoteValue($B321,Trigger)</f>
        <v>#NUM!</v>
      </c>
      <c r="E321" s="79" t="e">
        <f>_xll.qlSwapRateHelperSpread($B321,Trigger)</f>
        <v>#NUM!</v>
      </c>
      <c r="F321" s="80" t="b">
        <v>0</v>
      </c>
      <c r="G321" s="80">
        <v>50</v>
      </c>
      <c r="H321" s="80">
        <v>1</v>
      </c>
      <c r="I321" s="85" t="e">
        <f>_xll.qlRateHelperEarliestDate($B321,Trigger)</f>
        <v>#NUM!</v>
      </c>
      <c r="J321" s="86" t="e">
        <f>_xll.qlRateHelperLatestDate($B321,Trigger)</f>
        <v>#NUM!</v>
      </c>
      <c r="L321" s="84"/>
    </row>
    <row r="322" spans="2:12" x14ac:dyDescent="0.2">
      <c r="B322" s="182">
        <f>ForwardSwaps!K261</f>
        <v>0</v>
      </c>
      <c r="C322" s="78" t="e">
        <f>_xll.qlRateHelperQuoteName(B322)</f>
        <v>#NUM!</v>
      </c>
      <c r="D322" s="79" t="e">
        <f>_xll.qlRateHelperQuoteValue($B322,Trigger)</f>
        <v>#NUM!</v>
      </c>
      <c r="E322" s="79" t="e">
        <f>_xll.qlSwapRateHelperSpread($B322,Trigger)</f>
        <v>#NUM!</v>
      </c>
      <c r="F322" s="80" t="b">
        <v>0</v>
      </c>
      <c r="G322" s="80">
        <v>50</v>
      </c>
      <c r="H322" s="80">
        <v>1</v>
      </c>
      <c r="I322" s="85" t="e">
        <f>_xll.qlRateHelperEarliestDate($B322,Trigger)</f>
        <v>#NUM!</v>
      </c>
      <c r="J322" s="86" t="e">
        <f>_xll.qlRateHelperLatestDate($B322,Trigger)</f>
        <v>#NUM!</v>
      </c>
      <c r="L322" s="84"/>
    </row>
    <row r="323" spans="2:12" x14ac:dyDescent="0.2">
      <c r="B323" s="182">
        <f>ForwardSwaps!K262</f>
        <v>0</v>
      </c>
      <c r="C323" s="78" t="e">
        <f>_xll.qlRateHelperQuoteName(B323)</f>
        <v>#NUM!</v>
      </c>
      <c r="D323" s="79" t="e">
        <f>_xll.qlRateHelperQuoteValue($B323,Trigger)</f>
        <v>#NUM!</v>
      </c>
      <c r="E323" s="79" t="e">
        <f>_xll.qlSwapRateHelperSpread($B323,Trigger)</f>
        <v>#NUM!</v>
      </c>
      <c r="F323" s="80" t="b">
        <v>0</v>
      </c>
      <c r="G323" s="80">
        <v>50</v>
      </c>
      <c r="H323" s="80">
        <v>1</v>
      </c>
      <c r="I323" s="85" t="e">
        <f>_xll.qlRateHelperEarliestDate($B323,Trigger)</f>
        <v>#NUM!</v>
      </c>
      <c r="J323" s="86" t="e">
        <f>_xll.qlRateHelperLatestDate($B323,Trigger)</f>
        <v>#NUM!</v>
      </c>
      <c r="L323" s="84"/>
    </row>
    <row r="324" spans="2:12" x14ac:dyDescent="0.2">
      <c r="B324" s="182">
        <f>ForwardSwaps!K263</f>
        <v>0</v>
      </c>
      <c r="C324" s="78" t="e">
        <f>_xll.qlRateHelperQuoteName(B324)</f>
        <v>#NUM!</v>
      </c>
      <c r="D324" s="79" t="e">
        <f>_xll.qlRateHelperQuoteValue($B324,Trigger)</f>
        <v>#NUM!</v>
      </c>
      <c r="E324" s="79" t="e">
        <f>_xll.qlSwapRateHelperSpread($B324,Trigger)</f>
        <v>#NUM!</v>
      </c>
      <c r="F324" s="80" t="b">
        <v>0</v>
      </c>
      <c r="G324" s="80">
        <v>50</v>
      </c>
      <c r="H324" s="80">
        <v>1</v>
      </c>
      <c r="I324" s="85" t="e">
        <f>_xll.qlRateHelperEarliestDate($B324,Trigger)</f>
        <v>#NUM!</v>
      </c>
      <c r="J324" s="86" t="e">
        <f>_xll.qlRateHelperLatestDate($B324,Trigger)</f>
        <v>#NUM!</v>
      </c>
      <c r="L324" s="84"/>
    </row>
    <row r="325" spans="2:12" x14ac:dyDescent="0.2">
      <c r="B325" s="182">
        <f>ForwardSwaps!K264</f>
        <v>0</v>
      </c>
      <c r="C325" s="78" t="e">
        <f>_xll.qlRateHelperQuoteName(B325)</f>
        <v>#NUM!</v>
      </c>
      <c r="D325" s="79" t="e">
        <f>_xll.qlRateHelperQuoteValue($B325,Trigger)</f>
        <v>#NUM!</v>
      </c>
      <c r="E325" s="79" t="e">
        <f>_xll.qlSwapRateHelperSpread($B325,Trigger)</f>
        <v>#NUM!</v>
      </c>
      <c r="F325" s="80" t="b">
        <v>0</v>
      </c>
      <c r="G325" s="80">
        <v>50</v>
      </c>
      <c r="H325" s="80">
        <v>1</v>
      </c>
      <c r="I325" s="85" t="e">
        <f>_xll.qlRateHelperEarliestDate($B325,Trigger)</f>
        <v>#NUM!</v>
      </c>
      <c r="J325" s="86" t="e">
        <f>_xll.qlRateHelperLatestDate($B325,Trigger)</f>
        <v>#NUM!</v>
      </c>
      <c r="L325" s="84"/>
    </row>
    <row r="326" spans="2:12" x14ac:dyDescent="0.2">
      <c r="B326" s="182">
        <f>ForwardSwaps!K265</f>
        <v>0</v>
      </c>
      <c r="C326" s="78" t="e">
        <f>_xll.qlRateHelperQuoteName(B326)</f>
        <v>#NUM!</v>
      </c>
      <c r="D326" s="79" t="e">
        <f>_xll.qlRateHelperQuoteValue($B326,Trigger)</f>
        <v>#NUM!</v>
      </c>
      <c r="E326" s="79" t="e">
        <f>_xll.qlSwapRateHelperSpread($B326,Trigger)</f>
        <v>#NUM!</v>
      </c>
      <c r="F326" s="80" t="b">
        <v>0</v>
      </c>
      <c r="G326" s="80">
        <v>50</v>
      </c>
      <c r="H326" s="80">
        <v>1</v>
      </c>
      <c r="I326" s="85" t="e">
        <f>_xll.qlRateHelperEarliestDate($B326,Trigger)</f>
        <v>#NUM!</v>
      </c>
      <c r="J326" s="86" t="e">
        <f>_xll.qlRateHelperLatestDate($B326,Trigger)</f>
        <v>#NUM!</v>
      </c>
      <c r="L326" s="84"/>
    </row>
    <row r="327" spans="2:12" x14ac:dyDescent="0.2">
      <c r="B327" s="182">
        <f>ForwardSwaps!K266</f>
        <v>0</v>
      </c>
      <c r="C327" s="78" t="e">
        <f>_xll.qlRateHelperQuoteName(B327)</f>
        <v>#NUM!</v>
      </c>
      <c r="D327" s="79" t="e">
        <f>_xll.qlRateHelperQuoteValue($B327,Trigger)</f>
        <v>#NUM!</v>
      </c>
      <c r="E327" s="79" t="e">
        <f>_xll.qlSwapRateHelperSpread($B327,Trigger)</f>
        <v>#NUM!</v>
      </c>
      <c r="F327" s="80" t="b">
        <v>0</v>
      </c>
      <c r="G327" s="80">
        <v>50</v>
      </c>
      <c r="H327" s="80">
        <v>1</v>
      </c>
      <c r="I327" s="85" t="e">
        <f>_xll.qlRateHelperEarliestDate($B327,Trigger)</f>
        <v>#NUM!</v>
      </c>
      <c r="J327" s="86" t="e">
        <f>_xll.qlRateHelperLatestDate($B327,Trigger)</f>
        <v>#NUM!</v>
      </c>
      <c r="L327" s="84"/>
    </row>
    <row r="328" spans="2:12" x14ac:dyDescent="0.2">
      <c r="B328" s="182">
        <f>ForwardSwaps!K267</f>
        <v>0</v>
      </c>
      <c r="C328" s="78" t="e">
        <f>_xll.qlRateHelperQuoteName(B328)</f>
        <v>#NUM!</v>
      </c>
      <c r="D328" s="79" t="e">
        <f>_xll.qlRateHelperQuoteValue($B328,Trigger)</f>
        <v>#NUM!</v>
      </c>
      <c r="E328" s="79" t="e">
        <f>_xll.qlSwapRateHelperSpread($B328,Trigger)</f>
        <v>#NUM!</v>
      </c>
      <c r="F328" s="80" t="b">
        <v>0</v>
      </c>
      <c r="G328" s="80">
        <v>50</v>
      </c>
      <c r="H328" s="80">
        <v>1</v>
      </c>
      <c r="I328" s="85" t="e">
        <f>_xll.qlRateHelperEarliestDate($B328,Trigger)</f>
        <v>#NUM!</v>
      </c>
      <c r="J328" s="86" t="e">
        <f>_xll.qlRateHelperLatestDate($B328,Trigger)</f>
        <v>#NUM!</v>
      </c>
      <c r="L328" s="84"/>
    </row>
    <row r="329" spans="2:12" x14ac:dyDescent="0.2">
      <c r="B329" s="182">
        <f>ForwardSwaps!K268</f>
        <v>0</v>
      </c>
      <c r="C329" s="78" t="e">
        <f>_xll.qlRateHelperQuoteName(B329)</f>
        <v>#NUM!</v>
      </c>
      <c r="D329" s="79" t="e">
        <f>_xll.qlRateHelperQuoteValue($B329,Trigger)</f>
        <v>#NUM!</v>
      </c>
      <c r="E329" s="79" t="e">
        <f>_xll.qlSwapRateHelperSpread($B329,Trigger)</f>
        <v>#NUM!</v>
      </c>
      <c r="F329" s="80" t="b">
        <v>0</v>
      </c>
      <c r="G329" s="80">
        <v>50</v>
      </c>
      <c r="H329" s="80">
        <v>1</v>
      </c>
      <c r="I329" s="85" t="e">
        <f>_xll.qlRateHelperEarliestDate($B329,Trigger)</f>
        <v>#NUM!</v>
      </c>
      <c r="J329" s="86" t="e">
        <f>_xll.qlRateHelperLatestDate($B329,Trigger)</f>
        <v>#NUM!</v>
      </c>
      <c r="L329" s="84"/>
    </row>
    <row r="330" spans="2:12" x14ac:dyDescent="0.2">
      <c r="B330" s="182">
        <f>ForwardSwaps!K269</f>
        <v>0</v>
      </c>
      <c r="C330" s="78" t="e">
        <f>_xll.qlRateHelperQuoteName(B330)</f>
        <v>#NUM!</v>
      </c>
      <c r="D330" s="79" t="e">
        <f>_xll.qlRateHelperQuoteValue($B330,Trigger)</f>
        <v>#NUM!</v>
      </c>
      <c r="E330" s="79" t="e">
        <f>_xll.qlSwapRateHelperSpread($B330,Trigger)</f>
        <v>#NUM!</v>
      </c>
      <c r="F330" s="80" t="b">
        <v>0</v>
      </c>
      <c r="G330" s="80">
        <v>50</v>
      </c>
      <c r="H330" s="80">
        <v>1</v>
      </c>
      <c r="I330" s="85" t="e">
        <f>_xll.qlRateHelperEarliestDate($B330,Trigger)</f>
        <v>#NUM!</v>
      </c>
      <c r="J330" s="86" t="e">
        <f>_xll.qlRateHelperLatestDate($B330,Trigger)</f>
        <v>#NUM!</v>
      </c>
      <c r="L330" s="84"/>
    </row>
    <row r="331" spans="2:12" x14ac:dyDescent="0.2">
      <c r="B331" s="182">
        <f>ForwardSwaps!K270</f>
        <v>0</v>
      </c>
      <c r="C331" s="78" t="e">
        <f>_xll.qlRateHelperQuoteName(B331)</f>
        <v>#NUM!</v>
      </c>
      <c r="D331" s="79" t="e">
        <f>_xll.qlRateHelperQuoteValue($B331,Trigger)</f>
        <v>#NUM!</v>
      </c>
      <c r="E331" s="79" t="e">
        <f>_xll.qlSwapRateHelperSpread($B331,Trigger)</f>
        <v>#NUM!</v>
      </c>
      <c r="F331" s="80" t="b">
        <v>0</v>
      </c>
      <c r="G331" s="80">
        <v>50</v>
      </c>
      <c r="H331" s="80">
        <v>1</v>
      </c>
      <c r="I331" s="85" t="e">
        <f>_xll.qlRateHelperEarliestDate($B331,Trigger)</f>
        <v>#NUM!</v>
      </c>
      <c r="J331" s="86" t="e">
        <f>_xll.qlRateHelperLatestDate($B331,Trigger)</f>
        <v>#NUM!</v>
      </c>
      <c r="L331" s="84"/>
    </row>
    <row r="332" spans="2:12" x14ac:dyDescent="0.2">
      <c r="B332" s="182">
        <f>ForwardSwaps!K271</f>
        <v>0</v>
      </c>
      <c r="C332" s="78" t="e">
        <f>_xll.qlRateHelperQuoteName(B332)</f>
        <v>#NUM!</v>
      </c>
      <c r="D332" s="79" t="e">
        <f>_xll.qlRateHelperQuoteValue($B332,Trigger)</f>
        <v>#NUM!</v>
      </c>
      <c r="E332" s="79" t="e">
        <f>_xll.qlSwapRateHelperSpread($B332,Trigger)</f>
        <v>#NUM!</v>
      </c>
      <c r="F332" s="80" t="b">
        <v>0</v>
      </c>
      <c r="G332" s="80">
        <v>50</v>
      </c>
      <c r="H332" s="80">
        <v>1</v>
      </c>
      <c r="I332" s="85" t="e">
        <f>_xll.qlRateHelperEarliestDate($B332,Trigger)</f>
        <v>#NUM!</v>
      </c>
      <c r="J332" s="86" t="e">
        <f>_xll.qlRateHelperLatestDate($B332,Trigger)</f>
        <v>#NUM!</v>
      </c>
      <c r="L332" s="84"/>
    </row>
    <row r="333" spans="2:12" x14ac:dyDescent="0.2">
      <c r="B333" s="182">
        <f>ForwardSwaps!K272</f>
        <v>0</v>
      </c>
      <c r="C333" s="78" t="e">
        <f>_xll.qlRateHelperQuoteName(B333)</f>
        <v>#NUM!</v>
      </c>
      <c r="D333" s="79" t="e">
        <f>_xll.qlRateHelperQuoteValue($B333,Trigger)</f>
        <v>#NUM!</v>
      </c>
      <c r="E333" s="79" t="e">
        <f>_xll.qlSwapRateHelperSpread($B333,Trigger)</f>
        <v>#NUM!</v>
      </c>
      <c r="F333" s="80" t="b">
        <v>0</v>
      </c>
      <c r="G333" s="80">
        <v>50</v>
      </c>
      <c r="H333" s="80">
        <v>1</v>
      </c>
      <c r="I333" s="85" t="e">
        <f>_xll.qlRateHelperEarliestDate($B333,Trigger)</f>
        <v>#NUM!</v>
      </c>
      <c r="J333" s="86" t="e">
        <f>_xll.qlRateHelperLatestDate($B333,Trigger)</f>
        <v>#NUM!</v>
      </c>
      <c r="L333" s="84"/>
    </row>
    <row r="334" spans="2:12" x14ac:dyDescent="0.2">
      <c r="B334" s="182">
        <f>ForwardSwaps!K273</f>
        <v>0</v>
      </c>
      <c r="C334" s="78" t="e">
        <f>_xll.qlRateHelperQuoteName(B334)</f>
        <v>#NUM!</v>
      </c>
      <c r="D334" s="79" t="e">
        <f>_xll.qlRateHelperQuoteValue($B334,Trigger)</f>
        <v>#NUM!</v>
      </c>
      <c r="E334" s="79" t="e">
        <f>_xll.qlSwapRateHelperSpread($B334,Trigger)</f>
        <v>#NUM!</v>
      </c>
      <c r="F334" s="80" t="b">
        <v>0</v>
      </c>
      <c r="G334" s="80">
        <v>50</v>
      </c>
      <c r="H334" s="80">
        <v>1</v>
      </c>
      <c r="I334" s="85" t="e">
        <f>_xll.qlRateHelperEarliestDate($B334,Trigger)</f>
        <v>#NUM!</v>
      </c>
      <c r="J334" s="86" t="e">
        <f>_xll.qlRateHelperLatestDate($B334,Trigger)</f>
        <v>#NUM!</v>
      </c>
      <c r="L334" s="84"/>
    </row>
    <row r="335" spans="2:12" x14ac:dyDescent="0.2">
      <c r="B335" s="182">
        <f>ForwardSwaps!K274</f>
        <v>0</v>
      </c>
      <c r="C335" s="78" t="e">
        <f>_xll.qlRateHelperQuoteName(B335)</f>
        <v>#NUM!</v>
      </c>
      <c r="D335" s="79" t="e">
        <f>_xll.qlRateHelperQuoteValue($B335,Trigger)</f>
        <v>#NUM!</v>
      </c>
      <c r="E335" s="79" t="e">
        <f>_xll.qlSwapRateHelperSpread($B335,Trigger)</f>
        <v>#NUM!</v>
      </c>
      <c r="F335" s="80" t="b">
        <v>0</v>
      </c>
      <c r="G335" s="80">
        <v>50</v>
      </c>
      <c r="H335" s="80">
        <v>1</v>
      </c>
      <c r="I335" s="85" t="e">
        <f>_xll.qlRateHelperEarliestDate($B335,Trigger)</f>
        <v>#NUM!</v>
      </c>
      <c r="J335" s="86" t="e">
        <f>_xll.qlRateHelperLatestDate($B335,Trigger)</f>
        <v>#NUM!</v>
      </c>
      <c r="L335" s="84"/>
    </row>
    <row r="336" spans="2:12" x14ac:dyDescent="0.2">
      <c r="B336" s="183" t="str">
        <f>ForwardSwaps!K275</f>
        <v>obj_00774#0003</v>
      </c>
      <c r="C336" s="81" t="str">
        <f>_xll.qlRateHelperQuoteName(B336)</f>
        <v>EUR15F30Y_Quote</v>
      </c>
      <c r="D336" s="82">
        <f>_xll.qlRateHelperQuoteValue($B336,Trigger)</f>
        <v>1.8500000000000003E-2</v>
      </c>
      <c r="E336" s="82">
        <f>_xll.qlSwapRateHelperSpread($B336,Trigger)</f>
        <v>0</v>
      </c>
      <c r="F336" s="83" t="b">
        <v>1</v>
      </c>
      <c r="G336" s="83">
        <v>50</v>
      </c>
      <c r="H336" s="83">
        <v>1</v>
      </c>
      <c r="I336" s="87">
        <f>_xll.qlRateHelperEarliestDate($B336,Trigger)</f>
        <v>47666</v>
      </c>
      <c r="J336" s="88">
        <f>_xll.qlRateHelperLatestDate($B336,Trigger)</f>
        <v>58624</v>
      </c>
      <c r="L336" s="84"/>
    </row>
    <row r="337" spans="2:12" x14ac:dyDescent="0.2">
      <c r="B337" s="184">
        <f>ForwardSwaps!K276</f>
        <v>0</v>
      </c>
      <c r="C337" s="180" t="e">
        <f>_xll.qlRateHelperQuoteName(B337)</f>
        <v>#NUM!</v>
      </c>
      <c r="D337" s="185" t="e">
        <f>_xll.qlRateHelperQuoteValue($B337,Trigger)</f>
        <v>#NUM!</v>
      </c>
      <c r="E337" s="185" t="e">
        <f>_xll.qlSwapRateHelperSpread($B337,Trigger)</f>
        <v>#NUM!</v>
      </c>
      <c r="F337" s="186" t="b">
        <v>0</v>
      </c>
      <c r="G337" s="186">
        <v>50</v>
      </c>
      <c r="H337" s="186">
        <v>1</v>
      </c>
      <c r="I337" s="187" t="e">
        <f>_xll.qlRateHelperEarliestDate($B337,Trigger)</f>
        <v>#NUM!</v>
      </c>
      <c r="J337" s="188" t="e">
        <f>_xll.qlRateHelperLatestDate($B337,Trigger)</f>
        <v>#NUM!</v>
      </c>
      <c r="L337" s="84"/>
    </row>
    <row r="338" spans="2:12" x14ac:dyDescent="0.2">
      <c r="B338" s="182">
        <f>ForwardSwaps!K277</f>
        <v>0</v>
      </c>
      <c r="C338" s="78" t="e">
        <f>_xll.qlRateHelperQuoteName(B338)</f>
        <v>#NUM!</v>
      </c>
      <c r="D338" s="79" t="e">
        <f>_xll.qlRateHelperQuoteValue($B338,Trigger)</f>
        <v>#NUM!</v>
      </c>
      <c r="E338" s="79" t="e">
        <f>_xll.qlSwapRateHelperSpread($B338,Trigger)</f>
        <v>#NUM!</v>
      </c>
      <c r="F338" s="80" t="b">
        <v>0</v>
      </c>
      <c r="G338" s="80">
        <v>50</v>
      </c>
      <c r="H338" s="80">
        <v>1</v>
      </c>
      <c r="I338" s="85" t="e">
        <f>_xll.qlRateHelperEarliestDate($B338,Trigger)</f>
        <v>#NUM!</v>
      </c>
      <c r="J338" s="86" t="e">
        <f>_xll.qlRateHelperLatestDate($B338,Trigger)</f>
        <v>#NUM!</v>
      </c>
      <c r="L338" s="84"/>
    </row>
    <row r="339" spans="2:12" x14ac:dyDescent="0.2">
      <c r="B339" s="182">
        <f>ForwardSwaps!K278</f>
        <v>0</v>
      </c>
      <c r="C339" s="78" t="e">
        <f>_xll.qlRateHelperQuoteName(B339)</f>
        <v>#NUM!</v>
      </c>
      <c r="D339" s="79" t="e">
        <f>_xll.qlRateHelperQuoteValue($B339,Trigger)</f>
        <v>#NUM!</v>
      </c>
      <c r="E339" s="79" t="e">
        <f>_xll.qlSwapRateHelperSpread($B339,Trigger)</f>
        <v>#NUM!</v>
      </c>
      <c r="F339" s="80" t="b">
        <v>0</v>
      </c>
      <c r="G339" s="80">
        <v>50</v>
      </c>
      <c r="H339" s="80">
        <v>1</v>
      </c>
      <c r="I339" s="85" t="e">
        <f>_xll.qlRateHelperEarliestDate($B339,Trigger)</f>
        <v>#NUM!</v>
      </c>
      <c r="J339" s="86" t="e">
        <f>_xll.qlRateHelperLatestDate($B339,Trigger)</f>
        <v>#NUM!</v>
      </c>
      <c r="L339" s="84"/>
    </row>
    <row r="340" spans="2:12" x14ac:dyDescent="0.2">
      <c r="B340" s="182">
        <f>ForwardSwaps!K279</f>
        <v>0</v>
      </c>
      <c r="C340" s="78" t="e">
        <f>_xll.qlRateHelperQuoteName(B340)</f>
        <v>#NUM!</v>
      </c>
      <c r="D340" s="79" t="e">
        <f>_xll.qlRateHelperQuoteValue($B340,Trigger)</f>
        <v>#NUM!</v>
      </c>
      <c r="E340" s="79" t="e">
        <f>_xll.qlSwapRateHelperSpread($B340,Trigger)</f>
        <v>#NUM!</v>
      </c>
      <c r="F340" s="80" t="b">
        <v>0</v>
      </c>
      <c r="G340" s="80">
        <v>50</v>
      </c>
      <c r="H340" s="80">
        <v>1</v>
      </c>
      <c r="I340" s="85" t="e">
        <f>_xll.qlRateHelperEarliestDate($B340,Trigger)</f>
        <v>#NUM!</v>
      </c>
      <c r="J340" s="86" t="e">
        <f>_xll.qlRateHelperLatestDate($B340,Trigger)</f>
        <v>#NUM!</v>
      </c>
      <c r="L340" s="84"/>
    </row>
    <row r="341" spans="2:12" x14ac:dyDescent="0.2">
      <c r="B341" s="182">
        <f>ForwardSwaps!K280</f>
        <v>0</v>
      </c>
      <c r="C341" s="78" t="e">
        <f>_xll.qlRateHelperQuoteName(B341)</f>
        <v>#NUM!</v>
      </c>
      <c r="D341" s="79" t="e">
        <f>_xll.qlRateHelperQuoteValue($B341,Trigger)</f>
        <v>#NUM!</v>
      </c>
      <c r="E341" s="79" t="e">
        <f>_xll.qlSwapRateHelperSpread($B341,Trigger)</f>
        <v>#NUM!</v>
      </c>
      <c r="F341" s="80" t="b">
        <v>0</v>
      </c>
      <c r="G341" s="80">
        <v>50</v>
      </c>
      <c r="H341" s="80">
        <v>1</v>
      </c>
      <c r="I341" s="85" t="e">
        <f>_xll.qlRateHelperEarliestDate($B341,Trigger)</f>
        <v>#NUM!</v>
      </c>
      <c r="J341" s="86" t="e">
        <f>_xll.qlRateHelperLatestDate($B341,Trigger)</f>
        <v>#NUM!</v>
      </c>
      <c r="L341" s="84"/>
    </row>
    <row r="342" spans="2:12" x14ac:dyDescent="0.2">
      <c r="B342" s="182">
        <f>ForwardSwaps!K281</f>
        <v>0</v>
      </c>
      <c r="C342" s="78" t="e">
        <f>_xll.qlRateHelperQuoteName(B342)</f>
        <v>#NUM!</v>
      </c>
      <c r="D342" s="79" t="e">
        <f>_xll.qlRateHelperQuoteValue($B342,Trigger)</f>
        <v>#NUM!</v>
      </c>
      <c r="E342" s="79" t="e">
        <f>_xll.qlSwapRateHelperSpread($B342,Trigger)</f>
        <v>#NUM!</v>
      </c>
      <c r="F342" s="80" t="b">
        <v>0</v>
      </c>
      <c r="G342" s="80">
        <v>50</v>
      </c>
      <c r="H342" s="80">
        <v>1</v>
      </c>
      <c r="I342" s="85" t="e">
        <f>_xll.qlRateHelperEarliestDate($B342,Trigger)</f>
        <v>#NUM!</v>
      </c>
      <c r="J342" s="86" t="e">
        <f>_xll.qlRateHelperLatestDate($B342,Trigger)</f>
        <v>#NUM!</v>
      </c>
      <c r="L342" s="84"/>
    </row>
    <row r="343" spans="2:12" x14ac:dyDescent="0.2">
      <c r="B343" s="182">
        <f>ForwardSwaps!K282</f>
        <v>0</v>
      </c>
      <c r="C343" s="78" t="e">
        <f>_xll.qlRateHelperQuoteName(B343)</f>
        <v>#NUM!</v>
      </c>
      <c r="D343" s="79" t="e">
        <f>_xll.qlRateHelperQuoteValue($B343,Trigger)</f>
        <v>#NUM!</v>
      </c>
      <c r="E343" s="79" t="e">
        <f>_xll.qlSwapRateHelperSpread($B343,Trigger)</f>
        <v>#NUM!</v>
      </c>
      <c r="F343" s="80" t="b">
        <v>0</v>
      </c>
      <c r="G343" s="80">
        <v>50</v>
      </c>
      <c r="H343" s="80">
        <v>1</v>
      </c>
      <c r="I343" s="85" t="e">
        <f>_xll.qlRateHelperEarliestDate($B343,Trigger)</f>
        <v>#NUM!</v>
      </c>
      <c r="J343" s="86" t="e">
        <f>_xll.qlRateHelperLatestDate($B343,Trigger)</f>
        <v>#NUM!</v>
      </c>
      <c r="L343" s="84"/>
    </row>
    <row r="344" spans="2:12" x14ac:dyDescent="0.2">
      <c r="B344" s="182">
        <f>ForwardSwaps!K283</f>
        <v>0</v>
      </c>
      <c r="C344" s="78" t="e">
        <f>_xll.qlRateHelperQuoteName(B344)</f>
        <v>#NUM!</v>
      </c>
      <c r="D344" s="79" t="e">
        <f>_xll.qlRateHelperQuoteValue($B344,Trigger)</f>
        <v>#NUM!</v>
      </c>
      <c r="E344" s="79" t="e">
        <f>_xll.qlSwapRateHelperSpread($B344,Trigger)</f>
        <v>#NUM!</v>
      </c>
      <c r="F344" s="80" t="b">
        <v>0</v>
      </c>
      <c r="G344" s="80">
        <v>50</v>
      </c>
      <c r="H344" s="80">
        <v>1</v>
      </c>
      <c r="I344" s="85" t="e">
        <f>_xll.qlRateHelperEarliestDate($B344,Trigger)</f>
        <v>#NUM!</v>
      </c>
      <c r="J344" s="86" t="e">
        <f>_xll.qlRateHelperLatestDate($B344,Trigger)</f>
        <v>#NUM!</v>
      </c>
      <c r="L344" s="84"/>
    </row>
    <row r="345" spans="2:12" x14ac:dyDescent="0.2">
      <c r="B345" s="182">
        <f>ForwardSwaps!K284</f>
        <v>0</v>
      </c>
      <c r="C345" s="78" t="e">
        <f>_xll.qlRateHelperQuoteName(B345)</f>
        <v>#NUM!</v>
      </c>
      <c r="D345" s="79" t="e">
        <f>_xll.qlRateHelperQuoteValue($B345,Trigger)</f>
        <v>#NUM!</v>
      </c>
      <c r="E345" s="79" t="e">
        <f>_xll.qlSwapRateHelperSpread($B345,Trigger)</f>
        <v>#NUM!</v>
      </c>
      <c r="F345" s="80" t="b">
        <v>0</v>
      </c>
      <c r="G345" s="80">
        <v>50</v>
      </c>
      <c r="H345" s="80">
        <v>1</v>
      </c>
      <c r="I345" s="85" t="e">
        <f>_xll.qlRateHelperEarliestDate($B345,Trigger)</f>
        <v>#NUM!</v>
      </c>
      <c r="J345" s="86" t="e">
        <f>_xll.qlRateHelperLatestDate($B345,Trigger)</f>
        <v>#NUM!</v>
      </c>
      <c r="L345" s="84"/>
    </row>
    <row r="346" spans="2:12" x14ac:dyDescent="0.2">
      <c r="B346" s="182">
        <f>ForwardSwaps!K285</f>
        <v>0</v>
      </c>
      <c r="C346" s="78" t="e">
        <f>_xll.qlRateHelperQuoteName(B346)</f>
        <v>#NUM!</v>
      </c>
      <c r="D346" s="79" t="e">
        <f>_xll.qlRateHelperQuoteValue($B346,Trigger)</f>
        <v>#NUM!</v>
      </c>
      <c r="E346" s="79" t="e">
        <f>_xll.qlSwapRateHelperSpread($B346,Trigger)</f>
        <v>#NUM!</v>
      </c>
      <c r="F346" s="80" t="b">
        <v>0</v>
      </c>
      <c r="G346" s="80">
        <v>50</v>
      </c>
      <c r="H346" s="80">
        <v>1</v>
      </c>
      <c r="I346" s="85" t="e">
        <f>_xll.qlRateHelperEarliestDate($B346,Trigger)</f>
        <v>#NUM!</v>
      </c>
      <c r="J346" s="86" t="e">
        <f>_xll.qlRateHelperLatestDate($B346,Trigger)</f>
        <v>#NUM!</v>
      </c>
      <c r="L346" s="84"/>
    </row>
    <row r="347" spans="2:12" x14ac:dyDescent="0.2">
      <c r="B347" s="182">
        <f>ForwardSwaps!K286</f>
        <v>0</v>
      </c>
      <c r="C347" s="78" t="e">
        <f>_xll.qlRateHelperQuoteName(B347)</f>
        <v>#NUM!</v>
      </c>
      <c r="D347" s="79" t="e">
        <f>_xll.qlRateHelperQuoteValue($B347,Trigger)</f>
        <v>#NUM!</v>
      </c>
      <c r="E347" s="79" t="e">
        <f>_xll.qlSwapRateHelperSpread($B347,Trigger)</f>
        <v>#NUM!</v>
      </c>
      <c r="F347" s="80" t="b">
        <v>0</v>
      </c>
      <c r="G347" s="80">
        <v>50</v>
      </c>
      <c r="H347" s="80">
        <v>1</v>
      </c>
      <c r="I347" s="85" t="e">
        <f>_xll.qlRateHelperEarliestDate($B347,Trigger)</f>
        <v>#NUM!</v>
      </c>
      <c r="J347" s="86" t="e">
        <f>_xll.qlRateHelperLatestDate($B347,Trigger)</f>
        <v>#NUM!</v>
      </c>
      <c r="L347" s="84"/>
    </row>
    <row r="348" spans="2:12" x14ac:dyDescent="0.2">
      <c r="B348" s="182">
        <f>ForwardSwaps!K287</f>
        <v>0</v>
      </c>
      <c r="C348" s="78" t="e">
        <f>_xll.qlRateHelperQuoteName(B348)</f>
        <v>#NUM!</v>
      </c>
      <c r="D348" s="79" t="e">
        <f>_xll.qlRateHelperQuoteValue($B348,Trigger)</f>
        <v>#NUM!</v>
      </c>
      <c r="E348" s="79" t="e">
        <f>_xll.qlSwapRateHelperSpread($B348,Trigger)</f>
        <v>#NUM!</v>
      </c>
      <c r="F348" s="80" t="b">
        <v>0</v>
      </c>
      <c r="G348" s="80">
        <v>50</v>
      </c>
      <c r="H348" s="80">
        <v>1</v>
      </c>
      <c r="I348" s="85" t="e">
        <f>_xll.qlRateHelperEarliestDate($B348,Trigger)</f>
        <v>#NUM!</v>
      </c>
      <c r="J348" s="86" t="e">
        <f>_xll.qlRateHelperLatestDate($B348,Trigger)</f>
        <v>#NUM!</v>
      </c>
      <c r="L348" s="84"/>
    </row>
    <row r="349" spans="2:12" x14ac:dyDescent="0.2">
      <c r="B349" s="182">
        <f>ForwardSwaps!K288</f>
        <v>0</v>
      </c>
      <c r="C349" s="78" t="e">
        <f>_xll.qlRateHelperQuoteName(B349)</f>
        <v>#NUM!</v>
      </c>
      <c r="D349" s="79" t="e">
        <f>_xll.qlRateHelperQuoteValue($B349,Trigger)</f>
        <v>#NUM!</v>
      </c>
      <c r="E349" s="79" t="e">
        <f>_xll.qlSwapRateHelperSpread($B349,Trigger)</f>
        <v>#NUM!</v>
      </c>
      <c r="F349" s="80" t="b">
        <v>0</v>
      </c>
      <c r="G349" s="80">
        <v>50</v>
      </c>
      <c r="H349" s="80">
        <v>1</v>
      </c>
      <c r="I349" s="85" t="e">
        <f>_xll.qlRateHelperEarliestDate($B349,Trigger)</f>
        <v>#NUM!</v>
      </c>
      <c r="J349" s="86" t="e">
        <f>_xll.qlRateHelperLatestDate($B349,Trigger)</f>
        <v>#NUM!</v>
      </c>
      <c r="L349" s="84"/>
    </row>
    <row r="350" spans="2:12" x14ac:dyDescent="0.2">
      <c r="B350" s="182">
        <f>ForwardSwaps!K289</f>
        <v>0</v>
      </c>
      <c r="C350" s="78" t="e">
        <f>_xll.qlRateHelperQuoteName(B350)</f>
        <v>#NUM!</v>
      </c>
      <c r="D350" s="79" t="e">
        <f>_xll.qlRateHelperQuoteValue($B350,Trigger)</f>
        <v>#NUM!</v>
      </c>
      <c r="E350" s="79" t="e">
        <f>_xll.qlSwapRateHelperSpread($B350,Trigger)</f>
        <v>#NUM!</v>
      </c>
      <c r="F350" s="80" t="b">
        <v>0</v>
      </c>
      <c r="G350" s="80">
        <v>50</v>
      </c>
      <c r="H350" s="80">
        <v>1</v>
      </c>
      <c r="I350" s="85" t="e">
        <f>_xll.qlRateHelperEarliestDate($B350,Trigger)</f>
        <v>#NUM!</v>
      </c>
      <c r="J350" s="86" t="e">
        <f>_xll.qlRateHelperLatestDate($B350,Trigger)</f>
        <v>#NUM!</v>
      </c>
      <c r="L350" s="84"/>
    </row>
    <row r="351" spans="2:12" x14ac:dyDescent="0.2">
      <c r="B351" s="182">
        <f>ForwardSwaps!K290</f>
        <v>0</v>
      </c>
      <c r="C351" s="78" t="e">
        <f>_xll.qlRateHelperQuoteName(B351)</f>
        <v>#NUM!</v>
      </c>
      <c r="D351" s="79" t="e">
        <f>_xll.qlRateHelperQuoteValue($B351,Trigger)</f>
        <v>#NUM!</v>
      </c>
      <c r="E351" s="79" t="e">
        <f>_xll.qlSwapRateHelperSpread($B351,Trigger)</f>
        <v>#NUM!</v>
      </c>
      <c r="F351" s="80" t="b">
        <v>0</v>
      </c>
      <c r="G351" s="80">
        <v>50</v>
      </c>
      <c r="H351" s="80">
        <v>1</v>
      </c>
      <c r="I351" s="85" t="e">
        <f>_xll.qlRateHelperEarliestDate($B351,Trigger)</f>
        <v>#NUM!</v>
      </c>
      <c r="J351" s="86" t="e">
        <f>_xll.qlRateHelperLatestDate($B351,Trigger)</f>
        <v>#NUM!</v>
      </c>
      <c r="L351" s="84"/>
    </row>
    <row r="352" spans="2:12" x14ac:dyDescent="0.2">
      <c r="B352" s="182">
        <f>ForwardSwaps!K291</f>
        <v>0</v>
      </c>
      <c r="C352" s="78" t="e">
        <f>_xll.qlRateHelperQuoteName(B352)</f>
        <v>#NUM!</v>
      </c>
      <c r="D352" s="79" t="e">
        <f>_xll.qlRateHelperQuoteValue($B352,Trigger)</f>
        <v>#NUM!</v>
      </c>
      <c r="E352" s="79" t="e">
        <f>_xll.qlSwapRateHelperSpread($B352,Trigger)</f>
        <v>#NUM!</v>
      </c>
      <c r="F352" s="80" t="b">
        <v>0</v>
      </c>
      <c r="G352" s="80">
        <v>50</v>
      </c>
      <c r="H352" s="80">
        <v>1</v>
      </c>
      <c r="I352" s="85" t="e">
        <f>_xll.qlRateHelperEarliestDate($B352,Trigger)</f>
        <v>#NUM!</v>
      </c>
      <c r="J352" s="86" t="e">
        <f>_xll.qlRateHelperLatestDate($B352,Trigger)</f>
        <v>#NUM!</v>
      </c>
      <c r="L352" s="84"/>
    </row>
    <row r="353" spans="2:12" x14ac:dyDescent="0.2">
      <c r="B353" s="182">
        <f>ForwardSwaps!K292</f>
        <v>0</v>
      </c>
      <c r="C353" s="78" t="e">
        <f>_xll.qlRateHelperQuoteName(B353)</f>
        <v>#NUM!</v>
      </c>
      <c r="D353" s="79" t="e">
        <f>_xll.qlRateHelperQuoteValue($B353,Trigger)</f>
        <v>#NUM!</v>
      </c>
      <c r="E353" s="79" t="e">
        <f>_xll.qlSwapRateHelperSpread($B353,Trigger)</f>
        <v>#NUM!</v>
      </c>
      <c r="F353" s="80" t="b">
        <v>0</v>
      </c>
      <c r="G353" s="80">
        <v>50</v>
      </c>
      <c r="H353" s="80">
        <v>1</v>
      </c>
      <c r="I353" s="85" t="e">
        <f>_xll.qlRateHelperEarliestDate($B353,Trigger)</f>
        <v>#NUM!</v>
      </c>
      <c r="J353" s="86" t="e">
        <f>_xll.qlRateHelperLatestDate($B353,Trigger)</f>
        <v>#NUM!</v>
      </c>
      <c r="L353" s="84"/>
    </row>
    <row r="354" spans="2:12" x14ac:dyDescent="0.2">
      <c r="B354" s="183">
        <f>ForwardSwaps!K293</f>
        <v>0</v>
      </c>
      <c r="C354" s="81" t="e">
        <f>_xll.qlRateHelperQuoteName(B354)</f>
        <v>#NUM!</v>
      </c>
      <c r="D354" s="82" t="e">
        <f>_xll.qlRateHelperQuoteValue($B354,Trigger)</f>
        <v>#NUM!</v>
      </c>
      <c r="E354" s="82" t="e">
        <f>_xll.qlSwapRateHelperSpread($B354,Trigger)</f>
        <v>#NUM!</v>
      </c>
      <c r="F354" s="83" t="b">
        <v>0</v>
      </c>
      <c r="G354" s="83">
        <v>50</v>
      </c>
      <c r="H354" s="83">
        <v>1</v>
      </c>
      <c r="I354" s="87" t="e">
        <f>_xll.qlRateHelperEarliestDate($B354,Trigger)</f>
        <v>#NUM!</v>
      </c>
      <c r="J354" s="88" t="e">
        <f>_xll.qlRateHelperLatestDate($B354,Trigger)</f>
        <v>#NUM!</v>
      </c>
      <c r="L354" s="84"/>
    </row>
    <row r="355" spans="2:12" x14ac:dyDescent="0.2">
      <c r="B355" s="184">
        <f>ForwardSwaps!K294</f>
        <v>0</v>
      </c>
      <c r="C355" s="180" t="e">
        <f>_xll.qlRateHelperQuoteName(B355)</f>
        <v>#NUM!</v>
      </c>
      <c r="D355" s="185" t="e">
        <f>_xll.qlRateHelperQuoteValue($B355,Trigger)</f>
        <v>#NUM!</v>
      </c>
      <c r="E355" s="185" t="e">
        <f>_xll.qlSwapRateHelperSpread($B355,Trigger)</f>
        <v>#NUM!</v>
      </c>
      <c r="F355" s="186" t="b">
        <v>0</v>
      </c>
      <c r="G355" s="186">
        <v>50</v>
      </c>
      <c r="H355" s="186">
        <v>1</v>
      </c>
      <c r="I355" s="187" t="e">
        <f>_xll.qlRateHelperEarliestDate($B355,Trigger)</f>
        <v>#NUM!</v>
      </c>
      <c r="J355" s="188" t="e">
        <f>_xll.qlRateHelperLatestDate($B355,Trigger)</f>
        <v>#NUM!</v>
      </c>
      <c r="L355" s="84"/>
    </row>
    <row r="356" spans="2:12" x14ac:dyDescent="0.2">
      <c r="B356" s="182">
        <f>ForwardSwaps!K295</f>
        <v>0</v>
      </c>
      <c r="C356" s="78" t="e">
        <f>_xll.qlRateHelperQuoteName(B356)</f>
        <v>#NUM!</v>
      </c>
      <c r="D356" s="79" t="e">
        <f>_xll.qlRateHelperQuoteValue($B356,Trigger)</f>
        <v>#NUM!</v>
      </c>
      <c r="E356" s="79" t="e">
        <f>_xll.qlSwapRateHelperSpread($B356,Trigger)</f>
        <v>#NUM!</v>
      </c>
      <c r="F356" s="80" t="b">
        <v>0</v>
      </c>
      <c r="G356" s="80">
        <v>50</v>
      </c>
      <c r="H356" s="80">
        <v>1</v>
      </c>
      <c r="I356" s="85" t="e">
        <f>_xll.qlRateHelperEarliestDate($B356,Trigger)</f>
        <v>#NUM!</v>
      </c>
      <c r="J356" s="86" t="e">
        <f>_xll.qlRateHelperLatestDate($B356,Trigger)</f>
        <v>#NUM!</v>
      </c>
      <c r="L356" s="84"/>
    </row>
    <row r="357" spans="2:12" x14ac:dyDescent="0.2">
      <c r="B357" s="182">
        <f>ForwardSwaps!K296</f>
        <v>0</v>
      </c>
      <c r="C357" s="78" t="e">
        <f>_xll.qlRateHelperQuoteName(B357)</f>
        <v>#NUM!</v>
      </c>
      <c r="D357" s="79" t="e">
        <f>_xll.qlRateHelperQuoteValue($B357,Trigger)</f>
        <v>#NUM!</v>
      </c>
      <c r="E357" s="79" t="e">
        <f>_xll.qlSwapRateHelperSpread($B357,Trigger)</f>
        <v>#NUM!</v>
      </c>
      <c r="F357" s="80" t="b">
        <v>0</v>
      </c>
      <c r="G357" s="80">
        <v>50</v>
      </c>
      <c r="H357" s="80">
        <v>1</v>
      </c>
      <c r="I357" s="85" t="e">
        <f>_xll.qlRateHelperEarliestDate($B357,Trigger)</f>
        <v>#NUM!</v>
      </c>
      <c r="J357" s="86" t="e">
        <f>_xll.qlRateHelperLatestDate($B357,Trigger)</f>
        <v>#NUM!</v>
      </c>
      <c r="L357" s="84"/>
    </row>
    <row r="358" spans="2:12" x14ac:dyDescent="0.2">
      <c r="B358" s="182">
        <f>ForwardSwaps!K297</f>
        <v>0</v>
      </c>
      <c r="C358" s="78" t="e">
        <f>_xll.qlRateHelperQuoteName(B358)</f>
        <v>#NUM!</v>
      </c>
      <c r="D358" s="79" t="e">
        <f>_xll.qlRateHelperQuoteValue($B358,Trigger)</f>
        <v>#NUM!</v>
      </c>
      <c r="E358" s="79" t="e">
        <f>_xll.qlSwapRateHelperSpread($B358,Trigger)</f>
        <v>#NUM!</v>
      </c>
      <c r="F358" s="80" t="b">
        <v>0</v>
      </c>
      <c r="G358" s="80">
        <v>50</v>
      </c>
      <c r="H358" s="80">
        <v>1</v>
      </c>
      <c r="I358" s="85" t="e">
        <f>_xll.qlRateHelperEarliestDate($B358,Trigger)</f>
        <v>#NUM!</v>
      </c>
      <c r="J358" s="86" t="e">
        <f>_xll.qlRateHelperLatestDate($B358,Trigger)</f>
        <v>#NUM!</v>
      </c>
      <c r="L358" s="84"/>
    </row>
    <row r="359" spans="2:12" x14ac:dyDescent="0.2">
      <c r="B359" s="182">
        <f>ForwardSwaps!K298</f>
        <v>0</v>
      </c>
      <c r="C359" s="78" t="e">
        <f>_xll.qlRateHelperQuoteName(B359)</f>
        <v>#NUM!</v>
      </c>
      <c r="D359" s="79" t="e">
        <f>_xll.qlRateHelperQuoteValue($B359,Trigger)</f>
        <v>#NUM!</v>
      </c>
      <c r="E359" s="79" t="e">
        <f>_xll.qlSwapRateHelperSpread($B359,Trigger)</f>
        <v>#NUM!</v>
      </c>
      <c r="F359" s="80" t="b">
        <v>0</v>
      </c>
      <c r="G359" s="80">
        <v>50</v>
      </c>
      <c r="H359" s="80">
        <v>1</v>
      </c>
      <c r="I359" s="85" t="e">
        <f>_xll.qlRateHelperEarliestDate($B359,Trigger)</f>
        <v>#NUM!</v>
      </c>
      <c r="J359" s="86" t="e">
        <f>_xll.qlRateHelperLatestDate($B359,Trigger)</f>
        <v>#NUM!</v>
      </c>
      <c r="L359" s="84"/>
    </row>
    <row r="360" spans="2:12" x14ac:dyDescent="0.2">
      <c r="B360" s="182">
        <f>ForwardSwaps!K299</f>
        <v>0</v>
      </c>
      <c r="C360" s="78" t="e">
        <f>_xll.qlRateHelperQuoteName(B360)</f>
        <v>#NUM!</v>
      </c>
      <c r="D360" s="79" t="e">
        <f>_xll.qlRateHelperQuoteValue($B360,Trigger)</f>
        <v>#NUM!</v>
      </c>
      <c r="E360" s="79" t="e">
        <f>_xll.qlSwapRateHelperSpread($B360,Trigger)</f>
        <v>#NUM!</v>
      </c>
      <c r="F360" s="80" t="b">
        <v>0</v>
      </c>
      <c r="G360" s="80">
        <v>50</v>
      </c>
      <c r="H360" s="80">
        <v>1</v>
      </c>
      <c r="I360" s="85" t="e">
        <f>_xll.qlRateHelperEarliestDate($B360,Trigger)</f>
        <v>#NUM!</v>
      </c>
      <c r="J360" s="86" t="e">
        <f>_xll.qlRateHelperLatestDate($B360,Trigger)</f>
        <v>#NUM!</v>
      </c>
      <c r="L360" s="84"/>
    </row>
    <row r="361" spans="2:12" x14ac:dyDescent="0.2">
      <c r="B361" s="182">
        <f>ForwardSwaps!K300</f>
        <v>0</v>
      </c>
      <c r="C361" s="78" t="e">
        <f>_xll.qlRateHelperQuoteName(B361)</f>
        <v>#NUM!</v>
      </c>
      <c r="D361" s="79" t="e">
        <f>_xll.qlRateHelperQuoteValue($B361,Trigger)</f>
        <v>#NUM!</v>
      </c>
      <c r="E361" s="79" t="e">
        <f>_xll.qlSwapRateHelperSpread($B361,Trigger)</f>
        <v>#NUM!</v>
      </c>
      <c r="F361" s="80" t="b">
        <v>0</v>
      </c>
      <c r="G361" s="80">
        <v>50</v>
      </c>
      <c r="H361" s="80">
        <v>1</v>
      </c>
      <c r="I361" s="85" t="e">
        <f>_xll.qlRateHelperEarliestDate($B361,Trigger)</f>
        <v>#NUM!</v>
      </c>
      <c r="J361" s="86" t="e">
        <f>_xll.qlRateHelperLatestDate($B361,Trigger)</f>
        <v>#NUM!</v>
      </c>
      <c r="L361" s="84"/>
    </row>
    <row r="362" spans="2:12" x14ac:dyDescent="0.2">
      <c r="B362" s="182">
        <f>ForwardSwaps!K301</f>
        <v>0</v>
      </c>
      <c r="C362" s="78" t="e">
        <f>_xll.qlRateHelperQuoteName(B362)</f>
        <v>#NUM!</v>
      </c>
      <c r="D362" s="79" t="e">
        <f>_xll.qlRateHelperQuoteValue($B362,Trigger)</f>
        <v>#NUM!</v>
      </c>
      <c r="E362" s="79" t="e">
        <f>_xll.qlSwapRateHelperSpread($B362,Trigger)</f>
        <v>#NUM!</v>
      </c>
      <c r="F362" s="80" t="b">
        <v>0</v>
      </c>
      <c r="G362" s="80">
        <v>50</v>
      </c>
      <c r="H362" s="80">
        <v>1</v>
      </c>
      <c r="I362" s="85" t="e">
        <f>_xll.qlRateHelperEarliestDate($B362,Trigger)</f>
        <v>#NUM!</v>
      </c>
      <c r="J362" s="86" t="e">
        <f>_xll.qlRateHelperLatestDate($B362,Trigger)</f>
        <v>#NUM!</v>
      </c>
      <c r="L362" s="84"/>
    </row>
    <row r="363" spans="2:12" x14ac:dyDescent="0.2">
      <c r="B363" s="182">
        <f>ForwardSwaps!K302</f>
        <v>0</v>
      </c>
      <c r="C363" s="78" t="e">
        <f>_xll.qlRateHelperQuoteName(B363)</f>
        <v>#NUM!</v>
      </c>
      <c r="D363" s="79" t="e">
        <f>_xll.qlRateHelperQuoteValue($B363,Trigger)</f>
        <v>#NUM!</v>
      </c>
      <c r="E363" s="79" t="e">
        <f>_xll.qlSwapRateHelperSpread($B363,Trigger)</f>
        <v>#NUM!</v>
      </c>
      <c r="F363" s="80" t="b">
        <v>0</v>
      </c>
      <c r="G363" s="80">
        <v>50</v>
      </c>
      <c r="H363" s="80">
        <v>1</v>
      </c>
      <c r="I363" s="85" t="e">
        <f>_xll.qlRateHelperEarliestDate($B363,Trigger)</f>
        <v>#NUM!</v>
      </c>
      <c r="J363" s="86" t="e">
        <f>_xll.qlRateHelperLatestDate($B363,Trigger)</f>
        <v>#NUM!</v>
      </c>
      <c r="L363" s="84"/>
    </row>
    <row r="364" spans="2:12" x14ac:dyDescent="0.2">
      <c r="B364" s="182">
        <f>ForwardSwaps!K303</f>
        <v>0</v>
      </c>
      <c r="C364" s="78" t="e">
        <f>_xll.qlRateHelperQuoteName(B364)</f>
        <v>#NUM!</v>
      </c>
      <c r="D364" s="79" t="e">
        <f>_xll.qlRateHelperQuoteValue($B364,Trigger)</f>
        <v>#NUM!</v>
      </c>
      <c r="E364" s="79" t="e">
        <f>_xll.qlSwapRateHelperSpread($B364,Trigger)</f>
        <v>#NUM!</v>
      </c>
      <c r="F364" s="80" t="b">
        <v>0</v>
      </c>
      <c r="G364" s="80">
        <v>50</v>
      </c>
      <c r="H364" s="80">
        <v>1</v>
      </c>
      <c r="I364" s="85" t="e">
        <f>_xll.qlRateHelperEarliestDate($B364,Trigger)</f>
        <v>#NUM!</v>
      </c>
      <c r="J364" s="86" t="e">
        <f>_xll.qlRateHelperLatestDate($B364,Trigger)</f>
        <v>#NUM!</v>
      </c>
      <c r="L364" s="84"/>
    </row>
    <row r="365" spans="2:12" x14ac:dyDescent="0.2">
      <c r="B365" s="182">
        <f>ForwardSwaps!K304</f>
        <v>0</v>
      </c>
      <c r="C365" s="78" t="e">
        <f>_xll.qlRateHelperQuoteName(B365)</f>
        <v>#NUM!</v>
      </c>
      <c r="D365" s="79" t="e">
        <f>_xll.qlRateHelperQuoteValue($B365,Trigger)</f>
        <v>#NUM!</v>
      </c>
      <c r="E365" s="79" t="e">
        <f>_xll.qlSwapRateHelperSpread($B365,Trigger)</f>
        <v>#NUM!</v>
      </c>
      <c r="F365" s="80" t="b">
        <v>0</v>
      </c>
      <c r="G365" s="80">
        <v>50</v>
      </c>
      <c r="H365" s="80">
        <v>1</v>
      </c>
      <c r="I365" s="85" t="e">
        <f>_xll.qlRateHelperEarliestDate($B365,Trigger)</f>
        <v>#NUM!</v>
      </c>
      <c r="J365" s="86" t="e">
        <f>_xll.qlRateHelperLatestDate($B365,Trigger)</f>
        <v>#NUM!</v>
      </c>
      <c r="L365" s="84"/>
    </row>
    <row r="366" spans="2:12" x14ac:dyDescent="0.2">
      <c r="B366" s="182">
        <f>ForwardSwaps!K305</f>
        <v>0</v>
      </c>
      <c r="C366" s="78" t="e">
        <f>_xll.qlRateHelperQuoteName(B366)</f>
        <v>#NUM!</v>
      </c>
      <c r="D366" s="79" t="e">
        <f>_xll.qlRateHelperQuoteValue($B366,Trigger)</f>
        <v>#NUM!</v>
      </c>
      <c r="E366" s="79" t="e">
        <f>_xll.qlSwapRateHelperSpread($B366,Trigger)</f>
        <v>#NUM!</v>
      </c>
      <c r="F366" s="80" t="b">
        <v>0</v>
      </c>
      <c r="G366" s="80">
        <v>50</v>
      </c>
      <c r="H366" s="80">
        <v>1</v>
      </c>
      <c r="I366" s="85" t="e">
        <f>_xll.qlRateHelperEarliestDate($B366,Trigger)</f>
        <v>#NUM!</v>
      </c>
      <c r="J366" s="86" t="e">
        <f>_xll.qlRateHelperLatestDate($B366,Trigger)</f>
        <v>#NUM!</v>
      </c>
      <c r="L366" s="84"/>
    </row>
    <row r="367" spans="2:12" x14ac:dyDescent="0.2">
      <c r="B367" s="182">
        <f>ForwardSwaps!K306</f>
        <v>0</v>
      </c>
      <c r="C367" s="78" t="e">
        <f>_xll.qlRateHelperQuoteName(B367)</f>
        <v>#NUM!</v>
      </c>
      <c r="D367" s="79" t="e">
        <f>_xll.qlRateHelperQuoteValue($B367,Trigger)</f>
        <v>#NUM!</v>
      </c>
      <c r="E367" s="79" t="e">
        <f>_xll.qlSwapRateHelperSpread($B367,Trigger)</f>
        <v>#NUM!</v>
      </c>
      <c r="F367" s="80" t="b">
        <v>0</v>
      </c>
      <c r="G367" s="80">
        <v>50</v>
      </c>
      <c r="H367" s="80">
        <v>1</v>
      </c>
      <c r="I367" s="85" t="e">
        <f>_xll.qlRateHelperEarliestDate($B367,Trigger)</f>
        <v>#NUM!</v>
      </c>
      <c r="J367" s="86" t="e">
        <f>_xll.qlRateHelperLatestDate($B367,Trigger)</f>
        <v>#NUM!</v>
      </c>
      <c r="L367" s="84"/>
    </row>
    <row r="368" spans="2:12" x14ac:dyDescent="0.2">
      <c r="B368" s="182">
        <f>ForwardSwaps!K307</f>
        <v>0</v>
      </c>
      <c r="C368" s="78" t="e">
        <f>_xll.qlRateHelperQuoteName(B368)</f>
        <v>#NUM!</v>
      </c>
      <c r="D368" s="79" t="e">
        <f>_xll.qlRateHelperQuoteValue($B368,Trigger)</f>
        <v>#NUM!</v>
      </c>
      <c r="E368" s="79" t="e">
        <f>_xll.qlSwapRateHelperSpread($B368,Trigger)</f>
        <v>#NUM!</v>
      </c>
      <c r="F368" s="80" t="b">
        <v>0</v>
      </c>
      <c r="G368" s="80">
        <v>50</v>
      </c>
      <c r="H368" s="80">
        <v>1</v>
      </c>
      <c r="I368" s="85" t="e">
        <f>_xll.qlRateHelperEarliestDate($B368,Trigger)</f>
        <v>#NUM!</v>
      </c>
      <c r="J368" s="86" t="e">
        <f>_xll.qlRateHelperLatestDate($B368,Trigger)</f>
        <v>#NUM!</v>
      </c>
      <c r="L368" s="84"/>
    </row>
    <row r="369" spans="2:12" x14ac:dyDescent="0.2">
      <c r="B369" s="182">
        <f>ForwardSwaps!K308</f>
        <v>0</v>
      </c>
      <c r="C369" s="78" t="e">
        <f>_xll.qlRateHelperQuoteName(B369)</f>
        <v>#NUM!</v>
      </c>
      <c r="D369" s="79" t="e">
        <f>_xll.qlRateHelperQuoteValue($B369,Trigger)</f>
        <v>#NUM!</v>
      </c>
      <c r="E369" s="79" t="e">
        <f>_xll.qlSwapRateHelperSpread($B369,Trigger)</f>
        <v>#NUM!</v>
      </c>
      <c r="F369" s="80" t="b">
        <v>0</v>
      </c>
      <c r="G369" s="80">
        <v>50</v>
      </c>
      <c r="H369" s="80">
        <v>1</v>
      </c>
      <c r="I369" s="85" t="e">
        <f>_xll.qlRateHelperEarliestDate($B369,Trigger)</f>
        <v>#NUM!</v>
      </c>
      <c r="J369" s="86" t="e">
        <f>_xll.qlRateHelperLatestDate($B369,Trigger)</f>
        <v>#NUM!</v>
      </c>
      <c r="L369" s="84"/>
    </row>
    <row r="370" spans="2:12" x14ac:dyDescent="0.2">
      <c r="B370" s="182">
        <f>ForwardSwaps!K309</f>
        <v>0</v>
      </c>
      <c r="C370" s="78" t="e">
        <f>_xll.qlRateHelperQuoteName(B370)</f>
        <v>#NUM!</v>
      </c>
      <c r="D370" s="79" t="e">
        <f>_xll.qlRateHelperQuoteValue($B370,Trigger)</f>
        <v>#NUM!</v>
      </c>
      <c r="E370" s="79" t="e">
        <f>_xll.qlSwapRateHelperSpread($B370,Trigger)</f>
        <v>#NUM!</v>
      </c>
      <c r="F370" s="80" t="b">
        <v>0</v>
      </c>
      <c r="G370" s="80">
        <v>50</v>
      </c>
      <c r="H370" s="80">
        <v>1</v>
      </c>
      <c r="I370" s="85" t="e">
        <f>_xll.qlRateHelperEarliestDate($B370,Trigger)</f>
        <v>#NUM!</v>
      </c>
      <c r="J370" s="86" t="e">
        <f>_xll.qlRateHelperLatestDate($B370,Trigger)</f>
        <v>#NUM!</v>
      </c>
      <c r="L370" s="84"/>
    </row>
    <row r="371" spans="2:12" x14ac:dyDescent="0.2">
      <c r="B371" s="182">
        <f>ForwardSwaps!K310</f>
        <v>0</v>
      </c>
      <c r="C371" s="78" t="e">
        <f>_xll.qlRateHelperQuoteName(B371)</f>
        <v>#NUM!</v>
      </c>
      <c r="D371" s="79" t="e">
        <f>_xll.qlRateHelperQuoteValue($B371,Trigger)</f>
        <v>#NUM!</v>
      </c>
      <c r="E371" s="79" t="e">
        <f>_xll.qlSwapRateHelperSpread($B371,Trigger)</f>
        <v>#NUM!</v>
      </c>
      <c r="F371" s="80" t="b">
        <v>0</v>
      </c>
      <c r="G371" s="80">
        <v>50</v>
      </c>
      <c r="H371" s="80">
        <v>1</v>
      </c>
      <c r="I371" s="85" t="e">
        <f>_xll.qlRateHelperEarliestDate($B371,Trigger)</f>
        <v>#NUM!</v>
      </c>
      <c r="J371" s="86" t="e">
        <f>_xll.qlRateHelperLatestDate($B371,Trigger)</f>
        <v>#NUM!</v>
      </c>
      <c r="L371" s="84"/>
    </row>
    <row r="372" spans="2:12" x14ac:dyDescent="0.2">
      <c r="B372" s="183" t="str">
        <f>ForwardSwaps!K311</f>
        <v>obj_00773#0003</v>
      </c>
      <c r="C372" s="81" t="str">
        <f>_xll.qlRateHelperQuoteName(B372)</f>
        <v>EUR25F30Y_Quote</v>
      </c>
      <c r="D372" s="82">
        <f>_xll.qlRateHelperQuoteValue($B372,Trigger)</f>
        <v>1.6209999999999999E-2</v>
      </c>
      <c r="E372" s="82">
        <f>_xll.qlSwapRateHelperSpread($B372,Trigger)</f>
        <v>0</v>
      </c>
      <c r="F372" s="83" t="b">
        <v>1</v>
      </c>
      <c r="G372" s="83">
        <v>50</v>
      </c>
      <c r="H372" s="83">
        <v>1</v>
      </c>
      <c r="I372" s="87">
        <f>_xll.qlRateHelperEarliestDate($B372,Trigger)</f>
        <v>51319</v>
      </c>
      <c r="J372" s="88">
        <f>_xll.qlRateHelperLatestDate($B372,Trigger)</f>
        <v>62276</v>
      </c>
      <c r="L372" s="84"/>
    </row>
    <row r="373" spans="2:12" x14ac:dyDescent="0.2">
      <c r="B373" s="182">
        <f>ForwardSwaps!K312</f>
        <v>0</v>
      </c>
      <c r="C373" s="78" t="e">
        <f>_xll.qlRateHelperQuoteName(B373)</f>
        <v>#NUM!</v>
      </c>
      <c r="D373" s="79" t="e">
        <f>_xll.qlRateHelperQuoteValue($B373,Trigger)</f>
        <v>#NUM!</v>
      </c>
      <c r="E373" s="79" t="e">
        <f>_xll.qlSwapRateHelperSpread($B373,Trigger)</f>
        <v>#NUM!</v>
      </c>
      <c r="F373" s="80" t="b">
        <v>0</v>
      </c>
      <c r="G373" s="80">
        <v>50</v>
      </c>
      <c r="H373" s="80">
        <v>1</v>
      </c>
      <c r="I373" s="85" t="e">
        <f>_xll.qlRateHelperEarliestDate($B373,Trigger)</f>
        <v>#NUM!</v>
      </c>
      <c r="J373" s="86" t="e">
        <f>_xll.qlRateHelperLatestDate($B373,Trigger)</f>
        <v>#NUM!</v>
      </c>
      <c r="L373" s="84"/>
    </row>
    <row r="374" spans="2:12" x14ac:dyDescent="0.2">
      <c r="B374" s="182">
        <f>ForwardSwaps!K313</f>
        <v>0</v>
      </c>
      <c r="C374" s="78" t="e">
        <f>_xll.qlRateHelperQuoteName(B374)</f>
        <v>#NUM!</v>
      </c>
      <c r="D374" s="79" t="e">
        <f>_xll.qlRateHelperQuoteValue($B374,Trigger)</f>
        <v>#NUM!</v>
      </c>
      <c r="E374" s="79" t="e">
        <f>_xll.qlSwapRateHelperSpread($B374,Trigger)</f>
        <v>#NUM!</v>
      </c>
      <c r="F374" s="80" t="b">
        <v>0</v>
      </c>
      <c r="G374" s="80">
        <v>50</v>
      </c>
      <c r="H374" s="80">
        <v>1</v>
      </c>
      <c r="I374" s="85" t="e">
        <f>_xll.qlRateHelperEarliestDate($B374,Trigger)</f>
        <v>#NUM!</v>
      </c>
      <c r="J374" s="86" t="e">
        <f>_xll.qlRateHelperLatestDate($B374,Trigger)</f>
        <v>#NUM!</v>
      </c>
      <c r="L374" s="84"/>
    </row>
    <row r="375" spans="2:12" x14ac:dyDescent="0.2">
      <c r="B375" s="182">
        <f>ForwardSwaps!K314</f>
        <v>0</v>
      </c>
      <c r="C375" s="78" t="e">
        <f>_xll.qlRateHelperQuoteName(B375)</f>
        <v>#NUM!</v>
      </c>
      <c r="D375" s="79" t="e">
        <f>_xll.qlRateHelperQuoteValue($B375,Trigger)</f>
        <v>#NUM!</v>
      </c>
      <c r="E375" s="79" t="e">
        <f>_xll.qlSwapRateHelperSpread($B375,Trigger)</f>
        <v>#NUM!</v>
      </c>
      <c r="F375" s="80" t="b">
        <v>0</v>
      </c>
      <c r="G375" s="80">
        <v>50</v>
      </c>
      <c r="H375" s="80">
        <v>1</v>
      </c>
      <c r="I375" s="85" t="e">
        <f>_xll.qlRateHelperEarliestDate($B375,Trigger)</f>
        <v>#NUM!</v>
      </c>
      <c r="J375" s="86" t="e">
        <f>_xll.qlRateHelperLatestDate($B375,Trigger)</f>
        <v>#NUM!</v>
      </c>
      <c r="L375" s="84"/>
    </row>
    <row r="376" spans="2:12" x14ac:dyDescent="0.2">
      <c r="B376" s="182">
        <f>ForwardSwaps!K315</f>
        <v>0</v>
      </c>
      <c r="C376" s="78" t="e">
        <f>_xll.qlRateHelperQuoteName(B376)</f>
        <v>#NUM!</v>
      </c>
      <c r="D376" s="79" t="e">
        <f>_xll.qlRateHelperQuoteValue($B376,Trigger)</f>
        <v>#NUM!</v>
      </c>
      <c r="E376" s="79" t="e">
        <f>_xll.qlSwapRateHelperSpread($B376,Trigger)</f>
        <v>#NUM!</v>
      </c>
      <c r="F376" s="80" t="b">
        <v>0</v>
      </c>
      <c r="G376" s="80">
        <v>50</v>
      </c>
      <c r="H376" s="80">
        <v>1</v>
      </c>
      <c r="I376" s="85" t="e">
        <f>_xll.qlRateHelperEarliestDate($B376,Trigger)</f>
        <v>#NUM!</v>
      </c>
      <c r="J376" s="86" t="e">
        <f>_xll.qlRateHelperLatestDate($B376,Trigger)</f>
        <v>#NUM!</v>
      </c>
      <c r="L376" s="84"/>
    </row>
    <row r="377" spans="2:12" x14ac:dyDescent="0.2">
      <c r="B377" s="182">
        <f>ForwardSwaps!K316</f>
        <v>0</v>
      </c>
      <c r="C377" s="78" t="e">
        <f>_xll.qlRateHelperQuoteName(B377)</f>
        <v>#NUM!</v>
      </c>
      <c r="D377" s="79" t="e">
        <f>_xll.qlRateHelperQuoteValue($B377,Trigger)</f>
        <v>#NUM!</v>
      </c>
      <c r="E377" s="79" t="e">
        <f>_xll.qlSwapRateHelperSpread($B377,Trigger)</f>
        <v>#NUM!</v>
      </c>
      <c r="F377" s="80" t="b">
        <v>0</v>
      </c>
      <c r="G377" s="80">
        <v>50</v>
      </c>
      <c r="H377" s="80">
        <v>1</v>
      </c>
      <c r="I377" s="85" t="e">
        <f>_xll.qlRateHelperEarliestDate($B377,Trigger)</f>
        <v>#NUM!</v>
      </c>
      <c r="J377" s="86" t="e">
        <f>_xll.qlRateHelperLatestDate($B377,Trigger)</f>
        <v>#NUM!</v>
      </c>
      <c r="L377" s="84"/>
    </row>
    <row r="378" spans="2:12" x14ac:dyDescent="0.2">
      <c r="B378" s="182">
        <f>ForwardSwaps!K317</f>
        <v>0</v>
      </c>
      <c r="C378" s="78" t="e">
        <f>_xll.qlRateHelperQuoteName(B378)</f>
        <v>#NUM!</v>
      </c>
      <c r="D378" s="79" t="e">
        <f>_xll.qlRateHelperQuoteValue($B378,Trigger)</f>
        <v>#NUM!</v>
      </c>
      <c r="E378" s="79" t="e">
        <f>_xll.qlSwapRateHelperSpread($B378,Trigger)</f>
        <v>#NUM!</v>
      </c>
      <c r="F378" s="80" t="b">
        <v>0</v>
      </c>
      <c r="G378" s="80">
        <v>50</v>
      </c>
      <c r="H378" s="80">
        <v>1</v>
      </c>
      <c r="I378" s="85" t="e">
        <f>_xll.qlRateHelperEarliestDate($B378,Trigger)</f>
        <v>#NUM!</v>
      </c>
      <c r="J378" s="86" t="e">
        <f>_xll.qlRateHelperLatestDate($B378,Trigger)</f>
        <v>#NUM!</v>
      </c>
      <c r="L378" s="84"/>
    </row>
    <row r="379" spans="2:12" x14ac:dyDescent="0.2">
      <c r="B379" s="182">
        <f>ForwardSwaps!K318</f>
        <v>0</v>
      </c>
      <c r="C379" s="78" t="e">
        <f>_xll.qlRateHelperQuoteName(B379)</f>
        <v>#NUM!</v>
      </c>
      <c r="D379" s="79" t="e">
        <f>_xll.qlRateHelperQuoteValue($B379,Trigger)</f>
        <v>#NUM!</v>
      </c>
      <c r="E379" s="79" t="e">
        <f>_xll.qlSwapRateHelperSpread($B379,Trigger)</f>
        <v>#NUM!</v>
      </c>
      <c r="F379" s="80" t="b">
        <v>0</v>
      </c>
      <c r="G379" s="80">
        <v>50</v>
      </c>
      <c r="H379" s="80">
        <v>1</v>
      </c>
      <c r="I379" s="85" t="e">
        <f>_xll.qlRateHelperEarliestDate($B379,Trigger)</f>
        <v>#NUM!</v>
      </c>
      <c r="J379" s="86" t="e">
        <f>_xll.qlRateHelperLatestDate($B379,Trigger)</f>
        <v>#NUM!</v>
      </c>
      <c r="L379" s="84"/>
    </row>
    <row r="380" spans="2:12" x14ac:dyDescent="0.2">
      <c r="B380" s="182">
        <f>ForwardSwaps!K319</f>
        <v>0</v>
      </c>
      <c r="C380" s="78" t="e">
        <f>_xll.qlRateHelperQuoteName(B380)</f>
        <v>#NUM!</v>
      </c>
      <c r="D380" s="79" t="e">
        <f>_xll.qlRateHelperQuoteValue($B380,Trigger)</f>
        <v>#NUM!</v>
      </c>
      <c r="E380" s="79" t="e">
        <f>_xll.qlSwapRateHelperSpread($B380,Trigger)</f>
        <v>#NUM!</v>
      </c>
      <c r="F380" s="80" t="b">
        <v>0</v>
      </c>
      <c r="G380" s="80">
        <v>50</v>
      </c>
      <c r="H380" s="80">
        <v>1</v>
      </c>
      <c r="I380" s="85" t="e">
        <f>_xll.qlRateHelperEarliestDate($B380,Trigger)</f>
        <v>#NUM!</v>
      </c>
      <c r="J380" s="86" t="e">
        <f>_xll.qlRateHelperLatestDate($B380,Trigger)</f>
        <v>#NUM!</v>
      </c>
      <c r="L380" s="84"/>
    </row>
    <row r="381" spans="2:12" x14ac:dyDescent="0.2">
      <c r="B381" s="182">
        <f>ForwardSwaps!K320</f>
        <v>0</v>
      </c>
      <c r="C381" s="78" t="e">
        <f>_xll.qlRateHelperQuoteName(B381)</f>
        <v>#NUM!</v>
      </c>
      <c r="D381" s="79" t="e">
        <f>_xll.qlRateHelperQuoteValue($B381,Trigger)</f>
        <v>#NUM!</v>
      </c>
      <c r="E381" s="79" t="e">
        <f>_xll.qlSwapRateHelperSpread($B381,Trigger)</f>
        <v>#NUM!</v>
      </c>
      <c r="F381" s="80" t="b">
        <v>0</v>
      </c>
      <c r="G381" s="80">
        <v>50</v>
      </c>
      <c r="H381" s="80">
        <v>1</v>
      </c>
      <c r="I381" s="85" t="e">
        <f>_xll.qlRateHelperEarliestDate($B381,Trigger)</f>
        <v>#NUM!</v>
      </c>
      <c r="J381" s="86" t="e">
        <f>_xll.qlRateHelperLatestDate($B381,Trigger)</f>
        <v>#NUM!</v>
      </c>
      <c r="L381" s="84"/>
    </row>
    <row r="382" spans="2:12" x14ac:dyDescent="0.2">
      <c r="B382" s="182">
        <f>ForwardSwaps!K321</f>
        <v>0</v>
      </c>
      <c r="C382" s="78" t="e">
        <f>_xll.qlRateHelperQuoteName(B382)</f>
        <v>#NUM!</v>
      </c>
      <c r="D382" s="79" t="e">
        <f>_xll.qlRateHelperQuoteValue($B382,Trigger)</f>
        <v>#NUM!</v>
      </c>
      <c r="E382" s="79" t="e">
        <f>_xll.qlSwapRateHelperSpread($B382,Trigger)</f>
        <v>#NUM!</v>
      </c>
      <c r="F382" s="80" t="b">
        <v>0</v>
      </c>
      <c r="G382" s="80">
        <v>50</v>
      </c>
      <c r="H382" s="80">
        <v>1</v>
      </c>
      <c r="I382" s="85" t="e">
        <f>_xll.qlRateHelperEarliestDate($B382,Trigger)</f>
        <v>#NUM!</v>
      </c>
      <c r="J382" s="86" t="e">
        <f>_xll.qlRateHelperLatestDate($B382,Trigger)</f>
        <v>#NUM!</v>
      </c>
      <c r="L382" s="84"/>
    </row>
    <row r="383" spans="2:12" x14ac:dyDescent="0.2">
      <c r="B383" s="182">
        <f>ForwardSwaps!K322</f>
        <v>0</v>
      </c>
      <c r="C383" s="78" t="e">
        <f>_xll.qlRateHelperQuoteName(B383)</f>
        <v>#NUM!</v>
      </c>
      <c r="D383" s="79" t="e">
        <f>_xll.qlRateHelperQuoteValue($B383,Trigger)</f>
        <v>#NUM!</v>
      </c>
      <c r="E383" s="79" t="e">
        <f>_xll.qlSwapRateHelperSpread($B383,Trigger)</f>
        <v>#NUM!</v>
      </c>
      <c r="F383" s="80" t="b">
        <v>0</v>
      </c>
      <c r="G383" s="80">
        <v>50</v>
      </c>
      <c r="H383" s="80">
        <v>1</v>
      </c>
      <c r="I383" s="85" t="e">
        <f>_xll.qlRateHelperEarliestDate($B383,Trigger)</f>
        <v>#NUM!</v>
      </c>
      <c r="J383" s="86" t="e">
        <f>_xll.qlRateHelperLatestDate($B383,Trigger)</f>
        <v>#NUM!</v>
      </c>
      <c r="L383" s="84"/>
    </row>
    <row r="384" spans="2:12" x14ac:dyDescent="0.2">
      <c r="B384" s="182">
        <f>ForwardSwaps!K323</f>
        <v>0</v>
      </c>
      <c r="C384" s="78" t="e">
        <f>_xll.qlRateHelperQuoteName(B384)</f>
        <v>#NUM!</v>
      </c>
      <c r="D384" s="79" t="e">
        <f>_xll.qlRateHelperQuoteValue($B384,Trigger)</f>
        <v>#NUM!</v>
      </c>
      <c r="E384" s="79" t="e">
        <f>_xll.qlSwapRateHelperSpread($B384,Trigger)</f>
        <v>#NUM!</v>
      </c>
      <c r="F384" s="80" t="b">
        <v>0</v>
      </c>
      <c r="G384" s="80">
        <v>50</v>
      </c>
      <c r="H384" s="80">
        <v>1</v>
      </c>
      <c r="I384" s="85" t="e">
        <f>_xll.qlRateHelperEarliestDate($B384,Trigger)</f>
        <v>#NUM!</v>
      </c>
      <c r="J384" s="86" t="e">
        <f>_xll.qlRateHelperLatestDate($B384,Trigger)</f>
        <v>#NUM!</v>
      </c>
      <c r="L384" s="84"/>
    </row>
    <row r="385" spans="2:12" x14ac:dyDescent="0.2">
      <c r="B385" s="182">
        <f>ForwardSwaps!K324</f>
        <v>0</v>
      </c>
      <c r="C385" s="78" t="e">
        <f>_xll.qlRateHelperQuoteName(B385)</f>
        <v>#NUM!</v>
      </c>
      <c r="D385" s="79" t="e">
        <f>_xll.qlRateHelperQuoteValue($B385,Trigger)</f>
        <v>#NUM!</v>
      </c>
      <c r="E385" s="79" t="e">
        <f>_xll.qlSwapRateHelperSpread($B385,Trigger)</f>
        <v>#NUM!</v>
      </c>
      <c r="F385" s="80" t="b">
        <v>0</v>
      </c>
      <c r="G385" s="80">
        <v>50</v>
      </c>
      <c r="H385" s="80">
        <v>1</v>
      </c>
      <c r="I385" s="85" t="e">
        <f>_xll.qlRateHelperEarliestDate($B385,Trigger)</f>
        <v>#NUM!</v>
      </c>
      <c r="J385" s="86" t="e">
        <f>_xll.qlRateHelperLatestDate($B385,Trigger)</f>
        <v>#NUM!</v>
      </c>
      <c r="L385" s="84"/>
    </row>
    <row r="386" spans="2:12" x14ac:dyDescent="0.2">
      <c r="B386" s="182">
        <f>ForwardSwaps!K325</f>
        <v>0</v>
      </c>
      <c r="C386" s="78" t="e">
        <f>_xll.qlRateHelperQuoteName(B386)</f>
        <v>#NUM!</v>
      </c>
      <c r="D386" s="79" t="e">
        <f>_xll.qlRateHelperQuoteValue($B386,Trigger)</f>
        <v>#NUM!</v>
      </c>
      <c r="E386" s="79" t="e">
        <f>_xll.qlSwapRateHelperSpread($B386,Trigger)</f>
        <v>#NUM!</v>
      </c>
      <c r="F386" s="80" t="b">
        <v>0</v>
      </c>
      <c r="G386" s="80">
        <v>50</v>
      </c>
      <c r="H386" s="80">
        <v>1</v>
      </c>
      <c r="I386" s="85" t="e">
        <f>_xll.qlRateHelperEarliestDate($B386,Trigger)</f>
        <v>#NUM!</v>
      </c>
      <c r="J386" s="86" t="e">
        <f>_xll.qlRateHelperLatestDate($B386,Trigger)</f>
        <v>#NUM!</v>
      </c>
      <c r="L386" s="84"/>
    </row>
    <row r="387" spans="2:12" x14ac:dyDescent="0.2">
      <c r="B387" s="182">
        <f>ForwardSwaps!K326</f>
        <v>0</v>
      </c>
      <c r="C387" s="78" t="e">
        <f>_xll.qlRateHelperQuoteName(B387)</f>
        <v>#NUM!</v>
      </c>
      <c r="D387" s="79" t="e">
        <f>_xll.qlRateHelperQuoteValue($B387,Trigger)</f>
        <v>#NUM!</v>
      </c>
      <c r="E387" s="79" t="e">
        <f>_xll.qlSwapRateHelperSpread($B387,Trigger)</f>
        <v>#NUM!</v>
      </c>
      <c r="F387" s="80" t="b">
        <v>0</v>
      </c>
      <c r="G387" s="80">
        <v>50</v>
      </c>
      <c r="H387" s="80">
        <v>1</v>
      </c>
      <c r="I387" s="85" t="e">
        <f>_xll.qlRateHelperEarliestDate($B387,Trigger)</f>
        <v>#NUM!</v>
      </c>
      <c r="J387" s="86" t="e">
        <f>_xll.qlRateHelperLatestDate($B387,Trigger)</f>
        <v>#NUM!</v>
      </c>
      <c r="L387" s="84"/>
    </row>
    <row r="388" spans="2:12" x14ac:dyDescent="0.2">
      <c r="B388" s="182">
        <f>ForwardSwaps!K327</f>
        <v>0</v>
      </c>
      <c r="C388" s="78" t="e">
        <f>_xll.qlRateHelperQuoteName(B388)</f>
        <v>#NUM!</v>
      </c>
      <c r="D388" s="79" t="e">
        <f>_xll.qlRateHelperQuoteValue($B388,Trigger)</f>
        <v>#NUM!</v>
      </c>
      <c r="E388" s="79" t="e">
        <f>_xll.qlSwapRateHelperSpread($B388,Trigger)</f>
        <v>#NUM!</v>
      </c>
      <c r="F388" s="80" t="b">
        <v>0</v>
      </c>
      <c r="G388" s="80">
        <v>50</v>
      </c>
      <c r="H388" s="80">
        <v>1</v>
      </c>
      <c r="I388" s="85" t="e">
        <f>_xll.qlRateHelperEarliestDate($B388,Trigger)</f>
        <v>#NUM!</v>
      </c>
      <c r="J388" s="86" t="e">
        <f>_xll.qlRateHelperLatestDate($B388,Trigger)</f>
        <v>#NUM!</v>
      </c>
      <c r="L388" s="84"/>
    </row>
    <row r="389" spans="2:12" x14ac:dyDescent="0.2">
      <c r="B389" s="182">
        <f>ForwardSwaps!K328</f>
        <v>0</v>
      </c>
      <c r="C389" s="78" t="e">
        <f>_xll.qlRateHelperQuoteName(B389)</f>
        <v>#NUM!</v>
      </c>
      <c r="D389" s="79" t="e">
        <f>_xll.qlRateHelperQuoteValue($B389,Trigger)</f>
        <v>#NUM!</v>
      </c>
      <c r="E389" s="79" t="e">
        <f>_xll.qlSwapRateHelperSpread($B389,Trigger)</f>
        <v>#NUM!</v>
      </c>
      <c r="F389" s="80" t="b">
        <v>0</v>
      </c>
      <c r="G389" s="80">
        <v>50</v>
      </c>
      <c r="H389" s="80">
        <v>1</v>
      </c>
      <c r="I389" s="85" t="e">
        <f>_xll.qlRateHelperEarliestDate($B389,Trigger)</f>
        <v>#NUM!</v>
      </c>
      <c r="J389" s="86" t="e">
        <f>_xll.qlRateHelperLatestDate($B389,Trigger)</f>
        <v>#NUM!</v>
      </c>
      <c r="L389" s="84"/>
    </row>
    <row r="390" spans="2:12" x14ac:dyDescent="0.2">
      <c r="B390" s="183">
        <f>ForwardSwaps!K329</f>
        <v>0</v>
      </c>
      <c r="C390" s="81" t="e">
        <f>_xll.qlRateHelperQuoteName(B390)</f>
        <v>#NUM!</v>
      </c>
      <c r="D390" s="82" t="e">
        <f>_xll.qlRateHelperQuoteValue($B390,Trigger)</f>
        <v>#NUM!</v>
      </c>
      <c r="E390" s="82" t="e">
        <f>_xll.qlSwapRateHelperSpread($B390,Trigger)</f>
        <v>#NUM!</v>
      </c>
      <c r="F390" s="83" t="b">
        <v>0</v>
      </c>
      <c r="G390" s="83">
        <v>50</v>
      </c>
      <c r="H390" s="83">
        <v>1</v>
      </c>
      <c r="I390" s="87" t="e">
        <f>_xll.qlRateHelperEarliestDate($B390,Trigger)</f>
        <v>#NUM!</v>
      </c>
      <c r="J390" s="88" t="e">
        <f>_xll.qlRateHelperLatestDate($B390,Trigger)</f>
        <v>#NUM!</v>
      </c>
      <c r="L390" s="8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17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20" t="s">
        <v>53</v>
      </c>
      <c r="B1" s="321"/>
      <c r="D1" s="149" t="s">
        <v>52</v>
      </c>
      <c r="E1" s="175" t="s">
        <v>157</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obj_007b3</v>
      </c>
      <c r="E2" s="176" t="str">
        <f>_xll.qlRateHelperQuoteName($D2)</f>
        <v>EUR1MD_SYNTH6M_Quote</v>
      </c>
      <c r="F2" s="10">
        <f>_xll.qlRateHelperRate($D2)</f>
        <v>-1.6699999999999999E-4</v>
      </c>
      <c r="G2" s="10" t="str">
        <f>IF(ISERROR(_xll.qlSwapRateHelperSpread($D2)),IF(ISERROR(_xll.qlFuturesRateHelperConvexityAdjustment($D2)),"--",_xll.qlFuturesRateHelperConvexityAdjustment($D2)),_xll.qlSwapRateHelperSpread($D2))</f>
        <v>--</v>
      </c>
      <c r="H2" s="9">
        <f>_xll.qlRateHelperEarliestDate($D2)</f>
        <v>42187</v>
      </c>
      <c r="I2" s="8">
        <f>_xll.qlRateHelperLatestDate($D2)</f>
        <v>42219</v>
      </c>
      <c r="J2" s="3">
        <v>1.0000148446648052</v>
      </c>
    </row>
    <row r="3" spans="1:10" x14ac:dyDescent="0.2">
      <c r="A3" s="12" t="s">
        <v>49</v>
      </c>
      <c r="B3" s="14">
        <v>1</v>
      </c>
      <c r="D3" s="11" t="str">
        <v>obj_007b4</v>
      </c>
      <c r="E3" s="176" t="str">
        <f>_xll.qlRateHelperQuoteName($D3)</f>
        <v>EUR2MD_SYNTH6M_Quote</v>
      </c>
      <c r="F3" s="10">
        <f>_xll.qlRateHelperRate($D3)</f>
        <v>1.7E-5</v>
      </c>
      <c r="G3" s="10" t="str">
        <f>IF(ISERROR(_xll.qlSwapRateHelperSpread($D3)),IF(ISERROR(_xll.qlFuturesRateHelperConvexityAdjustment($D3)),"--",_xll.qlFuturesRateHelperConvexityAdjustment($D3)),_xll.qlSwapRateHelperSpread($D3))</f>
        <v>--</v>
      </c>
      <c r="H3" s="9">
        <f>_xll.qlRateHelperEarliestDate($D3)</f>
        <v>42187</v>
      </c>
      <c r="I3" s="8">
        <f>_xll.qlRateHelperLatestDate($D3)</f>
        <v>42249</v>
      </c>
      <c r="J3" s="3">
        <v>0.99999707223079404</v>
      </c>
    </row>
    <row r="4" spans="1:10" x14ac:dyDescent="0.2">
      <c r="A4" s="12" t="s">
        <v>48</v>
      </c>
      <c r="B4" s="14">
        <v>2</v>
      </c>
      <c r="D4" s="11" t="str">
        <v>obj_007af</v>
      </c>
      <c r="E4" s="176" t="str">
        <f>_xll.qlRateHelperQuoteName($D4)</f>
        <v>EUR3MD_SYNTH6M_Quote</v>
      </c>
      <c r="F4" s="10">
        <f>_xll.qlRateHelperRate($D4)</f>
        <v>1.4999999999999999E-4</v>
      </c>
      <c r="G4" s="10" t="str">
        <f>IF(ISERROR(_xll.qlSwapRateHelperSpread($D4)),IF(ISERROR(_xll.qlFuturesRateHelperConvexityAdjustment($D4)),"--",_xll.qlFuturesRateHelperConvexityAdjustment($D4)),_xll.qlSwapRateHelperSpread($D4))</f>
        <v>--</v>
      </c>
      <c r="H4" s="9">
        <f>_xll.qlRateHelperEarliestDate($D4)</f>
        <v>42187</v>
      </c>
      <c r="I4" s="8">
        <f>_xll.qlRateHelperLatestDate($D4)</f>
        <v>42279</v>
      </c>
      <c r="J4" s="3">
        <v>0.9999616681360548</v>
      </c>
    </row>
    <row r="5" spans="1:10" x14ac:dyDescent="0.2">
      <c r="A5" s="12" t="s">
        <v>47</v>
      </c>
      <c r="B5" s="13" t="s">
        <v>46</v>
      </c>
      <c r="D5" s="11" t="str">
        <v>obj_007b2</v>
      </c>
      <c r="E5" s="176" t="str">
        <f>_xll.qlRateHelperQuoteName($D5)</f>
        <v>EUR4MD_SYNTH6M_Quote</v>
      </c>
      <c r="F5" s="10">
        <f>_xll.qlRateHelperRate($D5)</f>
        <v>2.61E-4</v>
      </c>
      <c r="G5" s="10" t="str">
        <f>IF(ISERROR(_xll.qlSwapRateHelperSpread($D5)),IF(ISERROR(_xll.qlFuturesRateHelperConvexityAdjustment($D5)),"--",_xll.qlFuturesRateHelperConvexityAdjustment($D5)),_xll.qlSwapRateHelperSpread($D5))</f>
        <v>--</v>
      </c>
      <c r="H5" s="9">
        <f>_xll.qlRateHelperEarliestDate($D5)</f>
        <v>42187</v>
      </c>
      <c r="I5" s="8">
        <f>_xll.qlRateHelperLatestDate($D5)</f>
        <v>42310</v>
      </c>
      <c r="J5" s="3">
        <v>0.99991083295147154</v>
      </c>
    </row>
    <row r="6" spans="1:10" x14ac:dyDescent="0.2">
      <c r="A6" s="50"/>
      <c r="B6" s="50"/>
      <c r="D6" s="11" t="str">
        <v>obj_007ad</v>
      </c>
      <c r="E6" s="176" t="str">
        <f>_xll.qlRateHelperQuoteName($D6)</f>
        <v>EUR5MD_SYNTH6M_Quote</v>
      </c>
      <c r="F6" s="10">
        <f>_xll.qlRateHelperRate($D6)</f>
        <v>3.5799999999999997E-4</v>
      </c>
      <c r="G6" s="10" t="str">
        <f>IF(ISERROR(_xll.qlSwapRateHelperSpread($D6)),IF(ISERROR(_xll.qlFuturesRateHelperConvexityAdjustment($D6)),"--",_xll.qlFuturesRateHelperConvexityAdjustment($D6)),_xll.qlSwapRateHelperSpread($D6))</f>
        <v>--</v>
      </c>
      <c r="H6" s="9">
        <f>_xll.qlRateHelperEarliestDate($D6)</f>
        <v>42187</v>
      </c>
      <c r="I6" s="8">
        <f>_xll.qlRateHelperLatestDate($D6)</f>
        <v>42340</v>
      </c>
      <c r="J6" s="3">
        <v>0.99985347232554578</v>
      </c>
    </row>
    <row r="7" spans="1:10" x14ac:dyDescent="0.2">
      <c r="A7" s="50"/>
      <c r="B7" s="50"/>
      <c r="D7" s="11" t="str">
        <v>obj_007b0</v>
      </c>
      <c r="E7" s="176" t="str">
        <f>_xll.qlRateHelperQuoteName($D7)</f>
        <v>EUR6MD_SYNTH6M_Quote</v>
      </c>
      <c r="F7" s="10">
        <f>_xll.qlRateHelperRate($D7)</f>
        <v>4.4000000000000002E-4</v>
      </c>
      <c r="G7" s="10" t="str">
        <f>IF(ISERROR(_xll.qlSwapRateHelperSpread($D7)),IF(ISERROR(_xll.qlFuturesRateHelperConvexityAdjustment($D7)),"--",_xll.qlFuturesRateHelperConvexityAdjustment($D7)),_xll.qlSwapRateHelperSpread($D7))</f>
        <v>--</v>
      </c>
      <c r="H7" s="9">
        <f>_xll.qlRateHelperEarliestDate($D7)</f>
        <v>42187</v>
      </c>
      <c r="I7" s="8">
        <f>_xll.qlRateHelperLatestDate($D7)</f>
        <v>42373</v>
      </c>
      <c r="J7" s="3">
        <v>0.99977831709394072</v>
      </c>
    </row>
    <row r="8" spans="1:10" x14ac:dyDescent="0.2">
      <c r="A8" s="50"/>
      <c r="B8" s="50"/>
      <c r="D8" s="11" t="str">
        <v>obj_00777</v>
      </c>
      <c r="E8" s="176" t="str">
        <f>_xll.qlRateHelperQuoteName($D8)</f>
        <v>EUR1x7F_Quote</v>
      </c>
      <c r="F8" s="10">
        <f>_xll.qlRateHelperRate($D8)</f>
        <v>6.7000000000000002E-4</v>
      </c>
      <c r="G8" s="10" t="str">
        <f>IF(ISERROR(_xll.qlSwapRateHelperSpread($D8)),IF(ISERROR(_xll.qlFuturesRateHelperConvexityAdjustment($D8)),"--",_xll.qlFuturesRateHelperConvexityAdjustment($D8)),_xll.qlSwapRateHelperSpread($D8))</f>
        <v>--</v>
      </c>
      <c r="H8" s="9">
        <f>_xll.qlRateHelperEarliestDate($D8)</f>
        <v>42219</v>
      </c>
      <c r="I8" s="8">
        <f>_xll.qlRateHelperLatestDate($D8)</f>
        <v>42403</v>
      </c>
      <c r="J8" s="3">
        <v>0.99967811056410072</v>
      </c>
    </row>
    <row r="9" spans="1:10" x14ac:dyDescent="0.2">
      <c r="A9" s="50"/>
      <c r="D9" s="11" t="str">
        <v>obj_00779</v>
      </c>
      <c r="E9" s="176" t="str">
        <f>_xll.qlRateHelperQuoteName($D9)</f>
        <v>EUR2x8F_Quote</v>
      </c>
      <c r="F9" s="10">
        <f>_xll.qlRateHelperRate($D9)</f>
        <v>7.6000000000000015E-4</v>
      </c>
      <c r="G9" s="10" t="str">
        <f>IF(ISERROR(_xll.qlSwapRateHelperSpread($D9)),IF(ISERROR(_xll.qlFuturesRateHelperConvexityAdjustment($D9)),"--",_xll.qlFuturesRateHelperConvexityAdjustment($D9)),_xll.qlSwapRateHelperSpread($D9))</f>
        <v>--</v>
      </c>
      <c r="H9" s="9">
        <f>_xll.qlRateHelperEarliestDate($D9)</f>
        <v>42249</v>
      </c>
      <c r="I9" s="8">
        <f>_xll.qlRateHelperLatestDate($D9)</f>
        <v>42431</v>
      </c>
      <c r="J9" s="3">
        <v>0.99961859656721086</v>
      </c>
    </row>
    <row r="10" spans="1:10" x14ac:dyDescent="0.2">
      <c r="D10" s="11" t="str">
        <v>obj_00786</v>
      </c>
      <c r="E10" s="176" t="str">
        <f>_xll.qlRateHelperQuoteName($D10)</f>
        <v>EUR3x9F_Quote</v>
      </c>
      <c r="F10" s="10">
        <f>_xll.qlRateHelperRate($D10)</f>
        <v>8.4000000000000014E-4</v>
      </c>
      <c r="G10" s="10" t="str">
        <f>IF(ISERROR(_xll.qlSwapRateHelperSpread($D10)),IF(ISERROR(_xll.qlFuturesRateHelperConvexityAdjustment($D10)),"--",_xll.qlFuturesRateHelperConvexityAdjustment($D10)),_xll.qlSwapRateHelperSpread($D10))</f>
        <v>--</v>
      </c>
      <c r="H10" s="9">
        <f>_xll.qlRateHelperEarliestDate($D10)</f>
        <v>42279</v>
      </c>
      <c r="I10" s="8">
        <f>_xll.qlRateHelperLatestDate($D10)</f>
        <v>42464</v>
      </c>
      <c r="J10" s="3">
        <v>0.99953580166503664</v>
      </c>
    </row>
    <row r="11" spans="1:10" x14ac:dyDescent="0.2">
      <c r="D11" s="11" t="str">
        <v>obj_0077d</v>
      </c>
      <c r="E11" s="176" t="str">
        <f>_xll.qlRateHelperQuoteName($D11)</f>
        <v>EUR4x10F_Quote</v>
      </c>
      <c r="F11" s="10">
        <f>_xll.qlRateHelperRate($D11)</f>
        <v>8.8999999999999995E-4</v>
      </c>
      <c r="G11" s="10" t="str">
        <f>IF(ISERROR(_xll.qlSwapRateHelperSpread($D11)),IF(ISERROR(_xll.qlFuturesRateHelperConvexityAdjustment($D11)),"--",_xll.qlFuturesRateHelperConvexityAdjustment($D11)),_xll.qlSwapRateHelperSpread($D11))</f>
        <v>--</v>
      </c>
      <c r="H11" s="9">
        <f>_xll.qlRateHelperEarliestDate($D11)</f>
        <v>42310</v>
      </c>
      <c r="I11" s="8">
        <f>_xll.qlRateHelperLatestDate($D11)</f>
        <v>42492</v>
      </c>
      <c r="J11" s="3">
        <v>0.99946672798183089</v>
      </c>
    </row>
    <row r="12" spans="1:10" x14ac:dyDescent="0.2">
      <c r="D12" s="11" t="str">
        <v>obj_0077e</v>
      </c>
      <c r="E12" s="176" t="str">
        <f>_xll.qlRateHelperQuoteName($D12)</f>
        <v>EUR5x11F_Quote</v>
      </c>
      <c r="F12" s="10">
        <f>_xll.qlRateHelperRate($D12)</f>
        <v>9.2999999999999995E-4</v>
      </c>
      <c r="G12" s="10" t="str">
        <f>IF(ISERROR(_xll.qlSwapRateHelperSpread($D12)),IF(ISERROR(_xll.qlFuturesRateHelperConvexityAdjustment($D12)),"--",_xll.qlFuturesRateHelperConvexityAdjustment($D12)),_xll.qlSwapRateHelperSpread($D12))</f>
        <v>--</v>
      </c>
      <c r="H12" s="9">
        <f>_xll.qlRateHelperEarliestDate($D12)</f>
        <v>42340</v>
      </c>
      <c r="I12" s="8">
        <f>_xll.qlRateHelperLatestDate($D12)</f>
        <v>42523</v>
      </c>
      <c r="J12" s="3">
        <v>0.99938101495072773</v>
      </c>
    </row>
    <row r="13" spans="1:10" x14ac:dyDescent="0.2">
      <c r="D13" s="11" t="str">
        <v>obj_0077b</v>
      </c>
      <c r="E13" s="176" t="str">
        <f>_xll.qlRateHelperQuoteName($D13)</f>
        <v>EUR6x12F_Quote</v>
      </c>
      <c r="F13" s="10">
        <f>_xll.qlRateHelperRate($D13)</f>
        <v>9.7999999999999997E-4</v>
      </c>
      <c r="G13" s="10" t="str">
        <f>IF(ISERROR(_xll.qlSwapRateHelperSpread($D13)),IF(ISERROR(_xll.qlFuturesRateHelperConvexityAdjustment($D13)),"--",_xll.qlFuturesRateHelperConvexityAdjustment($D13)),_xll.qlSwapRateHelperSpread($D13))</f>
        <v>--</v>
      </c>
      <c r="H13" s="9">
        <f>_xll.qlRateHelperEarliestDate($D13)</f>
        <v>42373</v>
      </c>
      <c r="I13" s="8">
        <f>_xll.qlRateHelperLatestDate($D13)</f>
        <v>42555</v>
      </c>
      <c r="J13" s="3">
        <v>0.99928322777031542</v>
      </c>
    </row>
    <row r="14" spans="1:10" x14ac:dyDescent="0.2">
      <c r="D14" s="11" t="str">
        <v>obj_00781</v>
      </c>
      <c r="E14" s="176" t="str">
        <f>_xll.qlRateHelperQuoteName($D14)</f>
        <v>EUR7x13F_Quote</v>
      </c>
      <c r="F14" s="10">
        <f>_xll.qlRateHelperRate($D14)</f>
        <v>1.0200000000000001E-3</v>
      </c>
      <c r="G14" s="10" t="str">
        <f>IF(ISERROR(_xll.qlSwapRateHelperSpread($D14)),IF(ISERROR(_xll.qlFuturesRateHelperConvexityAdjustment($D14)),"--",_xll.qlFuturesRateHelperConvexityAdjustment($D14)),_xll.qlSwapRateHelperSpread($D14))</f>
        <v>--</v>
      </c>
      <c r="H14" s="9">
        <f>_xll.qlRateHelperEarliestDate($D14)</f>
        <v>42402</v>
      </c>
      <c r="I14" s="8">
        <f>_xll.qlRateHelperLatestDate($D14)</f>
        <v>42584</v>
      </c>
      <c r="J14" s="3">
        <v>0.99916570006546701</v>
      </c>
    </row>
    <row r="15" spans="1:10" x14ac:dyDescent="0.2">
      <c r="D15" s="11" t="str">
        <v>obj_00783</v>
      </c>
      <c r="E15" s="176" t="str">
        <f>_xll.qlRateHelperQuoteName($D15)</f>
        <v>EUR8x14F_Quote</v>
      </c>
      <c r="F15" s="10">
        <f>_xll.qlRateHelperRate($D15)</f>
        <v>1.0500000000000002E-3</v>
      </c>
      <c r="G15" s="10" t="str">
        <f>IF(ISERROR(_xll.qlSwapRateHelperSpread($D15)),IF(ISERROR(_xll.qlFuturesRateHelperConvexityAdjustment($D15)),"--",_xll.qlFuturesRateHelperConvexityAdjustment($D15)),_xll.qlSwapRateHelperSpread($D15))</f>
        <v>--</v>
      </c>
      <c r="H15" s="9">
        <f>_xll.qlRateHelperEarliestDate($D15)</f>
        <v>42431</v>
      </c>
      <c r="I15" s="8">
        <f>_xll.qlRateHelperLatestDate($D15)</f>
        <v>42615</v>
      </c>
      <c r="J15" s="3">
        <v>0.99908242233389177</v>
      </c>
    </row>
    <row r="16" spans="1:10" x14ac:dyDescent="0.2">
      <c r="D16" s="11" t="str">
        <v>obj_00785</v>
      </c>
      <c r="E16" s="176" t="str">
        <f>_xll.qlRateHelperQuoteName($D16)</f>
        <v>EUR9x15F_Quote</v>
      </c>
      <c r="F16" s="10">
        <f>_xll.qlRateHelperRate($D16)</f>
        <v>1.1000000000000001E-3</v>
      </c>
      <c r="G16" s="10" t="str">
        <f>IF(ISERROR(_xll.qlSwapRateHelperSpread($D16)),IF(ISERROR(_xll.qlFuturesRateHelperConvexityAdjustment($D16)),"--",_xll.qlFuturesRateHelperConvexityAdjustment($D16)),_xll.qlSwapRateHelperSpread($D16))</f>
        <v>--</v>
      </c>
      <c r="H16" s="9">
        <f>_xll.qlRateHelperEarliestDate($D16)</f>
        <v>42464</v>
      </c>
      <c r="I16" s="8">
        <f>_xll.qlRateHelperLatestDate($D16)</f>
        <v>42647</v>
      </c>
      <c r="J16" s="3">
        <v>0.99897720691017278</v>
      </c>
    </row>
    <row r="17" spans="4:10" x14ac:dyDescent="0.2">
      <c r="D17" s="11" t="str">
        <v>obj_0077a</v>
      </c>
      <c r="E17" s="176" t="str">
        <f>_xll.qlRateHelperQuoteName($D17)</f>
        <v>EUR10x16F_Quote</v>
      </c>
      <c r="F17" s="10">
        <f>_xll.qlRateHelperRate($D17)</f>
        <v>1.16E-3</v>
      </c>
      <c r="G17" s="10" t="str">
        <f>IF(ISERROR(_xll.qlSwapRateHelperSpread($D17)),IF(ISERROR(_xll.qlFuturesRateHelperConvexityAdjustment($D17)),"--",_xll.qlFuturesRateHelperConvexityAdjustment($D17)),_xll.qlSwapRateHelperSpread($D17))</f>
        <v>--</v>
      </c>
      <c r="H17" s="9">
        <f>_xll.qlRateHelperEarliestDate($D17)</f>
        <v>42492</v>
      </c>
      <c r="I17" s="8">
        <f>_xll.qlRateHelperLatestDate($D17)</f>
        <v>42676</v>
      </c>
      <c r="J17" s="3">
        <v>0.99887450638560049</v>
      </c>
    </row>
    <row r="18" spans="4:10" x14ac:dyDescent="0.2">
      <c r="D18" s="11" t="str">
        <v>obj_0077f</v>
      </c>
      <c r="E18" s="176" t="str">
        <f>_xll.qlRateHelperQuoteName($D18)</f>
        <v>EUR11x17F_Quote</v>
      </c>
      <c r="F18" s="10">
        <f>_xll.qlRateHelperRate($D18)</f>
        <v>1.2099999999999999E-3</v>
      </c>
      <c r="G18" s="10" t="str">
        <f>IF(ISERROR(_xll.qlSwapRateHelperSpread($D18)),IF(ISERROR(_xll.qlFuturesRateHelperConvexityAdjustment($D18)),"--",_xll.qlFuturesRateHelperConvexityAdjustment($D18)),_xll.qlSwapRateHelperSpread($D18))</f>
        <v>--</v>
      </c>
      <c r="H18" s="9">
        <f>_xll.qlRateHelperEarliestDate($D18)</f>
        <v>42523</v>
      </c>
      <c r="I18" s="8">
        <f>_xll.qlRateHelperLatestDate($D18)</f>
        <v>42706</v>
      </c>
      <c r="J18" s="3">
        <v>0.99876669020569375</v>
      </c>
    </row>
    <row r="19" spans="4:10" x14ac:dyDescent="0.2">
      <c r="D19" s="11" t="str">
        <v>obj_00782</v>
      </c>
      <c r="E19" s="176" t="str">
        <f>_xll.qlRateHelperQuoteName($D19)</f>
        <v>EUR12x18F_Quote</v>
      </c>
      <c r="F19" s="10">
        <f>_xll.qlRateHelperRate($D19)</f>
        <v>1.31E-3</v>
      </c>
      <c r="G19" s="10" t="str">
        <f>IF(ISERROR(_xll.qlSwapRateHelperSpread($D19)),IF(ISERROR(_xll.qlFuturesRateHelperConvexityAdjustment($D19)),"--",_xll.qlFuturesRateHelperConvexityAdjustment($D19)),_xll.qlSwapRateHelperSpread($D19))</f>
        <v>--</v>
      </c>
      <c r="H19" s="9">
        <f>_xll.qlRateHelperEarliestDate($D19)</f>
        <v>42555</v>
      </c>
      <c r="I19" s="8">
        <f>_xll.qlRateHelperLatestDate($D19)</f>
        <v>42739</v>
      </c>
      <c r="J19" s="3">
        <v>0.99861879401608422</v>
      </c>
    </row>
    <row r="20" spans="4:10" x14ac:dyDescent="0.2">
      <c r="D20" s="11" t="str">
        <v>obj_00775</v>
      </c>
      <c r="E20" s="176" t="str">
        <f>_xll.qlRateHelperQuoteName($D20)</f>
        <v>EUR13x19F_Quote</v>
      </c>
      <c r="F20" s="10">
        <f>_xll.qlRateHelperRate($D20)</f>
        <v>1.4199999999999998E-3</v>
      </c>
      <c r="G20" s="10" t="str">
        <f>IF(ISERROR(_xll.qlSwapRateHelperSpread($D20)),IF(ISERROR(_xll.qlFuturesRateHelperConvexityAdjustment($D20)),"--",_xll.qlFuturesRateHelperConvexityAdjustment($D20)),_xll.qlSwapRateHelperSpread($D20))</f>
        <v>--</v>
      </c>
      <c r="H20" s="9">
        <f>_xll.qlRateHelperEarliestDate($D20)</f>
        <v>42584</v>
      </c>
      <c r="I20" s="8">
        <f>_xll.qlRateHelperLatestDate($D20)</f>
        <v>42768</v>
      </c>
      <c r="J20" s="3">
        <v>0.99844524720628247</v>
      </c>
    </row>
    <row r="21" spans="4:10" x14ac:dyDescent="0.2">
      <c r="D21" s="11" t="str">
        <v>obj_00780</v>
      </c>
      <c r="E21" s="176" t="str">
        <f>_xll.qlRateHelperQuoteName($D21)</f>
        <v>EUR14x20F_Quote</v>
      </c>
      <c r="F21" s="10">
        <f>_xll.qlRateHelperRate($D21)</f>
        <v>1.5199999999999999E-3</v>
      </c>
      <c r="G21" s="10" t="str">
        <f>IF(ISERROR(_xll.qlSwapRateHelperSpread($D21)),IF(ISERROR(_xll.qlFuturesRateHelperConvexityAdjustment($D21)),"--",_xll.qlFuturesRateHelperConvexityAdjustment($D21)),_xll.qlSwapRateHelperSpread($D21))</f>
        <v>--</v>
      </c>
      <c r="H21" s="9">
        <f>_xll.qlRateHelperEarliestDate($D21)</f>
        <v>42615</v>
      </c>
      <c r="I21" s="8">
        <f>_xll.qlRateHelperLatestDate($D21)</f>
        <v>42796</v>
      </c>
      <c r="J21" s="3">
        <v>0.99832367735848149</v>
      </c>
    </row>
    <row r="22" spans="4:10" x14ac:dyDescent="0.2">
      <c r="D22" s="11" t="str">
        <v>obj_0077c</v>
      </c>
      <c r="E22" s="176" t="str">
        <f>_xll.qlRateHelperQuoteName($D22)</f>
        <v>EUR15x21F_Quote</v>
      </c>
      <c r="F22" s="10">
        <f>_xll.qlRateHelperRate($D22)</f>
        <v>1.6699999999999998E-3</v>
      </c>
      <c r="G22" s="10" t="str">
        <f>IF(ISERROR(_xll.qlSwapRateHelperSpread($D22)),IF(ISERROR(_xll.qlFuturesRateHelperConvexityAdjustment($D22)),"--",_xll.qlFuturesRateHelperConvexityAdjustment($D22)),_xll.qlSwapRateHelperSpread($D22))</f>
        <v>--</v>
      </c>
      <c r="H22" s="9">
        <f>_xll.qlRateHelperEarliestDate($D22)</f>
        <v>42646</v>
      </c>
      <c r="I22" s="8">
        <f>_xll.qlRateHelperLatestDate($D22)</f>
        <v>42828</v>
      </c>
      <c r="J22" s="3">
        <v>0.99814225371192611</v>
      </c>
    </row>
    <row r="23" spans="4:10" x14ac:dyDescent="0.2">
      <c r="D23" s="11" t="str">
        <v>obj_00784</v>
      </c>
      <c r="E23" s="176" t="str">
        <f>_xll.qlRateHelperQuoteName($D23)</f>
        <v>EUR16x22F_Quote</v>
      </c>
      <c r="F23" s="10">
        <f>_xll.qlRateHelperRate($D23)</f>
        <v>1.82E-3</v>
      </c>
      <c r="G23" s="10" t="str">
        <f>IF(ISERROR(_xll.qlSwapRateHelperSpread($D23)),IF(ISERROR(_xll.qlFuturesRateHelperConvexityAdjustment($D23)),"--",_xll.qlFuturesRateHelperConvexityAdjustment($D23)),_xll.qlSwapRateHelperSpread($D23))</f>
        <v>--</v>
      </c>
      <c r="H23" s="9">
        <f>_xll.qlRateHelperEarliestDate($D23)</f>
        <v>42676</v>
      </c>
      <c r="I23" s="8">
        <f>_xll.qlRateHelperLatestDate($D23)</f>
        <v>42857</v>
      </c>
      <c r="J23" s="3">
        <v>0.99796550779398818</v>
      </c>
    </row>
    <row r="24" spans="4:10" x14ac:dyDescent="0.2">
      <c r="D24" s="11" t="str">
        <v>obj_007ab</v>
      </c>
      <c r="E24" s="176" t="str">
        <f>_xll.qlRateHelperQuoteName($D24)</f>
        <v>EUR17x23F_Quote</v>
      </c>
      <c r="F24" s="10">
        <f>_xll.qlRateHelperRate($D24)</f>
        <v>1.99E-3</v>
      </c>
      <c r="G24" s="10" t="str">
        <f>IF(ISERROR(_xll.qlSwapRateHelperSpread($D24)),IF(ISERROR(_xll.qlFuturesRateHelperConvexityAdjustment($D24)),"--",_xll.qlFuturesRateHelperConvexityAdjustment($D24)),_xll.qlSwapRateHelperSpread($D24))</f>
        <v>--</v>
      </c>
      <c r="H24" s="9">
        <f>_xll.qlRateHelperEarliestDate($D24)</f>
        <v>42706</v>
      </c>
      <c r="I24" s="8">
        <f>_xll.qlRateHelperLatestDate($D24)</f>
        <v>42888</v>
      </c>
      <c r="J24" s="3">
        <v>0.99776707593351821</v>
      </c>
    </row>
    <row r="25" spans="4:10" x14ac:dyDescent="0.2">
      <c r="D25" s="11" t="str">
        <v>obj_0079c</v>
      </c>
      <c r="E25" s="176" t="str">
        <f>_xll.qlRateHelperQuoteName($D25)</f>
        <v>EURAB6E2Y_Quote</v>
      </c>
      <c r="F25" s="10">
        <f>_xll.qlRateHelperRate($D25)</f>
        <v>1.2600000000000001E-3</v>
      </c>
      <c r="G25" s="10">
        <f>IF(ISERROR(_xll.qlSwapRateHelperSpread($D25)),IF(ISERROR(_xll.qlFuturesRateHelperConvexityAdjustment($D25)),"--",_xll.qlFuturesRateHelperConvexityAdjustment($D25)),_xll.qlSwapRateHelperSpread($D25))</f>
        <v>0</v>
      </c>
      <c r="H25" s="9">
        <f>_xll.qlRateHelperEarliestDate($D25)</f>
        <v>42187</v>
      </c>
      <c r="I25" s="8">
        <f>_xll.qlRateHelperLatestDate($D25)</f>
        <v>42919</v>
      </c>
      <c r="J25" s="3">
        <v>0.99752145935423508</v>
      </c>
    </row>
    <row r="26" spans="4:10" x14ac:dyDescent="0.2">
      <c r="D26" s="11" t="str">
        <v>obj_0078a</v>
      </c>
      <c r="E26" s="176" t="str">
        <f>_xll.qlRateHelperQuoteName($D26)</f>
        <v>EURAB6E3Y_Quote</v>
      </c>
      <c r="F26" s="10">
        <f>_xll.qlRateHelperRate($D26)</f>
        <v>2.1900000000000001E-3</v>
      </c>
      <c r="G26" s="10">
        <f>IF(ISERROR(_xll.qlSwapRateHelperSpread($D26)),IF(ISERROR(_xll.qlFuturesRateHelperConvexityAdjustment($D26)),"--",_xll.qlFuturesRateHelperConvexityAdjustment($D26)),_xll.qlSwapRateHelperSpread($D26))</f>
        <v>0</v>
      </c>
      <c r="H26" s="9">
        <f>_xll.qlRateHelperEarliestDate($D26)</f>
        <v>42187</v>
      </c>
      <c r="I26" s="8">
        <f>_xll.qlRateHelperLatestDate($D26)</f>
        <v>43283</v>
      </c>
      <c r="J26" s="3">
        <v>0.9934973489918657</v>
      </c>
    </row>
    <row r="27" spans="4:10" x14ac:dyDescent="0.2">
      <c r="D27" s="11" t="str">
        <v>obj_00787</v>
      </c>
      <c r="E27" s="176" t="str">
        <f>_xll.qlRateHelperQuoteName($D27)</f>
        <v>EURAB6E4Y_Quote</v>
      </c>
      <c r="F27" s="10">
        <f>_xll.qlRateHelperRate($D27)</f>
        <v>3.5299999999999997E-3</v>
      </c>
      <c r="G27" s="10">
        <f>IF(ISERROR(_xll.qlSwapRateHelperSpread($D27)),IF(ISERROR(_xll.qlFuturesRateHelperConvexityAdjustment($D27)),"--",_xll.qlFuturesRateHelperConvexityAdjustment($D27)),_xll.qlSwapRateHelperSpread($D27))</f>
        <v>0</v>
      </c>
      <c r="H27" s="9">
        <f>_xll.qlRateHelperEarliestDate($D27)</f>
        <v>42187</v>
      </c>
      <c r="I27" s="8">
        <f>_xll.qlRateHelperLatestDate($D27)</f>
        <v>43648</v>
      </c>
      <c r="J27" s="3">
        <v>0.98602686505726134</v>
      </c>
    </row>
    <row r="28" spans="4:10" x14ac:dyDescent="0.2">
      <c r="D28" s="11" t="str">
        <v>obj_00798</v>
      </c>
      <c r="E28" s="176" t="str">
        <f>_xll.qlRateHelperQuoteName($D28)</f>
        <v>EURAB6E5Y_Quote</v>
      </c>
      <c r="F28" s="10">
        <f>_xll.qlRateHelperRate($D28)</f>
        <v>5.0600000000000003E-3</v>
      </c>
      <c r="G28" s="10">
        <f>IF(ISERROR(_xll.qlSwapRateHelperSpread($D28)),IF(ISERROR(_xll.qlFuturesRateHelperConvexityAdjustment($D28)),"--",_xll.qlFuturesRateHelperConvexityAdjustment($D28)),_xll.qlSwapRateHelperSpread($D28))</f>
        <v>0</v>
      </c>
      <c r="H28" s="9">
        <f>_xll.qlRateHelperEarliestDate($D28)</f>
        <v>42187</v>
      </c>
      <c r="I28" s="8">
        <f>_xll.qlRateHelperLatestDate($D28)</f>
        <v>44014</v>
      </c>
      <c r="J28" s="3">
        <v>0.97504357539831343</v>
      </c>
    </row>
    <row r="29" spans="4:10" x14ac:dyDescent="0.2">
      <c r="D29" s="11" t="str">
        <v>obj_007a9</v>
      </c>
      <c r="E29" s="176" t="str">
        <f>_xll.qlRateHelperQuoteName($D29)</f>
        <v>EURAB6E6Y_Quote</v>
      </c>
      <c r="F29" s="10">
        <f>_xll.qlRateHelperRate($D29)</f>
        <v>6.5700000000000003E-3</v>
      </c>
      <c r="G29" s="10">
        <f>IF(ISERROR(_xll.qlSwapRateHelperSpread($D29)),IF(ISERROR(_xll.qlFuturesRateHelperConvexityAdjustment($D29)),"--",_xll.qlFuturesRateHelperConvexityAdjustment($D29)),_xll.qlSwapRateHelperSpread($D29))</f>
        <v>0</v>
      </c>
      <c r="H29" s="9">
        <f>_xll.qlRateHelperEarliestDate($D29)</f>
        <v>42187</v>
      </c>
      <c r="I29" s="8">
        <f>_xll.qlRateHelperLatestDate($D29)</f>
        <v>44379</v>
      </c>
      <c r="J29" s="3">
        <v>0.96130183067504915</v>
      </c>
    </row>
    <row r="30" spans="4:10" x14ac:dyDescent="0.2">
      <c r="D30" s="11" t="str">
        <v>obj_007a3</v>
      </c>
      <c r="E30" s="176" t="str">
        <f>_xll.qlRateHelperQuoteName($D30)</f>
        <v>EURAB6E7Y_Quote</v>
      </c>
      <c r="F30" s="10">
        <f>_xll.qlRateHelperRate($D30)</f>
        <v>8.0300000000000007E-3</v>
      </c>
      <c r="G30" s="10">
        <f>IF(ISERROR(_xll.qlSwapRateHelperSpread($D30)),IF(ISERROR(_xll.qlFuturesRateHelperConvexityAdjustment($D30)),"--",_xll.qlFuturesRateHelperConvexityAdjustment($D30)),_xll.qlSwapRateHelperSpread($D30))</f>
        <v>0</v>
      </c>
      <c r="H30" s="9">
        <f>_xll.qlRateHelperEarliestDate($D30)</f>
        <v>42187</v>
      </c>
      <c r="I30" s="8">
        <f>_xll.qlRateHelperLatestDate($D30)</f>
        <v>44746</v>
      </c>
      <c r="J30" s="3">
        <v>0.94510574694810923</v>
      </c>
    </row>
    <row r="31" spans="4:10" x14ac:dyDescent="0.2">
      <c r="D31" s="11" t="str">
        <v>obj_0079e</v>
      </c>
      <c r="E31" s="176" t="str">
        <f>_xll.qlRateHelperQuoteName($D31)</f>
        <v>EURAB6E8Y_Quote</v>
      </c>
      <c r="F31" s="10">
        <f>_xll.qlRateHelperRate($D31)</f>
        <v>9.3699999999999999E-3</v>
      </c>
      <c r="G31" s="10">
        <f>IF(ISERROR(_xll.qlSwapRateHelperSpread($D31)),IF(ISERROR(_xll.qlFuturesRateHelperConvexityAdjustment($D31)),"--",_xll.qlFuturesRateHelperConvexityAdjustment($D31)),_xll.qlSwapRateHelperSpread($D31))</f>
        <v>0</v>
      </c>
      <c r="H31" s="9">
        <f>_xll.qlRateHelperEarliestDate($D31)</f>
        <v>42187</v>
      </c>
      <c r="I31" s="8">
        <f>_xll.qlRateHelperLatestDate($D31)</f>
        <v>45110</v>
      </c>
      <c r="J31" s="3">
        <v>0.92732550594038199</v>
      </c>
    </row>
    <row r="32" spans="4:10" x14ac:dyDescent="0.2">
      <c r="D32" s="11" t="str">
        <v>obj_0079d</v>
      </c>
      <c r="E32" s="176" t="str">
        <f>_xll.qlRateHelperQuoteName($D32)</f>
        <v>EURAB6E9Y_Quote</v>
      </c>
      <c r="F32" s="10">
        <f>_xll.qlRateHelperRate($D32)</f>
        <v>1.0580000000000001E-2</v>
      </c>
      <c r="G32" s="10">
        <f>IF(ISERROR(_xll.qlSwapRateHelperSpread($D32)),IF(ISERROR(_xll.qlFuturesRateHelperConvexityAdjustment($D32)),"--",_xll.qlFuturesRateHelperConvexityAdjustment($D32)),_xll.qlSwapRateHelperSpread($D32))</f>
        <v>0</v>
      </c>
      <c r="H32" s="9">
        <f>_xll.qlRateHelperEarliestDate($D32)</f>
        <v>42187</v>
      </c>
      <c r="I32" s="8">
        <f>_xll.qlRateHelperLatestDate($D32)</f>
        <v>45475</v>
      </c>
      <c r="J32" s="3">
        <v>0.9084089466537314</v>
      </c>
    </row>
    <row r="33" spans="4:10" x14ac:dyDescent="0.2">
      <c r="D33" s="11" t="str">
        <v>obj_0078d</v>
      </c>
      <c r="E33" s="176" t="str">
        <f>_xll.qlRateHelperQuoteName($D33)</f>
        <v>EURAB6E10Y_Quote</v>
      </c>
      <c r="F33" s="10">
        <f>_xll.qlRateHelperRate($D33)</f>
        <v>1.1639999999999999E-2</v>
      </c>
      <c r="G33" s="10">
        <f>IF(ISERROR(_xll.qlSwapRateHelperSpread($D33)),IF(ISERROR(_xll.qlFuturesRateHelperConvexityAdjustment($D33)),"--",_xll.qlFuturesRateHelperConvexityAdjustment($D33)),_xll.qlSwapRateHelperSpread($D33))</f>
        <v>0</v>
      </c>
      <c r="H33" s="9">
        <f>_xll.qlRateHelperEarliestDate($D33)</f>
        <v>42187</v>
      </c>
      <c r="I33" s="8">
        <f>_xll.qlRateHelperLatestDate($D33)</f>
        <v>45840</v>
      </c>
      <c r="J33" s="3">
        <v>0.8889417954080342</v>
      </c>
    </row>
    <row r="34" spans="4:10" x14ac:dyDescent="0.2">
      <c r="D34" s="11" t="str">
        <v>obj_007a7</v>
      </c>
      <c r="E34" s="176" t="str">
        <f>_xll.qlRateHelperQuoteName($D34)</f>
        <v>EURAB6E12Y_Quote</v>
      </c>
      <c r="F34" s="10">
        <f>_xll.qlRateHelperRate($D34)</f>
        <v>1.3389999999999999E-2</v>
      </c>
      <c r="G34" s="10">
        <f>IF(ISERROR(_xll.qlSwapRateHelperSpread($D34)),IF(ISERROR(_xll.qlFuturesRateHelperConvexityAdjustment($D34)),"--",_xll.qlFuturesRateHelperConvexityAdjustment($D34)),_xll.qlSwapRateHelperSpread($D34))</f>
        <v>0</v>
      </c>
      <c r="H34" s="9">
        <f>_xll.qlRateHelperEarliestDate($D34)</f>
        <v>42187</v>
      </c>
      <c r="I34" s="8">
        <f>_xll.qlRateHelperLatestDate($D34)</f>
        <v>46570</v>
      </c>
      <c r="J34" s="3">
        <v>0.8493587441392656</v>
      </c>
    </row>
    <row r="35" spans="4:10" x14ac:dyDescent="0.2">
      <c r="D35" s="11" t="str">
        <v>obj_007a2</v>
      </c>
      <c r="E35" s="176" t="str">
        <f>_xll.qlRateHelperQuoteName($D35)</f>
        <v>EURAB6E15Y_Quote</v>
      </c>
      <c r="F35" s="10">
        <f>_xll.qlRateHelperRate($D35)</f>
        <v>1.512E-2</v>
      </c>
      <c r="G35" s="10">
        <f>IF(ISERROR(_xll.qlSwapRateHelperSpread($D35)),IF(ISERROR(_xll.qlFuturesRateHelperConvexityAdjustment($D35)),"--",_xll.qlFuturesRateHelperConvexityAdjustment($D35)),_xll.qlSwapRateHelperSpread($D35))</f>
        <v>0</v>
      </c>
      <c r="H35" s="9">
        <f>_xll.qlRateHelperEarliestDate($D35)</f>
        <v>42187</v>
      </c>
      <c r="I35" s="8">
        <f>_xll.qlRateHelperLatestDate($D35)</f>
        <v>47666</v>
      </c>
      <c r="J35" s="3">
        <v>0.79324831417296626</v>
      </c>
    </row>
    <row r="36" spans="4:10" x14ac:dyDescent="0.2">
      <c r="D36" s="11" t="str">
        <v>obj_0078c</v>
      </c>
      <c r="E36" s="176" t="str">
        <f>_xll.qlRateHelperQuoteName($D36)</f>
        <v>EURAB6E20Y_Quote</v>
      </c>
      <c r="F36" s="10">
        <f>_xll.qlRateHelperRate($D36)</f>
        <v>1.6539999999999999E-2</v>
      </c>
      <c r="G36" s="10">
        <f>IF(ISERROR(_xll.qlSwapRateHelperSpread($D36)),IF(ISERROR(_xll.qlFuturesRateHelperConvexityAdjustment($D36)),"--",_xll.qlFuturesRateHelperConvexityAdjustment($D36)),_xll.qlSwapRateHelperSpread($D36))</f>
        <v>0</v>
      </c>
      <c r="H36" s="9">
        <f>_xll.qlRateHelperEarliestDate($D36)</f>
        <v>42187</v>
      </c>
      <c r="I36" s="8">
        <f>_xll.qlRateHelperLatestDate($D36)</f>
        <v>49492</v>
      </c>
      <c r="J36" s="3">
        <v>0.71254533792603014</v>
      </c>
    </row>
    <row r="37" spans="4:10" x14ac:dyDescent="0.2">
      <c r="D37" s="11" t="str">
        <v>obj_00796</v>
      </c>
      <c r="E37" s="176" t="str">
        <f>_xll.qlRateHelperQuoteName($D37)</f>
        <v>EURAB6E25Y_Quote</v>
      </c>
      <c r="F37" s="10">
        <f>_xll.qlRateHelperRate($D37)</f>
        <v>1.6879999999999999E-2</v>
      </c>
      <c r="G37" s="10">
        <f>IF(ISERROR(_xll.qlSwapRateHelperSpread($D37)),IF(ISERROR(_xll.qlFuturesRateHelperConvexityAdjustment($D37)),"--",_xll.qlFuturesRateHelperConvexityAdjustment($D37)),_xll.qlSwapRateHelperSpread($D37))</f>
        <v>0</v>
      </c>
      <c r="H37" s="9">
        <f>_xll.qlRateHelperEarliestDate($D37)</f>
        <v>42187</v>
      </c>
      <c r="I37" s="8">
        <f>_xll.qlRateHelperLatestDate($D37)</f>
        <v>51319</v>
      </c>
      <c r="J37" s="3">
        <v>0.64981252491163044</v>
      </c>
    </row>
    <row r="38" spans="4:10" x14ac:dyDescent="0.2">
      <c r="D38" s="11" t="str">
        <v>obj_00797</v>
      </c>
      <c r="E38" s="176" t="str">
        <f>_xll.qlRateHelperQuoteName($D38)</f>
        <v>EURAB6E30Y_Quote</v>
      </c>
      <c r="F38" s="10">
        <f>_xll.qlRateHelperRate($D38)</f>
        <v>1.7049999999999999E-2</v>
      </c>
      <c r="G38" s="10">
        <f>IF(ISERROR(_xll.qlSwapRateHelperSpread($D38)),IF(ISERROR(_xll.qlFuturesRateHelperConvexityAdjustment($D38)),"--",_xll.qlFuturesRateHelperConvexityAdjustment($D38)),_xll.qlSwapRateHelperSpread($D38))</f>
        <v>0</v>
      </c>
      <c r="H38" s="9">
        <f>_xll.qlRateHelperEarliestDate($D38)</f>
        <v>42187</v>
      </c>
      <c r="I38" s="8">
        <f>_xll.qlRateHelperLatestDate($D38)</f>
        <v>53146</v>
      </c>
      <c r="J38" s="3">
        <v>0.59378712588170579</v>
      </c>
    </row>
    <row r="39" spans="4:10" x14ac:dyDescent="0.2">
      <c r="D39" s="11" t="str">
        <v>obj_00789</v>
      </c>
      <c r="E39" s="176" t="str">
        <f>_xll.qlRateHelperQuoteName($D39)</f>
        <v>EURAB6E35Y_Quote</v>
      </c>
      <c r="F39" s="10">
        <f>_xll.qlRateHelperRate($D39)</f>
        <v>1.7170000000000001E-2</v>
      </c>
      <c r="G39" s="10">
        <f>IF(ISERROR(_xll.qlSwapRateHelperSpread($D39)),IF(ISERROR(_xll.qlFuturesRateHelperConvexityAdjustment($D39)),"--",_xll.qlFuturesRateHelperConvexityAdjustment($D39)),_xll.qlSwapRateHelperSpread($D39))</f>
        <v>0</v>
      </c>
      <c r="H39" s="9">
        <f>_xll.qlRateHelperEarliestDate($D39)</f>
        <v>42187</v>
      </c>
      <c r="I39" s="8">
        <f>_xll.qlRateHelperLatestDate($D39)</f>
        <v>54973</v>
      </c>
      <c r="J39" s="3">
        <v>0.54263645077419398</v>
      </c>
    </row>
    <row r="40" spans="4:10" x14ac:dyDescent="0.2">
      <c r="D40" s="11" t="str">
        <v>obj_00788</v>
      </c>
      <c r="E40" s="176" t="str">
        <f>_xll.qlRateHelperQuoteName($D40)</f>
        <v>EURAB6E40Y_Quote</v>
      </c>
      <c r="F40" s="10">
        <f>_xll.qlRateHelperRate($D40)</f>
        <v>1.7159999999999998E-2</v>
      </c>
      <c r="G40" s="10">
        <f>IF(ISERROR(_xll.qlSwapRateHelperSpread($D40)),IF(ISERROR(_xll.qlFuturesRateHelperConvexityAdjustment($D40)),"--",_xll.qlFuturesRateHelperConvexityAdjustment($D40)),_xll.qlSwapRateHelperSpread($D40))</f>
        <v>0</v>
      </c>
      <c r="H40" s="9">
        <f>_xll.qlRateHelperEarliestDate($D40)</f>
        <v>42187</v>
      </c>
      <c r="I40" s="8">
        <f>_xll.qlRateHelperLatestDate($D40)</f>
        <v>56797</v>
      </c>
      <c r="J40" s="3">
        <v>0.49868827478405797</v>
      </c>
    </row>
    <row r="41" spans="4:10" x14ac:dyDescent="0.2">
      <c r="D41" s="11" t="str">
        <v>obj_00774</v>
      </c>
      <c r="E41" s="176" t="str">
        <f>_xll.qlRateHelperQuoteName($D41)</f>
        <v>EUR15F30Y_Quote</v>
      </c>
      <c r="F41" s="10">
        <f>_xll.qlRateHelperRate($D41)</f>
        <v>1.8500000000000003E-2</v>
      </c>
      <c r="G41" s="10">
        <f>IF(ISERROR(_xll.qlSwapRateHelperSpread($D41)),IF(ISERROR(_xll.qlFuturesRateHelperConvexityAdjustment($D41)),"--",_xll.qlFuturesRateHelperConvexityAdjustment($D41)),_xll.qlSwapRateHelperSpread($D41))</f>
        <v>0</v>
      </c>
      <c r="H41" s="9">
        <f>_xll.qlRateHelperEarliestDate($D41)</f>
        <v>47666</v>
      </c>
      <c r="I41" s="8">
        <f>_xll.qlRateHelperLatestDate($D41)</f>
        <v>58624</v>
      </c>
      <c r="J41" s="3">
        <v>0.46124367803604177</v>
      </c>
    </row>
    <row r="42" spans="4:10" x14ac:dyDescent="0.2">
      <c r="D42" s="11" t="str">
        <v>obj_00790</v>
      </c>
      <c r="E42" s="176" t="str">
        <f>_xll.qlRateHelperQuoteName($D42)</f>
        <v>EURAB6E50Y_Quote</v>
      </c>
      <c r="F42" s="10">
        <f>_xll.qlRateHelperRate($D42)</f>
        <v>1.6730000000000002E-2</v>
      </c>
      <c r="G42" s="10">
        <f>IF(ISERROR(_xll.qlSwapRateHelperSpread($D42)),IF(ISERROR(_xll.qlFuturesRateHelperConvexityAdjustment($D42)),"--",_xll.qlFuturesRateHelperConvexityAdjustment($D42)),_xll.qlSwapRateHelperSpread($D42))</f>
        <v>0</v>
      </c>
      <c r="H42" s="9">
        <f>_xll.qlRateHelperEarliestDate($D42)</f>
        <v>42187</v>
      </c>
      <c r="I42" s="8">
        <f>_xll.qlRateHelperLatestDate($D42)</f>
        <v>60450</v>
      </c>
      <c r="J42" s="3">
        <v>0.43406547701533282</v>
      </c>
    </row>
    <row r="43" spans="4:10" x14ac:dyDescent="0.2">
      <c r="D43" s="11" t="str">
        <v>obj_00773</v>
      </c>
      <c r="E43" s="176" t="str">
        <f>_xll.qlRateHelperQuoteName($D43)</f>
        <v>EUR25F30Y_Quote</v>
      </c>
      <c r="F43" s="10">
        <f>_xll.qlRateHelperRate($D43)</f>
        <v>1.6209999999999999E-2</v>
      </c>
      <c r="G43" s="10">
        <f>IF(ISERROR(_xll.qlSwapRateHelperSpread($D43)),IF(ISERROR(_xll.qlFuturesRateHelperConvexityAdjustment($D43)),"--",_xll.qlFuturesRateHelperConvexityAdjustment($D43)),_xll.qlSwapRateHelperSpread($D43))</f>
        <v>0</v>
      </c>
      <c r="H43" s="9">
        <f>_xll.qlRateHelperEarliestDate($D43)</f>
        <v>51319</v>
      </c>
      <c r="I43" s="8">
        <f>_xll.qlRateHelperLatestDate($D43)</f>
        <v>62276</v>
      </c>
      <c r="J43" s="3">
        <v>0.40405150176241444</v>
      </c>
    </row>
    <row r="44" spans="4:10" x14ac:dyDescent="0.2">
      <c r="D44" s="11" t="str">
        <v>obj_007a4</v>
      </c>
      <c r="E44" s="176" t="str">
        <f>_xll.qlRateHelperQuoteName($D44)</f>
        <v>EURAB6E60Y_Quote</v>
      </c>
      <c r="F44" s="10">
        <f>_xll.qlRateHelperRate($D44)</f>
        <v>1.6579999999999998E-2</v>
      </c>
      <c r="G44" s="10">
        <f>IF(ISERROR(_xll.qlSwapRateHelperSpread($D44)),IF(ISERROR(_xll.qlFuturesRateHelperConvexityAdjustment($D44)),"--",_xll.qlFuturesRateHelperConvexityAdjustment($D44)),_xll.qlSwapRateHelperSpread($D44))</f>
        <v>0</v>
      </c>
      <c r="H44" s="9">
        <f>_xll.qlRateHelperEarliestDate($D44)</f>
        <v>42187</v>
      </c>
      <c r="I44" s="8">
        <f>_xll.qlRateHelperLatestDate($D44)</f>
        <v>64102</v>
      </c>
      <c r="J44" s="3">
        <v>0.3726363685078245</v>
      </c>
    </row>
    <row r="45" spans="4:10" x14ac:dyDescent="0.2">
      <c r="D45" s="11" t="e">
        <v>#N/A</v>
      </c>
      <c r="E45" s="17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7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7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7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7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7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7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7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7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7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7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7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7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7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7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7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7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7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7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7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7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7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7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7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7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7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7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7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7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7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7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7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7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7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7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7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7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7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7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7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7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7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7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7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7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7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7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7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7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7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7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7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7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7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7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7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7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7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7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7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7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7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7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7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7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7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7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7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7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7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7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7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7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7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7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7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7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7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7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7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7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
  <sheetViews>
    <sheetView workbookViewId="0">
      <selection activeCell="J2" sqref="J2"/>
    </sheetView>
  </sheetViews>
  <sheetFormatPr defaultRowHeight="13.5" x14ac:dyDescent="0.25"/>
  <cols>
    <col min="1" max="1" width="2.7109375" style="235" customWidth="1"/>
    <col min="2" max="2" width="5.7109375" style="235" customWidth="1"/>
    <col min="3" max="3" width="6.5703125" style="235" customWidth="1"/>
    <col min="4" max="4" width="4.85546875" style="235" bestFit="1" customWidth="1"/>
    <col min="5" max="5" width="9.140625" style="235" customWidth="1"/>
    <col min="6" max="6" width="19.28515625" style="235" bestFit="1" customWidth="1"/>
    <col min="7" max="7" width="6" style="235" bestFit="1" customWidth="1"/>
    <col min="8" max="8" width="11.42578125" style="235" customWidth="1"/>
    <col min="9" max="9" width="21.42578125" style="235" bestFit="1" customWidth="1"/>
    <col min="10" max="10" width="16.5703125" style="235" customWidth="1"/>
    <col min="11" max="11" width="23.5703125" style="235" customWidth="1"/>
    <col min="12" max="12" width="2.7109375" style="235" customWidth="1"/>
    <col min="13" max="16384" width="9.140625" style="235"/>
  </cols>
  <sheetData>
    <row r="1" spans="1:12" x14ac:dyDescent="0.25">
      <c r="A1" s="240"/>
      <c r="B1" s="232"/>
      <c r="C1" s="232"/>
      <c r="D1" s="232"/>
      <c r="E1" s="232"/>
      <c r="F1" s="296" t="str">
        <f>PROPER(Currency)&amp;FamilyName&amp;$B12</f>
        <v>Euribor6M</v>
      </c>
      <c r="G1" s="232"/>
      <c r="H1" s="80" t="s">
        <v>81</v>
      </c>
      <c r="I1" s="297" t="str">
        <f>Currency&amp;"_YC"&amp;$H$1&amp;"RH"</f>
        <v>EUR_YC6MRH</v>
      </c>
      <c r="J1" s="298" t="str">
        <f>$I$1&amp;"_Deposits.xml"</f>
        <v>EUR_YC6MRH_Deposits.xml</v>
      </c>
      <c r="K1" s="50"/>
      <c r="L1" s="282"/>
    </row>
    <row r="2" spans="1:12" ht="23.25" customHeight="1" x14ac:dyDescent="0.25">
      <c r="A2" s="231"/>
      <c r="B2" s="236" t="s">
        <v>125</v>
      </c>
      <c r="C2" s="236" t="s">
        <v>126</v>
      </c>
      <c r="D2" s="236" t="s">
        <v>119</v>
      </c>
      <c r="E2" s="236" t="s">
        <v>120</v>
      </c>
      <c r="F2" s="236" t="s">
        <v>121</v>
      </c>
      <c r="G2" s="236" t="s">
        <v>122</v>
      </c>
      <c r="H2" s="236" t="s">
        <v>123</v>
      </c>
      <c r="I2" s="236" t="s">
        <v>91</v>
      </c>
      <c r="J2" s="299" t="str">
        <f>IF(Serialize,_xll.ohObjectSave(J3:J12,SerializationPath&amp;J1,FileOverwrite,Serialize),"---")</f>
        <v>---</v>
      </c>
      <c r="K2" s="300" t="str">
        <f>_xll.ohRangeRetrieveError(J2)</f>
        <v/>
      </c>
      <c r="L2" s="282"/>
    </row>
    <row r="3" spans="1:12" ht="11.25" customHeight="1" x14ac:dyDescent="0.25">
      <c r="A3" s="231"/>
      <c r="B3" s="294" t="s">
        <v>90</v>
      </c>
      <c r="C3" s="301" t="s">
        <v>102</v>
      </c>
      <c r="D3" s="247">
        <f>_xll.qlInterestRateIndexFixingDays($F$1,Trigger)</f>
        <v>2</v>
      </c>
      <c r="E3" s="301" t="str">
        <f>_xll.qlIndexFixingCalendar($F$1,Trigger)</f>
        <v>TARGET</v>
      </c>
      <c r="F3" s="301" t="s">
        <v>127</v>
      </c>
      <c r="G3" s="301" t="b">
        <v>0</v>
      </c>
      <c r="H3" s="247" t="str">
        <f>_xll.qlInterestRateIndexDayCounter($F$1,Trigger)</f>
        <v>Actual/360</v>
      </c>
      <c r="I3" s="302" t="str">
        <f t="shared" ref="I3:I12" si="0">Currency&amp;B3&amp;"D_SYNTH"&amp;$H$1&amp;QuoteSuffix</f>
        <v>EURSND_SYNTH6M_Quote</v>
      </c>
      <c r="J3" s="285" t="str">
        <f>_xll.qlDepositRateHelper2(,I3,C3,D3,E3,F3,G3,H3,Permanent,Trigger,ObjectOverwrite)</f>
        <v>obj_007b5#0003</v>
      </c>
      <c r="K3" s="303" t="str">
        <f>_xll.ohRangeRetrieveError(J3)</f>
        <v/>
      </c>
      <c r="L3" s="282"/>
    </row>
    <row r="4" spans="1:12" ht="11.25" customHeight="1" x14ac:dyDescent="0.25">
      <c r="A4" s="231"/>
      <c r="B4" s="310" t="s">
        <v>89</v>
      </c>
      <c r="C4" s="304" t="s">
        <v>124</v>
      </c>
      <c r="D4" s="255">
        <f>_xll.qlInterestRateIndexFixingDays($F$1,Trigger)</f>
        <v>2</v>
      </c>
      <c r="E4" s="304" t="str">
        <f>_xll.qlIndexFixingCalendar($F$1,Trigger)</f>
        <v>TARGET</v>
      </c>
      <c r="F4" s="304" t="s">
        <v>127</v>
      </c>
      <c r="G4" s="304" t="b">
        <v>0</v>
      </c>
      <c r="H4" s="255" t="str">
        <f>_xll.qlInterestRateIndexDayCounter($F$1,Trigger)</f>
        <v>Actual/360</v>
      </c>
      <c r="I4" s="305" t="str">
        <f t="shared" si="0"/>
        <v>EURSWD_SYNTH6M_Quote</v>
      </c>
      <c r="J4" s="289" t="str">
        <f>_xll.qlDepositRateHelper2(,I4,C4,D4,E4,F4,G4,H4,Permanent,Trigger,ObjectOverwrite)</f>
        <v>obj_007ae#0003</v>
      </c>
      <c r="K4" s="306" t="str">
        <f>_xll.ohRangeRetrieveError(J4)</f>
        <v/>
      </c>
      <c r="L4" s="282"/>
    </row>
    <row r="5" spans="1:12" ht="11.25" customHeight="1" x14ac:dyDescent="0.25">
      <c r="A5" s="231"/>
      <c r="B5" s="310" t="s">
        <v>88</v>
      </c>
      <c r="C5" s="304" t="s">
        <v>88</v>
      </c>
      <c r="D5" s="255">
        <f>_xll.qlInterestRateIndexFixingDays($F$1,Trigger)</f>
        <v>2</v>
      </c>
      <c r="E5" s="304" t="str">
        <f>_xll.qlIndexFixingCalendar($F$1,Trigger)</f>
        <v>TARGET</v>
      </c>
      <c r="F5" s="304" t="s">
        <v>127</v>
      </c>
      <c r="G5" s="304" t="b">
        <v>0</v>
      </c>
      <c r="H5" s="255" t="str">
        <f>_xll.qlInterestRateIndexDayCounter($F$1,Trigger)</f>
        <v>Actual/360</v>
      </c>
      <c r="I5" s="305" t="str">
        <f t="shared" si="0"/>
        <v>EUR2WD_SYNTH6M_Quote</v>
      </c>
      <c r="J5" s="289" t="str">
        <f>_xll.qlDepositRateHelper2(,I5,C5,D5,E5,F5,G5,H5,Permanent,Trigger,ObjectOverwrite)</f>
        <v>obj_007b1#0003</v>
      </c>
      <c r="K5" s="306" t="str">
        <f>_xll.ohRangeRetrieveError(J5)</f>
        <v/>
      </c>
      <c r="L5" s="282"/>
    </row>
    <row r="6" spans="1:12" ht="11.25" customHeight="1" x14ac:dyDescent="0.25">
      <c r="A6" s="231"/>
      <c r="B6" s="310" t="s">
        <v>87</v>
      </c>
      <c r="C6" s="304" t="s">
        <v>87</v>
      </c>
      <c r="D6" s="255">
        <f>_xll.qlInterestRateIndexFixingDays($F$1,Trigger)</f>
        <v>2</v>
      </c>
      <c r="E6" s="304" t="str">
        <f>_xll.qlIndexFixingCalendar($F$1,Trigger)</f>
        <v>TARGET</v>
      </c>
      <c r="F6" s="304" t="s">
        <v>127</v>
      </c>
      <c r="G6" s="304" t="b">
        <v>0</v>
      </c>
      <c r="H6" s="255" t="str">
        <f>_xll.qlInterestRateIndexDayCounter($F$1,Trigger)</f>
        <v>Actual/360</v>
      </c>
      <c r="I6" s="305" t="str">
        <f t="shared" si="0"/>
        <v>EUR3WD_SYNTH6M_Quote</v>
      </c>
      <c r="J6" s="289" t="str">
        <f>_xll.qlDepositRateHelper2(,I6,C6,D6,E6,F6,G6,H6,Permanent,Trigger,ObjectOverwrite)</f>
        <v>obj_007ac#0003</v>
      </c>
      <c r="K6" s="306" t="str">
        <f>_xll.ohRangeRetrieveError(J6)</f>
        <v/>
      </c>
      <c r="L6" s="282"/>
    </row>
    <row r="7" spans="1:12" ht="11.25" customHeight="1" x14ac:dyDescent="0.25">
      <c r="A7" s="231"/>
      <c r="B7" s="310" t="s">
        <v>86</v>
      </c>
      <c r="C7" s="304" t="s">
        <v>86</v>
      </c>
      <c r="D7" s="255">
        <f>_xll.qlInterestRateIndexFixingDays($F$1,Trigger)</f>
        <v>2</v>
      </c>
      <c r="E7" s="304" t="str">
        <f>_xll.qlIndexFixingCalendar($F$1,Trigger)</f>
        <v>TARGET</v>
      </c>
      <c r="F7" s="304" t="str">
        <f>_xll.qlIborIndexBusinessDayConv($F$1,Trigger)</f>
        <v>Modified Following</v>
      </c>
      <c r="G7" s="304" t="b">
        <f>_xll.qlIborIndexEndOfMonth($F$1,Trigger)</f>
        <v>1</v>
      </c>
      <c r="H7" s="255" t="str">
        <f>_xll.qlInterestRateIndexDayCounter($F$1,Trigger)</f>
        <v>Actual/360</v>
      </c>
      <c r="I7" s="305" t="str">
        <f t="shared" si="0"/>
        <v>EUR1MD_SYNTH6M_Quote</v>
      </c>
      <c r="J7" s="289" t="str">
        <f>_xll.qlDepositRateHelper2(,I7,C7,D7,E7,F7,G7,H7,Permanent,Trigger,ObjectOverwrite)</f>
        <v>obj_007b3#0003</v>
      </c>
      <c r="K7" s="306" t="str">
        <f>_xll.ohRangeRetrieveError(J7)</f>
        <v/>
      </c>
      <c r="L7" s="282"/>
    </row>
    <row r="8" spans="1:12" ht="11.25" customHeight="1" x14ac:dyDescent="0.25">
      <c r="A8" s="231"/>
      <c r="B8" s="310" t="s">
        <v>85</v>
      </c>
      <c r="C8" s="304" t="s">
        <v>85</v>
      </c>
      <c r="D8" s="255">
        <f>_xll.qlInterestRateIndexFixingDays($F$1,Trigger)</f>
        <v>2</v>
      </c>
      <c r="E8" s="304" t="str">
        <f>_xll.qlIndexFixingCalendar($F$1,Trigger)</f>
        <v>TARGET</v>
      </c>
      <c r="F8" s="304" t="str">
        <f>_xll.qlIborIndexBusinessDayConv($F$1,Trigger)</f>
        <v>Modified Following</v>
      </c>
      <c r="G8" s="304" t="b">
        <f>_xll.qlIborIndexEndOfMonth($F$1,Trigger)</f>
        <v>1</v>
      </c>
      <c r="H8" s="255" t="str">
        <f>_xll.qlInterestRateIndexDayCounter($F$1,Trigger)</f>
        <v>Actual/360</v>
      </c>
      <c r="I8" s="305" t="str">
        <f t="shared" si="0"/>
        <v>EUR2MD_SYNTH6M_Quote</v>
      </c>
      <c r="J8" s="289" t="str">
        <f>_xll.qlDepositRateHelper2(,I8,C8,D8,E8,F8,G8,H8,Permanent,Trigger,ObjectOverwrite)</f>
        <v>obj_007b4#0003</v>
      </c>
      <c r="K8" s="306" t="str">
        <f>_xll.ohRangeRetrieveError(J8)</f>
        <v/>
      </c>
      <c r="L8" s="282"/>
    </row>
    <row r="9" spans="1:12" ht="11.25" customHeight="1" x14ac:dyDescent="0.25">
      <c r="A9" s="231"/>
      <c r="B9" s="310" t="s">
        <v>84</v>
      </c>
      <c r="C9" s="304" t="s">
        <v>84</v>
      </c>
      <c r="D9" s="255">
        <f>_xll.qlInterestRateIndexFixingDays($F$1,Trigger)</f>
        <v>2</v>
      </c>
      <c r="E9" s="304" t="str">
        <f>_xll.qlIndexFixingCalendar($F$1,Trigger)</f>
        <v>TARGET</v>
      </c>
      <c r="F9" s="304" t="str">
        <f>_xll.qlIborIndexBusinessDayConv($F$1,Trigger)</f>
        <v>Modified Following</v>
      </c>
      <c r="G9" s="304" t="b">
        <f>_xll.qlIborIndexEndOfMonth($F$1,Trigger)</f>
        <v>1</v>
      </c>
      <c r="H9" s="255" t="str">
        <f>_xll.qlInterestRateIndexDayCounter($F$1,Trigger)</f>
        <v>Actual/360</v>
      </c>
      <c r="I9" s="305" t="str">
        <f t="shared" si="0"/>
        <v>EUR3MD_SYNTH6M_Quote</v>
      </c>
      <c r="J9" s="289" t="str">
        <f>_xll.qlDepositRateHelper2(,I9,C9,D9,E9,F9,G9,H9,Permanent,Trigger,ObjectOverwrite)</f>
        <v>obj_007af#0003</v>
      </c>
      <c r="K9" s="306" t="str">
        <f>_xll.ohRangeRetrieveError(J9)</f>
        <v/>
      </c>
      <c r="L9" s="282"/>
    </row>
    <row r="10" spans="1:12" ht="11.25" customHeight="1" x14ac:dyDescent="0.25">
      <c r="A10" s="231"/>
      <c r="B10" s="310" t="s">
        <v>83</v>
      </c>
      <c r="C10" s="304" t="s">
        <v>83</v>
      </c>
      <c r="D10" s="255">
        <f>_xll.qlInterestRateIndexFixingDays($F$1,Trigger)</f>
        <v>2</v>
      </c>
      <c r="E10" s="304" t="str">
        <f>_xll.qlIndexFixingCalendar($F$1,Trigger)</f>
        <v>TARGET</v>
      </c>
      <c r="F10" s="304" t="str">
        <f>_xll.qlIborIndexBusinessDayConv($F$1,Trigger)</f>
        <v>Modified Following</v>
      </c>
      <c r="G10" s="304" t="b">
        <f>_xll.qlIborIndexEndOfMonth($F$1,Trigger)</f>
        <v>1</v>
      </c>
      <c r="H10" s="255" t="str">
        <f>_xll.qlInterestRateIndexDayCounter($F$1,Trigger)</f>
        <v>Actual/360</v>
      </c>
      <c r="I10" s="305" t="str">
        <f t="shared" si="0"/>
        <v>EUR4MD_SYNTH6M_Quote</v>
      </c>
      <c r="J10" s="289" t="str">
        <f>_xll.qlDepositRateHelper2(,I10,C10,D10,E10,F10,G10,H10,Permanent,Trigger,ObjectOverwrite)</f>
        <v>obj_007b2#0003</v>
      </c>
      <c r="K10" s="306" t="str">
        <f>_xll.ohRangeRetrieveError(J10)</f>
        <v/>
      </c>
      <c r="L10" s="282"/>
    </row>
    <row r="11" spans="1:12" ht="11.25" customHeight="1" x14ac:dyDescent="0.25">
      <c r="A11" s="231"/>
      <c r="B11" s="310" t="s">
        <v>82</v>
      </c>
      <c r="C11" s="304" t="s">
        <v>82</v>
      </c>
      <c r="D11" s="255">
        <f>_xll.qlInterestRateIndexFixingDays($F$1,Trigger)</f>
        <v>2</v>
      </c>
      <c r="E11" s="304" t="str">
        <f>_xll.qlIndexFixingCalendar($F$1,Trigger)</f>
        <v>TARGET</v>
      </c>
      <c r="F11" s="304" t="str">
        <f>_xll.qlIborIndexBusinessDayConv($F$1,Trigger)</f>
        <v>Modified Following</v>
      </c>
      <c r="G11" s="304" t="b">
        <f>_xll.qlIborIndexEndOfMonth($F$1,Trigger)</f>
        <v>1</v>
      </c>
      <c r="H11" s="255" t="str">
        <f>_xll.qlInterestRateIndexDayCounter($F$1,Trigger)</f>
        <v>Actual/360</v>
      </c>
      <c r="I11" s="305" t="str">
        <f t="shared" si="0"/>
        <v>EUR5MD_SYNTH6M_Quote</v>
      </c>
      <c r="J11" s="289" t="str">
        <f>_xll.qlDepositRateHelper2(,I11,C11,D11,E11,F11,G11,H11,Permanent,Trigger,ObjectOverwrite)</f>
        <v>obj_007ad#0003</v>
      </c>
      <c r="K11" s="306" t="str">
        <f>_xll.ohRangeRetrieveError(J11)</f>
        <v/>
      </c>
      <c r="L11" s="282"/>
    </row>
    <row r="12" spans="1:12" ht="11.25" customHeight="1" x14ac:dyDescent="0.25">
      <c r="A12" s="231"/>
      <c r="B12" s="311" t="s">
        <v>81</v>
      </c>
      <c r="C12" s="296" t="s">
        <v>81</v>
      </c>
      <c r="D12" s="265">
        <f>_xll.qlInterestRateIndexFixingDays($F$1,Trigger)</f>
        <v>2</v>
      </c>
      <c r="E12" s="296" t="str">
        <f>_xll.qlIndexFixingCalendar($F$1,Trigger)</f>
        <v>TARGET</v>
      </c>
      <c r="F12" s="296" t="str">
        <f>_xll.qlIborIndexBusinessDayConv($F$1,Trigger)</f>
        <v>Modified Following</v>
      </c>
      <c r="G12" s="296" t="b">
        <f>_xll.qlIborIndexEndOfMonth($F$1,Trigger)</f>
        <v>1</v>
      </c>
      <c r="H12" s="265" t="str">
        <f>_xll.qlInterestRateIndexDayCounter($F$1,Trigger)</f>
        <v>Actual/360</v>
      </c>
      <c r="I12" s="307" t="str">
        <f t="shared" si="0"/>
        <v>EUR6MD_SYNTH6M_Quote</v>
      </c>
      <c r="J12" s="308" t="str">
        <f>_xll.qlDepositRateHelper2(,I12,C12,D12,E12,F12,G12,H12,Permanent,Trigger,ObjectOverwrite)</f>
        <v>obj_007b0#0003</v>
      </c>
      <c r="K12" s="309" t="str">
        <f>_xll.ohRangeRetrieveError(J12)</f>
        <v/>
      </c>
      <c r="L12" s="282"/>
    </row>
    <row r="13" spans="1:12" ht="11.25" customHeight="1" thickBot="1" x14ac:dyDescent="0.3">
      <c r="A13" s="267"/>
      <c r="B13" s="268"/>
      <c r="C13" s="268"/>
      <c r="D13" s="268"/>
      <c r="E13" s="268"/>
      <c r="F13" s="268"/>
      <c r="G13" s="268"/>
      <c r="H13" s="268"/>
      <c r="I13" s="268"/>
      <c r="J13" s="268"/>
      <c r="K13" s="268"/>
      <c r="L13" s="293"/>
    </row>
    <row r="14" spans="1:12" ht="12" customHeight="1" x14ac:dyDescent="0.25"/>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1" width="2.7109375" style="50" customWidth="1"/>
    <col min="2" max="2" width="4" style="50" bestFit="1" customWidth="1"/>
    <col min="3" max="3" width="3" style="50" bestFit="1" customWidth="1"/>
    <col min="4" max="4" width="5" style="50" bestFit="1" customWidth="1"/>
    <col min="5" max="5" width="10" style="50" bestFit="1" customWidth="1"/>
    <col min="6" max="6" width="8" style="50" bestFit="1" customWidth="1"/>
    <col min="7" max="7" width="16.140625" style="50" bestFit="1" customWidth="1"/>
    <col min="8" max="8" width="15.140625" style="2" bestFit="1" customWidth="1"/>
    <col min="9" max="9" width="20.85546875" style="50" bestFit="1" customWidth="1"/>
    <col min="10" max="10" width="2.7109375" style="50" customWidth="1"/>
    <col min="11" max="16384" width="9.140625" style="50"/>
  </cols>
  <sheetData>
    <row r="1" spans="1:10" ht="12" x14ac:dyDescent="0.2">
      <c r="A1" s="272"/>
      <c r="B1" s="276"/>
      <c r="C1" s="273"/>
      <c r="D1" s="273">
        <v>6</v>
      </c>
      <c r="E1" s="276" t="str">
        <f>_xll.qlPeriodEquivalent(D1&amp;"M")</f>
        <v>6M</v>
      </c>
      <c r="F1" s="80"/>
      <c r="G1" s="249" t="str">
        <f>Currency&amp;"_YC"&amp;$E$1&amp;"RH"</f>
        <v>EUR_YC6MRH</v>
      </c>
      <c r="I1" s="277" t="str">
        <f>$G$1&amp;"_FRAs.xml"</f>
        <v>EUR_YC6MRH_FRAs.xml</v>
      </c>
      <c r="J1" s="278"/>
    </row>
    <row r="2" spans="1:10" ht="23.25" customHeight="1" x14ac:dyDescent="0.2">
      <c r="A2" s="231"/>
      <c r="B2" s="244"/>
      <c r="C2" s="294"/>
      <c r="D2" s="279"/>
      <c r="E2" s="295" t="s">
        <v>92</v>
      </c>
      <c r="F2" s="295" t="s">
        <v>104</v>
      </c>
      <c r="G2" s="295" t="s">
        <v>91</v>
      </c>
      <c r="H2" s="280" t="str">
        <f>IF(Serialize,_xll.ohObjectSave(H3:H20,SerializationPath&amp;I1,FileOverwrite,Serialize),"---")</f>
        <v>---</v>
      </c>
      <c r="I2" s="281" t="str">
        <f>_xll.ohRangeRetrieveError(H2)</f>
        <v/>
      </c>
      <c r="J2" s="282"/>
    </row>
    <row r="3" spans="1:10" x14ac:dyDescent="0.2">
      <c r="A3" s="231"/>
      <c r="B3" s="283" t="str">
        <f t="shared" ref="B3:B20" si="0">C3&amp;"M"</f>
        <v>1M</v>
      </c>
      <c r="C3" s="284">
        <v>1</v>
      </c>
      <c r="D3" s="285" t="str">
        <f t="shared" ref="D3:D20" si="1">"x"&amp;C3+$D$1&amp;"F"</f>
        <v>x7F</v>
      </c>
      <c r="E3" s="283" t="str">
        <f t="shared" ref="E3:E20" si="2">PROPER(Currency)&amp;FamilyName&amp;$E$1</f>
        <v>Euribor6M</v>
      </c>
      <c r="F3" s="243" t="b">
        <v>0</v>
      </c>
      <c r="G3" s="283" t="str">
        <f t="shared" ref="G3:G20" si="3">Currency&amp;C3&amp;D3&amp;IF(F3,"_SYNTH"&amp;$E$1,"")&amp;"_Quote"</f>
        <v>EUR1x7F_Quote</v>
      </c>
      <c r="H3" s="283" t="str">
        <f>_xll.qlFraRateHelper(,G3,B3,E3,Permanent,Trigger,ObjectOverwrite)</f>
        <v>obj_00777#0003</v>
      </c>
      <c r="I3" s="286" t="str">
        <f>_xll.ohRangeRetrieveError(H3)</f>
        <v/>
      </c>
      <c r="J3" s="282"/>
    </row>
    <row r="4" spans="1:10" x14ac:dyDescent="0.2">
      <c r="A4" s="231"/>
      <c r="B4" s="287" t="str">
        <f t="shared" si="0"/>
        <v>2M</v>
      </c>
      <c r="C4" s="288">
        <v>2</v>
      </c>
      <c r="D4" s="289" t="str">
        <f t="shared" si="1"/>
        <v>x8F</v>
      </c>
      <c r="E4" s="287" t="str">
        <f t="shared" si="2"/>
        <v>Euribor6M</v>
      </c>
      <c r="F4" s="251" t="b">
        <v>0</v>
      </c>
      <c r="G4" s="287" t="str">
        <f t="shared" si="3"/>
        <v>EUR2x8F_Quote</v>
      </c>
      <c r="H4" s="287" t="str">
        <f>_xll.qlFraRateHelper(,G4,B4,E4,Permanent,Trigger,ObjectOverwrite)</f>
        <v>obj_00779#0003</v>
      </c>
      <c r="I4" s="290" t="str">
        <f>_xll.ohRangeRetrieveError(H4)</f>
        <v/>
      </c>
      <c r="J4" s="282"/>
    </row>
    <row r="5" spans="1:10" x14ac:dyDescent="0.2">
      <c r="A5" s="231"/>
      <c r="B5" s="287" t="str">
        <f t="shared" si="0"/>
        <v>3M</v>
      </c>
      <c r="C5" s="288">
        <v>3</v>
      </c>
      <c r="D5" s="289" t="str">
        <f t="shared" si="1"/>
        <v>x9F</v>
      </c>
      <c r="E5" s="287" t="str">
        <f t="shared" si="2"/>
        <v>Euribor6M</v>
      </c>
      <c r="F5" s="251" t="b">
        <v>0</v>
      </c>
      <c r="G5" s="287" t="str">
        <f t="shared" si="3"/>
        <v>EUR3x9F_Quote</v>
      </c>
      <c r="H5" s="287" t="str">
        <f>_xll.qlFraRateHelper(,G5,B5,E5,Permanent,Trigger,ObjectOverwrite)</f>
        <v>obj_00786#0003</v>
      </c>
      <c r="I5" s="290" t="str">
        <f>_xll.ohRangeRetrieveError(H5)</f>
        <v/>
      </c>
      <c r="J5" s="282"/>
    </row>
    <row r="6" spans="1:10" x14ac:dyDescent="0.2">
      <c r="A6" s="231"/>
      <c r="B6" s="287" t="str">
        <f t="shared" si="0"/>
        <v>4M</v>
      </c>
      <c r="C6" s="288">
        <v>4</v>
      </c>
      <c r="D6" s="289" t="str">
        <f t="shared" si="1"/>
        <v>x10F</v>
      </c>
      <c r="E6" s="287" t="str">
        <f t="shared" si="2"/>
        <v>Euribor6M</v>
      </c>
      <c r="F6" s="251" t="b">
        <v>0</v>
      </c>
      <c r="G6" s="287" t="str">
        <f t="shared" si="3"/>
        <v>EUR4x10F_Quote</v>
      </c>
      <c r="H6" s="287" t="str">
        <f>_xll.qlFraRateHelper(,G6,B6,E6,Permanent,Trigger,ObjectOverwrite)</f>
        <v>obj_0077d#0003</v>
      </c>
      <c r="I6" s="290" t="str">
        <f>_xll.ohRangeRetrieveError(H6)</f>
        <v/>
      </c>
      <c r="J6" s="282"/>
    </row>
    <row r="7" spans="1:10" x14ac:dyDescent="0.2">
      <c r="A7" s="231"/>
      <c r="B7" s="287" t="str">
        <f t="shared" si="0"/>
        <v>5M</v>
      </c>
      <c r="C7" s="288">
        <v>5</v>
      </c>
      <c r="D7" s="289" t="str">
        <f t="shared" si="1"/>
        <v>x11F</v>
      </c>
      <c r="E7" s="287" t="str">
        <f t="shared" si="2"/>
        <v>Euribor6M</v>
      </c>
      <c r="F7" s="251" t="b">
        <v>0</v>
      </c>
      <c r="G7" s="287" t="str">
        <f t="shared" si="3"/>
        <v>EUR5x11F_Quote</v>
      </c>
      <c r="H7" s="287" t="str">
        <f>_xll.qlFraRateHelper(,G7,B7,E7,Permanent,Trigger,ObjectOverwrite)</f>
        <v>obj_0077e#0003</v>
      </c>
      <c r="I7" s="290" t="str">
        <f>_xll.ohRangeRetrieveError(H7)</f>
        <v/>
      </c>
      <c r="J7" s="282"/>
    </row>
    <row r="8" spans="1:10" x14ac:dyDescent="0.2">
      <c r="A8" s="231"/>
      <c r="B8" s="287" t="str">
        <f t="shared" si="0"/>
        <v>6M</v>
      </c>
      <c r="C8" s="288">
        <v>6</v>
      </c>
      <c r="D8" s="289" t="str">
        <f t="shared" si="1"/>
        <v>x12F</v>
      </c>
      <c r="E8" s="287" t="str">
        <f t="shared" si="2"/>
        <v>Euribor6M</v>
      </c>
      <c r="F8" s="251" t="b">
        <v>0</v>
      </c>
      <c r="G8" s="287" t="str">
        <f t="shared" si="3"/>
        <v>EUR6x12F_Quote</v>
      </c>
      <c r="H8" s="287" t="str">
        <f>_xll.qlFraRateHelper(,G8,B8,E8,Permanent,Trigger,ObjectOverwrite)</f>
        <v>obj_0077b#0003</v>
      </c>
      <c r="I8" s="290" t="str">
        <f>_xll.ohRangeRetrieveError(H8)</f>
        <v/>
      </c>
      <c r="J8" s="282"/>
    </row>
    <row r="9" spans="1:10" x14ac:dyDescent="0.2">
      <c r="A9" s="231"/>
      <c r="B9" s="287" t="str">
        <f t="shared" si="0"/>
        <v>7M</v>
      </c>
      <c r="C9" s="288">
        <v>7</v>
      </c>
      <c r="D9" s="289" t="str">
        <f t="shared" si="1"/>
        <v>x13F</v>
      </c>
      <c r="E9" s="287" t="str">
        <f t="shared" si="2"/>
        <v>Euribor6M</v>
      </c>
      <c r="F9" s="251" t="b">
        <v>0</v>
      </c>
      <c r="G9" s="287" t="str">
        <f t="shared" si="3"/>
        <v>EUR7x13F_Quote</v>
      </c>
      <c r="H9" s="287" t="str">
        <f>_xll.qlFraRateHelper(,G9,B9,E9,Permanent,Trigger,ObjectOverwrite)</f>
        <v>obj_00781#0003</v>
      </c>
      <c r="I9" s="290" t="str">
        <f>_xll.ohRangeRetrieveError(H9)</f>
        <v/>
      </c>
      <c r="J9" s="282"/>
    </row>
    <row r="10" spans="1:10" x14ac:dyDescent="0.2">
      <c r="A10" s="231"/>
      <c r="B10" s="287" t="str">
        <f t="shared" si="0"/>
        <v>8M</v>
      </c>
      <c r="C10" s="288">
        <v>8</v>
      </c>
      <c r="D10" s="289" t="str">
        <f t="shared" si="1"/>
        <v>x14F</v>
      </c>
      <c r="E10" s="287" t="str">
        <f t="shared" si="2"/>
        <v>Euribor6M</v>
      </c>
      <c r="F10" s="251" t="b">
        <v>0</v>
      </c>
      <c r="G10" s="287" t="str">
        <f t="shared" si="3"/>
        <v>EUR8x14F_Quote</v>
      </c>
      <c r="H10" s="287" t="str">
        <f>_xll.qlFraRateHelper(,G10,B10,E10,Permanent,Trigger,ObjectOverwrite)</f>
        <v>obj_00783#0003</v>
      </c>
      <c r="I10" s="290" t="str">
        <f>_xll.ohRangeRetrieveError(H10)</f>
        <v/>
      </c>
      <c r="J10" s="282"/>
    </row>
    <row r="11" spans="1:10" x14ac:dyDescent="0.2">
      <c r="A11" s="231"/>
      <c r="B11" s="287" t="str">
        <f t="shared" si="0"/>
        <v>9M</v>
      </c>
      <c r="C11" s="288">
        <v>9</v>
      </c>
      <c r="D11" s="289" t="str">
        <f t="shared" si="1"/>
        <v>x15F</v>
      </c>
      <c r="E11" s="287" t="str">
        <f t="shared" si="2"/>
        <v>Euribor6M</v>
      </c>
      <c r="F11" s="251" t="b">
        <v>0</v>
      </c>
      <c r="G11" s="287" t="str">
        <f t="shared" si="3"/>
        <v>EUR9x15F_Quote</v>
      </c>
      <c r="H11" s="287" t="str">
        <f>_xll.qlFraRateHelper(,G11,B11,E11,Permanent,Trigger,ObjectOverwrite)</f>
        <v>obj_00785#0003</v>
      </c>
      <c r="I11" s="290" t="str">
        <f>_xll.ohRangeRetrieveError(H11)</f>
        <v/>
      </c>
      <c r="J11" s="282"/>
    </row>
    <row r="12" spans="1:10" x14ac:dyDescent="0.2">
      <c r="A12" s="231"/>
      <c r="B12" s="287" t="str">
        <f t="shared" si="0"/>
        <v>10M</v>
      </c>
      <c r="C12" s="288">
        <v>10</v>
      </c>
      <c r="D12" s="289" t="str">
        <f t="shared" si="1"/>
        <v>x16F</v>
      </c>
      <c r="E12" s="287" t="str">
        <f t="shared" si="2"/>
        <v>Euribor6M</v>
      </c>
      <c r="F12" s="251" t="b">
        <v>0</v>
      </c>
      <c r="G12" s="287" t="str">
        <f t="shared" si="3"/>
        <v>EUR10x16F_Quote</v>
      </c>
      <c r="H12" s="287" t="str">
        <f>_xll.qlFraRateHelper(,G12,B12,E12,Permanent,Trigger,ObjectOverwrite)</f>
        <v>obj_0077a#0003</v>
      </c>
      <c r="I12" s="290" t="str">
        <f>_xll.ohRangeRetrieveError(H12)</f>
        <v/>
      </c>
      <c r="J12" s="282"/>
    </row>
    <row r="13" spans="1:10" x14ac:dyDescent="0.2">
      <c r="A13" s="231"/>
      <c r="B13" s="287" t="str">
        <f t="shared" si="0"/>
        <v>11M</v>
      </c>
      <c r="C13" s="288">
        <v>11</v>
      </c>
      <c r="D13" s="289" t="str">
        <f t="shared" si="1"/>
        <v>x17F</v>
      </c>
      <c r="E13" s="287" t="str">
        <f t="shared" si="2"/>
        <v>Euribor6M</v>
      </c>
      <c r="F13" s="251" t="b">
        <v>0</v>
      </c>
      <c r="G13" s="287" t="str">
        <f t="shared" si="3"/>
        <v>EUR11x17F_Quote</v>
      </c>
      <c r="H13" s="287" t="str">
        <f>_xll.qlFraRateHelper(,G13,B13,E13,Permanent,Trigger,ObjectOverwrite)</f>
        <v>obj_0077f#0003</v>
      </c>
      <c r="I13" s="290" t="str">
        <f>_xll.ohRangeRetrieveError(H13)</f>
        <v/>
      </c>
      <c r="J13" s="282"/>
    </row>
    <row r="14" spans="1:10" x14ac:dyDescent="0.2">
      <c r="A14" s="231"/>
      <c r="B14" s="287" t="str">
        <f t="shared" si="0"/>
        <v>12M</v>
      </c>
      <c r="C14" s="288">
        <v>12</v>
      </c>
      <c r="D14" s="289" t="str">
        <f t="shared" si="1"/>
        <v>x18F</v>
      </c>
      <c r="E14" s="287" t="str">
        <f t="shared" si="2"/>
        <v>Euribor6M</v>
      </c>
      <c r="F14" s="251" t="b">
        <v>0</v>
      </c>
      <c r="G14" s="287" t="str">
        <f t="shared" si="3"/>
        <v>EUR12x18F_Quote</v>
      </c>
      <c r="H14" s="287" t="str">
        <f>_xll.qlFraRateHelper(,G14,B14,E14,Permanent,Trigger,ObjectOverwrite)</f>
        <v>obj_00782#0003</v>
      </c>
      <c r="I14" s="290" t="str">
        <f>_xll.ohRangeRetrieveError(H14)</f>
        <v/>
      </c>
      <c r="J14" s="282"/>
    </row>
    <row r="15" spans="1:10" x14ac:dyDescent="0.2">
      <c r="A15" s="231"/>
      <c r="B15" s="287" t="str">
        <f t="shared" si="0"/>
        <v>13M</v>
      </c>
      <c r="C15" s="288">
        <v>13</v>
      </c>
      <c r="D15" s="289" t="str">
        <f t="shared" si="1"/>
        <v>x19F</v>
      </c>
      <c r="E15" s="287" t="str">
        <f t="shared" si="2"/>
        <v>Euribor6M</v>
      </c>
      <c r="F15" s="251" t="b">
        <v>0</v>
      </c>
      <c r="G15" s="287" t="str">
        <f t="shared" si="3"/>
        <v>EUR13x19F_Quote</v>
      </c>
      <c r="H15" s="287" t="str">
        <f>_xll.qlFraRateHelper(,G15,B15,E15,Permanent,Trigger,ObjectOverwrite)</f>
        <v>obj_00775#0003</v>
      </c>
      <c r="I15" s="290" t="str">
        <f>_xll.ohRangeRetrieveError(H15)</f>
        <v/>
      </c>
      <c r="J15" s="282"/>
    </row>
    <row r="16" spans="1:10" x14ac:dyDescent="0.2">
      <c r="A16" s="231"/>
      <c r="B16" s="287" t="str">
        <f t="shared" si="0"/>
        <v>14M</v>
      </c>
      <c r="C16" s="288">
        <v>14</v>
      </c>
      <c r="D16" s="289" t="str">
        <f t="shared" si="1"/>
        <v>x20F</v>
      </c>
      <c r="E16" s="287" t="str">
        <f t="shared" si="2"/>
        <v>Euribor6M</v>
      </c>
      <c r="F16" s="251" t="b">
        <v>0</v>
      </c>
      <c r="G16" s="287" t="str">
        <f t="shared" si="3"/>
        <v>EUR14x20F_Quote</v>
      </c>
      <c r="H16" s="287" t="str">
        <f>_xll.qlFraRateHelper(,G16,B16,E16,Permanent,Trigger,ObjectOverwrite)</f>
        <v>obj_00780#0003</v>
      </c>
      <c r="I16" s="290" t="str">
        <f>_xll.ohRangeRetrieveError(H16)</f>
        <v/>
      </c>
      <c r="J16" s="282"/>
    </row>
    <row r="17" spans="1:10" x14ac:dyDescent="0.2">
      <c r="A17" s="231"/>
      <c r="B17" s="287" t="str">
        <f t="shared" si="0"/>
        <v>15M</v>
      </c>
      <c r="C17" s="288">
        <v>15</v>
      </c>
      <c r="D17" s="289" t="str">
        <f t="shared" si="1"/>
        <v>x21F</v>
      </c>
      <c r="E17" s="287" t="str">
        <f t="shared" si="2"/>
        <v>Euribor6M</v>
      </c>
      <c r="F17" s="251" t="b">
        <v>0</v>
      </c>
      <c r="G17" s="287" t="str">
        <f t="shared" si="3"/>
        <v>EUR15x21F_Quote</v>
      </c>
      <c r="H17" s="287" t="str">
        <f>_xll.qlFraRateHelper(,G17,B17,E17,Permanent,Trigger,ObjectOverwrite)</f>
        <v>obj_0077c#0003</v>
      </c>
      <c r="I17" s="290" t="str">
        <f>_xll.ohRangeRetrieveError(H17)</f>
        <v/>
      </c>
      <c r="J17" s="282"/>
    </row>
    <row r="18" spans="1:10" x14ac:dyDescent="0.2">
      <c r="A18" s="231"/>
      <c r="B18" s="287" t="str">
        <f t="shared" si="0"/>
        <v>16M</v>
      </c>
      <c r="C18" s="288">
        <v>16</v>
      </c>
      <c r="D18" s="289" t="str">
        <f t="shared" si="1"/>
        <v>x22F</v>
      </c>
      <c r="E18" s="287" t="str">
        <f t="shared" si="2"/>
        <v>Euribor6M</v>
      </c>
      <c r="F18" s="251" t="b">
        <v>0</v>
      </c>
      <c r="G18" s="287" t="str">
        <f t="shared" si="3"/>
        <v>EUR16x22F_Quote</v>
      </c>
      <c r="H18" s="287" t="str">
        <f>_xll.qlFraRateHelper(,G18,B18,E18,Permanent,Trigger,ObjectOverwrite)</f>
        <v>obj_00784#0003</v>
      </c>
      <c r="I18" s="290" t="str">
        <f>_xll.ohRangeRetrieveError(H18)</f>
        <v/>
      </c>
      <c r="J18" s="282"/>
    </row>
    <row r="19" spans="1:10" x14ac:dyDescent="0.2">
      <c r="A19" s="231"/>
      <c r="B19" s="287" t="str">
        <f t="shared" si="0"/>
        <v>17M</v>
      </c>
      <c r="C19" s="288">
        <v>17</v>
      </c>
      <c r="D19" s="289" t="str">
        <f t="shared" si="1"/>
        <v>x23F</v>
      </c>
      <c r="E19" s="287" t="str">
        <f t="shared" si="2"/>
        <v>Euribor6M</v>
      </c>
      <c r="F19" s="251" t="b">
        <v>0</v>
      </c>
      <c r="G19" s="287" t="str">
        <f t="shared" si="3"/>
        <v>EUR17x23F_Quote</v>
      </c>
      <c r="H19" s="287" t="str">
        <f>_xll.qlFraRateHelper(,G19,B19,E19,Permanent,Trigger,ObjectOverwrite)</f>
        <v>obj_007ab#0003</v>
      </c>
      <c r="I19" s="290" t="str">
        <f>_xll.ohRangeRetrieveError(H19)</f>
        <v/>
      </c>
      <c r="J19" s="282"/>
    </row>
    <row r="20" spans="1:10" x14ac:dyDescent="0.2">
      <c r="A20" s="231"/>
      <c r="B20" s="287" t="str">
        <f t="shared" si="0"/>
        <v>18M</v>
      </c>
      <c r="C20" s="288">
        <v>18</v>
      </c>
      <c r="D20" s="289" t="str">
        <f t="shared" si="1"/>
        <v>x24F</v>
      </c>
      <c r="E20" s="287" t="str">
        <f t="shared" si="2"/>
        <v>Euribor6M</v>
      </c>
      <c r="F20" s="251" t="b">
        <v>0</v>
      </c>
      <c r="G20" s="287" t="str">
        <f t="shared" si="3"/>
        <v>EUR18x24F_Quote</v>
      </c>
      <c r="H20" s="287" t="str">
        <f>_xll.qlFraRateHelper(,G20,B20,E20,Permanent,Trigger,ObjectOverwrite)</f>
        <v>obj_00776#0003</v>
      </c>
      <c r="I20" s="290" t="str">
        <f>_xll.ohRangeRetrieveError(H20)</f>
        <v/>
      </c>
      <c r="J20" s="282"/>
    </row>
    <row r="21" spans="1:10" ht="12" thickBot="1" x14ac:dyDescent="0.25">
      <c r="A21" s="267"/>
      <c r="B21" s="291"/>
      <c r="C21" s="291"/>
      <c r="D21" s="291"/>
      <c r="E21" s="291"/>
      <c r="F21" s="291"/>
      <c r="G21" s="291"/>
      <c r="H21" s="292"/>
      <c r="I21" s="292"/>
      <c r="J21" s="293"/>
    </row>
    <row r="23" spans="1:10" x14ac:dyDescent="0.2">
      <c r="H23" s="5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2"/>
  <sheetViews>
    <sheetView workbookViewId="0">
      <selection activeCell="L2" sqref="L2"/>
    </sheetView>
  </sheetViews>
  <sheetFormatPr defaultRowHeight="13.5" x14ac:dyDescent="0.25"/>
  <cols>
    <col min="1" max="1" width="2.7109375" style="235" customWidth="1"/>
    <col min="2" max="2" width="6" style="235" bestFit="1" customWidth="1"/>
    <col min="3" max="3" width="5.85546875" style="235" customWidth="1"/>
    <col min="4" max="4" width="4" style="235" bestFit="1" customWidth="1"/>
    <col min="5" max="6" width="3" style="235" bestFit="1" customWidth="1"/>
    <col min="7" max="7" width="7" style="235" bestFit="1" customWidth="1"/>
    <col min="8" max="8" width="19.28515625" style="235" bestFit="1" customWidth="1"/>
    <col min="9" max="9" width="20.28515625" style="235" bestFit="1" customWidth="1"/>
    <col min="10" max="10" width="8" style="235" bestFit="1" customWidth="1"/>
    <col min="11" max="11" width="17.28515625" style="235" bestFit="1" customWidth="1"/>
    <col min="12" max="12" width="22" style="271" bestFit="1" customWidth="1"/>
    <col min="13" max="13" width="20.7109375" style="235" customWidth="1"/>
    <col min="14" max="14" width="2.7109375" style="235" customWidth="1"/>
    <col min="15" max="15" width="2.5703125" style="235" customWidth="1"/>
    <col min="16" max="16" width="4" style="235" bestFit="1" customWidth="1"/>
    <col min="17" max="18" width="3" style="235" bestFit="1" customWidth="1"/>
    <col min="19" max="16384" width="9.140625" style="235"/>
  </cols>
  <sheetData>
    <row r="1" spans="1:18" x14ac:dyDescent="0.25">
      <c r="A1" s="231"/>
      <c r="B1" s="80"/>
      <c r="C1" s="232"/>
      <c r="D1" s="232"/>
      <c r="E1" s="232"/>
      <c r="F1" s="232"/>
      <c r="G1" s="232"/>
      <c r="H1" s="232"/>
      <c r="I1" s="232"/>
      <c r="J1" s="80" t="s">
        <v>81</v>
      </c>
      <c r="K1" s="80" t="str">
        <f>Currency&amp;"_YC"&amp;$J$1&amp;"RH"</f>
        <v>EUR_YC6MRH</v>
      </c>
      <c r="L1" s="233" t="str">
        <f>K1&amp;"_Swaps.xml"</f>
        <v>EUR_YC6MRH_Swaps.xml</v>
      </c>
      <c r="M1" s="232"/>
      <c r="N1" s="234"/>
    </row>
    <row r="2" spans="1:18" ht="25.5" customHeight="1" x14ac:dyDescent="0.25">
      <c r="A2" s="231"/>
      <c r="B2" s="236" t="s">
        <v>171</v>
      </c>
      <c r="C2" s="236" t="s">
        <v>113</v>
      </c>
      <c r="D2" s="236"/>
      <c r="E2" s="236"/>
      <c r="F2" s="236"/>
      <c r="G2" s="236" t="s">
        <v>112</v>
      </c>
      <c r="H2" s="236" t="s">
        <v>111</v>
      </c>
      <c r="I2" s="236" t="s">
        <v>110</v>
      </c>
      <c r="J2" s="236" t="s">
        <v>109</v>
      </c>
      <c r="K2" s="236" t="s">
        <v>91</v>
      </c>
      <c r="L2" s="237" t="str">
        <f>IF(Serialize,_xll.ohObjectSave(L3:L41,SerializationPath&amp;L1,FileOverwrite,Serialize),"---")</f>
        <v>---</v>
      </c>
      <c r="M2" s="238" t="str">
        <f>_xll.ohRangeRetrieveError(L2)</f>
        <v/>
      </c>
      <c r="N2" s="239"/>
    </row>
    <row r="3" spans="1:18" ht="11.25" customHeight="1" x14ac:dyDescent="0.25">
      <c r="A3" s="240"/>
      <c r="B3" s="232"/>
      <c r="C3" s="232"/>
      <c r="D3" s="232"/>
      <c r="E3" s="232"/>
      <c r="F3" s="232"/>
      <c r="G3" s="232"/>
      <c r="H3" s="232"/>
      <c r="I3" s="232"/>
      <c r="J3" s="232"/>
      <c r="K3" s="232"/>
      <c r="L3" s="241" t="str">
        <f>IF(UPPER(FamilyName)="IBOR",_xll.qlEuribor(,$J$1,,Permanent,Trigger,ObjectOverwrite),IF(UPPER(FamilyName)="LIBOR",_xll.qlLibor(,Currency,$J$1,,Permanent,Trigger,ObjectOverwrite),"--"))</f>
        <v>obj_00772#0003</v>
      </c>
      <c r="M3" s="242" t="str">
        <f>_xll.ohRangeRetrieveError(L3)</f>
        <v/>
      </c>
      <c r="N3" s="234"/>
    </row>
    <row r="4" spans="1:18" s="50" customFormat="1" ht="11.25" customHeight="1" thickBot="1" x14ac:dyDescent="0.25">
      <c r="A4" s="240"/>
      <c r="B4" s="232"/>
      <c r="C4" s="232"/>
      <c r="D4" s="232"/>
      <c r="E4" s="232"/>
      <c r="F4" s="232"/>
      <c r="G4" s="232"/>
      <c r="H4" s="232"/>
      <c r="I4" s="232"/>
      <c r="J4" s="232"/>
      <c r="K4" s="232"/>
      <c r="L4" s="232"/>
      <c r="M4" s="232"/>
      <c r="N4" s="234"/>
    </row>
    <row r="5" spans="1:18" ht="11.25" customHeight="1" x14ac:dyDescent="0.25">
      <c r="A5" s="231"/>
      <c r="B5" s="243">
        <v>2</v>
      </c>
      <c r="C5" s="243" t="s">
        <v>103</v>
      </c>
      <c r="D5" s="243" t="s">
        <v>36</v>
      </c>
      <c r="E5" s="243" t="str">
        <f t="array" ref="E5:E41">VLOOKUP(Currency,Conventions,2)</f>
        <v>AB</v>
      </c>
      <c r="F5" s="243" t="str">
        <f t="array" ref="F5:F41">VLOOKUP(Currency,Conventions,3)</f>
        <v>6E</v>
      </c>
      <c r="G5" s="244" t="str">
        <f t="shared" ref="G5:G41" si="0">IF(UPPER(LEFT($E5))="A","Annual",IF(UPPER(LEFT($E5))="S","Semiannual","--"))</f>
        <v>Annual</v>
      </c>
      <c r="H5" s="244" t="s">
        <v>105</v>
      </c>
      <c r="I5" s="244" t="str">
        <f t="shared" ref="I5:I41" si="1">IF(UPPER(RIGHT($E5))="B",BondBasisDayCounter,IF(UPPER(RIGHT($E5))="M",MoneyMarketDayCounter,"--"))</f>
        <v>30/360 (Bond Basis)</v>
      </c>
      <c r="J5" s="245">
        <v>0</v>
      </c>
      <c r="K5" s="246" t="str">
        <f t="shared" ref="K5:K41" si="2">Currency&amp;$E5&amp;$F5&amp;$D5&amp;QuoteSuffix</f>
        <v>EURAB6E1Y_Quote</v>
      </c>
      <c r="L5" s="247" t="str">
        <f>_xll.qlSwapRateHelper2(,$K5,$B5,$D5,Calendar,$G5,$H5,$I5,$L$3,$J5,C5,Discounting,Permanent,,ObjectOverwrite)</f>
        <v>obj_007a0#0003</v>
      </c>
      <c r="M5" s="248" t="str">
        <f>_xll.ohRangeRetrieveError(L5)</f>
        <v/>
      </c>
      <c r="N5" s="239"/>
      <c r="P5" s="195" t="s">
        <v>78</v>
      </c>
      <c r="Q5" s="249" t="s">
        <v>75</v>
      </c>
      <c r="R5" s="250" t="s">
        <v>106</v>
      </c>
    </row>
    <row r="6" spans="1:18" ht="11.25" customHeight="1" x14ac:dyDescent="0.25">
      <c r="A6" s="231"/>
      <c r="B6" s="251">
        <v>2</v>
      </c>
      <c r="C6" s="251" t="s">
        <v>103</v>
      </c>
      <c r="D6" s="251" t="s">
        <v>35</v>
      </c>
      <c r="E6" s="251" t="str">
        <v>AB</v>
      </c>
      <c r="F6" s="251" t="str">
        <v>6E</v>
      </c>
      <c r="G6" s="252" t="str">
        <f t="shared" si="0"/>
        <v>Annual</v>
      </c>
      <c r="H6" s="252" t="s">
        <v>105</v>
      </c>
      <c r="I6" s="252" t="str">
        <f t="shared" si="1"/>
        <v>30/360 (Bond Basis)</v>
      </c>
      <c r="J6" s="253">
        <v>0</v>
      </c>
      <c r="K6" s="254" t="str">
        <f t="shared" si="2"/>
        <v>EURAB6E15M_Quote</v>
      </c>
      <c r="L6" s="255" t="str">
        <f>_xll.qlSwapRateHelper2(,$K6,$B6,$D6,Calendar,$G6,$H6,$I6,$L$3,$J6,C6,Discounting,Permanent,,ObjectOverwrite)</f>
        <v>obj_00792#0003</v>
      </c>
      <c r="M6" s="256" t="str">
        <f>_xll.ohRangeRetrieveError(L6)</f>
        <v/>
      </c>
      <c r="N6" s="239"/>
      <c r="P6" s="105" t="s">
        <v>76</v>
      </c>
      <c r="Q6" s="257" t="s">
        <v>75</v>
      </c>
      <c r="R6" s="258" t="s">
        <v>108</v>
      </c>
    </row>
    <row r="7" spans="1:18" ht="11.25" customHeight="1" x14ac:dyDescent="0.25">
      <c r="A7" s="231"/>
      <c r="B7" s="251">
        <v>2</v>
      </c>
      <c r="C7" s="251" t="s">
        <v>103</v>
      </c>
      <c r="D7" s="251" t="s">
        <v>34</v>
      </c>
      <c r="E7" s="251" t="str">
        <v>AB</v>
      </c>
      <c r="F7" s="251" t="str">
        <v>6E</v>
      </c>
      <c r="G7" s="252" t="str">
        <f t="shared" si="0"/>
        <v>Annual</v>
      </c>
      <c r="H7" s="252" t="s">
        <v>105</v>
      </c>
      <c r="I7" s="252" t="str">
        <f>IF(UPPER(RIGHT($E7))="B",BondBasisDayCounter,IF(UPPER(RIGHT($E7))="M",MoneyMarketDayCounter,"--"))</f>
        <v>30/360 (Bond Basis)</v>
      </c>
      <c r="J7" s="253">
        <v>0</v>
      </c>
      <c r="K7" s="254" t="str">
        <f t="shared" si="2"/>
        <v>EURAB6E18M_Quote</v>
      </c>
      <c r="L7" s="255" t="str">
        <f>_xll.qlSwapRateHelper2(,$K7,$B7,$D7,Calendar,$G7,$H7,$I7,$L$3,$J7,C7,Discounting,Permanent,,ObjectOverwrite)</f>
        <v>obj_00778#0003</v>
      </c>
      <c r="M7" s="256" t="str">
        <f>_xll.ohRangeRetrieveError(L7)</f>
        <v/>
      </c>
      <c r="N7" s="239"/>
      <c r="P7" s="105" t="s">
        <v>73</v>
      </c>
      <c r="Q7" s="257" t="s">
        <v>107</v>
      </c>
      <c r="R7" s="258" t="s">
        <v>106</v>
      </c>
    </row>
    <row r="8" spans="1:18" ht="11.25" customHeight="1" x14ac:dyDescent="0.25">
      <c r="A8" s="231"/>
      <c r="B8" s="251">
        <v>2</v>
      </c>
      <c r="C8" s="251" t="s">
        <v>103</v>
      </c>
      <c r="D8" s="251" t="s">
        <v>33</v>
      </c>
      <c r="E8" s="251" t="str">
        <v>AB</v>
      </c>
      <c r="F8" s="251" t="str">
        <v>6E</v>
      </c>
      <c r="G8" s="252" t="str">
        <f t="shared" si="0"/>
        <v>Annual</v>
      </c>
      <c r="H8" s="252" t="s">
        <v>105</v>
      </c>
      <c r="I8" s="252" t="str">
        <f t="shared" si="1"/>
        <v>30/360 (Bond Basis)</v>
      </c>
      <c r="J8" s="253">
        <v>0</v>
      </c>
      <c r="K8" s="254" t="str">
        <f t="shared" si="2"/>
        <v>EURAB6E21M_Quote</v>
      </c>
      <c r="L8" s="255" t="str">
        <f>_xll.qlSwapRateHelper2(,$K8,$B8,$D8,Calendar,$G8,$H8,$I8,$L$3,$J8,C8,Discounting,Permanent,,ObjectOverwrite)</f>
        <v>obj_007a8#0003</v>
      </c>
      <c r="M8" s="256" t="str">
        <f>_xll.ohRangeRetrieveError(L8)</f>
        <v/>
      </c>
      <c r="N8" s="239"/>
      <c r="P8" s="105" t="s">
        <v>71</v>
      </c>
      <c r="Q8" s="257" t="s">
        <v>107</v>
      </c>
      <c r="R8" s="258" t="s">
        <v>106</v>
      </c>
    </row>
    <row r="9" spans="1:18" ht="11.25" customHeight="1" thickBot="1" x14ac:dyDescent="0.3">
      <c r="A9" s="231"/>
      <c r="B9" s="251">
        <v>2</v>
      </c>
      <c r="C9" s="251" t="s">
        <v>103</v>
      </c>
      <c r="D9" s="251" t="s">
        <v>32</v>
      </c>
      <c r="E9" s="251" t="str">
        <v>AB</v>
      </c>
      <c r="F9" s="251" t="str">
        <v>6E</v>
      </c>
      <c r="G9" s="252" t="str">
        <f t="shared" si="0"/>
        <v>Annual</v>
      </c>
      <c r="H9" s="252" t="s">
        <v>105</v>
      </c>
      <c r="I9" s="252" t="str">
        <f t="shared" si="1"/>
        <v>30/360 (Bond Basis)</v>
      </c>
      <c r="J9" s="253">
        <v>0</v>
      </c>
      <c r="K9" s="254" t="str">
        <f t="shared" si="2"/>
        <v>EURAB6E2Y_Quote</v>
      </c>
      <c r="L9" s="255" t="str">
        <f>_xll.qlSwapRateHelper2(,$K9,$B9,$D9,Calendar,$G9,$H9,$I9,$L$3,$J9,C9,Discounting,Permanent,,ObjectOverwrite)</f>
        <v>obj_0079c#0003</v>
      </c>
      <c r="M9" s="256" t="str">
        <f>_xll.ohRangeRetrieveError(L9)</f>
        <v/>
      </c>
      <c r="N9" s="239"/>
      <c r="P9" s="106" t="s">
        <v>69</v>
      </c>
      <c r="Q9" s="259" t="s">
        <v>68</v>
      </c>
      <c r="R9" s="260" t="s">
        <v>106</v>
      </c>
    </row>
    <row r="10" spans="1:18" ht="11.25" customHeight="1" x14ac:dyDescent="0.25">
      <c r="A10" s="231"/>
      <c r="B10" s="251">
        <v>2</v>
      </c>
      <c r="C10" s="251" t="s">
        <v>103</v>
      </c>
      <c r="D10" s="251" t="s">
        <v>31</v>
      </c>
      <c r="E10" s="251" t="str">
        <v>AB</v>
      </c>
      <c r="F10" s="251" t="str">
        <v>6E</v>
      </c>
      <c r="G10" s="252" t="str">
        <f t="shared" si="0"/>
        <v>Annual</v>
      </c>
      <c r="H10" s="252" t="s">
        <v>105</v>
      </c>
      <c r="I10" s="252" t="str">
        <f t="shared" si="1"/>
        <v>30/360 (Bond Basis)</v>
      </c>
      <c r="J10" s="253">
        <v>0</v>
      </c>
      <c r="K10" s="254" t="str">
        <f t="shared" si="2"/>
        <v>EURAB6E3Y_Quote</v>
      </c>
      <c r="L10" s="255" t="str">
        <f>_xll.qlSwapRateHelper2(,$K10,$B10,$D10,Calendar,$G10,$H10,$I10,$L$3,$J10,C10,Discounting,Permanent,,ObjectOverwrite)</f>
        <v>obj_0078a#0003</v>
      </c>
      <c r="M10" s="256" t="str">
        <f>_xll.ohRangeRetrieveError(L10)</f>
        <v/>
      </c>
      <c r="N10" s="239"/>
    </row>
    <row r="11" spans="1:18" ht="11.25" customHeight="1" x14ac:dyDescent="0.25">
      <c r="A11" s="231"/>
      <c r="B11" s="251">
        <v>2</v>
      </c>
      <c r="C11" s="251" t="s">
        <v>103</v>
      </c>
      <c r="D11" s="251" t="s">
        <v>30</v>
      </c>
      <c r="E11" s="251" t="str">
        <v>AB</v>
      </c>
      <c r="F11" s="251" t="str">
        <v>6E</v>
      </c>
      <c r="G11" s="252" t="str">
        <f t="shared" si="0"/>
        <v>Annual</v>
      </c>
      <c r="H11" s="252" t="s">
        <v>105</v>
      </c>
      <c r="I11" s="252" t="str">
        <f t="shared" si="1"/>
        <v>30/360 (Bond Basis)</v>
      </c>
      <c r="J11" s="253">
        <v>0</v>
      </c>
      <c r="K11" s="254" t="str">
        <f t="shared" si="2"/>
        <v>EURAB6E4Y_Quote</v>
      </c>
      <c r="L11" s="255" t="str">
        <f>_xll.qlSwapRateHelper2(,$K11,$B11,$D11,Calendar,$G11,$H11,$I11,$L$3,$J11,C11,Discounting,Permanent,,ObjectOverwrite)</f>
        <v>obj_00787#0003</v>
      </c>
      <c r="M11" s="256" t="str">
        <f>_xll.ohRangeRetrieveError(L11)</f>
        <v/>
      </c>
      <c r="N11" s="239"/>
    </row>
    <row r="12" spans="1:18" ht="11.25" customHeight="1" x14ac:dyDescent="0.25">
      <c r="A12" s="231"/>
      <c r="B12" s="251">
        <v>2</v>
      </c>
      <c r="C12" s="251" t="s">
        <v>103</v>
      </c>
      <c r="D12" s="251" t="s">
        <v>29</v>
      </c>
      <c r="E12" s="251" t="str">
        <v>AB</v>
      </c>
      <c r="F12" s="251" t="str">
        <v>6E</v>
      </c>
      <c r="G12" s="252" t="str">
        <f t="shared" si="0"/>
        <v>Annual</v>
      </c>
      <c r="H12" s="252" t="s">
        <v>105</v>
      </c>
      <c r="I12" s="252" t="str">
        <f t="shared" si="1"/>
        <v>30/360 (Bond Basis)</v>
      </c>
      <c r="J12" s="253">
        <v>0</v>
      </c>
      <c r="K12" s="254" t="str">
        <f t="shared" si="2"/>
        <v>EURAB6E5Y_Quote</v>
      </c>
      <c r="L12" s="255" t="str">
        <f>_xll.qlSwapRateHelper2(,$K12,$B12,$D12,Calendar,$G12,$H12,$I12,$L$3,$J12,C12,Discounting,Permanent,,ObjectOverwrite)</f>
        <v>obj_00798#0003</v>
      </c>
      <c r="M12" s="256" t="str">
        <f>_xll.ohRangeRetrieveError(L12)</f>
        <v/>
      </c>
      <c r="N12" s="239"/>
    </row>
    <row r="13" spans="1:18" ht="11.25" customHeight="1" x14ac:dyDescent="0.25">
      <c r="A13" s="231"/>
      <c r="B13" s="251">
        <v>2</v>
      </c>
      <c r="C13" s="251" t="s">
        <v>103</v>
      </c>
      <c r="D13" s="251" t="s">
        <v>28</v>
      </c>
      <c r="E13" s="251" t="str">
        <v>AB</v>
      </c>
      <c r="F13" s="251" t="str">
        <v>6E</v>
      </c>
      <c r="G13" s="252" t="str">
        <f t="shared" si="0"/>
        <v>Annual</v>
      </c>
      <c r="H13" s="252" t="s">
        <v>105</v>
      </c>
      <c r="I13" s="252" t="str">
        <f t="shared" si="1"/>
        <v>30/360 (Bond Basis)</v>
      </c>
      <c r="J13" s="253">
        <v>0</v>
      </c>
      <c r="K13" s="254" t="str">
        <f t="shared" si="2"/>
        <v>EURAB6E6Y_Quote</v>
      </c>
      <c r="L13" s="255" t="str">
        <f>_xll.qlSwapRateHelper2(,$K13,$B13,$D13,Calendar,$G13,$H13,$I13,$L$3,$J13,C13,Discounting,Permanent,,ObjectOverwrite)</f>
        <v>obj_007a9#0003</v>
      </c>
      <c r="M13" s="256" t="str">
        <f>_xll.ohRangeRetrieveError(L13)</f>
        <v/>
      </c>
      <c r="N13" s="239"/>
    </row>
    <row r="14" spans="1:18" ht="11.25" customHeight="1" x14ac:dyDescent="0.25">
      <c r="A14" s="231"/>
      <c r="B14" s="251">
        <v>2</v>
      </c>
      <c r="C14" s="251" t="s">
        <v>103</v>
      </c>
      <c r="D14" s="251" t="s">
        <v>27</v>
      </c>
      <c r="E14" s="251" t="str">
        <v>AB</v>
      </c>
      <c r="F14" s="251" t="str">
        <v>6E</v>
      </c>
      <c r="G14" s="252" t="str">
        <f t="shared" si="0"/>
        <v>Annual</v>
      </c>
      <c r="H14" s="252" t="s">
        <v>105</v>
      </c>
      <c r="I14" s="252" t="str">
        <f t="shared" si="1"/>
        <v>30/360 (Bond Basis)</v>
      </c>
      <c r="J14" s="253">
        <v>0</v>
      </c>
      <c r="K14" s="254" t="str">
        <f t="shared" si="2"/>
        <v>EURAB6E7Y_Quote</v>
      </c>
      <c r="L14" s="255" t="str">
        <f>_xll.qlSwapRateHelper2(,$K14,$B14,$D14,Calendar,$G14,$H14,$I14,$L$3,$J14,C14,Discounting,Permanent,,ObjectOverwrite)</f>
        <v>obj_007a3#0003</v>
      </c>
      <c r="M14" s="256" t="str">
        <f>_xll.ohRangeRetrieveError(L14)</f>
        <v/>
      </c>
      <c r="N14" s="239"/>
    </row>
    <row r="15" spans="1:18" ht="11.25" customHeight="1" x14ac:dyDescent="0.25">
      <c r="A15" s="231"/>
      <c r="B15" s="251">
        <v>2</v>
      </c>
      <c r="C15" s="251" t="s">
        <v>103</v>
      </c>
      <c r="D15" s="251" t="s">
        <v>26</v>
      </c>
      <c r="E15" s="251" t="str">
        <v>AB</v>
      </c>
      <c r="F15" s="251" t="str">
        <v>6E</v>
      </c>
      <c r="G15" s="252" t="str">
        <f t="shared" si="0"/>
        <v>Annual</v>
      </c>
      <c r="H15" s="252" t="s">
        <v>105</v>
      </c>
      <c r="I15" s="252" t="str">
        <f t="shared" si="1"/>
        <v>30/360 (Bond Basis)</v>
      </c>
      <c r="J15" s="253">
        <v>0</v>
      </c>
      <c r="K15" s="254" t="str">
        <f t="shared" si="2"/>
        <v>EURAB6E8Y_Quote</v>
      </c>
      <c r="L15" s="255" t="str">
        <f>_xll.qlSwapRateHelper2(,$K15,$B15,$D15,Calendar,$G15,$H15,$I15,$L$3,$J15,C15,Discounting,Permanent,,ObjectOverwrite)</f>
        <v>obj_0079e#0003</v>
      </c>
      <c r="M15" s="256" t="str">
        <f>_xll.ohRangeRetrieveError(L15)</f>
        <v/>
      </c>
      <c r="N15" s="239"/>
    </row>
    <row r="16" spans="1:18" ht="11.25" customHeight="1" x14ac:dyDescent="0.25">
      <c r="A16" s="231"/>
      <c r="B16" s="251">
        <v>2</v>
      </c>
      <c r="C16" s="251" t="s">
        <v>103</v>
      </c>
      <c r="D16" s="251" t="s">
        <v>25</v>
      </c>
      <c r="E16" s="251" t="str">
        <v>AB</v>
      </c>
      <c r="F16" s="251" t="str">
        <v>6E</v>
      </c>
      <c r="G16" s="252" t="str">
        <f t="shared" si="0"/>
        <v>Annual</v>
      </c>
      <c r="H16" s="252" t="s">
        <v>105</v>
      </c>
      <c r="I16" s="252" t="str">
        <f t="shared" si="1"/>
        <v>30/360 (Bond Basis)</v>
      </c>
      <c r="J16" s="253">
        <v>0</v>
      </c>
      <c r="K16" s="254" t="str">
        <f t="shared" si="2"/>
        <v>EURAB6E9Y_Quote</v>
      </c>
      <c r="L16" s="255" t="str">
        <f>_xll.qlSwapRateHelper2(,$K16,$B16,$D16,Calendar,$G16,$H16,$I16,$L$3,$J16,C16,Discounting,Permanent,,ObjectOverwrite)</f>
        <v>obj_0079d#0003</v>
      </c>
      <c r="M16" s="256" t="str">
        <f>_xll.ohRangeRetrieveError(L16)</f>
        <v/>
      </c>
      <c r="N16" s="239"/>
    </row>
    <row r="17" spans="1:14" ht="11.25" customHeight="1" x14ac:dyDescent="0.25">
      <c r="A17" s="231"/>
      <c r="B17" s="251">
        <v>2</v>
      </c>
      <c r="C17" s="251" t="s">
        <v>103</v>
      </c>
      <c r="D17" s="251" t="s">
        <v>24</v>
      </c>
      <c r="E17" s="251" t="str">
        <v>AB</v>
      </c>
      <c r="F17" s="251" t="str">
        <v>6E</v>
      </c>
      <c r="G17" s="252" t="str">
        <f t="shared" si="0"/>
        <v>Annual</v>
      </c>
      <c r="H17" s="252" t="s">
        <v>105</v>
      </c>
      <c r="I17" s="252" t="str">
        <f t="shared" si="1"/>
        <v>30/360 (Bond Basis)</v>
      </c>
      <c r="J17" s="253">
        <v>0</v>
      </c>
      <c r="K17" s="254" t="str">
        <f t="shared" si="2"/>
        <v>EURAB6E10Y_Quote</v>
      </c>
      <c r="L17" s="255" t="str">
        <f>_xll.qlSwapRateHelper2(,$K17,$B17,$D17,Calendar,$G17,$H17,$I17,$L$3,$J17,C17,Discounting,Permanent,,ObjectOverwrite)</f>
        <v>obj_0078d#0003</v>
      </c>
      <c r="M17" s="256" t="str">
        <f>_xll.ohRangeRetrieveError(L17)</f>
        <v/>
      </c>
      <c r="N17" s="239"/>
    </row>
    <row r="18" spans="1:14" ht="11.25" customHeight="1" x14ac:dyDescent="0.25">
      <c r="A18" s="231"/>
      <c r="B18" s="251">
        <v>2</v>
      </c>
      <c r="C18" s="251" t="s">
        <v>103</v>
      </c>
      <c r="D18" s="251" t="s">
        <v>23</v>
      </c>
      <c r="E18" s="251" t="str">
        <v>AB</v>
      </c>
      <c r="F18" s="251" t="str">
        <v>6E</v>
      </c>
      <c r="G18" s="252" t="str">
        <f t="shared" si="0"/>
        <v>Annual</v>
      </c>
      <c r="H18" s="252" t="s">
        <v>105</v>
      </c>
      <c r="I18" s="252" t="str">
        <f t="shared" si="1"/>
        <v>30/360 (Bond Basis)</v>
      </c>
      <c r="J18" s="253">
        <v>0</v>
      </c>
      <c r="K18" s="254" t="str">
        <f t="shared" si="2"/>
        <v>EURAB6E11Y_Quote</v>
      </c>
      <c r="L18" s="255" t="str">
        <f>_xll.qlSwapRateHelper2(,$K18,$B18,$D18,Calendar,$G18,$H18,$I18,$L$3,$J18,C18,Discounting,Permanent,,ObjectOverwrite)</f>
        <v>obj_0078f#0003</v>
      </c>
      <c r="M18" s="256" t="str">
        <f>_xll.ohRangeRetrieveError(L18)</f>
        <v/>
      </c>
      <c r="N18" s="239"/>
    </row>
    <row r="19" spans="1:14" ht="11.25" customHeight="1" x14ac:dyDescent="0.25">
      <c r="A19" s="231"/>
      <c r="B19" s="251">
        <v>2</v>
      </c>
      <c r="C19" s="251" t="s">
        <v>103</v>
      </c>
      <c r="D19" s="251" t="s">
        <v>22</v>
      </c>
      <c r="E19" s="251" t="str">
        <v>AB</v>
      </c>
      <c r="F19" s="251" t="str">
        <v>6E</v>
      </c>
      <c r="G19" s="252" t="str">
        <f t="shared" si="0"/>
        <v>Annual</v>
      </c>
      <c r="H19" s="252" t="s">
        <v>105</v>
      </c>
      <c r="I19" s="252" t="str">
        <f t="shared" si="1"/>
        <v>30/360 (Bond Basis)</v>
      </c>
      <c r="J19" s="253">
        <v>0</v>
      </c>
      <c r="K19" s="254" t="str">
        <f t="shared" si="2"/>
        <v>EURAB6E12Y_Quote</v>
      </c>
      <c r="L19" s="255" t="str">
        <f>_xll.qlSwapRateHelper2(,$K19,$B19,$D19,Calendar,$G19,$H19,$I19,$L$3,$J19,C19,Discounting,Permanent,,ObjectOverwrite)</f>
        <v>obj_007a7#0003</v>
      </c>
      <c r="M19" s="256" t="str">
        <f>_xll.ohRangeRetrieveError(L19)</f>
        <v/>
      </c>
      <c r="N19" s="239"/>
    </row>
    <row r="20" spans="1:14" ht="11.25" customHeight="1" x14ac:dyDescent="0.25">
      <c r="A20" s="231"/>
      <c r="B20" s="251">
        <v>2</v>
      </c>
      <c r="C20" s="251" t="s">
        <v>103</v>
      </c>
      <c r="D20" s="251" t="s">
        <v>21</v>
      </c>
      <c r="E20" s="251" t="str">
        <v>AB</v>
      </c>
      <c r="F20" s="251" t="str">
        <v>6E</v>
      </c>
      <c r="G20" s="252" t="str">
        <f t="shared" si="0"/>
        <v>Annual</v>
      </c>
      <c r="H20" s="252" t="s">
        <v>105</v>
      </c>
      <c r="I20" s="252" t="str">
        <f t="shared" si="1"/>
        <v>30/360 (Bond Basis)</v>
      </c>
      <c r="J20" s="253">
        <v>0</v>
      </c>
      <c r="K20" s="254" t="str">
        <f t="shared" si="2"/>
        <v>EURAB6E13Y_Quote</v>
      </c>
      <c r="L20" s="255" t="str">
        <f>_xll.qlSwapRateHelper2(,$K20,$B20,$D20,Calendar,$G20,$H20,$I20,$L$3,$J20,C20,Discounting,Permanent,,ObjectOverwrite)</f>
        <v>obj_007a6#0003</v>
      </c>
      <c r="M20" s="256" t="str">
        <f>_xll.ohRangeRetrieveError(L20)</f>
        <v/>
      </c>
      <c r="N20" s="239"/>
    </row>
    <row r="21" spans="1:14" ht="11.25" customHeight="1" x14ac:dyDescent="0.25">
      <c r="A21" s="231"/>
      <c r="B21" s="251">
        <v>2</v>
      </c>
      <c r="C21" s="251" t="s">
        <v>103</v>
      </c>
      <c r="D21" s="251" t="s">
        <v>20</v>
      </c>
      <c r="E21" s="251" t="str">
        <v>AB</v>
      </c>
      <c r="F21" s="251" t="str">
        <v>6E</v>
      </c>
      <c r="G21" s="252" t="str">
        <f t="shared" si="0"/>
        <v>Annual</v>
      </c>
      <c r="H21" s="252" t="s">
        <v>105</v>
      </c>
      <c r="I21" s="252" t="str">
        <f t="shared" si="1"/>
        <v>30/360 (Bond Basis)</v>
      </c>
      <c r="J21" s="253">
        <v>0</v>
      </c>
      <c r="K21" s="254" t="str">
        <f t="shared" si="2"/>
        <v>EURAB6E14Y_Quote</v>
      </c>
      <c r="L21" s="255" t="str">
        <f>_xll.qlSwapRateHelper2(,$K21,$B21,$D21,Calendar,$G21,$H21,$I21,$L$3,$J21,C21,Discounting,Permanent,,ObjectOverwrite)</f>
        <v>obj_00793#0003</v>
      </c>
      <c r="M21" s="256" t="str">
        <f>_xll.ohRangeRetrieveError(L21)</f>
        <v/>
      </c>
      <c r="N21" s="239"/>
    </row>
    <row r="22" spans="1:14" ht="11.25" customHeight="1" x14ac:dyDescent="0.25">
      <c r="A22" s="231"/>
      <c r="B22" s="251">
        <v>2</v>
      </c>
      <c r="C22" s="251" t="s">
        <v>103</v>
      </c>
      <c r="D22" s="251" t="s">
        <v>19</v>
      </c>
      <c r="E22" s="251" t="str">
        <v>AB</v>
      </c>
      <c r="F22" s="251" t="str">
        <v>6E</v>
      </c>
      <c r="G22" s="252" t="str">
        <f t="shared" si="0"/>
        <v>Annual</v>
      </c>
      <c r="H22" s="252" t="s">
        <v>105</v>
      </c>
      <c r="I22" s="252" t="str">
        <f t="shared" si="1"/>
        <v>30/360 (Bond Basis)</v>
      </c>
      <c r="J22" s="253">
        <v>0</v>
      </c>
      <c r="K22" s="254" t="str">
        <f t="shared" si="2"/>
        <v>EURAB6E15Y_Quote</v>
      </c>
      <c r="L22" s="255" t="str">
        <f>_xll.qlSwapRateHelper2(,$K22,$B22,$D22,Calendar,$G22,$H22,$I22,$L$3,$J22,C22,Discounting,Permanent,,ObjectOverwrite)</f>
        <v>obj_007a2#0003</v>
      </c>
      <c r="M22" s="256" t="str">
        <f>_xll.ohRangeRetrieveError(L22)</f>
        <v/>
      </c>
      <c r="N22" s="239"/>
    </row>
    <row r="23" spans="1:14" ht="11.25" customHeight="1" x14ac:dyDescent="0.25">
      <c r="A23" s="231"/>
      <c r="B23" s="251">
        <v>2</v>
      </c>
      <c r="C23" s="251" t="s">
        <v>103</v>
      </c>
      <c r="D23" s="251" t="s">
        <v>18</v>
      </c>
      <c r="E23" s="251" t="str">
        <v>AB</v>
      </c>
      <c r="F23" s="251" t="str">
        <v>6E</v>
      </c>
      <c r="G23" s="252" t="str">
        <f t="shared" si="0"/>
        <v>Annual</v>
      </c>
      <c r="H23" s="252" t="s">
        <v>105</v>
      </c>
      <c r="I23" s="252" t="str">
        <f t="shared" si="1"/>
        <v>30/360 (Bond Basis)</v>
      </c>
      <c r="J23" s="253">
        <v>0</v>
      </c>
      <c r="K23" s="254" t="str">
        <f t="shared" si="2"/>
        <v>EURAB6E16Y_Quote</v>
      </c>
      <c r="L23" s="255" t="str">
        <f>_xll.qlSwapRateHelper2(,$K23,$B23,$D23,Calendar,$G23,$H23,$I23,$L$3,$J23,C23,Discounting,Permanent,,ObjectOverwrite)</f>
        <v>obj_0079a#0003</v>
      </c>
      <c r="M23" s="256" t="str">
        <f>_xll.ohRangeRetrieveError(L23)</f>
        <v/>
      </c>
      <c r="N23" s="239"/>
    </row>
    <row r="24" spans="1:14" ht="11.25" customHeight="1" x14ac:dyDescent="0.25">
      <c r="A24" s="231"/>
      <c r="B24" s="251">
        <v>2</v>
      </c>
      <c r="C24" s="251" t="s">
        <v>103</v>
      </c>
      <c r="D24" s="251" t="s">
        <v>17</v>
      </c>
      <c r="E24" s="251" t="str">
        <v>AB</v>
      </c>
      <c r="F24" s="251" t="str">
        <v>6E</v>
      </c>
      <c r="G24" s="252" t="str">
        <f t="shared" si="0"/>
        <v>Annual</v>
      </c>
      <c r="H24" s="252" t="s">
        <v>105</v>
      </c>
      <c r="I24" s="252" t="str">
        <f t="shared" si="1"/>
        <v>30/360 (Bond Basis)</v>
      </c>
      <c r="J24" s="253">
        <v>0</v>
      </c>
      <c r="K24" s="254" t="str">
        <f t="shared" si="2"/>
        <v>EURAB6E17Y_Quote</v>
      </c>
      <c r="L24" s="255" t="str">
        <f>_xll.qlSwapRateHelper2(,$K24,$B24,$D24,Calendar,$G24,$H24,$I24,$L$3,$J24,C24,Discounting,Permanent,,ObjectOverwrite)</f>
        <v>obj_00795#0003</v>
      </c>
      <c r="M24" s="256" t="str">
        <f>_xll.ohRangeRetrieveError(L24)</f>
        <v/>
      </c>
      <c r="N24" s="239"/>
    </row>
    <row r="25" spans="1:14" ht="11.25" customHeight="1" x14ac:dyDescent="0.25">
      <c r="A25" s="231"/>
      <c r="B25" s="251">
        <v>2</v>
      </c>
      <c r="C25" s="251" t="s">
        <v>103</v>
      </c>
      <c r="D25" s="251" t="s">
        <v>16</v>
      </c>
      <c r="E25" s="251" t="str">
        <v>AB</v>
      </c>
      <c r="F25" s="251" t="str">
        <v>6E</v>
      </c>
      <c r="G25" s="252" t="str">
        <f t="shared" si="0"/>
        <v>Annual</v>
      </c>
      <c r="H25" s="252" t="s">
        <v>105</v>
      </c>
      <c r="I25" s="252" t="str">
        <f t="shared" si="1"/>
        <v>30/360 (Bond Basis)</v>
      </c>
      <c r="J25" s="253">
        <v>0</v>
      </c>
      <c r="K25" s="254" t="str">
        <f t="shared" si="2"/>
        <v>EURAB6E18Y_Quote</v>
      </c>
      <c r="L25" s="255" t="str">
        <f>_xll.qlSwapRateHelper2(,$K25,$B25,$D25,Calendar,$G25,$H25,$I25,$L$3,$J25,C25,Discounting,Permanent,,ObjectOverwrite)</f>
        <v>obj_00799#0003</v>
      </c>
      <c r="M25" s="256" t="str">
        <f>_xll.ohRangeRetrieveError(L25)</f>
        <v/>
      </c>
      <c r="N25" s="239"/>
    </row>
    <row r="26" spans="1:14" ht="11.25" customHeight="1" x14ac:dyDescent="0.25">
      <c r="A26" s="231"/>
      <c r="B26" s="251">
        <v>2</v>
      </c>
      <c r="C26" s="251" t="s">
        <v>103</v>
      </c>
      <c r="D26" s="251" t="s">
        <v>15</v>
      </c>
      <c r="E26" s="251" t="str">
        <v>AB</v>
      </c>
      <c r="F26" s="251" t="str">
        <v>6E</v>
      </c>
      <c r="G26" s="252" t="str">
        <f t="shared" si="0"/>
        <v>Annual</v>
      </c>
      <c r="H26" s="252" t="s">
        <v>105</v>
      </c>
      <c r="I26" s="252" t="str">
        <f t="shared" si="1"/>
        <v>30/360 (Bond Basis)</v>
      </c>
      <c r="J26" s="253">
        <v>0</v>
      </c>
      <c r="K26" s="254" t="str">
        <f t="shared" si="2"/>
        <v>EURAB6E19Y_Quote</v>
      </c>
      <c r="L26" s="255" t="str">
        <f>_xll.qlSwapRateHelper2(,$K26,$B26,$D26,Calendar,$G26,$H26,$I26,$L$3,$J26,C26,Discounting,Permanent,,ObjectOverwrite)</f>
        <v>obj_0079f#0003</v>
      </c>
      <c r="M26" s="256" t="str">
        <f>_xll.ohRangeRetrieveError(L26)</f>
        <v/>
      </c>
      <c r="N26" s="239"/>
    </row>
    <row r="27" spans="1:14" ht="11.25" customHeight="1" x14ac:dyDescent="0.25">
      <c r="A27" s="231"/>
      <c r="B27" s="251">
        <v>2</v>
      </c>
      <c r="C27" s="251" t="s">
        <v>103</v>
      </c>
      <c r="D27" s="251" t="s">
        <v>14</v>
      </c>
      <c r="E27" s="251" t="str">
        <v>AB</v>
      </c>
      <c r="F27" s="251" t="str">
        <v>6E</v>
      </c>
      <c r="G27" s="252" t="str">
        <f t="shared" si="0"/>
        <v>Annual</v>
      </c>
      <c r="H27" s="252" t="s">
        <v>105</v>
      </c>
      <c r="I27" s="252" t="str">
        <f t="shared" si="1"/>
        <v>30/360 (Bond Basis)</v>
      </c>
      <c r="J27" s="253">
        <v>0</v>
      </c>
      <c r="K27" s="254" t="str">
        <f t="shared" si="2"/>
        <v>EURAB6E20Y_Quote</v>
      </c>
      <c r="L27" s="255" t="str">
        <f>_xll.qlSwapRateHelper2(,$K27,$B27,$D27,Calendar,$G27,$H27,$I27,$L$3,$J27,C27,Discounting,Permanent,,ObjectOverwrite)</f>
        <v>obj_0078c#0003</v>
      </c>
      <c r="M27" s="256" t="str">
        <f>_xll.ohRangeRetrieveError(L27)</f>
        <v/>
      </c>
      <c r="N27" s="239"/>
    </row>
    <row r="28" spans="1:14" ht="11.25" customHeight="1" x14ac:dyDescent="0.25">
      <c r="A28" s="231"/>
      <c r="B28" s="251">
        <v>2</v>
      </c>
      <c r="C28" s="251" t="s">
        <v>103</v>
      </c>
      <c r="D28" s="251" t="s">
        <v>13</v>
      </c>
      <c r="E28" s="251" t="str">
        <v>AB</v>
      </c>
      <c r="F28" s="251" t="str">
        <v>6E</v>
      </c>
      <c r="G28" s="252" t="str">
        <f t="shared" si="0"/>
        <v>Annual</v>
      </c>
      <c r="H28" s="252" t="s">
        <v>105</v>
      </c>
      <c r="I28" s="252" t="str">
        <f t="shared" si="1"/>
        <v>30/360 (Bond Basis)</v>
      </c>
      <c r="J28" s="253">
        <v>0</v>
      </c>
      <c r="K28" s="254" t="str">
        <f t="shared" si="2"/>
        <v>EURAB6E21Y_Quote</v>
      </c>
      <c r="L28" s="255" t="str">
        <f>_xll.qlSwapRateHelper2(,$K28,$B28,$D28,Calendar,$G28,$H28,$I28,$L$3,$J28,C28,Discounting,Permanent,,ObjectOverwrite)</f>
        <v>obj_0079b#0003</v>
      </c>
      <c r="M28" s="256" t="str">
        <f>_xll.ohRangeRetrieveError(L28)</f>
        <v/>
      </c>
      <c r="N28" s="239"/>
    </row>
    <row r="29" spans="1:14" ht="11.25" customHeight="1" x14ac:dyDescent="0.25">
      <c r="A29" s="231"/>
      <c r="B29" s="251">
        <v>2</v>
      </c>
      <c r="C29" s="251" t="s">
        <v>103</v>
      </c>
      <c r="D29" s="251" t="s">
        <v>12</v>
      </c>
      <c r="E29" s="251" t="str">
        <v>AB</v>
      </c>
      <c r="F29" s="251" t="str">
        <v>6E</v>
      </c>
      <c r="G29" s="252" t="str">
        <f t="shared" si="0"/>
        <v>Annual</v>
      </c>
      <c r="H29" s="252" t="s">
        <v>105</v>
      </c>
      <c r="I29" s="252" t="str">
        <f t="shared" si="1"/>
        <v>30/360 (Bond Basis)</v>
      </c>
      <c r="J29" s="253">
        <v>0</v>
      </c>
      <c r="K29" s="254" t="str">
        <f t="shared" si="2"/>
        <v>EURAB6E22Y_Quote</v>
      </c>
      <c r="L29" s="255" t="str">
        <f>_xll.qlSwapRateHelper2(,$K29,$B29,$D29,Calendar,$G29,$H29,$I29,$L$3,$J29,C29,Discounting,Permanent,,ObjectOverwrite)</f>
        <v>obj_0078e#0003</v>
      </c>
      <c r="M29" s="256" t="str">
        <f>_xll.ohRangeRetrieveError(L29)</f>
        <v/>
      </c>
      <c r="N29" s="239"/>
    </row>
    <row r="30" spans="1:14" ht="11.25" customHeight="1" x14ac:dyDescent="0.25">
      <c r="A30" s="231"/>
      <c r="B30" s="251">
        <v>2</v>
      </c>
      <c r="C30" s="251" t="s">
        <v>103</v>
      </c>
      <c r="D30" s="251" t="s">
        <v>11</v>
      </c>
      <c r="E30" s="251" t="str">
        <v>AB</v>
      </c>
      <c r="F30" s="251" t="str">
        <v>6E</v>
      </c>
      <c r="G30" s="252" t="str">
        <f t="shared" si="0"/>
        <v>Annual</v>
      </c>
      <c r="H30" s="252" t="s">
        <v>105</v>
      </c>
      <c r="I30" s="252" t="str">
        <f t="shared" si="1"/>
        <v>30/360 (Bond Basis)</v>
      </c>
      <c r="J30" s="253">
        <v>0</v>
      </c>
      <c r="K30" s="254" t="str">
        <f t="shared" si="2"/>
        <v>EURAB6E23Y_Quote</v>
      </c>
      <c r="L30" s="255" t="str">
        <f>_xll.qlSwapRateHelper2(,$K30,$B30,$D30,Calendar,$G30,$H30,$I30,$L$3,$J30,C30,Discounting,Permanent,,ObjectOverwrite)</f>
        <v>obj_00791#0003</v>
      </c>
      <c r="M30" s="256" t="str">
        <f>_xll.ohRangeRetrieveError(L30)</f>
        <v/>
      </c>
      <c r="N30" s="239"/>
    </row>
    <row r="31" spans="1:14" ht="11.25" customHeight="1" x14ac:dyDescent="0.25">
      <c r="A31" s="231"/>
      <c r="B31" s="251">
        <v>2</v>
      </c>
      <c r="C31" s="251" t="s">
        <v>103</v>
      </c>
      <c r="D31" s="251" t="s">
        <v>10</v>
      </c>
      <c r="E31" s="251" t="str">
        <v>AB</v>
      </c>
      <c r="F31" s="251" t="str">
        <v>6E</v>
      </c>
      <c r="G31" s="252" t="str">
        <f t="shared" si="0"/>
        <v>Annual</v>
      </c>
      <c r="H31" s="252" t="s">
        <v>105</v>
      </c>
      <c r="I31" s="252" t="str">
        <f t="shared" si="1"/>
        <v>30/360 (Bond Basis)</v>
      </c>
      <c r="J31" s="253">
        <v>0</v>
      </c>
      <c r="K31" s="254" t="str">
        <f t="shared" si="2"/>
        <v>EURAB6E24Y_Quote</v>
      </c>
      <c r="L31" s="255" t="str">
        <f>_xll.qlSwapRateHelper2(,$K31,$B31,$D31,Calendar,$G31,$H31,$I31,$L$3,$J31,C31,Discounting,Permanent,,ObjectOverwrite)</f>
        <v>obj_007a1#0003</v>
      </c>
      <c r="M31" s="256" t="str">
        <f>_xll.ohRangeRetrieveError(L31)</f>
        <v/>
      </c>
      <c r="N31" s="239"/>
    </row>
    <row r="32" spans="1:14" ht="11.25" customHeight="1" x14ac:dyDescent="0.25">
      <c r="A32" s="231"/>
      <c r="B32" s="251">
        <v>2</v>
      </c>
      <c r="C32" s="251" t="s">
        <v>103</v>
      </c>
      <c r="D32" s="251" t="s">
        <v>9</v>
      </c>
      <c r="E32" s="251" t="str">
        <v>AB</v>
      </c>
      <c r="F32" s="251" t="str">
        <v>6E</v>
      </c>
      <c r="G32" s="252" t="str">
        <f t="shared" si="0"/>
        <v>Annual</v>
      </c>
      <c r="H32" s="252" t="s">
        <v>105</v>
      </c>
      <c r="I32" s="252" t="str">
        <f t="shared" si="1"/>
        <v>30/360 (Bond Basis)</v>
      </c>
      <c r="J32" s="253">
        <v>0</v>
      </c>
      <c r="K32" s="254" t="str">
        <f t="shared" si="2"/>
        <v>EURAB6E25Y_Quote</v>
      </c>
      <c r="L32" s="255" t="str">
        <f>_xll.qlSwapRateHelper2(,$K32,$B32,$D32,Calendar,$G32,$H32,$I32,$L$3,$J32,C32,Discounting,Permanent,,ObjectOverwrite)</f>
        <v>obj_00796#0003</v>
      </c>
      <c r="M32" s="256" t="str">
        <f>_xll.ohRangeRetrieveError(L32)</f>
        <v/>
      </c>
      <c r="N32" s="239"/>
    </row>
    <row r="33" spans="1:14" ht="11.25" customHeight="1" x14ac:dyDescent="0.25">
      <c r="A33" s="231"/>
      <c r="B33" s="251">
        <v>2</v>
      </c>
      <c r="C33" s="251" t="s">
        <v>103</v>
      </c>
      <c r="D33" s="251" t="s">
        <v>8</v>
      </c>
      <c r="E33" s="251" t="str">
        <v>AB</v>
      </c>
      <c r="F33" s="251" t="str">
        <v>6E</v>
      </c>
      <c r="G33" s="252" t="str">
        <f t="shared" si="0"/>
        <v>Annual</v>
      </c>
      <c r="H33" s="252" t="s">
        <v>105</v>
      </c>
      <c r="I33" s="252" t="str">
        <f t="shared" si="1"/>
        <v>30/360 (Bond Basis)</v>
      </c>
      <c r="J33" s="253">
        <v>0</v>
      </c>
      <c r="K33" s="254" t="str">
        <f t="shared" si="2"/>
        <v>EURAB6E26Y_Quote</v>
      </c>
      <c r="L33" s="255" t="str">
        <f>_xll.qlSwapRateHelper2(,$K33,$B33,$D33,Calendar,$G33,$H33,$I33,$L$3,$J33,C33,Discounting,Permanent,,ObjectOverwrite)</f>
        <v>obj_00794#0003</v>
      </c>
      <c r="M33" s="256" t="str">
        <f>_xll.ohRangeRetrieveError(L33)</f>
        <v/>
      </c>
      <c r="N33" s="239"/>
    </row>
    <row r="34" spans="1:14" ht="11.25" customHeight="1" x14ac:dyDescent="0.25">
      <c r="A34" s="231"/>
      <c r="B34" s="251">
        <v>2</v>
      </c>
      <c r="C34" s="251" t="s">
        <v>103</v>
      </c>
      <c r="D34" s="251" t="s">
        <v>7</v>
      </c>
      <c r="E34" s="251" t="str">
        <v>AB</v>
      </c>
      <c r="F34" s="251" t="str">
        <v>6E</v>
      </c>
      <c r="G34" s="252" t="str">
        <f t="shared" si="0"/>
        <v>Annual</v>
      </c>
      <c r="H34" s="252" t="s">
        <v>105</v>
      </c>
      <c r="I34" s="252" t="str">
        <f t="shared" si="1"/>
        <v>30/360 (Bond Basis)</v>
      </c>
      <c r="J34" s="253">
        <v>0</v>
      </c>
      <c r="K34" s="254" t="str">
        <f t="shared" si="2"/>
        <v>EURAB6E27Y_Quote</v>
      </c>
      <c r="L34" s="255" t="str">
        <f>_xll.qlSwapRateHelper2(,$K34,$B34,$D34,Calendar,$G34,$H34,$I34,$L$3,$J34,C34,Discounting,Permanent,,ObjectOverwrite)</f>
        <v>obj_007aa#0003</v>
      </c>
      <c r="M34" s="256" t="str">
        <f>_xll.ohRangeRetrieveError(L34)</f>
        <v/>
      </c>
      <c r="N34" s="239"/>
    </row>
    <row r="35" spans="1:14" ht="11.25" customHeight="1" x14ac:dyDescent="0.25">
      <c r="A35" s="231"/>
      <c r="B35" s="251">
        <v>2</v>
      </c>
      <c r="C35" s="251" t="s">
        <v>103</v>
      </c>
      <c r="D35" s="251" t="s">
        <v>6</v>
      </c>
      <c r="E35" s="251" t="str">
        <v>AB</v>
      </c>
      <c r="F35" s="251" t="str">
        <v>6E</v>
      </c>
      <c r="G35" s="252" t="str">
        <f t="shared" si="0"/>
        <v>Annual</v>
      </c>
      <c r="H35" s="252" t="s">
        <v>105</v>
      </c>
      <c r="I35" s="252" t="str">
        <f t="shared" si="1"/>
        <v>30/360 (Bond Basis)</v>
      </c>
      <c r="J35" s="253">
        <v>0</v>
      </c>
      <c r="K35" s="254" t="str">
        <f t="shared" si="2"/>
        <v>EURAB6E28Y_Quote</v>
      </c>
      <c r="L35" s="255" t="str">
        <f>_xll.qlSwapRateHelper2(,$K35,$B35,$D35,Calendar,$G35,$H35,$I35,$L$3,$J35,C35,Discounting,Permanent,,ObjectOverwrite)</f>
        <v>obj_007a5#0003</v>
      </c>
      <c r="M35" s="256" t="str">
        <f>_xll.ohRangeRetrieveError(L35)</f>
        <v/>
      </c>
      <c r="N35" s="239"/>
    </row>
    <row r="36" spans="1:14" ht="11.25" customHeight="1" x14ac:dyDescent="0.25">
      <c r="A36" s="231"/>
      <c r="B36" s="251">
        <v>2</v>
      </c>
      <c r="C36" s="251" t="s">
        <v>103</v>
      </c>
      <c r="D36" s="251" t="s">
        <v>5</v>
      </c>
      <c r="E36" s="251" t="str">
        <v>AB</v>
      </c>
      <c r="F36" s="251" t="str">
        <v>6E</v>
      </c>
      <c r="G36" s="252" t="str">
        <f t="shared" si="0"/>
        <v>Annual</v>
      </c>
      <c r="H36" s="252" t="s">
        <v>105</v>
      </c>
      <c r="I36" s="252" t="str">
        <f t="shared" si="1"/>
        <v>30/360 (Bond Basis)</v>
      </c>
      <c r="J36" s="253">
        <v>0</v>
      </c>
      <c r="K36" s="254" t="str">
        <f t="shared" si="2"/>
        <v>EURAB6E29Y_Quote</v>
      </c>
      <c r="L36" s="255" t="str">
        <f>_xll.qlSwapRateHelper2(,$K36,$B36,$D36,Calendar,$G36,$H36,$I36,$L$3,$J36,C36,Discounting,Permanent,,ObjectOverwrite)</f>
        <v>obj_0078b#0003</v>
      </c>
      <c r="M36" s="256" t="str">
        <f>_xll.ohRangeRetrieveError(L36)</f>
        <v/>
      </c>
      <c r="N36" s="239"/>
    </row>
    <row r="37" spans="1:14" ht="11.25" customHeight="1" x14ac:dyDescent="0.25">
      <c r="A37" s="231"/>
      <c r="B37" s="251">
        <v>2</v>
      </c>
      <c r="C37" s="251" t="s">
        <v>103</v>
      </c>
      <c r="D37" s="251" t="s">
        <v>4</v>
      </c>
      <c r="E37" s="251" t="str">
        <v>AB</v>
      </c>
      <c r="F37" s="251" t="str">
        <v>6E</v>
      </c>
      <c r="G37" s="252" t="str">
        <f t="shared" si="0"/>
        <v>Annual</v>
      </c>
      <c r="H37" s="252" t="s">
        <v>105</v>
      </c>
      <c r="I37" s="252" t="str">
        <f t="shared" si="1"/>
        <v>30/360 (Bond Basis)</v>
      </c>
      <c r="J37" s="253">
        <v>0</v>
      </c>
      <c r="K37" s="254" t="str">
        <f t="shared" si="2"/>
        <v>EURAB6E30Y_Quote</v>
      </c>
      <c r="L37" s="255" t="str">
        <f>_xll.qlSwapRateHelper2(,$K37,$B37,$D37,Calendar,$G37,$H37,$I37,$L$3,$J37,C37,Discounting,Permanent,,ObjectOverwrite)</f>
        <v>obj_00797#0003</v>
      </c>
      <c r="M37" s="256" t="str">
        <f>_xll.ohRangeRetrieveError(L37)</f>
        <v/>
      </c>
      <c r="N37" s="239"/>
    </row>
    <row r="38" spans="1:14" ht="11.25" customHeight="1" x14ac:dyDescent="0.25">
      <c r="A38" s="231"/>
      <c r="B38" s="251">
        <v>2</v>
      </c>
      <c r="C38" s="251" t="s">
        <v>103</v>
      </c>
      <c r="D38" s="251" t="s">
        <v>3</v>
      </c>
      <c r="E38" s="251" t="str">
        <v>AB</v>
      </c>
      <c r="F38" s="251" t="str">
        <v>6E</v>
      </c>
      <c r="G38" s="252" t="str">
        <f t="shared" si="0"/>
        <v>Annual</v>
      </c>
      <c r="H38" s="252" t="s">
        <v>105</v>
      </c>
      <c r="I38" s="252" t="str">
        <f t="shared" si="1"/>
        <v>30/360 (Bond Basis)</v>
      </c>
      <c r="J38" s="253">
        <v>0</v>
      </c>
      <c r="K38" s="254" t="str">
        <f t="shared" si="2"/>
        <v>EURAB6E35Y_Quote</v>
      </c>
      <c r="L38" s="255" t="str">
        <f>_xll.qlSwapRateHelper2(,$K38,$B38,$D38,Calendar,$G38,$H38,$I38,$L$3,$J38,C38,Discounting,Permanent,,ObjectOverwrite)</f>
        <v>obj_00789#0003</v>
      </c>
      <c r="M38" s="256" t="str">
        <f>_xll.ohRangeRetrieveError(L38)</f>
        <v/>
      </c>
      <c r="N38" s="239"/>
    </row>
    <row r="39" spans="1:14" ht="11.25" customHeight="1" x14ac:dyDescent="0.25">
      <c r="A39" s="231"/>
      <c r="B39" s="251">
        <v>2</v>
      </c>
      <c r="C39" s="251" t="s">
        <v>103</v>
      </c>
      <c r="D39" s="251" t="s">
        <v>2</v>
      </c>
      <c r="E39" s="251" t="str">
        <v>AB</v>
      </c>
      <c r="F39" s="251" t="str">
        <v>6E</v>
      </c>
      <c r="G39" s="252" t="str">
        <f t="shared" si="0"/>
        <v>Annual</v>
      </c>
      <c r="H39" s="252" t="s">
        <v>105</v>
      </c>
      <c r="I39" s="252" t="str">
        <f t="shared" si="1"/>
        <v>30/360 (Bond Basis)</v>
      </c>
      <c r="J39" s="253">
        <v>0</v>
      </c>
      <c r="K39" s="254" t="str">
        <f t="shared" si="2"/>
        <v>EURAB6E40Y_Quote</v>
      </c>
      <c r="L39" s="255" t="str">
        <f>_xll.qlSwapRateHelper2(,$K39,$B39,$D39,Calendar,$G39,$H39,$I39,$L$3,$J39,C39,Discounting,Permanent,,ObjectOverwrite)</f>
        <v>obj_00788#0003</v>
      </c>
      <c r="M39" s="256" t="str">
        <f>_xll.ohRangeRetrieveError(L39)</f>
        <v/>
      </c>
      <c r="N39" s="239"/>
    </row>
    <row r="40" spans="1:14" ht="11.25" customHeight="1" x14ac:dyDescent="0.25">
      <c r="A40" s="231"/>
      <c r="B40" s="251">
        <v>2</v>
      </c>
      <c r="C40" s="251" t="s">
        <v>103</v>
      </c>
      <c r="D40" s="251" t="s">
        <v>1</v>
      </c>
      <c r="E40" s="251" t="str">
        <v>AB</v>
      </c>
      <c r="F40" s="251" t="str">
        <v>6E</v>
      </c>
      <c r="G40" s="252" t="str">
        <f t="shared" si="0"/>
        <v>Annual</v>
      </c>
      <c r="H40" s="252" t="s">
        <v>105</v>
      </c>
      <c r="I40" s="252" t="str">
        <f t="shared" si="1"/>
        <v>30/360 (Bond Basis)</v>
      </c>
      <c r="J40" s="253">
        <v>0</v>
      </c>
      <c r="K40" s="254" t="str">
        <f t="shared" si="2"/>
        <v>EURAB6E50Y_Quote</v>
      </c>
      <c r="L40" s="255" t="str">
        <f>_xll.qlSwapRateHelper2(,$K40,$B40,$D40,Calendar,$G40,$H40,$I40,$L$3,$J40,C40,Discounting,Permanent,,ObjectOverwrite)</f>
        <v>obj_00790#0003</v>
      </c>
      <c r="M40" s="256" t="str">
        <f>_xll.ohRangeRetrieveError(L40)</f>
        <v/>
      </c>
      <c r="N40" s="239"/>
    </row>
    <row r="41" spans="1:14" ht="11.25" customHeight="1" x14ac:dyDescent="0.25">
      <c r="A41" s="231"/>
      <c r="B41" s="261">
        <v>2</v>
      </c>
      <c r="C41" s="261" t="s">
        <v>103</v>
      </c>
      <c r="D41" s="261" t="s">
        <v>0</v>
      </c>
      <c r="E41" s="261" t="str">
        <v>AB</v>
      </c>
      <c r="F41" s="261" t="str">
        <v>6E</v>
      </c>
      <c r="G41" s="262" t="str">
        <f t="shared" si="0"/>
        <v>Annual</v>
      </c>
      <c r="H41" s="262" t="s">
        <v>105</v>
      </c>
      <c r="I41" s="262" t="str">
        <f t="shared" si="1"/>
        <v>30/360 (Bond Basis)</v>
      </c>
      <c r="J41" s="263">
        <v>0</v>
      </c>
      <c r="K41" s="264" t="str">
        <f t="shared" si="2"/>
        <v>EURAB6E60Y_Quote</v>
      </c>
      <c r="L41" s="265" t="str">
        <f>_xll.qlSwapRateHelper2(,$K41,$B41,$D41,Calendar,$G41,$H41,$I41,$L$3,$J41,C41,Discounting,Permanent,,ObjectOverwrite)</f>
        <v>obj_007a4#0003</v>
      </c>
      <c r="M41" s="266" t="str">
        <f>_xll.ohRangeRetrieveError(L41)</f>
        <v/>
      </c>
      <c r="N41" s="239"/>
    </row>
    <row r="42" spans="1:14" ht="11.25" customHeight="1" thickBot="1" x14ac:dyDescent="0.3">
      <c r="A42" s="267"/>
      <c r="B42" s="268"/>
      <c r="C42" s="268"/>
      <c r="D42" s="268"/>
      <c r="E42" s="268"/>
      <c r="F42" s="268"/>
      <c r="G42" s="268"/>
      <c r="H42" s="268"/>
      <c r="I42" s="268"/>
      <c r="J42" s="268"/>
      <c r="K42" s="268"/>
      <c r="L42" s="269"/>
      <c r="M42" s="269"/>
      <c r="N42" s="270"/>
    </row>
  </sheetData>
  <dataValidations count="1">
    <dataValidation type="list" allowBlank="1" showInputMessage="1" showErrorMessage="1" sqref="H5:H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31"/>
  <sheetViews>
    <sheetView workbookViewId="0">
      <selection activeCell="K3" sqref="K3"/>
    </sheetView>
  </sheetViews>
  <sheetFormatPr defaultRowHeight="13.5" x14ac:dyDescent="0.25"/>
  <cols>
    <col min="1" max="1" width="2.7109375" style="235" customWidth="1"/>
    <col min="2" max="3" width="6.140625" style="235" customWidth="1"/>
    <col min="4" max="4" width="6.28515625" style="235" customWidth="1"/>
    <col min="5" max="5" width="4" style="235" bestFit="1" customWidth="1"/>
    <col min="6" max="6" width="7" style="235" bestFit="1" customWidth="1"/>
    <col min="7" max="7" width="19.28515625" style="235" bestFit="1" customWidth="1"/>
    <col min="8" max="8" width="20.28515625" style="235" bestFit="1" customWidth="1"/>
    <col min="9" max="9" width="8" style="235" bestFit="1" customWidth="1"/>
    <col min="10" max="10" width="16.140625" style="235" bestFit="1" customWidth="1"/>
    <col min="11" max="11" width="22" style="271" bestFit="1" customWidth="1"/>
    <col min="12" max="12" width="20.7109375" style="235" customWidth="1"/>
    <col min="13" max="13" width="2.7109375" style="235" customWidth="1"/>
    <col min="14" max="14" width="2.5703125" style="235" customWidth="1"/>
    <col min="15" max="16384" width="9.140625" style="235"/>
  </cols>
  <sheetData>
    <row r="1" spans="1:15" x14ac:dyDescent="0.25">
      <c r="A1" s="272"/>
      <c r="B1" s="273"/>
      <c r="C1" s="273"/>
      <c r="D1" s="273"/>
      <c r="E1" s="273"/>
      <c r="F1" s="273"/>
      <c r="G1" s="273"/>
      <c r="H1" s="273"/>
      <c r="I1" s="273"/>
      <c r="J1" s="273"/>
      <c r="K1" s="273"/>
      <c r="L1" s="273"/>
      <c r="M1" s="274"/>
    </row>
    <row r="2" spans="1:15" x14ac:dyDescent="0.25">
      <c r="A2" s="231"/>
      <c r="B2" s="232"/>
      <c r="C2" s="232"/>
      <c r="D2" s="232"/>
      <c r="E2" s="232"/>
      <c r="F2" s="232"/>
      <c r="G2" s="232"/>
      <c r="H2" s="232"/>
      <c r="I2" s="80" t="s">
        <v>81</v>
      </c>
      <c r="J2" s="80" t="str">
        <f>Currency&amp;"_YC"&amp;$I$2&amp;"RH"</f>
        <v>EUR_YC6MRH</v>
      </c>
      <c r="K2" s="233" t="str">
        <f>J2&amp;"_Swaps.xml"</f>
        <v>EUR_YC6MRH_Swaps.xml</v>
      </c>
      <c r="L2" s="232"/>
      <c r="M2" s="234"/>
    </row>
    <row r="3" spans="1:15" ht="25.5" customHeight="1" x14ac:dyDescent="0.25">
      <c r="A3" s="231"/>
      <c r="B3" s="236" t="s">
        <v>171</v>
      </c>
      <c r="C3" s="236" t="s">
        <v>113</v>
      </c>
      <c r="D3" s="236" t="s">
        <v>138</v>
      </c>
      <c r="E3" s="236"/>
      <c r="F3" s="236" t="s">
        <v>112</v>
      </c>
      <c r="G3" s="236" t="s">
        <v>111</v>
      </c>
      <c r="H3" s="236" t="s">
        <v>110</v>
      </c>
      <c r="I3" s="236" t="s">
        <v>109</v>
      </c>
      <c r="J3" s="236" t="s">
        <v>91</v>
      </c>
      <c r="K3" s="237" t="str">
        <f>IF(Serialize,_xll.ohObjectSave(K4:K23,SerializationPath&amp;K2,FileOverwrite,Serialize),"---")</f>
        <v>---</v>
      </c>
      <c r="L3" s="238" t="str">
        <f>_xll.ohRangeRetrieveError(K3)</f>
        <v/>
      </c>
      <c r="M3" s="239"/>
    </row>
    <row r="4" spans="1:15" ht="11.25" customHeight="1" x14ac:dyDescent="0.25">
      <c r="A4" s="240"/>
      <c r="B4" s="232"/>
      <c r="C4" s="232"/>
      <c r="D4" s="232"/>
      <c r="E4" s="232"/>
      <c r="F4" s="232"/>
      <c r="G4" s="232"/>
      <c r="H4" s="232"/>
      <c r="I4" s="232"/>
      <c r="J4" s="232"/>
      <c r="K4" s="241" t="str">
        <f>IF(UPPER(FamilyName)="IBOR",_xll.qlEuribor(,$I$2,,Permanent,Trigger,ObjectOverwrite),IF(UPPER(FamilyName)="LIBOR",_xll.qlLibor(,Currency,$I$2,,Permanent,Trigger,ObjectOverwrite),"--"))</f>
        <v>obj_00771#0003</v>
      </c>
      <c r="L4" s="242" t="str">
        <f>_xll.ohRangeRetrieveError(K4)</f>
        <v/>
      </c>
      <c r="M4" s="234"/>
    </row>
    <row r="5" spans="1:15" s="50" customFormat="1" ht="11.25" customHeight="1" x14ac:dyDescent="0.2">
      <c r="A5" s="240"/>
      <c r="B5" s="232"/>
      <c r="C5" s="232"/>
      <c r="D5" s="232"/>
      <c r="E5" s="232"/>
      <c r="F5" s="232"/>
      <c r="G5" s="232"/>
      <c r="H5" s="232"/>
      <c r="I5" s="232"/>
      <c r="J5" s="232"/>
      <c r="K5" s="232"/>
      <c r="L5" s="232"/>
      <c r="M5" s="234"/>
    </row>
    <row r="6" spans="1:15" ht="11.25" customHeight="1" x14ac:dyDescent="0.25">
      <c r="A6" s="231"/>
      <c r="B6" s="243">
        <v>2</v>
      </c>
      <c r="C6" s="243" t="s">
        <v>36</v>
      </c>
      <c r="D6" s="243" t="s">
        <v>36</v>
      </c>
      <c r="E6" s="243" t="str">
        <f>LEFT(C6,1)&amp;"F"</f>
        <v>1F</v>
      </c>
      <c r="F6" s="244" t="s">
        <v>158</v>
      </c>
      <c r="G6" s="244" t="s">
        <v>105</v>
      </c>
      <c r="H6" s="244" t="s">
        <v>117</v>
      </c>
      <c r="I6" s="245">
        <v>0</v>
      </c>
      <c r="J6" s="246" t="str">
        <f t="shared" ref="J6:J69" si="0">Currency&amp;$E6&amp;$D6&amp;QuoteSuffix</f>
        <v>EUR1F1Y_Quote</v>
      </c>
      <c r="K6" s="247"/>
      <c r="L6" s="248" t="str">
        <f>_xll.ohRangeRetrieveError(K6)</f>
        <v/>
      </c>
      <c r="M6" s="239"/>
      <c r="O6" s="275"/>
    </row>
    <row r="7" spans="1:15" ht="11.25" customHeight="1" x14ac:dyDescent="0.25">
      <c r="A7" s="231"/>
      <c r="B7" s="251">
        <v>2</v>
      </c>
      <c r="C7" s="251" t="s">
        <v>36</v>
      </c>
      <c r="D7" s="251" t="s">
        <v>32</v>
      </c>
      <c r="E7" s="251" t="str">
        <f t="shared" ref="E7:E23" si="1">LEFT(C7,1)&amp;"F"</f>
        <v>1F</v>
      </c>
      <c r="F7" s="252" t="s">
        <v>158</v>
      </c>
      <c r="G7" s="252" t="s">
        <v>105</v>
      </c>
      <c r="H7" s="252" t="s">
        <v>117</v>
      </c>
      <c r="I7" s="253">
        <v>0</v>
      </c>
      <c r="J7" s="254" t="str">
        <f t="shared" si="0"/>
        <v>EUR1F2Y_Quote</v>
      </c>
      <c r="K7" s="255"/>
      <c r="L7" s="256" t="str">
        <f>_xll.ohRangeRetrieveError(K7)</f>
        <v/>
      </c>
      <c r="M7" s="239"/>
      <c r="O7" s="275"/>
    </row>
    <row r="8" spans="1:15" ht="11.25" customHeight="1" x14ac:dyDescent="0.25">
      <c r="A8" s="231"/>
      <c r="B8" s="251">
        <v>2</v>
      </c>
      <c r="C8" s="251" t="s">
        <v>36</v>
      </c>
      <c r="D8" s="251" t="s">
        <v>31</v>
      </c>
      <c r="E8" s="251" t="str">
        <f t="shared" si="1"/>
        <v>1F</v>
      </c>
      <c r="F8" s="252" t="s">
        <v>158</v>
      </c>
      <c r="G8" s="252" t="s">
        <v>105</v>
      </c>
      <c r="H8" s="252" t="s">
        <v>117</v>
      </c>
      <c r="I8" s="253">
        <v>0</v>
      </c>
      <c r="J8" s="254" t="str">
        <f t="shared" si="0"/>
        <v>EUR1F3Y_Quote</v>
      </c>
      <c r="K8" s="255"/>
      <c r="L8" s="256" t="str">
        <f>_xll.ohRangeRetrieveError(K8)</f>
        <v/>
      </c>
      <c r="M8" s="239"/>
      <c r="O8" s="275"/>
    </row>
    <row r="9" spans="1:15" ht="11.25" customHeight="1" x14ac:dyDescent="0.25">
      <c r="A9" s="231"/>
      <c r="B9" s="251">
        <v>2</v>
      </c>
      <c r="C9" s="251" t="s">
        <v>36</v>
      </c>
      <c r="D9" s="251" t="s">
        <v>30</v>
      </c>
      <c r="E9" s="251" t="str">
        <f t="shared" si="1"/>
        <v>1F</v>
      </c>
      <c r="F9" s="252" t="s">
        <v>158</v>
      </c>
      <c r="G9" s="252" t="s">
        <v>105</v>
      </c>
      <c r="H9" s="252" t="s">
        <v>117</v>
      </c>
      <c r="I9" s="253">
        <v>0</v>
      </c>
      <c r="J9" s="254" t="str">
        <f t="shared" si="0"/>
        <v>EUR1F4Y_Quote</v>
      </c>
      <c r="K9" s="255"/>
      <c r="L9" s="256" t="str">
        <f>_xll.ohRangeRetrieveError(K9)</f>
        <v/>
      </c>
      <c r="M9" s="239"/>
      <c r="O9" s="275"/>
    </row>
    <row r="10" spans="1:15" ht="11.25" customHeight="1" x14ac:dyDescent="0.25">
      <c r="A10" s="231"/>
      <c r="B10" s="251">
        <v>2</v>
      </c>
      <c r="C10" s="251" t="s">
        <v>36</v>
      </c>
      <c r="D10" s="251" t="s">
        <v>29</v>
      </c>
      <c r="E10" s="251" t="str">
        <f t="shared" si="1"/>
        <v>1F</v>
      </c>
      <c r="F10" s="252" t="s">
        <v>158</v>
      </c>
      <c r="G10" s="252" t="s">
        <v>105</v>
      </c>
      <c r="H10" s="252" t="s">
        <v>117</v>
      </c>
      <c r="I10" s="253">
        <v>0</v>
      </c>
      <c r="J10" s="254" t="str">
        <f t="shared" si="0"/>
        <v>EUR1F5Y_Quote</v>
      </c>
      <c r="K10" s="255"/>
      <c r="L10" s="256" t="str">
        <f>_xll.ohRangeRetrieveError(K10)</f>
        <v/>
      </c>
      <c r="M10" s="239"/>
      <c r="O10" s="275"/>
    </row>
    <row r="11" spans="1:15" ht="11.25" customHeight="1" x14ac:dyDescent="0.25">
      <c r="A11" s="231"/>
      <c r="B11" s="251">
        <v>2</v>
      </c>
      <c r="C11" s="251" t="s">
        <v>36</v>
      </c>
      <c r="D11" s="251" t="s">
        <v>28</v>
      </c>
      <c r="E11" s="251" t="str">
        <f t="shared" si="1"/>
        <v>1F</v>
      </c>
      <c r="F11" s="252" t="s">
        <v>158</v>
      </c>
      <c r="G11" s="252" t="s">
        <v>105</v>
      </c>
      <c r="H11" s="252" t="s">
        <v>117</v>
      </c>
      <c r="I11" s="253">
        <v>0</v>
      </c>
      <c r="J11" s="254" t="str">
        <f t="shared" si="0"/>
        <v>EUR1F6Y_Quote</v>
      </c>
      <c r="K11" s="255"/>
      <c r="L11" s="256" t="str">
        <f>_xll.ohRangeRetrieveError(K11)</f>
        <v/>
      </c>
      <c r="M11" s="239"/>
      <c r="O11" s="275"/>
    </row>
    <row r="12" spans="1:15" ht="11.25" customHeight="1" x14ac:dyDescent="0.25">
      <c r="A12" s="231"/>
      <c r="B12" s="251">
        <v>2</v>
      </c>
      <c r="C12" s="251" t="s">
        <v>36</v>
      </c>
      <c r="D12" s="251" t="s">
        <v>27</v>
      </c>
      <c r="E12" s="251" t="str">
        <f t="shared" si="1"/>
        <v>1F</v>
      </c>
      <c r="F12" s="252" t="s">
        <v>158</v>
      </c>
      <c r="G12" s="252" t="s">
        <v>105</v>
      </c>
      <c r="H12" s="252" t="s">
        <v>117</v>
      </c>
      <c r="I12" s="253">
        <v>0</v>
      </c>
      <c r="J12" s="254" t="str">
        <f t="shared" si="0"/>
        <v>EUR1F7Y_Quote</v>
      </c>
      <c r="K12" s="255"/>
      <c r="L12" s="256" t="str">
        <f>_xll.ohRangeRetrieveError(K12)</f>
        <v/>
      </c>
      <c r="M12" s="239"/>
      <c r="O12" s="275"/>
    </row>
    <row r="13" spans="1:15" ht="11.25" customHeight="1" x14ac:dyDescent="0.25">
      <c r="A13" s="231"/>
      <c r="B13" s="251">
        <v>2</v>
      </c>
      <c r="C13" s="251" t="s">
        <v>36</v>
      </c>
      <c r="D13" s="251" t="s">
        <v>26</v>
      </c>
      <c r="E13" s="251" t="str">
        <f t="shared" si="1"/>
        <v>1F</v>
      </c>
      <c r="F13" s="252" t="s">
        <v>158</v>
      </c>
      <c r="G13" s="252" t="s">
        <v>105</v>
      </c>
      <c r="H13" s="252" t="s">
        <v>117</v>
      </c>
      <c r="I13" s="253">
        <v>0</v>
      </c>
      <c r="J13" s="254" t="str">
        <f t="shared" si="0"/>
        <v>EUR1F8Y_Quote</v>
      </c>
      <c r="K13" s="255"/>
      <c r="L13" s="256" t="str">
        <f>_xll.ohRangeRetrieveError(K13)</f>
        <v/>
      </c>
      <c r="M13" s="239"/>
      <c r="O13" s="275"/>
    </row>
    <row r="14" spans="1:15" ht="11.25" customHeight="1" x14ac:dyDescent="0.25">
      <c r="A14" s="231"/>
      <c r="B14" s="251">
        <v>2</v>
      </c>
      <c r="C14" s="251" t="s">
        <v>36</v>
      </c>
      <c r="D14" s="251" t="s">
        <v>25</v>
      </c>
      <c r="E14" s="251" t="str">
        <f t="shared" si="1"/>
        <v>1F</v>
      </c>
      <c r="F14" s="252" t="s">
        <v>158</v>
      </c>
      <c r="G14" s="252" t="s">
        <v>105</v>
      </c>
      <c r="H14" s="252" t="s">
        <v>117</v>
      </c>
      <c r="I14" s="253">
        <v>0</v>
      </c>
      <c r="J14" s="254" t="str">
        <f t="shared" si="0"/>
        <v>EUR1F9Y_Quote</v>
      </c>
      <c r="K14" s="255"/>
      <c r="L14" s="256" t="str">
        <f>_xll.ohRangeRetrieveError(K14)</f>
        <v/>
      </c>
      <c r="M14" s="239"/>
      <c r="O14" s="275"/>
    </row>
    <row r="15" spans="1:15" ht="11.25" customHeight="1" x14ac:dyDescent="0.25">
      <c r="A15" s="231"/>
      <c r="B15" s="251">
        <v>2</v>
      </c>
      <c r="C15" s="251" t="s">
        <v>36</v>
      </c>
      <c r="D15" s="251" t="s">
        <v>24</v>
      </c>
      <c r="E15" s="251" t="str">
        <f t="shared" si="1"/>
        <v>1F</v>
      </c>
      <c r="F15" s="252" t="s">
        <v>158</v>
      </c>
      <c r="G15" s="252" t="s">
        <v>105</v>
      </c>
      <c r="H15" s="252" t="s">
        <v>117</v>
      </c>
      <c r="I15" s="253">
        <v>0</v>
      </c>
      <c r="J15" s="254" t="str">
        <f t="shared" si="0"/>
        <v>EUR1F10Y_Quote</v>
      </c>
      <c r="K15" s="255"/>
      <c r="L15" s="256" t="str">
        <f>_xll.ohRangeRetrieveError(K15)</f>
        <v/>
      </c>
      <c r="M15" s="239"/>
      <c r="O15" s="275"/>
    </row>
    <row r="16" spans="1:15" ht="11.25" customHeight="1" x14ac:dyDescent="0.25">
      <c r="A16" s="231"/>
      <c r="B16" s="251">
        <v>2</v>
      </c>
      <c r="C16" s="251" t="s">
        <v>36</v>
      </c>
      <c r="D16" s="251" t="s">
        <v>23</v>
      </c>
      <c r="E16" s="251" t="str">
        <f t="shared" si="1"/>
        <v>1F</v>
      </c>
      <c r="F16" s="252" t="s">
        <v>158</v>
      </c>
      <c r="G16" s="252" t="s">
        <v>105</v>
      </c>
      <c r="H16" s="252" t="s">
        <v>117</v>
      </c>
      <c r="I16" s="253">
        <v>0</v>
      </c>
      <c r="J16" s="254" t="str">
        <f t="shared" si="0"/>
        <v>EUR1F11Y_Quote</v>
      </c>
      <c r="K16" s="255"/>
      <c r="L16" s="256" t="str">
        <f>_xll.ohRangeRetrieveError(K16)</f>
        <v/>
      </c>
      <c r="M16" s="239"/>
      <c r="O16" s="275"/>
    </row>
    <row r="17" spans="1:15" ht="11.25" customHeight="1" x14ac:dyDescent="0.25">
      <c r="A17" s="231"/>
      <c r="B17" s="251">
        <v>2</v>
      </c>
      <c r="C17" s="251" t="s">
        <v>36</v>
      </c>
      <c r="D17" s="251" t="s">
        <v>22</v>
      </c>
      <c r="E17" s="251" t="str">
        <f t="shared" si="1"/>
        <v>1F</v>
      </c>
      <c r="F17" s="252" t="s">
        <v>158</v>
      </c>
      <c r="G17" s="252" t="s">
        <v>105</v>
      </c>
      <c r="H17" s="252" t="s">
        <v>117</v>
      </c>
      <c r="I17" s="253">
        <v>0</v>
      </c>
      <c r="J17" s="254" t="str">
        <f t="shared" si="0"/>
        <v>EUR1F12Y_Quote</v>
      </c>
      <c r="K17" s="255"/>
      <c r="L17" s="256" t="str">
        <f>_xll.ohRangeRetrieveError(K17)</f>
        <v/>
      </c>
      <c r="M17" s="239"/>
      <c r="O17" s="275"/>
    </row>
    <row r="18" spans="1:15" ht="11.25" customHeight="1" x14ac:dyDescent="0.25">
      <c r="A18" s="231"/>
      <c r="B18" s="251">
        <v>2</v>
      </c>
      <c r="C18" s="251" t="s">
        <v>36</v>
      </c>
      <c r="D18" s="251" t="s">
        <v>21</v>
      </c>
      <c r="E18" s="251" t="str">
        <f t="shared" si="1"/>
        <v>1F</v>
      </c>
      <c r="F18" s="252" t="s">
        <v>158</v>
      </c>
      <c r="G18" s="252" t="s">
        <v>105</v>
      </c>
      <c r="H18" s="252" t="s">
        <v>117</v>
      </c>
      <c r="I18" s="253">
        <v>0</v>
      </c>
      <c r="J18" s="254" t="str">
        <f t="shared" si="0"/>
        <v>EUR1F13Y_Quote</v>
      </c>
      <c r="K18" s="255"/>
      <c r="L18" s="256" t="str">
        <f>_xll.ohRangeRetrieveError(K18)</f>
        <v/>
      </c>
      <c r="M18" s="239"/>
      <c r="O18" s="275"/>
    </row>
    <row r="19" spans="1:15" ht="11.25" customHeight="1" x14ac:dyDescent="0.25">
      <c r="A19" s="231"/>
      <c r="B19" s="251">
        <v>2</v>
      </c>
      <c r="C19" s="251" t="s">
        <v>36</v>
      </c>
      <c r="D19" s="251" t="s">
        <v>20</v>
      </c>
      <c r="E19" s="251" t="str">
        <f t="shared" si="1"/>
        <v>1F</v>
      </c>
      <c r="F19" s="252" t="s">
        <v>158</v>
      </c>
      <c r="G19" s="252" t="s">
        <v>105</v>
      </c>
      <c r="H19" s="252" t="s">
        <v>117</v>
      </c>
      <c r="I19" s="253">
        <v>0</v>
      </c>
      <c r="J19" s="254" t="str">
        <f t="shared" si="0"/>
        <v>EUR1F14Y_Quote</v>
      </c>
      <c r="K19" s="255"/>
      <c r="L19" s="256" t="str">
        <f>_xll.ohRangeRetrieveError(K19)</f>
        <v/>
      </c>
      <c r="M19" s="239"/>
      <c r="O19" s="275"/>
    </row>
    <row r="20" spans="1:15" ht="11.25" customHeight="1" x14ac:dyDescent="0.25">
      <c r="A20" s="231"/>
      <c r="B20" s="251">
        <v>2</v>
      </c>
      <c r="C20" s="251" t="s">
        <v>36</v>
      </c>
      <c r="D20" s="251" t="s">
        <v>19</v>
      </c>
      <c r="E20" s="251" t="str">
        <f t="shared" si="1"/>
        <v>1F</v>
      </c>
      <c r="F20" s="252" t="s">
        <v>158</v>
      </c>
      <c r="G20" s="252" t="s">
        <v>105</v>
      </c>
      <c r="H20" s="252" t="s">
        <v>117</v>
      </c>
      <c r="I20" s="253">
        <v>0</v>
      </c>
      <c r="J20" s="254" t="str">
        <f t="shared" si="0"/>
        <v>EUR1F15Y_Quote</v>
      </c>
      <c r="K20" s="255"/>
      <c r="L20" s="256" t="str">
        <f>_xll.ohRangeRetrieveError(K20)</f>
        <v/>
      </c>
      <c r="M20" s="239"/>
      <c r="O20" s="275"/>
    </row>
    <row r="21" spans="1:15" ht="11.25" customHeight="1" x14ac:dyDescent="0.25">
      <c r="A21" s="231"/>
      <c r="B21" s="251">
        <v>2</v>
      </c>
      <c r="C21" s="251" t="s">
        <v>36</v>
      </c>
      <c r="D21" s="251" t="s">
        <v>14</v>
      </c>
      <c r="E21" s="251" t="str">
        <f t="shared" si="1"/>
        <v>1F</v>
      </c>
      <c r="F21" s="252" t="s">
        <v>158</v>
      </c>
      <c r="G21" s="252" t="s">
        <v>105</v>
      </c>
      <c r="H21" s="252" t="s">
        <v>117</v>
      </c>
      <c r="I21" s="253">
        <v>0</v>
      </c>
      <c r="J21" s="254" t="str">
        <f t="shared" si="0"/>
        <v>EUR1F20Y_Quote</v>
      </c>
      <c r="K21" s="255"/>
      <c r="L21" s="256" t="str">
        <f>_xll.ohRangeRetrieveError(K21)</f>
        <v/>
      </c>
      <c r="M21" s="239"/>
      <c r="O21" s="275"/>
    </row>
    <row r="22" spans="1:15" ht="11.25" customHeight="1" x14ac:dyDescent="0.25">
      <c r="A22" s="231"/>
      <c r="B22" s="251">
        <v>2</v>
      </c>
      <c r="C22" s="251" t="s">
        <v>36</v>
      </c>
      <c r="D22" s="251" t="s">
        <v>9</v>
      </c>
      <c r="E22" s="251" t="str">
        <f t="shared" si="1"/>
        <v>1F</v>
      </c>
      <c r="F22" s="252" t="s">
        <v>158</v>
      </c>
      <c r="G22" s="252" t="s">
        <v>105</v>
      </c>
      <c r="H22" s="252" t="s">
        <v>117</v>
      </c>
      <c r="I22" s="253">
        <v>0</v>
      </c>
      <c r="J22" s="254" t="str">
        <f t="shared" si="0"/>
        <v>EUR1F25Y_Quote</v>
      </c>
      <c r="K22" s="255"/>
      <c r="L22" s="256" t="str">
        <f>_xll.ohRangeRetrieveError(K22)</f>
        <v/>
      </c>
      <c r="M22" s="239"/>
      <c r="O22" s="275"/>
    </row>
    <row r="23" spans="1:15" ht="11.25" customHeight="1" x14ac:dyDescent="0.25">
      <c r="A23" s="231"/>
      <c r="B23" s="261">
        <v>2</v>
      </c>
      <c r="C23" s="261" t="s">
        <v>36</v>
      </c>
      <c r="D23" s="261" t="s">
        <v>4</v>
      </c>
      <c r="E23" s="261" t="str">
        <f t="shared" si="1"/>
        <v>1F</v>
      </c>
      <c r="F23" s="262" t="s">
        <v>158</v>
      </c>
      <c r="G23" s="262" t="s">
        <v>105</v>
      </c>
      <c r="H23" s="262" t="s">
        <v>117</v>
      </c>
      <c r="I23" s="263">
        <v>0</v>
      </c>
      <c r="J23" s="264" t="str">
        <f t="shared" si="0"/>
        <v>EUR1F30Y_Quote</v>
      </c>
      <c r="K23" s="265"/>
      <c r="L23" s="266" t="str">
        <f>_xll.ohRangeRetrieveError(K23)</f>
        <v/>
      </c>
      <c r="M23" s="239"/>
      <c r="O23" s="275"/>
    </row>
    <row r="24" spans="1:15" ht="11.25" customHeight="1" x14ac:dyDescent="0.25">
      <c r="A24" s="231"/>
      <c r="B24" s="243">
        <v>2</v>
      </c>
      <c r="C24" s="243" t="s">
        <v>32</v>
      </c>
      <c r="D24" s="243" t="s">
        <v>36</v>
      </c>
      <c r="E24" s="243" t="str">
        <f>LEFT(C24,1)&amp;"F"</f>
        <v>2F</v>
      </c>
      <c r="F24" s="244" t="s">
        <v>158</v>
      </c>
      <c r="G24" s="244" t="s">
        <v>105</v>
      </c>
      <c r="H24" s="244" t="s">
        <v>117</v>
      </c>
      <c r="I24" s="245">
        <v>0</v>
      </c>
      <c r="J24" s="246" t="str">
        <f t="shared" si="0"/>
        <v>EUR2F1Y_Quote</v>
      </c>
      <c r="K24" s="247"/>
      <c r="L24" s="248" t="str">
        <f>_xll.ohRangeRetrieveError(K24)</f>
        <v/>
      </c>
      <c r="M24" s="239"/>
      <c r="O24" s="275"/>
    </row>
    <row r="25" spans="1:15" ht="11.25" customHeight="1" x14ac:dyDescent="0.25">
      <c r="A25" s="231"/>
      <c r="B25" s="251">
        <v>2</v>
      </c>
      <c r="C25" s="251" t="s">
        <v>32</v>
      </c>
      <c r="D25" s="251" t="s">
        <v>32</v>
      </c>
      <c r="E25" s="251" t="str">
        <f t="shared" ref="E25:E41" si="2">LEFT(C25,1)&amp;"F"</f>
        <v>2F</v>
      </c>
      <c r="F25" s="252" t="s">
        <v>158</v>
      </c>
      <c r="G25" s="252" t="s">
        <v>105</v>
      </c>
      <c r="H25" s="252" t="s">
        <v>117</v>
      </c>
      <c r="I25" s="253">
        <v>0</v>
      </c>
      <c r="J25" s="254" t="str">
        <f t="shared" si="0"/>
        <v>EUR2F2Y_Quote</v>
      </c>
      <c r="K25" s="255"/>
      <c r="L25" s="256" t="str">
        <f>_xll.ohRangeRetrieveError(K25)</f>
        <v/>
      </c>
      <c r="M25" s="239"/>
      <c r="O25" s="275"/>
    </row>
    <row r="26" spans="1:15" ht="11.25" customHeight="1" x14ac:dyDescent="0.25">
      <c r="A26" s="231"/>
      <c r="B26" s="251">
        <v>2</v>
      </c>
      <c r="C26" s="251" t="s">
        <v>32</v>
      </c>
      <c r="D26" s="251" t="s">
        <v>31</v>
      </c>
      <c r="E26" s="251" t="str">
        <f t="shared" si="2"/>
        <v>2F</v>
      </c>
      <c r="F26" s="252" t="s">
        <v>158</v>
      </c>
      <c r="G26" s="252" t="s">
        <v>105</v>
      </c>
      <c r="H26" s="252" t="s">
        <v>117</v>
      </c>
      <c r="I26" s="253">
        <v>0</v>
      </c>
      <c r="J26" s="254" t="str">
        <f t="shared" si="0"/>
        <v>EUR2F3Y_Quote</v>
      </c>
      <c r="K26" s="255"/>
      <c r="L26" s="256" t="str">
        <f>_xll.ohRangeRetrieveError(K26)</f>
        <v/>
      </c>
      <c r="M26" s="239"/>
      <c r="O26" s="275"/>
    </row>
    <row r="27" spans="1:15" ht="11.25" customHeight="1" x14ac:dyDescent="0.25">
      <c r="A27" s="231"/>
      <c r="B27" s="251">
        <v>2</v>
      </c>
      <c r="C27" s="251" t="s">
        <v>32</v>
      </c>
      <c r="D27" s="251" t="s">
        <v>30</v>
      </c>
      <c r="E27" s="251" t="str">
        <f t="shared" si="2"/>
        <v>2F</v>
      </c>
      <c r="F27" s="252" t="s">
        <v>158</v>
      </c>
      <c r="G27" s="252" t="s">
        <v>105</v>
      </c>
      <c r="H27" s="252" t="s">
        <v>117</v>
      </c>
      <c r="I27" s="253">
        <v>0</v>
      </c>
      <c r="J27" s="254" t="str">
        <f t="shared" si="0"/>
        <v>EUR2F4Y_Quote</v>
      </c>
      <c r="K27" s="255"/>
      <c r="L27" s="256" t="str">
        <f>_xll.ohRangeRetrieveError(K27)</f>
        <v/>
      </c>
      <c r="M27" s="239"/>
      <c r="O27" s="275"/>
    </row>
    <row r="28" spans="1:15" ht="11.25" customHeight="1" x14ac:dyDescent="0.25">
      <c r="A28" s="231"/>
      <c r="B28" s="251">
        <v>2</v>
      </c>
      <c r="C28" s="251" t="s">
        <v>32</v>
      </c>
      <c r="D28" s="251" t="s">
        <v>29</v>
      </c>
      <c r="E28" s="251" t="str">
        <f t="shared" si="2"/>
        <v>2F</v>
      </c>
      <c r="F28" s="252" t="s">
        <v>158</v>
      </c>
      <c r="G28" s="252" t="s">
        <v>105</v>
      </c>
      <c r="H28" s="252" t="s">
        <v>117</v>
      </c>
      <c r="I28" s="253">
        <v>0</v>
      </c>
      <c r="J28" s="254" t="str">
        <f t="shared" si="0"/>
        <v>EUR2F5Y_Quote</v>
      </c>
      <c r="K28" s="255"/>
      <c r="L28" s="256" t="str">
        <f>_xll.ohRangeRetrieveError(K28)</f>
        <v/>
      </c>
      <c r="M28" s="239"/>
      <c r="O28" s="275"/>
    </row>
    <row r="29" spans="1:15" ht="11.25" customHeight="1" x14ac:dyDescent="0.25">
      <c r="A29" s="231"/>
      <c r="B29" s="251">
        <v>2</v>
      </c>
      <c r="C29" s="251" t="s">
        <v>32</v>
      </c>
      <c r="D29" s="251" t="s">
        <v>28</v>
      </c>
      <c r="E29" s="251" t="str">
        <f t="shared" si="2"/>
        <v>2F</v>
      </c>
      <c r="F29" s="252" t="s">
        <v>158</v>
      </c>
      <c r="G29" s="252" t="s">
        <v>105</v>
      </c>
      <c r="H29" s="252" t="s">
        <v>117</v>
      </c>
      <c r="I29" s="253">
        <v>0</v>
      </c>
      <c r="J29" s="254" t="str">
        <f t="shared" si="0"/>
        <v>EUR2F6Y_Quote</v>
      </c>
      <c r="K29" s="255"/>
      <c r="L29" s="256" t="str">
        <f>_xll.ohRangeRetrieveError(K29)</f>
        <v/>
      </c>
      <c r="M29" s="239"/>
      <c r="O29" s="275"/>
    </row>
    <row r="30" spans="1:15" ht="11.25" customHeight="1" x14ac:dyDescent="0.25">
      <c r="A30" s="231"/>
      <c r="B30" s="251">
        <v>2</v>
      </c>
      <c r="C30" s="251" t="s">
        <v>32</v>
      </c>
      <c r="D30" s="251" t="s">
        <v>27</v>
      </c>
      <c r="E30" s="251" t="str">
        <f t="shared" si="2"/>
        <v>2F</v>
      </c>
      <c r="F30" s="252" t="s">
        <v>158</v>
      </c>
      <c r="G30" s="252" t="s">
        <v>105</v>
      </c>
      <c r="H30" s="252" t="s">
        <v>117</v>
      </c>
      <c r="I30" s="253">
        <v>0</v>
      </c>
      <c r="J30" s="254" t="str">
        <f t="shared" si="0"/>
        <v>EUR2F7Y_Quote</v>
      </c>
      <c r="K30" s="255"/>
      <c r="L30" s="256" t="str">
        <f>_xll.ohRangeRetrieveError(K30)</f>
        <v/>
      </c>
      <c r="M30" s="239"/>
      <c r="O30" s="275"/>
    </row>
    <row r="31" spans="1:15" ht="11.25" customHeight="1" x14ac:dyDescent="0.25">
      <c r="A31" s="231"/>
      <c r="B31" s="251">
        <v>2</v>
      </c>
      <c r="C31" s="251" t="s">
        <v>32</v>
      </c>
      <c r="D31" s="251" t="s">
        <v>26</v>
      </c>
      <c r="E31" s="251" t="str">
        <f t="shared" si="2"/>
        <v>2F</v>
      </c>
      <c r="F31" s="252" t="s">
        <v>158</v>
      </c>
      <c r="G31" s="252" t="s">
        <v>105</v>
      </c>
      <c r="H31" s="252" t="s">
        <v>117</v>
      </c>
      <c r="I31" s="253">
        <v>0</v>
      </c>
      <c r="J31" s="254" t="str">
        <f t="shared" si="0"/>
        <v>EUR2F8Y_Quote</v>
      </c>
      <c r="K31" s="255"/>
      <c r="L31" s="256" t="str">
        <f>_xll.ohRangeRetrieveError(K31)</f>
        <v/>
      </c>
      <c r="M31" s="239"/>
      <c r="O31" s="275"/>
    </row>
    <row r="32" spans="1:15" ht="11.25" customHeight="1" x14ac:dyDescent="0.25">
      <c r="A32" s="231"/>
      <c r="B32" s="251">
        <v>2</v>
      </c>
      <c r="C32" s="251" t="s">
        <v>32</v>
      </c>
      <c r="D32" s="251" t="s">
        <v>25</v>
      </c>
      <c r="E32" s="251" t="str">
        <f t="shared" si="2"/>
        <v>2F</v>
      </c>
      <c r="F32" s="252" t="s">
        <v>158</v>
      </c>
      <c r="G32" s="252" t="s">
        <v>105</v>
      </c>
      <c r="H32" s="252" t="s">
        <v>117</v>
      </c>
      <c r="I32" s="253">
        <v>0</v>
      </c>
      <c r="J32" s="254" t="str">
        <f t="shared" si="0"/>
        <v>EUR2F9Y_Quote</v>
      </c>
      <c r="K32" s="255"/>
      <c r="L32" s="256" t="str">
        <f>_xll.ohRangeRetrieveError(K32)</f>
        <v/>
      </c>
      <c r="M32" s="239"/>
      <c r="O32" s="275"/>
    </row>
    <row r="33" spans="1:15" ht="11.25" customHeight="1" x14ac:dyDescent="0.25">
      <c r="A33" s="231"/>
      <c r="B33" s="251">
        <v>2</v>
      </c>
      <c r="C33" s="251" t="s">
        <v>32</v>
      </c>
      <c r="D33" s="251" t="s">
        <v>24</v>
      </c>
      <c r="E33" s="251" t="str">
        <f t="shared" si="2"/>
        <v>2F</v>
      </c>
      <c r="F33" s="252" t="s">
        <v>158</v>
      </c>
      <c r="G33" s="252" t="s">
        <v>105</v>
      </c>
      <c r="H33" s="252" t="s">
        <v>117</v>
      </c>
      <c r="I33" s="253">
        <v>0</v>
      </c>
      <c r="J33" s="254" t="str">
        <f t="shared" si="0"/>
        <v>EUR2F10Y_Quote</v>
      </c>
      <c r="K33" s="255"/>
      <c r="L33" s="256" t="str">
        <f>_xll.ohRangeRetrieveError(K33)</f>
        <v/>
      </c>
      <c r="M33" s="239"/>
      <c r="O33" s="275"/>
    </row>
    <row r="34" spans="1:15" ht="11.25" customHeight="1" x14ac:dyDescent="0.25">
      <c r="A34" s="231"/>
      <c r="B34" s="251">
        <v>2</v>
      </c>
      <c r="C34" s="251" t="s">
        <v>32</v>
      </c>
      <c r="D34" s="251" t="s">
        <v>23</v>
      </c>
      <c r="E34" s="251" t="str">
        <f t="shared" si="2"/>
        <v>2F</v>
      </c>
      <c r="F34" s="252" t="s">
        <v>158</v>
      </c>
      <c r="G34" s="252" t="s">
        <v>105</v>
      </c>
      <c r="H34" s="252" t="s">
        <v>117</v>
      </c>
      <c r="I34" s="253">
        <v>0</v>
      </c>
      <c r="J34" s="254" t="str">
        <f t="shared" si="0"/>
        <v>EUR2F11Y_Quote</v>
      </c>
      <c r="K34" s="255"/>
      <c r="L34" s="256" t="str">
        <f>_xll.ohRangeRetrieveError(K34)</f>
        <v/>
      </c>
      <c r="M34" s="239"/>
      <c r="O34" s="275"/>
    </row>
    <row r="35" spans="1:15" ht="11.25" customHeight="1" x14ac:dyDescent="0.25">
      <c r="A35" s="231"/>
      <c r="B35" s="251">
        <v>2</v>
      </c>
      <c r="C35" s="251" t="s">
        <v>32</v>
      </c>
      <c r="D35" s="251" t="s">
        <v>22</v>
      </c>
      <c r="E35" s="251" t="str">
        <f t="shared" si="2"/>
        <v>2F</v>
      </c>
      <c r="F35" s="252" t="s">
        <v>158</v>
      </c>
      <c r="G35" s="252" t="s">
        <v>105</v>
      </c>
      <c r="H35" s="252" t="s">
        <v>117</v>
      </c>
      <c r="I35" s="253">
        <v>0</v>
      </c>
      <c r="J35" s="254" t="str">
        <f t="shared" si="0"/>
        <v>EUR2F12Y_Quote</v>
      </c>
      <c r="K35" s="255"/>
      <c r="L35" s="256" t="str">
        <f>_xll.ohRangeRetrieveError(K35)</f>
        <v/>
      </c>
      <c r="M35" s="239"/>
      <c r="O35" s="275"/>
    </row>
    <row r="36" spans="1:15" ht="11.25" customHeight="1" x14ac:dyDescent="0.25">
      <c r="A36" s="231"/>
      <c r="B36" s="251">
        <v>2</v>
      </c>
      <c r="C36" s="251" t="s">
        <v>32</v>
      </c>
      <c r="D36" s="251" t="s">
        <v>21</v>
      </c>
      <c r="E36" s="251" t="str">
        <f t="shared" si="2"/>
        <v>2F</v>
      </c>
      <c r="F36" s="252" t="s">
        <v>158</v>
      </c>
      <c r="G36" s="252" t="s">
        <v>105</v>
      </c>
      <c r="H36" s="252" t="s">
        <v>117</v>
      </c>
      <c r="I36" s="253">
        <v>0</v>
      </c>
      <c r="J36" s="254" t="str">
        <f t="shared" si="0"/>
        <v>EUR2F13Y_Quote</v>
      </c>
      <c r="K36" s="255"/>
      <c r="L36" s="256" t="str">
        <f>_xll.ohRangeRetrieveError(K36)</f>
        <v/>
      </c>
      <c r="M36" s="239"/>
      <c r="O36" s="275"/>
    </row>
    <row r="37" spans="1:15" ht="11.25" customHeight="1" x14ac:dyDescent="0.25">
      <c r="A37" s="231"/>
      <c r="B37" s="251">
        <v>2</v>
      </c>
      <c r="C37" s="251" t="s">
        <v>32</v>
      </c>
      <c r="D37" s="251" t="s">
        <v>20</v>
      </c>
      <c r="E37" s="251" t="str">
        <f t="shared" si="2"/>
        <v>2F</v>
      </c>
      <c r="F37" s="252" t="s">
        <v>158</v>
      </c>
      <c r="G37" s="252" t="s">
        <v>105</v>
      </c>
      <c r="H37" s="252" t="s">
        <v>117</v>
      </c>
      <c r="I37" s="253">
        <v>0</v>
      </c>
      <c r="J37" s="254" t="str">
        <f t="shared" si="0"/>
        <v>EUR2F14Y_Quote</v>
      </c>
      <c r="K37" s="255"/>
      <c r="L37" s="256" t="str">
        <f>_xll.ohRangeRetrieveError(K37)</f>
        <v/>
      </c>
      <c r="M37" s="239"/>
      <c r="O37" s="275"/>
    </row>
    <row r="38" spans="1:15" ht="11.25" customHeight="1" x14ac:dyDescent="0.25">
      <c r="A38" s="231"/>
      <c r="B38" s="251">
        <v>2</v>
      </c>
      <c r="C38" s="251" t="s">
        <v>32</v>
      </c>
      <c r="D38" s="251" t="s">
        <v>19</v>
      </c>
      <c r="E38" s="251" t="str">
        <f t="shared" si="2"/>
        <v>2F</v>
      </c>
      <c r="F38" s="252" t="s">
        <v>158</v>
      </c>
      <c r="G38" s="252" t="s">
        <v>105</v>
      </c>
      <c r="H38" s="252" t="s">
        <v>117</v>
      </c>
      <c r="I38" s="253">
        <v>0</v>
      </c>
      <c r="J38" s="254" t="str">
        <f t="shared" si="0"/>
        <v>EUR2F15Y_Quote</v>
      </c>
      <c r="K38" s="255"/>
      <c r="L38" s="256" t="str">
        <f>_xll.ohRangeRetrieveError(K38)</f>
        <v/>
      </c>
      <c r="M38" s="239"/>
      <c r="O38" s="275"/>
    </row>
    <row r="39" spans="1:15" ht="11.25" customHeight="1" x14ac:dyDescent="0.25">
      <c r="A39" s="231"/>
      <c r="B39" s="251">
        <v>2</v>
      </c>
      <c r="C39" s="251" t="s">
        <v>32</v>
      </c>
      <c r="D39" s="251" t="s">
        <v>14</v>
      </c>
      <c r="E39" s="251" t="str">
        <f t="shared" si="2"/>
        <v>2F</v>
      </c>
      <c r="F39" s="252" t="s">
        <v>158</v>
      </c>
      <c r="G39" s="252" t="s">
        <v>105</v>
      </c>
      <c r="H39" s="252" t="s">
        <v>117</v>
      </c>
      <c r="I39" s="253">
        <v>0</v>
      </c>
      <c r="J39" s="254" t="str">
        <f t="shared" si="0"/>
        <v>EUR2F20Y_Quote</v>
      </c>
      <c r="K39" s="255"/>
      <c r="L39" s="256" t="str">
        <f>_xll.ohRangeRetrieveError(K39)</f>
        <v/>
      </c>
      <c r="M39" s="239"/>
      <c r="O39" s="275"/>
    </row>
    <row r="40" spans="1:15" ht="11.25" customHeight="1" x14ac:dyDescent="0.25">
      <c r="A40" s="231"/>
      <c r="B40" s="251">
        <v>2</v>
      </c>
      <c r="C40" s="251" t="s">
        <v>32</v>
      </c>
      <c r="D40" s="251" t="s">
        <v>9</v>
      </c>
      <c r="E40" s="251" t="str">
        <f t="shared" si="2"/>
        <v>2F</v>
      </c>
      <c r="F40" s="252" t="s">
        <v>158</v>
      </c>
      <c r="G40" s="252" t="s">
        <v>105</v>
      </c>
      <c r="H40" s="252" t="s">
        <v>117</v>
      </c>
      <c r="I40" s="253">
        <v>0</v>
      </c>
      <c r="J40" s="254" t="str">
        <f t="shared" si="0"/>
        <v>EUR2F25Y_Quote</v>
      </c>
      <c r="K40" s="255"/>
      <c r="L40" s="256" t="str">
        <f>_xll.ohRangeRetrieveError(K40)</f>
        <v/>
      </c>
      <c r="M40" s="239"/>
      <c r="O40" s="275"/>
    </row>
    <row r="41" spans="1:15" ht="11.25" customHeight="1" x14ac:dyDescent="0.25">
      <c r="A41" s="231"/>
      <c r="B41" s="261">
        <v>2</v>
      </c>
      <c r="C41" s="261" t="s">
        <v>32</v>
      </c>
      <c r="D41" s="261" t="s">
        <v>4</v>
      </c>
      <c r="E41" s="261" t="str">
        <f t="shared" si="2"/>
        <v>2F</v>
      </c>
      <c r="F41" s="262" t="s">
        <v>158</v>
      </c>
      <c r="G41" s="262" t="s">
        <v>105</v>
      </c>
      <c r="H41" s="262" t="s">
        <v>117</v>
      </c>
      <c r="I41" s="263">
        <v>0</v>
      </c>
      <c r="J41" s="264" t="str">
        <f t="shared" si="0"/>
        <v>EUR2F30Y_Quote</v>
      </c>
      <c r="K41" s="265"/>
      <c r="L41" s="266" t="str">
        <f>_xll.ohRangeRetrieveError(K41)</f>
        <v/>
      </c>
      <c r="M41" s="239"/>
      <c r="O41" s="275"/>
    </row>
    <row r="42" spans="1:15" ht="11.25" customHeight="1" x14ac:dyDescent="0.25">
      <c r="A42" s="231"/>
      <c r="B42" s="243">
        <v>2</v>
      </c>
      <c r="C42" s="243" t="s">
        <v>31</v>
      </c>
      <c r="D42" s="243" t="s">
        <v>36</v>
      </c>
      <c r="E42" s="243" t="str">
        <f>LEFT(C42,1)&amp;"F"</f>
        <v>3F</v>
      </c>
      <c r="F42" s="244" t="s">
        <v>158</v>
      </c>
      <c r="G42" s="244" t="s">
        <v>105</v>
      </c>
      <c r="H42" s="244" t="s">
        <v>117</v>
      </c>
      <c r="I42" s="245">
        <v>0</v>
      </c>
      <c r="J42" s="246" t="str">
        <f t="shared" si="0"/>
        <v>EUR3F1Y_Quote</v>
      </c>
      <c r="K42" s="247"/>
      <c r="L42" s="248" t="str">
        <f>_xll.ohRangeRetrieveError(K42)</f>
        <v/>
      </c>
      <c r="M42" s="239"/>
      <c r="O42" s="275"/>
    </row>
    <row r="43" spans="1:15" ht="11.25" customHeight="1" x14ac:dyDescent="0.25">
      <c r="A43" s="231"/>
      <c r="B43" s="251">
        <v>2</v>
      </c>
      <c r="C43" s="251" t="s">
        <v>31</v>
      </c>
      <c r="D43" s="251" t="s">
        <v>32</v>
      </c>
      <c r="E43" s="251" t="str">
        <f t="shared" ref="E43:E59" si="3">LEFT(C43,1)&amp;"F"</f>
        <v>3F</v>
      </c>
      <c r="F43" s="252" t="s">
        <v>158</v>
      </c>
      <c r="G43" s="252" t="s">
        <v>105</v>
      </c>
      <c r="H43" s="252" t="s">
        <v>117</v>
      </c>
      <c r="I43" s="253">
        <v>0</v>
      </c>
      <c r="J43" s="254" t="str">
        <f t="shared" si="0"/>
        <v>EUR3F2Y_Quote</v>
      </c>
      <c r="K43" s="255"/>
      <c r="L43" s="256" t="str">
        <f>_xll.ohRangeRetrieveError(K43)</f>
        <v/>
      </c>
      <c r="M43" s="239"/>
      <c r="O43" s="275"/>
    </row>
    <row r="44" spans="1:15" ht="11.25" customHeight="1" x14ac:dyDescent="0.25">
      <c r="A44" s="231"/>
      <c r="B44" s="251">
        <v>2</v>
      </c>
      <c r="C44" s="251" t="s">
        <v>31</v>
      </c>
      <c r="D44" s="251" t="s">
        <v>31</v>
      </c>
      <c r="E44" s="251" t="str">
        <f t="shared" si="3"/>
        <v>3F</v>
      </c>
      <c r="F44" s="252" t="s">
        <v>158</v>
      </c>
      <c r="G44" s="252" t="s">
        <v>105</v>
      </c>
      <c r="H44" s="252" t="s">
        <v>117</v>
      </c>
      <c r="I44" s="253">
        <v>0</v>
      </c>
      <c r="J44" s="254" t="str">
        <f t="shared" si="0"/>
        <v>EUR3F3Y_Quote</v>
      </c>
      <c r="K44" s="255"/>
      <c r="L44" s="256" t="str">
        <f>_xll.ohRangeRetrieveError(K44)</f>
        <v/>
      </c>
      <c r="M44" s="239"/>
      <c r="O44" s="275"/>
    </row>
    <row r="45" spans="1:15" ht="11.25" customHeight="1" x14ac:dyDescent="0.25">
      <c r="A45" s="231"/>
      <c r="B45" s="251">
        <v>2</v>
      </c>
      <c r="C45" s="251" t="s">
        <v>31</v>
      </c>
      <c r="D45" s="251" t="s">
        <v>30</v>
      </c>
      <c r="E45" s="251" t="str">
        <f t="shared" si="3"/>
        <v>3F</v>
      </c>
      <c r="F45" s="252" t="s">
        <v>158</v>
      </c>
      <c r="G45" s="252" t="s">
        <v>105</v>
      </c>
      <c r="H45" s="252" t="s">
        <v>117</v>
      </c>
      <c r="I45" s="253">
        <v>0</v>
      </c>
      <c r="J45" s="254" t="str">
        <f t="shared" si="0"/>
        <v>EUR3F4Y_Quote</v>
      </c>
      <c r="K45" s="255"/>
      <c r="L45" s="256" t="str">
        <f>_xll.ohRangeRetrieveError(K45)</f>
        <v/>
      </c>
      <c r="M45" s="239"/>
      <c r="O45" s="275"/>
    </row>
    <row r="46" spans="1:15" ht="11.25" customHeight="1" x14ac:dyDescent="0.25">
      <c r="A46" s="231"/>
      <c r="B46" s="251">
        <v>2</v>
      </c>
      <c r="C46" s="251" t="s">
        <v>31</v>
      </c>
      <c r="D46" s="251" t="s">
        <v>29</v>
      </c>
      <c r="E46" s="251" t="str">
        <f t="shared" si="3"/>
        <v>3F</v>
      </c>
      <c r="F46" s="252" t="s">
        <v>158</v>
      </c>
      <c r="G46" s="252" t="s">
        <v>105</v>
      </c>
      <c r="H46" s="252" t="s">
        <v>117</v>
      </c>
      <c r="I46" s="253">
        <v>0</v>
      </c>
      <c r="J46" s="254" t="str">
        <f t="shared" si="0"/>
        <v>EUR3F5Y_Quote</v>
      </c>
      <c r="K46" s="255"/>
      <c r="L46" s="256" t="str">
        <f>_xll.ohRangeRetrieveError(K46)</f>
        <v/>
      </c>
      <c r="M46" s="239"/>
      <c r="O46" s="275"/>
    </row>
    <row r="47" spans="1:15" ht="11.25" customHeight="1" x14ac:dyDescent="0.25">
      <c r="A47" s="231"/>
      <c r="B47" s="251">
        <v>2</v>
      </c>
      <c r="C47" s="251" t="s">
        <v>31</v>
      </c>
      <c r="D47" s="251" t="s">
        <v>28</v>
      </c>
      <c r="E47" s="251" t="str">
        <f t="shared" si="3"/>
        <v>3F</v>
      </c>
      <c r="F47" s="252" t="s">
        <v>158</v>
      </c>
      <c r="G47" s="252" t="s">
        <v>105</v>
      </c>
      <c r="H47" s="252" t="s">
        <v>117</v>
      </c>
      <c r="I47" s="253">
        <v>0</v>
      </c>
      <c r="J47" s="254" t="str">
        <f t="shared" si="0"/>
        <v>EUR3F6Y_Quote</v>
      </c>
      <c r="K47" s="255"/>
      <c r="L47" s="256" t="str">
        <f>_xll.ohRangeRetrieveError(K47)</f>
        <v/>
      </c>
      <c r="M47" s="239"/>
      <c r="O47" s="275"/>
    </row>
    <row r="48" spans="1:15" ht="11.25" customHeight="1" x14ac:dyDescent="0.25">
      <c r="A48" s="231"/>
      <c r="B48" s="251">
        <v>2</v>
      </c>
      <c r="C48" s="251" t="s">
        <v>31</v>
      </c>
      <c r="D48" s="251" t="s">
        <v>27</v>
      </c>
      <c r="E48" s="251" t="str">
        <f t="shared" si="3"/>
        <v>3F</v>
      </c>
      <c r="F48" s="252" t="s">
        <v>158</v>
      </c>
      <c r="G48" s="252" t="s">
        <v>105</v>
      </c>
      <c r="H48" s="252" t="s">
        <v>117</v>
      </c>
      <c r="I48" s="253">
        <v>0</v>
      </c>
      <c r="J48" s="254" t="str">
        <f t="shared" si="0"/>
        <v>EUR3F7Y_Quote</v>
      </c>
      <c r="K48" s="255"/>
      <c r="L48" s="256" t="str">
        <f>_xll.ohRangeRetrieveError(K48)</f>
        <v/>
      </c>
      <c r="M48" s="239"/>
      <c r="O48" s="275"/>
    </row>
    <row r="49" spans="1:15" ht="11.25" customHeight="1" x14ac:dyDescent="0.25">
      <c r="A49" s="231"/>
      <c r="B49" s="251">
        <v>2</v>
      </c>
      <c r="C49" s="251" t="s">
        <v>31</v>
      </c>
      <c r="D49" s="251" t="s">
        <v>26</v>
      </c>
      <c r="E49" s="251" t="str">
        <f t="shared" si="3"/>
        <v>3F</v>
      </c>
      <c r="F49" s="252" t="s">
        <v>158</v>
      </c>
      <c r="G49" s="252" t="s">
        <v>105</v>
      </c>
      <c r="H49" s="252" t="s">
        <v>117</v>
      </c>
      <c r="I49" s="253">
        <v>0</v>
      </c>
      <c r="J49" s="254" t="str">
        <f t="shared" si="0"/>
        <v>EUR3F8Y_Quote</v>
      </c>
      <c r="K49" s="255"/>
      <c r="L49" s="256" t="str">
        <f>_xll.ohRangeRetrieveError(K49)</f>
        <v/>
      </c>
      <c r="M49" s="239"/>
      <c r="O49" s="275"/>
    </row>
    <row r="50" spans="1:15" ht="11.25" customHeight="1" x14ac:dyDescent="0.25">
      <c r="A50" s="231"/>
      <c r="B50" s="251">
        <v>2</v>
      </c>
      <c r="C50" s="251" t="s">
        <v>31</v>
      </c>
      <c r="D50" s="251" t="s">
        <v>25</v>
      </c>
      <c r="E50" s="251" t="str">
        <f t="shared" si="3"/>
        <v>3F</v>
      </c>
      <c r="F50" s="252" t="s">
        <v>158</v>
      </c>
      <c r="G50" s="252" t="s">
        <v>105</v>
      </c>
      <c r="H50" s="252" t="s">
        <v>117</v>
      </c>
      <c r="I50" s="253">
        <v>0</v>
      </c>
      <c r="J50" s="254" t="str">
        <f t="shared" si="0"/>
        <v>EUR3F9Y_Quote</v>
      </c>
      <c r="K50" s="255"/>
      <c r="L50" s="256" t="str">
        <f>_xll.ohRangeRetrieveError(K50)</f>
        <v/>
      </c>
      <c r="M50" s="239"/>
      <c r="O50" s="275"/>
    </row>
    <row r="51" spans="1:15" ht="11.25" customHeight="1" x14ac:dyDescent="0.25">
      <c r="A51" s="231"/>
      <c r="B51" s="251">
        <v>2</v>
      </c>
      <c r="C51" s="251" t="s">
        <v>31</v>
      </c>
      <c r="D51" s="251" t="s">
        <v>24</v>
      </c>
      <c r="E51" s="251" t="str">
        <f t="shared" si="3"/>
        <v>3F</v>
      </c>
      <c r="F51" s="252" t="s">
        <v>158</v>
      </c>
      <c r="G51" s="252" t="s">
        <v>105</v>
      </c>
      <c r="H51" s="252" t="s">
        <v>117</v>
      </c>
      <c r="I51" s="253">
        <v>0</v>
      </c>
      <c r="J51" s="254" t="str">
        <f t="shared" si="0"/>
        <v>EUR3F10Y_Quote</v>
      </c>
      <c r="K51" s="255"/>
      <c r="L51" s="256" t="str">
        <f>_xll.ohRangeRetrieveError(K51)</f>
        <v/>
      </c>
      <c r="M51" s="239"/>
      <c r="O51" s="275"/>
    </row>
    <row r="52" spans="1:15" ht="11.25" customHeight="1" x14ac:dyDescent="0.25">
      <c r="A52" s="231"/>
      <c r="B52" s="251">
        <v>2</v>
      </c>
      <c r="C52" s="251" t="s">
        <v>31</v>
      </c>
      <c r="D52" s="251" t="s">
        <v>23</v>
      </c>
      <c r="E52" s="251" t="str">
        <f t="shared" si="3"/>
        <v>3F</v>
      </c>
      <c r="F52" s="252" t="s">
        <v>158</v>
      </c>
      <c r="G52" s="252" t="s">
        <v>105</v>
      </c>
      <c r="H52" s="252" t="s">
        <v>117</v>
      </c>
      <c r="I52" s="253">
        <v>0</v>
      </c>
      <c r="J52" s="254" t="str">
        <f t="shared" si="0"/>
        <v>EUR3F11Y_Quote</v>
      </c>
      <c r="K52" s="255"/>
      <c r="L52" s="256" t="str">
        <f>_xll.ohRangeRetrieveError(K52)</f>
        <v/>
      </c>
      <c r="M52" s="239"/>
      <c r="O52" s="275"/>
    </row>
    <row r="53" spans="1:15" ht="11.25" customHeight="1" x14ac:dyDescent="0.25">
      <c r="A53" s="231"/>
      <c r="B53" s="251">
        <v>2</v>
      </c>
      <c r="C53" s="251" t="s">
        <v>31</v>
      </c>
      <c r="D53" s="251" t="s">
        <v>22</v>
      </c>
      <c r="E53" s="251" t="str">
        <f t="shared" si="3"/>
        <v>3F</v>
      </c>
      <c r="F53" s="252" t="s">
        <v>158</v>
      </c>
      <c r="G53" s="252" t="s">
        <v>105</v>
      </c>
      <c r="H53" s="252" t="s">
        <v>117</v>
      </c>
      <c r="I53" s="253">
        <v>0</v>
      </c>
      <c r="J53" s="254" t="str">
        <f t="shared" si="0"/>
        <v>EUR3F12Y_Quote</v>
      </c>
      <c r="K53" s="255"/>
      <c r="L53" s="256" t="str">
        <f>_xll.ohRangeRetrieveError(K53)</f>
        <v/>
      </c>
      <c r="M53" s="239"/>
      <c r="O53" s="275"/>
    </row>
    <row r="54" spans="1:15" ht="11.25" customHeight="1" x14ac:dyDescent="0.25">
      <c r="A54" s="231"/>
      <c r="B54" s="251">
        <v>2</v>
      </c>
      <c r="C54" s="251" t="s">
        <v>31</v>
      </c>
      <c r="D54" s="251" t="s">
        <v>21</v>
      </c>
      <c r="E54" s="251" t="str">
        <f t="shared" si="3"/>
        <v>3F</v>
      </c>
      <c r="F54" s="252" t="s">
        <v>158</v>
      </c>
      <c r="G54" s="252" t="s">
        <v>105</v>
      </c>
      <c r="H54" s="252" t="s">
        <v>117</v>
      </c>
      <c r="I54" s="253">
        <v>0</v>
      </c>
      <c r="J54" s="254" t="str">
        <f t="shared" si="0"/>
        <v>EUR3F13Y_Quote</v>
      </c>
      <c r="K54" s="255"/>
      <c r="L54" s="256" t="str">
        <f>_xll.ohRangeRetrieveError(K54)</f>
        <v/>
      </c>
      <c r="M54" s="239"/>
      <c r="O54" s="275"/>
    </row>
    <row r="55" spans="1:15" ht="11.25" customHeight="1" x14ac:dyDescent="0.25">
      <c r="A55" s="231"/>
      <c r="B55" s="251">
        <v>2</v>
      </c>
      <c r="C55" s="251" t="s">
        <v>31</v>
      </c>
      <c r="D55" s="251" t="s">
        <v>20</v>
      </c>
      <c r="E55" s="251" t="str">
        <f t="shared" si="3"/>
        <v>3F</v>
      </c>
      <c r="F55" s="252" t="s">
        <v>158</v>
      </c>
      <c r="G55" s="252" t="s">
        <v>105</v>
      </c>
      <c r="H55" s="252" t="s">
        <v>117</v>
      </c>
      <c r="I55" s="253">
        <v>0</v>
      </c>
      <c r="J55" s="254" t="str">
        <f t="shared" si="0"/>
        <v>EUR3F14Y_Quote</v>
      </c>
      <c r="K55" s="255"/>
      <c r="L55" s="256" t="str">
        <f>_xll.ohRangeRetrieveError(K55)</f>
        <v/>
      </c>
      <c r="M55" s="239"/>
      <c r="O55" s="275"/>
    </row>
    <row r="56" spans="1:15" ht="11.25" customHeight="1" x14ac:dyDescent="0.25">
      <c r="A56" s="231"/>
      <c r="B56" s="251">
        <v>2</v>
      </c>
      <c r="C56" s="251" t="s">
        <v>31</v>
      </c>
      <c r="D56" s="251" t="s">
        <v>19</v>
      </c>
      <c r="E56" s="251" t="str">
        <f t="shared" si="3"/>
        <v>3F</v>
      </c>
      <c r="F56" s="252" t="s">
        <v>158</v>
      </c>
      <c r="G56" s="252" t="s">
        <v>105</v>
      </c>
      <c r="H56" s="252" t="s">
        <v>117</v>
      </c>
      <c r="I56" s="253">
        <v>0</v>
      </c>
      <c r="J56" s="254" t="str">
        <f t="shared" si="0"/>
        <v>EUR3F15Y_Quote</v>
      </c>
      <c r="K56" s="255"/>
      <c r="L56" s="256" t="str">
        <f>_xll.ohRangeRetrieveError(K56)</f>
        <v/>
      </c>
      <c r="M56" s="239"/>
      <c r="O56" s="275"/>
    </row>
    <row r="57" spans="1:15" ht="11.25" customHeight="1" x14ac:dyDescent="0.25">
      <c r="A57" s="231"/>
      <c r="B57" s="251">
        <v>2</v>
      </c>
      <c r="C57" s="251" t="s">
        <v>31</v>
      </c>
      <c r="D57" s="251" t="s">
        <v>14</v>
      </c>
      <c r="E57" s="251" t="str">
        <f t="shared" si="3"/>
        <v>3F</v>
      </c>
      <c r="F57" s="252" t="s">
        <v>158</v>
      </c>
      <c r="G57" s="252" t="s">
        <v>105</v>
      </c>
      <c r="H57" s="252" t="s">
        <v>117</v>
      </c>
      <c r="I57" s="253">
        <v>0</v>
      </c>
      <c r="J57" s="254" t="str">
        <f t="shared" si="0"/>
        <v>EUR3F20Y_Quote</v>
      </c>
      <c r="K57" s="255"/>
      <c r="L57" s="256" t="str">
        <f>_xll.ohRangeRetrieveError(K57)</f>
        <v/>
      </c>
      <c r="M57" s="239"/>
      <c r="O57" s="275"/>
    </row>
    <row r="58" spans="1:15" ht="11.25" customHeight="1" x14ac:dyDescent="0.25">
      <c r="A58" s="231"/>
      <c r="B58" s="251">
        <v>2</v>
      </c>
      <c r="C58" s="251" t="s">
        <v>31</v>
      </c>
      <c r="D58" s="251" t="s">
        <v>9</v>
      </c>
      <c r="E58" s="251" t="str">
        <f t="shared" si="3"/>
        <v>3F</v>
      </c>
      <c r="F58" s="252" t="s">
        <v>158</v>
      </c>
      <c r="G58" s="252" t="s">
        <v>105</v>
      </c>
      <c r="H58" s="252" t="s">
        <v>117</v>
      </c>
      <c r="I58" s="253">
        <v>0</v>
      </c>
      <c r="J58" s="254" t="str">
        <f t="shared" si="0"/>
        <v>EUR3F25Y_Quote</v>
      </c>
      <c r="K58" s="255"/>
      <c r="L58" s="256" t="str">
        <f>_xll.ohRangeRetrieveError(K58)</f>
        <v/>
      </c>
      <c r="M58" s="239"/>
      <c r="O58" s="275"/>
    </row>
    <row r="59" spans="1:15" ht="11.25" customHeight="1" x14ac:dyDescent="0.25">
      <c r="A59" s="231"/>
      <c r="B59" s="261">
        <v>2</v>
      </c>
      <c r="C59" s="261" t="s">
        <v>31</v>
      </c>
      <c r="D59" s="261" t="s">
        <v>4</v>
      </c>
      <c r="E59" s="261" t="str">
        <f t="shared" si="3"/>
        <v>3F</v>
      </c>
      <c r="F59" s="262" t="s">
        <v>158</v>
      </c>
      <c r="G59" s="262" t="s">
        <v>105</v>
      </c>
      <c r="H59" s="262" t="s">
        <v>117</v>
      </c>
      <c r="I59" s="263">
        <v>0</v>
      </c>
      <c r="J59" s="264" t="str">
        <f t="shared" si="0"/>
        <v>EUR3F30Y_Quote</v>
      </c>
      <c r="K59" s="265"/>
      <c r="L59" s="266" t="str">
        <f>_xll.ohRangeRetrieveError(K59)</f>
        <v/>
      </c>
      <c r="M59" s="239"/>
      <c r="O59" s="275"/>
    </row>
    <row r="60" spans="1:15" ht="11.25" customHeight="1" x14ac:dyDescent="0.25">
      <c r="A60" s="231"/>
      <c r="B60" s="243">
        <v>2</v>
      </c>
      <c r="C60" s="243" t="s">
        <v>30</v>
      </c>
      <c r="D60" s="243" t="s">
        <v>36</v>
      </c>
      <c r="E60" s="243" t="str">
        <f>LEFT(C60,1)&amp;"F"</f>
        <v>4F</v>
      </c>
      <c r="F60" s="244" t="s">
        <v>158</v>
      </c>
      <c r="G60" s="244" t="s">
        <v>105</v>
      </c>
      <c r="H60" s="244" t="s">
        <v>117</v>
      </c>
      <c r="I60" s="245">
        <v>0</v>
      </c>
      <c r="J60" s="246" t="str">
        <f t="shared" si="0"/>
        <v>EUR4F1Y_Quote</v>
      </c>
      <c r="K60" s="247"/>
      <c r="L60" s="248" t="str">
        <f>_xll.ohRangeRetrieveError(K60)</f>
        <v/>
      </c>
      <c r="M60" s="239"/>
      <c r="O60" s="275"/>
    </row>
    <row r="61" spans="1:15" ht="11.25" customHeight="1" x14ac:dyDescent="0.25">
      <c r="A61" s="231"/>
      <c r="B61" s="251">
        <v>2</v>
      </c>
      <c r="C61" s="251" t="s">
        <v>30</v>
      </c>
      <c r="D61" s="251" t="s">
        <v>32</v>
      </c>
      <c r="E61" s="251" t="str">
        <f t="shared" ref="E61:E77" si="4">LEFT(C61,1)&amp;"F"</f>
        <v>4F</v>
      </c>
      <c r="F61" s="252" t="s">
        <v>158</v>
      </c>
      <c r="G61" s="252" t="s">
        <v>105</v>
      </c>
      <c r="H61" s="252" t="s">
        <v>117</v>
      </c>
      <c r="I61" s="253">
        <v>0</v>
      </c>
      <c r="J61" s="254" t="str">
        <f t="shared" si="0"/>
        <v>EUR4F2Y_Quote</v>
      </c>
      <c r="K61" s="255"/>
      <c r="L61" s="256" t="str">
        <f>_xll.ohRangeRetrieveError(K61)</f>
        <v/>
      </c>
      <c r="M61" s="239"/>
      <c r="O61" s="275"/>
    </row>
    <row r="62" spans="1:15" ht="11.25" customHeight="1" x14ac:dyDescent="0.25">
      <c r="A62" s="231"/>
      <c r="B62" s="251">
        <v>2</v>
      </c>
      <c r="C62" s="251" t="s">
        <v>30</v>
      </c>
      <c r="D62" s="251" t="s">
        <v>31</v>
      </c>
      <c r="E62" s="251" t="str">
        <f t="shared" si="4"/>
        <v>4F</v>
      </c>
      <c r="F62" s="252" t="s">
        <v>158</v>
      </c>
      <c r="G62" s="252" t="s">
        <v>105</v>
      </c>
      <c r="H62" s="252" t="s">
        <v>117</v>
      </c>
      <c r="I62" s="253">
        <v>0</v>
      </c>
      <c r="J62" s="254" t="str">
        <f t="shared" si="0"/>
        <v>EUR4F3Y_Quote</v>
      </c>
      <c r="K62" s="255"/>
      <c r="L62" s="256" t="str">
        <f>_xll.ohRangeRetrieveError(K62)</f>
        <v/>
      </c>
      <c r="M62" s="239"/>
      <c r="O62" s="275"/>
    </row>
    <row r="63" spans="1:15" ht="11.25" customHeight="1" x14ac:dyDescent="0.25">
      <c r="A63" s="231"/>
      <c r="B63" s="251">
        <v>2</v>
      </c>
      <c r="C63" s="251" t="s">
        <v>30</v>
      </c>
      <c r="D63" s="251" t="s">
        <v>30</v>
      </c>
      <c r="E63" s="251" t="str">
        <f t="shared" si="4"/>
        <v>4F</v>
      </c>
      <c r="F63" s="252" t="s">
        <v>158</v>
      </c>
      <c r="G63" s="252" t="s">
        <v>105</v>
      </c>
      <c r="H63" s="252" t="s">
        <v>117</v>
      </c>
      <c r="I63" s="253">
        <v>0</v>
      </c>
      <c r="J63" s="254" t="str">
        <f t="shared" si="0"/>
        <v>EUR4F4Y_Quote</v>
      </c>
      <c r="K63" s="255"/>
      <c r="L63" s="256" t="str">
        <f>_xll.ohRangeRetrieveError(K63)</f>
        <v/>
      </c>
      <c r="M63" s="239"/>
      <c r="O63" s="275"/>
    </row>
    <row r="64" spans="1:15" ht="11.25" customHeight="1" x14ac:dyDescent="0.25">
      <c r="A64" s="231"/>
      <c r="B64" s="251">
        <v>2</v>
      </c>
      <c r="C64" s="251" t="s">
        <v>30</v>
      </c>
      <c r="D64" s="251" t="s">
        <v>29</v>
      </c>
      <c r="E64" s="251" t="str">
        <f t="shared" si="4"/>
        <v>4F</v>
      </c>
      <c r="F64" s="252" t="s">
        <v>158</v>
      </c>
      <c r="G64" s="252" t="s">
        <v>105</v>
      </c>
      <c r="H64" s="252" t="s">
        <v>117</v>
      </c>
      <c r="I64" s="253">
        <v>0</v>
      </c>
      <c r="J64" s="254" t="str">
        <f t="shared" si="0"/>
        <v>EUR4F5Y_Quote</v>
      </c>
      <c r="K64" s="255"/>
      <c r="L64" s="256" t="str">
        <f>_xll.ohRangeRetrieveError(K64)</f>
        <v/>
      </c>
      <c r="M64" s="239"/>
      <c r="O64" s="275"/>
    </row>
    <row r="65" spans="1:15" ht="11.25" customHeight="1" x14ac:dyDescent="0.25">
      <c r="A65" s="231"/>
      <c r="B65" s="251">
        <v>2</v>
      </c>
      <c r="C65" s="251" t="s">
        <v>30</v>
      </c>
      <c r="D65" s="251" t="s">
        <v>28</v>
      </c>
      <c r="E65" s="251" t="str">
        <f t="shared" si="4"/>
        <v>4F</v>
      </c>
      <c r="F65" s="252" t="s">
        <v>158</v>
      </c>
      <c r="G65" s="252" t="s">
        <v>105</v>
      </c>
      <c r="H65" s="252" t="s">
        <v>117</v>
      </c>
      <c r="I65" s="253">
        <v>0</v>
      </c>
      <c r="J65" s="254" t="str">
        <f t="shared" si="0"/>
        <v>EUR4F6Y_Quote</v>
      </c>
      <c r="K65" s="255"/>
      <c r="L65" s="256" t="str">
        <f>_xll.ohRangeRetrieveError(K65)</f>
        <v/>
      </c>
      <c r="M65" s="239"/>
      <c r="O65" s="275"/>
    </row>
    <row r="66" spans="1:15" ht="11.25" customHeight="1" x14ac:dyDescent="0.25">
      <c r="A66" s="231"/>
      <c r="B66" s="251">
        <v>2</v>
      </c>
      <c r="C66" s="251" t="s">
        <v>30</v>
      </c>
      <c r="D66" s="251" t="s">
        <v>27</v>
      </c>
      <c r="E66" s="251" t="str">
        <f t="shared" si="4"/>
        <v>4F</v>
      </c>
      <c r="F66" s="252" t="s">
        <v>158</v>
      </c>
      <c r="G66" s="252" t="s">
        <v>105</v>
      </c>
      <c r="H66" s="252" t="s">
        <v>117</v>
      </c>
      <c r="I66" s="253">
        <v>0</v>
      </c>
      <c r="J66" s="254" t="str">
        <f t="shared" si="0"/>
        <v>EUR4F7Y_Quote</v>
      </c>
      <c r="K66" s="255"/>
      <c r="L66" s="256" t="str">
        <f>_xll.ohRangeRetrieveError(K66)</f>
        <v/>
      </c>
      <c r="M66" s="239"/>
      <c r="O66" s="275"/>
    </row>
    <row r="67" spans="1:15" ht="11.25" customHeight="1" x14ac:dyDescent="0.25">
      <c r="A67" s="231"/>
      <c r="B67" s="251">
        <v>2</v>
      </c>
      <c r="C67" s="251" t="s">
        <v>30</v>
      </c>
      <c r="D67" s="251" t="s">
        <v>26</v>
      </c>
      <c r="E67" s="251" t="str">
        <f t="shared" si="4"/>
        <v>4F</v>
      </c>
      <c r="F67" s="252" t="s">
        <v>158</v>
      </c>
      <c r="G67" s="252" t="s">
        <v>105</v>
      </c>
      <c r="H67" s="252" t="s">
        <v>117</v>
      </c>
      <c r="I67" s="253">
        <v>0</v>
      </c>
      <c r="J67" s="254" t="str">
        <f t="shared" si="0"/>
        <v>EUR4F8Y_Quote</v>
      </c>
      <c r="K67" s="255"/>
      <c r="L67" s="256" t="str">
        <f>_xll.ohRangeRetrieveError(K67)</f>
        <v/>
      </c>
      <c r="M67" s="239"/>
      <c r="O67" s="275"/>
    </row>
    <row r="68" spans="1:15" ht="11.25" customHeight="1" x14ac:dyDescent="0.25">
      <c r="A68" s="231"/>
      <c r="B68" s="251">
        <v>2</v>
      </c>
      <c r="C68" s="251" t="s">
        <v>30</v>
      </c>
      <c r="D68" s="251" t="s">
        <v>25</v>
      </c>
      <c r="E68" s="251" t="str">
        <f t="shared" si="4"/>
        <v>4F</v>
      </c>
      <c r="F68" s="252" t="s">
        <v>158</v>
      </c>
      <c r="G68" s="252" t="s">
        <v>105</v>
      </c>
      <c r="H68" s="252" t="s">
        <v>117</v>
      </c>
      <c r="I68" s="253">
        <v>0</v>
      </c>
      <c r="J68" s="254" t="str">
        <f t="shared" si="0"/>
        <v>EUR4F9Y_Quote</v>
      </c>
      <c r="K68" s="255"/>
      <c r="L68" s="256" t="str">
        <f>_xll.ohRangeRetrieveError(K68)</f>
        <v/>
      </c>
      <c r="M68" s="239"/>
      <c r="O68" s="275"/>
    </row>
    <row r="69" spans="1:15" ht="11.25" customHeight="1" x14ac:dyDescent="0.25">
      <c r="A69" s="231"/>
      <c r="B69" s="251">
        <v>2</v>
      </c>
      <c r="C69" s="251" t="s">
        <v>30</v>
      </c>
      <c r="D69" s="251" t="s">
        <v>24</v>
      </c>
      <c r="E69" s="251" t="str">
        <f t="shared" si="4"/>
        <v>4F</v>
      </c>
      <c r="F69" s="252" t="s">
        <v>158</v>
      </c>
      <c r="G69" s="252" t="s">
        <v>105</v>
      </c>
      <c r="H69" s="252" t="s">
        <v>117</v>
      </c>
      <c r="I69" s="253">
        <v>0</v>
      </c>
      <c r="J69" s="254" t="str">
        <f t="shared" si="0"/>
        <v>EUR4F10Y_Quote</v>
      </c>
      <c r="K69" s="255"/>
      <c r="L69" s="256" t="str">
        <f>_xll.ohRangeRetrieveError(K69)</f>
        <v/>
      </c>
      <c r="M69" s="239"/>
      <c r="O69" s="275"/>
    </row>
    <row r="70" spans="1:15" ht="11.25" customHeight="1" x14ac:dyDescent="0.25">
      <c r="A70" s="231"/>
      <c r="B70" s="251">
        <v>2</v>
      </c>
      <c r="C70" s="251" t="s">
        <v>30</v>
      </c>
      <c r="D70" s="251" t="s">
        <v>23</v>
      </c>
      <c r="E70" s="251" t="str">
        <f t="shared" si="4"/>
        <v>4F</v>
      </c>
      <c r="F70" s="252" t="s">
        <v>158</v>
      </c>
      <c r="G70" s="252" t="s">
        <v>105</v>
      </c>
      <c r="H70" s="252" t="s">
        <v>117</v>
      </c>
      <c r="I70" s="253">
        <v>0</v>
      </c>
      <c r="J70" s="254" t="str">
        <f t="shared" ref="J70:J133" si="5">Currency&amp;$E70&amp;$D70&amp;QuoteSuffix</f>
        <v>EUR4F11Y_Quote</v>
      </c>
      <c r="K70" s="255"/>
      <c r="L70" s="256" t="str">
        <f>_xll.ohRangeRetrieveError(K70)</f>
        <v/>
      </c>
      <c r="M70" s="239"/>
      <c r="O70" s="275"/>
    </row>
    <row r="71" spans="1:15" ht="11.25" customHeight="1" x14ac:dyDescent="0.25">
      <c r="A71" s="231"/>
      <c r="B71" s="251">
        <v>2</v>
      </c>
      <c r="C71" s="251" t="s">
        <v>30</v>
      </c>
      <c r="D71" s="251" t="s">
        <v>22</v>
      </c>
      <c r="E71" s="251" t="str">
        <f t="shared" si="4"/>
        <v>4F</v>
      </c>
      <c r="F71" s="252" t="s">
        <v>158</v>
      </c>
      <c r="G71" s="252" t="s">
        <v>105</v>
      </c>
      <c r="H71" s="252" t="s">
        <v>117</v>
      </c>
      <c r="I71" s="253">
        <v>0</v>
      </c>
      <c r="J71" s="254" t="str">
        <f t="shared" si="5"/>
        <v>EUR4F12Y_Quote</v>
      </c>
      <c r="K71" s="255"/>
      <c r="L71" s="256" t="str">
        <f>_xll.ohRangeRetrieveError(K71)</f>
        <v/>
      </c>
      <c r="M71" s="239"/>
      <c r="O71" s="275"/>
    </row>
    <row r="72" spans="1:15" ht="11.25" customHeight="1" x14ac:dyDescent="0.25">
      <c r="A72" s="231"/>
      <c r="B72" s="251">
        <v>2</v>
      </c>
      <c r="C72" s="251" t="s">
        <v>30</v>
      </c>
      <c r="D72" s="251" t="s">
        <v>21</v>
      </c>
      <c r="E72" s="251" t="str">
        <f t="shared" si="4"/>
        <v>4F</v>
      </c>
      <c r="F72" s="252" t="s">
        <v>158</v>
      </c>
      <c r="G72" s="252" t="s">
        <v>105</v>
      </c>
      <c r="H72" s="252" t="s">
        <v>117</v>
      </c>
      <c r="I72" s="253">
        <v>0</v>
      </c>
      <c r="J72" s="254" t="str">
        <f t="shared" si="5"/>
        <v>EUR4F13Y_Quote</v>
      </c>
      <c r="K72" s="255"/>
      <c r="L72" s="256" t="str">
        <f>_xll.ohRangeRetrieveError(K72)</f>
        <v/>
      </c>
      <c r="M72" s="239"/>
      <c r="O72" s="275"/>
    </row>
    <row r="73" spans="1:15" ht="11.25" customHeight="1" x14ac:dyDescent="0.25">
      <c r="A73" s="231"/>
      <c r="B73" s="251">
        <v>2</v>
      </c>
      <c r="C73" s="251" t="s">
        <v>30</v>
      </c>
      <c r="D73" s="251" t="s">
        <v>20</v>
      </c>
      <c r="E73" s="251" t="str">
        <f t="shared" si="4"/>
        <v>4F</v>
      </c>
      <c r="F73" s="252" t="s">
        <v>158</v>
      </c>
      <c r="G73" s="252" t="s">
        <v>105</v>
      </c>
      <c r="H73" s="252" t="s">
        <v>117</v>
      </c>
      <c r="I73" s="253">
        <v>0</v>
      </c>
      <c r="J73" s="254" t="str">
        <f t="shared" si="5"/>
        <v>EUR4F14Y_Quote</v>
      </c>
      <c r="K73" s="255"/>
      <c r="L73" s="256" t="str">
        <f>_xll.ohRangeRetrieveError(K73)</f>
        <v/>
      </c>
      <c r="M73" s="239"/>
      <c r="O73" s="275"/>
    </row>
    <row r="74" spans="1:15" ht="11.25" customHeight="1" x14ac:dyDescent="0.25">
      <c r="A74" s="231"/>
      <c r="B74" s="251">
        <v>2</v>
      </c>
      <c r="C74" s="251" t="s">
        <v>30</v>
      </c>
      <c r="D74" s="251" t="s">
        <v>19</v>
      </c>
      <c r="E74" s="251" t="str">
        <f t="shared" si="4"/>
        <v>4F</v>
      </c>
      <c r="F74" s="252" t="s">
        <v>158</v>
      </c>
      <c r="G74" s="252" t="s">
        <v>105</v>
      </c>
      <c r="H74" s="252" t="s">
        <v>117</v>
      </c>
      <c r="I74" s="253">
        <v>0</v>
      </c>
      <c r="J74" s="254" t="str">
        <f t="shared" si="5"/>
        <v>EUR4F15Y_Quote</v>
      </c>
      <c r="K74" s="255"/>
      <c r="L74" s="256" t="str">
        <f>_xll.ohRangeRetrieveError(K74)</f>
        <v/>
      </c>
      <c r="M74" s="239"/>
      <c r="O74" s="275"/>
    </row>
    <row r="75" spans="1:15" ht="11.25" customHeight="1" x14ac:dyDescent="0.25">
      <c r="A75" s="231"/>
      <c r="B75" s="251">
        <v>2</v>
      </c>
      <c r="C75" s="251" t="s">
        <v>30</v>
      </c>
      <c r="D75" s="251" t="s">
        <v>14</v>
      </c>
      <c r="E75" s="251" t="str">
        <f t="shared" si="4"/>
        <v>4F</v>
      </c>
      <c r="F75" s="252" t="s">
        <v>158</v>
      </c>
      <c r="G75" s="252" t="s">
        <v>105</v>
      </c>
      <c r="H75" s="252" t="s">
        <v>117</v>
      </c>
      <c r="I75" s="253">
        <v>0</v>
      </c>
      <c r="J75" s="254" t="str">
        <f t="shared" si="5"/>
        <v>EUR4F20Y_Quote</v>
      </c>
      <c r="K75" s="255"/>
      <c r="L75" s="256" t="str">
        <f>_xll.ohRangeRetrieveError(K75)</f>
        <v/>
      </c>
      <c r="M75" s="239"/>
      <c r="O75" s="275"/>
    </row>
    <row r="76" spans="1:15" ht="11.25" customHeight="1" x14ac:dyDescent="0.25">
      <c r="A76" s="231"/>
      <c r="B76" s="251">
        <v>2</v>
      </c>
      <c r="C76" s="251" t="s">
        <v>30</v>
      </c>
      <c r="D76" s="251" t="s">
        <v>9</v>
      </c>
      <c r="E76" s="251" t="str">
        <f t="shared" si="4"/>
        <v>4F</v>
      </c>
      <c r="F76" s="252" t="s">
        <v>158</v>
      </c>
      <c r="G76" s="252" t="s">
        <v>105</v>
      </c>
      <c r="H76" s="252" t="s">
        <v>117</v>
      </c>
      <c r="I76" s="253">
        <v>0</v>
      </c>
      <c r="J76" s="254" t="str">
        <f t="shared" si="5"/>
        <v>EUR4F25Y_Quote</v>
      </c>
      <c r="K76" s="255"/>
      <c r="L76" s="256" t="str">
        <f>_xll.ohRangeRetrieveError(K76)</f>
        <v/>
      </c>
      <c r="M76" s="239"/>
      <c r="O76" s="275"/>
    </row>
    <row r="77" spans="1:15" ht="11.25" customHeight="1" x14ac:dyDescent="0.25">
      <c r="A77" s="231"/>
      <c r="B77" s="261">
        <v>2</v>
      </c>
      <c r="C77" s="261" t="s">
        <v>30</v>
      </c>
      <c r="D77" s="261" t="s">
        <v>4</v>
      </c>
      <c r="E77" s="261" t="str">
        <f t="shared" si="4"/>
        <v>4F</v>
      </c>
      <c r="F77" s="262" t="s">
        <v>158</v>
      </c>
      <c r="G77" s="262" t="s">
        <v>105</v>
      </c>
      <c r="H77" s="262" t="s">
        <v>117</v>
      </c>
      <c r="I77" s="263">
        <v>0</v>
      </c>
      <c r="J77" s="264" t="str">
        <f t="shared" si="5"/>
        <v>EUR4F30Y_Quote</v>
      </c>
      <c r="K77" s="265"/>
      <c r="L77" s="266" t="str">
        <f>_xll.ohRangeRetrieveError(K77)</f>
        <v/>
      </c>
      <c r="M77" s="239"/>
      <c r="O77" s="275"/>
    </row>
    <row r="78" spans="1:15" ht="11.25" customHeight="1" x14ac:dyDescent="0.25">
      <c r="A78" s="231"/>
      <c r="B78" s="243">
        <v>2</v>
      </c>
      <c r="C78" s="243" t="s">
        <v>29</v>
      </c>
      <c r="D78" s="243" t="s">
        <v>36</v>
      </c>
      <c r="E78" s="243" t="str">
        <f>LEFT(C78,1)&amp;"F"</f>
        <v>5F</v>
      </c>
      <c r="F78" s="244" t="s">
        <v>158</v>
      </c>
      <c r="G78" s="244" t="s">
        <v>105</v>
      </c>
      <c r="H78" s="244" t="s">
        <v>117</v>
      </c>
      <c r="I78" s="245">
        <v>0</v>
      </c>
      <c r="J78" s="246" t="str">
        <f t="shared" si="5"/>
        <v>EUR5F1Y_Quote</v>
      </c>
      <c r="K78" s="247"/>
      <c r="L78" s="248" t="str">
        <f>_xll.ohRangeRetrieveError(K78)</f>
        <v/>
      </c>
      <c r="M78" s="239"/>
      <c r="O78" s="275"/>
    </row>
    <row r="79" spans="1:15" ht="11.25" customHeight="1" x14ac:dyDescent="0.25">
      <c r="A79" s="231"/>
      <c r="B79" s="251">
        <v>2</v>
      </c>
      <c r="C79" s="251" t="s">
        <v>29</v>
      </c>
      <c r="D79" s="251" t="s">
        <v>32</v>
      </c>
      <c r="E79" s="251" t="str">
        <f t="shared" ref="E79:E95" si="6">LEFT(C79,1)&amp;"F"</f>
        <v>5F</v>
      </c>
      <c r="F79" s="252" t="s">
        <v>158</v>
      </c>
      <c r="G79" s="252" t="s">
        <v>105</v>
      </c>
      <c r="H79" s="252" t="s">
        <v>117</v>
      </c>
      <c r="I79" s="253">
        <v>0</v>
      </c>
      <c r="J79" s="254" t="str">
        <f t="shared" si="5"/>
        <v>EUR5F2Y_Quote</v>
      </c>
      <c r="K79" s="255"/>
      <c r="L79" s="256" t="str">
        <f>_xll.ohRangeRetrieveError(K79)</f>
        <v/>
      </c>
      <c r="M79" s="239"/>
      <c r="O79" s="275"/>
    </row>
    <row r="80" spans="1:15" ht="11.25" customHeight="1" x14ac:dyDescent="0.25">
      <c r="A80" s="231"/>
      <c r="B80" s="251">
        <v>2</v>
      </c>
      <c r="C80" s="251" t="s">
        <v>29</v>
      </c>
      <c r="D80" s="251" t="s">
        <v>31</v>
      </c>
      <c r="E80" s="251" t="str">
        <f t="shared" si="6"/>
        <v>5F</v>
      </c>
      <c r="F80" s="252" t="s">
        <v>158</v>
      </c>
      <c r="G80" s="252" t="s">
        <v>105</v>
      </c>
      <c r="H80" s="252" t="s">
        <v>117</v>
      </c>
      <c r="I80" s="253">
        <v>0</v>
      </c>
      <c r="J80" s="254" t="str">
        <f t="shared" si="5"/>
        <v>EUR5F3Y_Quote</v>
      </c>
      <c r="K80" s="255"/>
      <c r="L80" s="256" t="str">
        <f>_xll.ohRangeRetrieveError(K80)</f>
        <v/>
      </c>
      <c r="M80" s="239"/>
      <c r="O80" s="275"/>
    </row>
    <row r="81" spans="1:15" ht="11.25" customHeight="1" x14ac:dyDescent="0.25">
      <c r="A81" s="231"/>
      <c r="B81" s="251">
        <v>2</v>
      </c>
      <c r="C81" s="251" t="s">
        <v>29</v>
      </c>
      <c r="D81" s="251" t="s">
        <v>30</v>
      </c>
      <c r="E81" s="251" t="str">
        <f t="shared" si="6"/>
        <v>5F</v>
      </c>
      <c r="F81" s="252" t="s">
        <v>158</v>
      </c>
      <c r="G81" s="252" t="s">
        <v>105</v>
      </c>
      <c r="H81" s="252" t="s">
        <v>117</v>
      </c>
      <c r="I81" s="253">
        <v>0</v>
      </c>
      <c r="J81" s="254" t="str">
        <f t="shared" si="5"/>
        <v>EUR5F4Y_Quote</v>
      </c>
      <c r="K81" s="255"/>
      <c r="L81" s="256" t="str">
        <f>_xll.ohRangeRetrieveError(K81)</f>
        <v/>
      </c>
      <c r="M81" s="239"/>
      <c r="O81" s="275"/>
    </row>
    <row r="82" spans="1:15" ht="11.25" customHeight="1" x14ac:dyDescent="0.25">
      <c r="A82" s="231"/>
      <c r="B82" s="251">
        <v>2</v>
      </c>
      <c r="C82" s="251" t="s">
        <v>29</v>
      </c>
      <c r="D82" s="251" t="s">
        <v>29</v>
      </c>
      <c r="E82" s="251" t="str">
        <f t="shared" si="6"/>
        <v>5F</v>
      </c>
      <c r="F82" s="252" t="s">
        <v>158</v>
      </c>
      <c r="G82" s="252" t="s">
        <v>105</v>
      </c>
      <c r="H82" s="252" t="s">
        <v>117</v>
      </c>
      <c r="I82" s="253">
        <v>0</v>
      </c>
      <c r="J82" s="254" t="str">
        <f t="shared" si="5"/>
        <v>EUR5F5Y_Quote</v>
      </c>
      <c r="K82" s="255"/>
      <c r="L82" s="256" t="str">
        <f>_xll.ohRangeRetrieveError(K82)</f>
        <v/>
      </c>
      <c r="M82" s="239"/>
      <c r="O82" s="275"/>
    </row>
    <row r="83" spans="1:15" ht="11.25" customHeight="1" x14ac:dyDescent="0.25">
      <c r="A83" s="231"/>
      <c r="B83" s="251">
        <v>2</v>
      </c>
      <c r="C83" s="251" t="s">
        <v>29</v>
      </c>
      <c r="D83" s="251" t="s">
        <v>28</v>
      </c>
      <c r="E83" s="251" t="str">
        <f t="shared" si="6"/>
        <v>5F</v>
      </c>
      <c r="F83" s="252" t="s">
        <v>158</v>
      </c>
      <c r="G83" s="252" t="s">
        <v>105</v>
      </c>
      <c r="H83" s="252" t="s">
        <v>117</v>
      </c>
      <c r="I83" s="253">
        <v>0</v>
      </c>
      <c r="J83" s="254" t="str">
        <f t="shared" si="5"/>
        <v>EUR5F6Y_Quote</v>
      </c>
      <c r="K83" s="255"/>
      <c r="L83" s="256" t="str">
        <f>_xll.ohRangeRetrieveError(K83)</f>
        <v/>
      </c>
      <c r="M83" s="239"/>
      <c r="O83" s="275"/>
    </row>
    <row r="84" spans="1:15" ht="11.25" customHeight="1" x14ac:dyDescent="0.25">
      <c r="A84" s="231"/>
      <c r="B84" s="251">
        <v>2</v>
      </c>
      <c r="C84" s="251" t="s">
        <v>29</v>
      </c>
      <c r="D84" s="251" t="s">
        <v>27</v>
      </c>
      <c r="E84" s="251" t="str">
        <f t="shared" si="6"/>
        <v>5F</v>
      </c>
      <c r="F84" s="252" t="s">
        <v>158</v>
      </c>
      <c r="G84" s="252" t="s">
        <v>105</v>
      </c>
      <c r="H84" s="252" t="s">
        <v>117</v>
      </c>
      <c r="I84" s="253">
        <v>0</v>
      </c>
      <c r="J84" s="254" t="str">
        <f t="shared" si="5"/>
        <v>EUR5F7Y_Quote</v>
      </c>
      <c r="K84" s="255"/>
      <c r="L84" s="256" t="str">
        <f>_xll.ohRangeRetrieveError(K84)</f>
        <v/>
      </c>
      <c r="M84" s="239"/>
      <c r="O84" s="275"/>
    </row>
    <row r="85" spans="1:15" ht="11.25" customHeight="1" x14ac:dyDescent="0.25">
      <c r="A85" s="231"/>
      <c r="B85" s="251">
        <v>2</v>
      </c>
      <c r="C85" s="251" t="s">
        <v>29</v>
      </c>
      <c r="D85" s="251" t="s">
        <v>26</v>
      </c>
      <c r="E85" s="251" t="str">
        <f t="shared" si="6"/>
        <v>5F</v>
      </c>
      <c r="F85" s="252" t="s">
        <v>158</v>
      </c>
      <c r="G85" s="252" t="s">
        <v>105</v>
      </c>
      <c r="H85" s="252" t="s">
        <v>117</v>
      </c>
      <c r="I85" s="253">
        <v>0</v>
      </c>
      <c r="J85" s="254" t="str">
        <f t="shared" si="5"/>
        <v>EUR5F8Y_Quote</v>
      </c>
      <c r="K85" s="255"/>
      <c r="L85" s="256" t="str">
        <f>_xll.ohRangeRetrieveError(K85)</f>
        <v/>
      </c>
      <c r="M85" s="239"/>
      <c r="O85" s="275"/>
    </row>
    <row r="86" spans="1:15" ht="11.25" customHeight="1" x14ac:dyDescent="0.25">
      <c r="A86" s="231"/>
      <c r="B86" s="251">
        <v>2</v>
      </c>
      <c r="C86" s="251" t="s">
        <v>29</v>
      </c>
      <c r="D86" s="251" t="s">
        <v>25</v>
      </c>
      <c r="E86" s="251" t="str">
        <f t="shared" si="6"/>
        <v>5F</v>
      </c>
      <c r="F86" s="252" t="s">
        <v>158</v>
      </c>
      <c r="G86" s="252" t="s">
        <v>105</v>
      </c>
      <c r="H86" s="252" t="s">
        <v>117</v>
      </c>
      <c r="I86" s="253">
        <v>0</v>
      </c>
      <c r="J86" s="254" t="str">
        <f t="shared" si="5"/>
        <v>EUR5F9Y_Quote</v>
      </c>
      <c r="K86" s="255"/>
      <c r="L86" s="256" t="str">
        <f>_xll.ohRangeRetrieveError(K86)</f>
        <v/>
      </c>
      <c r="M86" s="239"/>
      <c r="O86" s="275"/>
    </row>
    <row r="87" spans="1:15" ht="11.25" customHeight="1" x14ac:dyDescent="0.25">
      <c r="A87" s="231"/>
      <c r="B87" s="251">
        <v>2</v>
      </c>
      <c r="C87" s="251" t="s">
        <v>29</v>
      </c>
      <c r="D87" s="251" t="s">
        <v>24</v>
      </c>
      <c r="E87" s="251" t="str">
        <f t="shared" si="6"/>
        <v>5F</v>
      </c>
      <c r="F87" s="252" t="s">
        <v>158</v>
      </c>
      <c r="G87" s="252" t="s">
        <v>105</v>
      </c>
      <c r="H87" s="252" t="s">
        <v>117</v>
      </c>
      <c r="I87" s="253">
        <v>0</v>
      </c>
      <c r="J87" s="254" t="str">
        <f t="shared" si="5"/>
        <v>EUR5F10Y_Quote</v>
      </c>
      <c r="K87" s="255"/>
      <c r="L87" s="256" t="str">
        <f>_xll.ohRangeRetrieveError(K87)</f>
        <v/>
      </c>
      <c r="M87" s="239"/>
      <c r="O87" s="275"/>
    </row>
    <row r="88" spans="1:15" ht="11.25" customHeight="1" x14ac:dyDescent="0.25">
      <c r="A88" s="231"/>
      <c r="B88" s="251">
        <v>2</v>
      </c>
      <c r="C88" s="251" t="s">
        <v>29</v>
      </c>
      <c r="D88" s="251" t="s">
        <v>23</v>
      </c>
      <c r="E88" s="251" t="str">
        <f t="shared" si="6"/>
        <v>5F</v>
      </c>
      <c r="F88" s="252" t="s">
        <v>158</v>
      </c>
      <c r="G88" s="252" t="s">
        <v>105</v>
      </c>
      <c r="H88" s="252" t="s">
        <v>117</v>
      </c>
      <c r="I88" s="253">
        <v>0</v>
      </c>
      <c r="J88" s="254" t="str">
        <f t="shared" si="5"/>
        <v>EUR5F11Y_Quote</v>
      </c>
      <c r="K88" s="255"/>
      <c r="L88" s="256" t="str">
        <f>_xll.ohRangeRetrieveError(K88)</f>
        <v/>
      </c>
      <c r="M88" s="239"/>
      <c r="O88" s="275"/>
    </row>
    <row r="89" spans="1:15" ht="11.25" customHeight="1" x14ac:dyDescent="0.25">
      <c r="A89" s="231"/>
      <c r="B89" s="251">
        <v>2</v>
      </c>
      <c r="C89" s="251" t="s">
        <v>29</v>
      </c>
      <c r="D89" s="251" t="s">
        <v>22</v>
      </c>
      <c r="E89" s="251" t="str">
        <f t="shared" si="6"/>
        <v>5F</v>
      </c>
      <c r="F89" s="252" t="s">
        <v>158</v>
      </c>
      <c r="G89" s="252" t="s">
        <v>105</v>
      </c>
      <c r="H89" s="252" t="s">
        <v>117</v>
      </c>
      <c r="I89" s="253">
        <v>0</v>
      </c>
      <c r="J89" s="254" t="str">
        <f t="shared" si="5"/>
        <v>EUR5F12Y_Quote</v>
      </c>
      <c r="K89" s="255"/>
      <c r="L89" s="256" t="str">
        <f>_xll.ohRangeRetrieveError(K89)</f>
        <v/>
      </c>
      <c r="M89" s="239"/>
      <c r="O89" s="275"/>
    </row>
    <row r="90" spans="1:15" ht="11.25" customHeight="1" x14ac:dyDescent="0.25">
      <c r="A90" s="231"/>
      <c r="B90" s="251">
        <v>2</v>
      </c>
      <c r="C90" s="251" t="s">
        <v>29</v>
      </c>
      <c r="D90" s="251" t="s">
        <v>21</v>
      </c>
      <c r="E90" s="251" t="str">
        <f t="shared" si="6"/>
        <v>5F</v>
      </c>
      <c r="F90" s="252" t="s">
        <v>158</v>
      </c>
      <c r="G90" s="252" t="s">
        <v>105</v>
      </c>
      <c r="H90" s="252" t="s">
        <v>117</v>
      </c>
      <c r="I90" s="253">
        <v>0</v>
      </c>
      <c r="J90" s="254" t="str">
        <f t="shared" si="5"/>
        <v>EUR5F13Y_Quote</v>
      </c>
      <c r="K90" s="255"/>
      <c r="L90" s="256" t="str">
        <f>_xll.ohRangeRetrieveError(K90)</f>
        <v/>
      </c>
      <c r="M90" s="239"/>
      <c r="O90" s="275"/>
    </row>
    <row r="91" spans="1:15" ht="11.25" customHeight="1" x14ac:dyDescent="0.25">
      <c r="A91" s="231"/>
      <c r="B91" s="251">
        <v>2</v>
      </c>
      <c r="C91" s="251" t="s">
        <v>29</v>
      </c>
      <c r="D91" s="251" t="s">
        <v>20</v>
      </c>
      <c r="E91" s="251" t="str">
        <f t="shared" si="6"/>
        <v>5F</v>
      </c>
      <c r="F91" s="252" t="s">
        <v>158</v>
      </c>
      <c r="G91" s="252" t="s">
        <v>105</v>
      </c>
      <c r="H91" s="252" t="s">
        <v>117</v>
      </c>
      <c r="I91" s="253">
        <v>0</v>
      </c>
      <c r="J91" s="254" t="str">
        <f t="shared" si="5"/>
        <v>EUR5F14Y_Quote</v>
      </c>
      <c r="K91" s="255"/>
      <c r="L91" s="256" t="str">
        <f>_xll.ohRangeRetrieveError(K91)</f>
        <v/>
      </c>
      <c r="M91" s="239"/>
      <c r="O91" s="275"/>
    </row>
    <row r="92" spans="1:15" ht="11.25" customHeight="1" x14ac:dyDescent="0.25">
      <c r="A92" s="231"/>
      <c r="B92" s="251">
        <v>2</v>
      </c>
      <c r="C92" s="251" t="s">
        <v>29</v>
      </c>
      <c r="D92" s="251" t="s">
        <v>19</v>
      </c>
      <c r="E92" s="251" t="str">
        <f t="shared" si="6"/>
        <v>5F</v>
      </c>
      <c r="F92" s="252" t="s">
        <v>158</v>
      </c>
      <c r="G92" s="252" t="s">
        <v>105</v>
      </c>
      <c r="H92" s="252" t="s">
        <v>117</v>
      </c>
      <c r="I92" s="253">
        <v>0</v>
      </c>
      <c r="J92" s="254" t="str">
        <f t="shared" si="5"/>
        <v>EUR5F15Y_Quote</v>
      </c>
      <c r="K92" s="255"/>
      <c r="L92" s="256" t="str">
        <f>_xll.ohRangeRetrieveError(K92)</f>
        <v/>
      </c>
      <c r="M92" s="239"/>
      <c r="O92" s="275"/>
    </row>
    <row r="93" spans="1:15" ht="11.25" customHeight="1" x14ac:dyDescent="0.25">
      <c r="A93" s="231"/>
      <c r="B93" s="251">
        <v>2</v>
      </c>
      <c r="C93" s="251" t="s">
        <v>29</v>
      </c>
      <c r="D93" s="251" t="s">
        <v>14</v>
      </c>
      <c r="E93" s="251" t="str">
        <f t="shared" si="6"/>
        <v>5F</v>
      </c>
      <c r="F93" s="252" t="s">
        <v>158</v>
      </c>
      <c r="G93" s="252" t="s">
        <v>105</v>
      </c>
      <c r="H93" s="252" t="s">
        <v>117</v>
      </c>
      <c r="I93" s="253">
        <v>0</v>
      </c>
      <c r="J93" s="254" t="str">
        <f t="shared" si="5"/>
        <v>EUR5F20Y_Quote</v>
      </c>
      <c r="K93" s="255"/>
      <c r="L93" s="256" t="str">
        <f>_xll.ohRangeRetrieveError(K93)</f>
        <v/>
      </c>
      <c r="M93" s="239"/>
      <c r="O93" s="275"/>
    </row>
    <row r="94" spans="1:15" ht="11.25" customHeight="1" x14ac:dyDescent="0.25">
      <c r="A94" s="231"/>
      <c r="B94" s="251">
        <v>2</v>
      </c>
      <c r="C94" s="251" t="s">
        <v>29</v>
      </c>
      <c r="D94" s="251" t="s">
        <v>9</v>
      </c>
      <c r="E94" s="251" t="str">
        <f t="shared" si="6"/>
        <v>5F</v>
      </c>
      <c r="F94" s="252" t="s">
        <v>158</v>
      </c>
      <c r="G94" s="252" t="s">
        <v>105</v>
      </c>
      <c r="H94" s="252" t="s">
        <v>117</v>
      </c>
      <c r="I94" s="253">
        <v>0</v>
      </c>
      <c r="J94" s="254" t="str">
        <f t="shared" si="5"/>
        <v>EUR5F25Y_Quote</v>
      </c>
      <c r="K94" s="255"/>
      <c r="L94" s="256" t="str">
        <f>_xll.ohRangeRetrieveError(K94)</f>
        <v/>
      </c>
      <c r="M94" s="239"/>
      <c r="O94" s="275"/>
    </row>
    <row r="95" spans="1:15" ht="11.25" customHeight="1" x14ac:dyDescent="0.25">
      <c r="A95" s="231"/>
      <c r="B95" s="261">
        <v>2</v>
      </c>
      <c r="C95" s="261" t="s">
        <v>29</v>
      </c>
      <c r="D95" s="261" t="s">
        <v>4</v>
      </c>
      <c r="E95" s="261" t="str">
        <f t="shared" si="6"/>
        <v>5F</v>
      </c>
      <c r="F95" s="262" t="s">
        <v>158</v>
      </c>
      <c r="G95" s="262" t="s">
        <v>105</v>
      </c>
      <c r="H95" s="262" t="s">
        <v>117</v>
      </c>
      <c r="I95" s="263">
        <v>0</v>
      </c>
      <c r="J95" s="264" t="str">
        <f t="shared" si="5"/>
        <v>EUR5F30Y_Quote</v>
      </c>
      <c r="K95" s="265"/>
      <c r="L95" s="266" t="str">
        <f>_xll.ohRangeRetrieveError(K95)</f>
        <v/>
      </c>
      <c r="M95" s="239"/>
      <c r="O95" s="275"/>
    </row>
    <row r="96" spans="1:15" ht="11.25" customHeight="1" x14ac:dyDescent="0.25">
      <c r="A96" s="231"/>
      <c r="B96" s="243">
        <v>2</v>
      </c>
      <c r="C96" s="243" t="s">
        <v>28</v>
      </c>
      <c r="D96" s="243" t="s">
        <v>36</v>
      </c>
      <c r="E96" s="243" t="str">
        <f>LEFT(C96,1)&amp;"F"</f>
        <v>6F</v>
      </c>
      <c r="F96" s="244" t="s">
        <v>158</v>
      </c>
      <c r="G96" s="244" t="s">
        <v>105</v>
      </c>
      <c r="H96" s="244" t="s">
        <v>117</v>
      </c>
      <c r="I96" s="245">
        <v>0</v>
      </c>
      <c r="J96" s="246" t="str">
        <f t="shared" si="5"/>
        <v>EUR6F1Y_Quote</v>
      </c>
      <c r="K96" s="247"/>
      <c r="L96" s="248" t="str">
        <f>_xll.ohRangeRetrieveError(K96)</f>
        <v/>
      </c>
      <c r="M96" s="239"/>
      <c r="O96" s="275"/>
    </row>
    <row r="97" spans="1:15" ht="11.25" customHeight="1" x14ac:dyDescent="0.25">
      <c r="A97" s="231"/>
      <c r="B97" s="251">
        <v>2</v>
      </c>
      <c r="C97" s="251" t="s">
        <v>28</v>
      </c>
      <c r="D97" s="251" t="s">
        <v>32</v>
      </c>
      <c r="E97" s="251" t="str">
        <f t="shared" ref="E97:E113" si="7">LEFT(C97,1)&amp;"F"</f>
        <v>6F</v>
      </c>
      <c r="F97" s="252" t="s">
        <v>158</v>
      </c>
      <c r="G97" s="252" t="s">
        <v>105</v>
      </c>
      <c r="H97" s="252" t="s">
        <v>117</v>
      </c>
      <c r="I97" s="253">
        <v>0</v>
      </c>
      <c r="J97" s="254" t="str">
        <f t="shared" si="5"/>
        <v>EUR6F2Y_Quote</v>
      </c>
      <c r="K97" s="255"/>
      <c r="L97" s="256" t="str">
        <f>_xll.ohRangeRetrieveError(K97)</f>
        <v/>
      </c>
      <c r="M97" s="239"/>
      <c r="O97" s="275"/>
    </row>
    <row r="98" spans="1:15" ht="11.25" customHeight="1" x14ac:dyDescent="0.25">
      <c r="A98" s="231"/>
      <c r="B98" s="251">
        <v>2</v>
      </c>
      <c r="C98" s="251" t="s">
        <v>28</v>
      </c>
      <c r="D98" s="251" t="s">
        <v>31</v>
      </c>
      <c r="E98" s="251" t="str">
        <f t="shared" si="7"/>
        <v>6F</v>
      </c>
      <c r="F98" s="252" t="s">
        <v>158</v>
      </c>
      <c r="G98" s="252" t="s">
        <v>105</v>
      </c>
      <c r="H98" s="252" t="s">
        <v>117</v>
      </c>
      <c r="I98" s="253">
        <v>0</v>
      </c>
      <c r="J98" s="254" t="str">
        <f t="shared" si="5"/>
        <v>EUR6F3Y_Quote</v>
      </c>
      <c r="K98" s="255"/>
      <c r="L98" s="256" t="str">
        <f>_xll.ohRangeRetrieveError(K98)</f>
        <v/>
      </c>
      <c r="M98" s="239"/>
      <c r="O98" s="275"/>
    </row>
    <row r="99" spans="1:15" ht="11.25" customHeight="1" x14ac:dyDescent="0.25">
      <c r="A99" s="231"/>
      <c r="B99" s="251">
        <v>2</v>
      </c>
      <c r="C99" s="251" t="s">
        <v>28</v>
      </c>
      <c r="D99" s="251" t="s">
        <v>30</v>
      </c>
      <c r="E99" s="251" t="str">
        <f t="shared" si="7"/>
        <v>6F</v>
      </c>
      <c r="F99" s="252" t="s">
        <v>158</v>
      </c>
      <c r="G99" s="252" t="s">
        <v>105</v>
      </c>
      <c r="H99" s="252" t="s">
        <v>117</v>
      </c>
      <c r="I99" s="253">
        <v>0</v>
      </c>
      <c r="J99" s="254" t="str">
        <f t="shared" si="5"/>
        <v>EUR6F4Y_Quote</v>
      </c>
      <c r="K99" s="255"/>
      <c r="L99" s="256" t="str">
        <f>_xll.ohRangeRetrieveError(K99)</f>
        <v/>
      </c>
      <c r="M99" s="239"/>
      <c r="O99" s="275"/>
    </row>
    <row r="100" spans="1:15" ht="11.25" customHeight="1" x14ac:dyDescent="0.25">
      <c r="A100" s="231"/>
      <c r="B100" s="251">
        <v>2</v>
      </c>
      <c r="C100" s="251" t="s">
        <v>28</v>
      </c>
      <c r="D100" s="251" t="s">
        <v>29</v>
      </c>
      <c r="E100" s="251" t="str">
        <f t="shared" si="7"/>
        <v>6F</v>
      </c>
      <c r="F100" s="252" t="s">
        <v>158</v>
      </c>
      <c r="G100" s="252" t="s">
        <v>105</v>
      </c>
      <c r="H100" s="252" t="s">
        <v>117</v>
      </c>
      <c r="I100" s="253">
        <v>0</v>
      </c>
      <c r="J100" s="254" t="str">
        <f t="shared" si="5"/>
        <v>EUR6F5Y_Quote</v>
      </c>
      <c r="K100" s="255"/>
      <c r="L100" s="256" t="str">
        <f>_xll.ohRangeRetrieveError(K100)</f>
        <v/>
      </c>
      <c r="M100" s="239"/>
      <c r="O100" s="275"/>
    </row>
    <row r="101" spans="1:15" ht="11.25" customHeight="1" x14ac:dyDescent="0.25">
      <c r="A101" s="231"/>
      <c r="B101" s="251">
        <v>2</v>
      </c>
      <c r="C101" s="251" t="s">
        <v>28</v>
      </c>
      <c r="D101" s="251" t="s">
        <v>28</v>
      </c>
      <c r="E101" s="251" t="str">
        <f t="shared" si="7"/>
        <v>6F</v>
      </c>
      <c r="F101" s="252" t="s">
        <v>158</v>
      </c>
      <c r="G101" s="252" t="s">
        <v>105</v>
      </c>
      <c r="H101" s="252" t="s">
        <v>117</v>
      </c>
      <c r="I101" s="253">
        <v>0</v>
      </c>
      <c r="J101" s="254" t="str">
        <f t="shared" si="5"/>
        <v>EUR6F6Y_Quote</v>
      </c>
      <c r="K101" s="255"/>
      <c r="L101" s="256" t="str">
        <f>_xll.ohRangeRetrieveError(K101)</f>
        <v/>
      </c>
      <c r="M101" s="239"/>
      <c r="O101" s="275"/>
    </row>
    <row r="102" spans="1:15" ht="11.25" customHeight="1" x14ac:dyDescent="0.25">
      <c r="A102" s="231"/>
      <c r="B102" s="251">
        <v>2</v>
      </c>
      <c r="C102" s="251" t="s">
        <v>28</v>
      </c>
      <c r="D102" s="251" t="s">
        <v>27</v>
      </c>
      <c r="E102" s="251" t="str">
        <f t="shared" si="7"/>
        <v>6F</v>
      </c>
      <c r="F102" s="252" t="s">
        <v>158</v>
      </c>
      <c r="G102" s="252" t="s">
        <v>105</v>
      </c>
      <c r="H102" s="252" t="s">
        <v>117</v>
      </c>
      <c r="I102" s="253">
        <v>0</v>
      </c>
      <c r="J102" s="254" t="str">
        <f t="shared" si="5"/>
        <v>EUR6F7Y_Quote</v>
      </c>
      <c r="K102" s="255"/>
      <c r="L102" s="256" t="str">
        <f>_xll.ohRangeRetrieveError(K102)</f>
        <v/>
      </c>
      <c r="M102" s="239"/>
      <c r="O102" s="275"/>
    </row>
    <row r="103" spans="1:15" ht="11.25" customHeight="1" x14ac:dyDescent="0.25">
      <c r="A103" s="231"/>
      <c r="B103" s="251">
        <v>2</v>
      </c>
      <c r="C103" s="251" t="s">
        <v>28</v>
      </c>
      <c r="D103" s="251" t="s">
        <v>26</v>
      </c>
      <c r="E103" s="251" t="str">
        <f t="shared" si="7"/>
        <v>6F</v>
      </c>
      <c r="F103" s="252" t="s">
        <v>158</v>
      </c>
      <c r="G103" s="252" t="s">
        <v>105</v>
      </c>
      <c r="H103" s="252" t="s">
        <v>117</v>
      </c>
      <c r="I103" s="253">
        <v>0</v>
      </c>
      <c r="J103" s="254" t="str">
        <f t="shared" si="5"/>
        <v>EUR6F8Y_Quote</v>
      </c>
      <c r="K103" s="255"/>
      <c r="L103" s="256" t="str">
        <f>_xll.ohRangeRetrieveError(K103)</f>
        <v/>
      </c>
      <c r="M103" s="239"/>
      <c r="O103" s="275"/>
    </row>
    <row r="104" spans="1:15" ht="11.25" customHeight="1" x14ac:dyDescent="0.25">
      <c r="A104" s="231"/>
      <c r="B104" s="251">
        <v>2</v>
      </c>
      <c r="C104" s="251" t="s">
        <v>28</v>
      </c>
      <c r="D104" s="251" t="s">
        <v>25</v>
      </c>
      <c r="E104" s="251" t="str">
        <f t="shared" si="7"/>
        <v>6F</v>
      </c>
      <c r="F104" s="252" t="s">
        <v>158</v>
      </c>
      <c r="G104" s="252" t="s">
        <v>105</v>
      </c>
      <c r="H104" s="252" t="s">
        <v>117</v>
      </c>
      <c r="I104" s="253">
        <v>0</v>
      </c>
      <c r="J104" s="254" t="str">
        <f t="shared" si="5"/>
        <v>EUR6F9Y_Quote</v>
      </c>
      <c r="K104" s="255"/>
      <c r="L104" s="256" t="str">
        <f>_xll.ohRangeRetrieveError(K104)</f>
        <v/>
      </c>
      <c r="M104" s="239"/>
      <c r="O104" s="275"/>
    </row>
    <row r="105" spans="1:15" ht="11.25" customHeight="1" x14ac:dyDescent="0.25">
      <c r="A105" s="231"/>
      <c r="B105" s="251">
        <v>2</v>
      </c>
      <c r="C105" s="251" t="s">
        <v>28</v>
      </c>
      <c r="D105" s="251" t="s">
        <v>24</v>
      </c>
      <c r="E105" s="251" t="str">
        <f t="shared" si="7"/>
        <v>6F</v>
      </c>
      <c r="F105" s="252" t="s">
        <v>158</v>
      </c>
      <c r="G105" s="252" t="s">
        <v>105</v>
      </c>
      <c r="H105" s="252" t="s">
        <v>117</v>
      </c>
      <c r="I105" s="253">
        <v>0</v>
      </c>
      <c r="J105" s="254" t="str">
        <f t="shared" si="5"/>
        <v>EUR6F10Y_Quote</v>
      </c>
      <c r="K105" s="255"/>
      <c r="L105" s="256" t="str">
        <f>_xll.ohRangeRetrieveError(K105)</f>
        <v/>
      </c>
      <c r="M105" s="239"/>
      <c r="O105" s="275"/>
    </row>
    <row r="106" spans="1:15" ht="11.25" customHeight="1" x14ac:dyDescent="0.25">
      <c r="A106" s="231"/>
      <c r="B106" s="251">
        <v>2</v>
      </c>
      <c r="C106" s="251" t="s">
        <v>28</v>
      </c>
      <c r="D106" s="251" t="s">
        <v>23</v>
      </c>
      <c r="E106" s="251" t="str">
        <f t="shared" si="7"/>
        <v>6F</v>
      </c>
      <c r="F106" s="252" t="s">
        <v>158</v>
      </c>
      <c r="G106" s="252" t="s">
        <v>105</v>
      </c>
      <c r="H106" s="252" t="s">
        <v>117</v>
      </c>
      <c r="I106" s="253">
        <v>0</v>
      </c>
      <c r="J106" s="254" t="str">
        <f t="shared" si="5"/>
        <v>EUR6F11Y_Quote</v>
      </c>
      <c r="K106" s="255"/>
      <c r="L106" s="256" t="str">
        <f>_xll.ohRangeRetrieveError(K106)</f>
        <v/>
      </c>
      <c r="M106" s="239"/>
      <c r="O106" s="275"/>
    </row>
    <row r="107" spans="1:15" ht="11.25" customHeight="1" x14ac:dyDescent="0.25">
      <c r="A107" s="231"/>
      <c r="B107" s="251">
        <v>2</v>
      </c>
      <c r="C107" s="251" t="s">
        <v>28</v>
      </c>
      <c r="D107" s="251" t="s">
        <v>22</v>
      </c>
      <c r="E107" s="251" t="str">
        <f t="shared" si="7"/>
        <v>6F</v>
      </c>
      <c r="F107" s="252" t="s">
        <v>158</v>
      </c>
      <c r="G107" s="252" t="s">
        <v>105</v>
      </c>
      <c r="H107" s="252" t="s">
        <v>117</v>
      </c>
      <c r="I107" s="253">
        <v>0</v>
      </c>
      <c r="J107" s="254" t="str">
        <f t="shared" si="5"/>
        <v>EUR6F12Y_Quote</v>
      </c>
      <c r="K107" s="255"/>
      <c r="L107" s="256" t="str">
        <f>_xll.ohRangeRetrieveError(K107)</f>
        <v/>
      </c>
      <c r="M107" s="239"/>
      <c r="O107" s="275"/>
    </row>
    <row r="108" spans="1:15" ht="11.25" customHeight="1" x14ac:dyDescent="0.25">
      <c r="A108" s="231"/>
      <c r="B108" s="251">
        <v>2</v>
      </c>
      <c r="C108" s="251" t="s">
        <v>28</v>
      </c>
      <c r="D108" s="251" t="s">
        <v>21</v>
      </c>
      <c r="E108" s="251" t="str">
        <f t="shared" si="7"/>
        <v>6F</v>
      </c>
      <c r="F108" s="252" t="s">
        <v>158</v>
      </c>
      <c r="G108" s="252" t="s">
        <v>105</v>
      </c>
      <c r="H108" s="252" t="s">
        <v>117</v>
      </c>
      <c r="I108" s="253">
        <v>0</v>
      </c>
      <c r="J108" s="254" t="str">
        <f t="shared" si="5"/>
        <v>EUR6F13Y_Quote</v>
      </c>
      <c r="K108" s="255"/>
      <c r="L108" s="256" t="str">
        <f>_xll.ohRangeRetrieveError(K108)</f>
        <v/>
      </c>
      <c r="M108" s="239"/>
      <c r="O108" s="275"/>
    </row>
    <row r="109" spans="1:15" ht="11.25" customHeight="1" x14ac:dyDescent="0.25">
      <c r="A109" s="231"/>
      <c r="B109" s="251">
        <v>2</v>
      </c>
      <c r="C109" s="251" t="s">
        <v>28</v>
      </c>
      <c r="D109" s="251" t="s">
        <v>20</v>
      </c>
      <c r="E109" s="251" t="str">
        <f t="shared" si="7"/>
        <v>6F</v>
      </c>
      <c r="F109" s="252" t="s">
        <v>158</v>
      </c>
      <c r="G109" s="252" t="s">
        <v>105</v>
      </c>
      <c r="H109" s="252" t="s">
        <v>117</v>
      </c>
      <c r="I109" s="253">
        <v>0</v>
      </c>
      <c r="J109" s="254" t="str">
        <f t="shared" si="5"/>
        <v>EUR6F14Y_Quote</v>
      </c>
      <c r="K109" s="255"/>
      <c r="L109" s="256" t="str">
        <f>_xll.ohRangeRetrieveError(K109)</f>
        <v/>
      </c>
      <c r="M109" s="239"/>
      <c r="O109" s="275"/>
    </row>
    <row r="110" spans="1:15" ht="11.25" customHeight="1" x14ac:dyDescent="0.25">
      <c r="A110" s="231"/>
      <c r="B110" s="251">
        <v>2</v>
      </c>
      <c r="C110" s="251" t="s">
        <v>28</v>
      </c>
      <c r="D110" s="251" t="s">
        <v>19</v>
      </c>
      <c r="E110" s="251" t="str">
        <f t="shared" si="7"/>
        <v>6F</v>
      </c>
      <c r="F110" s="252" t="s">
        <v>158</v>
      </c>
      <c r="G110" s="252" t="s">
        <v>105</v>
      </c>
      <c r="H110" s="252" t="s">
        <v>117</v>
      </c>
      <c r="I110" s="253">
        <v>0</v>
      </c>
      <c r="J110" s="254" t="str">
        <f t="shared" si="5"/>
        <v>EUR6F15Y_Quote</v>
      </c>
      <c r="K110" s="255"/>
      <c r="L110" s="256" t="str">
        <f>_xll.ohRangeRetrieveError(K110)</f>
        <v/>
      </c>
      <c r="M110" s="239"/>
      <c r="O110" s="275"/>
    </row>
    <row r="111" spans="1:15" ht="11.25" customHeight="1" x14ac:dyDescent="0.25">
      <c r="A111" s="231"/>
      <c r="B111" s="251">
        <v>2</v>
      </c>
      <c r="C111" s="251" t="s">
        <v>28</v>
      </c>
      <c r="D111" s="251" t="s">
        <v>14</v>
      </c>
      <c r="E111" s="251" t="str">
        <f t="shared" si="7"/>
        <v>6F</v>
      </c>
      <c r="F111" s="252" t="s">
        <v>158</v>
      </c>
      <c r="G111" s="252" t="s">
        <v>105</v>
      </c>
      <c r="H111" s="252" t="s">
        <v>117</v>
      </c>
      <c r="I111" s="253">
        <v>0</v>
      </c>
      <c r="J111" s="254" t="str">
        <f t="shared" si="5"/>
        <v>EUR6F20Y_Quote</v>
      </c>
      <c r="K111" s="255"/>
      <c r="L111" s="256" t="str">
        <f>_xll.ohRangeRetrieveError(K111)</f>
        <v/>
      </c>
      <c r="M111" s="239"/>
      <c r="O111" s="275"/>
    </row>
    <row r="112" spans="1:15" ht="11.25" customHeight="1" x14ac:dyDescent="0.25">
      <c r="A112" s="231"/>
      <c r="B112" s="251">
        <v>2</v>
      </c>
      <c r="C112" s="251" t="s">
        <v>28</v>
      </c>
      <c r="D112" s="251" t="s">
        <v>9</v>
      </c>
      <c r="E112" s="251" t="str">
        <f t="shared" si="7"/>
        <v>6F</v>
      </c>
      <c r="F112" s="252" t="s">
        <v>158</v>
      </c>
      <c r="G112" s="252" t="s">
        <v>105</v>
      </c>
      <c r="H112" s="252" t="s">
        <v>117</v>
      </c>
      <c r="I112" s="253">
        <v>0</v>
      </c>
      <c r="J112" s="254" t="str">
        <f t="shared" si="5"/>
        <v>EUR6F25Y_Quote</v>
      </c>
      <c r="K112" s="255"/>
      <c r="L112" s="256" t="str">
        <f>_xll.ohRangeRetrieveError(K112)</f>
        <v/>
      </c>
      <c r="M112" s="239"/>
      <c r="O112" s="275"/>
    </row>
    <row r="113" spans="1:15" ht="11.25" customHeight="1" x14ac:dyDescent="0.25">
      <c r="A113" s="231"/>
      <c r="B113" s="261">
        <v>2</v>
      </c>
      <c r="C113" s="261" t="s">
        <v>28</v>
      </c>
      <c r="D113" s="261" t="s">
        <v>4</v>
      </c>
      <c r="E113" s="261" t="str">
        <f t="shared" si="7"/>
        <v>6F</v>
      </c>
      <c r="F113" s="262" t="s">
        <v>158</v>
      </c>
      <c r="G113" s="262" t="s">
        <v>105</v>
      </c>
      <c r="H113" s="262" t="s">
        <v>117</v>
      </c>
      <c r="I113" s="263">
        <v>0</v>
      </c>
      <c r="J113" s="264" t="str">
        <f t="shared" si="5"/>
        <v>EUR6F30Y_Quote</v>
      </c>
      <c r="K113" s="265"/>
      <c r="L113" s="266" t="str">
        <f>_xll.ohRangeRetrieveError(K113)</f>
        <v/>
      </c>
      <c r="M113" s="239"/>
      <c r="O113" s="275"/>
    </row>
    <row r="114" spans="1:15" ht="11.25" customHeight="1" x14ac:dyDescent="0.25">
      <c r="A114" s="231"/>
      <c r="B114" s="243">
        <v>2</v>
      </c>
      <c r="C114" s="243" t="s">
        <v>27</v>
      </c>
      <c r="D114" s="243" t="s">
        <v>36</v>
      </c>
      <c r="E114" s="243" t="str">
        <f>LEFT(C114,1)&amp;"F"</f>
        <v>7F</v>
      </c>
      <c r="F114" s="244" t="s">
        <v>158</v>
      </c>
      <c r="G114" s="244" t="s">
        <v>105</v>
      </c>
      <c r="H114" s="244" t="s">
        <v>117</v>
      </c>
      <c r="I114" s="245">
        <v>0</v>
      </c>
      <c r="J114" s="246" t="str">
        <f t="shared" si="5"/>
        <v>EUR7F1Y_Quote</v>
      </c>
      <c r="K114" s="247"/>
      <c r="L114" s="248" t="str">
        <f>_xll.ohRangeRetrieveError(K114)</f>
        <v/>
      </c>
      <c r="M114" s="239"/>
      <c r="O114" s="275"/>
    </row>
    <row r="115" spans="1:15" ht="11.25" customHeight="1" x14ac:dyDescent="0.25">
      <c r="A115" s="231"/>
      <c r="B115" s="251">
        <v>2</v>
      </c>
      <c r="C115" s="251" t="s">
        <v>27</v>
      </c>
      <c r="D115" s="251" t="s">
        <v>32</v>
      </c>
      <c r="E115" s="251" t="str">
        <f t="shared" ref="E115:E131" si="8">LEFT(C115,1)&amp;"F"</f>
        <v>7F</v>
      </c>
      <c r="F115" s="252" t="s">
        <v>158</v>
      </c>
      <c r="G115" s="252" t="s">
        <v>105</v>
      </c>
      <c r="H115" s="252" t="s">
        <v>117</v>
      </c>
      <c r="I115" s="253">
        <v>0</v>
      </c>
      <c r="J115" s="254" t="str">
        <f t="shared" si="5"/>
        <v>EUR7F2Y_Quote</v>
      </c>
      <c r="K115" s="255"/>
      <c r="L115" s="256" t="str">
        <f>_xll.ohRangeRetrieveError(K115)</f>
        <v/>
      </c>
      <c r="M115" s="239"/>
      <c r="O115" s="275"/>
    </row>
    <row r="116" spans="1:15" ht="11.25" customHeight="1" x14ac:dyDescent="0.25">
      <c r="A116" s="231"/>
      <c r="B116" s="251">
        <v>2</v>
      </c>
      <c r="C116" s="251" t="s">
        <v>27</v>
      </c>
      <c r="D116" s="251" t="s">
        <v>31</v>
      </c>
      <c r="E116" s="251" t="str">
        <f t="shared" si="8"/>
        <v>7F</v>
      </c>
      <c r="F116" s="252" t="s">
        <v>158</v>
      </c>
      <c r="G116" s="252" t="s">
        <v>105</v>
      </c>
      <c r="H116" s="252" t="s">
        <v>117</v>
      </c>
      <c r="I116" s="253">
        <v>0</v>
      </c>
      <c r="J116" s="254" t="str">
        <f t="shared" si="5"/>
        <v>EUR7F3Y_Quote</v>
      </c>
      <c r="K116" s="255"/>
      <c r="L116" s="256" t="str">
        <f>_xll.ohRangeRetrieveError(K116)</f>
        <v/>
      </c>
      <c r="M116" s="239"/>
      <c r="O116" s="275"/>
    </row>
    <row r="117" spans="1:15" ht="11.25" customHeight="1" x14ac:dyDescent="0.25">
      <c r="A117" s="231"/>
      <c r="B117" s="251">
        <v>2</v>
      </c>
      <c r="C117" s="251" t="s">
        <v>27</v>
      </c>
      <c r="D117" s="251" t="s">
        <v>30</v>
      </c>
      <c r="E117" s="251" t="str">
        <f t="shared" si="8"/>
        <v>7F</v>
      </c>
      <c r="F117" s="252" t="s">
        <v>158</v>
      </c>
      <c r="G117" s="252" t="s">
        <v>105</v>
      </c>
      <c r="H117" s="252" t="s">
        <v>117</v>
      </c>
      <c r="I117" s="253">
        <v>0</v>
      </c>
      <c r="J117" s="254" t="str">
        <f t="shared" si="5"/>
        <v>EUR7F4Y_Quote</v>
      </c>
      <c r="K117" s="255"/>
      <c r="L117" s="256" t="str">
        <f>_xll.ohRangeRetrieveError(K117)</f>
        <v/>
      </c>
      <c r="M117" s="239"/>
      <c r="O117" s="275"/>
    </row>
    <row r="118" spans="1:15" ht="11.25" customHeight="1" x14ac:dyDescent="0.25">
      <c r="A118" s="231"/>
      <c r="B118" s="251">
        <v>2</v>
      </c>
      <c r="C118" s="251" t="s">
        <v>27</v>
      </c>
      <c r="D118" s="251" t="s">
        <v>29</v>
      </c>
      <c r="E118" s="251" t="str">
        <f t="shared" si="8"/>
        <v>7F</v>
      </c>
      <c r="F118" s="252" t="s">
        <v>158</v>
      </c>
      <c r="G118" s="252" t="s">
        <v>105</v>
      </c>
      <c r="H118" s="252" t="s">
        <v>117</v>
      </c>
      <c r="I118" s="253">
        <v>0</v>
      </c>
      <c r="J118" s="254" t="str">
        <f t="shared" si="5"/>
        <v>EUR7F5Y_Quote</v>
      </c>
      <c r="K118" s="255"/>
      <c r="L118" s="256" t="str">
        <f>_xll.ohRangeRetrieveError(K118)</f>
        <v/>
      </c>
      <c r="M118" s="239"/>
      <c r="O118" s="275"/>
    </row>
    <row r="119" spans="1:15" ht="11.25" customHeight="1" x14ac:dyDescent="0.25">
      <c r="A119" s="231"/>
      <c r="B119" s="251">
        <v>2</v>
      </c>
      <c r="C119" s="251" t="s">
        <v>27</v>
      </c>
      <c r="D119" s="251" t="s">
        <v>28</v>
      </c>
      <c r="E119" s="251" t="str">
        <f t="shared" si="8"/>
        <v>7F</v>
      </c>
      <c r="F119" s="252" t="s">
        <v>158</v>
      </c>
      <c r="G119" s="252" t="s">
        <v>105</v>
      </c>
      <c r="H119" s="252" t="s">
        <v>117</v>
      </c>
      <c r="I119" s="253">
        <v>0</v>
      </c>
      <c r="J119" s="254" t="str">
        <f t="shared" si="5"/>
        <v>EUR7F6Y_Quote</v>
      </c>
      <c r="K119" s="255"/>
      <c r="L119" s="256" t="str">
        <f>_xll.ohRangeRetrieveError(K119)</f>
        <v/>
      </c>
      <c r="M119" s="239"/>
      <c r="O119" s="275"/>
    </row>
    <row r="120" spans="1:15" ht="11.25" customHeight="1" x14ac:dyDescent="0.25">
      <c r="A120" s="231"/>
      <c r="B120" s="251">
        <v>2</v>
      </c>
      <c r="C120" s="251" t="s">
        <v>27</v>
      </c>
      <c r="D120" s="251" t="s">
        <v>27</v>
      </c>
      <c r="E120" s="251" t="str">
        <f t="shared" si="8"/>
        <v>7F</v>
      </c>
      <c r="F120" s="252" t="s">
        <v>158</v>
      </c>
      <c r="G120" s="252" t="s">
        <v>105</v>
      </c>
      <c r="H120" s="252" t="s">
        <v>117</v>
      </c>
      <c r="I120" s="253">
        <v>0</v>
      </c>
      <c r="J120" s="254" t="str">
        <f t="shared" si="5"/>
        <v>EUR7F7Y_Quote</v>
      </c>
      <c r="K120" s="255"/>
      <c r="L120" s="256" t="str">
        <f>_xll.ohRangeRetrieveError(K120)</f>
        <v/>
      </c>
      <c r="M120" s="239"/>
      <c r="O120" s="275"/>
    </row>
    <row r="121" spans="1:15" ht="11.25" customHeight="1" x14ac:dyDescent="0.25">
      <c r="A121" s="231"/>
      <c r="B121" s="251">
        <v>2</v>
      </c>
      <c r="C121" s="251" t="s">
        <v>27</v>
      </c>
      <c r="D121" s="251" t="s">
        <v>26</v>
      </c>
      <c r="E121" s="251" t="str">
        <f t="shared" si="8"/>
        <v>7F</v>
      </c>
      <c r="F121" s="252" t="s">
        <v>158</v>
      </c>
      <c r="G121" s="252" t="s">
        <v>105</v>
      </c>
      <c r="H121" s="252" t="s">
        <v>117</v>
      </c>
      <c r="I121" s="253">
        <v>0</v>
      </c>
      <c r="J121" s="254" t="str">
        <f t="shared" si="5"/>
        <v>EUR7F8Y_Quote</v>
      </c>
      <c r="K121" s="255"/>
      <c r="L121" s="256" t="str">
        <f>_xll.ohRangeRetrieveError(K121)</f>
        <v/>
      </c>
      <c r="M121" s="239"/>
      <c r="O121" s="275"/>
    </row>
    <row r="122" spans="1:15" ht="11.25" customHeight="1" x14ac:dyDescent="0.25">
      <c r="A122" s="231"/>
      <c r="B122" s="251">
        <v>2</v>
      </c>
      <c r="C122" s="251" t="s">
        <v>27</v>
      </c>
      <c r="D122" s="251" t="s">
        <v>25</v>
      </c>
      <c r="E122" s="251" t="str">
        <f t="shared" si="8"/>
        <v>7F</v>
      </c>
      <c r="F122" s="252" t="s">
        <v>158</v>
      </c>
      <c r="G122" s="252" t="s">
        <v>105</v>
      </c>
      <c r="H122" s="252" t="s">
        <v>117</v>
      </c>
      <c r="I122" s="253">
        <v>0</v>
      </c>
      <c r="J122" s="254" t="str">
        <f t="shared" si="5"/>
        <v>EUR7F9Y_Quote</v>
      </c>
      <c r="K122" s="255"/>
      <c r="L122" s="256" t="str">
        <f>_xll.ohRangeRetrieveError(K122)</f>
        <v/>
      </c>
      <c r="M122" s="239"/>
      <c r="O122" s="275"/>
    </row>
    <row r="123" spans="1:15" ht="11.25" customHeight="1" x14ac:dyDescent="0.25">
      <c r="A123" s="231"/>
      <c r="B123" s="251">
        <v>2</v>
      </c>
      <c r="C123" s="251" t="s">
        <v>27</v>
      </c>
      <c r="D123" s="251" t="s">
        <v>24</v>
      </c>
      <c r="E123" s="251" t="str">
        <f t="shared" si="8"/>
        <v>7F</v>
      </c>
      <c r="F123" s="252" t="s">
        <v>158</v>
      </c>
      <c r="G123" s="252" t="s">
        <v>105</v>
      </c>
      <c r="H123" s="252" t="s">
        <v>117</v>
      </c>
      <c r="I123" s="253">
        <v>0</v>
      </c>
      <c r="J123" s="254" t="str">
        <f t="shared" si="5"/>
        <v>EUR7F10Y_Quote</v>
      </c>
      <c r="K123" s="255"/>
      <c r="L123" s="256" t="str">
        <f>_xll.ohRangeRetrieveError(K123)</f>
        <v/>
      </c>
      <c r="M123" s="239"/>
      <c r="O123" s="275"/>
    </row>
    <row r="124" spans="1:15" ht="11.25" customHeight="1" x14ac:dyDescent="0.25">
      <c r="A124" s="231"/>
      <c r="B124" s="251">
        <v>2</v>
      </c>
      <c r="C124" s="251" t="s">
        <v>27</v>
      </c>
      <c r="D124" s="251" t="s">
        <v>23</v>
      </c>
      <c r="E124" s="251" t="str">
        <f t="shared" si="8"/>
        <v>7F</v>
      </c>
      <c r="F124" s="252" t="s">
        <v>158</v>
      </c>
      <c r="G124" s="252" t="s">
        <v>105</v>
      </c>
      <c r="H124" s="252" t="s">
        <v>117</v>
      </c>
      <c r="I124" s="253">
        <v>0</v>
      </c>
      <c r="J124" s="254" t="str">
        <f t="shared" si="5"/>
        <v>EUR7F11Y_Quote</v>
      </c>
      <c r="K124" s="255"/>
      <c r="L124" s="256" t="str">
        <f>_xll.ohRangeRetrieveError(K124)</f>
        <v/>
      </c>
      <c r="M124" s="239"/>
      <c r="O124" s="275"/>
    </row>
    <row r="125" spans="1:15" ht="11.25" customHeight="1" x14ac:dyDescent="0.25">
      <c r="A125" s="231"/>
      <c r="B125" s="251">
        <v>2</v>
      </c>
      <c r="C125" s="251" t="s">
        <v>27</v>
      </c>
      <c r="D125" s="251" t="s">
        <v>22</v>
      </c>
      <c r="E125" s="251" t="str">
        <f t="shared" si="8"/>
        <v>7F</v>
      </c>
      <c r="F125" s="252" t="s">
        <v>158</v>
      </c>
      <c r="G125" s="252" t="s">
        <v>105</v>
      </c>
      <c r="H125" s="252" t="s">
        <v>117</v>
      </c>
      <c r="I125" s="253">
        <v>0</v>
      </c>
      <c r="J125" s="254" t="str">
        <f t="shared" si="5"/>
        <v>EUR7F12Y_Quote</v>
      </c>
      <c r="K125" s="255"/>
      <c r="L125" s="256" t="str">
        <f>_xll.ohRangeRetrieveError(K125)</f>
        <v/>
      </c>
      <c r="M125" s="239"/>
      <c r="O125" s="275"/>
    </row>
    <row r="126" spans="1:15" ht="11.25" customHeight="1" x14ac:dyDescent="0.25">
      <c r="A126" s="231"/>
      <c r="B126" s="251">
        <v>2</v>
      </c>
      <c r="C126" s="251" t="s">
        <v>27</v>
      </c>
      <c r="D126" s="251" t="s">
        <v>21</v>
      </c>
      <c r="E126" s="251" t="str">
        <f t="shared" si="8"/>
        <v>7F</v>
      </c>
      <c r="F126" s="252" t="s">
        <v>158</v>
      </c>
      <c r="G126" s="252" t="s">
        <v>105</v>
      </c>
      <c r="H126" s="252" t="s">
        <v>117</v>
      </c>
      <c r="I126" s="253">
        <v>0</v>
      </c>
      <c r="J126" s="254" t="str">
        <f t="shared" si="5"/>
        <v>EUR7F13Y_Quote</v>
      </c>
      <c r="K126" s="255"/>
      <c r="L126" s="256" t="str">
        <f>_xll.ohRangeRetrieveError(K126)</f>
        <v/>
      </c>
      <c r="M126" s="239"/>
      <c r="O126" s="275"/>
    </row>
    <row r="127" spans="1:15" ht="11.25" customHeight="1" x14ac:dyDescent="0.25">
      <c r="A127" s="231"/>
      <c r="B127" s="251">
        <v>2</v>
      </c>
      <c r="C127" s="251" t="s">
        <v>27</v>
      </c>
      <c r="D127" s="251" t="s">
        <v>20</v>
      </c>
      <c r="E127" s="251" t="str">
        <f t="shared" si="8"/>
        <v>7F</v>
      </c>
      <c r="F127" s="252" t="s">
        <v>158</v>
      </c>
      <c r="G127" s="252" t="s">
        <v>105</v>
      </c>
      <c r="H127" s="252" t="s">
        <v>117</v>
      </c>
      <c r="I127" s="253">
        <v>0</v>
      </c>
      <c r="J127" s="254" t="str">
        <f t="shared" si="5"/>
        <v>EUR7F14Y_Quote</v>
      </c>
      <c r="K127" s="255"/>
      <c r="L127" s="256" t="str">
        <f>_xll.ohRangeRetrieveError(K127)</f>
        <v/>
      </c>
      <c r="M127" s="239"/>
      <c r="O127" s="275"/>
    </row>
    <row r="128" spans="1:15" ht="11.25" customHeight="1" x14ac:dyDescent="0.25">
      <c r="A128" s="231"/>
      <c r="B128" s="251">
        <v>2</v>
      </c>
      <c r="C128" s="251" t="s">
        <v>27</v>
      </c>
      <c r="D128" s="251" t="s">
        <v>19</v>
      </c>
      <c r="E128" s="251" t="str">
        <f t="shared" si="8"/>
        <v>7F</v>
      </c>
      <c r="F128" s="252" t="s">
        <v>158</v>
      </c>
      <c r="G128" s="252" t="s">
        <v>105</v>
      </c>
      <c r="H128" s="252" t="s">
        <v>117</v>
      </c>
      <c r="I128" s="253">
        <v>0</v>
      </c>
      <c r="J128" s="254" t="str">
        <f t="shared" si="5"/>
        <v>EUR7F15Y_Quote</v>
      </c>
      <c r="K128" s="255"/>
      <c r="L128" s="256" t="str">
        <f>_xll.ohRangeRetrieveError(K128)</f>
        <v/>
      </c>
      <c r="M128" s="239"/>
      <c r="O128" s="275"/>
    </row>
    <row r="129" spans="1:15" ht="11.25" customHeight="1" x14ac:dyDescent="0.25">
      <c r="A129" s="231"/>
      <c r="B129" s="251">
        <v>2</v>
      </c>
      <c r="C129" s="251" t="s">
        <v>27</v>
      </c>
      <c r="D129" s="251" t="s">
        <v>14</v>
      </c>
      <c r="E129" s="251" t="str">
        <f t="shared" si="8"/>
        <v>7F</v>
      </c>
      <c r="F129" s="252" t="s">
        <v>158</v>
      </c>
      <c r="G129" s="252" t="s">
        <v>105</v>
      </c>
      <c r="H129" s="252" t="s">
        <v>117</v>
      </c>
      <c r="I129" s="253">
        <v>0</v>
      </c>
      <c r="J129" s="254" t="str">
        <f t="shared" si="5"/>
        <v>EUR7F20Y_Quote</v>
      </c>
      <c r="K129" s="255"/>
      <c r="L129" s="256" t="str">
        <f>_xll.ohRangeRetrieveError(K129)</f>
        <v/>
      </c>
      <c r="M129" s="239"/>
      <c r="O129" s="275"/>
    </row>
    <row r="130" spans="1:15" ht="11.25" customHeight="1" x14ac:dyDescent="0.25">
      <c r="A130" s="231"/>
      <c r="B130" s="251">
        <v>2</v>
      </c>
      <c r="C130" s="251" t="s">
        <v>27</v>
      </c>
      <c r="D130" s="251" t="s">
        <v>9</v>
      </c>
      <c r="E130" s="251" t="str">
        <f t="shared" si="8"/>
        <v>7F</v>
      </c>
      <c r="F130" s="252" t="s">
        <v>158</v>
      </c>
      <c r="G130" s="252" t="s">
        <v>105</v>
      </c>
      <c r="H130" s="252" t="s">
        <v>117</v>
      </c>
      <c r="I130" s="253">
        <v>0</v>
      </c>
      <c r="J130" s="254" t="str">
        <f t="shared" si="5"/>
        <v>EUR7F25Y_Quote</v>
      </c>
      <c r="K130" s="255"/>
      <c r="L130" s="256" t="str">
        <f>_xll.ohRangeRetrieveError(K130)</f>
        <v/>
      </c>
      <c r="M130" s="239"/>
      <c r="O130" s="275"/>
    </row>
    <row r="131" spans="1:15" ht="11.25" customHeight="1" x14ac:dyDescent="0.25">
      <c r="A131" s="231"/>
      <c r="B131" s="261">
        <v>2</v>
      </c>
      <c r="C131" s="261" t="s">
        <v>27</v>
      </c>
      <c r="D131" s="261" t="s">
        <v>4</v>
      </c>
      <c r="E131" s="261" t="str">
        <f t="shared" si="8"/>
        <v>7F</v>
      </c>
      <c r="F131" s="262" t="s">
        <v>158</v>
      </c>
      <c r="G131" s="262" t="s">
        <v>105</v>
      </c>
      <c r="H131" s="262" t="s">
        <v>117</v>
      </c>
      <c r="I131" s="263">
        <v>0</v>
      </c>
      <c r="J131" s="264" t="str">
        <f t="shared" si="5"/>
        <v>EUR7F30Y_Quote</v>
      </c>
      <c r="K131" s="265"/>
      <c r="L131" s="266" t="str">
        <f>_xll.ohRangeRetrieveError(K131)</f>
        <v/>
      </c>
      <c r="M131" s="239"/>
      <c r="O131" s="275"/>
    </row>
    <row r="132" spans="1:15" ht="11.25" customHeight="1" x14ac:dyDescent="0.25">
      <c r="A132" s="231"/>
      <c r="B132" s="243">
        <v>2</v>
      </c>
      <c r="C132" s="243" t="s">
        <v>26</v>
      </c>
      <c r="D132" s="243" t="s">
        <v>36</v>
      </c>
      <c r="E132" s="243" t="str">
        <f>LEFT(C132,1)&amp;"F"</f>
        <v>8F</v>
      </c>
      <c r="F132" s="244" t="s">
        <v>158</v>
      </c>
      <c r="G132" s="244" t="s">
        <v>105</v>
      </c>
      <c r="H132" s="244" t="s">
        <v>117</v>
      </c>
      <c r="I132" s="245">
        <v>0</v>
      </c>
      <c r="J132" s="246" t="str">
        <f t="shared" si="5"/>
        <v>EUR8F1Y_Quote</v>
      </c>
      <c r="K132" s="247"/>
      <c r="L132" s="248" t="str">
        <f>_xll.ohRangeRetrieveError(K132)</f>
        <v/>
      </c>
      <c r="M132" s="239"/>
      <c r="O132" s="275"/>
    </row>
    <row r="133" spans="1:15" ht="11.25" customHeight="1" x14ac:dyDescent="0.25">
      <c r="A133" s="231"/>
      <c r="B133" s="251">
        <v>2</v>
      </c>
      <c r="C133" s="251" t="s">
        <v>26</v>
      </c>
      <c r="D133" s="251" t="s">
        <v>32</v>
      </c>
      <c r="E133" s="251" t="str">
        <f t="shared" ref="E133:E149" si="9">LEFT(C133,1)&amp;"F"</f>
        <v>8F</v>
      </c>
      <c r="F133" s="252" t="s">
        <v>158</v>
      </c>
      <c r="G133" s="252" t="s">
        <v>105</v>
      </c>
      <c r="H133" s="252" t="s">
        <v>117</v>
      </c>
      <c r="I133" s="253">
        <v>0</v>
      </c>
      <c r="J133" s="254" t="str">
        <f t="shared" si="5"/>
        <v>EUR8F2Y_Quote</v>
      </c>
      <c r="K133" s="255"/>
      <c r="L133" s="256" t="str">
        <f>_xll.ohRangeRetrieveError(K133)</f>
        <v/>
      </c>
      <c r="M133" s="239"/>
      <c r="O133" s="275"/>
    </row>
    <row r="134" spans="1:15" ht="11.25" customHeight="1" x14ac:dyDescent="0.25">
      <c r="A134" s="231"/>
      <c r="B134" s="251">
        <v>2</v>
      </c>
      <c r="C134" s="251" t="s">
        <v>26</v>
      </c>
      <c r="D134" s="251" t="s">
        <v>31</v>
      </c>
      <c r="E134" s="251" t="str">
        <f t="shared" si="9"/>
        <v>8F</v>
      </c>
      <c r="F134" s="252" t="s">
        <v>158</v>
      </c>
      <c r="G134" s="252" t="s">
        <v>105</v>
      </c>
      <c r="H134" s="252" t="s">
        <v>117</v>
      </c>
      <c r="I134" s="253">
        <v>0</v>
      </c>
      <c r="J134" s="254" t="str">
        <f t="shared" ref="J134:J197" si="10">Currency&amp;$E134&amp;$D134&amp;QuoteSuffix</f>
        <v>EUR8F3Y_Quote</v>
      </c>
      <c r="K134" s="255"/>
      <c r="L134" s="256" t="str">
        <f>_xll.ohRangeRetrieveError(K134)</f>
        <v/>
      </c>
      <c r="M134" s="239"/>
      <c r="O134" s="275"/>
    </row>
    <row r="135" spans="1:15" ht="11.25" customHeight="1" x14ac:dyDescent="0.25">
      <c r="A135" s="231"/>
      <c r="B135" s="251">
        <v>2</v>
      </c>
      <c r="C135" s="251" t="s">
        <v>26</v>
      </c>
      <c r="D135" s="251" t="s">
        <v>30</v>
      </c>
      <c r="E135" s="251" t="str">
        <f t="shared" si="9"/>
        <v>8F</v>
      </c>
      <c r="F135" s="252" t="s">
        <v>158</v>
      </c>
      <c r="G135" s="252" t="s">
        <v>105</v>
      </c>
      <c r="H135" s="252" t="s">
        <v>117</v>
      </c>
      <c r="I135" s="253">
        <v>0</v>
      </c>
      <c r="J135" s="254" t="str">
        <f t="shared" si="10"/>
        <v>EUR8F4Y_Quote</v>
      </c>
      <c r="K135" s="255"/>
      <c r="L135" s="256" t="str">
        <f>_xll.ohRangeRetrieveError(K135)</f>
        <v/>
      </c>
      <c r="M135" s="239"/>
      <c r="O135" s="275"/>
    </row>
    <row r="136" spans="1:15" ht="11.25" customHeight="1" x14ac:dyDescent="0.25">
      <c r="A136" s="231"/>
      <c r="B136" s="251">
        <v>2</v>
      </c>
      <c r="C136" s="251" t="s">
        <v>26</v>
      </c>
      <c r="D136" s="251" t="s">
        <v>29</v>
      </c>
      <c r="E136" s="251" t="str">
        <f t="shared" si="9"/>
        <v>8F</v>
      </c>
      <c r="F136" s="252" t="s">
        <v>158</v>
      </c>
      <c r="G136" s="252" t="s">
        <v>105</v>
      </c>
      <c r="H136" s="252" t="s">
        <v>117</v>
      </c>
      <c r="I136" s="253">
        <v>0</v>
      </c>
      <c r="J136" s="254" t="str">
        <f t="shared" si="10"/>
        <v>EUR8F5Y_Quote</v>
      </c>
      <c r="K136" s="255"/>
      <c r="L136" s="256" t="str">
        <f>_xll.ohRangeRetrieveError(K136)</f>
        <v/>
      </c>
      <c r="M136" s="239"/>
      <c r="O136" s="275"/>
    </row>
    <row r="137" spans="1:15" ht="11.25" customHeight="1" x14ac:dyDescent="0.25">
      <c r="A137" s="231"/>
      <c r="B137" s="251">
        <v>2</v>
      </c>
      <c r="C137" s="251" t="s">
        <v>26</v>
      </c>
      <c r="D137" s="251" t="s">
        <v>28</v>
      </c>
      <c r="E137" s="251" t="str">
        <f t="shared" si="9"/>
        <v>8F</v>
      </c>
      <c r="F137" s="252" t="s">
        <v>158</v>
      </c>
      <c r="G137" s="252" t="s">
        <v>105</v>
      </c>
      <c r="H137" s="252" t="s">
        <v>117</v>
      </c>
      <c r="I137" s="253">
        <v>0</v>
      </c>
      <c r="J137" s="254" t="str">
        <f t="shared" si="10"/>
        <v>EUR8F6Y_Quote</v>
      </c>
      <c r="K137" s="255"/>
      <c r="L137" s="256" t="str">
        <f>_xll.ohRangeRetrieveError(K137)</f>
        <v/>
      </c>
      <c r="M137" s="239"/>
      <c r="O137" s="275"/>
    </row>
    <row r="138" spans="1:15" ht="11.25" customHeight="1" x14ac:dyDescent="0.25">
      <c r="A138" s="231"/>
      <c r="B138" s="251">
        <v>2</v>
      </c>
      <c r="C138" s="251" t="s">
        <v>26</v>
      </c>
      <c r="D138" s="251" t="s">
        <v>27</v>
      </c>
      <c r="E138" s="251" t="str">
        <f t="shared" si="9"/>
        <v>8F</v>
      </c>
      <c r="F138" s="252" t="s">
        <v>158</v>
      </c>
      <c r="G138" s="252" t="s">
        <v>105</v>
      </c>
      <c r="H138" s="252" t="s">
        <v>117</v>
      </c>
      <c r="I138" s="253">
        <v>0</v>
      </c>
      <c r="J138" s="254" t="str">
        <f t="shared" si="10"/>
        <v>EUR8F7Y_Quote</v>
      </c>
      <c r="K138" s="255"/>
      <c r="L138" s="256" t="str">
        <f>_xll.ohRangeRetrieveError(K138)</f>
        <v/>
      </c>
      <c r="M138" s="239"/>
      <c r="O138" s="275"/>
    </row>
    <row r="139" spans="1:15" ht="11.25" customHeight="1" x14ac:dyDescent="0.25">
      <c r="A139" s="231"/>
      <c r="B139" s="251">
        <v>2</v>
      </c>
      <c r="C139" s="251" t="s">
        <v>26</v>
      </c>
      <c r="D139" s="251" t="s">
        <v>26</v>
      </c>
      <c r="E139" s="251" t="str">
        <f t="shared" si="9"/>
        <v>8F</v>
      </c>
      <c r="F139" s="252" t="s">
        <v>158</v>
      </c>
      <c r="G139" s="252" t="s">
        <v>105</v>
      </c>
      <c r="H139" s="252" t="s">
        <v>117</v>
      </c>
      <c r="I139" s="253">
        <v>0</v>
      </c>
      <c r="J139" s="254" t="str">
        <f t="shared" si="10"/>
        <v>EUR8F8Y_Quote</v>
      </c>
      <c r="K139" s="255"/>
      <c r="L139" s="256" t="str">
        <f>_xll.ohRangeRetrieveError(K139)</f>
        <v/>
      </c>
      <c r="M139" s="239"/>
      <c r="O139" s="275"/>
    </row>
    <row r="140" spans="1:15" ht="11.25" customHeight="1" x14ac:dyDescent="0.25">
      <c r="A140" s="231"/>
      <c r="B140" s="251">
        <v>2</v>
      </c>
      <c r="C140" s="251" t="s">
        <v>26</v>
      </c>
      <c r="D140" s="251" t="s">
        <v>25</v>
      </c>
      <c r="E140" s="251" t="str">
        <f t="shared" si="9"/>
        <v>8F</v>
      </c>
      <c r="F140" s="252" t="s">
        <v>158</v>
      </c>
      <c r="G140" s="252" t="s">
        <v>105</v>
      </c>
      <c r="H140" s="252" t="s">
        <v>117</v>
      </c>
      <c r="I140" s="253">
        <v>0</v>
      </c>
      <c r="J140" s="254" t="str">
        <f t="shared" si="10"/>
        <v>EUR8F9Y_Quote</v>
      </c>
      <c r="K140" s="255"/>
      <c r="L140" s="256" t="str">
        <f>_xll.ohRangeRetrieveError(K140)</f>
        <v/>
      </c>
      <c r="M140" s="239"/>
      <c r="O140" s="275"/>
    </row>
    <row r="141" spans="1:15" ht="11.25" customHeight="1" x14ac:dyDescent="0.25">
      <c r="A141" s="231"/>
      <c r="B141" s="251">
        <v>2</v>
      </c>
      <c r="C141" s="251" t="s">
        <v>26</v>
      </c>
      <c r="D141" s="251" t="s">
        <v>24</v>
      </c>
      <c r="E141" s="251" t="str">
        <f t="shared" si="9"/>
        <v>8F</v>
      </c>
      <c r="F141" s="252" t="s">
        <v>158</v>
      </c>
      <c r="G141" s="252" t="s">
        <v>105</v>
      </c>
      <c r="H141" s="252" t="s">
        <v>117</v>
      </c>
      <c r="I141" s="253">
        <v>0</v>
      </c>
      <c r="J141" s="254" t="str">
        <f t="shared" si="10"/>
        <v>EUR8F10Y_Quote</v>
      </c>
      <c r="K141" s="255"/>
      <c r="L141" s="256" t="str">
        <f>_xll.ohRangeRetrieveError(K141)</f>
        <v/>
      </c>
      <c r="M141" s="239"/>
      <c r="O141" s="275"/>
    </row>
    <row r="142" spans="1:15" ht="11.25" customHeight="1" x14ac:dyDescent="0.25">
      <c r="A142" s="231"/>
      <c r="B142" s="251">
        <v>2</v>
      </c>
      <c r="C142" s="251" t="s">
        <v>26</v>
      </c>
      <c r="D142" s="251" t="s">
        <v>23</v>
      </c>
      <c r="E142" s="251" t="str">
        <f t="shared" si="9"/>
        <v>8F</v>
      </c>
      <c r="F142" s="252" t="s">
        <v>158</v>
      </c>
      <c r="G142" s="252" t="s">
        <v>105</v>
      </c>
      <c r="H142" s="252" t="s">
        <v>117</v>
      </c>
      <c r="I142" s="253">
        <v>0</v>
      </c>
      <c r="J142" s="254" t="str">
        <f t="shared" si="10"/>
        <v>EUR8F11Y_Quote</v>
      </c>
      <c r="K142" s="255"/>
      <c r="L142" s="256" t="str">
        <f>_xll.ohRangeRetrieveError(K142)</f>
        <v/>
      </c>
      <c r="M142" s="239"/>
      <c r="O142" s="275"/>
    </row>
    <row r="143" spans="1:15" ht="11.25" customHeight="1" x14ac:dyDescent="0.25">
      <c r="A143" s="231"/>
      <c r="B143" s="251">
        <v>2</v>
      </c>
      <c r="C143" s="251" t="s">
        <v>26</v>
      </c>
      <c r="D143" s="251" t="s">
        <v>22</v>
      </c>
      <c r="E143" s="251" t="str">
        <f t="shared" si="9"/>
        <v>8F</v>
      </c>
      <c r="F143" s="252" t="s">
        <v>158</v>
      </c>
      <c r="G143" s="252" t="s">
        <v>105</v>
      </c>
      <c r="H143" s="252" t="s">
        <v>117</v>
      </c>
      <c r="I143" s="253">
        <v>0</v>
      </c>
      <c r="J143" s="254" t="str">
        <f t="shared" si="10"/>
        <v>EUR8F12Y_Quote</v>
      </c>
      <c r="K143" s="255"/>
      <c r="L143" s="256" t="str">
        <f>_xll.ohRangeRetrieveError(K143)</f>
        <v/>
      </c>
      <c r="M143" s="239"/>
      <c r="O143" s="275"/>
    </row>
    <row r="144" spans="1:15" ht="11.25" customHeight="1" x14ac:dyDescent="0.25">
      <c r="A144" s="231"/>
      <c r="B144" s="251">
        <v>2</v>
      </c>
      <c r="C144" s="251" t="s">
        <v>26</v>
      </c>
      <c r="D144" s="251" t="s">
        <v>21</v>
      </c>
      <c r="E144" s="251" t="str">
        <f t="shared" si="9"/>
        <v>8F</v>
      </c>
      <c r="F144" s="252" t="s">
        <v>158</v>
      </c>
      <c r="G144" s="252" t="s">
        <v>105</v>
      </c>
      <c r="H144" s="252" t="s">
        <v>117</v>
      </c>
      <c r="I144" s="253">
        <v>0</v>
      </c>
      <c r="J144" s="254" t="str">
        <f t="shared" si="10"/>
        <v>EUR8F13Y_Quote</v>
      </c>
      <c r="K144" s="255"/>
      <c r="L144" s="256" t="str">
        <f>_xll.ohRangeRetrieveError(K144)</f>
        <v/>
      </c>
      <c r="M144" s="239"/>
      <c r="O144" s="275"/>
    </row>
    <row r="145" spans="1:15" ht="11.25" customHeight="1" x14ac:dyDescent="0.25">
      <c r="A145" s="231"/>
      <c r="B145" s="251">
        <v>2</v>
      </c>
      <c r="C145" s="251" t="s">
        <v>26</v>
      </c>
      <c r="D145" s="251" t="s">
        <v>20</v>
      </c>
      <c r="E145" s="251" t="str">
        <f t="shared" si="9"/>
        <v>8F</v>
      </c>
      <c r="F145" s="252" t="s">
        <v>158</v>
      </c>
      <c r="G145" s="252" t="s">
        <v>105</v>
      </c>
      <c r="H145" s="252" t="s">
        <v>117</v>
      </c>
      <c r="I145" s="253">
        <v>0</v>
      </c>
      <c r="J145" s="254" t="str">
        <f t="shared" si="10"/>
        <v>EUR8F14Y_Quote</v>
      </c>
      <c r="K145" s="255"/>
      <c r="L145" s="256" t="str">
        <f>_xll.ohRangeRetrieveError(K145)</f>
        <v/>
      </c>
      <c r="M145" s="239"/>
      <c r="O145" s="275"/>
    </row>
    <row r="146" spans="1:15" ht="11.25" customHeight="1" x14ac:dyDescent="0.25">
      <c r="A146" s="231"/>
      <c r="B146" s="251">
        <v>2</v>
      </c>
      <c r="C146" s="251" t="s">
        <v>26</v>
      </c>
      <c r="D146" s="251" t="s">
        <v>19</v>
      </c>
      <c r="E146" s="251" t="str">
        <f t="shared" si="9"/>
        <v>8F</v>
      </c>
      <c r="F146" s="252" t="s">
        <v>158</v>
      </c>
      <c r="G146" s="252" t="s">
        <v>105</v>
      </c>
      <c r="H146" s="252" t="s">
        <v>117</v>
      </c>
      <c r="I146" s="253">
        <v>0</v>
      </c>
      <c r="J146" s="254" t="str">
        <f t="shared" si="10"/>
        <v>EUR8F15Y_Quote</v>
      </c>
      <c r="K146" s="255"/>
      <c r="L146" s="256" t="str">
        <f>_xll.ohRangeRetrieveError(K146)</f>
        <v/>
      </c>
      <c r="M146" s="239"/>
      <c r="O146" s="275"/>
    </row>
    <row r="147" spans="1:15" ht="11.25" customHeight="1" x14ac:dyDescent="0.25">
      <c r="A147" s="231"/>
      <c r="B147" s="251">
        <v>2</v>
      </c>
      <c r="C147" s="251" t="s">
        <v>26</v>
      </c>
      <c r="D147" s="251" t="s">
        <v>14</v>
      </c>
      <c r="E147" s="251" t="str">
        <f t="shared" si="9"/>
        <v>8F</v>
      </c>
      <c r="F147" s="252" t="s">
        <v>158</v>
      </c>
      <c r="G147" s="252" t="s">
        <v>105</v>
      </c>
      <c r="H147" s="252" t="s">
        <v>117</v>
      </c>
      <c r="I147" s="253">
        <v>0</v>
      </c>
      <c r="J147" s="254" t="str">
        <f t="shared" si="10"/>
        <v>EUR8F20Y_Quote</v>
      </c>
      <c r="K147" s="255"/>
      <c r="L147" s="256" t="str">
        <f>_xll.ohRangeRetrieveError(K147)</f>
        <v/>
      </c>
      <c r="M147" s="239"/>
      <c r="O147" s="275"/>
    </row>
    <row r="148" spans="1:15" ht="11.25" customHeight="1" x14ac:dyDescent="0.25">
      <c r="A148" s="231"/>
      <c r="B148" s="251">
        <v>2</v>
      </c>
      <c r="C148" s="251" t="s">
        <v>26</v>
      </c>
      <c r="D148" s="251" t="s">
        <v>9</v>
      </c>
      <c r="E148" s="251" t="str">
        <f t="shared" si="9"/>
        <v>8F</v>
      </c>
      <c r="F148" s="252" t="s">
        <v>158</v>
      </c>
      <c r="G148" s="252" t="s">
        <v>105</v>
      </c>
      <c r="H148" s="252" t="s">
        <v>117</v>
      </c>
      <c r="I148" s="253">
        <v>0</v>
      </c>
      <c r="J148" s="254" t="str">
        <f t="shared" si="10"/>
        <v>EUR8F25Y_Quote</v>
      </c>
      <c r="K148" s="255"/>
      <c r="L148" s="256" t="str">
        <f>_xll.ohRangeRetrieveError(K148)</f>
        <v/>
      </c>
      <c r="M148" s="239"/>
      <c r="O148" s="275"/>
    </row>
    <row r="149" spans="1:15" ht="11.25" customHeight="1" x14ac:dyDescent="0.25">
      <c r="A149" s="231"/>
      <c r="B149" s="261">
        <v>2</v>
      </c>
      <c r="C149" s="261" t="s">
        <v>26</v>
      </c>
      <c r="D149" s="261" t="s">
        <v>4</v>
      </c>
      <c r="E149" s="261" t="str">
        <f t="shared" si="9"/>
        <v>8F</v>
      </c>
      <c r="F149" s="262" t="s">
        <v>158</v>
      </c>
      <c r="G149" s="262" t="s">
        <v>105</v>
      </c>
      <c r="H149" s="262" t="s">
        <v>117</v>
      </c>
      <c r="I149" s="263">
        <v>0</v>
      </c>
      <c r="J149" s="264" t="str">
        <f t="shared" si="10"/>
        <v>EUR8F30Y_Quote</v>
      </c>
      <c r="K149" s="265"/>
      <c r="L149" s="266" t="str">
        <f>_xll.ohRangeRetrieveError(K149)</f>
        <v/>
      </c>
      <c r="M149" s="239"/>
      <c r="O149" s="275"/>
    </row>
    <row r="150" spans="1:15" ht="11.25" customHeight="1" x14ac:dyDescent="0.25">
      <c r="A150" s="231"/>
      <c r="B150" s="243">
        <v>2</v>
      </c>
      <c r="C150" s="243" t="s">
        <v>25</v>
      </c>
      <c r="D150" s="243" t="s">
        <v>36</v>
      </c>
      <c r="E150" s="243" t="str">
        <f>LEFT(C150,1)&amp;"F"</f>
        <v>9F</v>
      </c>
      <c r="F150" s="244" t="s">
        <v>158</v>
      </c>
      <c r="G150" s="244" t="s">
        <v>105</v>
      </c>
      <c r="H150" s="244" t="s">
        <v>117</v>
      </c>
      <c r="I150" s="245">
        <v>0</v>
      </c>
      <c r="J150" s="246" t="str">
        <f t="shared" si="10"/>
        <v>EUR9F1Y_Quote</v>
      </c>
      <c r="K150" s="247"/>
      <c r="L150" s="248" t="str">
        <f>_xll.ohRangeRetrieveError(K150)</f>
        <v/>
      </c>
      <c r="M150" s="239"/>
      <c r="O150" s="275"/>
    </row>
    <row r="151" spans="1:15" ht="11.25" customHeight="1" x14ac:dyDescent="0.25">
      <c r="A151" s="231"/>
      <c r="B151" s="251">
        <v>2</v>
      </c>
      <c r="C151" s="251" t="s">
        <v>25</v>
      </c>
      <c r="D151" s="251" t="s">
        <v>32</v>
      </c>
      <c r="E151" s="251" t="str">
        <f t="shared" ref="E151:E167" si="11">LEFT(C151,1)&amp;"F"</f>
        <v>9F</v>
      </c>
      <c r="F151" s="252" t="s">
        <v>158</v>
      </c>
      <c r="G151" s="252" t="s">
        <v>105</v>
      </c>
      <c r="H151" s="252" t="s">
        <v>117</v>
      </c>
      <c r="I151" s="253">
        <v>0</v>
      </c>
      <c r="J151" s="254" t="str">
        <f t="shared" si="10"/>
        <v>EUR9F2Y_Quote</v>
      </c>
      <c r="K151" s="255"/>
      <c r="L151" s="256" t="str">
        <f>_xll.ohRangeRetrieveError(K151)</f>
        <v/>
      </c>
      <c r="M151" s="239"/>
      <c r="O151" s="275"/>
    </row>
    <row r="152" spans="1:15" ht="11.25" customHeight="1" x14ac:dyDescent="0.25">
      <c r="A152" s="231"/>
      <c r="B152" s="251">
        <v>2</v>
      </c>
      <c r="C152" s="251" t="s">
        <v>25</v>
      </c>
      <c r="D152" s="251" t="s">
        <v>31</v>
      </c>
      <c r="E152" s="251" t="str">
        <f t="shared" si="11"/>
        <v>9F</v>
      </c>
      <c r="F152" s="252" t="s">
        <v>158</v>
      </c>
      <c r="G152" s="252" t="s">
        <v>105</v>
      </c>
      <c r="H152" s="252" t="s">
        <v>117</v>
      </c>
      <c r="I152" s="253">
        <v>0</v>
      </c>
      <c r="J152" s="254" t="str">
        <f t="shared" si="10"/>
        <v>EUR9F3Y_Quote</v>
      </c>
      <c r="K152" s="255"/>
      <c r="L152" s="256" t="str">
        <f>_xll.ohRangeRetrieveError(K152)</f>
        <v/>
      </c>
      <c r="M152" s="239"/>
      <c r="O152" s="275"/>
    </row>
    <row r="153" spans="1:15" ht="11.25" customHeight="1" x14ac:dyDescent="0.25">
      <c r="A153" s="231"/>
      <c r="B153" s="251">
        <v>2</v>
      </c>
      <c r="C153" s="251" t="s">
        <v>25</v>
      </c>
      <c r="D153" s="251" t="s">
        <v>30</v>
      </c>
      <c r="E153" s="251" t="str">
        <f t="shared" si="11"/>
        <v>9F</v>
      </c>
      <c r="F153" s="252" t="s">
        <v>158</v>
      </c>
      <c r="G153" s="252" t="s">
        <v>105</v>
      </c>
      <c r="H153" s="252" t="s">
        <v>117</v>
      </c>
      <c r="I153" s="253">
        <v>0</v>
      </c>
      <c r="J153" s="254" t="str">
        <f t="shared" si="10"/>
        <v>EUR9F4Y_Quote</v>
      </c>
      <c r="K153" s="255"/>
      <c r="L153" s="256" t="str">
        <f>_xll.ohRangeRetrieveError(K153)</f>
        <v/>
      </c>
      <c r="M153" s="239"/>
      <c r="O153" s="275"/>
    </row>
    <row r="154" spans="1:15" ht="11.25" customHeight="1" x14ac:dyDescent="0.25">
      <c r="A154" s="231"/>
      <c r="B154" s="251">
        <v>2</v>
      </c>
      <c r="C154" s="251" t="s">
        <v>25</v>
      </c>
      <c r="D154" s="251" t="s">
        <v>29</v>
      </c>
      <c r="E154" s="251" t="str">
        <f t="shared" si="11"/>
        <v>9F</v>
      </c>
      <c r="F154" s="252" t="s">
        <v>158</v>
      </c>
      <c r="G154" s="252" t="s">
        <v>105</v>
      </c>
      <c r="H154" s="252" t="s">
        <v>117</v>
      </c>
      <c r="I154" s="253">
        <v>0</v>
      </c>
      <c r="J154" s="254" t="str">
        <f t="shared" si="10"/>
        <v>EUR9F5Y_Quote</v>
      </c>
      <c r="K154" s="255"/>
      <c r="L154" s="256" t="str">
        <f>_xll.ohRangeRetrieveError(K154)</f>
        <v/>
      </c>
      <c r="M154" s="239"/>
      <c r="O154" s="275"/>
    </row>
    <row r="155" spans="1:15" ht="11.25" customHeight="1" x14ac:dyDescent="0.25">
      <c r="A155" s="231"/>
      <c r="B155" s="251">
        <v>2</v>
      </c>
      <c r="C155" s="251" t="s">
        <v>25</v>
      </c>
      <c r="D155" s="251" t="s">
        <v>28</v>
      </c>
      <c r="E155" s="251" t="str">
        <f t="shared" si="11"/>
        <v>9F</v>
      </c>
      <c r="F155" s="252" t="s">
        <v>158</v>
      </c>
      <c r="G155" s="252" t="s">
        <v>105</v>
      </c>
      <c r="H155" s="252" t="s">
        <v>117</v>
      </c>
      <c r="I155" s="253">
        <v>0</v>
      </c>
      <c r="J155" s="254" t="str">
        <f t="shared" si="10"/>
        <v>EUR9F6Y_Quote</v>
      </c>
      <c r="K155" s="255"/>
      <c r="L155" s="256" t="str">
        <f>_xll.ohRangeRetrieveError(K155)</f>
        <v/>
      </c>
      <c r="M155" s="239"/>
      <c r="O155" s="275"/>
    </row>
    <row r="156" spans="1:15" ht="11.25" customHeight="1" x14ac:dyDescent="0.25">
      <c r="A156" s="231"/>
      <c r="B156" s="251">
        <v>2</v>
      </c>
      <c r="C156" s="251" t="s">
        <v>25</v>
      </c>
      <c r="D156" s="251" t="s">
        <v>27</v>
      </c>
      <c r="E156" s="251" t="str">
        <f t="shared" si="11"/>
        <v>9F</v>
      </c>
      <c r="F156" s="252" t="s">
        <v>158</v>
      </c>
      <c r="G156" s="252" t="s">
        <v>105</v>
      </c>
      <c r="H156" s="252" t="s">
        <v>117</v>
      </c>
      <c r="I156" s="253">
        <v>0</v>
      </c>
      <c r="J156" s="254" t="str">
        <f t="shared" si="10"/>
        <v>EUR9F7Y_Quote</v>
      </c>
      <c r="K156" s="255"/>
      <c r="L156" s="256" t="str">
        <f>_xll.ohRangeRetrieveError(K156)</f>
        <v/>
      </c>
      <c r="M156" s="239"/>
      <c r="O156" s="275"/>
    </row>
    <row r="157" spans="1:15" ht="11.25" customHeight="1" x14ac:dyDescent="0.25">
      <c r="A157" s="231"/>
      <c r="B157" s="251">
        <v>2</v>
      </c>
      <c r="C157" s="251" t="s">
        <v>25</v>
      </c>
      <c r="D157" s="251" t="s">
        <v>26</v>
      </c>
      <c r="E157" s="251" t="str">
        <f t="shared" si="11"/>
        <v>9F</v>
      </c>
      <c r="F157" s="252" t="s">
        <v>158</v>
      </c>
      <c r="G157" s="252" t="s">
        <v>105</v>
      </c>
      <c r="H157" s="252" t="s">
        <v>117</v>
      </c>
      <c r="I157" s="253">
        <v>0</v>
      </c>
      <c r="J157" s="254" t="str">
        <f t="shared" si="10"/>
        <v>EUR9F8Y_Quote</v>
      </c>
      <c r="K157" s="255"/>
      <c r="L157" s="256" t="str">
        <f>_xll.ohRangeRetrieveError(K157)</f>
        <v/>
      </c>
      <c r="M157" s="239"/>
      <c r="O157" s="275"/>
    </row>
    <row r="158" spans="1:15" ht="11.25" customHeight="1" x14ac:dyDescent="0.25">
      <c r="A158" s="231"/>
      <c r="B158" s="251">
        <v>2</v>
      </c>
      <c r="C158" s="251" t="s">
        <v>25</v>
      </c>
      <c r="D158" s="251" t="s">
        <v>25</v>
      </c>
      <c r="E158" s="251" t="str">
        <f t="shared" si="11"/>
        <v>9F</v>
      </c>
      <c r="F158" s="252" t="s">
        <v>158</v>
      </c>
      <c r="G158" s="252" t="s">
        <v>105</v>
      </c>
      <c r="H158" s="252" t="s">
        <v>117</v>
      </c>
      <c r="I158" s="253">
        <v>0</v>
      </c>
      <c r="J158" s="254" t="str">
        <f t="shared" si="10"/>
        <v>EUR9F9Y_Quote</v>
      </c>
      <c r="K158" s="255"/>
      <c r="L158" s="256" t="str">
        <f>_xll.ohRangeRetrieveError(K158)</f>
        <v/>
      </c>
      <c r="M158" s="239"/>
      <c r="O158" s="275"/>
    </row>
    <row r="159" spans="1:15" ht="11.25" customHeight="1" x14ac:dyDescent="0.25">
      <c r="A159" s="231"/>
      <c r="B159" s="251">
        <v>2</v>
      </c>
      <c r="C159" s="251" t="s">
        <v>25</v>
      </c>
      <c r="D159" s="251" t="s">
        <v>24</v>
      </c>
      <c r="E159" s="251" t="str">
        <f t="shared" si="11"/>
        <v>9F</v>
      </c>
      <c r="F159" s="252" t="s">
        <v>158</v>
      </c>
      <c r="G159" s="252" t="s">
        <v>105</v>
      </c>
      <c r="H159" s="252" t="s">
        <v>117</v>
      </c>
      <c r="I159" s="253">
        <v>0</v>
      </c>
      <c r="J159" s="254" t="str">
        <f t="shared" si="10"/>
        <v>EUR9F10Y_Quote</v>
      </c>
      <c r="K159" s="255"/>
      <c r="L159" s="256" t="str">
        <f>_xll.ohRangeRetrieveError(K159)</f>
        <v/>
      </c>
      <c r="M159" s="239"/>
      <c r="O159" s="275"/>
    </row>
    <row r="160" spans="1:15" ht="11.25" customHeight="1" x14ac:dyDescent="0.25">
      <c r="A160" s="231"/>
      <c r="B160" s="251">
        <v>2</v>
      </c>
      <c r="C160" s="251" t="s">
        <v>25</v>
      </c>
      <c r="D160" s="251" t="s">
        <v>23</v>
      </c>
      <c r="E160" s="251" t="str">
        <f t="shared" si="11"/>
        <v>9F</v>
      </c>
      <c r="F160" s="252" t="s">
        <v>158</v>
      </c>
      <c r="G160" s="252" t="s">
        <v>105</v>
      </c>
      <c r="H160" s="252" t="s">
        <v>117</v>
      </c>
      <c r="I160" s="253">
        <v>0</v>
      </c>
      <c r="J160" s="254" t="str">
        <f t="shared" si="10"/>
        <v>EUR9F11Y_Quote</v>
      </c>
      <c r="K160" s="255"/>
      <c r="L160" s="256" t="str">
        <f>_xll.ohRangeRetrieveError(K160)</f>
        <v/>
      </c>
      <c r="M160" s="239"/>
      <c r="O160" s="275"/>
    </row>
    <row r="161" spans="1:15" ht="11.25" customHeight="1" x14ac:dyDescent="0.25">
      <c r="A161" s="231"/>
      <c r="B161" s="251">
        <v>2</v>
      </c>
      <c r="C161" s="251" t="s">
        <v>25</v>
      </c>
      <c r="D161" s="251" t="s">
        <v>22</v>
      </c>
      <c r="E161" s="251" t="str">
        <f t="shared" si="11"/>
        <v>9F</v>
      </c>
      <c r="F161" s="252" t="s">
        <v>158</v>
      </c>
      <c r="G161" s="252" t="s">
        <v>105</v>
      </c>
      <c r="H161" s="252" t="s">
        <v>117</v>
      </c>
      <c r="I161" s="253">
        <v>0</v>
      </c>
      <c r="J161" s="254" t="str">
        <f t="shared" si="10"/>
        <v>EUR9F12Y_Quote</v>
      </c>
      <c r="K161" s="255"/>
      <c r="L161" s="256" t="str">
        <f>_xll.ohRangeRetrieveError(K161)</f>
        <v/>
      </c>
      <c r="M161" s="239"/>
      <c r="O161" s="275"/>
    </row>
    <row r="162" spans="1:15" ht="11.25" customHeight="1" x14ac:dyDescent="0.25">
      <c r="A162" s="231"/>
      <c r="B162" s="251">
        <v>2</v>
      </c>
      <c r="C162" s="251" t="s">
        <v>25</v>
      </c>
      <c r="D162" s="251" t="s">
        <v>21</v>
      </c>
      <c r="E162" s="251" t="str">
        <f t="shared" si="11"/>
        <v>9F</v>
      </c>
      <c r="F162" s="252" t="s">
        <v>158</v>
      </c>
      <c r="G162" s="252" t="s">
        <v>105</v>
      </c>
      <c r="H162" s="252" t="s">
        <v>117</v>
      </c>
      <c r="I162" s="253">
        <v>0</v>
      </c>
      <c r="J162" s="254" t="str">
        <f t="shared" si="10"/>
        <v>EUR9F13Y_Quote</v>
      </c>
      <c r="K162" s="255"/>
      <c r="L162" s="256" t="str">
        <f>_xll.ohRangeRetrieveError(K162)</f>
        <v/>
      </c>
      <c r="M162" s="239"/>
      <c r="O162" s="275"/>
    </row>
    <row r="163" spans="1:15" ht="11.25" customHeight="1" x14ac:dyDescent="0.25">
      <c r="A163" s="231"/>
      <c r="B163" s="251">
        <v>2</v>
      </c>
      <c r="C163" s="251" t="s">
        <v>25</v>
      </c>
      <c r="D163" s="251" t="s">
        <v>20</v>
      </c>
      <c r="E163" s="251" t="str">
        <f t="shared" si="11"/>
        <v>9F</v>
      </c>
      <c r="F163" s="252" t="s">
        <v>158</v>
      </c>
      <c r="G163" s="252" t="s">
        <v>105</v>
      </c>
      <c r="H163" s="252" t="s">
        <v>117</v>
      </c>
      <c r="I163" s="253">
        <v>0</v>
      </c>
      <c r="J163" s="254" t="str">
        <f t="shared" si="10"/>
        <v>EUR9F14Y_Quote</v>
      </c>
      <c r="K163" s="255"/>
      <c r="L163" s="256" t="str">
        <f>_xll.ohRangeRetrieveError(K163)</f>
        <v/>
      </c>
      <c r="M163" s="239"/>
      <c r="O163" s="275"/>
    </row>
    <row r="164" spans="1:15" ht="11.25" customHeight="1" x14ac:dyDescent="0.25">
      <c r="A164" s="231"/>
      <c r="B164" s="251">
        <v>2</v>
      </c>
      <c r="C164" s="251" t="s">
        <v>25</v>
      </c>
      <c r="D164" s="251" t="s">
        <v>19</v>
      </c>
      <c r="E164" s="251" t="str">
        <f t="shared" si="11"/>
        <v>9F</v>
      </c>
      <c r="F164" s="252" t="s">
        <v>158</v>
      </c>
      <c r="G164" s="252" t="s">
        <v>105</v>
      </c>
      <c r="H164" s="252" t="s">
        <v>117</v>
      </c>
      <c r="I164" s="253">
        <v>0</v>
      </c>
      <c r="J164" s="254" t="str">
        <f t="shared" si="10"/>
        <v>EUR9F15Y_Quote</v>
      </c>
      <c r="K164" s="255"/>
      <c r="L164" s="256" t="str">
        <f>_xll.ohRangeRetrieveError(K164)</f>
        <v/>
      </c>
      <c r="M164" s="239"/>
      <c r="O164" s="275"/>
    </row>
    <row r="165" spans="1:15" ht="11.25" customHeight="1" x14ac:dyDescent="0.25">
      <c r="A165" s="231"/>
      <c r="B165" s="251">
        <v>2</v>
      </c>
      <c r="C165" s="251" t="s">
        <v>25</v>
      </c>
      <c r="D165" s="251" t="s">
        <v>14</v>
      </c>
      <c r="E165" s="251" t="str">
        <f t="shared" si="11"/>
        <v>9F</v>
      </c>
      <c r="F165" s="252" t="s">
        <v>158</v>
      </c>
      <c r="G165" s="252" t="s">
        <v>105</v>
      </c>
      <c r="H165" s="252" t="s">
        <v>117</v>
      </c>
      <c r="I165" s="253">
        <v>0</v>
      </c>
      <c r="J165" s="254" t="str">
        <f t="shared" si="10"/>
        <v>EUR9F20Y_Quote</v>
      </c>
      <c r="K165" s="255"/>
      <c r="L165" s="256" t="str">
        <f>_xll.ohRangeRetrieveError(K165)</f>
        <v/>
      </c>
      <c r="M165" s="239"/>
      <c r="O165" s="275"/>
    </row>
    <row r="166" spans="1:15" ht="11.25" customHeight="1" x14ac:dyDescent="0.25">
      <c r="A166" s="231"/>
      <c r="B166" s="251">
        <v>2</v>
      </c>
      <c r="C166" s="251" t="s">
        <v>25</v>
      </c>
      <c r="D166" s="251" t="s">
        <v>9</v>
      </c>
      <c r="E166" s="251" t="str">
        <f t="shared" si="11"/>
        <v>9F</v>
      </c>
      <c r="F166" s="252" t="s">
        <v>158</v>
      </c>
      <c r="G166" s="252" t="s">
        <v>105</v>
      </c>
      <c r="H166" s="252" t="s">
        <v>117</v>
      </c>
      <c r="I166" s="253">
        <v>0</v>
      </c>
      <c r="J166" s="254" t="str">
        <f t="shared" si="10"/>
        <v>EUR9F25Y_Quote</v>
      </c>
      <c r="K166" s="255"/>
      <c r="L166" s="256" t="str">
        <f>_xll.ohRangeRetrieveError(K166)</f>
        <v/>
      </c>
      <c r="M166" s="239"/>
      <c r="O166" s="275"/>
    </row>
    <row r="167" spans="1:15" ht="11.25" customHeight="1" x14ac:dyDescent="0.25">
      <c r="A167" s="231"/>
      <c r="B167" s="261">
        <v>2</v>
      </c>
      <c r="C167" s="261" t="s">
        <v>25</v>
      </c>
      <c r="D167" s="261" t="s">
        <v>4</v>
      </c>
      <c r="E167" s="261" t="str">
        <f t="shared" si="11"/>
        <v>9F</v>
      </c>
      <c r="F167" s="262" t="s">
        <v>158</v>
      </c>
      <c r="G167" s="262" t="s">
        <v>105</v>
      </c>
      <c r="H167" s="262" t="s">
        <v>117</v>
      </c>
      <c r="I167" s="263">
        <v>0</v>
      </c>
      <c r="J167" s="264" t="str">
        <f t="shared" si="10"/>
        <v>EUR9F30Y_Quote</v>
      </c>
      <c r="K167" s="265"/>
      <c r="L167" s="266" t="str">
        <f>_xll.ohRangeRetrieveError(K167)</f>
        <v/>
      </c>
      <c r="M167" s="239"/>
      <c r="O167" s="275"/>
    </row>
    <row r="168" spans="1:15" ht="11.25" customHeight="1" x14ac:dyDescent="0.25">
      <c r="A168" s="231"/>
      <c r="B168" s="243">
        <v>2</v>
      </c>
      <c r="C168" s="243" t="s">
        <v>24</v>
      </c>
      <c r="D168" s="243" t="s">
        <v>36</v>
      </c>
      <c r="E168" s="243" t="str">
        <f>LEFT(C168,2)&amp;"F"</f>
        <v>10F</v>
      </c>
      <c r="F168" s="244" t="s">
        <v>158</v>
      </c>
      <c r="G168" s="244" t="s">
        <v>105</v>
      </c>
      <c r="H168" s="244" t="s">
        <v>117</v>
      </c>
      <c r="I168" s="245">
        <v>0</v>
      </c>
      <c r="J168" s="246" t="str">
        <f t="shared" si="10"/>
        <v>EUR10F1Y_Quote</v>
      </c>
      <c r="K168" s="247"/>
      <c r="L168" s="248" t="str">
        <f>_xll.ohRangeRetrieveError(K168)</f>
        <v/>
      </c>
      <c r="M168" s="239"/>
      <c r="O168" s="275"/>
    </row>
    <row r="169" spans="1:15" ht="11.25" customHeight="1" x14ac:dyDescent="0.25">
      <c r="A169" s="231"/>
      <c r="B169" s="251">
        <v>2</v>
      </c>
      <c r="C169" s="251" t="s">
        <v>24</v>
      </c>
      <c r="D169" s="251" t="s">
        <v>32</v>
      </c>
      <c r="E169" s="251" t="str">
        <f t="shared" ref="E169:E185" si="12">LEFT(C169,2)&amp;"F"</f>
        <v>10F</v>
      </c>
      <c r="F169" s="252" t="s">
        <v>158</v>
      </c>
      <c r="G169" s="252" t="s">
        <v>105</v>
      </c>
      <c r="H169" s="252" t="s">
        <v>117</v>
      </c>
      <c r="I169" s="253">
        <v>0</v>
      </c>
      <c r="J169" s="254" t="str">
        <f t="shared" si="10"/>
        <v>EUR10F2Y_Quote</v>
      </c>
      <c r="K169" s="255"/>
      <c r="L169" s="256" t="str">
        <f>_xll.ohRangeRetrieveError(K169)</f>
        <v/>
      </c>
      <c r="M169" s="239"/>
      <c r="O169" s="275"/>
    </row>
    <row r="170" spans="1:15" ht="11.25" customHeight="1" x14ac:dyDescent="0.25">
      <c r="A170" s="231"/>
      <c r="B170" s="251">
        <v>2</v>
      </c>
      <c r="C170" s="251" t="s">
        <v>24</v>
      </c>
      <c r="D170" s="251" t="s">
        <v>31</v>
      </c>
      <c r="E170" s="251" t="str">
        <f t="shared" si="12"/>
        <v>10F</v>
      </c>
      <c r="F170" s="252" t="s">
        <v>158</v>
      </c>
      <c r="G170" s="252" t="s">
        <v>105</v>
      </c>
      <c r="H170" s="252" t="s">
        <v>117</v>
      </c>
      <c r="I170" s="253">
        <v>0</v>
      </c>
      <c r="J170" s="254" t="str">
        <f t="shared" si="10"/>
        <v>EUR10F3Y_Quote</v>
      </c>
      <c r="K170" s="255"/>
      <c r="L170" s="256" t="str">
        <f>_xll.ohRangeRetrieveError(K170)</f>
        <v/>
      </c>
      <c r="M170" s="239"/>
      <c r="O170" s="275"/>
    </row>
    <row r="171" spans="1:15" ht="11.25" customHeight="1" x14ac:dyDescent="0.25">
      <c r="A171" s="231"/>
      <c r="B171" s="251">
        <v>2</v>
      </c>
      <c r="C171" s="251" t="s">
        <v>24</v>
      </c>
      <c r="D171" s="251" t="s">
        <v>30</v>
      </c>
      <c r="E171" s="251" t="str">
        <f t="shared" si="12"/>
        <v>10F</v>
      </c>
      <c r="F171" s="252" t="s">
        <v>158</v>
      </c>
      <c r="G171" s="252" t="s">
        <v>105</v>
      </c>
      <c r="H171" s="252" t="s">
        <v>117</v>
      </c>
      <c r="I171" s="253">
        <v>0</v>
      </c>
      <c r="J171" s="254" t="str">
        <f t="shared" si="10"/>
        <v>EUR10F4Y_Quote</v>
      </c>
      <c r="K171" s="255"/>
      <c r="L171" s="256" t="str">
        <f>_xll.ohRangeRetrieveError(K171)</f>
        <v/>
      </c>
      <c r="M171" s="239"/>
      <c r="O171" s="275"/>
    </row>
    <row r="172" spans="1:15" ht="11.25" customHeight="1" x14ac:dyDescent="0.25">
      <c r="A172" s="231"/>
      <c r="B172" s="251">
        <v>2</v>
      </c>
      <c r="C172" s="251" t="s">
        <v>24</v>
      </c>
      <c r="D172" s="251" t="s">
        <v>29</v>
      </c>
      <c r="E172" s="251" t="str">
        <f t="shared" si="12"/>
        <v>10F</v>
      </c>
      <c r="F172" s="252" t="s">
        <v>158</v>
      </c>
      <c r="G172" s="252" t="s">
        <v>105</v>
      </c>
      <c r="H172" s="252" t="s">
        <v>117</v>
      </c>
      <c r="I172" s="253">
        <v>0</v>
      </c>
      <c r="J172" s="254" t="str">
        <f t="shared" si="10"/>
        <v>EUR10F5Y_Quote</v>
      </c>
      <c r="K172" s="255"/>
      <c r="L172" s="256" t="str">
        <f>_xll.ohRangeRetrieveError(K172)</f>
        <v/>
      </c>
      <c r="M172" s="239"/>
      <c r="O172" s="275"/>
    </row>
    <row r="173" spans="1:15" ht="11.25" customHeight="1" x14ac:dyDescent="0.25">
      <c r="A173" s="231"/>
      <c r="B173" s="251">
        <v>2</v>
      </c>
      <c r="C173" s="251" t="s">
        <v>24</v>
      </c>
      <c r="D173" s="251" t="s">
        <v>28</v>
      </c>
      <c r="E173" s="251" t="str">
        <f t="shared" si="12"/>
        <v>10F</v>
      </c>
      <c r="F173" s="252" t="s">
        <v>158</v>
      </c>
      <c r="G173" s="252" t="s">
        <v>105</v>
      </c>
      <c r="H173" s="252" t="s">
        <v>117</v>
      </c>
      <c r="I173" s="253">
        <v>0</v>
      </c>
      <c r="J173" s="254" t="str">
        <f t="shared" si="10"/>
        <v>EUR10F6Y_Quote</v>
      </c>
      <c r="K173" s="255"/>
      <c r="L173" s="256" t="str">
        <f>_xll.ohRangeRetrieveError(K173)</f>
        <v/>
      </c>
      <c r="M173" s="239"/>
      <c r="O173" s="275"/>
    </row>
    <row r="174" spans="1:15" ht="11.25" customHeight="1" x14ac:dyDescent="0.25">
      <c r="A174" s="231"/>
      <c r="B174" s="251">
        <v>2</v>
      </c>
      <c r="C174" s="251" t="s">
        <v>24</v>
      </c>
      <c r="D174" s="251" t="s">
        <v>27</v>
      </c>
      <c r="E174" s="251" t="str">
        <f t="shared" si="12"/>
        <v>10F</v>
      </c>
      <c r="F174" s="252" t="s">
        <v>158</v>
      </c>
      <c r="G174" s="252" t="s">
        <v>105</v>
      </c>
      <c r="H174" s="252" t="s">
        <v>117</v>
      </c>
      <c r="I174" s="253">
        <v>0</v>
      </c>
      <c r="J174" s="254" t="str">
        <f t="shared" si="10"/>
        <v>EUR10F7Y_Quote</v>
      </c>
      <c r="K174" s="255"/>
      <c r="L174" s="256" t="str">
        <f>_xll.ohRangeRetrieveError(K174)</f>
        <v/>
      </c>
      <c r="M174" s="239"/>
      <c r="O174" s="275"/>
    </row>
    <row r="175" spans="1:15" ht="11.25" customHeight="1" x14ac:dyDescent="0.25">
      <c r="A175" s="231"/>
      <c r="B175" s="251">
        <v>2</v>
      </c>
      <c r="C175" s="251" t="s">
        <v>24</v>
      </c>
      <c r="D175" s="251" t="s">
        <v>26</v>
      </c>
      <c r="E175" s="251" t="str">
        <f t="shared" si="12"/>
        <v>10F</v>
      </c>
      <c r="F175" s="252" t="s">
        <v>158</v>
      </c>
      <c r="G175" s="252" t="s">
        <v>105</v>
      </c>
      <c r="H175" s="252" t="s">
        <v>117</v>
      </c>
      <c r="I175" s="253">
        <v>0</v>
      </c>
      <c r="J175" s="254" t="str">
        <f t="shared" si="10"/>
        <v>EUR10F8Y_Quote</v>
      </c>
      <c r="K175" s="255"/>
      <c r="L175" s="256" t="str">
        <f>_xll.ohRangeRetrieveError(K175)</f>
        <v/>
      </c>
      <c r="M175" s="239"/>
      <c r="O175" s="275"/>
    </row>
    <row r="176" spans="1:15" ht="11.25" customHeight="1" x14ac:dyDescent="0.25">
      <c r="A176" s="231"/>
      <c r="B176" s="251">
        <v>2</v>
      </c>
      <c r="C176" s="251" t="s">
        <v>24</v>
      </c>
      <c r="D176" s="251" t="s">
        <v>25</v>
      </c>
      <c r="E176" s="251" t="str">
        <f t="shared" si="12"/>
        <v>10F</v>
      </c>
      <c r="F176" s="252" t="s">
        <v>158</v>
      </c>
      <c r="G176" s="252" t="s">
        <v>105</v>
      </c>
      <c r="H176" s="252" t="s">
        <v>117</v>
      </c>
      <c r="I176" s="253">
        <v>0</v>
      </c>
      <c r="J176" s="254" t="str">
        <f t="shared" si="10"/>
        <v>EUR10F9Y_Quote</v>
      </c>
      <c r="K176" s="255"/>
      <c r="L176" s="256" t="str">
        <f>_xll.ohRangeRetrieveError(K176)</f>
        <v/>
      </c>
      <c r="M176" s="239"/>
      <c r="O176" s="275"/>
    </row>
    <row r="177" spans="1:15" ht="11.25" customHeight="1" x14ac:dyDescent="0.25">
      <c r="A177" s="231"/>
      <c r="B177" s="251">
        <v>2</v>
      </c>
      <c r="C177" s="251" t="s">
        <v>24</v>
      </c>
      <c r="D177" s="251" t="s">
        <v>24</v>
      </c>
      <c r="E177" s="251" t="str">
        <f t="shared" si="12"/>
        <v>10F</v>
      </c>
      <c r="F177" s="252" t="s">
        <v>158</v>
      </c>
      <c r="G177" s="252" t="s">
        <v>105</v>
      </c>
      <c r="H177" s="252" t="s">
        <v>117</v>
      </c>
      <c r="I177" s="253">
        <v>0</v>
      </c>
      <c r="J177" s="254" t="str">
        <f t="shared" si="10"/>
        <v>EUR10F10Y_Quote</v>
      </c>
      <c r="K177" s="255"/>
      <c r="L177" s="256" t="str">
        <f>_xll.ohRangeRetrieveError(K177)</f>
        <v/>
      </c>
      <c r="M177" s="239"/>
      <c r="O177" s="275"/>
    </row>
    <row r="178" spans="1:15" ht="11.25" customHeight="1" x14ac:dyDescent="0.25">
      <c r="A178" s="231"/>
      <c r="B178" s="251">
        <v>2</v>
      </c>
      <c r="C178" s="251" t="s">
        <v>24</v>
      </c>
      <c r="D178" s="251" t="s">
        <v>23</v>
      </c>
      <c r="E178" s="251" t="str">
        <f t="shared" si="12"/>
        <v>10F</v>
      </c>
      <c r="F178" s="252" t="s">
        <v>158</v>
      </c>
      <c r="G178" s="252" t="s">
        <v>105</v>
      </c>
      <c r="H178" s="252" t="s">
        <v>117</v>
      </c>
      <c r="I178" s="253">
        <v>0</v>
      </c>
      <c r="J178" s="254" t="str">
        <f t="shared" si="10"/>
        <v>EUR10F11Y_Quote</v>
      </c>
      <c r="K178" s="255"/>
      <c r="L178" s="256" t="str">
        <f>_xll.ohRangeRetrieveError(K178)</f>
        <v/>
      </c>
      <c r="M178" s="239"/>
      <c r="O178" s="275"/>
    </row>
    <row r="179" spans="1:15" ht="11.25" customHeight="1" x14ac:dyDescent="0.25">
      <c r="A179" s="231"/>
      <c r="B179" s="251">
        <v>2</v>
      </c>
      <c r="C179" s="251" t="s">
        <v>24</v>
      </c>
      <c r="D179" s="251" t="s">
        <v>22</v>
      </c>
      <c r="E179" s="251" t="str">
        <f t="shared" si="12"/>
        <v>10F</v>
      </c>
      <c r="F179" s="252" t="s">
        <v>158</v>
      </c>
      <c r="G179" s="252" t="s">
        <v>105</v>
      </c>
      <c r="H179" s="252" t="s">
        <v>117</v>
      </c>
      <c r="I179" s="253">
        <v>0</v>
      </c>
      <c r="J179" s="254" t="str">
        <f t="shared" si="10"/>
        <v>EUR10F12Y_Quote</v>
      </c>
      <c r="K179" s="255"/>
      <c r="L179" s="256" t="str">
        <f>_xll.ohRangeRetrieveError(K179)</f>
        <v/>
      </c>
      <c r="M179" s="239"/>
      <c r="O179" s="275"/>
    </row>
    <row r="180" spans="1:15" ht="11.25" customHeight="1" x14ac:dyDescent="0.25">
      <c r="A180" s="231"/>
      <c r="B180" s="251">
        <v>2</v>
      </c>
      <c r="C180" s="251" t="s">
        <v>24</v>
      </c>
      <c r="D180" s="251" t="s">
        <v>21</v>
      </c>
      <c r="E180" s="251" t="str">
        <f t="shared" si="12"/>
        <v>10F</v>
      </c>
      <c r="F180" s="252" t="s">
        <v>158</v>
      </c>
      <c r="G180" s="252" t="s">
        <v>105</v>
      </c>
      <c r="H180" s="252" t="s">
        <v>117</v>
      </c>
      <c r="I180" s="253">
        <v>0</v>
      </c>
      <c r="J180" s="254" t="str">
        <f t="shared" si="10"/>
        <v>EUR10F13Y_Quote</v>
      </c>
      <c r="K180" s="255"/>
      <c r="L180" s="256" t="str">
        <f>_xll.ohRangeRetrieveError(K180)</f>
        <v/>
      </c>
      <c r="M180" s="239"/>
      <c r="O180" s="275"/>
    </row>
    <row r="181" spans="1:15" ht="11.25" customHeight="1" x14ac:dyDescent="0.25">
      <c r="A181" s="231"/>
      <c r="B181" s="251">
        <v>2</v>
      </c>
      <c r="C181" s="251" t="s">
        <v>24</v>
      </c>
      <c r="D181" s="251" t="s">
        <v>20</v>
      </c>
      <c r="E181" s="251" t="str">
        <f t="shared" si="12"/>
        <v>10F</v>
      </c>
      <c r="F181" s="252" t="s">
        <v>158</v>
      </c>
      <c r="G181" s="252" t="s">
        <v>105</v>
      </c>
      <c r="H181" s="252" t="s">
        <v>117</v>
      </c>
      <c r="I181" s="253">
        <v>0</v>
      </c>
      <c r="J181" s="254" t="str">
        <f t="shared" si="10"/>
        <v>EUR10F14Y_Quote</v>
      </c>
      <c r="K181" s="255"/>
      <c r="L181" s="256" t="str">
        <f>_xll.ohRangeRetrieveError(K181)</f>
        <v/>
      </c>
      <c r="M181" s="239"/>
      <c r="O181" s="275"/>
    </row>
    <row r="182" spans="1:15" ht="11.25" customHeight="1" x14ac:dyDescent="0.25">
      <c r="A182" s="231"/>
      <c r="B182" s="251">
        <v>2</v>
      </c>
      <c r="C182" s="251" t="s">
        <v>24</v>
      </c>
      <c r="D182" s="251" t="s">
        <v>19</v>
      </c>
      <c r="E182" s="251" t="str">
        <f t="shared" si="12"/>
        <v>10F</v>
      </c>
      <c r="F182" s="252" t="s">
        <v>158</v>
      </c>
      <c r="G182" s="252" t="s">
        <v>105</v>
      </c>
      <c r="H182" s="252" t="s">
        <v>117</v>
      </c>
      <c r="I182" s="253">
        <v>0</v>
      </c>
      <c r="J182" s="254" t="str">
        <f t="shared" si="10"/>
        <v>EUR10F15Y_Quote</v>
      </c>
      <c r="K182" s="255"/>
      <c r="L182" s="256" t="str">
        <f>_xll.ohRangeRetrieveError(K182)</f>
        <v/>
      </c>
      <c r="M182" s="239"/>
      <c r="O182" s="275"/>
    </row>
    <row r="183" spans="1:15" ht="11.25" customHeight="1" x14ac:dyDescent="0.25">
      <c r="A183" s="231"/>
      <c r="B183" s="251">
        <v>2</v>
      </c>
      <c r="C183" s="251" t="s">
        <v>24</v>
      </c>
      <c r="D183" s="251" t="s">
        <v>14</v>
      </c>
      <c r="E183" s="251" t="str">
        <f t="shared" si="12"/>
        <v>10F</v>
      </c>
      <c r="F183" s="252" t="s">
        <v>158</v>
      </c>
      <c r="G183" s="252" t="s">
        <v>105</v>
      </c>
      <c r="H183" s="252" t="s">
        <v>117</v>
      </c>
      <c r="I183" s="253">
        <v>0</v>
      </c>
      <c r="J183" s="254" t="str">
        <f t="shared" si="10"/>
        <v>EUR10F20Y_Quote</v>
      </c>
      <c r="K183" s="255"/>
      <c r="L183" s="256" t="str">
        <f>_xll.ohRangeRetrieveError(K183)</f>
        <v/>
      </c>
      <c r="M183" s="239"/>
      <c r="O183" s="275"/>
    </row>
    <row r="184" spans="1:15" ht="11.25" customHeight="1" x14ac:dyDescent="0.25">
      <c r="A184" s="231"/>
      <c r="B184" s="251">
        <v>2</v>
      </c>
      <c r="C184" s="251" t="s">
        <v>24</v>
      </c>
      <c r="D184" s="251" t="s">
        <v>9</v>
      </c>
      <c r="E184" s="251" t="str">
        <f t="shared" si="12"/>
        <v>10F</v>
      </c>
      <c r="F184" s="252" t="s">
        <v>158</v>
      </c>
      <c r="G184" s="252" t="s">
        <v>105</v>
      </c>
      <c r="H184" s="252" t="s">
        <v>117</v>
      </c>
      <c r="I184" s="253">
        <v>0</v>
      </c>
      <c r="J184" s="254" t="str">
        <f t="shared" si="10"/>
        <v>EUR10F25Y_Quote</v>
      </c>
      <c r="K184" s="255"/>
      <c r="L184" s="256" t="str">
        <f>_xll.ohRangeRetrieveError(K184)</f>
        <v/>
      </c>
      <c r="M184" s="239"/>
      <c r="O184" s="275"/>
    </row>
    <row r="185" spans="1:15" ht="11.25" customHeight="1" x14ac:dyDescent="0.25">
      <c r="A185" s="231"/>
      <c r="B185" s="261">
        <v>2</v>
      </c>
      <c r="C185" s="261" t="s">
        <v>24</v>
      </c>
      <c r="D185" s="261" t="s">
        <v>4</v>
      </c>
      <c r="E185" s="261" t="str">
        <f t="shared" si="12"/>
        <v>10F</v>
      </c>
      <c r="F185" s="262" t="s">
        <v>158</v>
      </c>
      <c r="G185" s="262" t="s">
        <v>105</v>
      </c>
      <c r="H185" s="262" t="s">
        <v>117</v>
      </c>
      <c r="I185" s="263">
        <v>0</v>
      </c>
      <c r="J185" s="264" t="str">
        <f t="shared" si="10"/>
        <v>EUR10F30Y_Quote</v>
      </c>
      <c r="K185" s="265"/>
      <c r="L185" s="266" t="str">
        <f>_xll.ohRangeRetrieveError(K185)</f>
        <v/>
      </c>
      <c r="M185" s="239"/>
      <c r="O185" s="275"/>
    </row>
    <row r="186" spans="1:15" ht="11.25" customHeight="1" x14ac:dyDescent="0.25">
      <c r="A186" s="231"/>
      <c r="B186" s="243">
        <v>2</v>
      </c>
      <c r="C186" s="243" t="s">
        <v>23</v>
      </c>
      <c r="D186" s="243" t="s">
        <v>36</v>
      </c>
      <c r="E186" s="243" t="str">
        <f>LEFT(C186,2)&amp;"F"</f>
        <v>11F</v>
      </c>
      <c r="F186" s="244" t="s">
        <v>158</v>
      </c>
      <c r="G186" s="244" t="s">
        <v>105</v>
      </c>
      <c r="H186" s="244" t="s">
        <v>117</v>
      </c>
      <c r="I186" s="245">
        <v>0</v>
      </c>
      <c r="J186" s="246" t="str">
        <f t="shared" si="10"/>
        <v>EUR11F1Y_Quote</v>
      </c>
      <c r="K186" s="247"/>
      <c r="L186" s="248" t="str">
        <f>_xll.ohRangeRetrieveError(K186)</f>
        <v/>
      </c>
      <c r="M186" s="239"/>
      <c r="O186" s="275"/>
    </row>
    <row r="187" spans="1:15" ht="11.25" customHeight="1" x14ac:dyDescent="0.25">
      <c r="A187" s="231"/>
      <c r="B187" s="251">
        <v>2</v>
      </c>
      <c r="C187" s="251" t="s">
        <v>23</v>
      </c>
      <c r="D187" s="251" t="s">
        <v>32</v>
      </c>
      <c r="E187" s="251" t="str">
        <f t="shared" ref="E187:E203" si="13">LEFT(C187,2)&amp;"F"</f>
        <v>11F</v>
      </c>
      <c r="F187" s="252" t="s">
        <v>158</v>
      </c>
      <c r="G187" s="252" t="s">
        <v>105</v>
      </c>
      <c r="H187" s="252" t="s">
        <v>117</v>
      </c>
      <c r="I187" s="253">
        <v>0</v>
      </c>
      <c r="J187" s="254" t="str">
        <f t="shared" si="10"/>
        <v>EUR11F2Y_Quote</v>
      </c>
      <c r="K187" s="255"/>
      <c r="L187" s="256" t="str">
        <f>_xll.ohRangeRetrieveError(K187)</f>
        <v/>
      </c>
      <c r="M187" s="239"/>
      <c r="O187" s="275"/>
    </row>
    <row r="188" spans="1:15" ht="11.25" customHeight="1" x14ac:dyDescent="0.25">
      <c r="A188" s="231"/>
      <c r="B188" s="251">
        <v>2</v>
      </c>
      <c r="C188" s="251" t="s">
        <v>23</v>
      </c>
      <c r="D188" s="251" t="s">
        <v>31</v>
      </c>
      <c r="E188" s="251" t="str">
        <f t="shared" si="13"/>
        <v>11F</v>
      </c>
      <c r="F188" s="252" t="s">
        <v>158</v>
      </c>
      <c r="G188" s="252" t="s">
        <v>105</v>
      </c>
      <c r="H188" s="252" t="s">
        <v>117</v>
      </c>
      <c r="I188" s="253">
        <v>0</v>
      </c>
      <c r="J188" s="254" t="str">
        <f t="shared" si="10"/>
        <v>EUR11F3Y_Quote</v>
      </c>
      <c r="K188" s="255"/>
      <c r="L188" s="256" t="str">
        <f>_xll.ohRangeRetrieveError(K188)</f>
        <v/>
      </c>
      <c r="M188" s="239"/>
      <c r="O188" s="275"/>
    </row>
    <row r="189" spans="1:15" ht="11.25" customHeight="1" x14ac:dyDescent="0.25">
      <c r="A189" s="231"/>
      <c r="B189" s="251">
        <v>2</v>
      </c>
      <c r="C189" s="251" t="s">
        <v>23</v>
      </c>
      <c r="D189" s="251" t="s">
        <v>30</v>
      </c>
      <c r="E189" s="251" t="str">
        <f t="shared" si="13"/>
        <v>11F</v>
      </c>
      <c r="F189" s="252" t="s">
        <v>158</v>
      </c>
      <c r="G189" s="252" t="s">
        <v>105</v>
      </c>
      <c r="H189" s="252" t="s">
        <v>117</v>
      </c>
      <c r="I189" s="253">
        <v>0</v>
      </c>
      <c r="J189" s="254" t="str">
        <f t="shared" si="10"/>
        <v>EUR11F4Y_Quote</v>
      </c>
      <c r="K189" s="255"/>
      <c r="L189" s="256" t="str">
        <f>_xll.ohRangeRetrieveError(K189)</f>
        <v/>
      </c>
      <c r="M189" s="239"/>
      <c r="O189" s="275"/>
    </row>
    <row r="190" spans="1:15" ht="11.25" customHeight="1" x14ac:dyDescent="0.25">
      <c r="A190" s="231"/>
      <c r="B190" s="251">
        <v>2</v>
      </c>
      <c r="C190" s="251" t="s">
        <v>23</v>
      </c>
      <c r="D190" s="251" t="s">
        <v>29</v>
      </c>
      <c r="E190" s="251" t="str">
        <f t="shared" si="13"/>
        <v>11F</v>
      </c>
      <c r="F190" s="252" t="s">
        <v>158</v>
      </c>
      <c r="G190" s="252" t="s">
        <v>105</v>
      </c>
      <c r="H190" s="252" t="s">
        <v>117</v>
      </c>
      <c r="I190" s="253">
        <v>0</v>
      </c>
      <c r="J190" s="254" t="str">
        <f t="shared" si="10"/>
        <v>EUR11F5Y_Quote</v>
      </c>
      <c r="K190" s="255"/>
      <c r="L190" s="256" t="str">
        <f>_xll.ohRangeRetrieveError(K190)</f>
        <v/>
      </c>
      <c r="M190" s="239"/>
      <c r="O190" s="275"/>
    </row>
    <row r="191" spans="1:15" ht="11.25" customHeight="1" x14ac:dyDescent="0.25">
      <c r="A191" s="231"/>
      <c r="B191" s="251">
        <v>2</v>
      </c>
      <c r="C191" s="251" t="s">
        <v>23</v>
      </c>
      <c r="D191" s="251" t="s">
        <v>28</v>
      </c>
      <c r="E191" s="251" t="str">
        <f t="shared" si="13"/>
        <v>11F</v>
      </c>
      <c r="F191" s="252" t="s">
        <v>158</v>
      </c>
      <c r="G191" s="252" t="s">
        <v>105</v>
      </c>
      <c r="H191" s="252" t="s">
        <v>117</v>
      </c>
      <c r="I191" s="253">
        <v>0</v>
      </c>
      <c r="J191" s="254" t="str">
        <f t="shared" si="10"/>
        <v>EUR11F6Y_Quote</v>
      </c>
      <c r="K191" s="255"/>
      <c r="L191" s="256" t="str">
        <f>_xll.ohRangeRetrieveError(K191)</f>
        <v/>
      </c>
      <c r="M191" s="239"/>
      <c r="O191" s="275"/>
    </row>
    <row r="192" spans="1:15" ht="11.25" customHeight="1" x14ac:dyDescent="0.25">
      <c r="A192" s="231"/>
      <c r="B192" s="251">
        <v>2</v>
      </c>
      <c r="C192" s="251" t="s">
        <v>23</v>
      </c>
      <c r="D192" s="251" t="s">
        <v>27</v>
      </c>
      <c r="E192" s="251" t="str">
        <f t="shared" si="13"/>
        <v>11F</v>
      </c>
      <c r="F192" s="252" t="s">
        <v>158</v>
      </c>
      <c r="G192" s="252" t="s">
        <v>105</v>
      </c>
      <c r="H192" s="252" t="s">
        <v>117</v>
      </c>
      <c r="I192" s="253">
        <v>0</v>
      </c>
      <c r="J192" s="254" t="str">
        <f t="shared" si="10"/>
        <v>EUR11F7Y_Quote</v>
      </c>
      <c r="K192" s="255"/>
      <c r="L192" s="256" t="str">
        <f>_xll.ohRangeRetrieveError(K192)</f>
        <v/>
      </c>
      <c r="M192" s="239"/>
      <c r="O192" s="275"/>
    </row>
    <row r="193" spans="1:15" ht="11.25" customHeight="1" x14ac:dyDescent="0.25">
      <c r="A193" s="231"/>
      <c r="B193" s="251">
        <v>2</v>
      </c>
      <c r="C193" s="251" t="s">
        <v>23</v>
      </c>
      <c r="D193" s="251" t="s">
        <v>26</v>
      </c>
      <c r="E193" s="251" t="str">
        <f t="shared" si="13"/>
        <v>11F</v>
      </c>
      <c r="F193" s="252" t="s">
        <v>158</v>
      </c>
      <c r="G193" s="252" t="s">
        <v>105</v>
      </c>
      <c r="H193" s="252" t="s">
        <v>117</v>
      </c>
      <c r="I193" s="253">
        <v>0</v>
      </c>
      <c r="J193" s="254" t="str">
        <f t="shared" si="10"/>
        <v>EUR11F8Y_Quote</v>
      </c>
      <c r="K193" s="255"/>
      <c r="L193" s="256" t="str">
        <f>_xll.ohRangeRetrieveError(K193)</f>
        <v/>
      </c>
      <c r="M193" s="239"/>
      <c r="O193" s="275"/>
    </row>
    <row r="194" spans="1:15" ht="11.25" customHeight="1" x14ac:dyDescent="0.25">
      <c r="A194" s="231"/>
      <c r="B194" s="251">
        <v>2</v>
      </c>
      <c r="C194" s="251" t="s">
        <v>23</v>
      </c>
      <c r="D194" s="251" t="s">
        <v>25</v>
      </c>
      <c r="E194" s="251" t="str">
        <f t="shared" si="13"/>
        <v>11F</v>
      </c>
      <c r="F194" s="252" t="s">
        <v>158</v>
      </c>
      <c r="G194" s="252" t="s">
        <v>105</v>
      </c>
      <c r="H194" s="252" t="s">
        <v>117</v>
      </c>
      <c r="I194" s="253">
        <v>0</v>
      </c>
      <c r="J194" s="254" t="str">
        <f t="shared" si="10"/>
        <v>EUR11F9Y_Quote</v>
      </c>
      <c r="K194" s="255"/>
      <c r="L194" s="256" t="str">
        <f>_xll.ohRangeRetrieveError(K194)</f>
        <v/>
      </c>
      <c r="M194" s="239"/>
      <c r="O194" s="275"/>
    </row>
    <row r="195" spans="1:15" ht="11.25" customHeight="1" x14ac:dyDescent="0.25">
      <c r="A195" s="231"/>
      <c r="B195" s="251">
        <v>2</v>
      </c>
      <c r="C195" s="251" t="s">
        <v>23</v>
      </c>
      <c r="D195" s="251" t="s">
        <v>24</v>
      </c>
      <c r="E195" s="251" t="str">
        <f t="shared" si="13"/>
        <v>11F</v>
      </c>
      <c r="F195" s="252" t="s">
        <v>158</v>
      </c>
      <c r="G195" s="252" t="s">
        <v>105</v>
      </c>
      <c r="H195" s="252" t="s">
        <v>117</v>
      </c>
      <c r="I195" s="253">
        <v>0</v>
      </c>
      <c r="J195" s="254" t="str">
        <f t="shared" si="10"/>
        <v>EUR11F10Y_Quote</v>
      </c>
      <c r="K195" s="255"/>
      <c r="L195" s="256" t="str">
        <f>_xll.ohRangeRetrieveError(K195)</f>
        <v/>
      </c>
      <c r="M195" s="239"/>
      <c r="O195" s="275"/>
    </row>
    <row r="196" spans="1:15" ht="11.25" customHeight="1" x14ac:dyDescent="0.25">
      <c r="A196" s="231"/>
      <c r="B196" s="251">
        <v>2</v>
      </c>
      <c r="C196" s="251" t="s">
        <v>23</v>
      </c>
      <c r="D196" s="251" t="s">
        <v>23</v>
      </c>
      <c r="E196" s="251" t="str">
        <f t="shared" si="13"/>
        <v>11F</v>
      </c>
      <c r="F196" s="252" t="s">
        <v>158</v>
      </c>
      <c r="G196" s="252" t="s">
        <v>105</v>
      </c>
      <c r="H196" s="252" t="s">
        <v>117</v>
      </c>
      <c r="I196" s="253">
        <v>0</v>
      </c>
      <c r="J196" s="254" t="str">
        <f t="shared" si="10"/>
        <v>EUR11F11Y_Quote</v>
      </c>
      <c r="K196" s="255"/>
      <c r="L196" s="256" t="str">
        <f>_xll.ohRangeRetrieveError(K196)</f>
        <v/>
      </c>
      <c r="M196" s="239"/>
      <c r="O196" s="275"/>
    </row>
    <row r="197" spans="1:15" ht="11.25" customHeight="1" x14ac:dyDescent="0.25">
      <c r="A197" s="231"/>
      <c r="B197" s="251">
        <v>2</v>
      </c>
      <c r="C197" s="251" t="s">
        <v>23</v>
      </c>
      <c r="D197" s="251" t="s">
        <v>22</v>
      </c>
      <c r="E197" s="251" t="str">
        <f t="shared" si="13"/>
        <v>11F</v>
      </c>
      <c r="F197" s="252" t="s">
        <v>158</v>
      </c>
      <c r="G197" s="252" t="s">
        <v>105</v>
      </c>
      <c r="H197" s="252" t="s">
        <v>117</v>
      </c>
      <c r="I197" s="253">
        <v>0</v>
      </c>
      <c r="J197" s="254" t="str">
        <f t="shared" si="10"/>
        <v>EUR11F12Y_Quote</v>
      </c>
      <c r="K197" s="255"/>
      <c r="L197" s="256" t="str">
        <f>_xll.ohRangeRetrieveError(K197)</f>
        <v/>
      </c>
      <c r="M197" s="239"/>
      <c r="O197" s="275"/>
    </row>
    <row r="198" spans="1:15" ht="11.25" customHeight="1" x14ac:dyDescent="0.25">
      <c r="A198" s="231"/>
      <c r="B198" s="251">
        <v>2</v>
      </c>
      <c r="C198" s="251" t="s">
        <v>23</v>
      </c>
      <c r="D198" s="251" t="s">
        <v>21</v>
      </c>
      <c r="E198" s="251" t="str">
        <f t="shared" si="13"/>
        <v>11F</v>
      </c>
      <c r="F198" s="252" t="s">
        <v>158</v>
      </c>
      <c r="G198" s="252" t="s">
        <v>105</v>
      </c>
      <c r="H198" s="252" t="s">
        <v>117</v>
      </c>
      <c r="I198" s="253">
        <v>0</v>
      </c>
      <c r="J198" s="254" t="str">
        <f t="shared" ref="J198:J261" si="14">Currency&amp;$E198&amp;$D198&amp;QuoteSuffix</f>
        <v>EUR11F13Y_Quote</v>
      </c>
      <c r="K198" s="255"/>
      <c r="L198" s="256" t="str">
        <f>_xll.ohRangeRetrieveError(K198)</f>
        <v/>
      </c>
      <c r="M198" s="239"/>
      <c r="O198" s="275"/>
    </row>
    <row r="199" spans="1:15" ht="11.25" customHeight="1" x14ac:dyDescent="0.25">
      <c r="A199" s="231"/>
      <c r="B199" s="251">
        <v>2</v>
      </c>
      <c r="C199" s="251" t="s">
        <v>23</v>
      </c>
      <c r="D199" s="251" t="s">
        <v>20</v>
      </c>
      <c r="E199" s="251" t="str">
        <f t="shared" si="13"/>
        <v>11F</v>
      </c>
      <c r="F199" s="252" t="s">
        <v>158</v>
      </c>
      <c r="G199" s="252" t="s">
        <v>105</v>
      </c>
      <c r="H199" s="252" t="s">
        <v>117</v>
      </c>
      <c r="I199" s="253">
        <v>0</v>
      </c>
      <c r="J199" s="254" t="str">
        <f t="shared" si="14"/>
        <v>EUR11F14Y_Quote</v>
      </c>
      <c r="K199" s="255"/>
      <c r="L199" s="256" t="str">
        <f>_xll.ohRangeRetrieveError(K199)</f>
        <v/>
      </c>
      <c r="M199" s="239"/>
      <c r="O199" s="275"/>
    </row>
    <row r="200" spans="1:15" ht="11.25" customHeight="1" x14ac:dyDescent="0.25">
      <c r="A200" s="231"/>
      <c r="B200" s="251">
        <v>2</v>
      </c>
      <c r="C200" s="251" t="s">
        <v>23</v>
      </c>
      <c r="D200" s="251" t="s">
        <v>19</v>
      </c>
      <c r="E200" s="251" t="str">
        <f t="shared" si="13"/>
        <v>11F</v>
      </c>
      <c r="F200" s="252" t="s">
        <v>158</v>
      </c>
      <c r="G200" s="252" t="s">
        <v>105</v>
      </c>
      <c r="H200" s="252" t="s">
        <v>117</v>
      </c>
      <c r="I200" s="253">
        <v>0</v>
      </c>
      <c r="J200" s="254" t="str">
        <f t="shared" si="14"/>
        <v>EUR11F15Y_Quote</v>
      </c>
      <c r="K200" s="255"/>
      <c r="L200" s="256" t="str">
        <f>_xll.ohRangeRetrieveError(K200)</f>
        <v/>
      </c>
      <c r="M200" s="239"/>
      <c r="O200" s="275"/>
    </row>
    <row r="201" spans="1:15" ht="11.25" customHeight="1" x14ac:dyDescent="0.25">
      <c r="A201" s="231"/>
      <c r="B201" s="251">
        <v>2</v>
      </c>
      <c r="C201" s="251" t="s">
        <v>23</v>
      </c>
      <c r="D201" s="251" t="s">
        <v>14</v>
      </c>
      <c r="E201" s="251" t="str">
        <f t="shared" si="13"/>
        <v>11F</v>
      </c>
      <c r="F201" s="252" t="s">
        <v>158</v>
      </c>
      <c r="G201" s="252" t="s">
        <v>105</v>
      </c>
      <c r="H201" s="252" t="s">
        <v>117</v>
      </c>
      <c r="I201" s="253">
        <v>0</v>
      </c>
      <c r="J201" s="254" t="str">
        <f t="shared" si="14"/>
        <v>EUR11F20Y_Quote</v>
      </c>
      <c r="K201" s="255"/>
      <c r="L201" s="256" t="str">
        <f>_xll.ohRangeRetrieveError(K201)</f>
        <v/>
      </c>
      <c r="M201" s="239"/>
      <c r="O201" s="275"/>
    </row>
    <row r="202" spans="1:15" ht="11.25" customHeight="1" x14ac:dyDescent="0.25">
      <c r="A202" s="231"/>
      <c r="B202" s="251">
        <v>2</v>
      </c>
      <c r="C202" s="251" t="s">
        <v>23</v>
      </c>
      <c r="D202" s="251" t="s">
        <v>9</v>
      </c>
      <c r="E202" s="251" t="str">
        <f t="shared" si="13"/>
        <v>11F</v>
      </c>
      <c r="F202" s="252" t="s">
        <v>158</v>
      </c>
      <c r="G202" s="252" t="s">
        <v>105</v>
      </c>
      <c r="H202" s="252" t="s">
        <v>117</v>
      </c>
      <c r="I202" s="253">
        <v>0</v>
      </c>
      <c r="J202" s="254" t="str">
        <f t="shared" si="14"/>
        <v>EUR11F25Y_Quote</v>
      </c>
      <c r="K202" s="255"/>
      <c r="L202" s="256" t="str">
        <f>_xll.ohRangeRetrieveError(K202)</f>
        <v/>
      </c>
      <c r="M202" s="239"/>
      <c r="O202" s="275"/>
    </row>
    <row r="203" spans="1:15" ht="11.25" customHeight="1" x14ac:dyDescent="0.25">
      <c r="A203" s="231"/>
      <c r="B203" s="261">
        <v>2</v>
      </c>
      <c r="C203" s="261" t="s">
        <v>23</v>
      </c>
      <c r="D203" s="261" t="s">
        <v>4</v>
      </c>
      <c r="E203" s="261" t="str">
        <f t="shared" si="13"/>
        <v>11F</v>
      </c>
      <c r="F203" s="262" t="s">
        <v>158</v>
      </c>
      <c r="G203" s="262" t="s">
        <v>105</v>
      </c>
      <c r="H203" s="262" t="s">
        <v>117</v>
      </c>
      <c r="I203" s="263">
        <v>0</v>
      </c>
      <c r="J203" s="264" t="str">
        <f t="shared" si="14"/>
        <v>EUR11F30Y_Quote</v>
      </c>
      <c r="K203" s="265"/>
      <c r="L203" s="266" t="str">
        <f>_xll.ohRangeRetrieveError(K203)</f>
        <v/>
      </c>
      <c r="M203" s="239"/>
      <c r="O203" s="275"/>
    </row>
    <row r="204" spans="1:15" ht="11.25" customHeight="1" x14ac:dyDescent="0.25">
      <c r="A204" s="231"/>
      <c r="B204" s="243">
        <v>2</v>
      </c>
      <c r="C204" s="243" t="s">
        <v>22</v>
      </c>
      <c r="D204" s="243" t="s">
        <v>36</v>
      </c>
      <c r="E204" s="243" t="str">
        <f>LEFT(C204,2)&amp;"F"</f>
        <v>12F</v>
      </c>
      <c r="F204" s="244" t="s">
        <v>158</v>
      </c>
      <c r="G204" s="244" t="s">
        <v>105</v>
      </c>
      <c r="H204" s="244" t="s">
        <v>117</v>
      </c>
      <c r="I204" s="245">
        <v>0</v>
      </c>
      <c r="J204" s="246" t="str">
        <f t="shared" si="14"/>
        <v>EUR12F1Y_Quote</v>
      </c>
      <c r="K204" s="247"/>
      <c r="L204" s="248" t="str">
        <f>_xll.ohRangeRetrieveError(K204)</f>
        <v/>
      </c>
      <c r="M204" s="239"/>
      <c r="O204" s="275"/>
    </row>
    <row r="205" spans="1:15" ht="11.25" customHeight="1" x14ac:dyDescent="0.25">
      <c r="A205" s="231"/>
      <c r="B205" s="251">
        <v>2</v>
      </c>
      <c r="C205" s="251" t="s">
        <v>22</v>
      </c>
      <c r="D205" s="251" t="s">
        <v>32</v>
      </c>
      <c r="E205" s="251" t="str">
        <f t="shared" ref="E205:E221" si="15">LEFT(C205,2)&amp;"F"</f>
        <v>12F</v>
      </c>
      <c r="F205" s="252" t="s">
        <v>158</v>
      </c>
      <c r="G205" s="252" t="s">
        <v>105</v>
      </c>
      <c r="H205" s="252" t="s">
        <v>117</v>
      </c>
      <c r="I205" s="253">
        <v>0</v>
      </c>
      <c r="J205" s="254" t="str">
        <f t="shared" si="14"/>
        <v>EUR12F2Y_Quote</v>
      </c>
      <c r="K205" s="255"/>
      <c r="L205" s="256" t="str">
        <f>_xll.ohRangeRetrieveError(K205)</f>
        <v/>
      </c>
      <c r="M205" s="239"/>
      <c r="O205" s="275"/>
    </row>
    <row r="206" spans="1:15" ht="11.25" customHeight="1" x14ac:dyDescent="0.25">
      <c r="A206" s="231"/>
      <c r="B206" s="251">
        <v>2</v>
      </c>
      <c r="C206" s="251" t="s">
        <v>22</v>
      </c>
      <c r="D206" s="251" t="s">
        <v>31</v>
      </c>
      <c r="E206" s="251" t="str">
        <f t="shared" si="15"/>
        <v>12F</v>
      </c>
      <c r="F206" s="252" t="s">
        <v>158</v>
      </c>
      <c r="G206" s="252" t="s">
        <v>105</v>
      </c>
      <c r="H206" s="252" t="s">
        <v>117</v>
      </c>
      <c r="I206" s="253">
        <v>0</v>
      </c>
      <c r="J206" s="254" t="str">
        <f t="shared" si="14"/>
        <v>EUR12F3Y_Quote</v>
      </c>
      <c r="K206" s="255"/>
      <c r="L206" s="256" t="str">
        <f>_xll.ohRangeRetrieveError(K206)</f>
        <v/>
      </c>
      <c r="M206" s="239"/>
      <c r="O206" s="275"/>
    </row>
    <row r="207" spans="1:15" ht="11.25" customHeight="1" x14ac:dyDescent="0.25">
      <c r="A207" s="231"/>
      <c r="B207" s="251">
        <v>2</v>
      </c>
      <c r="C207" s="251" t="s">
        <v>22</v>
      </c>
      <c r="D207" s="251" t="s">
        <v>30</v>
      </c>
      <c r="E207" s="251" t="str">
        <f t="shared" si="15"/>
        <v>12F</v>
      </c>
      <c r="F207" s="252" t="s">
        <v>158</v>
      </c>
      <c r="G207" s="252" t="s">
        <v>105</v>
      </c>
      <c r="H207" s="252" t="s">
        <v>117</v>
      </c>
      <c r="I207" s="253">
        <v>0</v>
      </c>
      <c r="J207" s="254" t="str">
        <f t="shared" si="14"/>
        <v>EUR12F4Y_Quote</v>
      </c>
      <c r="K207" s="255"/>
      <c r="L207" s="256" t="str">
        <f>_xll.ohRangeRetrieveError(K207)</f>
        <v/>
      </c>
      <c r="M207" s="239"/>
      <c r="O207" s="275"/>
    </row>
    <row r="208" spans="1:15" ht="11.25" customHeight="1" x14ac:dyDescent="0.25">
      <c r="A208" s="231"/>
      <c r="B208" s="251">
        <v>2</v>
      </c>
      <c r="C208" s="251" t="s">
        <v>22</v>
      </c>
      <c r="D208" s="251" t="s">
        <v>29</v>
      </c>
      <c r="E208" s="251" t="str">
        <f t="shared" si="15"/>
        <v>12F</v>
      </c>
      <c r="F208" s="252" t="s">
        <v>158</v>
      </c>
      <c r="G208" s="252" t="s">
        <v>105</v>
      </c>
      <c r="H208" s="252" t="s">
        <v>117</v>
      </c>
      <c r="I208" s="253">
        <v>0</v>
      </c>
      <c r="J208" s="254" t="str">
        <f t="shared" si="14"/>
        <v>EUR12F5Y_Quote</v>
      </c>
      <c r="K208" s="255"/>
      <c r="L208" s="256" t="str">
        <f>_xll.ohRangeRetrieveError(K208)</f>
        <v/>
      </c>
      <c r="M208" s="239"/>
      <c r="O208" s="275"/>
    </row>
    <row r="209" spans="1:15" ht="11.25" customHeight="1" x14ac:dyDescent="0.25">
      <c r="A209" s="231"/>
      <c r="B209" s="251">
        <v>2</v>
      </c>
      <c r="C209" s="251" t="s">
        <v>22</v>
      </c>
      <c r="D209" s="251" t="s">
        <v>28</v>
      </c>
      <c r="E209" s="251" t="str">
        <f t="shared" si="15"/>
        <v>12F</v>
      </c>
      <c r="F209" s="252" t="s">
        <v>158</v>
      </c>
      <c r="G209" s="252" t="s">
        <v>105</v>
      </c>
      <c r="H209" s="252" t="s">
        <v>117</v>
      </c>
      <c r="I209" s="253">
        <v>0</v>
      </c>
      <c r="J209" s="254" t="str">
        <f t="shared" si="14"/>
        <v>EUR12F6Y_Quote</v>
      </c>
      <c r="K209" s="255"/>
      <c r="L209" s="256" t="str">
        <f>_xll.ohRangeRetrieveError(K209)</f>
        <v/>
      </c>
      <c r="M209" s="239"/>
      <c r="O209" s="275"/>
    </row>
    <row r="210" spans="1:15" ht="11.25" customHeight="1" x14ac:dyDescent="0.25">
      <c r="A210" s="231"/>
      <c r="B210" s="251">
        <v>2</v>
      </c>
      <c r="C210" s="251" t="s">
        <v>22</v>
      </c>
      <c r="D210" s="251" t="s">
        <v>27</v>
      </c>
      <c r="E210" s="251" t="str">
        <f t="shared" si="15"/>
        <v>12F</v>
      </c>
      <c r="F210" s="252" t="s">
        <v>158</v>
      </c>
      <c r="G210" s="252" t="s">
        <v>105</v>
      </c>
      <c r="H210" s="252" t="s">
        <v>117</v>
      </c>
      <c r="I210" s="253">
        <v>0</v>
      </c>
      <c r="J210" s="254" t="str">
        <f t="shared" si="14"/>
        <v>EUR12F7Y_Quote</v>
      </c>
      <c r="K210" s="255"/>
      <c r="L210" s="256" t="str">
        <f>_xll.ohRangeRetrieveError(K210)</f>
        <v/>
      </c>
      <c r="M210" s="239"/>
      <c r="O210" s="275"/>
    </row>
    <row r="211" spans="1:15" ht="11.25" customHeight="1" x14ac:dyDescent="0.25">
      <c r="A211" s="231"/>
      <c r="B211" s="251">
        <v>2</v>
      </c>
      <c r="C211" s="251" t="s">
        <v>22</v>
      </c>
      <c r="D211" s="251" t="s">
        <v>26</v>
      </c>
      <c r="E211" s="251" t="str">
        <f t="shared" si="15"/>
        <v>12F</v>
      </c>
      <c r="F211" s="252" t="s">
        <v>158</v>
      </c>
      <c r="G211" s="252" t="s">
        <v>105</v>
      </c>
      <c r="H211" s="252" t="s">
        <v>117</v>
      </c>
      <c r="I211" s="253">
        <v>0</v>
      </c>
      <c r="J211" s="254" t="str">
        <f t="shared" si="14"/>
        <v>EUR12F8Y_Quote</v>
      </c>
      <c r="K211" s="255"/>
      <c r="L211" s="256" t="str">
        <f>_xll.ohRangeRetrieveError(K211)</f>
        <v/>
      </c>
      <c r="M211" s="239"/>
      <c r="O211" s="275"/>
    </row>
    <row r="212" spans="1:15" ht="11.25" customHeight="1" x14ac:dyDescent="0.25">
      <c r="A212" s="231"/>
      <c r="B212" s="251">
        <v>2</v>
      </c>
      <c r="C212" s="251" t="s">
        <v>22</v>
      </c>
      <c r="D212" s="251" t="s">
        <v>25</v>
      </c>
      <c r="E212" s="251" t="str">
        <f t="shared" si="15"/>
        <v>12F</v>
      </c>
      <c r="F212" s="252" t="s">
        <v>158</v>
      </c>
      <c r="G212" s="252" t="s">
        <v>105</v>
      </c>
      <c r="H212" s="252" t="s">
        <v>117</v>
      </c>
      <c r="I212" s="253">
        <v>0</v>
      </c>
      <c r="J212" s="254" t="str">
        <f t="shared" si="14"/>
        <v>EUR12F9Y_Quote</v>
      </c>
      <c r="K212" s="255"/>
      <c r="L212" s="256" t="str">
        <f>_xll.ohRangeRetrieveError(K212)</f>
        <v/>
      </c>
      <c r="M212" s="239"/>
      <c r="O212" s="275"/>
    </row>
    <row r="213" spans="1:15" ht="11.25" customHeight="1" x14ac:dyDescent="0.25">
      <c r="A213" s="231"/>
      <c r="B213" s="251">
        <v>2</v>
      </c>
      <c r="C213" s="251" t="s">
        <v>22</v>
      </c>
      <c r="D213" s="251" t="s">
        <v>24</v>
      </c>
      <c r="E213" s="251" t="str">
        <f t="shared" si="15"/>
        <v>12F</v>
      </c>
      <c r="F213" s="252" t="s">
        <v>158</v>
      </c>
      <c r="G213" s="252" t="s">
        <v>105</v>
      </c>
      <c r="H213" s="252" t="s">
        <v>117</v>
      </c>
      <c r="I213" s="253">
        <v>0</v>
      </c>
      <c r="J213" s="254" t="str">
        <f t="shared" si="14"/>
        <v>EUR12F10Y_Quote</v>
      </c>
      <c r="K213" s="255"/>
      <c r="L213" s="256" t="str">
        <f>_xll.ohRangeRetrieveError(K213)</f>
        <v/>
      </c>
      <c r="M213" s="239"/>
      <c r="O213" s="275"/>
    </row>
    <row r="214" spans="1:15" ht="11.25" customHeight="1" x14ac:dyDescent="0.25">
      <c r="A214" s="231"/>
      <c r="B214" s="251">
        <v>2</v>
      </c>
      <c r="C214" s="251" t="s">
        <v>22</v>
      </c>
      <c r="D214" s="251" t="s">
        <v>23</v>
      </c>
      <c r="E214" s="251" t="str">
        <f t="shared" si="15"/>
        <v>12F</v>
      </c>
      <c r="F214" s="252" t="s">
        <v>158</v>
      </c>
      <c r="G214" s="252" t="s">
        <v>105</v>
      </c>
      <c r="H214" s="252" t="s">
        <v>117</v>
      </c>
      <c r="I214" s="253">
        <v>0</v>
      </c>
      <c r="J214" s="254" t="str">
        <f t="shared" si="14"/>
        <v>EUR12F11Y_Quote</v>
      </c>
      <c r="K214" s="255"/>
      <c r="L214" s="256" t="str">
        <f>_xll.ohRangeRetrieveError(K214)</f>
        <v/>
      </c>
      <c r="M214" s="239"/>
      <c r="O214" s="275"/>
    </row>
    <row r="215" spans="1:15" ht="11.25" customHeight="1" x14ac:dyDescent="0.25">
      <c r="A215" s="231"/>
      <c r="B215" s="251">
        <v>2</v>
      </c>
      <c r="C215" s="251" t="s">
        <v>22</v>
      </c>
      <c r="D215" s="251" t="s">
        <v>22</v>
      </c>
      <c r="E215" s="251" t="str">
        <f t="shared" si="15"/>
        <v>12F</v>
      </c>
      <c r="F215" s="252" t="s">
        <v>158</v>
      </c>
      <c r="G215" s="252" t="s">
        <v>105</v>
      </c>
      <c r="H215" s="252" t="s">
        <v>117</v>
      </c>
      <c r="I215" s="253">
        <v>0</v>
      </c>
      <c r="J215" s="254" t="str">
        <f t="shared" si="14"/>
        <v>EUR12F12Y_Quote</v>
      </c>
      <c r="K215" s="255"/>
      <c r="L215" s="256" t="str">
        <f>_xll.ohRangeRetrieveError(K215)</f>
        <v/>
      </c>
      <c r="M215" s="239"/>
      <c r="O215" s="275"/>
    </row>
    <row r="216" spans="1:15" ht="11.25" customHeight="1" x14ac:dyDescent="0.25">
      <c r="A216" s="231"/>
      <c r="B216" s="251">
        <v>2</v>
      </c>
      <c r="C216" s="251" t="s">
        <v>22</v>
      </c>
      <c r="D216" s="251" t="s">
        <v>21</v>
      </c>
      <c r="E216" s="251" t="str">
        <f t="shared" si="15"/>
        <v>12F</v>
      </c>
      <c r="F216" s="252" t="s">
        <v>158</v>
      </c>
      <c r="G216" s="252" t="s">
        <v>105</v>
      </c>
      <c r="H216" s="252" t="s">
        <v>117</v>
      </c>
      <c r="I216" s="253">
        <v>0</v>
      </c>
      <c r="J216" s="254" t="str">
        <f t="shared" si="14"/>
        <v>EUR12F13Y_Quote</v>
      </c>
      <c r="K216" s="255"/>
      <c r="L216" s="256" t="str">
        <f>_xll.ohRangeRetrieveError(K216)</f>
        <v/>
      </c>
      <c r="M216" s="239"/>
      <c r="O216" s="275"/>
    </row>
    <row r="217" spans="1:15" ht="11.25" customHeight="1" x14ac:dyDescent="0.25">
      <c r="A217" s="231"/>
      <c r="B217" s="251">
        <v>2</v>
      </c>
      <c r="C217" s="251" t="s">
        <v>22</v>
      </c>
      <c r="D217" s="251" t="s">
        <v>20</v>
      </c>
      <c r="E217" s="251" t="str">
        <f t="shared" si="15"/>
        <v>12F</v>
      </c>
      <c r="F217" s="252" t="s">
        <v>158</v>
      </c>
      <c r="G217" s="252" t="s">
        <v>105</v>
      </c>
      <c r="H217" s="252" t="s">
        <v>117</v>
      </c>
      <c r="I217" s="253">
        <v>0</v>
      </c>
      <c r="J217" s="254" t="str">
        <f t="shared" si="14"/>
        <v>EUR12F14Y_Quote</v>
      </c>
      <c r="K217" s="255"/>
      <c r="L217" s="256" t="str">
        <f>_xll.ohRangeRetrieveError(K217)</f>
        <v/>
      </c>
      <c r="M217" s="239"/>
      <c r="O217" s="275"/>
    </row>
    <row r="218" spans="1:15" ht="11.25" customHeight="1" x14ac:dyDescent="0.25">
      <c r="A218" s="231"/>
      <c r="B218" s="251">
        <v>2</v>
      </c>
      <c r="C218" s="251" t="s">
        <v>22</v>
      </c>
      <c r="D218" s="251" t="s">
        <v>19</v>
      </c>
      <c r="E218" s="251" t="str">
        <f t="shared" si="15"/>
        <v>12F</v>
      </c>
      <c r="F218" s="252" t="s">
        <v>158</v>
      </c>
      <c r="G218" s="252" t="s">
        <v>105</v>
      </c>
      <c r="H218" s="252" t="s">
        <v>117</v>
      </c>
      <c r="I218" s="253">
        <v>0</v>
      </c>
      <c r="J218" s="254" t="str">
        <f t="shared" si="14"/>
        <v>EUR12F15Y_Quote</v>
      </c>
      <c r="K218" s="255"/>
      <c r="L218" s="256" t="str">
        <f>_xll.ohRangeRetrieveError(K218)</f>
        <v/>
      </c>
      <c r="M218" s="239"/>
      <c r="O218" s="275"/>
    </row>
    <row r="219" spans="1:15" ht="11.25" customHeight="1" x14ac:dyDescent="0.25">
      <c r="A219" s="231"/>
      <c r="B219" s="251">
        <v>2</v>
      </c>
      <c r="C219" s="251" t="s">
        <v>22</v>
      </c>
      <c r="D219" s="251" t="s">
        <v>14</v>
      </c>
      <c r="E219" s="251" t="str">
        <f t="shared" si="15"/>
        <v>12F</v>
      </c>
      <c r="F219" s="252" t="s">
        <v>158</v>
      </c>
      <c r="G219" s="252" t="s">
        <v>105</v>
      </c>
      <c r="H219" s="252" t="s">
        <v>117</v>
      </c>
      <c r="I219" s="253">
        <v>0</v>
      </c>
      <c r="J219" s="254" t="str">
        <f t="shared" si="14"/>
        <v>EUR12F20Y_Quote</v>
      </c>
      <c r="K219" s="255"/>
      <c r="L219" s="256" t="str">
        <f>_xll.ohRangeRetrieveError(K219)</f>
        <v/>
      </c>
      <c r="M219" s="239"/>
      <c r="O219" s="275"/>
    </row>
    <row r="220" spans="1:15" ht="11.25" customHeight="1" x14ac:dyDescent="0.25">
      <c r="A220" s="231"/>
      <c r="B220" s="251">
        <v>2</v>
      </c>
      <c r="C220" s="251" t="s">
        <v>22</v>
      </c>
      <c r="D220" s="251" t="s">
        <v>9</v>
      </c>
      <c r="E220" s="251" t="str">
        <f t="shared" si="15"/>
        <v>12F</v>
      </c>
      <c r="F220" s="252" t="s">
        <v>158</v>
      </c>
      <c r="G220" s="252" t="s">
        <v>105</v>
      </c>
      <c r="H220" s="252" t="s">
        <v>117</v>
      </c>
      <c r="I220" s="253">
        <v>0</v>
      </c>
      <c r="J220" s="254" t="str">
        <f t="shared" si="14"/>
        <v>EUR12F25Y_Quote</v>
      </c>
      <c r="K220" s="255"/>
      <c r="L220" s="256" t="str">
        <f>_xll.ohRangeRetrieveError(K220)</f>
        <v/>
      </c>
      <c r="M220" s="239"/>
      <c r="O220" s="275"/>
    </row>
    <row r="221" spans="1:15" ht="11.25" customHeight="1" x14ac:dyDescent="0.25">
      <c r="A221" s="231"/>
      <c r="B221" s="261">
        <v>2</v>
      </c>
      <c r="C221" s="261" t="s">
        <v>22</v>
      </c>
      <c r="D221" s="261" t="s">
        <v>4</v>
      </c>
      <c r="E221" s="261" t="str">
        <f t="shared" si="15"/>
        <v>12F</v>
      </c>
      <c r="F221" s="262" t="s">
        <v>158</v>
      </c>
      <c r="G221" s="262" t="s">
        <v>105</v>
      </c>
      <c r="H221" s="262" t="s">
        <v>117</v>
      </c>
      <c r="I221" s="263">
        <v>0</v>
      </c>
      <c r="J221" s="264" t="str">
        <f t="shared" si="14"/>
        <v>EUR12F30Y_Quote</v>
      </c>
      <c r="K221" s="265"/>
      <c r="L221" s="266" t="str">
        <f>_xll.ohRangeRetrieveError(K221)</f>
        <v/>
      </c>
      <c r="M221" s="239"/>
      <c r="O221" s="275"/>
    </row>
    <row r="222" spans="1:15" ht="11.25" customHeight="1" x14ac:dyDescent="0.25">
      <c r="A222" s="231"/>
      <c r="B222" s="243">
        <v>2</v>
      </c>
      <c r="C222" s="243" t="s">
        <v>21</v>
      </c>
      <c r="D222" s="243" t="s">
        <v>36</v>
      </c>
      <c r="E222" s="243" t="str">
        <f>LEFT(C222,2)&amp;"F"</f>
        <v>13F</v>
      </c>
      <c r="F222" s="244" t="s">
        <v>158</v>
      </c>
      <c r="G222" s="244" t="s">
        <v>105</v>
      </c>
      <c r="H222" s="244" t="s">
        <v>117</v>
      </c>
      <c r="I222" s="245">
        <v>0</v>
      </c>
      <c r="J222" s="246" t="str">
        <f t="shared" si="14"/>
        <v>EUR13F1Y_Quote</v>
      </c>
      <c r="K222" s="247"/>
      <c r="L222" s="248" t="str">
        <f>_xll.ohRangeRetrieveError(K222)</f>
        <v/>
      </c>
      <c r="M222" s="239"/>
      <c r="O222" s="275"/>
    </row>
    <row r="223" spans="1:15" ht="11.25" customHeight="1" x14ac:dyDescent="0.25">
      <c r="A223" s="231"/>
      <c r="B223" s="251">
        <v>2</v>
      </c>
      <c r="C223" s="251" t="s">
        <v>21</v>
      </c>
      <c r="D223" s="251" t="s">
        <v>32</v>
      </c>
      <c r="E223" s="251" t="str">
        <f t="shared" ref="E223:E239" si="16">LEFT(C223,2)&amp;"F"</f>
        <v>13F</v>
      </c>
      <c r="F223" s="252" t="s">
        <v>158</v>
      </c>
      <c r="G223" s="252" t="s">
        <v>105</v>
      </c>
      <c r="H223" s="252" t="s">
        <v>117</v>
      </c>
      <c r="I223" s="253">
        <v>0</v>
      </c>
      <c r="J223" s="254" t="str">
        <f t="shared" si="14"/>
        <v>EUR13F2Y_Quote</v>
      </c>
      <c r="K223" s="255"/>
      <c r="L223" s="256" t="str">
        <f>_xll.ohRangeRetrieveError(K223)</f>
        <v/>
      </c>
      <c r="M223" s="239"/>
      <c r="O223" s="275"/>
    </row>
    <row r="224" spans="1:15" ht="11.25" customHeight="1" x14ac:dyDescent="0.25">
      <c r="A224" s="231"/>
      <c r="B224" s="251">
        <v>2</v>
      </c>
      <c r="C224" s="251" t="s">
        <v>21</v>
      </c>
      <c r="D224" s="251" t="s">
        <v>31</v>
      </c>
      <c r="E224" s="251" t="str">
        <f t="shared" si="16"/>
        <v>13F</v>
      </c>
      <c r="F224" s="252" t="s">
        <v>158</v>
      </c>
      <c r="G224" s="252" t="s">
        <v>105</v>
      </c>
      <c r="H224" s="252" t="s">
        <v>117</v>
      </c>
      <c r="I224" s="253">
        <v>0</v>
      </c>
      <c r="J224" s="254" t="str">
        <f t="shared" si="14"/>
        <v>EUR13F3Y_Quote</v>
      </c>
      <c r="K224" s="255"/>
      <c r="L224" s="256" t="str">
        <f>_xll.ohRangeRetrieveError(K224)</f>
        <v/>
      </c>
      <c r="M224" s="239"/>
      <c r="O224" s="275"/>
    </row>
    <row r="225" spans="1:15" ht="11.25" customHeight="1" x14ac:dyDescent="0.25">
      <c r="A225" s="231"/>
      <c r="B225" s="251">
        <v>2</v>
      </c>
      <c r="C225" s="251" t="s">
        <v>21</v>
      </c>
      <c r="D225" s="251" t="s">
        <v>30</v>
      </c>
      <c r="E225" s="251" t="str">
        <f t="shared" si="16"/>
        <v>13F</v>
      </c>
      <c r="F225" s="252" t="s">
        <v>158</v>
      </c>
      <c r="G225" s="252" t="s">
        <v>105</v>
      </c>
      <c r="H225" s="252" t="s">
        <v>117</v>
      </c>
      <c r="I225" s="253">
        <v>0</v>
      </c>
      <c r="J225" s="254" t="str">
        <f t="shared" si="14"/>
        <v>EUR13F4Y_Quote</v>
      </c>
      <c r="K225" s="255"/>
      <c r="L225" s="256" t="str">
        <f>_xll.ohRangeRetrieveError(K225)</f>
        <v/>
      </c>
      <c r="M225" s="239"/>
      <c r="O225" s="275"/>
    </row>
    <row r="226" spans="1:15" ht="11.25" customHeight="1" x14ac:dyDescent="0.25">
      <c r="A226" s="231"/>
      <c r="B226" s="251">
        <v>2</v>
      </c>
      <c r="C226" s="251" t="s">
        <v>21</v>
      </c>
      <c r="D226" s="251" t="s">
        <v>29</v>
      </c>
      <c r="E226" s="251" t="str">
        <f t="shared" si="16"/>
        <v>13F</v>
      </c>
      <c r="F226" s="252" t="s">
        <v>158</v>
      </c>
      <c r="G226" s="252" t="s">
        <v>105</v>
      </c>
      <c r="H226" s="252" t="s">
        <v>117</v>
      </c>
      <c r="I226" s="253">
        <v>0</v>
      </c>
      <c r="J226" s="254" t="str">
        <f t="shared" si="14"/>
        <v>EUR13F5Y_Quote</v>
      </c>
      <c r="K226" s="255"/>
      <c r="L226" s="256" t="str">
        <f>_xll.ohRangeRetrieveError(K226)</f>
        <v/>
      </c>
      <c r="M226" s="239"/>
      <c r="O226" s="275"/>
    </row>
    <row r="227" spans="1:15" ht="11.25" customHeight="1" x14ac:dyDescent="0.25">
      <c r="A227" s="231"/>
      <c r="B227" s="251">
        <v>2</v>
      </c>
      <c r="C227" s="251" t="s">
        <v>21</v>
      </c>
      <c r="D227" s="251" t="s">
        <v>28</v>
      </c>
      <c r="E227" s="251" t="str">
        <f t="shared" si="16"/>
        <v>13F</v>
      </c>
      <c r="F227" s="252" t="s">
        <v>158</v>
      </c>
      <c r="G227" s="252" t="s">
        <v>105</v>
      </c>
      <c r="H227" s="252" t="s">
        <v>117</v>
      </c>
      <c r="I227" s="253">
        <v>0</v>
      </c>
      <c r="J227" s="254" t="str">
        <f t="shared" si="14"/>
        <v>EUR13F6Y_Quote</v>
      </c>
      <c r="K227" s="255"/>
      <c r="L227" s="256" t="str">
        <f>_xll.ohRangeRetrieveError(K227)</f>
        <v/>
      </c>
      <c r="M227" s="239"/>
      <c r="O227" s="275"/>
    </row>
    <row r="228" spans="1:15" ht="11.25" customHeight="1" x14ac:dyDescent="0.25">
      <c r="A228" s="231"/>
      <c r="B228" s="251">
        <v>2</v>
      </c>
      <c r="C228" s="251" t="s">
        <v>21</v>
      </c>
      <c r="D228" s="251" t="s">
        <v>27</v>
      </c>
      <c r="E228" s="251" t="str">
        <f t="shared" si="16"/>
        <v>13F</v>
      </c>
      <c r="F228" s="252" t="s">
        <v>158</v>
      </c>
      <c r="G228" s="252" t="s">
        <v>105</v>
      </c>
      <c r="H228" s="252" t="s">
        <v>117</v>
      </c>
      <c r="I228" s="253">
        <v>0</v>
      </c>
      <c r="J228" s="254" t="str">
        <f t="shared" si="14"/>
        <v>EUR13F7Y_Quote</v>
      </c>
      <c r="K228" s="255"/>
      <c r="L228" s="256" t="str">
        <f>_xll.ohRangeRetrieveError(K228)</f>
        <v/>
      </c>
      <c r="M228" s="239"/>
      <c r="O228" s="275"/>
    </row>
    <row r="229" spans="1:15" ht="11.25" customHeight="1" x14ac:dyDescent="0.25">
      <c r="A229" s="231"/>
      <c r="B229" s="251">
        <v>2</v>
      </c>
      <c r="C229" s="251" t="s">
        <v>21</v>
      </c>
      <c r="D229" s="251" t="s">
        <v>26</v>
      </c>
      <c r="E229" s="251" t="str">
        <f t="shared" si="16"/>
        <v>13F</v>
      </c>
      <c r="F229" s="252" t="s">
        <v>158</v>
      </c>
      <c r="G229" s="252" t="s">
        <v>105</v>
      </c>
      <c r="H229" s="252" t="s">
        <v>117</v>
      </c>
      <c r="I229" s="253">
        <v>0</v>
      </c>
      <c r="J229" s="254" t="str">
        <f t="shared" si="14"/>
        <v>EUR13F8Y_Quote</v>
      </c>
      <c r="K229" s="255"/>
      <c r="L229" s="256" t="str">
        <f>_xll.ohRangeRetrieveError(K229)</f>
        <v/>
      </c>
      <c r="M229" s="239"/>
      <c r="O229" s="275"/>
    </row>
    <row r="230" spans="1:15" ht="11.25" customHeight="1" x14ac:dyDescent="0.25">
      <c r="A230" s="231"/>
      <c r="B230" s="251">
        <v>2</v>
      </c>
      <c r="C230" s="251" t="s">
        <v>21</v>
      </c>
      <c r="D230" s="251" t="s">
        <v>25</v>
      </c>
      <c r="E230" s="251" t="str">
        <f t="shared" si="16"/>
        <v>13F</v>
      </c>
      <c r="F230" s="252" t="s">
        <v>158</v>
      </c>
      <c r="G230" s="252" t="s">
        <v>105</v>
      </c>
      <c r="H230" s="252" t="s">
        <v>117</v>
      </c>
      <c r="I230" s="253">
        <v>0</v>
      </c>
      <c r="J230" s="254" t="str">
        <f t="shared" si="14"/>
        <v>EUR13F9Y_Quote</v>
      </c>
      <c r="K230" s="255"/>
      <c r="L230" s="256" t="str">
        <f>_xll.ohRangeRetrieveError(K230)</f>
        <v/>
      </c>
      <c r="M230" s="239"/>
      <c r="O230" s="275"/>
    </row>
    <row r="231" spans="1:15" ht="11.25" customHeight="1" x14ac:dyDescent="0.25">
      <c r="A231" s="231"/>
      <c r="B231" s="251">
        <v>2</v>
      </c>
      <c r="C231" s="251" t="s">
        <v>21</v>
      </c>
      <c r="D231" s="251" t="s">
        <v>24</v>
      </c>
      <c r="E231" s="251" t="str">
        <f t="shared" si="16"/>
        <v>13F</v>
      </c>
      <c r="F231" s="252" t="s">
        <v>158</v>
      </c>
      <c r="G231" s="252" t="s">
        <v>105</v>
      </c>
      <c r="H231" s="252" t="s">
        <v>117</v>
      </c>
      <c r="I231" s="253">
        <v>0</v>
      </c>
      <c r="J231" s="254" t="str">
        <f t="shared" si="14"/>
        <v>EUR13F10Y_Quote</v>
      </c>
      <c r="K231" s="255"/>
      <c r="L231" s="256" t="str">
        <f>_xll.ohRangeRetrieveError(K231)</f>
        <v/>
      </c>
      <c r="M231" s="239"/>
      <c r="O231" s="275"/>
    </row>
    <row r="232" spans="1:15" ht="11.25" customHeight="1" x14ac:dyDescent="0.25">
      <c r="A232" s="231"/>
      <c r="B232" s="251">
        <v>2</v>
      </c>
      <c r="C232" s="251" t="s">
        <v>21</v>
      </c>
      <c r="D232" s="251" t="s">
        <v>23</v>
      </c>
      <c r="E232" s="251" t="str">
        <f t="shared" si="16"/>
        <v>13F</v>
      </c>
      <c r="F232" s="252" t="s">
        <v>158</v>
      </c>
      <c r="G232" s="252" t="s">
        <v>105</v>
      </c>
      <c r="H232" s="252" t="s">
        <v>117</v>
      </c>
      <c r="I232" s="253">
        <v>0</v>
      </c>
      <c r="J232" s="254" t="str">
        <f t="shared" si="14"/>
        <v>EUR13F11Y_Quote</v>
      </c>
      <c r="K232" s="255"/>
      <c r="L232" s="256" t="str">
        <f>_xll.ohRangeRetrieveError(K232)</f>
        <v/>
      </c>
      <c r="M232" s="239"/>
      <c r="O232" s="275"/>
    </row>
    <row r="233" spans="1:15" ht="11.25" customHeight="1" x14ac:dyDescent="0.25">
      <c r="A233" s="231"/>
      <c r="B233" s="251">
        <v>2</v>
      </c>
      <c r="C233" s="251" t="s">
        <v>21</v>
      </c>
      <c r="D233" s="251" t="s">
        <v>22</v>
      </c>
      <c r="E233" s="251" t="str">
        <f t="shared" si="16"/>
        <v>13F</v>
      </c>
      <c r="F233" s="252" t="s">
        <v>158</v>
      </c>
      <c r="G233" s="252" t="s">
        <v>105</v>
      </c>
      <c r="H233" s="252" t="s">
        <v>117</v>
      </c>
      <c r="I233" s="253">
        <v>0</v>
      </c>
      <c r="J233" s="254" t="str">
        <f t="shared" si="14"/>
        <v>EUR13F12Y_Quote</v>
      </c>
      <c r="K233" s="255"/>
      <c r="L233" s="256" t="str">
        <f>_xll.ohRangeRetrieveError(K233)</f>
        <v/>
      </c>
      <c r="M233" s="239"/>
      <c r="O233" s="275"/>
    </row>
    <row r="234" spans="1:15" ht="11.25" customHeight="1" x14ac:dyDescent="0.25">
      <c r="A234" s="231"/>
      <c r="B234" s="251">
        <v>2</v>
      </c>
      <c r="C234" s="251" t="s">
        <v>21</v>
      </c>
      <c r="D234" s="251" t="s">
        <v>21</v>
      </c>
      <c r="E234" s="251" t="str">
        <f t="shared" si="16"/>
        <v>13F</v>
      </c>
      <c r="F234" s="252" t="s">
        <v>158</v>
      </c>
      <c r="G234" s="252" t="s">
        <v>105</v>
      </c>
      <c r="H234" s="252" t="s">
        <v>117</v>
      </c>
      <c r="I234" s="253">
        <v>0</v>
      </c>
      <c r="J234" s="254" t="str">
        <f t="shared" si="14"/>
        <v>EUR13F13Y_Quote</v>
      </c>
      <c r="K234" s="255"/>
      <c r="L234" s="256" t="str">
        <f>_xll.ohRangeRetrieveError(K234)</f>
        <v/>
      </c>
      <c r="M234" s="239"/>
      <c r="O234" s="275"/>
    </row>
    <row r="235" spans="1:15" ht="11.25" customHeight="1" x14ac:dyDescent="0.25">
      <c r="A235" s="231"/>
      <c r="B235" s="251">
        <v>2</v>
      </c>
      <c r="C235" s="251" t="s">
        <v>21</v>
      </c>
      <c r="D235" s="251" t="s">
        <v>20</v>
      </c>
      <c r="E235" s="251" t="str">
        <f t="shared" si="16"/>
        <v>13F</v>
      </c>
      <c r="F235" s="252" t="s">
        <v>158</v>
      </c>
      <c r="G235" s="252" t="s">
        <v>105</v>
      </c>
      <c r="H235" s="252" t="s">
        <v>117</v>
      </c>
      <c r="I235" s="253">
        <v>0</v>
      </c>
      <c r="J235" s="254" t="str">
        <f t="shared" si="14"/>
        <v>EUR13F14Y_Quote</v>
      </c>
      <c r="K235" s="255"/>
      <c r="L235" s="256" t="str">
        <f>_xll.ohRangeRetrieveError(K235)</f>
        <v/>
      </c>
      <c r="M235" s="239"/>
      <c r="O235" s="275"/>
    </row>
    <row r="236" spans="1:15" ht="11.25" customHeight="1" x14ac:dyDescent="0.25">
      <c r="A236" s="231"/>
      <c r="B236" s="251">
        <v>2</v>
      </c>
      <c r="C236" s="251" t="s">
        <v>21</v>
      </c>
      <c r="D236" s="251" t="s">
        <v>19</v>
      </c>
      <c r="E236" s="251" t="str">
        <f t="shared" si="16"/>
        <v>13F</v>
      </c>
      <c r="F236" s="252" t="s">
        <v>158</v>
      </c>
      <c r="G236" s="252" t="s">
        <v>105</v>
      </c>
      <c r="H236" s="252" t="s">
        <v>117</v>
      </c>
      <c r="I236" s="253">
        <v>0</v>
      </c>
      <c r="J236" s="254" t="str">
        <f t="shared" si="14"/>
        <v>EUR13F15Y_Quote</v>
      </c>
      <c r="K236" s="255"/>
      <c r="L236" s="256" t="str">
        <f>_xll.ohRangeRetrieveError(K236)</f>
        <v/>
      </c>
      <c r="M236" s="239"/>
      <c r="O236" s="275"/>
    </row>
    <row r="237" spans="1:15" ht="11.25" customHeight="1" x14ac:dyDescent="0.25">
      <c r="A237" s="231"/>
      <c r="B237" s="251">
        <v>2</v>
      </c>
      <c r="C237" s="251" t="s">
        <v>21</v>
      </c>
      <c r="D237" s="251" t="s">
        <v>14</v>
      </c>
      <c r="E237" s="251" t="str">
        <f t="shared" si="16"/>
        <v>13F</v>
      </c>
      <c r="F237" s="252" t="s">
        <v>158</v>
      </c>
      <c r="G237" s="252" t="s">
        <v>105</v>
      </c>
      <c r="H237" s="252" t="s">
        <v>117</v>
      </c>
      <c r="I237" s="253">
        <v>0</v>
      </c>
      <c r="J237" s="254" t="str">
        <f t="shared" si="14"/>
        <v>EUR13F20Y_Quote</v>
      </c>
      <c r="K237" s="255"/>
      <c r="L237" s="256" t="str">
        <f>_xll.ohRangeRetrieveError(K237)</f>
        <v/>
      </c>
      <c r="M237" s="239"/>
      <c r="O237" s="275"/>
    </row>
    <row r="238" spans="1:15" ht="11.25" customHeight="1" x14ac:dyDescent="0.25">
      <c r="A238" s="231"/>
      <c r="B238" s="251">
        <v>2</v>
      </c>
      <c r="C238" s="251" t="s">
        <v>21</v>
      </c>
      <c r="D238" s="251" t="s">
        <v>9</v>
      </c>
      <c r="E238" s="251" t="str">
        <f t="shared" si="16"/>
        <v>13F</v>
      </c>
      <c r="F238" s="252" t="s">
        <v>158</v>
      </c>
      <c r="G238" s="252" t="s">
        <v>105</v>
      </c>
      <c r="H238" s="252" t="s">
        <v>117</v>
      </c>
      <c r="I238" s="253">
        <v>0</v>
      </c>
      <c r="J238" s="254" t="str">
        <f t="shared" si="14"/>
        <v>EUR13F25Y_Quote</v>
      </c>
      <c r="K238" s="255"/>
      <c r="L238" s="256" t="str">
        <f>_xll.ohRangeRetrieveError(K238)</f>
        <v/>
      </c>
      <c r="M238" s="239"/>
      <c r="O238" s="275"/>
    </row>
    <row r="239" spans="1:15" ht="11.25" customHeight="1" x14ac:dyDescent="0.25">
      <c r="A239" s="231"/>
      <c r="B239" s="261">
        <v>2</v>
      </c>
      <c r="C239" s="261" t="s">
        <v>21</v>
      </c>
      <c r="D239" s="261" t="s">
        <v>4</v>
      </c>
      <c r="E239" s="261" t="str">
        <f t="shared" si="16"/>
        <v>13F</v>
      </c>
      <c r="F239" s="262" t="s">
        <v>158</v>
      </c>
      <c r="G239" s="262" t="s">
        <v>105</v>
      </c>
      <c r="H239" s="262" t="s">
        <v>117</v>
      </c>
      <c r="I239" s="263">
        <v>0</v>
      </c>
      <c r="J239" s="264" t="str">
        <f t="shared" si="14"/>
        <v>EUR13F30Y_Quote</v>
      </c>
      <c r="K239" s="265"/>
      <c r="L239" s="266" t="str">
        <f>_xll.ohRangeRetrieveError(K239)</f>
        <v/>
      </c>
      <c r="M239" s="239"/>
      <c r="O239" s="275"/>
    </row>
    <row r="240" spans="1:15" ht="11.25" customHeight="1" x14ac:dyDescent="0.25">
      <c r="A240" s="231"/>
      <c r="B240" s="243">
        <v>2</v>
      </c>
      <c r="C240" s="243" t="s">
        <v>20</v>
      </c>
      <c r="D240" s="243" t="s">
        <v>36</v>
      </c>
      <c r="E240" s="243" t="str">
        <f>LEFT(C240,2)&amp;"F"</f>
        <v>14F</v>
      </c>
      <c r="F240" s="244" t="s">
        <v>158</v>
      </c>
      <c r="G240" s="244" t="s">
        <v>105</v>
      </c>
      <c r="H240" s="244" t="s">
        <v>117</v>
      </c>
      <c r="I240" s="245">
        <v>0</v>
      </c>
      <c r="J240" s="246" t="str">
        <f t="shared" si="14"/>
        <v>EUR14F1Y_Quote</v>
      </c>
      <c r="K240" s="247"/>
      <c r="L240" s="248" t="str">
        <f>_xll.ohRangeRetrieveError(K240)</f>
        <v/>
      </c>
      <c r="M240" s="239"/>
      <c r="O240" s="275"/>
    </row>
    <row r="241" spans="1:15" ht="11.25" customHeight="1" x14ac:dyDescent="0.25">
      <c r="A241" s="231"/>
      <c r="B241" s="251">
        <v>2</v>
      </c>
      <c r="C241" s="251" t="s">
        <v>20</v>
      </c>
      <c r="D241" s="251" t="s">
        <v>32</v>
      </c>
      <c r="E241" s="251" t="str">
        <f t="shared" ref="E241:E257" si="17">LEFT(C241,2)&amp;"F"</f>
        <v>14F</v>
      </c>
      <c r="F241" s="252" t="s">
        <v>158</v>
      </c>
      <c r="G241" s="252" t="s">
        <v>105</v>
      </c>
      <c r="H241" s="252" t="s">
        <v>117</v>
      </c>
      <c r="I241" s="253">
        <v>0</v>
      </c>
      <c r="J241" s="254" t="str">
        <f t="shared" si="14"/>
        <v>EUR14F2Y_Quote</v>
      </c>
      <c r="K241" s="255"/>
      <c r="L241" s="256" t="str">
        <f>_xll.ohRangeRetrieveError(K241)</f>
        <v/>
      </c>
      <c r="M241" s="239"/>
      <c r="O241" s="275"/>
    </row>
    <row r="242" spans="1:15" ht="11.25" customHeight="1" x14ac:dyDescent="0.25">
      <c r="A242" s="231"/>
      <c r="B242" s="251">
        <v>2</v>
      </c>
      <c r="C242" s="251" t="s">
        <v>20</v>
      </c>
      <c r="D242" s="251" t="s">
        <v>31</v>
      </c>
      <c r="E242" s="251" t="str">
        <f t="shared" si="17"/>
        <v>14F</v>
      </c>
      <c r="F242" s="252" t="s">
        <v>158</v>
      </c>
      <c r="G242" s="252" t="s">
        <v>105</v>
      </c>
      <c r="H242" s="252" t="s">
        <v>117</v>
      </c>
      <c r="I242" s="253">
        <v>0</v>
      </c>
      <c r="J242" s="254" t="str">
        <f t="shared" si="14"/>
        <v>EUR14F3Y_Quote</v>
      </c>
      <c r="K242" s="255"/>
      <c r="L242" s="256" t="str">
        <f>_xll.ohRangeRetrieveError(K242)</f>
        <v/>
      </c>
      <c r="M242" s="239"/>
      <c r="O242" s="275"/>
    </row>
    <row r="243" spans="1:15" ht="11.25" customHeight="1" x14ac:dyDescent="0.25">
      <c r="A243" s="231"/>
      <c r="B243" s="251">
        <v>2</v>
      </c>
      <c r="C243" s="251" t="s">
        <v>20</v>
      </c>
      <c r="D243" s="251" t="s">
        <v>30</v>
      </c>
      <c r="E243" s="251" t="str">
        <f t="shared" si="17"/>
        <v>14F</v>
      </c>
      <c r="F243" s="252" t="s">
        <v>158</v>
      </c>
      <c r="G243" s="252" t="s">
        <v>105</v>
      </c>
      <c r="H243" s="252" t="s">
        <v>117</v>
      </c>
      <c r="I243" s="253">
        <v>0</v>
      </c>
      <c r="J243" s="254" t="str">
        <f t="shared" si="14"/>
        <v>EUR14F4Y_Quote</v>
      </c>
      <c r="K243" s="255"/>
      <c r="L243" s="256" t="str">
        <f>_xll.ohRangeRetrieveError(K243)</f>
        <v/>
      </c>
      <c r="M243" s="239"/>
      <c r="O243" s="275"/>
    </row>
    <row r="244" spans="1:15" ht="11.25" customHeight="1" x14ac:dyDescent="0.25">
      <c r="A244" s="231"/>
      <c r="B244" s="251">
        <v>2</v>
      </c>
      <c r="C244" s="251" t="s">
        <v>20</v>
      </c>
      <c r="D244" s="251" t="s">
        <v>29</v>
      </c>
      <c r="E244" s="251" t="str">
        <f t="shared" si="17"/>
        <v>14F</v>
      </c>
      <c r="F244" s="252" t="s">
        <v>158</v>
      </c>
      <c r="G244" s="252" t="s">
        <v>105</v>
      </c>
      <c r="H244" s="252" t="s">
        <v>117</v>
      </c>
      <c r="I244" s="253">
        <v>0</v>
      </c>
      <c r="J244" s="254" t="str">
        <f t="shared" si="14"/>
        <v>EUR14F5Y_Quote</v>
      </c>
      <c r="K244" s="255"/>
      <c r="L244" s="256" t="str">
        <f>_xll.ohRangeRetrieveError(K244)</f>
        <v/>
      </c>
      <c r="M244" s="239"/>
      <c r="O244" s="275"/>
    </row>
    <row r="245" spans="1:15" ht="11.25" customHeight="1" x14ac:dyDescent="0.25">
      <c r="A245" s="231"/>
      <c r="B245" s="251">
        <v>2</v>
      </c>
      <c r="C245" s="251" t="s">
        <v>20</v>
      </c>
      <c r="D245" s="251" t="s">
        <v>28</v>
      </c>
      <c r="E245" s="251" t="str">
        <f t="shared" si="17"/>
        <v>14F</v>
      </c>
      <c r="F245" s="252" t="s">
        <v>158</v>
      </c>
      <c r="G245" s="252" t="s">
        <v>105</v>
      </c>
      <c r="H245" s="252" t="s">
        <v>117</v>
      </c>
      <c r="I245" s="253">
        <v>0</v>
      </c>
      <c r="J245" s="254" t="str">
        <f t="shared" si="14"/>
        <v>EUR14F6Y_Quote</v>
      </c>
      <c r="K245" s="255"/>
      <c r="L245" s="256" t="str">
        <f>_xll.ohRangeRetrieveError(K245)</f>
        <v/>
      </c>
      <c r="M245" s="239"/>
      <c r="O245" s="275"/>
    </row>
    <row r="246" spans="1:15" ht="11.25" customHeight="1" x14ac:dyDescent="0.25">
      <c r="A246" s="231"/>
      <c r="B246" s="251">
        <v>2</v>
      </c>
      <c r="C246" s="251" t="s">
        <v>20</v>
      </c>
      <c r="D246" s="251" t="s">
        <v>27</v>
      </c>
      <c r="E246" s="251" t="str">
        <f t="shared" si="17"/>
        <v>14F</v>
      </c>
      <c r="F246" s="252" t="s">
        <v>158</v>
      </c>
      <c r="G246" s="252" t="s">
        <v>105</v>
      </c>
      <c r="H246" s="252" t="s">
        <v>117</v>
      </c>
      <c r="I246" s="253">
        <v>0</v>
      </c>
      <c r="J246" s="254" t="str">
        <f t="shared" si="14"/>
        <v>EUR14F7Y_Quote</v>
      </c>
      <c r="K246" s="255"/>
      <c r="L246" s="256" t="str">
        <f>_xll.ohRangeRetrieveError(K246)</f>
        <v/>
      </c>
      <c r="M246" s="239"/>
      <c r="O246" s="275"/>
    </row>
    <row r="247" spans="1:15" ht="11.25" customHeight="1" x14ac:dyDescent="0.25">
      <c r="A247" s="231"/>
      <c r="B247" s="251">
        <v>2</v>
      </c>
      <c r="C247" s="251" t="s">
        <v>20</v>
      </c>
      <c r="D247" s="251" t="s">
        <v>26</v>
      </c>
      <c r="E247" s="251" t="str">
        <f t="shared" si="17"/>
        <v>14F</v>
      </c>
      <c r="F247" s="252" t="s">
        <v>158</v>
      </c>
      <c r="G247" s="252" t="s">
        <v>105</v>
      </c>
      <c r="H247" s="252" t="s">
        <v>117</v>
      </c>
      <c r="I247" s="253">
        <v>0</v>
      </c>
      <c r="J247" s="254" t="str">
        <f t="shared" si="14"/>
        <v>EUR14F8Y_Quote</v>
      </c>
      <c r="K247" s="255"/>
      <c r="L247" s="256" t="str">
        <f>_xll.ohRangeRetrieveError(K247)</f>
        <v/>
      </c>
      <c r="M247" s="239"/>
      <c r="O247" s="275"/>
    </row>
    <row r="248" spans="1:15" ht="11.25" customHeight="1" x14ac:dyDescent="0.25">
      <c r="A248" s="231"/>
      <c r="B248" s="251">
        <v>2</v>
      </c>
      <c r="C248" s="251" t="s">
        <v>20</v>
      </c>
      <c r="D248" s="251" t="s">
        <v>25</v>
      </c>
      <c r="E248" s="251" t="str">
        <f t="shared" si="17"/>
        <v>14F</v>
      </c>
      <c r="F248" s="252" t="s">
        <v>158</v>
      </c>
      <c r="G248" s="252" t="s">
        <v>105</v>
      </c>
      <c r="H248" s="252" t="s">
        <v>117</v>
      </c>
      <c r="I248" s="253">
        <v>0</v>
      </c>
      <c r="J248" s="254" t="str">
        <f t="shared" si="14"/>
        <v>EUR14F9Y_Quote</v>
      </c>
      <c r="K248" s="255"/>
      <c r="L248" s="256" t="str">
        <f>_xll.ohRangeRetrieveError(K248)</f>
        <v/>
      </c>
      <c r="M248" s="239"/>
      <c r="O248" s="275"/>
    </row>
    <row r="249" spans="1:15" ht="11.25" customHeight="1" x14ac:dyDescent="0.25">
      <c r="A249" s="231"/>
      <c r="B249" s="251">
        <v>2</v>
      </c>
      <c r="C249" s="251" t="s">
        <v>20</v>
      </c>
      <c r="D249" s="251" t="s">
        <v>24</v>
      </c>
      <c r="E249" s="251" t="str">
        <f t="shared" si="17"/>
        <v>14F</v>
      </c>
      <c r="F249" s="252" t="s">
        <v>158</v>
      </c>
      <c r="G249" s="252" t="s">
        <v>105</v>
      </c>
      <c r="H249" s="252" t="s">
        <v>117</v>
      </c>
      <c r="I249" s="253">
        <v>0</v>
      </c>
      <c r="J249" s="254" t="str">
        <f t="shared" si="14"/>
        <v>EUR14F10Y_Quote</v>
      </c>
      <c r="K249" s="255"/>
      <c r="L249" s="256" t="str">
        <f>_xll.ohRangeRetrieveError(K249)</f>
        <v/>
      </c>
      <c r="M249" s="239"/>
      <c r="O249" s="275"/>
    </row>
    <row r="250" spans="1:15" ht="11.25" customHeight="1" x14ac:dyDescent="0.25">
      <c r="A250" s="231"/>
      <c r="B250" s="251">
        <v>2</v>
      </c>
      <c r="C250" s="251" t="s">
        <v>20</v>
      </c>
      <c r="D250" s="251" t="s">
        <v>23</v>
      </c>
      <c r="E250" s="251" t="str">
        <f t="shared" si="17"/>
        <v>14F</v>
      </c>
      <c r="F250" s="252" t="s">
        <v>158</v>
      </c>
      <c r="G250" s="252" t="s">
        <v>105</v>
      </c>
      <c r="H250" s="252" t="s">
        <v>117</v>
      </c>
      <c r="I250" s="253">
        <v>0</v>
      </c>
      <c r="J250" s="254" t="str">
        <f t="shared" si="14"/>
        <v>EUR14F11Y_Quote</v>
      </c>
      <c r="K250" s="255"/>
      <c r="L250" s="256" t="str">
        <f>_xll.ohRangeRetrieveError(K250)</f>
        <v/>
      </c>
      <c r="M250" s="239"/>
      <c r="O250" s="275"/>
    </row>
    <row r="251" spans="1:15" ht="11.25" customHeight="1" x14ac:dyDescent="0.25">
      <c r="A251" s="231"/>
      <c r="B251" s="251">
        <v>2</v>
      </c>
      <c r="C251" s="251" t="s">
        <v>20</v>
      </c>
      <c r="D251" s="251" t="s">
        <v>22</v>
      </c>
      <c r="E251" s="251" t="str">
        <f t="shared" si="17"/>
        <v>14F</v>
      </c>
      <c r="F251" s="252" t="s">
        <v>158</v>
      </c>
      <c r="G251" s="252" t="s">
        <v>105</v>
      </c>
      <c r="H251" s="252" t="s">
        <v>117</v>
      </c>
      <c r="I251" s="253">
        <v>0</v>
      </c>
      <c r="J251" s="254" t="str">
        <f t="shared" si="14"/>
        <v>EUR14F12Y_Quote</v>
      </c>
      <c r="K251" s="255"/>
      <c r="L251" s="256" t="str">
        <f>_xll.ohRangeRetrieveError(K251)</f>
        <v/>
      </c>
      <c r="M251" s="239"/>
      <c r="O251" s="275"/>
    </row>
    <row r="252" spans="1:15" ht="11.25" customHeight="1" x14ac:dyDescent="0.25">
      <c r="A252" s="231"/>
      <c r="B252" s="251">
        <v>2</v>
      </c>
      <c r="C252" s="251" t="s">
        <v>20</v>
      </c>
      <c r="D252" s="251" t="s">
        <v>21</v>
      </c>
      <c r="E252" s="251" t="str">
        <f t="shared" si="17"/>
        <v>14F</v>
      </c>
      <c r="F252" s="252" t="s">
        <v>158</v>
      </c>
      <c r="G252" s="252" t="s">
        <v>105</v>
      </c>
      <c r="H252" s="252" t="s">
        <v>117</v>
      </c>
      <c r="I252" s="253">
        <v>0</v>
      </c>
      <c r="J252" s="254" t="str">
        <f t="shared" si="14"/>
        <v>EUR14F13Y_Quote</v>
      </c>
      <c r="K252" s="255"/>
      <c r="L252" s="256" t="str">
        <f>_xll.ohRangeRetrieveError(K252)</f>
        <v/>
      </c>
      <c r="M252" s="239"/>
      <c r="O252" s="275"/>
    </row>
    <row r="253" spans="1:15" ht="11.25" customHeight="1" x14ac:dyDescent="0.25">
      <c r="A253" s="231"/>
      <c r="B253" s="251">
        <v>2</v>
      </c>
      <c r="C253" s="251" t="s">
        <v>20</v>
      </c>
      <c r="D253" s="251" t="s">
        <v>20</v>
      </c>
      <c r="E253" s="251" t="str">
        <f t="shared" si="17"/>
        <v>14F</v>
      </c>
      <c r="F253" s="252" t="s">
        <v>158</v>
      </c>
      <c r="G253" s="252" t="s">
        <v>105</v>
      </c>
      <c r="H253" s="252" t="s">
        <v>117</v>
      </c>
      <c r="I253" s="253">
        <v>0</v>
      </c>
      <c r="J253" s="254" t="str">
        <f t="shared" si="14"/>
        <v>EUR14F14Y_Quote</v>
      </c>
      <c r="K253" s="255"/>
      <c r="L253" s="256" t="str">
        <f>_xll.ohRangeRetrieveError(K253)</f>
        <v/>
      </c>
      <c r="M253" s="239"/>
      <c r="O253" s="275"/>
    </row>
    <row r="254" spans="1:15" ht="11.25" customHeight="1" x14ac:dyDescent="0.25">
      <c r="A254" s="231"/>
      <c r="B254" s="251">
        <v>2</v>
      </c>
      <c r="C254" s="251" t="s">
        <v>20</v>
      </c>
      <c r="D254" s="251" t="s">
        <v>19</v>
      </c>
      <c r="E254" s="251" t="str">
        <f t="shared" si="17"/>
        <v>14F</v>
      </c>
      <c r="F254" s="252" t="s">
        <v>158</v>
      </c>
      <c r="G254" s="252" t="s">
        <v>105</v>
      </c>
      <c r="H254" s="252" t="s">
        <v>117</v>
      </c>
      <c r="I254" s="253">
        <v>0</v>
      </c>
      <c r="J254" s="254" t="str">
        <f t="shared" si="14"/>
        <v>EUR14F15Y_Quote</v>
      </c>
      <c r="K254" s="255"/>
      <c r="L254" s="256" t="str">
        <f>_xll.ohRangeRetrieveError(K254)</f>
        <v/>
      </c>
      <c r="M254" s="239"/>
      <c r="O254" s="275"/>
    </row>
    <row r="255" spans="1:15" ht="11.25" customHeight="1" x14ac:dyDescent="0.25">
      <c r="A255" s="231"/>
      <c r="B255" s="251">
        <v>2</v>
      </c>
      <c r="C255" s="251" t="s">
        <v>20</v>
      </c>
      <c r="D255" s="251" t="s">
        <v>14</v>
      </c>
      <c r="E255" s="251" t="str">
        <f t="shared" si="17"/>
        <v>14F</v>
      </c>
      <c r="F255" s="252" t="s">
        <v>158</v>
      </c>
      <c r="G255" s="252" t="s">
        <v>105</v>
      </c>
      <c r="H255" s="252" t="s">
        <v>117</v>
      </c>
      <c r="I255" s="253">
        <v>0</v>
      </c>
      <c r="J255" s="254" t="str">
        <f t="shared" si="14"/>
        <v>EUR14F20Y_Quote</v>
      </c>
      <c r="K255" s="255"/>
      <c r="L255" s="256" t="str">
        <f>_xll.ohRangeRetrieveError(K255)</f>
        <v/>
      </c>
      <c r="M255" s="239"/>
      <c r="O255" s="275"/>
    </row>
    <row r="256" spans="1:15" ht="11.25" customHeight="1" x14ac:dyDescent="0.25">
      <c r="A256" s="231"/>
      <c r="B256" s="251">
        <v>2</v>
      </c>
      <c r="C256" s="251" t="s">
        <v>20</v>
      </c>
      <c r="D256" s="251" t="s">
        <v>9</v>
      </c>
      <c r="E256" s="251" t="str">
        <f t="shared" si="17"/>
        <v>14F</v>
      </c>
      <c r="F256" s="252" t="s">
        <v>158</v>
      </c>
      <c r="G256" s="252" t="s">
        <v>105</v>
      </c>
      <c r="H256" s="252" t="s">
        <v>117</v>
      </c>
      <c r="I256" s="253">
        <v>0</v>
      </c>
      <c r="J256" s="254" t="str">
        <f t="shared" si="14"/>
        <v>EUR14F25Y_Quote</v>
      </c>
      <c r="K256" s="255"/>
      <c r="L256" s="256" t="str">
        <f>_xll.ohRangeRetrieveError(K256)</f>
        <v/>
      </c>
      <c r="M256" s="239"/>
      <c r="O256" s="275"/>
    </row>
    <row r="257" spans="1:15" ht="11.25" customHeight="1" x14ac:dyDescent="0.25">
      <c r="A257" s="231"/>
      <c r="B257" s="261">
        <v>2</v>
      </c>
      <c r="C257" s="261" t="s">
        <v>20</v>
      </c>
      <c r="D257" s="261" t="s">
        <v>4</v>
      </c>
      <c r="E257" s="261" t="str">
        <f t="shared" si="17"/>
        <v>14F</v>
      </c>
      <c r="F257" s="262" t="s">
        <v>158</v>
      </c>
      <c r="G257" s="262" t="s">
        <v>105</v>
      </c>
      <c r="H257" s="262" t="s">
        <v>117</v>
      </c>
      <c r="I257" s="263">
        <v>0</v>
      </c>
      <c r="J257" s="264" t="str">
        <f t="shared" si="14"/>
        <v>EUR14F30Y_Quote</v>
      </c>
      <c r="K257" s="265"/>
      <c r="L257" s="266" t="str">
        <f>_xll.ohRangeRetrieveError(K257)</f>
        <v/>
      </c>
      <c r="M257" s="239"/>
      <c r="O257" s="275"/>
    </row>
    <row r="258" spans="1:15" ht="11.25" customHeight="1" x14ac:dyDescent="0.25">
      <c r="A258" s="231"/>
      <c r="B258" s="243">
        <v>2</v>
      </c>
      <c r="C258" s="243" t="s">
        <v>19</v>
      </c>
      <c r="D258" s="243" t="s">
        <v>36</v>
      </c>
      <c r="E258" s="243" t="str">
        <f>LEFT(C258,2)&amp;"F"</f>
        <v>15F</v>
      </c>
      <c r="F258" s="244" t="s">
        <v>158</v>
      </c>
      <c r="G258" s="244" t="s">
        <v>105</v>
      </c>
      <c r="H258" s="244" t="s">
        <v>117</v>
      </c>
      <c r="I258" s="245">
        <v>0</v>
      </c>
      <c r="J258" s="246" t="str">
        <f t="shared" si="14"/>
        <v>EUR15F1Y_Quote</v>
      </c>
      <c r="K258" s="247"/>
      <c r="L258" s="248" t="str">
        <f>_xll.ohRangeRetrieveError(K258)</f>
        <v/>
      </c>
      <c r="M258" s="239"/>
      <c r="O258" s="275"/>
    </row>
    <row r="259" spans="1:15" ht="11.25" customHeight="1" x14ac:dyDescent="0.25">
      <c r="A259" s="231"/>
      <c r="B259" s="251">
        <v>2</v>
      </c>
      <c r="C259" s="251" t="s">
        <v>19</v>
      </c>
      <c r="D259" s="251" t="s">
        <v>32</v>
      </c>
      <c r="E259" s="251" t="str">
        <f t="shared" ref="E259:E275" si="18">LEFT(C259,2)&amp;"F"</f>
        <v>15F</v>
      </c>
      <c r="F259" s="252" t="s">
        <v>158</v>
      </c>
      <c r="G259" s="252" t="s">
        <v>105</v>
      </c>
      <c r="H259" s="252" t="s">
        <v>117</v>
      </c>
      <c r="I259" s="253">
        <v>0</v>
      </c>
      <c r="J259" s="254" t="str">
        <f t="shared" si="14"/>
        <v>EUR15F2Y_Quote</v>
      </c>
      <c r="K259" s="255"/>
      <c r="L259" s="256" t="str">
        <f>_xll.ohRangeRetrieveError(K259)</f>
        <v/>
      </c>
      <c r="M259" s="239"/>
      <c r="O259" s="275"/>
    </row>
    <row r="260" spans="1:15" ht="11.25" customHeight="1" x14ac:dyDescent="0.25">
      <c r="A260" s="231"/>
      <c r="B260" s="251">
        <v>2</v>
      </c>
      <c r="C260" s="251" t="s">
        <v>19</v>
      </c>
      <c r="D260" s="251" t="s">
        <v>31</v>
      </c>
      <c r="E260" s="251" t="str">
        <f t="shared" si="18"/>
        <v>15F</v>
      </c>
      <c r="F260" s="252" t="s">
        <v>158</v>
      </c>
      <c r="G260" s="252" t="s">
        <v>105</v>
      </c>
      <c r="H260" s="252" t="s">
        <v>117</v>
      </c>
      <c r="I260" s="253">
        <v>0</v>
      </c>
      <c r="J260" s="254" t="str">
        <f t="shared" si="14"/>
        <v>EUR15F3Y_Quote</v>
      </c>
      <c r="K260" s="255"/>
      <c r="L260" s="256" t="str">
        <f>_xll.ohRangeRetrieveError(K260)</f>
        <v/>
      </c>
      <c r="M260" s="239"/>
      <c r="O260" s="275"/>
    </row>
    <row r="261" spans="1:15" ht="11.25" customHeight="1" x14ac:dyDescent="0.25">
      <c r="A261" s="231"/>
      <c r="B261" s="251">
        <v>2</v>
      </c>
      <c r="C261" s="251" t="s">
        <v>19</v>
      </c>
      <c r="D261" s="251" t="s">
        <v>30</v>
      </c>
      <c r="E261" s="251" t="str">
        <f t="shared" si="18"/>
        <v>15F</v>
      </c>
      <c r="F261" s="252" t="s">
        <v>158</v>
      </c>
      <c r="G261" s="252" t="s">
        <v>105</v>
      </c>
      <c r="H261" s="252" t="s">
        <v>117</v>
      </c>
      <c r="I261" s="253">
        <v>0</v>
      </c>
      <c r="J261" s="254" t="str">
        <f t="shared" si="14"/>
        <v>EUR15F4Y_Quote</v>
      </c>
      <c r="K261" s="255"/>
      <c r="L261" s="256" t="str">
        <f>_xll.ohRangeRetrieveError(K261)</f>
        <v/>
      </c>
      <c r="M261" s="239"/>
      <c r="O261" s="275"/>
    </row>
    <row r="262" spans="1:15" ht="11.25" customHeight="1" x14ac:dyDescent="0.25">
      <c r="A262" s="231"/>
      <c r="B262" s="251">
        <v>2</v>
      </c>
      <c r="C262" s="251" t="s">
        <v>19</v>
      </c>
      <c r="D262" s="251" t="s">
        <v>29</v>
      </c>
      <c r="E262" s="251" t="str">
        <f t="shared" si="18"/>
        <v>15F</v>
      </c>
      <c r="F262" s="252" t="s">
        <v>158</v>
      </c>
      <c r="G262" s="252" t="s">
        <v>105</v>
      </c>
      <c r="H262" s="252" t="s">
        <v>117</v>
      </c>
      <c r="I262" s="253">
        <v>0</v>
      </c>
      <c r="J262" s="254" t="str">
        <f t="shared" ref="J262:J329" si="19">Currency&amp;$E262&amp;$D262&amp;QuoteSuffix</f>
        <v>EUR15F5Y_Quote</v>
      </c>
      <c r="K262" s="255"/>
      <c r="L262" s="256" t="str">
        <f>_xll.ohRangeRetrieveError(K262)</f>
        <v/>
      </c>
      <c r="M262" s="239"/>
      <c r="O262" s="275"/>
    </row>
    <row r="263" spans="1:15" ht="11.25" customHeight="1" x14ac:dyDescent="0.25">
      <c r="A263" s="231"/>
      <c r="B263" s="251">
        <v>2</v>
      </c>
      <c r="C263" s="251" t="s">
        <v>19</v>
      </c>
      <c r="D263" s="251" t="s">
        <v>28</v>
      </c>
      <c r="E263" s="251" t="str">
        <f t="shared" si="18"/>
        <v>15F</v>
      </c>
      <c r="F263" s="252" t="s">
        <v>158</v>
      </c>
      <c r="G263" s="252" t="s">
        <v>105</v>
      </c>
      <c r="H263" s="252" t="s">
        <v>117</v>
      </c>
      <c r="I263" s="253">
        <v>0</v>
      </c>
      <c r="J263" s="254" t="str">
        <f t="shared" si="19"/>
        <v>EUR15F6Y_Quote</v>
      </c>
      <c r="K263" s="255"/>
      <c r="L263" s="256" t="str">
        <f>_xll.ohRangeRetrieveError(K263)</f>
        <v/>
      </c>
      <c r="M263" s="239"/>
      <c r="O263" s="275"/>
    </row>
    <row r="264" spans="1:15" ht="11.25" customHeight="1" x14ac:dyDescent="0.25">
      <c r="A264" s="231"/>
      <c r="B264" s="251">
        <v>2</v>
      </c>
      <c r="C264" s="251" t="s">
        <v>19</v>
      </c>
      <c r="D264" s="251" t="s">
        <v>27</v>
      </c>
      <c r="E264" s="251" t="str">
        <f t="shared" si="18"/>
        <v>15F</v>
      </c>
      <c r="F264" s="252" t="s">
        <v>158</v>
      </c>
      <c r="G264" s="252" t="s">
        <v>105</v>
      </c>
      <c r="H264" s="252" t="s">
        <v>117</v>
      </c>
      <c r="I264" s="253">
        <v>0</v>
      </c>
      <c r="J264" s="254" t="str">
        <f t="shared" si="19"/>
        <v>EUR15F7Y_Quote</v>
      </c>
      <c r="K264" s="255"/>
      <c r="L264" s="256" t="str">
        <f>_xll.ohRangeRetrieveError(K264)</f>
        <v/>
      </c>
      <c r="M264" s="239"/>
      <c r="O264" s="275"/>
    </row>
    <row r="265" spans="1:15" ht="11.25" customHeight="1" x14ac:dyDescent="0.25">
      <c r="A265" s="231"/>
      <c r="B265" s="251">
        <v>2</v>
      </c>
      <c r="C265" s="251" t="s">
        <v>19</v>
      </c>
      <c r="D265" s="251" t="s">
        <v>26</v>
      </c>
      <c r="E265" s="251" t="str">
        <f t="shared" si="18"/>
        <v>15F</v>
      </c>
      <c r="F265" s="252" t="s">
        <v>158</v>
      </c>
      <c r="G265" s="252" t="s">
        <v>105</v>
      </c>
      <c r="H265" s="252" t="s">
        <v>117</v>
      </c>
      <c r="I265" s="253">
        <v>0</v>
      </c>
      <c r="J265" s="254" t="str">
        <f t="shared" si="19"/>
        <v>EUR15F8Y_Quote</v>
      </c>
      <c r="K265" s="255"/>
      <c r="L265" s="256" t="str">
        <f>_xll.ohRangeRetrieveError(K265)</f>
        <v/>
      </c>
      <c r="M265" s="239"/>
      <c r="O265" s="275"/>
    </row>
    <row r="266" spans="1:15" ht="11.25" customHeight="1" x14ac:dyDescent="0.25">
      <c r="A266" s="231"/>
      <c r="B266" s="251">
        <v>2</v>
      </c>
      <c r="C266" s="251" t="s">
        <v>19</v>
      </c>
      <c r="D266" s="251" t="s">
        <v>25</v>
      </c>
      <c r="E266" s="251" t="str">
        <f t="shared" si="18"/>
        <v>15F</v>
      </c>
      <c r="F266" s="252" t="s">
        <v>158</v>
      </c>
      <c r="G266" s="252" t="s">
        <v>105</v>
      </c>
      <c r="H266" s="252" t="s">
        <v>117</v>
      </c>
      <c r="I266" s="253">
        <v>0</v>
      </c>
      <c r="J266" s="254" t="str">
        <f t="shared" si="19"/>
        <v>EUR15F9Y_Quote</v>
      </c>
      <c r="K266" s="255"/>
      <c r="L266" s="256" t="str">
        <f>_xll.ohRangeRetrieveError(K266)</f>
        <v/>
      </c>
      <c r="M266" s="239"/>
      <c r="O266" s="275"/>
    </row>
    <row r="267" spans="1:15" ht="11.25" customHeight="1" x14ac:dyDescent="0.25">
      <c r="A267" s="231"/>
      <c r="B267" s="251">
        <v>2</v>
      </c>
      <c r="C267" s="251" t="s">
        <v>19</v>
      </c>
      <c r="D267" s="251" t="s">
        <v>24</v>
      </c>
      <c r="E267" s="251" t="str">
        <f t="shared" si="18"/>
        <v>15F</v>
      </c>
      <c r="F267" s="252" t="s">
        <v>158</v>
      </c>
      <c r="G267" s="252" t="s">
        <v>105</v>
      </c>
      <c r="H267" s="252" t="s">
        <v>117</v>
      </c>
      <c r="I267" s="253">
        <v>0</v>
      </c>
      <c r="J267" s="254" t="str">
        <f t="shared" si="19"/>
        <v>EUR15F10Y_Quote</v>
      </c>
      <c r="K267" s="255"/>
      <c r="L267" s="256" t="str">
        <f>_xll.ohRangeRetrieveError(K267)</f>
        <v/>
      </c>
      <c r="M267" s="239"/>
      <c r="O267" s="275"/>
    </row>
    <row r="268" spans="1:15" ht="11.25" customHeight="1" x14ac:dyDescent="0.25">
      <c r="A268" s="231"/>
      <c r="B268" s="251">
        <v>2</v>
      </c>
      <c r="C268" s="251" t="s">
        <v>19</v>
      </c>
      <c r="D268" s="251" t="s">
        <v>23</v>
      </c>
      <c r="E268" s="251" t="str">
        <f t="shared" si="18"/>
        <v>15F</v>
      </c>
      <c r="F268" s="252" t="s">
        <v>158</v>
      </c>
      <c r="G268" s="252" t="s">
        <v>105</v>
      </c>
      <c r="H268" s="252" t="s">
        <v>117</v>
      </c>
      <c r="I268" s="253">
        <v>0</v>
      </c>
      <c r="J268" s="254" t="str">
        <f t="shared" si="19"/>
        <v>EUR15F11Y_Quote</v>
      </c>
      <c r="K268" s="255"/>
      <c r="L268" s="256" t="str">
        <f>_xll.ohRangeRetrieveError(K268)</f>
        <v/>
      </c>
      <c r="M268" s="239"/>
      <c r="O268" s="275"/>
    </row>
    <row r="269" spans="1:15" ht="11.25" customHeight="1" x14ac:dyDescent="0.25">
      <c r="A269" s="231"/>
      <c r="B269" s="251">
        <v>2</v>
      </c>
      <c r="C269" s="251" t="s">
        <v>19</v>
      </c>
      <c r="D269" s="251" t="s">
        <v>22</v>
      </c>
      <c r="E269" s="251" t="str">
        <f t="shared" si="18"/>
        <v>15F</v>
      </c>
      <c r="F269" s="252" t="s">
        <v>158</v>
      </c>
      <c r="G269" s="252" t="s">
        <v>105</v>
      </c>
      <c r="H269" s="252" t="s">
        <v>117</v>
      </c>
      <c r="I269" s="253">
        <v>0</v>
      </c>
      <c r="J269" s="254" t="str">
        <f t="shared" si="19"/>
        <v>EUR15F12Y_Quote</v>
      </c>
      <c r="K269" s="255"/>
      <c r="L269" s="256" t="str">
        <f>_xll.ohRangeRetrieveError(K269)</f>
        <v/>
      </c>
      <c r="M269" s="239"/>
      <c r="O269" s="275"/>
    </row>
    <row r="270" spans="1:15" ht="11.25" customHeight="1" x14ac:dyDescent="0.25">
      <c r="A270" s="231"/>
      <c r="B270" s="251">
        <v>2</v>
      </c>
      <c r="C270" s="251" t="s">
        <v>19</v>
      </c>
      <c r="D270" s="251" t="s">
        <v>21</v>
      </c>
      <c r="E270" s="251" t="str">
        <f t="shared" si="18"/>
        <v>15F</v>
      </c>
      <c r="F270" s="252" t="s">
        <v>158</v>
      </c>
      <c r="G270" s="252" t="s">
        <v>105</v>
      </c>
      <c r="H270" s="252" t="s">
        <v>117</v>
      </c>
      <c r="I270" s="253">
        <v>0</v>
      </c>
      <c r="J270" s="254" t="str">
        <f t="shared" si="19"/>
        <v>EUR15F13Y_Quote</v>
      </c>
      <c r="K270" s="255"/>
      <c r="L270" s="256" t="str">
        <f>_xll.ohRangeRetrieveError(K270)</f>
        <v/>
      </c>
      <c r="M270" s="239"/>
      <c r="O270" s="275"/>
    </row>
    <row r="271" spans="1:15" ht="11.25" customHeight="1" x14ac:dyDescent="0.25">
      <c r="A271" s="231"/>
      <c r="B271" s="251">
        <v>2</v>
      </c>
      <c r="C271" s="251" t="s">
        <v>19</v>
      </c>
      <c r="D271" s="251" t="s">
        <v>20</v>
      </c>
      <c r="E271" s="251" t="str">
        <f t="shared" si="18"/>
        <v>15F</v>
      </c>
      <c r="F271" s="252" t="s">
        <v>158</v>
      </c>
      <c r="G271" s="252" t="s">
        <v>105</v>
      </c>
      <c r="H271" s="252" t="s">
        <v>117</v>
      </c>
      <c r="I271" s="253">
        <v>0</v>
      </c>
      <c r="J271" s="254" t="str">
        <f t="shared" si="19"/>
        <v>EUR15F14Y_Quote</v>
      </c>
      <c r="K271" s="255"/>
      <c r="L271" s="256" t="str">
        <f>_xll.ohRangeRetrieveError(K271)</f>
        <v/>
      </c>
      <c r="M271" s="239"/>
      <c r="O271" s="275"/>
    </row>
    <row r="272" spans="1:15" ht="11.25" customHeight="1" x14ac:dyDescent="0.25">
      <c r="A272" s="231"/>
      <c r="B272" s="251">
        <v>2</v>
      </c>
      <c r="C272" s="251" t="s">
        <v>19</v>
      </c>
      <c r="D272" s="251" t="s">
        <v>19</v>
      </c>
      <c r="E272" s="251" t="str">
        <f t="shared" si="18"/>
        <v>15F</v>
      </c>
      <c r="F272" s="252" t="s">
        <v>158</v>
      </c>
      <c r="G272" s="252" t="s">
        <v>105</v>
      </c>
      <c r="H272" s="252" t="s">
        <v>117</v>
      </c>
      <c r="I272" s="253">
        <v>0</v>
      </c>
      <c r="J272" s="254" t="str">
        <f t="shared" si="19"/>
        <v>EUR15F15Y_Quote</v>
      </c>
      <c r="K272" s="255"/>
      <c r="L272" s="256" t="str">
        <f>_xll.ohRangeRetrieveError(K272)</f>
        <v/>
      </c>
      <c r="M272" s="239"/>
      <c r="O272" s="275"/>
    </row>
    <row r="273" spans="1:15" ht="11.25" customHeight="1" x14ac:dyDescent="0.25">
      <c r="A273" s="231"/>
      <c r="B273" s="251">
        <v>2</v>
      </c>
      <c r="C273" s="251" t="s">
        <v>19</v>
      </c>
      <c r="D273" s="251" t="s">
        <v>14</v>
      </c>
      <c r="E273" s="251" t="str">
        <f t="shared" si="18"/>
        <v>15F</v>
      </c>
      <c r="F273" s="252" t="s">
        <v>158</v>
      </c>
      <c r="G273" s="252" t="s">
        <v>105</v>
      </c>
      <c r="H273" s="252" t="s">
        <v>117</v>
      </c>
      <c r="I273" s="253">
        <v>0</v>
      </c>
      <c r="J273" s="254" t="str">
        <f t="shared" si="19"/>
        <v>EUR15F20Y_Quote</v>
      </c>
      <c r="K273" s="255"/>
      <c r="L273" s="256" t="str">
        <f>_xll.ohRangeRetrieveError(K273)</f>
        <v/>
      </c>
      <c r="M273" s="239"/>
      <c r="O273" s="275"/>
    </row>
    <row r="274" spans="1:15" ht="11.25" customHeight="1" x14ac:dyDescent="0.25">
      <c r="A274" s="231"/>
      <c r="B274" s="251">
        <v>2</v>
      </c>
      <c r="C274" s="251" t="s">
        <v>19</v>
      </c>
      <c r="D274" s="251" t="s">
        <v>9</v>
      </c>
      <c r="E274" s="251" t="str">
        <f t="shared" si="18"/>
        <v>15F</v>
      </c>
      <c r="F274" s="252" t="s">
        <v>158</v>
      </c>
      <c r="G274" s="252" t="s">
        <v>105</v>
      </c>
      <c r="H274" s="252" t="s">
        <v>117</v>
      </c>
      <c r="I274" s="253">
        <v>0</v>
      </c>
      <c r="J274" s="254" t="str">
        <f t="shared" si="19"/>
        <v>EUR15F25Y_Quote</v>
      </c>
      <c r="K274" s="255"/>
      <c r="L274" s="256" t="str">
        <f>_xll.ohRangeRetrieveError(K274)</f>
        <v/>
      </c>
      <c r="M274" s="239"/>
      <c r="O274" s="275"/>
    </row>
    <row r="275" spans="1:15" ht="11.25" customHeight="1" x14ac:dyDescent="0.25">
      <c r="A275" s="231"/>
      <c r="B275" s="261">
        <v>2</v>
      </c>
      <c r="C275" s="261" t="s">
        <v>19</v>
      </c>
      <c r="D275" s="261" t="s">
        <v>4</v>
      </c>
      <c r="E275" s="261" t="str">
        <f t="shared" si="18"/>
        <v>15F</v>
      </c>
      <c r="F275" s="262" t="s">
        <v>158</v>
      </c>
      <c r="G275" s="262" t="s">
        <v>105</v>
      </c>
      <c r="H275" s="262" t="s">
        <v>117</v>
      </c>
      <c r="I275" s="263">
        <v>0</v>
      </c>
      <c r="J275" s="264" t="str">
        <f t="shared" si="19"/>
        <v>EUR15F30Y_Quote</v>
      </c>
      <c r="K275" s="265" t="str">
        <f>_xll.qlSwapRateHelper2(,$J275,$B275,$D275,Calendar,$F275,$G275,$H275,$K$4,$I275,C275,Discounting,Permanent,,ObjectOverwrite)</f>
        <v>obj_00774#0003</v>
      </c>
      <c r="L275" s="266" t="str">
        <f>_xll.ohRangeRetrieveError(K275)</f>
        <v/>
      </c>
      <c r="M275" s="239"/>
      <c r="O275" s="275"/>
    </row>
    <row r="276" spans="1:15" ht="11.25" customHeight="1" x14ac:dyDescent="0.25">
      <c r="A276" s="231"/>
      <c r="B276" s="243">
        <v>2</v>
      </c>
      <c r="C276" s="243" t="s">
        <v>14</v>
      </c>
      <c r="D276" s="243" t="s">
        <v>36</v>
      </c>
      <c r="E276" s="243" t="str">
        <f>LEFT(C276,2)&amp;"F"</f>
        <v>20F</v>
      </c>
      <c r="F276" s="244" t="s">
        <v>158</v>
      </c>
      <c r="G276" s="244" t="s">
        <v>105</v>
      </c>
      <c r="H276" s="244" t="s">
        <v>117</v>
      </c>
      <c r="I276" s="245">
        <v>0</v>
      </c>
      <c r="J276" s="246" t="str">
        <f t="shared" si="19"/>
        <v>EUR20F1Y_Quote</v>
      </c>
      <c r="K276" s="247"/>
      <c r="L276" s="248" t="str">
        <f>_xll.ohRangeRetrieveError(K276)</f>
        <v/>
      </c>
      <c r="M276" s="239"/>
      <c r="O276" s="275"/>
    </row>
    <row r="277" spans="1:15" ht="11.25" customHeight="1" x14ac:dyDescent="0.25">
      <c r="A277" s="231"/>
      <c r="B277" s="251">
        <v>2</v>
      </c>
      <c r="C277" s="251" t="s">
        <v>14</v>
      </c>
      <c r="D277" s="251" t="s">
        <v>32</v>
      </c>
      <c r="E277" s="251" t="str">
        <f t="shared" ref="E277:E293" si="20">LEFT(C277,2)&amp;"F"</f>
        <v>20F</v>
      </c>
      <c r="F277" s="252" t="s">
        <v>158</v>
      </c>
      <c r="G277" s="252" t="s">
        <v>105</v>
      </c>
      <c r="H277" s="252" t="s">
        <v>117</v>
      </c>
      <c r="I277" s="253">
        <v>0</v>
      </c>
      <c r="J277" s="254" t="str">
        <f t="shared" si="19"/>
        <v>EUR20F2Y_Quote</v>
      </c>
      <c r="K277" s="255"/>
      <c r="L277" s="256" t="str">
        <f>_xll.ohRangeRetrieveError(K277)</f>
        <v/>
      </c>
      <c r="M277" s="239"/>
      <c r="O277" s="275"/>
    </row>
    <row r="278" spans="1:15" ht="11.25" customHeight="1" x14ac:dyDescent="0.25">
      <c r="A278" s="231"/>
      <c r="B278" s="251">
        <v>2</v>
      </c>
      <c r="C278" s="251" t="s">
        <v>14</v>
      </c>
      <c r="D278" s="251" t="s">
        <v>31</v>
      </c>
      <c r="E278" s="251" t="str">
        <f t="shared" si="20"/>
        <v>20F</v>
      </c>
      <c r="F278" s="252" t="s">
        <v>158</v>
      </c>
      <c r="G278" s="252" t="s">
        <v>105</v>
      </c>
      <c r="H278" s="252" t="s">
        <v>117</v>
      </c>
      <c r="I278" s="253">
        <v>0</v>
      </c>
      <c r="J278" s="254" t="str">
        <f t="shared" si="19"/>
        <v>EUR20F3Y_Quote</v>
      </c>
      <c r="K278" s="255"/>
      <c r="L278" s="256" t="str">
        <f>_xll.ohRangeRetrieveError(K278)</f>
        <v/>
      </c>
      <c r="M278" s="239"/>
      <c r="O278" s="275"/>
    </row>
    <row r="279" spans="1:15" ht="11.25" customHeight="1" x14ac:dyDescent="0.25">
      <c r="A279" s="231"/>
      <c r="B279" s="251">
        <v>2</v>
      </c>
      <c r="C279" s="251" t="s">
        <v>14</v>
      </c>
      <c r="D279" s="251" t="s">
        <v>30</v>
      </c>
      <c r="E279" s="251" t="str">
        <f t="shared" si="20"/>
        <v>20F</v>
      </c>
      <c r="F279" s="252" t="s">
        <v>158</v>
      </c>
      <c r="G279" s="252" t="s">
        <v>105</v>
      </c>
      <c r="H279" s="252" t="s">
        <v>117</v>
      </c>
      <c r="I279" s="253">
        <v>0</v>
      </c>
      <c r="J279" s="254" t="str">
        <f t="shared" si="19"/>
        <v>EUR20F4Y_Quote</v>
      </c>
      <c r="K279" s="255"/>
      <c r="L279" s="256" t="str">
        <f>_xll.ohRangeRetrieveError(K279)</f>
        <v/>
      </c>
      <c r="M279" s="239"/>
      <c r="O279" s="275"/>
    </row>
    <row r="280" spans="1:15" ht="11.25" customHeight="1" x14ac:dyDescent="0.25">
      <c r="A280" s="231"/>
      <c r="B280" s="251">
        <v>2</v>
      </c>
      <c r="C280" s="251" t="s">
        <v>14</v>
      </c>
      <c r="D280" s="251" t="s">
        <v>29</v>
      </c>
      <c r="E280" s="251" t="str">
        <f t="shared" si="20"/>
        <v>20F</v>
      </c>
      <c r="F280" s="252" t="s">
        <v>158</v>
      </c>
      <c r="G280" s="252" t="s">
        <v>105</v>
      </c>
      <c r="H280" s="252" t="s">
        <v>117</v>
      </c>
      <c r="I280" s="253">
        <v>0</v>
      </c>
      <c r="J280" s="254" t="str">
        <f t="shared" si="19"/>
        <v>EUR20F5Y_Quote</v>
      </c>
      <c r="K280" s="255"/>
      <c r="L280" s="256" t="str">
        <f>_xll.ohRangeRetrieveError(K280)</f>
        <v/>
      </c>
      <c r="M280" s="239"/>
      <c r="O280" s="275"/>
    </row>
    <row r="281" spans="1:15" ht="11.25" customHeight="1" x14ac:dyDescent="0.25">
      <c r="A281" s="231"/>
      <c r="B281" s="251">
        <v>2</v>
      </c>
      <c r="C281" s="251" t="s">
        <v>14</v>
      </c>
      <c r="D281" s="251" t="s">
        <v>28</v>
      </c>
      <c r="E281" s="251" t="str">
        <f t="shared" si="20"/>
        <v>20F</v>
      </c>
      <c r="F281" s="252" t="s">
        <v>158</v>
      </c>
      <c r="G281" s="252" t="s">
        <v>105</v>
      </c>
      <c r="H281" s="252" t="s">
        <v>117</v>
      </c>
      <c r="I281" s="253">
        <v>0</v>
      </c>
      <c r="J281" s="254" t="str">
        <f t="shared" si="19"/>
        <v>EUR20F6Y_Quote</v>
      </c>
      <c r="K281" s="255"/>
      <c r="L281" s="256" t="str">
        <f>_xll.ohRangeRetrieveError(K281)</f>
        <v/>
      </c>
      <c r="M281" s="239"/>
      <c r="O281" s="275"/>
    </row>
    <row r="282" spans="1:15" ht="11.25" customHeight="1" x14ac:dyDescent="0.25">
      <c r="A282" s="231"/>
      <c r="B282" s="251">
        <v>2</v>
      </c>
      <c r="C282" s="251" t="s">
        <v>14</v>
      </c>
      <c r="D282" s="251" t="s">
        <v>27</v>
      </c>
      <c r="E282" s="251" t="str">
        <f t="shared" si="20"/>
        <v>20F</v>
      </c>
      <c r="F282" s="252" t="s">
        <v>158</v>
      </c>
      <c r="G282" s="252" t="s">
        <v>105</v>
      </c>
      <c r="H282" s="252" t="s">
        <v>117</v>
      </c>
      <c r="I282" s="253">
        <v>0</v>
      </c>
      <c r="J282" s="254" t="str">
        <f t="shared" si="19"/>
        <v>EUR20F7Y_Quote</v>
      </c>
      <c r="K282" s="255"/>
      <c r="L282" s="256" t="str">
        <f>_xll.ohRangeRetrieveError(K282)</f>
        <v/>
      </c>
      <c r="M282" s="239"/>
      <c r="O282" s="275"/>
    </row>
    <row r="283" spans="1:15" ht="11.25" customHeight="1" x14ac:dyDescent="0.25">
      <c r="A283" s="231"/>
      <c r="B283" s="251">
        <v>2</v>
      </c>
      <c r="C283" s="251" t="s">
        <v>14</v>
      </c>
      <c r="D283" s="251" t="s">
        <v>26</v>
      </c>
      <c r="E283" s="251" t="str">
        <f t="shared" si="20"/>
        <v>20F</v>
      </c>
      <c r="F283" s="252" t="s">
        <v>158</v>
      </c>
      <c r="G283" s="252" t="s">
        <v>105</v>
      </c>
      <c r="H283" s="252" t="s">
        <v>117</v>
      </c>
      <c r="I283" s="253">
        <v>0</v>
      </c>
      <c r="J283" s="254" t="str">
        <f t="shared" si="19"/>
        <v>EUR20F8Y_Quote</v>
      </c>
      <c r="K283" s="255"/>
      <c r="L283" s="256" t="str">
        <f>_xll.ohRangeRetrieveError(K283)</f>
        <v/>
      </c>
      <c r="M283" s="239"/>
      <c r="O283" s="275"/>
    </row>
    <row r="284" spans="1:15" ht="11.25" customHeight="1" x14ac:dyDescent="0.25">
      <c r="A284" s="231"/>
      <c r="B284" s="251">
        <v>2</v>
      </c>
      <c r="C284" s="251" t="s">
        <v>14</v>
      </c>
      <c r="D284" s="251" t="s">
        <v>25</v>
      </c>
      <c r="E284" s="251" t="str">
        <f t="shared" si="20"/>
        <v>20F</v>
      </c>
      <c r="F284" s="252" t="s">
        <v>158</v>
      </c>
      <c r="G284" s="252" t="s">
        <v>105</v>
      </c>
      <c r="H284" s="252" t="s">
        <v>117</v>
      </c>
      <c r="I284" s="253">
        <v>0</v>
      </c>
      <c r="J284" s="254" t="str">
        <f t="shared" si="19"/>
        <v>EUR20F9Y_Quote</v>
      </c>
      <c r="K284" s="255"/>
      <c r="L284" s="256" t="str">
        <f>_xll.ohRangeRetrieveError(K284)</f>
        <v/>
      </c>
      <c r="M284" s="239"/>
      <c r="O284" s="275"/>
    </row>
    <row r="285" spans="1:15" ht="11.25" customHeight="1" x14ac:dyDescent="0.25">
      <c r="A285" s="231"/>
      <c r="B285" s="251">
        <v>2</v>
      </c>
      <c r="C285" s="251" t="s">
        <v>14</v>
      </c>
      <c r="D285" s="251" t="s">
        <v>24</v>
      </c>
      <c r="E285" s="251" t="str">
        <f t="shared" si="20"/>
        <v>20F</v>
      </c>
      <c r="F285" s="252" t="s">
        <v>158</v>
      </c>
      <c r="G285" s="252" t="s">
        <v>105</v>
      </c>
      <c r="H285" s="252" t="s">
        <v>117</v>
      </c>
      <c r="I285" s="253">
        <v>0</v>
      </c>
      <c r="J285" s="254" t="str">
        <f t="shared" si="19"/>
        <v>EUR20F10Y_Quote</v>
      </c>
      <c r="K285" s="255"/>
      <c r="L285" s="256" t="str">
        <f>_xll.ohRangeRetrieveError(K285)</f>
        <v/>
      </c>
      <c r="M285" s="239"/>
      <c r="O285" s="275"/>
    </row>
    <row r="286" spans="1:15" ht="11.25" customHeight="1" x14ac:dyDescent="0.25">
      <c r="A286" s="231"/>
      <c r="B286" s="251">
        <v>2</v>
      </c>
      <c r="C286" s="251" t="s">
        <v>14</v>
      </c>
      <c r="D286" s="251" t="s">
        <v>23</v>
      </c>
      <c r="E286" s="251" t="str">
        <f t="shared" si="20"/>
        <v>20F</v>
      </c>
      <c r="F286" s="252" t="s">
        <v>158</v>
      </c>
      <c r="G286" s="252" t="s">
        <v>105</v>
      </c>
      <c r="H286" s="252" t="s">
        <v>117</v>
      </c>
      <c r="I286" s="253">
        <v>0</v>
      </c>
      <c r="J286" s="254" t="str">
        <f t="shared" si="19"/>
        <v>EUR20F11Y_Quote</v>
      </c>
      <c r="K286" s="255"/>
      <c r="L286" s="256" t="str">
        <f>_xll.ohRangeRetrieveError(K286)</f>
        <v/>
      </c>
      <c r="M286" s="239"/>
      <c r="O286" s="275"/>
    </row>
    <row r="287" spans="1:15" ht="11.25" customHeight="1" x14ac:dyDescent="0.25">
      <c r="A287" s="231"/>
      <c r="B287" s="251">
        <v>2</v>
      </c>
      <c r="C287" s="251" t="s">
        <v>14</v>
      </c>
      <c r="D287" s="251" t="s">
        <v>22</v>
      </c>
      <c r="E287" s="251" t="str">
        <f t="shared" si="20"/>
        <v>20F</v>
      </c>
      <c r="F287" s="252" t="s">
        <v>158</v>
      </c>
      <c r="G287" s="252" t="s">
        <v>105</v>
      </c>
      <c r="H287" s="252" t="s">
        <v>117</v>
      </c>
      <c r="I287" s="253">
        <v>0</v>
      </c>
      <c r="J287" s="254" t="str">
        <f t="shared" si="19"/>
        <v>EUR20F12Y_Quote</v>
      </c>
      <c r="K287" s="255"/>
      <c r="L287" s="256" t="str">
        <f>_xll.ohRangeRetrieveError(K287)</f>
        <v/>
      </c>
      <c r="M287" s="239"/>
      <c r="O287" s="275"/>
    </row>
    <row r="288" spans="1:15" ht="11.25" customHeight="1" x14ac:dyDescent="0.25">
      <c r="A288" s="231"/>
      <c r="B288" s="251">
        <v>2</v>
      </c>
      <c r="C288" s="251" t="s">
        <v>14</v>
      </c>
      <c r="D288" s="251" t="s">
        <v>21</v>
      </c>
      <c r="E288" s="251" t="str">
        <f t="shared" si="20"/>
        <v>20F</v>
      </c>
      <c r="F288" s="252" t="s">
        <v>158</v>
      </c>
      <c r="G288" s="252" t="s">
        <v>105</v>
      </c>
      <c r="H288" s="252" t="s">
        <v>117</v>
      </c>
      <c r="I288" s="253">
        <v>0</v>
      </c>
      <c r="J288" s="254" t="str">
        <f t="shared" si="19"/>
        <v>EUR20F13Y_Quote</v>
      </c>
      <c r="K288" s="255"/>
      <c r="L288" s="256" t="str">
        <f>_xll.ohRangeRetrieveError(K288)</f>
        <v/>
      </c>
      <c r="M288" s="239"/>
      <c r="O288" s="275"/>
    </row>
    <row r="289" spans="1:15" ht="11.25" customHeight="1" x14ac:dyDescent="0.25">
      <c r="A289" s="231"/>
      <c r="B289" s="251">
        <v>2</v>
      </c>
      <c r="C289" s="251" t="s">
        <v>14</v>
      </c>
      <c r="D289" s="251" t="s">
        <v>20</v>
      </c>
      <c r="E289" s="251" t="str">
        <f t="shared" si="20"/>
        <v>20F</v>
      </c>
      <c r="F289" s="252" t="s">
        <v>158</v>
      </c>
      <c r="G289" s="252" t="s">
        <v>105</v>
      </c>
      <c r="H289" s="252" t="s">
        <v>117</v>
      </c>
      <c r="I289" s="253">
        <v>0</v>
      </c>
      <c r="J289" s="254" t="str">
        <f t="shared" si="19"/>
        <v>EUR20F14Y_Quote</v>
      </c>
      <c r="K289" s="255"/>
      <c r="L289" s="256" t="str">
        <f>_xll.ohRangeRetrieveError(K289)</f>
        <v/>
      </c>
      <c r="M289" s="239"/>
      <c r="O289" s="275"/>
    </row>
    <row r="290" spans="1:15" ht="11.25" customHeight="1" x14ac:dyDescent="0.25">
      <c r="A290" s="231"/>
      <c r="B290" s="251">
        <v>2</v>
      </c>
      <c r="C290" s="251" t="s">
        <v>14</v>
      </c>
      <c r="D290" s="251" t="s">
        <v>19</v>
      </c>
      <c r="E290" s="251" t="str">
        <f t="shared" si="20"/>
        <v>20F</v>
      </c>
      <c r="F290" s="252" t="s">
        <v>158</v>
      </c>
      <c r="G290" s="252" t="s">
        <v>105</v>
      </c>
      <c r="H290" s="252" t="s">
        <v>117</v>
      </c>
      <c r="I290" s="253">
        <v>0</v>
      </c>
      <c r="J290" s="254" t="str">
        <f t="shared" si="19"/>
        <v>EUR20F15Y_Quote</v>
      </c>
      <c r="K290" s="255"/>
      <c r="L290" s="256" t="str">
        <f>_xll.ohRangeRetrieveError(K290)</f>
        <v/>
      </c>
      <c r="M290" s="239"/>
      <c r="O290" s="275"/>
    </row>
    <row r="291" spans="1:15" ht="11.25" customHeight="1" x14ac:dyDescent="0.25">
      <c r="A291" s="231"/>
      <c r="B291" s="251">
        <v>2</v>
      </c>
      <c r="C291" s="251" t="s">
        <v>14</v>
      </c>
      <c r="D291" s="251" t="s">
        <v>14</v>
      </c>
      <c r="E291" s="251" t="str">
        <f t="shared" si="20"/>
        <v>20F</v>
      </c>
      <c r="F291" s="252" t="s">
        <v>158</v>
      </c>
      <c r="G291" s="252" t="s">
        <v>105</v>
      </c>
      <c r="H291" s="252" t="s">
        <v>117</v>
      </c>
      <c r="I291" s="253">
        <v>0</v>
      </c>
      <c r="J291" s="254" t="str">
        <f t="shared" si="19"/>
        <v>EUR20F20Y_Quote</v>
      </c>
      <c r="K291" s="255"/>
      <c r="L291" s="256" t="str">
        <f>_xll.ohRangeRetrieveError(K291)</f>
        <v/>
      </c>
      <c r="M291" s="239"/>
      <c r="O291" s="275"/>
    </row>
    <row r="292" spans="1:15" ht="11.25" customHeight="1" x14ac:dyDescent="0.25">
      <c r="A292" s="231"/>
      <c r="B292" s="251">
        <v>2</v>
      </c>
      <c r="C292" s="251" t="s">
        <v>14</v>
      </c>
      <c r="D292" s="251" t="s">
        <v>9</v>
      </c>
      <c r="E292" s="251" t="str">
        <f t="shared" si="20"/>
        <v>20F</v>
      </c>
      <c r="F292" s="252" t="s">
        <v>158</v>
      </c>
      <c r="G292" s="252" t="s">
        <v>105</v>
      </c>
      <c r="H292" s="252" t="s">
        <v>117</v>
      </c>
      <c r="I292" s="253">
        <v>0</v>
      </c>
      <c r="J292" s="254" t="str">
        <f t="shared" si="19"/>
        <v>EUR20F25Y_Quote</v>
      </c>
      <c r="K292" s="255"/>
      <c r="L292" s="256" t="str">
        <f>_xll.ohRangeRetrieveError(K292)</f>
        <v/>
      </c>
      <c r="M292" s="239"/>
      <c r="O292" s="275"/>
    </row>
    <row r="293" spans="1:15" ht="11.25" customHeight="1" x14ac:dyDescent="0.25">
      <c r="A293" s="231"/>
      <c r="B293" s="261">
        <v>2</v>
      </c>
      <c r="C293" s="261" t="s">
        <v>14</v>
      </c>
      <c r="D293" s="261" t="s">
        <v>4</v>
      </c>
      <c r="E293" s="261" t="str">
        <f t="shared" si="20"/>
        <v>20F</v>
      </c>
      <c r="F293" s="262" t="s">
        <v>158</v>
      </c>
      <c r="G293" s="262" t="s">
        <v>105</v>
      </c>
      <c r="H293" s="262" t="s">
        <v>117</v>
      </c>
      <c r="I293" s="263">
        <v>0</v>
      </c>
      <c r="J293" s="264" t="str">
        <f t="shared" si="19"/>
        <v>EUR20F30Y_Quote</v>
      </c>
      <c r="K293" s="265"/>
      <c r="L293" s="266" t="str">
        <f>_xll.ohRangeRetrieveError(K293)</f>
        <v/>
      </c>
      <c r="M293" s="239"/>
      <c r="O293" s="275"/>
    </row>
    <row r="294" spans="1:15" ht="11.25" customHeight="1" x14ac:dyDescent="0.25">
      <c r="A294" s="231"/>
      <c r="B294" s="243">
        <v>2</v>
      </c>
      <c r="C294" s="243" t="s">
        <v>9</v>
      </c>
      <c r="D294" s="243" t="s">
        <v>36</v>
      </c>
      <c r="E294" s="243" t="str">
        <f>LEFT(C294,2)&amp;"F"</f>
        <v>25F</v>
      </c>
      <c r="F294" s="244" t="s">
        <v>158</v>
      </c>
      <c r="G294" s="244" t="s">
        <v>105</v>
      </c>
      <c r="H294" s="244" t="s">
        <v>117</v>
      </c>
      <c r="I294" s="245">
        <v>0</v>
      </c>
      <c r="J294" s="246" t="str">
        <f t="shared" si="19"/>
        <v>EUR25F1Y_Quote</v>
      </c>
      <c r="K294" s="247"/>
      <c r="L294" s="248" t="str">
        <f>_xll.ohRangeRetrieveError(K294)</f>
        <v/>
      </c>
      <c r="M294" s="239"/>
      <c r="O294" s="275"/>
    </row>
    <row r="295" spans="1:15" ht="11.25" customHeight="1" x14ac:dyDescent="0.25">
      <c r="A295" s="231"/>
      <c r="B295" s="251">
        <v>2</v>
      </c>
      <c r="C295" s="251" t="s">
        <v>9</v>
      </c>
      <c r="D295" s="251" t="s">
        <v>32</v>
      </c>
      <c r="E295" s="251" t="str">
        <f t="shared" ref="E295:E311" si="21">LEFT(C295,2)&amp;"F"</f>
        <v>25F</v>
      </c>
      <c r="F295" s="252" t="s">
        <v>158</v>
      </c>
      <c r="G295" s="252" t="s">
        <v>105</v>
      </c>
      <c r="H295" s="252" t="s">
        <v>117</v>
      </c>
      <c r="I295" s="253">
        <v>0</v>
      </c>
      <c r="J295" s="254" t="str">
        <f t="shared" si="19"/>
        <v>EUR25F2Y_Quote</v>
      </c>
      <c r="K295" s="255"/>
      <c r="L295" s="256" t="str">
        <f>_xll.ohRangeRetrieveError(K295)</f>
        <v/>
      </c>
      <c r="M295" s="239"/>
      <c r="O295" s="275"/>
    </row>
    <row r="296" spans="1:15" ht="11.25" customHeight="1" x14ac:dyDescent="0.25">
      <c r="A296" s="231"/>
      <c r="B296" s="251">
        <v>2</v>
      </c>
      <c r="C296" s="251" t="s">
        <v>9</v>
      </c>
      <c r="D296" s="251" t="s">
        <v>31</v>
      </c>
      <c r="E296" s="251" t="str">
        <f t="shared" si="21"/>
        <v>25F</v>
      </c>
      <c r="F296" s="252" t="s">
        <v>158</v>
      </c>
      <c r="G296" s="252" t="s">
        <v>105</v>
      </c>
      <c r="H296" s="252" t="s">
        <v>117</v>
      </c>
      <c r="I296" s="253">
        <v>0</v>
      </c>
      <c r="J296" s="254" t="str">
        <f t="shared" si="19"/>
        <v>EUR25F3Y_Quote</v>
      </c>
      <c r="K296" s="255"/>
      <c r="L296" s="256" t="str">
        <f>_xll.ohRangeRetrieveError(K296)</f>
        <v/>
      </c>
      <c r="M296" s="239"/>
      <c r="O296" s="275"/>
    </row>
    <row r="297" spans="1:15" ht="11.25" customHeight="1" x14ac:dyDescent="0.25">
      <c r="A297" s="231"/>
      <c r="B297" s="251">
        <v>2</v>
      </c>
      <c r="C297" s="251" t="s">
        <v>9</v>
      </c>
      <c r="D297" s="251" t="s">
        <v>30</v>
      </c>
      <c r="E297" s="251" t="str">
        <f t="shared" si="21"/>
        <v>25F</v>
      </c>
      <c r="F297" s="252" t="s">
        <v>158</v>
      </c>
      <c r="G297" s="252" t="s">
        <v>105</v>
      </c>
      <c r="H297" s="252" t="s">
        <v>117</v>
      </c>
      <c r="I297" s="253">
        <v>0</v>
      </c>
      <c r="J297" s="254" t="str">
        <f t="shared" si="19"/>
        <v>EUR25F4Y_Quote</v>
      </c>
      <c r="K297" s="255"/>
      <c r="L297" s="256" t="str">
        <f>_xll.ohRangeRetrieveError(K297)</f>
        <v/>
      </c>
      <c r="M297" s="239"/>
      <c r="O297" s="275"/>
    </row>
    <row r="298" spans="1:15" ht="11.25" customHeight="1" x14ac:dyDescent="0.25">
      <c r="A298" s="231"/>
      <c r="B298" s="251">
        <v>2</v>
      </c>
      <c r="C298" s="251" t="s">
        <v>9</v>
      </c>
      <c r="D298" s="251" t="s">
        <v>29</v>
      </c>
      <c r="E298" s="251" t="str">
        <f t="shared" si="21"/>
        <v>25F</v>
      </c>
      <c r="F298" s="252" t="s">
        <v>158</v>
      </c>
      <c r="G298" s="252" t="s">
        <v>105</v>
      </c>
      <c r="H298" s="252" t="s">
        <v>117</v>
      </c>
      <c r="I298" s="253">
        <v>0</v>
      </c>
      <c r="J298" s="254" t="str">
        <f t="shared" si="19"/>
        <v>EUR25F5Y_Quote</v>
      </c>
      <c r="K298" s="255"/>
      <c r="L298" s="256" t="str">
        <f>_xll.ohRangeRetrieveError(K298)</f>
        <v/>
      </c>
      <c r="M298" s="239"/>
      <c r="O298" s="275"/>
    </row>
    <row r="299" spans="1:15" ht="11.25" customHeight="1" x14ac:dyDescent="0.25">
      <c r="A299" s="231"/>
      <c r="B299" s="251">
        <v>2</v>
      </c>
      <c r="C299" s="251" t="s">
        <v>9</v>
      </c>
      <c r="D299" s="251" t="s">
        <v>28</v>
      </c>
      <c r="E299" s="251" t="str">
        <f t="shared" si="21"/>
        <v>25F</v>
      </c>
      <c r="F299" s="252" t="s">
        <v>158</v>
      </c>
      <c r="G299" s="252" t="s">
        <v>105</v>
      </c>
      <c r="H299" s="252" t="s">
        <v>117</v>
      </c>
      <c r="I299" s="253">
        <v>0</v>
      </c>
      <c r="J299" s="254" t="str">
        <f t="shared" si="19"/>
        <v>EUR25F6Y_Quote</v>
      </c>
      <c r="K299" s="255"/>
      <c r="L299" s="256" t="str">
        <f>_xll.ohRangeRetrieveError(K299)</f>
        <v/>
      </c>
      <c r="M299" s="239"/>
      <c r="O299" s="275"/>
    </row>
    <row r="300" spans="1:15" ht="11.25" customHeight="1" x14ac:dyDescent="0.25">
      <c r="A300" s="231"/>
      <c r="B300" s="251">
        <v>2</v>
      </c>
      <c r="C300" s="251" t="s">
        <v>9</v>
      </c>
      <c r="D300" s="251" t="s">
        <v>27</v>
      </c>
      <c r="E300" s="251" t="str">
        <f t="shared" si="21"/>
        <v>25F</v>
      </c>
      <c r="F300" s="252" t="s">
        <v>158</v>
      </c>
      <c r="G300" s="252" t="s">
        <v>105</v>
      </c>
      <c r="H300" s="252" t="s">
        <v>117</v>
      </c>
      <c r="I300" s="253">
        <v>0</v>
      </c>
      <c r="J300" s="254" t="str">
        <f t="shared" si="19"/>
        <v>EUR25F7Y_Quote</v>
      </c>
      <c r="K300" s="255"/>
      <c r="L300" s="256" t="str">
        <f>_xll.ohRangeRetrieveError(K300)</f>
        <v/>
      </c>
      <c r="M300" s="239"/>
      <c r="O300" s="275"/>
    </row>
    <row r="301" spans="1:15" ht="11.25" customHeight="1" x14ac:dyDescent="0.25">
      <c r="A301" s="231"/>
      <c r="B301" s="251">
        <v>2</v>
      </c>
      <c r="C301" s="251" t="s">
        <v>9</v>
      </c>
      <c r="D301" s="251" t="s">
        <v>26</v>
      </c>
      <c r="E301" s="251" t="str">
        <f t="shared" si="21"/>
        <v>25F</v>
      </c>
      <c r="F301" s="252" t="s">
        <v>158</v>
      </c>
      <c r="G301" s="252" t="s">
        <v>105</v>
      </c>
      <c r="H301" s="252" t="s">
        <v>117</v>
      </c>
      <c r="I301" s="253">
        <v>0</v>
      </c>
      <c r="J301" s="254" t="str">
        <f t="shared" si="19"/>
        <v>EUR25F8Y_Quote</v>
      </c>
      <c r="K301" s="255"/>
      <c r="L301" s="256" t="str">
        <f>_xll.ohRangeRetrieveError(K301)</f>
        <v/>
      </c>
      <c r="M301" s="239"/>
      <c r="O301" s="275"/>
    </row>
    <row r="302" spans="1:15" ht="11.25" customHeight="1" x14ac:dyDescent="0.25">
      <c r="A302" s="231"/>
      <c r="B302" s="251">
        <v>2</v>
      </c>
      <c r="C302" s="251" t="s">
        <v>9</v>
      </c>
      <c r="D302" s="251" t="s">
        <v>25</v>
      </c>
      <c r="E302" s="251" t="str">
        <f t="shared" si="21"/>
        <v>25F</v>
      </c>
      <c r="F302" s="252" t="s">
        <v>158</v>
      </c>
      <c r="G302" s="252" t="s">
        <v>105</v>
      </c>
      <c r="H302" s="252" t="s">
        <v>117</v>
      </c>
      <c r="I302" s="253">
        <v>0</v>
      </c>
      <c r="J302" s="254" t="str">
        <f t="shared" si="19"/>
        <v>EUR25F9Y_Quote</v>
      </c>
      <c r="K302" s="255"/>
      <c r="L302" s="256" t="str">
        <f>_xll.ohRangeRetrieveError(K302)</f>
        <v/>
      </c>
      <c r="M302" s="239"/>
      <c r="O302" s="275"/>
    </row>
    <row r="303" spans="1:15" ht="11.25" customHeight="1" x14ac:dyDescent="0.25">
      <c r="A303" s="231"/>
      <c r="B303" s="251">
        <v>2</v>
      </c>
      <c r="C303" s="251" t="s">
        <v>9</v>
      </c>
      <c r="D303" s="251" t="s">
        <v>24</v>
      </c>
      <c r="E303" s="251" t="str">
        <f t="shared" si="21"/>
        <v>25F</v>
      </c>
      <c r="F303" s="252" t="s">
        <v>158</v>
      </c>
      <c r="G303" s="252" t="s">
        <v>105</v>
      </c>
      <c r="H303" s="252" t="s">
        <v>117</v>
      </c>
      <c r="I303" s="253">
        <v>0</v>
      </c>
      <c r="J303" s="254" t="str">
        <f t="shared" si="19"/>
        <v>EUR25F10Y_Quote</v>
      </c>
      <c r="K303" s="255"/>
      <c r="L303" s="256" t="str">
        <f>_xll.ohRangeRetrieveError(K303)</f>
        <v/>
      </c>
      <c r="M303" s="239"/>
      <c r="O303" s="275"/>
    </row>
    <row r="304" spans="1:15" ht="11.25" customHeight="1" x14ac:dyDescent="0.25">
      <c r="A304" s="231"/>
      <c r="B304" s="251">
        <v>2</v>
      </c>
      <c r="C304" s="251" t="s">
        <v>9</v>
      </c>
      <c r="D304" s="251" t="s">
        <v>23</v>
      </c>
      <c r="E304" s="251" t="str">
        <f t="shared" si="21"/>
        <v>25F</v>
      </c>
      <c r="F304" s="252" t="s">
        <v>158</v>
      </c>
      <c r="G304" s="252" t="s">
        <v>105</v>
      </c>
      <c r="H304" s="252" t="s">
        <v>117</v>
      </c>
      <c r="I304" s="253">
        <v>0</v>
      </c>
      <c r="J304" s="254" t="str">
        <f t="shared" si="19"/>
        <v>EUR25F11Y_Quote</v>
      </c>
      <c r="K304" s="255"/>
      <c r="L304" s="256" t="str">
        <f>_xll.ohRangeRetrieveError(K304)</f>
        <v/>
      </c>
      <c r="M304" s="239"/>
      <c r="O304" s="275"/>
    </row>
    <row r="305" spans="1:15" ht="11.25" customHeight="1" x14ac:dyDescent="0.25">
      <c r="A305" s="231"/>
      <c r="B305" s="251">
        <v>2</v>
      </c>
      <c r="C305" s="251" t="s">
        <v>9</v>
      </c>
      <c r="D305" s="251" t="s">
        <v>22</v>
      </c>
      <c r="E305" s="251" t="str">
        <f t="shared" si="21"/>
        <v>25F</v>
      </c>
      <c r="F305" s="252" t="s">
        <v>158</v>
      </c>
      <c r="G305" s="252" t="s">
        <v>105</v>
      </c>
      <c r="H305" s="252" t="s">
        <v>117</v>
      </c>
      <c r="I305" s="253">
        <v>0</v>
      </c>
      <c r="J305" s="254" t="str">
        <f t="shared" si="19"/>
        <v>EUR25F12Y_Quote</v>
      </c>
      <c r="K305" s="255"/>
      <c r="L305" s="256" t="str">
        <f>_xll.ohRangeRetrieveError(K305)</f>
        <v/>
      </c>
      <c r="M305" s="239"/>
      <c r="O305" s="275"/>
    </row>
    <row r="306" spans="1:15" ht="11.25" customHeight="1" x14ac:dyDescent="0.25">
      <c r="A306" s="231"/>
      <c r="B306" s="251">
        <v>2</v>
      </c>
      <c r="C306" s="251" t="s">
        <v>9</v>
      </c>
      <c r="D306" s="251" t="s">
        <v>21</v>
      </c>
      <c r="E306" s="251" t="str">
        <f t="shared" si="21"/>
        <v>25F</v>
      </c>
      <c r="F306" s="252" t="s">
        <v>158</v>
      </c>
      <c r="G306" s="252" t="s">
        <v>105</v>
      </c>
      <c r="H306" s="252" t="s">
        <v>117</v>
      </c>
      <c r="I306" s="253">
        <v>0</v>
      </c>
      <c r="J306" s="254" t="str">
        <f t="shared" si="19"/>
        <v>EUR25F13Y_Quote</v>
      </c>
      <c r="K306" s="255"/>
      <c r="L306" s="256" t="str">
        <f>_xll.ohRangeRetrieveError(K306)</f>
        <v/>
      </c>
      <c r="M306" s="239"/>
      <c r="O306" s="275"/>
    </row>
    <row r="307" spans="1:15" ht="11.25" customHeight="1" x14ac:dyDescent="0.25">
      <c r="A307" s="231"/>
      <c r="B307" s="251">
        <v>2</v>
      </c>
      <c r="C307" s="251" t="s">
        <v>9</v>
      </c>
      <c r="D307" s="251" t="s">
        <v>20</v>
      </c>
      <c r="E307" s="251" t="str">
        <f t="shared" si="21"/>
        <v>25F</v>
      </c>
      <c r="F307" s="252" t="s">
        <v>158</v>
      </c>
      <c r="G307" s="252" t="s">
        <v>105</v>
      </c>
      <c r="H307" s="252" t="s">
        <v>117</v>
      </c>
      <c r="I307" s="253">
        <v>0</v>
      </c>
      <c r="J307" s="254" t="str">
        <f t="shared" si="19"/>
        <v>EUR25F14Y_Quote</v>
      </c>
      <c r="K307" s="255"/>
      <c r="L307" s="256" t="str">
        <f>_xll.ohRangeRetrieveError(K307)</f>
        <v/>
      </c>
      <c r="M307" s="239"/>
      <c r="O307" s="275"/>
    </row>
    <row r="308" spans="1:15" ht="11.25" customHeight="1" x14ac:dyDescent="0.25">
      <c r="A308" s="231"/>
      <c r="B308" s="251">
        <v>2</v>
      </c>
      <c r="C308" s="251" t="s">
        <v>9</v>
      </c>
      <c r="D308" s="251" t="s">
        <v>19</v>
      </c>
      <c r="E308" s="251" t="str">
        <f t="shared" si="21"/>
        <v>25F</v>
      </c>
      <c r="F308" s="252" t="s">
        <v>158</v>
      </c>
      <c r="G308" s="252" t="s">
        <v>105</v>
      </c>
      <c r="H308" s="252" t="s">
        <v>117</v>
      </c>
      <c r="I308" s="253">
        <v>0</v>
      </c>
      <c r="J308" s="254" t="str">
        <f t="shared" si="19"/>
        <v>EUR25F15Y_Quote</v>
      </c>
      <c r="K308" s="255"/>
      <c r="L308" s="256" t="str">
        <f>_xll.ohRangeRetrieveError(K308)</f>
        <v/>
      </c>
      <c r="M308" s="239"/>
      <c r="O308" s="275"/>
    </row>
    <row r="309" spans="1:15" ht="11.25" customHeight="1" x14ac:dyDescent="0.25">
      <c r="A309" s="231"/>
      <c r="B309" s="251">
        <v>2</v>
      </c>
      <c r="C309" s="251" t="s">
        <v>9</v>
      </c>
      <c r="D309" s="251" t="s">
        <v>14</v>
      </c>
      <c r="E309" s="251" t="str">
        <f t="shared" si="21"/>
        <v>25F</v>
      </c>
      <c r="F309" s="252" t="s">
        <v>158</v>
      </c>
      <c r="G309" s="252" t="s">
        <v>105</v>
      </c>
      <c r="H309" s="252" t="s">
        <v>117</v>
      </c>
      <c r="I309" s="253">
        <v>0</v>
      </c>
      <c r="J309" s="254" t="str">
        <f t="shared" si="19"/>
        <v>EUR25F20Y_Quote</v>
      </c>
      <c r="K309" s="255"/>
      <c r="L309" s="256" t="str">
        <f>_xll.ohRangeRetrieveError(K309)</f>
        <v/>
      </c>
      <c r="M309" s="239"/>
      <c r="O309" s="275"/>
    </row>
    <row r="310" spans="1:15" ht="11.25" customHeight="1" x14ac:dyDescent="0.25">
      <c r="A310" s="231"/>
      <c r="B310" s="251">
        <v>2</v>
      </c>
      <c r="C310" s="251" t="s">
        <v>9</v>
      </c>
      <c r="D310" s="251" t="s">
        <v>9</v>
      </c>
      <c r="E310" s="251" t="str">
        <f t="shared" si="21"/>
        <v>25F</v>
      </c>
      <c r="F310" s="252" t="s">
        <v>158</v>
      </c>
      <c r="G310" s="252" t="s">
        <v>105</v>
      </c>
      <c r="H310" s="252" t="s">
        <v>117</v>
      </c>
      <c r="I310" s="253">
        <v>0</v>
      </c>
      <c r="J310" s="254" t="str">
        <f t="shared" si="19"/>
        <v>EUR25F25Y_Quote</v>
      </c>
      <c r="K310" s="255"/>
      <c r="L310" s="256" t="str">
        <f>_xll.ohRangeRetrieveError(K310)</f>
        <v/>
      </c>
      <c r="M310" s="239"/>
      <c r="O310" s="275"/>
    </row>
    <row r="311" spans="1:15" ht="11.25" customHeight="1" x14ac:dyDescent="0.25">
      <c r="A311" s="231"/>
      <c r="B311" s="261">
        <v>2</v>
      </c>
      <c r="C311" s="261" t="s">
        <v>9</v>
      </c>
      <c r="D311" s="261" t="s">
        <v>4</v>
      </c>
      <c r="E311" s="261" t="str">
        <f t="shared" si="21"/>
        <v>25F</v>
      </c>
      <c r="F311" s="262" t="s">
        <v>158</v>
      </c>
      <c r="G311" s="262" t="s">
        <v>105</v>
      </c>
      <c r="H311" s="262" t="s">
        <v>117</v>
      </c>
      <c r="I311" s="263">
        <v>0</v>
      </c>
      <c r="J311" s="264" t="str">
        <f t="shared" si="19"/>
        <v>EUR25F30Y_Quote</v>
      </c>
      <c r="K311" s="265" t="str">
        <f>_xll.qlSwapRateHelper2(,$J311,$B311,$D311,Calendar,$F311,$G311,$H311,$K$4,$I311,C311,Discounting,Permanent,,ObjectOverwrite)</f>
        <v>obj_00773#0003</v>
      </c>
      <c r="L311" s="266" t="str">
        <f>_xll.ohRangeRetrieveError(K311)</f>
        <v/>
      </c>
      <c r="M311" s="239"/>
      <c r="O311" s="275"/>
    </row>
    <row r="312" spans="1:15" ht="11.25" customHeight="1" x14ac:dyDescent="0.25">
      <c r="A312" s="231"/>
      <c r="B312" s="243">
        <v>2</v>
      </c>
      <c r="C312" s="243" t="s">
        <v>4</v>
      </c>
      <c r="D312" s="243" t="s">
        <v>36</v>
      </c>
      <c r="E312" s="243" t="str">
        <f>LEFT(C312,2)&amp;"F"</f>
        <v>30F</v>
      </c>
      <c r="F312" s="244" t="s">
        <v>158</v>
      </c>
      <c r="G312" s="244" t="s">
        <v>105</v>
      </c>
      <c r="H312" s="244" t="s">
        <v>117</v>
      </c>
      <c r="I312" s="245">
        <v>0</v>
      </c>
      <c r="J312" s="246" t="str">
        <f t="shared" si="19"/>
        <v>EUR30F1Y_Quote</v>
      </c>
      <c r="K312" s="247"/>
      <c r="L312" s="248" t="str">
        <f>_xll.ohRangeRetrieveError(K312)</f>
        <v/>
      </c>
      <c r="M312" s="239"/>
      <c r="O312" s="275"/>
    </row>
    <row r="313" spans="1:15" ht="11.25" customHeight="1" x14ac:dyDescent="0.25">
      <c r="A313" s="231"/>
      <c r="B313" s="251">
        <v>2</v>
      </c>
      <c r="C313" s="251" t="s">
        <v>4</v>
      </c>
      <c r="D313" s="251" t="s">
        <v>32</v>
      </c>
      <c r="E313" s="251" t="str">
        <f t="shared" ref="E313:E329" si="22">LEFT(C313,2)&amp;"F"</f>
        <v>30F</v>
      </c>
      <c r="F313" s="252" t="s">
        <v>158</v>
      </c>
      <c r="G313" s="252" t="s">
        <v>105</v>
      </c>
      <c r="H313" s="252" t="s">
        <v>117</v>
      </c>
      <c r="I313" s="253">
        <v>0</v>
      </c>
      <c r="J313" s="254" t="str">
        <f t="shared" si="19"/>
        <v>EUR30F2Y_Quote</v>
      </c>
      <c r="K313" s="255"/>
      <c r="L313" s="256" t="str">
        <f>_xll.ohRangeRetrieveError(K313)</f>
        <v/>
      </c>
      <c r="M313" s="239"/>
      <c r="O313" s="275"/>
    </row>
    <row r="314" spans="1:15" ht="11.25" customHeight="1" x14ac:dyDescent="0.25">
      <c r="A314" s="231"/>
      <c r="B314" s="251">
        <v>2</v>
      </c>
      <c r="C314" s="251" t="s">
        <v>4</v>
      </c>
      <c r="D314" s="251" t="s">
        <v>31</v>
      </c>
      <c r="E314" s="251" t="str">
        <f t="shared" si="22"/>
        <v>30F</v>
      </c>
      <c r="F314" s="252" t="s">
        <v>158</v>
      </c>
      <c r="G314" s="252" t="s">
        <v>105</v>
      </c>
      <c r="H314" s="252" t="s">
        <v>117</v>
      </c>
      <c r="I314" s="253">
        <v>0</v>
      </c>
      <c r="J314" s="254" t="str">
        <f t="shared" si="19"/>
        <v>EUR30F3Y_Quote</v>
      </c>
      <c r="K314" s="255"/>
      <c r="L314" s="256" t="str">
        <f>_xll.ohRangeRetrieveError(K314)</f>
        <v/>
      </c>
      <c r="M314" s="239"/>
      <c r="O314" s="275"/>
    </row>
    <row r="315" spans="1:15" ht="11.25" customHeight="1" x14ac:dyDescent="0.25">
      <c r="A315" s="231"/>
      <c r="B315" s="251">
        <v>2</v>
      </c>
      <c r="C315" s="251" t="s">
        <v>4</v>
      </c>
      <c r="D315" s="251" t="s">
        <v>30</v>
      </c>
      <c r="E315" s="251" t="str">
        <f t="shared" si="22"/>
        <v>30F</v>
      </c>
      <c r="F315" s="252" t="s">
        <v>158</v>
      </c>
      <c r="G315" s="252" t="s">
        <v>105</v>
      </c>
      <c r="H315" s="252" t="s">
        <v>117</v>
      </c>
      <c r="I315" s="253">
        <v>0</v>
      </c>
      <c r="J315" s="254" t="str">
        <f t="shared" si="19"/>
        <v>EUR30F4Y_Quote</v>
      </c>
      <c r="K315" s="255"/>
      <c r="L315" s="256" t="str">
        <f>_xll.ohRangeRetrieveError(K315)</f>
        <v/>
      </c>
      <c r="M315" s="239"/>
      <c r="O315" s="275"/>
    </row>
    <row r="316" spans="1:15" ht="11.25" customHeight="1" x14ac:dyDescent="0.25">
      <c r="A316" s="231"/>
      <c r="B316" s="251">
        <v>2</v>
      </c>
      <c r="C316" s="251" t="s">
        <v>4</v>
      </c>
      <c r="D316" s="251" t="s">
        <v>29</v>
      </c>
      <c r="E316" s="251" t="str">
        <f t="shared" si="22"/>
        <v>30F</v>
      </c>
      <c r="F316" s="252" t="s">
        <v>158</v>
      </c>
      <c r="G316" s="252" t="s">
        <v>105</v>
      </c>
      <c r="H316" s="252" t="s">
        <v>117</v>
      </c>
      <c r="I316" s="253">
        <v>0</v>
      </c>
      <c r="J316" s="254" t="str">
        <f t="shared" si="19"/>
        <v>EUR30F5Y_Quote</v>
      </c>
      <c r="K316" s="255"/>
      <c r="L316" s="256" t="str">
        <f>_xll.ohRangeRetrieveError(K316)</f>
        <v/>
      </c>
      <c r="M316" s="239"/>
      <c r="O316" s="275"/>
    </row>
    <row r="317" spans="1:15" ht="11.25" customHeight="1" x14ac:dyDescent="0.25">
      <c r="A317" s="231"/>
      <c r="B317" s="251">
        <v>2</v>
      </c>
      <c r="C317" s="251" t="s">
        <v>4</v>
      </c>
      <c r="D317" s="251" t="s">
        <v>28</v>
      </c>
      <c r="E317" s="251" t="str">
        <f t="shared" si="22"/>
        <v>30F</v>
      </c>
      <c r="F317" s="252" t="s">
        <v>158</v>
      </c>
      <c r="G317" s="252" t="s">
        <v>105</v>
      </c>
      <c r="H317" s="252" t="s">
        <v>117</v>
      </c>
      <c r="I317" s="253">
        <v>0</v>
      </c>
      <c r="J317" s="254" t="str">
        <f t="shared" si="19"/>
        <v>EUR30F6Y_Quote</v>
      </c>
      <c r="K317" s="255"/>
      <c r="L317" s="256" t="str">
        <f>_xll.ohRangeRetrieveError(K317)</f>
        <v/>
      </c>
      <c r="M317" s="239"/>
      <c r="O317" s="275"/>
    </row>
    <row r="318" spans="1:15" ht="11.25" customHeight="1" x14ac:dyDescent="0.25">
      <c r="A318" s="231"/>
      <c r="B318" s="251">
        <v>2</v>
      </c>
      <c r="C318" s="251" t="s">
        <v>4</v>
      </c>
      <c r="D318" s="251" t="s">
        <v>27</v>
      </c>
      <c r="E318" s="251" t="str">
        <f t="shared" si="22"/>
        <v>30F</v>
      </c>
      <c r="F318" s="252" t="s">
        <v>158</v>
      </c>
      <c r="G318" s="252" t="s">
        <v>105</v>
      </c>
      <c r="H318" s="252" t="s">
        <v>117</v>
      </c>
      <c r="I318" s="253">
        <v>0</v>
      </c>
      <c r="J318" s="254" t="str">
        <f t="shared" si="19"/>
        <v>EUR30F7Y_Quote</v>
      </c>
      <c r="K318" s="255"/>
      <c r="L318" s="256" t="str">
        <f>_xll.ohRangeRetrieveError(K318)</f>
        <v/>
      </c>
      <c r="M318" s="239"/>
      <c r="O318" s="275"/>
    </row>
    <row r="319" spans="1:15" ht="11.25" customHeight="1" x14ac:dyDescent="0.25">
      <c r="A319" s="231"/>
      <c r="B319" s="251">
        <v>2</v>
      </c>
      <c r="C319" s="251" t="s">
        <v>4</v>
      </c>
      <c r="D319" s="251" t="s">
        <v>26</v>
      </c>
      <c r="E319" s="251" t="str">
        <f t="shared" si="22"/>
        <v>30F</v>
      </c>
      <c r="F319" s="252" t="s">
        <v>158</v>
      </c>
      <c r="G319" s="252" t="s">
        <v>105</v>
      </c>
      <c r="H319" s="252" t="s">
        <v>117</v>
      </c>
      <c r="I319" s="253">
        <v>0</v>
      </c>
      <c r="J319" s="254" t="str">
        <f t="shared" si="19"/>
        <v>EUR30F8Y_Quote</v>
      </c>
      <c r="K319" s="255"/>
      <c r="L319" s="256" t="str">
        <f>_xll.ohRangeRetrieveError(K319)</f>
        <v/>
      </c>
      <c r="M319" s="239"/>
      <c r="O319" s="275"/>
    </row>
    <row r="320" spans="1:15" ht="11.25" customHeight="1" x14ac:dyDescent="0.25">
      <c r="A320" s="231"/>
      <c r="B320" s="251">
        <v>2</v>
      </c>
      <c r="C320" s="251" t="s">
        <v>4</v>
      </c>
      <c r="D320" s="251" t="s">
        <v>25</v>
      </c>
      <c r="E320" s="251" t="str">
        <f t="shared" si="22"/>
        <v>30F</v>
      </c>
      <c r="F320" s="252" t="s">
        <v>158</v>
      </c>
      <c r="G320" s="252" t="s">
        <v>105</v>
      </c>
      <c r="H320" s="252" t="s">
        <v>117</v>
      </c>
      <c r="I320" s="253">
        <v>0</v>
      </c>
      <c r="J320" s="254" t="str">
        <f t="shared" si="19"/>
        <v>EUR30F9Y_Quote</v>
      </c>
      <c r="K320" s="255"/>
      <c r="L320" s="256" t="str">
        <f>_xll.ohRangeRetrieveError(K320)</f>
        <v/>
      </c>
      <c r="M320" s="239"/>
      <c r="O320" s="275"/>
    </row>
    <row r="321" spans="1:15" ht="11.25" customHeight="1" x14ac:dyDescent="0.25">
      <c r="A321" s="231"/>
      <c r="B321" s="251">
        <v>2</v>
      </c>
      <c r="C321" s="251" t="s">
        <v>4</v>
      </c>
      <c r="D321" s="251" t="s">
        <v>24</v>
      </c>
      <c r="E321" s="251" t="str">
        <f t="shared" si="22"/>
        <v>30F</v>
      </c>
      <c r="F321" s="252" t="s">
        <v>158</v>
      </c>
      <c r="G321" s="252" t="s">
        <v>105</v>
      </c>
      <c r="H321" s="252" t="s">
        <v>117</v>
      </c>
      <c r="I321" s="253">
        <v>0</v>
      </c>
      <c r="J321" s="254" t="str">
        <f t="shared" si="19"/>
        <v>EUR30F10Y_Quote</v>
      </c>
      <c r="K321" s="255"/>
      <c r="L321" s="256" t="str">
        <f>_xll.ohRangeRetrieveError(K321)</f>
        <v/>
      </c>
      <c r="M321" s="239"/>
      <c r="O321" s="275"/>
    </row>
    <row r="322" spans="1:15" ht="11.25" customHeight="1" x14ac:dyDescent="0.25">
      <c r="A322" s="231"/>
      <c r="B322" s="251">
        <v>2</v>
      </c>
      <c r="C322" s="251" t="s">
        <v>4</v>
      </c>
      <c r="D322" s="251" t="s">
        <v>23</v>
      </c>
      <c r="E322" s="251" t="str">
        <f t="shared" si="22"/>
        <v>30F</v>
      </c>
      <c r="F322" s="252" t="s">
        <v>158</v>
      </c>
      <c r="G322" s="252" t="s">
        <v>105</v>
      </c>
      <c r="H322" s="252" t="s">
        <v>117</v>
      </c>
      <c r="I322" s="253">
        <v>0</v>
      </c>
      <c r="J322" s="254" t="str">
        <f t="shared" si="19"/>
        <v>EUR30F11Y_Quote</v>
      </c>
      <c r="K322" s="255"/>
      <c r="L322" s="256" t="str">
        <f>_xll.ohRangeRetrieveError(K322)</f>
        <v/>
      </c>
      <c r="M322" s="239"/>
      <c r="O322" s="275"/>
    </row>
    <row r="323" spans="1:15" ht="11.25" customHeight="1" x14ac:dyDescent="0.25">
      <c r="A323" s="231"/>
      <c r="B323" s="251">
        <v>2</v>
      </c>
      <c r="C323" s="251" t="s">
        <v>4</v>
      </c>
      <c r="D323" s="251" t="s">
        <v>22</v>
      </c>
      <c r="E323" s="251" t="str">
        <f t="shared" si="22"/>
        <v>30F</v>
      </c>
      <c r="F323" s="252" t="s">
        <v>158</v>
      </c>
      <c r="G323" s="252" t="s">
        <v>105</v>
      </c>
      <c r="H323" s="252" t="s">
        <v>117</v>
      </c>
      <c r="I323" s="253">
        <v>0</v>
      </c>
      <c r="J323" s="254" t="str">
        <f t="shared" si="19"/>
        <v>EUR30F12Y_Quote</v>
      </c>
      <c r="K323" s="255"/>
      <c r="L323" s="256" t="str">
        <f>_xll.ohRangeRetrieveError(K323)</f>
        <v/>
      </c>
      <c r="M323" s="239"/>
      <c r="O323" s="275"/>
    </row>
    <row r="324" spans="1:15" ht="11.25" customHeight="1" x14ac:dyDescent="0.25">
      <c r="A324" s="231"/>
      <c r="B324" s="251">
        <v>2</v>
      </c>
      <c r="C324" s="251" t="s">
        <v>4</v>
      </c>
      <c r="D324" s="251" t="s">
        <v>21</v>
      </c>
      <c r="E324" s="251" t="str">
        <f t="shared" si="22"/>
        <v>30F</v>
      </c>
      <c r="F324" s="252" t="s">
        <v>158</v>
      </c>
      <c r="G324" s="252" t="s">
        <v>105</v>
      </c>
      <c r="H324" s="252" t="s">
        <v>117</v>
      </c>
      <c r="I324" s="253">
        <v>0</v>
      </c>
      <c r="J324" s="254" t="str">
        <f t="shared" si="19"/>
        <v>EUR30F13Y_Quote</v>
      </c>
      <c r="K324" s="255"/>
      <c r="L324" s="256" t="str">
        <f>_xll.ohRangeRetrieveError(K324)</f>
        <v/>
      </c>
      <c r="M324" s="239"/>
      <c r="O324" s="275"/>
    </row>
    <row r="325" spans="1:15" ht="11.25" customHeight="1" x14ac:dyDescent="0.25">
      <c r="A325" s="231"/>
      <c r="B325" s="251">
        <v>2</v>
      </c>
      <c r="C325" s="251" t="s">
        <v>4</v>
      </c>
      <c r="D325" s="251" t="s">
        <v>20</v>
      </c>
      <c r="E325" s="251" t="str">
        <f t="shared" si="22"/>
        <v>30F</v>
      </c>
      <c r="F325" s="252" t="s">
        <v>158</v>
      </c>
      <c r="G325" s="252" t="s">
        <v>105</v>
      </c>
      <c r="H325" s="252" t="s">
        <v>117</v>
      </c>
      <c r="I325" s="253">
        <v>0</v>
      </c>
      <c r="J325" s="254" t="str">
        <f t="shared" si="19"/>
        <v>EUR30F14Y_Quote</v>
      </c>
      <c r="K325" s="255"/>
      <c r="L325" s="256" t="str">
        <f>_xll.ohRangeRetrieveError(K325)</f>
        <v/>
      </c>
      <c r="M325" s="239"/>
      <c r="O325" s="275"/>
    </row>
    <row r="326" spans="1:15" ht="11.25" customHeight="1" x14ac:dyDescent="0.25">
      <c r="A326" s="231"/>
      <c r="B326" s="251">
        <v>2</v>
      </c>
      <c r="C326" s="251" t="s">
        <v>4</v>
      </c>
      <c r="D326" s="251" t="s">
        <v>19</v>
      </c>
      <c r="E326" s="251" t="str">
        <f t="shared" si="22"/>
        <v>30F</v>
      </c>
      <c r="F326" s="252" t="s">
        <v>158</v>
      </c>
      <c r="G326" s="252" t="s">
        <v>105</v>
      </c>
      <c r="H326" s="252" t="s">
        <v>117</v>
      </c>
      <c r="I326" s="253">
        <v>0</v>
      </c>
      <c r="J326" s="254" t="str">
        <f t="shared" si="19"/>
        <v>EUR30F15Y_Quote</v>
      </c>
      <c r="K326" s="255"/>
      <c r="L326" s="256" t="str">
        <f>_xll.ohRangeRetrieveError(K326)</f>
        <v/>
      </c>
      <c r="M326" s="239"/>
      <c r="O326" s="275"/>
    </row>
    <row r="327" spans="1:15" ht="11.25" customHeight="1" x14ac:dyDescent="0.25">
      <c r="A327" s="231"/>
      <c r="B327" s="251">
        <v>2</v>
      </c>
      <c r="C327" s="251" t="s">
        <v>4</v>
      </c>
      <c r="D327" s="251" t="s">
        <v>14</v>
      </c>
      <c r="E327" s="251" t="str">
        <f t="shared" si="22"/>
        <v>30F</v>
      </c>
      <c r="F327" s="252" t="s">
        <v>158</v>
      </c>
      <c r="G327" s="252" t="s">
        <v>105</v>
      </c>
      <c r="H327" s="252" t="s">
        <v>117</v>
      </c>
      <c r="I327" s="253">
        <v>0</v>
      </c>
      <c r="J327" s="254" t="str">
        <f t="shared" si="19"/>
        <v>EUR30F20Y_Quote</v>
      </c>
      <c r="K327" s="255"/>
      <c r="L327" s="256" t="str">
        <f>_xll.ohRangeRetrieveError(K327)</f>
        <v/>
      </c>
      <c r="M327" s="239"/>
      <c r="O327" s="275"/>
    </row>
    <row r="328" spans="1:15" ht="11.25" customHeight="1" x14ac:dyDescent="0.25">
      <c r="A328" s="231"/>
      <c r="B328" s="251">
        <v>2</v>
      </c>
      <c r="C328" s="251" t="s">
        <v>4</v>
      </c>
      <c r="D328" s="251" t="s">
        <v>9</v>
      </c>
      <c r="E328" s="251" t="str">
        <f t="shared" si="22"/>
        <v>30F</v>
      </c>
      <c r="F328" s="252" t="s">
        <v>158</v>
      </c>
      <c r="G328" s="252" t="s">
        <v>105</v>
      </c>
      <c r="H328" s="252" t="s">
        <v>117</v>
      </c>
      <c r="I328" s="253">
        <v>0</v>
      </c>
      <c r="J328" s="254" t="str">
        <f t="shared" si="19"/>
        <v>EUR30F25Y_Quote</v>
      </c>
      <c r="K328" s="255"/>
      <c r="L328" s="256" t="str">
        <f>_xll.ohRangeRetrieveError(K328)</f>
        <v/>
      </c>
      <c r="M328" s="239"/>
      <c r="O328" s="275"/>
    </row>
    <row r="329" spans="1:15" ht="11.25" customHeight="1" x14ac:dyDescent="0.25">
      <c r="A329" s="231"/>
      <c r="B329" s="261">
        <v>2</v>
      </c>
      <c r="C329" s="261" t="s">
        <v>4</v>
      </c>
      <c r="D329" s="261" t="s">
        <v>4</v>
      </c>
      <c r="E329" s="261" t="str">
        <f t="shared" si="22"/>
        <v>30F</v>
      </c>
      <c r="F329" s="262" t="s">
        <v>158</v>
      </c>
      <c r="G329" s="262" t="s">
        <v>105</v>
      </c>
      <c r="H329" s="262" t="s">
        <v>117</v>
      </c>
      <c r="I329" s="263">
        <v>0</v>
      </c>
      <c r="J329" s="264" t="str">
        <f t="shared" si="19"/>
        <v>EUR30F30Y_Quote</v>
      </c>
      <c r="K329" s="265"/>
      <c r="L329" s="266" t="str">
        <f>_xll.ohRangeRetrieveError(K329)</f>
        <v/>
      </c>
      <c r="M329" s="239"/>
      <c r="O329" s="275"/>
    </row>
    <row r="330" spans="1:15" ht="11.25" customHeight="1" thickBot="1" x14ac:dyDescent="0.3">
      <c r="A330" s="267"/>
      <c r="B330" s="268"/>
      <c r="C330" s="268"/>
      <c r="D330" s="268"/>
      <c r="E330" s="268"/>
      <c r="F330" s="268"/>
      <c r="G330" s="268"/>
      <c r="H330" s="268"/>
      <c r="I330" s="268"/>
      <c r="J330" s="268"/>
      <c r="K330" s="269"/>
      <c r="L330" s="269"/>
      <c r="M330" s="270"/>
    </row>
    <row r="331" spans="1:15" ht="11.25" customHeight="1" x14ac:dyDescent="0.25"/>
  </sheetData>
  <dataValidations count="3">
    <dataValidation type="list" allowBlank="1" showInputMessage="1" showErrorMessage="1" sqref="G6:G329">
      <formula1>"Following,Modified Following,Preceding,Modified Preceding,Month End Reference,Unadjusted Month End,Unadjusted"</formula1>
    </dataValidation>
    <dataValidation type="list" allowBlank="1" showInputMessage="1" showErrorMessage="1" sqref="F6:F329">
      <formula1>"Annual,Semiannual,EveryFourthMonth,Quarterly,Bimonthly,Monthly,Biweekly,Weekly,Daily,Once,NoFrequency"</formula1>
    </dataValidation>
    <dataValidation type="list" allowBlank="1" showInputMessage="1" showErrorMessage="1" sqref="H6:H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C7" sqref="C7"/>
    </sheetView>
  </sheetViews>
  <sheetFormatPr defaultRowHeight="11.25" x14ac:dyDescent="0.2"/>
  <cols>
    <col min="1" max="1" width="2.7109375" style="115" customWidth="1"/>
    <col min="2" max="2" width="3" style="115" bestFit="1" customWidth="1"/>
    <col min="3" max="3" width="17.28515625" style="115" bestFit="1" customWidth="1"/>
    <col min="4" max="4" width="23.85546875" style="115" customWidth="1"/>
    <col min="5" max="6" width="11" style="115" bestFit="1" customWidth="1"/>
    <col min="7" max="7" width="24.42578125" style="115" bestFit="1" customWidth="1"/>
    <col min="8" max="8" width="2.7109375" style="115" customWidth="1"/>
    <col min="9" max="16384" width="9.140625" style="115"/>
  </cols>
  <sheetData>
    <row r="1" spans="1:8" x14ac:dyDescent="0.2">
      <c r="A1" s="217"/>
      <c r="B1" s="217"/>
      <c r="C1" s="217"/>
      <c r="D1" s="217"/>
      <c r="E1" s="217"/>
      <c r="F1" s="217"/>
      <c r="G1" s="217"/>
      <c r="H1" s="217"/>
    </row>
    <row r="2" spans="1:8" x14ac:dyDescent="0.2">
      <c r="A2" s="217"/>
      <c r="B2" s="218"/>
      <c r="C2" s="312" t="s">
        <v>163</v>
      </c>
      <c r="D2" s="313">
        <f>_xll.qlCalendarAdvance(Calendar,_xll.qlSettingsEvaluationDate(),NDays&amp;"D","f",,Trigger)</f>
        <v>42187</v>
      </c>
      <c r="E2" s="218"/>
      <c r="F2" s="218"/>
      <c r="G2" s="218"/>
      <c r="H2" s="219"/>
    </row>
    <row r="3" spans="1:8" ht="22.5" x14ac:dyDescent="0.2">
      <c r="A3" s="217"/>
      <c r="B3" s="218"/>
      <c r="C3" s="312" t="s">
        <v>164</v>
      </c>
      <c r="D3" s="314">
        <f>_xll.qlCalendarEndOfMonth(Calendar,EDATE(DATE(YEAR(D2),MONTH(D2),1),-1))</f>
        <v>42185</v>
      </c>
      <c r="E3" s="218"/>
      <c r="F3" s="218"/>
      <c r="G3" s="218"/>
      <c r="H3" s="219"/>
    </row>
    <row r="4" spans="1:8" ht="13.35" customHeight="1" x14ac:dyDescent="0.2">
      <c r="A4" s="217"/>
      <c r="B4" s="218"/>
      <c r="C4" s="218"/>
      <c r="D4" s="218"/>
      <c r="E4" s="218"/>
      <c r="F4" s="218"/>
      <c r="G4" s="218"/>
      <c r="H4" s="219"/>
    </row>
    <row r="5" spans="1:8" ht="13.35" customHeight="1" x14ac:dyDescent="0.2">
      <c r="A5" s="217"/>
      <c r="B5" s="312" t="s">
        <v>165</v>
      </c>
      <c r="C5" s="315" t="s">
        <v>166</v>
      </c>
      <c r="D5" s="315" t="s">
        <v>167</v>
      </c>
      <c r="E5" s="315" t="s">
        <v>168</v>
      </c>
      <c r="F5" s="315" t="s">
        <v>169</v>
      </c>
      <c r="G5" s="315" t="s">
        <v>170</v>
      </c>
      <c r="H5" s="219"/>
    </row>
    <row r="6" spans="1:8" ht="13.35" customHeight="1" x14ac:dyDescent="0.2">
      <c r="A6" s="217"/>
      <c r="B6" s="222">
        <v>1</v>
      </c>
      <c r="C6" s="223">
        <f>_xll.qlCalendarEndOfMonth(Calendar,_xll.qlCalendarAdvance(Calendar,D3,"0m","mf",FALSE),Trigger)</f>
        <v>42185</v>
      </c>
      <c r="D6" s="222" t="str">
        <f t="shared" ref="D6:D18" si="0">Currency&amp;"Jump"&amp;B6&amp;"_SYNTHON"&amp;QuoteSuffix</f>
        <v>EURJump1_SYNTHON_Quote</v>
      </c>
      <c r="E6" s="224">
        <f>IF(_xll.qlQuoteIsValid(D6,Trigger),_xll.qlQuoteValue(D6,Trigger),1)</f>
        <v>0.9999981</v>
      </c>
      <c r="F6" s="214"/>
      <c r="G6" s="224" t="str">
        <f>IF(ISBLANK(F6),D6,F6)</f>
        <v>EURJump1_SYNTHON_Quote</v>
      </c>
      <c r="H6" s="219"/>
    </row>
    <row r="7" spans="1:8" ht="13.35" customHeight="1" x14ac:dyDescent="0.2">
      <c r="A7" s="217"/>
      <c r="B7" s="225">
        <v>2</v>
      </c>
      <c r="C7" s="226">
        <f>_xll.qlCalendarEndOfMonth(Calendar,_xll.qlCalendarAdvance(Calendar,C6,"1m","mf",TRUE),Trigger)</f>
        <v>42216</v>
      </c>
      <c r="D7" s="225" t="str">
        <f t="shared" si="0"/>
        <v>EURJump2_SYNTHON_Quote</v>
      </c>
      <c r="E7" s="227">
        <f>IF(_xll.qlQuoteIsValid(D7,Trigger),_xll.qlQuoteValue(D7,Trigger),1)</f>
        <v>1</v>
      </c>
      <c r="F7" s="215"/>
      <c r="G7" s="227" t="str">
        <f t="shared" ref="G7:G18" si="1">IF(ISBLANK(F7),D7,F7)</f>
        <v>EURJump2_SYNTHON_Quote</v>
      </c>
      <c r="H7" s="219"/>
    </row>
    <row r="8" spans="1:8" ht="13.35" customHeight="1" x14ac:dyDescent="0.2">
      <c r="A8" s="217"/>
      <c r="B8" s="225">
        <v>3</v>
      </c>
      <c r="C8" s="226">
        <f>_xll.qlCalendarEndOfMonth(Calendar,_xll.qlCalendarAdvance(Calendar,C7,"1m","mf",TRUE),Trigger)</f>
        <v>42247</v>
      </c>
      <c r="D8" s="225" t="str">
        <f t="shared" si="0"/>
        <v>EURJump3_SYNTHON_Quote</v>
      </c>
      <c r="E8" s="227">
        <f>IF(_xll.qlQuoteIsValid(D8,Trigger),_xll.qlQuoteValue(D8,Trigger),1)</f>
        <v>1</v>
      </c>
      <c r="F8" s="215"/>
      <c r="G8" s="227" t="str">
        <f t="shared" si="1"/>
        <v>EURJump3_SYNTHON_Quote</v>
      </c>
      <c r="H8" s="219"/>
    </row>
    <row r="9" spans="1:8" ht="13.35" customHeight="1" x14ac:dyDescent="0.2">
      <c r="A9" s="217"/>
      <c r="B9" s="225">
        <v>4</v>
      </c>
      <c r="C9" s="226">
        <f>_xll.qlCalendarEndOfMonth(Calendar,_xll.qlCalendarAdvance(Calendar,C8,"1m","mf",TRUE),Trigger)</f>
        <v>42277</v>
      </c>
      <c r="D9" s="225" t="str">
        <f t="shared" si="0"/>
        <v>EURJump4_SYNTHON_Quote</v>
      </c>
      <c r="E9" s="227">
        <f>IF(_xll.qlQuoteIsValid(D9,Trigger),_xll.qlQuoteValue(D9,Trigger),1)</f>
        <v>1</v>
      </c>
      <c r="F9" s="215"/>
      <c r="G9" s="227" t="str">
        <f t="shared" si="1"/>
        <v>EURJump4_SYNTHON_Quote</v>
      </c>
      <c r="H9" s="219"/>
    </row>
    <row r="10" spans="1:8" ht="13.35" customHeight="1" x14ac:dyDescent="0.2">
      <c r="A10" s="217"/>
      <c r="B10" s="225">
        <v>5</v>
      </c>
      <c r="C10" s="226">
        <f>_xll.qlCalendarEndOfMonth(Calendar,_xll.qlCalendarAdvance(Calendar,C9,"1m","mf",TRUE),Trigger)</f>
        <v>42307</v>
      </c>
      <c r="D10" s="225" t="str">
        <f t="shared" si="0"/>
        <v>EURJump5_SYNTHON_Quote</v>
      </c>
      <c r="E10" s="227">
        <f>IF(_xll.qlQuoteIsValid(D10,Trigger),_xll.qlQuoteValue(D10,Trigger),1)</f>
        <v>1</v>
      </c>
      <c r="F10" s="215"/>
      <c r="G10" s="227" t="str">
        <f t="shared" si="1"/>
        <v>EURJump5_SYNTHON_Quote</v>
      </c>
      <c r="H10" s="219"/>
    </row>
    <row r="11" spans="1:8" ht="13.35" customHeight="1" x14ac:dyDescent="0.2">
      <c r="A11" s="217"/>
      <c r="B11" s="225">
        <v>6</v>
      </c>
      <c r="C11" s="226">
        <f>_xll.qlCalendarEndOfMonth(Calendar,_xll.qlCalendarAdvance(Calendar,C10,"1m","mf",TRUE),Trigger)</f>
        <v>42338</v>
      </c>
      <c r="D11" s="225" t="str">
        <f t="shared" si="0"/>
        <v>EURJump6_SYNTHON_Quote</v>
      </c>
      <c r="E11" s="227">
        <f>IF(_xll.qlQuoteIsValid(D11,Trigger),_xll.qlQuoteValue(D11,Trigger),1)</f>
        <v>0.99999439999999995</v>
      </c>
      <c r="F11" s="215"/>
      <c r="G11" s="227" t="str">
        <f t="shared" si="1"/>
        <v>EURJump6_SYNTHON_Quote</v>
      </c>
      <c r="H11" s="219"/>
    </row>
    <row r="12" spans="1:8" ht="13.35" customHeight="1" x14ac:dyDescent="0.2">
      <c r="A12" s="217"/>
      <c r="B12" s="225">
        <v>7</v>
      </c>
      <c r="C12" s="226">
        <f>_xll.qlCalendarEndOfMonth(Calendar,_xll.qlCalendarAdvance(Calendar,C11,"1m","mf",TRUE),Trigger)</f>
        <v>42369</v>
      </c>
      <c r="D12" s="225" t="str">
        <f t="shared" si="0"/>
        <v>EURJump7_SYNTHON_Quote</v>
      </c>
      <c r="E12" s="227">
        <f>IF(_xll.qlQuoteIsValid(D12,Trigger),_xll.qlQuoteValue(D12,Trigger),1)</f>
        <v>1</v>
      </c>
      <c r="F12" s="215"/>
      <c r="G12" s="227" t="str">
        <f t="shared" si="1"/>
        <v>EURJump7_SYNTHON_Quote</v>
      </c>
      <c r="H12" s="219"/>
    </row>
    <row r="13" spans="1:8" ht="13.35" customHeight="1" x14ac:dyDescent="0.2">
      <c r="A13" s="217"/>
      <c r="B13" s="225">
        <v>8</v>
      </c>
      <c r="C13" s="226">
        <f>_xll.qlCalendarEndOfMonth(Calendar,_xll.qlCalendarAdvance(Calendar,C12,"1m","mf",TRUE),Trigger)</f>
        <v>42398</v>
      </c>
      <c r="D13" s="225" t="str">
        <f t="shared" si="0"/>
        <v>EURJump8_SYNTHON_Quote</v>
      </c>
      <c r="E13" s="227">
        <f>IF(_xll.qlQuoteIsValid(D13,Trigger),_xll.qlQuoteValue(D13,Trigger),1)</f>
        <v>1</v>
      </c>
      <c r="F13" s="215"/>
      <c r="G13" s="227" t="str">
        <f t="shared" si="1"/>
        <v>EURJump8_SYNTHON_Quote</v>
      </c>
      <c r="H13" s="219"/>
    </row>
    <row r="14" spans="1:8" ht="13.35" customHeight="1" x14ac:dyDescent="0.2">
      <c r="A14" s="217"/>
      <c r="B14" s="225">
        <v>9</v>
      </c>
      <c r="C14" s="226">
        <f>_xll.qlCalendarEndOfMonth(Calendar,_xll.qlCalendarAdvance(Calendar,C13,"1m","mf",TRUE),Trigger)</f>
        <v>42429</v>
      </c>
      <c r="D14" s="225" t="str">
        <f t="shared" si="0"/>
        <v>EURJump9_SYNTHON_Quote</v>
      </c>
      <c r="E14" s="227">
        <f>IF(_xll.qlQuoteIsValid(D14,Trigger),_xll.qlQuoteValue(D14,Trigger),1)</f>
        <v>1</v>
      </c>
      <c r="F14" s="215"/>
      <c r="G14" s="227" t="str">
        <f t="shared" si="1"/>
        <v>EURJump9_SYNTHON_Quote</v>
      </c>
      <c r="H14" s="219"/>
    </row>
    <row r="15" spans="1:8" ht="13.35" customHeight="1" x14ac:dyDescent="0.2">
      <c r="A15" s="217"/>
      <c r="B15" s="225">
        <v>10</v>
      </c>
      <c r="C15" s="226">
        <f>_xll.qlCalendarEndOfMonth(Calendar,_xll.qlCalendarAdvance(Calendar,C14,"1m","mf",TRUE),Trigger)</f>
        <v>42460</v>
      </c>
      <c r="D15" s="225" t="str">
        <f t="shared" si="0"/>
        <v>EURJump10_SYNTHON_Quote</v>
      </c>
      <c r="E15" s="227">
        <f>IF(_xll.qlQuoteIsValid(D15,Trigger),_xll.qlQuoteValue(D15,Trigger),1)</f>
        <v>1</v>
      </c>
      <c r="F15" s="215"/>
      <c r="G15" s="227" t="str">
        <f t="shared" si="1"/>
        <v>EURJump10_SYNTHON_Quote</v>
      </c>
      <c r="H15" s="219"/>
    </row>
    <row r="16" spans="1:8" ht="13.35" customHeight="1" x14ac:dyDescent="0.2">
      <c r="A16" s="217"/>
      <c r="B16" s="225">
        <v>11</v>
      </c>
      <c r="C16" s="226">
        <f>_xll.qlCalendarEndOfMonth(Calendar,_xll.qlCalendarAdvance(Calendar,C15,"1m","mf",TRUE),Trigger)</f>
        <v>42489</v>
      </c>
      <c r="D16" s="225" t="str">
        <f t="shared" si="0"/>
        <v>EURJump11_SYNTHON_Quote</v>
      </c>
      <c r="E16" s="227">
        <f>IF(_xll.qlQuoteIsValid(D16,Trigger),_xll.qlQuoteValue(D16,Trigger),1)</f>
        <v>1</v>
      </c>
      <c r="F16" s="215"/>
      <c r="G16" s="227" t="str">
        <f t="shared" si="1"/>
        <v>EURJump11_SYNTHON_Quote</v>
      </c>
      <c r="H16" s="219"/>
    </row>
    <row r="17" spans="1:8" ht="13.35" customHeight="1" x14ac:dyDescent="0.2">
      <c r="A17" s="217"/>
      <c r="B17" s="225">
        <v>12</v>
      </c>
      <c r="C17" s="226">
        <f>_xll.qlCalendarEndOfMonth(Calendar,_xll.qlCalendarAdvance(Calendar,C16,"1m","mf",TRUE),Trigger)</f>
        <v>42521</v>
      </c>
      <c r="D17" s="225" t="str">
        <f t="shared" si="0"/>
        <v>EURJump12_SYNTHON_Quote</v>
      </c>
      <c r="E17" s="227">
        <f>IF(_xll.qlQuoteIsValid(D17,Trigger),_xll.qlQuoteValue(D17,Trigger),1)</f>
        <v>1</v>
      </c>
      <c r="F17" s="215"/>
      <c r="G17" s="227" t="str">
        <f t="shared" si="1"/>
        <v>EURJump12_SYNTHON_Quote</v>
      </c>
      <c r="H17" s="219"/>
    </row>
    <row r="18" spans="1:8" ht="13.35" customHeight="1" x14ac:dyDescent="0.2">
      <c r="A18" s="217"/>
      <c r="B18" s="228">
        <v>13</v>
      </c>
      <c r="C18" s="229">
        <f>_xll.qlCalendarAdjust(Calendar,DATE(YEAR(D2)+1,12,31),"preceding",Trigger)</f>
        <v>42734</v>
      </c>
      <c r="D18" s="228" t="str">
        <f t="shared" si="0"/>
        <v>EURJump13_SYNTHON_Quote</v>
      </c>
      <c r="E18" s="230">
        <f>IF(_xll.qlQuoteIsValid(D18,Trigger),_xll.qlQuoteValue(D18,Trigger),1)</f>
        <v>0.99999579999999999</v>
      </c>
      <c r="F18" s="216"/>
      <c r="G18" s="230" t="str">
        <f t="shared" si="1"/>
        <v>EURJump13_SYNTHON_Quote</v>
      </c>
      <c r="H18" s="219"/>
    </row>
    <row r="19" spans="1:8" ht="12" thickBot="1" x14ac:dyDescent="0.25">
      <c r="A19" s="220"/>
      <c r="B19" s="220"/>
      <c r="C19" s="220"/>
      <c r="D19" s="220"/>
      <c r="E19" s="220"/>
      <c r="F19" s="220"/>
      <c r="G19" s="220"/>
      <c r="H19" s="22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D3553"/>
  <sheetViews>
    <sheetView topLeftCell="B17" workbookViewId="0">
      <selection activeCell="AA48" sqref="AA48"/>
    </sheetView>
  </sheetViews>
  <sheetFormatPr defaultRowHeight="11.25" outlineLevelRow="1" outlineLevelCol="1" x14ac:dyDescent="0.2"/>
  <cols>
    <col min="1" max="1" width="7.5703125" style="50" customWidth="1"/>
    <col min="2" max="2" width="6" style="115" bestFit="1" customWidth="1"/>
    <col min="3" max="3" width="17.28515625" style="115" bestFit="1" customWidth="1"/>
    <col min="4" max="4" width="7" style="50" bestFit="1" customWidth="1"/>
    <col min="5" max="5" width="17.28515625" style="50" bestFit="1" customWidth="1"/>
    <col min="6" max="6" width="20.28515625" style="115" customWidth="1"/>
    <col min="7" max="8" width="7" style="115" customWidth="1"/>
    <col min="9" max="9" width="11" style="115" customWidth="1"/>
    <col min="10" max="10" width="15.7109375" style="115" customWidth="1"/>
    <col min="11" max="11" width="13.5703125" style="115" customWidth="1"/>
    <col min="12" max="12" width="6" style="115" customWidth="1"/>
    <col min="13" max="13" width="15.140625" style="115" hidden="1" customWidth="1" outlineLevel="1"/>
    <col min="14" max="14" width="19.28515625" style="50" bestFit="1" customWidth="1" collapsed="1"/>
    <col min="15" max="15" width="17.28515625" style="50" bestFit="1" customWidth="1"/>
    <col min="16" max="16" width="12" style="50" bestFit="1" customWidth="1"/>
    <col min="17" max="17" width="10" style="50" hidden="1" customWidth="1" outlineLevel="1"/>
    <col min="18" max="18" width="17.28515625" style="50" hidden="1" customWidth="1" outlineLevel="1"/>
    <col min="19" max="19" width="11" style="50" hidden="1" customWidth="1" outlineLevel="1"/>
    <col min="20" max="20" width="17.28515625" style="50" hidden="1" customWidth="1" outlineLevel="1"/>
    <col min="21" max="21" width="15.140625" style="50" hidden="1" customWidth="1" outlineLevel="1"/>
    <col min="22" max="22" width="16.140625" style="107" bestFit="1" customWidth="1" collapsed="1"/>
    <col min="23" max="23" width="18.28515625" style="50" bestFit="1" customWidth="1"/>
    <col min="24" max="24" width="3.7109375" style="50" customWidth="1"/>
    <col min="25" max="25" width="19.28515625" style="50" customWidth="1"/>
    <col min="26" max="27" width="17.28515625" style="50" bestFit="1" customWidth="1"/>
    <col min="28" max="29" width="15.140625" style="50" bestFit="1" customWidth="1"/>
    <col min="30" max="30" width="22.42578125" style="50" bestFit="1" customWidth="1"/>
    <col min="31" max="31" width="13.140625" style="50" bestFit="1" customWidth="1"/>
    <col min="32" max="16384" width="9.140625" style="50"/>
  </cols>
  <sheetData>
    <row r="1" spans="1:30" s="115" customFormat="1" ht="11.25" hidden="1" customHeight="1" outlineLevel="1" thickBot="1" x14ac:dyDescent="0.25">
      <c r="A1" s="139"/>
      <c r="B1" s="134" t="s">
        <v>151</v>
      </c>
      <c r="C1" s="133"/>
      <c r="D1" s="133"/>
      <c r="E1" s="133"/>
      <c r="F1" s="133"/>
      <c r="G1" s="134" t="s">
        <v>152</v>
      </c>
      <c r="H1" s="133"/>
      <c r="I1" s="133"/>
      <c r="J1" s="133"/>
      <c r="K1" s="133"/>
      <c r="L1" s="164"/>
      <c r="M1" s="123"/>
      <c r="N1" s="50"/>
    </row>
    <row r="2" spans="1:30" ht="11.25" hidden="1" customHeight="1" outlineLevel="1" thickBot="1" x14ac:dyDescent="0.25">
      <c r="A2" s="140"/>
      <c r="B2" s="132" t="s">
        <v>146</v>
      </c>
      <c r="C2" s="132" t="s">
        <v>148</v>
      </c>
      <c r="D2" s="132" t="s">
        <v>77</v>
      </c>
      <c r="E2" s="132" t="s">
        <v>149</v>
      </c>
      <c r="F2" s="135" t="s">
        <v>150</v>
      </c>
      <c r="G2" s="132" t="s">
        <v>148</v>
      </c>
      <c r="H2" s="132" t="s">
        <v>149</v>
      </c>
      <c r="I2" s="132" t="s">
        <v>150</v>
      </c>
      <c r="J2" s="168" t="s">
        <v>154</v>
      </c>
      <c r="K2" s="132" t="s">
        <v>155</v>
      </c>
      <c r="L2" s="164"/>
      <c r="M2" s="123"/>
    </row>
    <row r="3" spans="1:30" ht="11.25" hidden="1" customHeight="1" outlineLevel="1" x14ac:dyDescent="0.2">
      <c r="A3" s="153"/>
      <c r="B3" s="157" t="str">
        <f>_xll.qlPeriodEquivalent(D3&amp;"M")</f>
        <v>1Y</v>
      </c>
      <c r="C3" s="141">
        <f>_xll.qlDateEndOfMonth(EDATE(_xll.qlSettingsEvaluationDate(Trigger),-1))</f>
        <v>42155</v>
      </c>
      <c r="D3" s="138">
        <v>12</v>
      </c>
      <c r="E3" s="141">
        <f t="shared" ref="E3:E16" si="0">EDATE($AA$19,D3)</f>
        <v>42553</v>
      </c>
      <c r="F3" s="160">
        <f>IF(D3&lt;=12,1,IF(D3&lt;=24,3,IF(D3&lt;=120,6,IF(D3&lt;=240,12,IF(D3&lt;=360,36,60)))))</f>
        <v>1</v>
      </c>
      <c r="G3" s="171">
        <f>ROUNDDOWN(J3*10,2)/10</f>
        <v>0</v>
      </c>
      <c r="H3" s="150">
        <f>IF(K3-J3&gt;1%,(QUOTIENT(K3*10000,50)+1)*0.5%,(QUOTIENT(K3*10000,10)+1)*0.1%)</f>
        <v>2E-3</v>
      </c>
      <c r="I3" s="165">
        <f>IF(H3-G3&lt;0.5%,0.05%,IF(H3-G3&lt;1%,0.1%,IF(H3-G3&lt;2%,0.25%,0.5%)))</f>
        <v>5.0000000000000001E-4</v>
      </c>
      <c r="J3" s="150">
        <f>MIN(_xll.ohPack($AB$19:INDEX($AB$19:$AB$3552,MATCH(E3+1,$AA$19:$AA$3552,1),1)))</f>
        <v>4.4000000000004604E-4</v>
      </c>
      <c r="K3" s="165">
        <f>MAX(_xll.ohPack($AB$19:INDEX($AB$19:$AB$3552,MATCH(E3+1,$AA$19:$AA$3552,1),1)))</f>
        <v>1.3027818033525174E-3</v>
      </c>
      <c r="L3" s="164"/>
      <c r="M3" s="123"/>
    </row>
    <row r="4" spans="1:30" ht="11.25" hidden="1" customHeight="1" outlineLevel="1" x14ac:dyDescent="0.2">
      <c r="A4" s="154"/>
      <c r="B4" s="158" t="str">
        <f>_xll.qlPeriodEquivalent(D4&amp;"M")</f>
        <v>2Y</v>
      </c>
      <c r="C4" s="142">
        <f>_xll.qlDateEndOfMonth(EDATE(_xll.qlIMMNextDate(_xll.qlSettingsEvaluationDate(Trigger)-1,TRUE),-3))</f>
        <v>42185</v>
      </c>
      <c r="D4" s="131">
        <v>24</v>
      </c>
      <c r="E4" s="142">
        <f t="shared" si="0"/>
        <v>42918</v>
      </c>
      <c r="F4" s="161">
        <f t="shared" ref="F4:F16" si="1">IF(D4&lt;=12,1,IF(D4&lt;=24,3,IF(D4&lt;=120,6,IF(D4&lt;=240,12,IF(D4&lt;=360,36,60)))))</f>
        <v>3</v>
      </c>
      <c r="G4" s="172">
        <f t="shared" ref="G4:G16" si="2">ROUNDDOWN(J4*10,2)/10</f>
        <v>0</v>
      </c>
      <c r="H4" s="151">
        <f t="shared" ref="H4:H16" si="3">IF(K4-J4&gt;1%,(QUOTIENT(K4*10000,50)+1)*0.5%,(QUOTIENT(K4*10000,10)+1)*0.1%)</f>
        <v>4.0000000000000001E-3</v>
      </c>
      <c r="I4" s="166">
        <f t="shared" ref="I4:I16" si="4">IF(H4-G4&lt;0.5%,0.05%,IF(H4-G4&lt;1%,0.1%,IF(H4-G4&lt;2%,0.25%,0.5%)))</f>
        <v>5.0000000000000001E-4</v>
      </c>
      <c r="J4" s="151">
        <f>MIN(_xll.ohPack($AB$19:INDEX($AB$19:$AB$3552,MATCH(E4+1,$AA$19:$AA$3552,1),1)))</f>
        <v>4.4000000000004604E-4</v>
      </c>
      <c r="K4" s="166">
        <f>MAX(_xll.ohPack($AB$19:INDEX($AB$19:$AB$3552,MATCH(E4+1,$AA$19:$AA$3552,1),1)))</f>
        <v>3.3878338253341511E-3</v>
      </c>
      <c r="L4" s="164"/>
      <c r="M4" s="123"/>
    </row>
    <row r="5" spans="1:30" ht="11.25" hidden="1" customHeight="1" outlineLevel="1" x14ac:dyDescent="0.2">
      <c r="A5" s="154"/>
      <c r="B5" s="158" t="str">
        <f>_xll.qlPeriodEquivalent(D5&amp;"M")</f>
        <v>5Y</v>
      </c>
      <c r="C5" s="14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31">
        <v>60</v>
      </c>
      <c r="E5" s="142">
        <f t="shared" si="0"/>
        <v>44014</v>
      </c>
      <c r="F5" s="161">
        <f t="shared" si="1"/>
        <v>6</v>
      </c>
      <c r="G5" s="172">
        <f t="shared" si="2"/>
        <v>0</v>
      </c>
      <c r="H5" s="151">
        <f t="shared" si="3"/>
        <v>1.4999999999999999E-2</v>
      </c>
      <c r="I5" s="166">
        <f t="shared" si="4"/>
        <v>2.5000000000000001E-3</v>
      </c>
      <c r="J5" s="151">
        <f>MIN(_xll.ohPack($AB$19:INDEX($AB$19:$AB$3552,MATCH(E5+1,$AA$19:$AA$3552,1),1)))</f>
        <v>4.4000000000004604E-4</v>
      </c>
      <c r="K5" s="166">
        <f>MAX(_xll.ohPack($AB$19:INDEX($AB$19:$AB$3552,MATCH(E5+1,$AA$19:$AA$3552,1),1)))</f>
        <v>1.3355799202176966E-2</v>
      </c>
      <c r="L5" s="164"/>
      <c r="M5" s="123"/>
    </row>
    <row r="6" spans="1:30" ht="11.25" hidden="1" customHeight="1" outlineLevel="1" x14ac:dyDescent="0.2">
      <c r="A6" s="155" t="s">
        <v>147</v>
      </c>
      <c r="B6" s="158" t="str">
        <f>_xll.qlPeriodEquivalent(D6&amp;"M")</f>
        <v>10Y</v>
      </c>
      <c r="C6" s="142">
        <f t="shared" ref="C6:C9" si="5">C5</f>
        <v>42185</v>
      </c>
      <c r="D6" s="131">
        <v>120</v>
      </c>
      <c r="E6" s="142">
        <f t="shared" si="0"/>
        <v>45840</v>
      </c>
      <c r="F6" s="161">
        <f t="shared" si="1"/>
        <v>6</v>
      </c>
      <c r="G6" s="172">
        <f t="shared" si="2"/>
        <v>0</v>
      </c>
      <c r="H6" s="151">
        <f t="shared" si="3"/>
        <v>2.5000000000000001E-2</v>
      </c>
      <c r="I6" s="166">
        <f t="shared" si="4"/>
        <v>5.0000000000000001E-3</v>
      </c>
      <c r="J6" s="151">
        <f>MIN(_xll.ohPack($AB$19:INDEX($AB$19:$AB$3552,MATCH(E6+1,$AA$19:$AA$3552,1),1)))</f>
        <v>4.4000000000004604E-4</v>
      </c>
      <c r="K6" s="166">
        <f>MAX(_xll.ohPack($AB$19:INDEX($AB$19:$AB$3552,MATCH(E6+1,$AA$19:$AA$3552,1),1)))</f>
        <v>2.2207921438839675E-2</v>
      </c>
      <c r="L6" s="164"/>
      <c r="M6" s="123"/>
    </row>
    <row r="7" spans="1:30" ht="11.25" hidden="1" customHeight="1" outlineLevel="1" x14ac:dyDescent="0.2">
      <c r="A7" s="154"/>
      <c r="B7" s="158" t="str">
        <f>_xll.qlPeriodEquivalent(D7&amp;"M")</f>
        <v>20Y</v>
      </c>
      <c r="C7" s="142">
        <f>IF(AND(MONTH(C6)=12),C6,_xll.qlDateEndOfMonth(EDATE(C6,-6)))</f>
        <v>42004</v>
      </c>
      <c r="D7" s="131">
        <v>240</v>
      </c>
      <c r="E7" s="142">
        <f t="shared" si="0"/>
        <v>49492</v>
      </c>
      <c r="F7" s="162">
        <f t="shared" si="1"/>
        <v>12</v>
      </c>
      <c r="G7" s="172">
        <f t="shared" si="2"/>
        <v>0</v>
      </c>
      <c r="H7" s="151">
        <f t="shared" si="3"/>
        <v>2.5000000000000001E-2</v>
      </c>
      <c r="I7" s="166">
        <f t="shared" si="4"/>
        <v>5.0000000000000001E-3</v>
      </c>
      <c r="J7" s="169">
        <f>MIN(_xll.ohPack($AB$19:INDEX($AB$19:$AB$3552,MATCH(E7+1,$AA$19:$AA$3552,1),1)))</f>
        <v>4.4000000000004604E-4</v>
      </c>
      <c r="K7" s="166">
        <f>MAX(_xll.ohPack($AB$19:INDEX($AB$19:$AB$3552,MATCH(E7+1,$AA$19:$AA$3552,1),1)))</f>
        <v>2.283845106622644E-2</v>
      </c>
      <c r="L7" s="164"/>
      <c r="M7" s="123"/>
    </row>
    <row r="8" spans="1:30" ht="11.25" hidden="1" customHeight="1" outlineLevel="1" x14ac:dyDescent="0.2">
      <c r="A8" s="154"/>
      <c r="B8" s="158" t="str">
        <f>_xll.qlPeriodEquivalent(D8&amp;"M")</f>
        <v>30Y</v>
      </c>
      <c r="C8" s="142">
        <f t="shared" si="5"/>
        <v>42004</v>
      </c>
      <c r="D8" s="131">
        <v>360</v>
      </c>
      <c r="E8" s="142">
        <f t="shared" si="0"/>
        <v>53145</v>
      </c>
      <c r="F8" s="162">
        <f t="shared" si="1"/>
        <v>36</v>
      </c>
      <c r="G8" s="172">
        <f t="shared" si="2"/>
        <v>0</v>
      </c>
      <c r="H8" s="151">
        <f t="shared" si="3"/>
        <v>2.5000000000000001E-2</v>
      </c>
      <c r="I8" s="166">
        <f t="shared" si="4"/>
        <v>5.0000000000000001E-3</v>
      </c>
      <c r="J8" s="169">
        <f>MIN(_xll.ohPack($AB$19:INDEX($AB$19:$AB$3552,MATCH(E8+1,$AA$19:$AA$3552,1),1)))</f>
        <v>4.4000000000004604E-4</v>
      </c>
      <c r="K8" s="166">
        <f>MAX(_xll.ohPack($AB$19:INDEX($AB$19:$AB$3552,MATCH(E8+1,$AA$19:$AA$3552,1),1)))</f>
        <v>2.283845106622644E-2</v>
      </c>
      <c r="L8" s="164"/>
      <c r="M8" s="123"/>
    </row>
    <row r="9" spans="1:30" ht="11.25" hidden="1" customHeight="1" outlineLevel="1" thickBot="1" x14ac:dyDescent="0.25">
      <c r="A9" s="154"/>
      <c r="B9" s="158" t="str">
        <f>_xll.qlPeriodEquivalent(D9&amp;"M")</f>
        <v>60Y</v>
      </c>
      <c r="C9" s="142">
        <f t="shared" si="5"/>
        <v>42004</v>
      </c>
      <c r="D9" s="131">
        <v>720</v>
      </c>
      <c r="E9" s="142">
        <f t="shared" si="0"/>
        <v>64102</v>
      </c>
      <c r="F9" s="162">
        <f t="shared" si="1"/>
        <v>60</v>
      </c>
      <c r="G9" s="172">
        <f t="shared" si="2"/>
        <v>0</v>
      </c>
      <c r="H9" s="151">
        <f t="shared" si="3"/>
        <v>2.5000000000000001E-2</v>
      </c>
      <c r="I9" s="166">
        <f t="shared" si="4"/>
        <v>5.0000000000000001E-3</v>
      </c>
      <c r="J9" s="169">
        <f>MIN(_xll.ohPack($AB$19:INDEX($AB$19:$AB$3552,MATCH(E9+1,$AA$19:$AA$3552,1),1)))</f>
        <v>4.4000000000004604E-4</v>
      </c>
      <c r="K9" s="166">
        <f>MAX(_xll.ohPack($AB$19:INDEX($AB$19:$AB$3552,MATCH(E9+1,$AA$19:$AA$3552,1),1)))</f>
        <v>2.283845106622644E-2</v>
      </c>
      <c r="L9" s="164"/>
      <c r="M9" s="123"/>
      <c r="AD9" s="118"/>
    </row>
    <row r="10" spans="1:30" ht="11.25" hidden="1" customHeight="1" outlineLevel="1" x14ac:dyDescent="0.2">
      <c r="A10" s="153"/>
      <c r="B10" s="157" t="str">
        <f>_xll.qlPeriodEquivalent(D10&amp;"M")</f>
        <v>1Y</v>
      </c>
      <c r="C10" s="141">
        <f>C3</f>
        <v>42155</v>
      </c>
      <c r="D10" s="138">
        <v>12</v>
      </c>
      <c r="E10" s="141">
        <f t="shared" si="0"/>
        <v>42553</v>
      </c>
      <c r="F10" s="160">
        <f t="shared" si="1"/>
        <v>1</v>
      </c>
      <c r="G10" s="171">
        <f t="shared" si="2"/>
        <v>0</v>
      </c>
      <c r="H10" s="150">
        <f t="shared" si="3"/>
        <v>3.0000000000000001E-3</v>
      </c>
      <c r="I10" s="165">
        <f t="shared" si="4"/>
        <v>5.0000000000000001E-4</v>
      </c>
      <c r="J10" s="150">
        <f>MIN(_xll.ohPack($AC$19:INDEX($AC$19:$AC$3552,MATCH(E10+1,$AA$19:$AA$3552,1),1)))</f>
        <v>-2.5890587230126272E-4</v>
      </c>
      <c r="K10" s="165">
        <f>MAX(_xll.ohPack($AC$19:INDEX($AC$19:$AC$3552,MATCH(E10+1,$AA$19:$AA$3552,1),1)))</f>
        <v>2.709200046941973E-3</v>
      </c>
      <c r="L10" s="164"/>
      <c r="M10" s="123"/>
    </row>
    <row r="11" spans="1:30" ht="11.25" hidden="1" customHeight="1" outlineLevel="1" x14ac:dyDescent="0.2">
      <c r="A11" s="154"/>
      <c r="B11" s="158" t="str">
        <f>_xll.qlPeriodEquivalent(D11&amp;"M")</f>
        <v>2Y</v>
      </c>
      <c r="C11" s="142">
        <f t="shared" ref="C11:C15" si="6">C4</f>
        <v>42185</v>
      </c>
      <c r="D11" s="131">
        <v>24</v>
      </c>
      <c r="E11" s="142">
        <f t="shared" si="0"/>
        <v>42918</v>
      </c>
      <c r="F11" s="161">
        <f t="shared" si="1"/>
        <v>3</v>
      </c>
      <c r="G11" s="172">
        <f t="shared" si="2"/>
        <v>0</v>
      </c>
      <c r="H11" s="151">
        <f t="shared" si="3"/>
        <v>4.0000000000000001E-3</v>
      </c>
      <c r="I11" s="166">
        <f t="shared" si="4"/>
        <v>5.0000000000000001E-4</v>
      </c>
      <c r="J11" s="151">
        <f>MIN(_xll.ohPack($AC$19:INDEX($AC$19:$AC$3552,MATCH(E11+1,$AA$19:$AA$3552,1),1)))</f>
        <v>-2.5890587230126272E-4</v>
      </c>
      <c r="K11" s="166">
        <f>MAX(_xll.ohPack($AC$19:INDEX($AC$19:$AC$3552,MATCH(E11+1,$AA$19:$AA$3552,1),1)))</f>
        <v>3.0216382487324722E-3</v>
      </c>
      <c r="L11" s="164"/>
      <c r="M11" s="123"/>
    </row>
    <row r="12" spans="1:30" ht="11.25" hidden="1" customHeight="1" outlineLevel="1" x14ac:dyDescent="0.2">
      <c r="A12" s="154"/>
      <c r="B12" s="158" t="str">
        <f>_xll.qlPeriodEquivalent(D12&amp;"M")</f>
        <v>5Y</v>
      </c>
      <c r="C12" s="142">
        <f t="shared" si="6"/>
        <v>42185</v>
      </c>
      <c r="D12" s="131">
        <v>60</v>
      </c>
      <c r="E12" s="142">
        <f t="shared" si="0"/>
        <v>44014</v>
      </c>
      <c r="F12" s="161">
        <f t="shared" si="1"/>
        <v>6</v>
      </c>
      <c r="G12" s="172">
        <f t="shared" si="2"/>
        <v>0</v>
      </c>
      <c r="H12" s="151">
        <f t="shared" si="3"/>
        <v>1.4999999999999999E-2</v>
      </c>
      <c r="I12" s="166">
        <f t="shared" si="4"/>
        <v>2.5000000000000001E-3</v>
      </c>
      <c r="J12" s="151">
        <f>MIN(_xll.ohPack($AC$19:INDEX($AC$19:$AC$3552,MATCH(E12+1,$AA$19:$AA$3552,1),1)))</f>
        <v>-2.5890587230126272E-4</v>
      </c>
      <c r="K12" s="166">
        <f>MAX(_xll.ohPack($AC$19:INDEX($AC$19:$AC$3552,MATCH(E12+1,$AA$19:$AA$3552,1),1)))</f>
        <v>1.2587625867084284E-2</v>
      </c>
      <c r="L12" s="164"/>
      <c r="M12" s="123"/>
    </row>
    <row r="13" spans="1:30" ht="11.25" hidden="1" customHeight="1" outlineLevel="1" x14ac:dyDescent="0.2">
      <c r="A13" s="155" t="s">
        <v>132</v>
      </c>
      <c r="B13" s="158" t="str">
        <f>_xll.qlPeriodEquivalent(D13&amp;"M")</f>
        <v>10Y</v>
      </c>
      <c r="C13" s="142">
        <f t="shared" si="6"/>
        <v>42185</v>
      </c>
      <c r="D13" s="131">
        <v>120</v>
      </c>
      <c r="E13" s="142">
        <f t="shared" si="0"/>
        <v>45840</v>
      </c>
      <c r="F13" s="161">
        <f t="shared" si="1"/>
        <v>6</v>
      </c>
      <c r="G13" s="172">
        <f t="shared" si="2"/>
        <v>0</v>
      </c>
      <c r="H13" s="151">
        <f t="shared" si="3"/>
        <v>2.5000000000000001E-2</v>
      </c>
      <c r="I13" s="166">
        <f t="shared" si="4"/>
        <v>5.0000000000000001E-3</v>
      </c>
      <c r="J13" s="151">
        <f>MIN(_xll.ohPack($AC$19:INDEX($AC$19:$AC$3552,MATCH(E13+1,$AA$19:$AA$3552,1),1)))</f>
        <v>-2.5890587230126272E-4</v>
      </c>
      <c r="K13" s="166">
        <f>MAX(_xll.ohPack($AC$19:INDEX($AC$19:$AC$3552,MATCH(E13+1,$AA$19:$AA$3552,1),1)))</f>
        <v>2.1855272344843968E-2</v>
      </c>
      <c r="L13" s="164"/>
      <c r="M13" s="123"/>
    </row>
    <row r="14" spans="1:30" ht="11.25" hidden="1" customHeight="1" outlineLevel="1" x14ac:dyDescent="0.2">
      <c r="A14" s="154"/>
      <c r="B14" s="158" t="str">
        <f>_xll.qlPeriodEquivalent(D14&amp;"M")</f>
        <v>20Y</v>
      </c>
      <c r="C14" s="142">
        <f t="shared" si="6"/>
        <v>42004</v>
      </c>
      <c r="D14" s="131">
        <v>240</v>
      </c>
      <c r="E14" s="142">
        <f t="shared" si="0"/>
        <v>49492</v>
      </c>
      <c r="F14" s="162">
        <f>IF(D14&lt;=12,1,IF(D14&lt;=24,3,IF(D14&lt;=120,6,IF(D14&lt;=240,12,IF(D14&lt;=360,36,60)))))</f>
        <v>12</v>
      </c>
      <c r="G14" s="172">
        <f>ROUNDDOWN(J14*10,2)/10</f>
        <v>0</v>
      </c>
      <c r="H14" s="151">
        <f t="shared" si="3"/>
        <v>2.5000000000000001E-2</v>
      </c>
      <c r="I14" s="166">
        <f t="shared" si="4"/>
        <v>5.0000000000000001E-3</v>
      </c>
      <c r="J14" s="169">
        <f>MIN(_xll.ohPack($AC$19:INDEX($AC$19:$AC$3552,MATCH(E14+1,$AA$19:$AA$3552,1),1)))</f>
        <v>-2.5890587230126272E-4</v>
      </c>
      <c r="K14" s="166">
        <f>MAX(_xll.ohPack($AC$19:INDEX($AC$19:$AC$3552,MATCH(E14+1,$AA$19:$AA$3552,1),1)))</f>
        <v>2.2717138630271805E-2</v>
      </c>
      <c r="L14" s="164"/>
      <c r="M14" s="123"/>
    </row>
    <row r="15" spans="1:30" ht="11.25" hidden="1" customHeight="1" outlineLevel="1" x14ac:dyDescent="0.2">
      <c r="A15" s="154"/>
      <c r="B15" s="158" t="str">
        <f>_xll.qlPeriodEquivalent(D15&amp;"M")</f>
        <v>30Y</v>
      </c>
      <c r="C15" s="142">
        <f t="shared" si="6"/>
        <v>42004</v>
      </c>
      <c r="D15" s="131">
        <v>360</v>
      </c>
      <c r="E15" s="142">
        <f t="shared" si="0"/>
        <v>53145</v>
      </c>
      <c r="F15" s="162">
        <f t="shared" si="1"/>
        <v>36</v>
      </c>
      <c r="G15" s="172">
        <f t="shared" si="2"/>
        <v>0</v>
      </c>
      <c r="H15" s="151">
        <f t="shared" si="3"/>
        <v>2.5000000000000001E-2</v>
      </c>
      <c r="I15" s="166">
        <f t="shared" si="4"/>
        <v>5.0000000000000001E-3</v>
      </c>
      <c r="J15" s="169">
        <f>MIN(_xll.ohPack($AC$19:INDEX($AC$19:$AC$3552,MATCH(E15+1,$AA$19:$AA$3552,1),1)))</f>
        <v>-2.5890587230126272E-4</v>
      </c>
      <c r="K15" s="166">
        <f>MAX(_xll.ohPack($AC$19:INDEX($AC$19:$AC$3552,MATCH(E15+1,$AA$19:$AA$3552,1),1)))</f>
        <v>2.2717138630271805E-2</v>
      </c>
      <c r="L15" s="164"/>
      <c r="M15" s="123"/>
      <c r="O15" s="115"/>
      <c r="P15" s="115"/>
      <c r="Q15" s="115"/>
      <c r="R15" s="115"/>
      <c r="S15" s="115"/>
      <c r="T15" s="115"/>
      <c r="U15" s="115"/>
      <c r="V15" s="116"/>
      <c r="W15" s="115"/>
      <c r="X15" s="115"/>
      <c r="AB15" s="114" t="s">
        <v>130</v>
      </c>
      <c r="AC15" s="114" t="s">
        <v>131</v>
      </c>
    </row>
    <row r="16" spans="1:30" ht="11.25" hidden="1" customHeight="1" outlineLevel="1" thickBot="1" x14ac:dyDescent="0.25">
      <c r="A16" s="156"/>
      <c r="B16" s="159" t="str">
        <f>_xll.qlPeriodEquivalent(D16&amp;"M")</f>
        <v>60Y</v>
      </c>
      <c r="C16" s="147">
        <f>C9</f>
        <v>42004</v>
      </c>
      <c r="D16" s="148">
        <v>720</v>
      </c>
      <c r="E16" s="147">
        <f t="shared" si="0"/>
        <v>64102</v>
      </c>
      <c r="F16" s="163">
        <f t="shared" si="1"/>
        <v>60</v>
      </c>
      <c r="G16" s="173">
        <f t="shared" si="2"/>
        <v>0</v>
      </c>
      <c r="H16" s="152">
        <f t="shared" si="3"/>
        <v>2.5000000000000001E-2</v>
      </c>
      <c r="I16" s="167">
        <f t="shared" si="4"/>
        <v>5.0000000000000001E-3</v>
      </c>
      <c r="J16" s="170">
        <f>MIN(_xll.ohPack($AC$19:INDEX($AC$19:$AC$3552,MATCH(E16+1,$AA$19:$AA$3552,1),1)))</f>
        <v>-2.5890587230126272E-4</v>
      </c>
      <c r="K16" s="167">
        <f>MAX(_xll.ohPack($AC$19:INDEX($AC$19:$AC$3552,MATCH(E16+1,$AA$19:$AA$3552,1),1)))</f>
        <v>2.2717138630271805E-2</v>
      </c>
      <c r="L16" s="164"/>
      <c r="M16" s="123"/>
      <c r="X16" s="91"/>
      <c r="AB16" s="96" t="str">
        <f>_xll.qlEuribor(,IndexTenor,YieldCurve)</f>
        <v>obj_007ca#0007</v>
      </c>
      <c r="AC16" s="96" t="str">
        <f>_xll.qlEonia(,YieldCurve)</f>
        <v>obj_007d1#0007</v>
      </c>
    </row>
    <row r="17" spans="10:29" ht="12" collapsed="1" thickBot="1" x14ac:dyDescent="0.25"/>
    <row r="18" spans="10:29" ht="12" thickBot="1" x14ac:dyDescent="0.25">
      <c r="M18" s="97" t="s">
        <v>44</v>
      </c>
      <c r="N18" s="97" t="s">
        <v>135</v>
      </c>
      <c r="O18" s="98" t="s">
        <v>128</v>
      </c>
      <c r="P18" s="98" t="s">
        <v>43</v>
      </c>
      <c r="Q18" s="98" t="s">
        <v>141</v>
      </c>
      <c r="R18" s="98" t="s">
        <v>129</v>
      </c>
      <c r="S18" s="98"/>
      <c r="T18" s="98"/>
      <c r="U18" s="98" t="s">
        <v>153</v>
      </c>
      <c r="V18" s="109" t="s">
        <v>142</v>
      </c>
      <c r="W18" s="114" t="s">
        <v>144</v>
      </c>
      <c r="Y18" s="127" t="s">
        <v>136</v>
      </c>
      <c r="Z18" s="128" t="s">
        <v>129</v>
      </c>
      <c r="AA18" s="128" t="s">
        <v>128</v>
      </c>
      <c r="AB18" s="129" t="s">
        <v>133</v>
      </c>
      <c r="AC18" s="130" t="s">
        <v>132</v>
      </c>
    </row>
    <row r="19" spans="10:29" ht="12" thickBot="1" x14ac:dyDescent="0.25">
      <c r="J19" s="125" t="s">
        <v>145</v>
      </c>
      <c r="M19" s="99" t="str">
        <f t="array" ref="M19:M36">_xll.ohFilter(RateHelpers!B12:B29,IF(ISERROR(RateHelpers!D12:D29),FALSE,TRUE))</f>
        <v>obj_00777#0003</v>
      </c>
      <c r="N19" s="179" t="str">
        <f>_xll.qlRateHelperQuoteName(M19)</f>
        <v>EUR1x7F_Quote</v>
      </c>
      <c r="O19" s="95">
        <f>_xll.qlRateHelperEarliestDate(M19,Trigger)</f>
        <v>42219</v>
      </c>
      <c r="P19" s="143">
        <f>_xll.qlRateHelperQuoteValue(M19,_xll.ohTrigger(RecalcTrigger,Trigger))</f>
        <v>6.7000000000000002E-4</v>
      </c>
      <c r="Q19" s="143" t="e">
        <f>NA()</f>
        <v>#N/A</v>
      </c>
      <c r="R19" s="95">
        <f>_xll.qlInterestRateIndexFixingDate(IborIndex,O19,_xll.ohTrigger(RecalcTrigger,Trigger))</f>
        <v>42215</v>
      </c>
      <c r="S19" s="95"/>
      <c r="T19" s="95"/>
      <c r="U19" s="143">
        <f>_xll.qlIndexFixing(IborIndex,R19,TRUE,RecalcTrigger)</f>
        <v>6.6999999999952373E-4</v>
      </c>
      <c r="V19" s="144">
        <f t="shared" ref="V19:V36" si="7">U19-P19</f>
        <v>-4.762900143728821E-16</v>
      </c>
      <c r="W19" s="181">
        <f t="array" ref="W19">MAX(ABS(V19:V36))</f>
        <v>3.8058210798838123E-5</v>
      </c>
      <c r="Y19" s="105" t="s">
        <v>102</v>
      </c>
      <c r="Z19" s="117">
        <f>_xll.qlSettingsEvaluationDate(Trigger)</f>
        <v>42185</v>
      </c>
      <c r="AA19" s="117">
        <f>_xll.qlCalendarAdvance(Calendar,Z19,NDays&amp;"D")</f>
        <v>42187</v>
      </c>
      <c r="AB19" s="92">
        <f t="array" ref="AB19:AB3552">IFERROR(_xll.qlIndexFixing(IborIndex,Z19:Z3552,TRUE,RecalcTrigger),NA())</f>
        <v>4.4000000000004604E-4</v>
      </c>
      <c r="AC19" s="101">
        <f t="array" ref="AC19:AC3552">IFERROR(_xll.qlIndexFixing(OverNightIndex,AA19:AA3552,TRUE,RecalcTrigger),NA())</f>
        <v>-2.5890587230126272E-4</v>
      </c>
    </row>
    <row r="20" spans="10:29" ht="12" thickBot="1" x14ac:dyDescent="0.25">
      <c r="J20" s="136"/>
      <c r="M20" s="100" t="str">
        <v>obj_00779#0003</v>
      </c>
      <c r="N20" s="105" t="str">
        <f>_xll.qlRateHelperQuoteName(M20)</f>
        <v>EUR2x8F_Quote</v>
      </c>
      <c r="O20" s="93">
        <f>_xll.qlRateHelperEarliestDate(M20,Trigger)</f>
        <v>42249</v>
      </c>
      <c r="P20" s="92">
        <f>_xll.qlRateHelperQuoteValue(M20,_xll.ohTrigger(RecalcTrigger,Trigger))</f>
        <v>7.6000000000000015E-4</v>
      </c>
      <c r="Q20" s="92" t="e">
        <f>NA()</f>
        <v>#N/A</v>
      </c>
      <c r="R20" s="93">
        <f>_xll.qlInterestRateIndexFixingDate(IborIndex,O20,_xll.ohTrigger(RecalcTrigger,Trigger))</f>
        <v>42247</v>
      </c>
      <c r="S20" s="93"/>
      <c r="T20" s="93"/>
      <c r="U20" s="92">
        <f>_xll.qlIndexFixing(IborIndex,R20,TRUE,RecalcTrigger)</f>
        <v>7.6000000000023553E-4</v>
      </c>
      <c r="V20" s="145">
        <f t="shared" si="7"/>
        <v>2.3538029164660301E-16</v>
      </c>
      <c r="Y20" s="105" t="str">
        <f>Y19</f>
        <v>1D</v>
      </c>
      <c r="Z20" s="93">
        <f>_xll.qlCalendarAdvance(Calendar,Z19,Y20,"f",FALSE)</f>
        <v>42186</v>
      </c>
      <c r="AA20" s="117">
        <f>_xll.qlCalendarAdvance(Calendar,Z20,NDays&amp;"D")</f>
        <v>42188</v>
      </c>
      <c r="AB20" s="92">
        <v>4.4377818873815854E-4</v>
      </c>
      <c r="AC20" s="101">
        <v>-2.5710892116670436E-4</v>
      </c>
    </row>
    <row r="21" spans="10:29" ht="12" thickBot="1" x14ac:dyDescent="0.25">
      <c r="M21" s="100" t="str">
        <v>obj_00786#0003</v>
      </c>
      <c r="N21" s="105" t="str">
        <f>_xll.qlRateHelperQuoteName(M21)</f>
        <v>EUR3x9F_Quote</v>
      </c>
      <c r="O21" s="93">
        <f>_xll.qlRateHelperEarliestDate(M21,Trigger)</f>
        <v>42279</v>
      </c>
      <c r="P21" s="92">
        <f>_xll.qlRateHelperQuoteValue(M21,_xll.ohTrigger(RecalcTrigger,Trigger))</f>
        <v>8.4000000000000014E-4</v>
      </c>
      <c r="Q21" s="92" t="e">
        <f>NA()</f>
        <v>#N/A</v>
      </c>
      <c r="R21" s="93">
        <f>_xll.qlInterestRateIndexFixingDate(IborIndex,O21,_xll.ohTrigger(RecalcTrigger,Trigger))</f>
        <v>42277</v>
      </c>
      <c r="S21" s="93"/>
      <c r="T21" s="93"/>
      <c r="U21" s="92">
        <f>_xll.qlIndexFixing(IborIndex,R21,TRUE,RecalcTrigger)</f>
        <v>8.3999999999988598E-4</v>
      </c>
      <c r="V21" s="145">
        <f t="shared" si="7"/>
        <v>-1.1416648876272362E-16</v>
      </c>
      <c r="Y21" s="105" t="str">
        <f t="shared" ref="Y21:Y84" si="8">Y20</f>
        <v>1D</v>
      </c>
      <c r="Z21" s="93">
        <f>_xll.qlCalendarAdvance(Calendar,Z20,Y21,"f",FALSE)</f>
        <v>42187</v>
      </c>
      <c r="AA21" s="117">
        <f>_xll.qlCalendarAdvance(Calendar,Z21,NDays&amp;"D")</f>
        <v>42191</v>
      </c>
      <c r="AB21" s="92">
        <v>4.6266082459254522E-4</v>
      </c>
      <c r="AC21" s="101">
        <v>-2.5351556961705768E-4</v>
      </c>
    </row>
    <row r="22" spans="10:29" ht="23.25" thickBot="1" x14ac:dyDescent="0.25">
      <c r="J22" s="213" t="s">
        <v>162</v>
      </c>
      <c r="M22" s="100" t="str">
        <v>obj_0077d#0003</v>
      </c>
      <c r="N22" s="105" t="str">
        <f>_xll.qlRateHelperQuoteName(M22)</f>
        <v>EUR4x10F_Quote</v>
      </c>
      <c r="O22" s="93">
        <f>_xll.qlRateHelperEarliestDate(M22,Trigger)</f>
        <v>42310</v>
      </c>
      <c r="P22" s="92">
        <f>_xll.qlRateHelperQuoteValue(M22,_xll.ohTrigger(RecalcTrigger,Trigger))</f>
        <v>8.8999999999999995E-4</v>
      </c>
      <c r="Q22" s="92" t="e">
        <f>NA()</f>
        <v>#N/A</v>
      </c>
      <c r="R22" s="93">
        <f>_xll.qlInterestRateIndexFixingDate(IborIndex,O22,_xll.ohTrigger(RecalcTrigger,Trigger))</f>
        <v>42306</v>
      </c>
      <c r="S22" s="93"/>
      <c r="T22" s="93"/>
      <c r="U22" s="92">
        <f>_xll.qlIndexFixing(IborIndex,R22,TRUE,RecalcTrigger)</f>
        <v>8.9000000000025268E-4</v>
      </c>
      <c r="V22" s="145">
        <f t="shared" si="7"/>
        <v>2.5272752640637108E-16</v>
      </c>
      <c r="Y22" s="105" t="str">
        <f t="shared" si="8"/>
        <v>1D</v>
      </c>
      <c r="Z22" s="93">
        <f>_xll.qlCalendarAdvance(Calendar,Z21,Y22,"f",FALSE)</f>
        <v>42188</v>
      </c>
      <c r="AA22" s="117">
        <f>_xll.qlCalendarAdvance(Calendar,Z22,NDays&amp;"D")</f>
        <v>42192</v>
      </c>
      <c r="AB22" s="92">
        <v>4.7036764670433555E-4</v>
      </c>
      <c r="AC22" s="101">
        <v>-2.5082041831492319E-4</v>
      </c>
    </row>
    <row r="23" spans="10:29" ht="12" thickBot="1" x14ac:dyDescent="0.25">
      <c r="J23" s="212" t="str">
        <f>ROUNDDOWN((_xll.qlTermStructureMaxDate(YieldCurve,Trigger)-_xll.qlTermStructureReferenceDate(YieldCurve,Trigger))/365,)&amp;"Y"</f>
        <v>60Y</v>
      </c>
      <c r="M23" s="100" t="str">
        <v>obj_0077e#0003</v>
      </c>
      <c r="N23" s="105" t="str">
        <f>_xll.qlRateHelperQuoteName(M23)</f>
        <v>EUR5x11F_Quote</v>
      </c>
      <c r="O23" s="93">
        <f>_xll.qlRateHelperEarliestDate(M23,Trigger)</f>
        <v>42340</v>
      </c>
      <c r="P23" s="92">
        <f>_xll.qlRateHelperQuoteValue(M23,_xll.ohTrigger(RecalcTrigger,Trigger))</f>
        <v>9.2999999999999995E-4</v>
      </c>
      <c r="Q23" s="92" t="e">
        <f>NA()</f>
        <v>#N/A</v>
      </c>
      <c r="R23" s="93">
        <f>_xll.qlInterestRateIndexFixingDate(IborIndex,O23,_xll.ohTrigger(RecalcTrigger,Trigger))</f>
        <v>42338</v>
      </c>
      <c r="S23" s="93"/>
      <c r="T23" s="93"/>
      <c r="U23" s="92">
        <f>_xll.qlIndexFixing(IborIndex,R23,TRUE,RecalcTrigger)</f>
        <v>9.3000000000026124E-4</v>
      </c>
      <c r="V23" s="145">
        <f t="shared" si="7"/>
        <v>2.6129272356900657E-16</v>
      </c>
      <c r="Y23" s="105" t="str">
        <f t="shared" si="8"/>
        <v>1D</v>
      </c>
      <c r="Z23" s="93">
        <f>_xll.qlCalendarAdvance(Calendar,Z22,Y23,"f",FALSE)</f>
        <v>42191</v>
      </c>
      <c r="AA23" s="117">
        <f>_xll.qlCalendarAdvance(Calendar,Z23,NDays&amp;"D")</f>
        <v>42193</v>
      </c>
      <c r="AB23" s="92">
        <v>4.7817183072031692E-4</v>
      </c>
      <c r="AC23" s="101">
        <v>-2.4758623663245771E-4</v>
      </c>
    </row>
    <row r="24" spans="10:29" x14ac:dyDescent="0.2">
      <c r="M24" s="100" t="str">
        <v>obj_0077b#0003</v>
      </c>
      <c r="N24" s="105" t="str">
        <f>_xll.qlRateHelperQuoteName(M24)</f>
        <v>EUR6x12F_Quote</v>
      </c>
      <c r="O24" s="93">
        <f>_xll.qlRateHelperEarliestDate(M24,Trigger)</f>
        <v>42373</v>
      </c>
      <c r="P24" s="92">
        <f>_xll.qlRateHelperQuoteValue(M24,_xll.ohTrigger(RecalcTrigger,Trigger))</f>
        <v>9.7999999999999997E-4</v>
      </c>
      <c r="Q24" s="92" t="e">
        <f>NA()</f>
        <v>#N/A</v>
      </c>
      <c r="R24" s="93">
        <f>_xll.qlInterestRateIndexFixingDate(IborIndex,O24,_xll.ohTrigger(RecalcTrigger,Trigger))</f>
        <v>42368</v>
      </c>
      <c r="S24" s="93"/>
      <c r="T24" s="93"/>
      <c r="U24" s="92">
        <f>_xll.qlIndexFixing(IborIndex,R24,TRUE,RecalcTrigger)</f>
        <v>9.8000000000009559E-4</v>
      </c>
      <c r="V24" s="145">
        <f t="shared" si="7"/>
        <v>9.5626631613221491E-17</v>
      </c>
      <c r="Y24" s="105" t="str">
        <f t="shared" si="8"/>
        <v>1D</v>
      </c>
      <c r="Z24" s="93">
        <f>_xll.qlCalendarAdvance(Calendar,Z23,Y24,"f",FALSE)</f>
        <v>42192</v>
      </c>
      <c r="AA24" s="117">
        <f>_xll.qlCalendarAdvance(Calendar,Z24,NDays&amp;"D")</f>
        <v>42194</v>
      </c>
      <c r="AB24" s="92">
        <v>4.9403312303140164E-4</v>
      </c>
      <c r="AC24" s="101">
        <v>-2.4381302464959731E-4</v>
      </c>
    </row>
    <row r="25" spans="10:29" x14ac:dyDescent="0.2">
      <c r="M25" s="100" t="str">
        <v>obj_00781#0003</v>
      </c>
      <c r="N25" s="105" t="str">
        <f>_xll.qlRateHelperQuoteName(M25)</f>
        <v>EUR7x13F_Quote</v>
      </c>
      <c r="O25" s="93">
        <f>_xll.qlRateHelperEarliestDate(M25,Trigger)</f>
        <v>42402</v>
      </c>
      <c r="P25" s="92">
        <f>_xll.qlRateHelperQuoteValue(M25,_xll.ohTrigger(RecalcTrigger,Trigger))</f>
        <v>1.0200000000000001E-3</v>
      </c>
      <c r="Q25" s="92" t="e">
        <f>NA()</f>
        <v>#N/A</v>
      </c>
      <c r="R25" s="93">
        <f>_xll.qlInterestRateIndexFixingDate(IborIndex,O25,_xll.ohTrigger(RecalcTrigger,Trigger))</f>
        <v>42398</v>
      </c>
      <c r="S25" s="93"/>
      <c r="T25" s="93"/>
      <c r="U25" s="92">
        <f>_xll.qlIndexFixing(IborIndex,R25,TRUE,RecalcTrigger)</f>
        <v>1.0199999999998305E-3</v>
      </c>
      <c r="V25" s="145">
        <f t="shared" si="7"/>
        <v>-1.6956921977673289E-16</v>
      </c>
      <c r="Y25" s="105" t="str">
        <f t="shared" si="8"/>
        <v>1D</v>
      </c>
      <c r="Z25" s="93">
        <f>_xll.qlCalendarAdvance(Calendar,Z24,Y25,"f",FALSE)</f>
        <v>42193</v>
      </c>
      <c r="AA25" s="117">
        <f>_xll.qlCalendarAdvance(Calendar,Z25,NDays&amp;"D")</f>
        <v>42195</v>
      </c>
      <c r="AB25" s="92">
        <v>4.980218178755498E-4</v>
      </c>
      <c r="AC25" s="101">
        <v>-2.3446968021811898E-4</v>
      </c>
    </row>
    <row r="26" spans="10:29" x14ac:dyDescent="0.2">
      <c r="M26" s="100" t="str">
        <v>obj_00783#0003</v>
      </c>
      <c r="N26" s="105" t="str">
        <f>_xll.qlRateHelperQuoteName(M26)</f>
        <v>EUR8x14F_Quote</v>
      </c>
      <c r="O26" s="93">
        <f>_xll.qlRateHelperEarliestDate(M26,Trigger)</f>
        <v>42431</v>
      </c>
      <c r="P26" s="92">
        <f>_xll.qlRateHelperQuoteValue(M26,_xll.ohTrigger(RecalcTrigger,Trigger))</f>
        <v>1.0500000000000002E-3</v>
      </c>
      <c r="Q26" s="92" t="e">
        <f>NA()</f>
        <v>#N/A</v>
      </c>
      <c r="R26" s="93">
        <f>_xll.qlInterestRateIndexFixingDate(IborIndex,O26,_xll.ohTrigger(RecalcTrigger,Trigger))</f>
        <v>42429</v>
      </c>
      <c r="S26" s="93"/>
      <c r="T26" s="93"/>
      <c r="U26" s="92">
        <f>_xll.qlIndexFixing(IborIndex,R26,TRUE,RecalcTrigger)</f>
        <v>1.0499999999999279E-3</v>
      </c>
      <c r="V26" s="145">
        <f t="shared" si="7"/>
        <v>-7.2207864687534595E-17</v>
      </c>
      <c r="Y26" s="105" t="str">
        <f t="shared" si="8"/>
        <v>1D</v>
      </c>
      <c r="Z26" s="93">
        <f>_xll.qlCalendarAdvance(Calendar,Z25,Y26,"f",FALSE)</f>
        <v>42194</v>
      </c>
      <c r="AA26" s="117">
        <f>_xll.qlCalendarAdvance(Calendar,Z26,NDays&amp;"D")</f>
        <v>42198</v>
      </c>
      <c r="AB26" s="92">
        <v>5.1816972994954359E-4</v>
      </c>
      <c r="AC26" s="101">
        <v>-2.2332987323459008E-4</v>
      </c>
    </row>
    <row r="27" spans="10:29" x14ac:dyDescent="0.2">
      <c r="M27" s="100" t="str">
        <v>obj_00785#0003</v>
      </c>
      <c r="N27" s="105" t="str">
        <f>_xll.qlRateHelperQuoteName(M27)</f>
        <v>EUR9x15F_Quote</v>
      </c>
      <c r="O27" s="93">
        <f>_xll.qlRateHelperEarliestDate(M27,Trigger)</f>
        <v>42464</v>
      </c>
      <c r="P27" s="92">
        <f>_xll.qlRateHelperQuoteValue(M27,_xll.ohTrigger(RecalcTrigger,Trigger))</f>
        <v>1.1000000000000001E-3</v>
      </c>
      <c r="Q27" s="92" t="e">
        <f>NA()</f>
        <v>#N/A</v>
      </c>
      <c r="R27" s="93">
        <f>_xll.qlInterestRateIndexFixingDate(IborIndex,O27,_xll.ohTrigger(RecalcTrigger,Trigger))</f>
        <v>42460</v>
      </c>
      <c r="S27" s="93"/>
      <c r="T27" s="93"/>
      <c r="U27" s="92">
        <f>_xll.qlIndexFixing(IborIndex,R27,TRUE,RecalcTrigger)</f>
        <v>1.099999999999999E-3</v>
      </c>
      <c r="V27" s="145">
        <f t="shared" si="7"/>
        <v>0</v>
      </c>
      <c r="Y27" s="105" t="str">
        <f t="shared" si="8"/>
        <v>1D</v>
      </c>
      <c r="Z27" s="93">
        <f>_xll.qlCalendarAdvance(Calendar,Z26,Y27,"f",FALSE)</f>
        <v>42195</v>
      </c>
      <c r="AA27" s="117">
        <f>_xll.qlCalendarAdvance(Calendar,Z27,NDays&amp;"D")</f>
        <v>42199</v>
      </c>
      <c r="AB27" s="92">
        <v>5.262680126887257E-4</v>
      </c>
      <c r="AC27" s="101">
        <v>-2.1686150939004278E-4</v>
      </c>
    </row>
    <row r="28" spans="10:29" x14ac:dyDescent="0.2">
      <c r="M28" s="100" t="str">
        <v>obj_0077a#0003</v>
      </c>
      <c r="N28" s="105" t="str">
        <f>_xll.qlRateHelperQuoteName(M28)</f>
        <v>EUR10x16F_Quote</v>
      </c>
      <c r="O28" s="93">
        <f>_xll.qlRateHelperEarliestDate(M28,Trigger)</f>
        <v>42492</v>
      </c>
      <c r="P28" s="92">
        <f>_xll.qlRateHelperQuoteValue(M28,_xll.ohTrigger(RecalcTrigger,Trigger))</f>
        <v>1.16E-3</v>
      </c>
      <c r="Q28" s="92" t="e">
        <f>NA()</f>
        <v>#N/A</v>
      </c>
      <c r="R28" s="93">
        <f>_xll.qlInterestRateIndexFixingDate(IborIndex,O28,_xll.ohTrigger(RecalcTrigger,Trigger))</f>
        <v>42488</v>
      </c>
      <c r="S28" s="93"/>
      <c r="T28" s="93"/>
      <c r="U28" s="92">
        <f>_xll.qlIndexFixing(IborIndex,R28,TRUE,RecalcTrigger)</f>
        <v>1.1599999999999534E-3</v>
      </c>
      <c r="V28" s="145">
        <f t="shared" si="7"/>
        <v>-4.6620693416876691E-17</v>
      </c>
      <c r="Y28" s="105" t="str">
        <f t="shared" si="8"/>
        <v>1D</v>
      </c>
      <c r="Z28" s="93">
        <f>_xll.qlCalendarAdvance(Calendar,Z27,Y28,"f",FALSE)</f>
        <v>42198</v>
      </c>
      <c r="AA28" s="117">
        <f>_xll.qlCalendarAdvance(Calendar,Z28,NDays&amp;"D")</f>
        <v>42200</v>
      </c>
      <c r="AB28" s="92">
        <v>5.3436696436585647E-4</v>
      </c>
      <c r="AC28" s="101">
        <v>-2.0985411508522844E-4</v>
      </c>
    </row>
    <row r="29" spans="10:29" x14ac:dyDescent="0.2">
      <c r="M29" s="100" t="str">
        <v>obj_0077f#0003</v>
      </c>
      <c r="N29" s="105" t="str">
        <f>_xll.qlRateHelperQuoteName(M29)</f>
        <v>EUR11x17F_Quote</v>
      </c>
      <c r="O29" s="93">
        <f>_xll.qlRateHelperEarliestDate(M29,Trigger)</f>
        <v>42523</v>
      </c>
      <c r="P29" s="92">
        <f>_xll.qlRateHelperQuoteValue(M29,_xll.ohTrigger(RecalcTrigger,Trigger))</f>
        <v>1.2099999999999999E-3</v>
      </c>
      <c r="Q29" s="92" t="e">
        <f>NA()</f>
        <v>#N/A</v>
      </c>
      <c r="R29" s="93">
        <f>_xll.qlInterestRateIndexFixingDate(IborIndex,O29,_xll.ohTrigger(RecalcTrigger,Trigger))</f>
        <v>42521</v>
      </c>
      <c r="S29" s="93"/>
      <c r="T29" s="93"/>
      <c r="U29" s="92">
        <f>_xll.qlIndexFixing(IborIndex,R29,TRUE,RecalcTrigger)</f>
        <v>1.2099999999996495E-3</v>
      </c>
      <c r="V29" s="145">
        <f t="shared" si="7"/>
        <v>-3.5041414214731503E-16</v>
      </c>
      <c r="Y29" s="105" t="str">
        <f t="shared" si="8"/>
        <v>1D</v>
      </c>
      <c r="Z29" s="93">
        <f>_xll.qlCalendarAdvance(Calendar,Z28,Y29,"f",FALSE)</f>
        <v>42199</v>
      </c>
      <c r="AA29" s="117">
        <f>_xll.qlCalendarAdvance(Calendar,Z29,NDays&amp;"D")</f>
        <v>42201</v>
      </c>
      <c r="AB29" s="92">
        <v>5.5039150516071383E-4</v>
      </c>
      <c r="AC29" s="101">
        <v>-2.02307690240211E-4</v>
      </c>
    </row>
    <row r="30" spans="10:29" x14ac:dyDescent="0.2">
      <c r="M30" s="100" t="str">
        <v>obj_00782#0003</v>
      </c>
      <c r="N30" s="105" t="str">
        <f>_xll.qlRateHelperQuoteName(M30)</f>
        <v>EUR12x18F_Quote</v>
      </c>
      <c r="O30" s="93">
        <f>_xll.qlRateHelperEarliestDate(M30,Trigger)</f>
        <v>42555</v>
      </c>
      <c r="P30" s="92">
        <f>_xll.qlRateHelperQuoteValue(M30,_xll.ohTrigger(RecalcTrigger,Trigger))</f>
        <v>1.31E-3</v>
      </c>
      <c r="Q30" s="92" t="e">
        <f>NA()</f>
        <v>#N/A</v>
      </c>
      <c r="R30" s="93">
        <f>_xll.qlInterestRateIndexFixingDate(IborIndex,O30,_xll.ohTrigger(RecalcTrigger,Trigger))</f>
        <v>42551</v>
      </c>
      <c r="S30" s="93"/>
      <c r="T30" s="93"/>
      <c r="U30" s="92">
        <f>_xll.qlIndexFixing(IborIndex,R30,TRUE,RecalcTrigger)</f>
        <v>1.3099999999991983E-3</v>
      </c>
      <c r="V30" s="145">
        <f t="shared" si="7"/>
        <v>-8.0165908633578198E-16</v>
      </c>
      <c r="Y30" s="105" t="str">
        <f t="shared" si="8"/>
        <v>1D</v>
      </c>
      <c r="Z30" s="93">
        <f>_xll.qlCalendarAdvance(Calendar,Z29,Y30,"f",FALSE)</f>
        <v>42200</v>
      </c>
      <c r="AA30" s="117">
        <f>_xll.qlCalendarAdvance(Calendar,Z30,NDays&amp;"D")</f>
        <v>42202</v>
      </c>
      <c r="AB30" s="92">
        <v>5.5446046104769091E-4</v>
      </c>
      <c r="AC30" s="101">
        <v>-1.8541797683901962E-4</v>
      </c>
    </row>
    <row r="31" spans="10:29" x14ac:dyDescent="0.2">
      <c r="M31" s="100" t="str">
        <v>obj_00775#0003</v>
      </c>
      <c r="N31" s="105" t="str">
        <f>_xll.qlRateHelperQuoteName(M31)</f>
        <v>EUR13x19F_Quote</v>
      </c>
      <c r="O31" s="93">
        <f>_xll.qlRateHelperEarliestDate(M31,Trigger)</f>
        <v>42584</v>
      </c>
      <c r="P31" s="92">
        <f>_xll.qlRateHelperQuoteValue(M31,_xll.ohTrigger(RecalcTrigger,Trigger))</f>
        <v>1.4199999999999998E-3</v>
      </c>
      <c r="Q31" s="92" t="e">
        <f>NA()</f>
        <v>#N/A</v>
      </c>
      <c r="R31" s="93">
        <f>_xll.qlInterestRateIndexFixingDate(IborIndex,O31,_xll.ohTrigger(RecalcTrigger,Trigger))</f>
        <v>42580</v>
      </c>
      <c r="S31" s="93"/>
      <c r="T31" s="93"/>
      <c r="U31" s="92">
        <f>_xll.qlIndexFixing(IborIndex,R31,TRUE,RecalcTrigger)</f>
        <v>1.4200000000000928E-3</v>
      </c>
      <c r="V31" s="145">
        <f t="shared" si="7"/>
        <v>9.302454639925628E-17</v>
      </c>
      <c r="Y31" s="105" t="str">
        <f t="shared" si="8"/>
        <v>1D</v>
      </c>
      <c r="Z31" s="93">
        <f>_xll.qlCalendarAdvance(Calendar,Z30,Y31,"f",FALSE)</f>
        <v>42201</v>
      </c>
      <c r="AA31" s="117">
        <f>_xll.qlCalendarAdvance(Calendar,Z31,NDays&amp;"D")</f>
        <v>42205</v>
      </c>
      <c r="AB31" s="92">
        <v>5.7438825253326058E-4</v>
      </c>
      <c r="AC31" s="101">
        <v>-1.6673168553804629E-4</v>
      </c>
    </row>
    <row r="32" spans="10:29" x14ac:dyDescent="0.2">
      <c r="M32" s="100" t="str">
        <v>obj_00780#0003</v>
      </c>
      <c r="N32" s="105" t="str">
        <f>_xll.qlRateHelperQuoteName(M32)</f>
        <v>EUR14x20F_Quote</v>
      </c>
      <c r="O32" s="93">
        <f>_xll.qlRateHelperEarliestDate(M32,Trigger)</f>
        <v>42615</v>
      </c>
      <c r="P32" s="92">
        <f>_xll.qlRateHelperQuoteValue(M32,_xll.ohTrigger(RecalcTrigger,Trigger))</f>
        <v>1.5199999999999999E-3</v>
      </c>
      <c r="Q32" s="92" t="e">
        <f>NA()</f>
        <v>#N/A</v>
      </c>
      <c r="R32" s="93">
        <f>_xll.qlInterestRateIndexFixingDate(IborIndex,O32,_xll.ohTrigger(RecalcTrigger,Trigger))</f>
        <v>42613</v>
      </c>
      <c r="S32" s="93"/>
      <c r="T32" s="93"/>
      <c r="U32" s="92">
        <f>_xll.qlIndexFixing(IborIndex,R32,TRUE,RecalcTrigger)</f>
        <v>1.5199999999998886E-3</v>
      </c>
      <c r="V32" s="145">
        <f t="shared" si="7"/>
        <v>-1.1123914289701275E-16</v>
      </c>
      <c r="Y32" s="105" t="str">
        <f t="shared" si="8"/>
        <v>1D</v>
      </c>
      <c r="Z32" s="93">
        <f>_xll.qlCalendarAdvance(Calendar,Z31,Y32,"f",FALSE)</f>
        <v>42202</v>
      </c>
      <c r="AA32" s="117">
        <f>_xll.qlCalendarAdvance(Calendar,Z32,NDays&amp;"D")</f>
        <v>42206</v>
      </c>
      <c r="AB32" s="92">
        <v>5.8220111212080739E-4</v>
      </c>
      <c r="AC32" s="101">
        <v>-1.5649010787210926E-4</v>
      </c>
    </row>
    <row r="33" spans="13:29" x14ac:dyDescent="0.2">
      <c r="M33" s="100" t="str">
        <v>obj_0077c#0003</v>
      </c>
      <c r="N33" s="105" t="str">
        <f>_xll.qlRateHelperQuoteName(M33)</f>
        <v>EUR15x21F_Quote</v>
      </c>
      <c r="O33" s="93">
        <f>_xll.qlRateHelperEarliestDate(M33,Trigger)</f>
        <v>42646</v>
      </c>
      <c r="P33" s="92">
        <f>_xll.qlRateHelperQuoteValue(M33,_xll.ohTrigger(RecalcTrigger,Trigger))</f>
        <v>1.6699999999999998E-3</v>
      </c>
      <c r="Q33" s="92" t="e">
        <f>NA()</f>
        <v>#N/A</v>
      </c>
      <c r="R33" s="93">
        <f>_xll.qlInterestRateIndexFixingDate(IborIndex,O33,_xll.ohTrigger(RecalcTrigger,Trigger))</f>
        <v>42642</v>
      </c>
      <c r="S33" s="93"/>
      <c r="T33" s="93"/>
      <c r="U33" s="92">
        <f>_xll.qlIndexFixing(IborIndex,R33,TRUE,RecalcTrigger)</f>
        <v>1.6699999999999163E-3</v>
      </c>
      <c r="V33" s="145">
        <f t="shared" si="7"/>
        <v>-8.3483567281383841E-17</v>
      </c>
      <c r="Y33" s="105" t="str">
        <f t="shared" si="8"/>
        <v>1D</v>
      </c>
      <c r="Z33" s="93">
        <f>_xll.qlCalendarAdvance(Calendar,Z32,Y33,"f",FALSE)</f>
        <v>42205</v>
      </c>
      <c r="AA33" s="117">
        <f>_xll.qlCalendarAdvance(Calendar,Z33,NDays&amp;"D")</f>
        <v>42207</v>
      </c>
      <c r="AB33" s="92">
        <v>5.8991793667190933E-4</v>
      </c>
      <c r="AC33" s="101">
        <v>-1.4570949926628884E-4</v>
      </c>
    </row>
    <row r="34" spans="13:29" x14ac:dyDescent="0.2">
      <c r="M34" s="100" t="str">
        <v>obj_00784#0003</v>
      </c>
      <c r="N34" s="105" t="str">
        <f>_xll.qlRateHelperQuoteName(M34)</f>
        <v>EUR16x22F_Quote</v>
      </c>
      <c r="O34" s="93">
        <f>_xll.qlRateHelperEarliestDate(M34,Trigger)</f>
        <v>42676</v>
      </c>
      <c r="P34" s="92">
        <f>_xll.qlRateHelperQuoteValue(M34,_xll.ohTrigger(RecalcTrigger,Trigger))</f>
        <v>1.82E-3</v>
      </c>
      <c r="Q34" s="92" t="e">
        <f>NA()</f>
        <v>#N/A</v>
      </c>
      <c r="R34" s="93">
        <f>_xll.qlInterestRateIndexFixingDate(IborIndex,O34,_xll.ohTrigger(RecalcTrigger,Trigger))</f>
        <v>42674</v>
      </c>
      <c r="S34" s="93"/>
      <c r="T34" s="93"/>
      <c r="U34" s="92">
        <f>_xll.qlIndexFixing(IborIndex,R34,TRUE,RecalcTrigger)</f>
        <v>1.8199999999994249E-3</v>
      </c>
      <c r="V34" s="145">
        <f t="shared" si="7"/>
        <v>-5.7506083228631155E-16</v>
      </c>
      <c r="Y34" s="105" t="str">
        <f t="shared" si="8"/>
        <v>1D</v>
      </c>
      <c r="Z34" s="93">
        <f>_xll.qlCalendarAdvance(Calendar,Z33,Y34,"f",FALSE)</f>
        <v>42206</v>
      </c>
      <c r="AA34" s="117">
        <f>_xll.qlCalendarAdvance(Calendar,Z34,NDays&amp;"D")</f>
        <v>42208</v>
      </c>
      <c r="AB34" s="92">
        <v>6.0438786187777527E-4</v>
      </c>
      <c r="AC34" s="101">
        <v>-1.343898600802973E-4</v>
      </c>
    </row>
    <row r="35" spans="13:29" x14ac:dyDescent="0.2">
      <c r="M35" s="100" t="str">
        <v>obj_007ab#0003</v>
      </c>
      <c r="N35" s="105" t="str">
        <f>_xll.qlRateHelperQuoteName(M35)</f>
        <v>EUR17x23F_Quote</v>
      </c>
      <c r="O35" s="93">
        <f>_xll.qlRateHelperEarliestDate(M35,Trigger)</f>
        <v>42706</v>
      </c>
      <c r="P35" s="92">
        <f>_xll.qlRateHelperQuoteValue(M35,_xll.ohTrigger(RecalcTrigger,Trigger))</f>
        <v>1.99E-3</v>
      </c>
      <c r="Q35" s="92" t="e">
        <f>NA()</f>
        <v>#N/A</v>
      </c>
      <c r="R35" s="93">
        <f>_xll.qlInterestRateIndexFixingDate(IborIndex,O35,_xll.ohTrigger(RecalcTrigger,Trigger))</f>
        <v>42704</v>
      </c>
      <c r="S35" s="93"/>
      <c r="T35" s="93"/>
      <c r="U35" s="92">
        <f>_xll.qlIndexFixing(IborIndex,R35,TRUE,RecalcTrigger)</f>
        <v>1.989999999999114E-3</v>
      </c>
      <c r="V35" s="145">
        <f t="shared" si="7"/>
        <v>-8.8601001535515422E-16</v>
      </c>
      <c r="Y35" s="105" t="str">
        <f t="shared" si="8"/>
        <v>1D</v>
      </c>
      <c r="Z35" s="93">
        <f>_xll.qlCalendarAdvance(Calendar,Z34,Y35,"f",FALSE)</f>
        <v>42207</v>
      </c>
      <c r="AA35" s="117">
        <f>_xll.qlCalendarAdvance(Calendar,Z35,NDays&amp;"D")</f>
        <v>42209</v>
      </c>
      <c r="AB35" s="92">
        <v>6.0838148208139159E-4</v>
      </c>
      <c r="AC35" s="101">
        <v>-1.0995377865530287E-4</v>
      </c>
    </row>
    <row r="36" spans="13:29" ht="12" thickBot="1" x14ac:dyDescent="0.25">
      <c r="M36" s="102" t="str">
        <v>obj_00776#0003</v>
      </c>
      <c r="N36" s="106" t="str">
        <f>_xll.qlRateHelperQuoteName(M36)</f>
        <v>EUR18x24F_Quote</v>
      </c>
      <c r="O36" s="103">
        <f>_xll.qlRateHelperEarliestDate(M36,Trigger)</f>
        <v>42737</v>
      </c>
      <c r="P36" s="119">
        <f>_xll.qlRateHelperQuoteValue(M36,_xll.ohTrigger(RecalcTrigger,Trigger))</f>
        <v>2.1600000000000005E-3</v>
      </c>
      <c r="Q36" s="119" t="e">
        <f>NA()</f>
        <v>#N/A</v>
      </c>
      <c r="R36" s="103">
        <f>_xll.qlInterestRateIndexFixingDate(IborIndex,O36,_xll.ohTrigger(RecalcTrigger,Trigger))</f>
        <v>42733</v>
      </c>
      <c r="S36" s="103"/>
      <c r="T36" s="103"/>
      <c r="U36" s="119">
        <f>_xll.qlIndexFixing(IborIndex,R36,TRUE,RecalcTrigger)</f>
        <v>2.1980582107988386E-3</v>
      </c>
      <c r="V36" s="146">
        <f t="shared" si="7"/>
        <v>3.8058210798838123E-5</v>
      </c>
      <c r="Y36" s="105" t="str">
        <f t="shared" si="8"/>
        <v>1D</v>
      </c>
      <c r="Z36" s="93">
        <f>_xll.qlCalendarAdvance(Calendar,Z35,Y36,"f",FALSE)</f>
        <v>42208</v>
      </c>
      <c r="AA36" s="117">
        <f>_xll.qlCalendarAdvance(Calendar,Z36,NDays&amp;"D")</f>
        <v>42212</v>
      </c>
      <c r="AB36" s="92">
        <v>6.2657797714435351E-4</v>
      </c>
      <c r="AC36" s="101">
        <v>-8.3720994257241443E-5</v>
      </c>
    </row>
    <row r="37" spans="13:29" ht="12" thickBot="1" x14ac:dyDescent="0.25">
      <c r="N37" s="178"/>
      <c r="Y37" s="105" t="str">
        <f t="shared" si="8"/>
        <v>1D</v>
      </c>
      <c r="Z37" s="93">
        <f>_xll.qlCalendarAdvance(Calendar,Z36,Y37,"f",FALSE)</f>
        <v>42209</v>
      </c>
      <c r="AA37" s="117">
        <f>_xll.qlCalendarAdvance(Calendar,Z37,NDays&amp;"D")</f>
        <v>42213</v>
      </c>
      <c r="AB37" s="92">
        <v>6.3342845486813459E-4</v>
      </c>
      <c r="AC37" s="101">
        <v>-6.9706200371832949E-5</v>
      </c>
    </row>
    <row r="38" spans="13:29" x14ac:dyDescent="0.2">
      <c r="M38" s="97" t="s">
        <v>44</v>
      </c>
      <c r="N38" s="97" t="s">
        <v>143</v>
      </c>
      <c r="O38" s="98" t="s">
        <v>37</v>
      </c>
      <c r="P38" s="98" t="s">
        <v>43</v>
      </c>
      <c r="Q38" s="108" t="s">
        <v>138</v>
      </c>
      <c r="R38" s="98" t="s">
        <v>137</v>
      </c>
      <c r="S38" s="98"/>
      <c r="T38" s="98"/>
      <c r="U38" s="98" t="s">
        <v>153</v>
      </c>
      <c r="V38" s="109" t="s">
        <v>142</v>
      </c>
      <c r="Y38" s="105" t="str">
        <f t="shared" si="8"/>
        <v>1D</v>
      </c>
      <c r="Z38" s="93">
        <f>_xll.qlCalendarAdvance(Calendar,Z37,Y38,"f",FALSE)</f>
        <v>42212</v>
      </c>
      <c r="AA38" s="117">
        <f>_xll.qlCalendarAdvance(Calendar,Z38,NDays&amp;"D")</f>
        <v>42214</v>
      </c>
      <c r="AB38" s="92">
        <v>6.400861837272205E-4</v>
      </c>
      <c r="AC38" s="101">
        <v>-5.5152375306732893E-5</v>
      </c>
    </row>
    <row r="39" spans="13:29" x14ac:dyDescent="0.2">
      <c r="M39" s="105" t="str">
        <f t="array" ref="M39:M75">_xll.ohFilter(RateHelpers!B30:B66,IF(ISERROR(RateHelpers!D30:D66),FALSE,TRUE))</f>
        <v>obj_007a0#0003</v>
      </c>
      <c r="N39" s="105" t="str">
        <f>_xll.qlRateHelperQuoteName(M39)</f>
        <v>EURAB6E1Y_Quote</v>
      </c>
      <c r="O39" s="93">
        <f>_xll.qlRateHelperLatestDate(M39,Trigger)</f>
        <v>42555</v>
      </c>
      <c r="P39" s="120">
        <f>_xll.qlRateHelperQuoteValue(M39,_xll.ohTrigger(RecalcTrigger,YieldCurve))</f>
        <v>7.400000000000001E-4</v>
      </c>
      <c r="Q39" s="122" t="str">
        <f t="shared" ref="Q39:Q75" si="9">SUBSTITUTE(SUBSTITUTE(N39,"_Quote",""),"EURAB6E","")</f>
        <v>1Y</v>
      </c>
      <c r="R39" s="123" t="str">
        <f>_xll.qlEuriborSwap(,"IsdaFixA",Monitor!Q39,YieldCurve,"EurON",,_xll.ohTrigger(Trigger,RecalcTrigger))</f>
        <v>obj_007bf#0009</v>
      </c>
      <c r="S39" s="123"/>
      <c r="T39" s="123"/>
      <c r="U39" s="110">
        <f>_xll.qlIndexFixing(R39,$Z$19,TRUE,Trigger)</f>
        <v>6.4485380521536316E-4</v>
      </c>
      <c r="V39" s="111">
        <f t="shared" ref="V39:V75" si="10">U39-P39</f>
        <v>-9.5146194784636933E-5</v>
      </c>
      <c r="Y39" s="105" t="str">
        <f t="shared" si="8"/>
        <v>1D</v>
      </c>
      <c r="Z39" s="93">
        <f>_xll.qlCalendarAdvance(Calendar,Z38,Y39,"f",FALSE)</f>
        <v>42213</v>
      </c>
      <c r="AA39" s="117">
        <f>_xll.qlCalendarAdvance(Calendar,Z39,NDays&amp;"D")</f>
        <v>42215</v>
      </c>
      <c r="AB39" s="92">
        <v>6.4388540017986534E-4</v>
      </c>
      <c r="AC39" s="101">
        <v>-4.0059519101909302E-5</v>
      </c>
    </row>
    <row r="40" spans="13:29" x14ac:dyDescent="0.2">
      <c r="M40" s="105" t="str">
        <v>obj_00792#0003</v>
      </c>
      <c r="N40" s="105" t="str">
        <f>_xll.qlRateHelperQuoteName(M40)</f>
        <v>EURAB6E15M_Quote</v>
      </c>
      <c r="O40" s="93">
        <f>_xll.qlRateHelperLatestDate(M40,Trigger)</f>
        <v>42646</v>
      </c>
      <c r="P40" s="120">
        <f>_xll.qlRateHelperQuoteValue(M40,_xll.ohTrigger(RecalcTrigger,YieldCurve))</f>
        <v>7.6000000000000015E-4</v>
      </c>
      <c r="Q40" s="122" t="str">
        <f t="shared" si="9"/>
        <v>15M</v>
      </c>
      <c r="R40" s="123" t="str">
        <f>_xll.qlEuriborSwap(,"IsdaFixA",Monitor!Q40,YieldCurve,Discounting,,_xll.ohTrigger(Trigger,RecalcTrigger))</f>
        <v>obj_007bd#0009</v>
      </c>
      <c r="S40" s="123"/>
      <c r="T40" s="123"/>
      <c r="U40" s="110">
        <f>_xll.qlIndexFixing(R40,$Z$19,TRUE,Trigger)</f>
        <v>8.8994204330869215E-4</v>
      </c>
      <c r="V40" s="111">
        <f t="shared" si="10"/>
        <v>1.29942043308692E-4</v>
      </c>
      <c r="W40" s="94"/>
      <c r="Y40" s="105" t="str">
        <f t="shared" si="8"/>
        <v>1D</v>
      </c>
      <c r="Z40" s="93">
        <f>_xll.qlCalendarAdvance(Calendar,Z39,Y40,"f",FALSE)</f>
        <v>42214</v>
      </c>
      <c r="AA40" s="117">
        <f>_xll.qlCalendarAdvance(Calendar,Z40,NDays&amp;"D")</f>
        <v>42216</v>
      </c>
      <c r="AB40" s="92">
        <v>6.4764341136420522E-4</v>
      </c>
      <c r="AC40" s="101">
        <v>-8.0770357868686915E-6</v>
      </c>
    </row>
    <row r="41" spans="13:29" x14ac:dyDescent="0.2">
      <c r="M41" s="105" t="str">
        <v>obj_00778#0003</v>
      </c>
      <c r="N41" s="105" t="str">
        <f>_xll.qlRateHelperQuoteName(M41)</f>
        <v>EURAB6E18M_Quote</v>
      </c>
      <c r="O41" s="93">
        <f>_xll.qlRateHelperLatestDate(M41,Trigger)</f>
        <v>42737</v>
      </c>
      <c r="P41" s="120">
        <f>_xll.qlRateHelperQuoteValue(M41,_xll.ohTrigger(RecalcTrigger,YieldCurve))</f>
        <v>9.3999999999999997E-4</v>
      </c>
      <c r="Q41" s="122" t="str">
        <f t="shared" si="9"/>
        <v>18M</v>
      </c>
      <c r="R41" s="123" t="str">
        <f>_xll.qlEuriborSwap(,"IsdaFixA",Monitor!Q41,YieldCurve,Discounting,,_xll.ohTrigger(Trigger,RecalcTrigger))</f>
        <v>obj_007be#0009</v>
      </c>
      <c r="S41" s="123"/>
      <c r="T41" s="123"/>
      <c r="U41" s="110">
        <f>_xll.qlIndexFixing(R41,$Z$19,TRUE,Trigger)</f>
        <v>9.4142396662803612E-4</v>
      </c>
      <c r="V41" s="111">
        <f t="shared" si="10"/>
        <v>1.4239666280361487E-6</v>
      </c>
      <c r="W41" s="94"/>
      <c r="Y41" s="105" t="str">
        <f t="shared" si="8"/>
        <v>1D</v>
      </c>
      <c r="Z41" s="93">
        <f>_xll.qlCalendarAdvance(Calendar,Z40,Y41,"f",FALSE)</f>
        <v>42215</v>
      </c>
      <c r="AA41" s="117">
        <f>_xll.qlCalendarAdvance(Calendar,Z41,NDays&amp;"D")</f>
        <v>42219</v>
      </c>
      <c r="AB41" s="92">
        <v>6.6999999999952373E-4</v>
      </c>
      <c r="AC41" s="101">
        <v>2.5542986445969973E-5</v>
      </c>
    </row>
    <row r="42" spans="13:29" x14ac:dyDescent="0.2">
      <c r="M42" s="105" t="str">
        <v>obj_007a8#0003</v>
      </c>
      <c r="N42" s="105" t="str">
        <f>_xll.qlRateHelperQuoteName(M42)</f>
        <v>EURAB6E21M_Quote</v>
      </c>
      <c r="O42" s="93">
        <f>_xll.qlRateHelperLatestDate(M42,Trigger)</f>
        <v>42828</v>
      </c>
      <c r="P42" s="120">
        <f>_xll.qlRateHelperQuoteValue(M42,_xll.ohTrigger(RecalcTrigger,YieldCurve))</f>
        <v>1.0200000000000001E-3</v>
      </c>
      <c r="Q42" s="122" t="str">
        <f t="shared" si="9"/>
        <v>21M</v>
      </c>
      <c r="R42" s="123" t="str">
        <f>_xll.qlEuriborSwap(,"IsdaFixA",Monitor!Q42,YieldCurve,Discounting,,_xll.ohTrigger(Trigger,RecalcTrigger))</f>
        <v>obj_007b9#0009</v>
      </c>
      <c r="S42" s="123"/>
      <c r="T42" s="123"/>
      <c r="U42" s="110">
        <f>_xll.qlIndexFixing(R42,$Z$19,TRUE,Trigger)</f>
        <v>1.1178228889493014E-3</v>
      </c>
      <c r="V42" s="111">
        <f t="shared" si="10"/>
        <v>9.7822888949301336E-5</v>
      </c>
      <c r="W42" s="94"/>
      <c r="Y42" s="105" t="str">
        <f t="shared" si="8"/>
        <v>1D</v>
      </c>
      <c r="Z42" s="93">
        <f>_xll.qlCalendarAdvance(Calendar,Z41,Y42,"f",FALSE)</f>
        <v>42216</v>
      </c>
      <c r="AA42" s="117">
        <f>_xll.qlCalendarAdvance(Calendar,Z42,NDays&amp;"D")</f>
        <v>42220</v>
      </c>
      <c r="AB42" s="92">
        <v>6.7521536983161179E-4</v>
      </c>
      <c r="AC42" s="101">
        <v>4.2375604385469501E-5</v>
      </c>
    </row>
    <row r="43" spans="13:29" x14ac:dyDescent="0.2">
      <c r="M43" s="105" t="str">
        <v>obj_0079c#0003</v>
      </c>
      <c r="N43" s="105" t="str">
        <f>_xll.qlRateHelperQuoteName(M43)</f>
        <v>EURAB6E2Y_Quote</v>
      </c>
      <c r="O43" s="93">
        <f>_xll.qlRateHelperLatestDate(M43,Trigger)</f>
        <v>42919</v>
      </c>
      <c r="P43" s="120">
        <f>_xll.qlRateHelperQuoteValue(M43,_xll.ohTrigger(RecalcTrigger,YieldCurve))</f>
        <v>1.2600000000000001E-3</v>
      </c>
      <c r="Q43" s="122" t="str">
        <f t="shared" si="9"/>
        <v>2Y</v>
      </c>
      <c r="R43" s="123" t="str">
        <f>_xll.qlEuriborSwap(,"IsdaFixA",Monitor!Q43,YieldCurve,Discounting,,_xll.ohTrigger(Trigger,RecalcTrigger))</f>
        <v>obj_007c2#0009</v>
      </c>
      <c r="S43" s="123"/>
      <c r="T43" s="123"/>
      <c r="U43" s="110">
        <f>_xll.qlIndexFixing(R43,$Z$19,TRUE,Trigger)</f>
        <v>1.2600000000190074E-3</v>
      </c>
      <c r="V43" s="111">
        <f t="shared" si="10"/>
        <v>1.9007365126277875E-14</v>
      </c>
      <c r="W43" s="114" t="s">
        <v>144</v>
      </c>
      <c r="Y43" s="105" t="str">
        <f t="shared" si="8"/>
        <v>1D</v>
      </c>
      <c r="Z43" s="93">
        <f>_xll.qlCalendarAdvance(Calendar,Z42,Y43,"f",FALSE)</f>
        <v>42219</v>
      </c>
      <c r="AA43" s="117">
        <f>_xll.qlCalendarAdvance(Calendar,Z43,NDays&amp;"D")</f>
        <v>42221</v>
      </c>
      <c r="AB43" s="92">
        <v>6.8016702576472095E-4</v>
      </c>
      <c r="AC43" s="101">
        <v>5.8791858661422225E-5</v>
      </c>
    </row>
    <row r="44" spans="13:29" x14ac:dyDescent="0.2">
      <c r="M44" s="105" t="str">
        <v>obj_0078a#0003</v>
      </c>
      <c r="N44" s="105" t="str">
        <f>_xll.qlRateHelperQuoteName(M44)</f>
        <v>EURAB6E3Y_Quote</v>
      </c>
      <c r="O44" s="93">
        <f>_xll.qlRateHelperLatestDate(M44,Trigger)</f>
        <v>43283</v>
      </c>
      <c r="P44" s="120">
        <f>_xll.qlRateHelperQuoteValue(M44,_xll.ohTrigger(RecalcTrigger,YieldCurve))</f>
        <v>2.1900000000000001E-3</v>
      </c>
      <c r="Q44" s="122" t="str">
        <f t="shared" si="9"/>
        <v>3Y</v>
      </c>
      <c r="R44" s="123" t="str">
        <f>_xll.qlEuriborSwap(,"IsdaFixA",Monitor!Q44,YieldCurve,Discounting,,_xll.ohTrigger(Trigger,RecalcTrigger))</f>
        <v>obj_007dc#0007</v>
      </c>
      <c r="S44" s="123"/>
      <c r="T44" s="123"/>
      <c r="U44" s="110">
        <f>_xll.qlIndexFixing(R44,$Z$19,TRUE,Trigger)</f>
        <v>2.1899999999995933E-3</v>
      </c>
      <c r="V44" s="111">
        <f t="shared" si="10"/>
        <v>-4.0679265511656126E-16</v>
      </c>
      <c r="W44" s="137">
        <f t="array" ref="W44">MAX(ABS(V44:V75))</f>
        <v>9.4930446189692846E-6</v>
      </c>
      <c r="Y44" s="105" t="str">
        <f t="shared" si="8"/>
        <v>1D</v>
      </c>
      <c r="Z44" s="93">
        <f>_xll.qlCalendarAdvance(Calendar,Z43,Y44,"f",FALSE)</f>
        <v>42220</v>
      </c>
      <c r="AA44" s="117">
        <f>_xll.qlCalendarAdvance(Calendar,Z44,NDays&amp;"D")</f>
        <v>42222</v>
      </c>
      <c r="AB44" s="92">
        <v>6.8698977619834197E-4</v>
      </c>
      <c r="AC44" s="101">
        <v>7.4791749193892088E-5</v>
      </c>
    </row>
    <row r="45" spans="13:29" x14ac:dyDescent="0.2">
      <c r="M45" s="105" t="str">
        <v>obj_00787#0003</v>
      </c>
      <c r="N45" s="105" t="str">
        <f>_xll.qlRateHelperQuoteName(M45)</f>
        <v>EURAB6E4Y_Quote</v>
      </c>
      <c r="O45" s="93">
        <f>_xll.qlRateHelperLatestDate(M45,Trigger)</f>
        <v>43648</v>
      </c>
      <c r="P45" s="120">
        <f>_xll.qlRateHelperQuoteValue(M45,_xll.ohTrigger(RecalcTrigger,YieldCurve))</f>
        <v>3.5299999999999997E-3</v>
      </c>
      <c r="Q45" s="122" t="str">
        <f t="shared" si="9"/>
        <v>4Y</v>
      </c>
      <c r="R45" s="123" t="str">
        <f>_xll.qlEuriborSwap(,"IsdaFixA",Monitor!Q45,YieldCurve,Discounting,,_xll.ohTrigger(Trigger,RecalcTrigger))</f>
        <v>obj_007d5#0007</v>
      </c>
      <c r="S45" s="123"/>
      <c r="T45" s="123"/>
      <c r="U45" s="110">
        <f>_xll.qlIndexFixing(R45,$Z$19,TRUE,Trigger)</f>
        <v>3.5299999999900433E-3</v>
      </c>
      <c r="V45" s="111">
        <f t="shared" si="10"/>
        <v>-9.9564453903688843E-15</v>
      </c>
      <c r="W45" s="94"/>
      <c r="Y45" s="105" t="str">
        <f t="shared" si="8"/>
        <v>1D</v>
      </c>
      <c r="Z45" s="93">
        <f>_xll.qlCalendarAdvance(Calendar,Z44,Y45,"f",FALSE)</f>
        <v>42221</v>
      </c>
      <c r="AA45" s="117">
        <f>_xll.qlCalendarAdvance(Calendar,Z45,NDays&amp;"D")</f>
        <v>42223</v>
      </c>
      <c r="AB45" s="92">
        <v>6.9029881130919322E-4</v>
      </c>
      <c r="AC45" s="101">
        <v>1.0540368132971878E-4</v>
      </c>
    </row>
    <row r="46" spans="13:29" x14ac:dyDescent="0.2">
      <c r="M46" s="105" t="str">
        <v>obj_00798#0003</v>
      </c>
      <c r="N46" s="105" t="str">
        <f>_xll.qlRateHelperQuoteName(M46)</f>
        <v>EURAB6E5Y_Quote</v>
      </c>
      <c r="O46" s="93">
        <f>_xll.qlRateHelperLatestDate(M46,Trigger)</f>
        <v>44014</v>
      </c>
      <c r="P46" s="120">
        <f>_xll.qlRateHelperQuoteValue(M46,_xll.ohTrigger(RecalcTrigger,YieldCurve))</f>
        <v>5.0600000000000003E-3</v>
      </c>
      <c r="Q46" s="122" t="str">
        <f t="shared" si="9"/>
        <v>5Y</v>
      </c>
      <c r="R46" s="123" t="str">
        <f>_xll.qlEuriborSwap(,"IsdaFixA",Monitor!Q46,YieldCurve,Discounting,,_xll.ohTrigger(Trigger,RecalcTrigger))</f>
        <v>obj_007ce#0007</v>
      </c>
      <c r="S46" s="123"/>
      <c r="T46" s="123"/>
      <c r="U46" s="110">
        <f>_xll.qlIndexFixing(R46,$Z$19,TRUE,Trigger)</f>
        <v>5.0599999999837676E-3</v>
      </c>
      <c r="V46" s="111">
        <f t="shared" si="10"/>
        <v>-1.6232674926452972E-14</v>
      </c>
      <c r="W46" s="94"/>
      <c r="Y46" s="105" t="str">
        <f t="shared" si="8"/>
        <v>1D</v>
      </c>
      <c r="Z46" s="93">
        <f>_xll.qlCalendarAdvance(Calendar,Z45,Y46,"f",FALSE)</f>
        <v>42222</v>
      </c>
      <c r="AA46" s="117">
        <f>_xll.qlCalendarAdvance(Calendar,Z46,NDays&amp;"D")</f>
        <v>42226</v>
      </c>
      <c r="AB46" s="92">
        <v>7.0138743403703118E-4</v>
      </c>
      <c r="AC46" s="101">
        <v>1.3462767245009388E-4</v>
      </c>
    </row>
    <row r="47" spans="13:29" x14ac:dyDescent="0.2">
      <c r="M47" s="105" t="str">
        <v>obj_007a9#0003</v>
      </c>
      <c r="N47" s="105" t="str">
        <f>_xll.qlRateHelperQuoteName(M47)</f>
        <v>EURAB6E6Y_Quote</v>
      </c>
      <c r="O47" s="93">
        <f>_xll.qlRateHelperLatestDate(M47,Trigger)</f>
        <v>44379</v>
      </c>
      <c r="P47" s="120">
        <f>_xll.qlRateHelperQuoteValue(M47,_xll.ohTrigger(RecalcTrigger,YieldCurve))</f>
        <v>6.5700000000000003E-3</v>
      </c>
      <c r="Q47" s="122" t="str">
        <f t="shared" si="9"/>
        <v>6Y</v>
      </c>
      <c r="R47" s="123" t="str">
        <f>_xll.qlEuriborSwap(,"IsdaFixA",Monitor!Q47,YieldCurve,Discounting,,_xll.ohTrigger(Trigger,RecalcTrigger))</f>
        <v>obj_007ba#0009</v>
      </c>
      <c r="S47" s="123"/>
      <c r="T47" s="123"/>
      <c r="U47" s="110">
        <f>_xll.qlIndexFixing(R47,$Z$19,TRUE,Trigger)</f>
        <v>6.5700000000388911E-3</v>
      </c>
      <c r="V47" s="111">
        <f t="shared" si="10"/>
        <v>3.8890765607924038E-14</v>
      </c>
      <c r="W47" s="94"/>
      <c r="Y47" s="105" t="str">
        <f t="shared" si="8"/>
        <v>1D</v>
      </c>
      <c r="Z47" s="93">
        <f>_xll.qlCalendarAdvance(Calendar,Z46,Y47,"f",FALSE)</f>
        <v>42223</v>
      </c>
      <c r="AA47" s="117">
        <f>_xll.qlCalendarAdvance(Calendar,Z47,NDays&amp;"D")</f>
        <v>42227</v>
      </c>
      <c r="AB47" s="92">
        <v>7.0500751151829062E-4</v>
      </c>
      <c r="AC47" s="101">
        <v>1.4854574330591674E-4</v>
      </c>
    </row>
    <row r="48" spans="13:29" x14ac:dyDescent="0.2">
      <c r="M48" s="105" t="str">
        <v>obj_007a3#0003</v>
      </c>
      <c r="N48" s="105" t="str">
        <f>_xll.qlRateHelperQuoteName(M48)</f>
        <v>EURAB6E7Y_Quote</v>
      </c>
      <c r="O48" s="93">
        <f>_xll.qlRateHelperLatestDate(M48,Trigger)</f>
        <v>44746</v>
      </c>
      <c r="P48" s="120">
        <f>_xll.qlRateHelperQuoteValue(M48,_xll.ohTrigger(RecalcTrigger,YieldCurve))</f>
        <v>8.0300000000000007E-3</v>
      </c>
      <c r="Q48" s="122" t="str">
        <f t="shared" si="9"/>
        <v>7Y</v>
      </c>
      <c r="R48" s="123" t="str">
        <f>_xll.qlEuriborSwap(,"IsdaFixA",Monitor!Q48,YieldCurve,Discounting,,_xll.ohTrigger(Trigger,RecalcTrigger))</f>
        <v>obj_007d4#0007</v>
      </c>
      <c r="S48" s="123"/>
      <c r="T48" s="123"/>
      <c r="U48" s="110">
        <f>_xll.qlIndexFixing(R48,$Z$19,TRUE,Trigger)</f>
        <v>8.0300000000123658E-3</v>
      </c>
      <c r="V48" s="111">
        <f t="shared" si="10"/>
        <v>1.2365108936762681E-14</v>
      </c>
      <c r="W48" s="94"/>
      <c r="Y48" s="105" t="str">
        <f t="shared" si="8"/>
        <v>1D</v>
      </c>
      <c r="Z48" s="93">
        <f>_xll.qlCalendarAdvance(Calendar,Z47,Y48,"f",FALSE)</f>
        <v>42226</v>
      </c>
      <c r="AA48" s="117">
        <f>_xll.qlCalendarAdvance(Calendar,Z48,NDays&amp;"D")</f>
        <v>42228</v>
      </c>
      <c r="AB48" s="92">
        <v>7.0844744509236733E-4</v>
      </c>
      <c r="AC48" s="101">
        <v>1.6204745009851251E-4</v>
      </c>
    </row>
    <row r="49" spans="10:29" x14ac:dyDescent="0.2">
      <c r="J49" s="115" t="b">
        <v>1</v>
      </c>
      <c r="M49" s="105" t="str">
        <v>obj_0079e#0003</v>
      </c>
      <c r="N49" s="105" t="str">
        <f>_xll.qlRateHelperQuoteName(M49)</f>
        <v>EURAB6E8Y_Quote</v>
      </c>
      <c r="O49" s="93">
        <f>_xll.qlRateHelperLatestDate(M49,Trigger)</f>
        <v>45110</v>
      </c>
      <c r="P49" s="120">
        <f>_xll.qlRateHelperQuoteValue(M49,_xll.ohTrigger(RecalcTrigger,YieldCurve))</f>
        <v>9.3699999999999999E-3</v>
      </c>
      <c r="Q49" s="122" t="str">
        <f t="shared" si="9"/>
        <v>8Y</v>
      </c>
      <c r="R49" s="123" t="str">
        <f>_xll.qlEuriborSwap(,"IsdaFixA",Monitor!Q49,YieldCurve,Discounting,,_xll.ohTrigger(Trigger,RecalcTrigger))</f>
        <v>obj_007da#0007</v>
      </c>
      <c r="S49" s="123"/>
      <c r="T49" s="123"/>
      <c r="U49" s="110">
        <f>_xll.qlIndexFixing(R49,$Z$19,TRUE,Trigger)</f>
        <v>9.3699999999044947E-3</v>
      </c>
      <c r="V49" s="111">
        <f t="shared" si="10"/>
        <v>-9.5505200969903115E-14</v>
      </c>
      <c r="W49" s="94"/>
      <c r="Y49" s="105" t="str">
        <f t="shared" si="8"/>
        <v>1D</v>
      </c>
      <c r="Z49" s="93">
        <f>_xll.qlCalendarAdvance(Calendar,Z48,Y49,"f",FALSE)</f>
        <v>42227</v>
      </c>
      <c r="AA49" s="117">
        <f>_xll.qlCalendarAdvance(Calendar,Z49,NDays&amp;"D")</f>
        <v>42229</v>
      </c>
      <c r="AB49" s="92">
        <v>7.1203941090420609E-4</v>
      </c>
      <c r="AC49" s="101">
        <v>1.7513279282788119E-4</v>
      </c>
    </row>
    <row r="50" spans="10:29" x14ac:dyDescent="0.2">
      <c r="M50" s="105" t="str">
        <v>obj_0079d#0003</v>
      </c>
      <c r="N50" s="105" t="str">
        <f>_xll.qlRateHelperQuoteName(M50)</f>
        <v>EURAB6E9Y_Quote</v>
      </c>
      <c r="O50" s="93">
        <f>_xll.qlRateHelperLatestDate(M50,Trigger)</f>
        <v>45475</v>
      </c>
      <c r="P50" s="120">
        <f>_xll.qlRateHelperQuoteValue(M50,_xll.ohTrigger(RecalcTrigger,YieldCurve))</f>
        <v>1.0580000000000001E-2</v>
      </c>
      <c r="Q50" s="122" t="str">
        <f t="shared" si="9"/>
        <v>9Y</v>
      </c>
      <c r="R50" s="123" t="str">
        <f>_xll.qlEuriborSwap(,"IsdaFixA",Monitor!Q50,YieldCurve,Discounting,,_xll.ohTrigger(Trigger,RecalcTrigger))</f>
        <v>obj_007cc#0007</v>
      </c>
      <c r="S50" s="123"/>
      <c r="T50" s="123"/>
      <c r="U50" s="110">
        <f>_xll.qlIndexFixing(R50,$Z$19,TRUE,Trigger)</f>
        <v>1.0580000000234313E-2</v>
      </c>
      <c r="V50" s="111">
        <f t="shared" si="10"/>
        <v>2.3431256934713929E-13</v>
      </c>
      <c r="W50" s="94"/>
      <c r="Y50" s="105" t="str">
        <f t="shared" si="8"/>
        <v>1D</v>
      </c>
      <c r="Z50" s="93">
        <f>_xll.qlCalendarAdvance(Calendar,Z49,Y50,"f",FALSE)</f>
        <v>42228</v>
      </c>
      <c r="AA50" s="117">
        <f>_xll.qlCalendarAdvance(Calendar,Z50,NDays&amp;"D")</f>
        <v>42230</v>
      </c>
      <c r="AB50" s="92">
        <v>7.1494126103537406E-4</v>
      </c>
      <c r="AC50" s="101">
        <v>1.9991570838762129E-4</v>
      </c>
    </row>
    <row r="51" spans="10:29" x14ac:dyDescent="0.2">
      <c r="M51" s="105" t="str">
        <v>obj_0078d#0003</v>
      </c>
      <c r="N51" s="105" t="str">
        <f>_xll.qlRateHelperQuoteName(M51)</f>
        <v>EURAB6E10Y_Quote</v>
      </c>
      <c r="O51" s="93">
        <f>_xll.qlRateHelperLatestDate(M51,Trigger)</f>
        <v>45840</v>
      </c>
      <c r="P51" s="120">
        <f>_xll.qlRateHelperQuoteValue(M51,_xll.ohTrigger(RecalcTrigger,YieldCurve))</f>
        <v>1.1639999999999999E-2</v>
      </c>
      <c r="Q51" s="122" t="str">
        <f t="shared" si="9"/>
        <v>10Y</v>
      </c>
      <c r="R51" s="123" t="str">
        <f>_xll.qlEuriborSwap(,"IsdaFixA",Monitor!Q51,YieldCurve,Discounting,,_xll.ohTrigger(Trigger,RecalcTrigger))</f>
        <v>obj_007d2#0007</v>
      </c>
      <c r="S51" s="123"/>
      <c r="T51" s="123"/>
      <c r="U51" s="110">
        <f>_xll.qlIndexFixing(R51,$Z$19,TRUE,Trigger)</f>
        <v>1.1640000000078561E-2</v>
      </c>
      <c r="V51" s="111">
        <f t="shared" si="10"/>
        <v>7.856215678003764E-14</v>
      </c>
      <c r="W51" s="94"/>
      <c r="Y51" s="105" t="str">
        <f t="shared" si="8"/>
        <v>1D</v>
      </c>
      <c r="Z51" s="93">
        <f>_xll.qlCalendarAdvance(Calendar,Z50,Y51,"f",FALSE)</f>
        <v>42229</v>
      </c>
      <c r="AA51" s="117">
        <f>_xll.qlCalendarAdvance(Calendar,Z51,NDays&amp;"D")</f>
        <v>42233</v>
      </c>
      <c r="AB51" s="92">
        <v>7.2336283095833151E-4</v>
      </c>
      <c r="AC51" s="101">
        <v>2.233105213544917E-4</v>
      </c>
    </row>
    <row r="52" spans="10:29" x14ac:dyDescent="0.2">
      <c r="M52" s="105" t="str">
        <v>obj_0078f#0003</v>
      </c>
      <c r="N52" s="105" t="str">
        <f>_xll.qlRateHelperQuoteName(M52)</f>
        <v>EURAB6E11Y_Quote</v>
      </c>
      <c r="O52" s="93">
        <f>_xll.qlRateHelperLatestDate(M52,Trigger)</f>
        <v>46205</v>
      </c>
      <c r="P52" s="120">
        <f>_xll.qlRateHelperQuoteValue(M52,_xll.ohTrigger(RecalcTrigger,YieldCurve))</f>
        <v>1.2570000000000001E-2</v>
      </c>
      <c r="Q52" s="122" t="str">
        <f t="shared" si="9"/>
        <v>11Y</v>
      </c>
      <c r="R52" s="123" t="str">
        <f>_xll.qlEuriborSwap(,"IsdaFixA",Monitor!Q52,YieldCurve,Discounting,,_xll.ohTrigger(Trigger,RecalcTrigger))</f>
        <v>obj_007c8#0009</v>
      </c>
      <c r="S52" s="123"/>
      <c r="T52" s="123"/>
      <c r="U52" s="110">
        <f>_xll.qlIndexFixing(R52,$Z$19,TRUE,Trigger)</f>
        <v>1.257898115099115E-2</v>
      </c>
      <c r="V52" s="111">
        <f t="shared" si="10"/>
        <v>8.9811509911483234E-6</v>
      </c>
      <c r="W52" s="94"/>
      <c r="Y52" s="105" t="str">
        <f t="shared" si="8"/>
        <v>1D</v>
      </c>
      <c r="Z52" s="93">
        <f>_xll.qlCalendarAdvance(Calendar,Z51,Y52,"f",FALSE)</f>
        <v>42230</v>
      </c>
      <c r="AA52" s="117">
        <f>_xll.qlCalendarAdvance(Calendar,Z52,NDays&amp;"D")</f>
        <v>42234</v>
      </c>
      <c r="AB52" s="92">
        <v>7.2597262859850167E-4</v>
      </c>
      <c r="AC52" s="101">
        <v>2.3431404280849222E-4</v>
      </c>
    </row>
    <row r="53" spans="10:29" x14ac:dyDescent="0.2">
      <c r="M53" s="105" t="str">
        <v>obj_007a7#0003</v>
      </c>
      <c r="N53" s="105" t="str">
        <f>_xll.qlRateHelperQuoteName(M53)</f>
        <v>EURAB6E12Y_Quote</v>
      </c>
      <c r="O53" s="93">
        <f>_xll.qlRateHelperLatestDate(M53,Trigger)</f>
        <v>46570</v>
      </c>
      <c r="P53" s="120">
        <f>_xll.qlRateHelperQuoteValue(M53,_xll.ohTrigger(RecalcTrigger,YieldCurve))</f>
        <v>1.3389999999999999E-2</v>
      </c>
      <c r="Q53" s="122" t="str">
        <f t="shared" si="9"/>
        <v>12Y</v>
      </c>
      <c r="R53" s="123" t="str">
        <f>_xll.qlEuriborSwap(,"IsdaFixA",Monitor!Q53,YieldCurve,Discounting,,_xll.ohTrigger(Trigger,RecalcTrigger))</f>
        <v>obj_007d6#0007</v>
      </c>
      <c r="S53" s="123"/>
      <c r="T53" s="123"/>
      <c r="U53" s="110">
        <f>_xll.qlIndexFixing(R53,$Z$19,TRUE,Trigger)</f>
        <v>1.3390000000011138E-2</v>
      </c>
      <c r="V53" s="111">
        <f t="shared" si="10"/>
        <v>1.1138659439247078E-14</v>
      </c>
      <c r="W53" s="94"/>
      <c r="Y53" s="105" t="str">
        <f t="shared" si="8"/>
        <v>1D</v>
      </c>
      <c r="Z53" s="93">
        <f>_xll.qlCalendarAdvance(Calendar,Z52,Y53,"f",FALSE)</f>
        <v>42233</v>
      </c>
      <c r="AA53" s="117">
        <f>_xll.qlCalendarAdvance(Calendar,Z53,NDays&amp;"D")</f>
        <v>42235</v>
      </c>
      <c r="AB53" s="92">
        <v>7.2848585912653897E-4</v>
      </c>
      <c r="AC53" s="101">
        <v>2.4490119979958536E-4</v>
      </c>
    </row>
    <row r="54" spans="10:29" x14ac:dyDescent="0.2">
      <c r="M54" s="105" t="str">
        <v>obj_007a6#0003</v>
      </c>
      <c r="N54" s="105" t="str">
        <f>_xll.qlRateHelperQuoteName(M54)</f>
        <v>EURAB6E13Y_Quote</v>
      </c>
      <c r="O54" s="93">
        <f>_xll.qlRateHelperLatestDate(M54,Trigger)</f>
        <v>46937</v>
      </c>
      <c r="P54" s="120">
        <f>_xll.qlRateHelperQuoteValue(M54,_xll.ohTrigger(RecalcTrigger,YieldCurve))</f>
        <v>1.4070000000000001E-2</v>
      </c>
      <c r="Q54" s="122" t="str">
        <f t="shared" si="9"/>
        <v>13Y</v>
      </c>
      <c r="R54" s="123" t="str">
        <f>_xll.qlEuriborSwap(,"IsdaFixA",Monitor!Q54,YieldCurve,Discounting,,_xll.ohTrigger(Trigger,RecalcTrigger))</f>
        <v>obj_007c3#0009</v>
      </c>
      <c r="S54" s="123"/>
      <c r="T54" s="123"/>
      <c r="U54" s="110">
        <f>_xll.qlIndexFixing(R54,$Z$19,TRUE,Trigger)</f>
        <v>1.4074466249667151E-2</v>
      </c>
      <c r="V54" s="111">
        <f t="shared" si="10"/>
        <v>4.4662496671496466E-6</v>
      </c>
      <c r="W54" s="94"/>
      <c r="Y54" s="105" t="str">
        <f t="shared" si="8"/>
        <v>1D</v>
      </c>
      <c r="Z54" s="93">
        <f>_xll.qlCalendarAdvance(Calendar,Z53,Y54,"f",FALSE)</f>
        <v>42234</v>
      </c>
      <c r="AA54" s="117">
        <f>_xll.qlCalendarAdvance(Calendar,Z54,NDays&amp;"D")</f>
        <v>42236</v>
      </c>
      <c r="AB54" s="92">
        <v>7.3045244512499029E-4</v>
      </c>
      <c r="AC54" s="101">
        <v>2.5507199240770717E-4</v>
      </c>
    </row>
    <row r="55" spans="10:29" x14ac:dyDescent="0.2">
      <c r="M55" s="105" t="str">
        <v>obj_00793#0003</v>
      </c>
      <c r="N55" s="105" t="str">
        <f>_xll.qlRateHelperQuoteName(M55)</f>
        <v>EURAB6E14Y_Quote</v>
      </c>
      <c r="O55" s="93">
        <f>_xll.qlRateHelperLatestDate(M55,Trigger)</f>
        <v>47301</v>
      </c>
      <c r="P55" s="120">
        <f>_xll.qlRateHelperQuoteValue(M55,_xll.ohTrigger(RecalcTrigger,YieldCurve))</f>
        <v>1.4649999999999998E-2</v>
      </c>
      <c r="Q55" s="122" t="str">
        <f t="shared" si="9"/>
        <v>14Y</v>
      </c>
      <c r="R55" s="123" t="str">
        <f>_xll.qlEuriborSwap(,"IsdaFixA",Monitor!Q55,YieldCurve,Discounting,,_xll.ohTrigger(Trigger,RecalcTrigger))</f>
        <v>obj_007c5#0009</v>
      </c>
      <c r="S55" s="123"/>
      <c r="T55" s="123"/>
      <c r="U55" s="110">
        <f>_xll.qlIndexFixing(R55,$Z$19,TRUE,Trigger)</f>
        <v>1.4640506955381029E-2</v>
      </c>
      <c r="V55" s="111">
        <f t="shared" si="10"/>
        <v>-9.4930446189692846E-6</v>
      </c>
      <c r="W55" s="94"/>
      <c r="Y55" s="105" t="str">
        <f t="shared" si="8"/>
        <v>1D</v>
      </c>
      <c r="Z55" s="93">
        <f>_xll.qlCalendarAdvance(Calendar,Z54,Y55,"f",FALSE)</f>
        <v>42235</v>
      </c>
      <c r="AA55" s="117">
        <f>_xll.qlCalendarAdvance(Calendar,Z55,NDays&amp;"D")</f>
        <v>42237</v>
      </c>
      <c r="AB55" s="92">
        <v>7.3302154982323993E-4</v>
      </c>
      <c r="AC55" s="101">
        <v>2.7402590466074628E-4</v>
      </c>
    </row>
    <row r="56" spans="10:29" x14ac:dyDescent="0.2">
      <c r="M56" s="105" t="str">
        <v>obj_007a2#0003</v>
      </c>
      <c r="N56" s="105" t="str">
        <f>_xll.qlRateHelperQuoteName(M56)</f>
        <v>EURAB6E15Y_Quote</v>
      </c>
      <c r="O56" s="93">
        <f>_xll.qlRateHelperLatestDate(M56,Trigger)</f>
        <v>47666</v>
      </c>
      <c r="P56" s="120">
        <f>_xll.qlRateHelperQuoteValue(M56,_xll.ohTrigger(RecalcTrigger,YieldCurve))</f>
        <v>1.512E-2</v>
      </c>
      <c r="Q56" s="122" t="str">
        <f t="shared" si="9"/>
        <v>15Y</v>
      </c>
      <c r="R56" s="123" t="str">
        <f>_xll.qlEuriborSwap(,"IsdaFixA",Monitor!Q56,YieldCurve,Discounting,,_xll.ohTrigger(Trigger,RecalcTrigger))</f>
        <v>obj_007bc#0009</v>
      </c>
      <c r="S56" s="123"/>
      <c r="T56" s="123"/>
      <c r="U56" s="110">
        <f>_xll.qlIndexFixing(R56,$Z$19,TRUE,Trigger)</f>
        <v>1.5119999999838539E-2</v>
      </c>
      <c r="V56" s="111">
        <f t="shared" si="10"/>
        <v>-1.614611222500173E-13</v>
      </c>
      <c r="W56" s="94"/>
      <c r="Y56" s="105" t="str">
        <f t="shared" si="8"/>
        <v>1D</v>
      </c>
      <c r="Z56" s="93">
        <f>_xll.qlCalendarAdvance(Calendar,Z55,Y56,"f",FALSE)</f>
        <v>42236</v>
      </c>
      <c r="AA56" s="117">
        <f>_xll.qlCalendarAdvance(Calendar,Z56,NDays&amp;"D")</f>
        <v>42240</v>
      </c>
      <c r="AB56" s="92">
        <v>7.4002140424653132E-4</v>
      </c>
      <c r="AC56" s="101">
        <v>2.9159151813118456E-4</v>
      </c>
    </row>
    <row r="57" spans="10:29" x14ac:dyDescent="0.2">
      <c r="M57" s="105" t="str">
        <v>obj_0079a#0003</v>
      </c>
      <c r="N57" s="105" t="str">
        <f>_xll.qlRateHelperQuoteName(M57)</f>
        <v>EURAB6E16Y_Quote</v>
      </c>
      <c r="O57" s="93">
        <f>_xll.qlRateHelperLatestDate(M57,Trigger)</f>
        <v>48031</v>
      </c>
      <c r="P57" s="120">
        <f>_xll.qlRateHelperQuoteValue(M57,_xll.ohTrigger(RecalcTrigger,YieldCurve))</f>
        <v>1.5529999999999999E-2</v>
      </c>
      <c r="Q57" s="122" t="str">
        <f t="shared" si="9"/>
        <v>16Y</v>
      </c>
      <c r="R57" s="123" t="str">
        <f>_xll.qlEuriborSwap(,"IsdaFixA",Monitor!Q57,YieldCurve,Discounting,,_xll.ohTrigger(Trigger,RecalcTrigger))</f>
        <v>obj_007c4#0009</v>
      </c>
      <c r="S57" s="123"/>
      <c r="T57" s="123"/>
      <c r="U57" s="110">
        <f>_xll.qlIndexFixing(R57,$Z$19,TRUE,Trigger)</f>
        <v>1.55264697584485E-2</v>
      </c>
      <c r="V57" s="111">
        <f t="shared" si="10"/>
        <v>-3.5302415514991414E-6</v>
      </c>
      <c r="W57" s="94"/>
      <c r="Y57" s="105" t="str">
        <f t="shared" si="8"/>
        <v>1D</v>
      </c>
      <c r="Z57" s="93">
        <f>_xll.qlCalendarAdvance(Calendar,Z56,Y57,"f",FALSE)</f>
        <v>42237</v>
      </c>
      <c r="AA57" s="117">
        <f>_xll.qlCalendarAdvance(Calendar,Z57,NDays&amp;"D")</f>
        <v>42241</v>
      </c>
      <c r="AB57" s="92">
        <v>7.4220597250065077E-4</v>
      </c>
      <c r="AC57" s="101">
        <v>2.9968048826489735E-4</v>
      </c>
    </row>
    <row r="58" spans="10:29" x14ac:dyDescent="0.2">
      <c r="M58" s="105" t="str">
        <v>obj_00795#0003</v>
      </c>
      <c r="N58" s="105" t="str">
        <f>_xll.qlRateHelperQuoteName(M58)</f>
        <v>EURAB6E17Y_Quote</v>
      </c>
      <c r="O58" s="93">
        <f>_xll.qlRateHelperLatestDate(M58,Trigger)</f>
        <v>48397</v>
      </c>
      <c r="P58" s="120">
        <f>_xll.qlRateHelperQuoteValue(M58,_xll.ohTrigger(RecalcTrigger,YieldCurve))</f>
        <v>1.5869999999999999E-2</v>
      </c>
      <c r="Q58" s="122" t="str">
        <f t="shared" si="9"/>
        <v>17Y</v>
      </c>
      <c r="R58" s="123" t="str">
        <f>_xll.qlEuriborSwap(,"IsdaFixA",Monitor!Q58,YieldCurve,Discounting,,_xll.ohTrigger(Trigger,RecalcTrigger))</f>
        <v>obj_007bb#0009</v>
      </c>
      <c r="S58" s="123"/>
      <c r="T58" s="123"/>
      <c r="U58" s="110">
        <f>_xll.qlIndexFixing(R58,$Z$19,TRUE,Trigger)</f>
        <v>1.587020311821279E-2</v>
      </c>
      <c r="V58" s="111">
        <f t="shared" si="10"/>
        <v>2.0311821279095366E-7</v>
      </c>
      <c r="W58" s="94"/>
      <c r="Y58" s="105" t="str">
        <f t="shared" si="8"/>
        <v>1D</v>
      </c>
      <c r="Z58" s="93">
        <f>_xll.qlCalendarAdvance(Calendar,Z57,Y58,"f",FALSE)</f>
        <v>42240</v>
      </c>
      <c r="AA58" s="117">
        <f>_xll.qlCalendarAdvance(Calendar,Z58,NDays&amp;"D")</f>
        <v>42242</v>
      </c>
      <c r="AB58" s="92">
        <v>7.4437755434803748E-4</v>
      </c>
      <c r="AC58" s="101">
        <v>3.0735309361595853E-4</v>
      </c>
    </row>
    <row r="59" spans="10:29" x14ac:dyDescent="0.2">
      <c r="M59" s="105" t="str">
        <v>obj_00799#0003</v>
      </c>
      <c r="N59" s="105" t="str">
        <f>_xll.qlRateHelperQuoteName(M59)</f>
        <v>EURAB6E18Y_Quote</v>
      </c>
      <c r="O59" s="93">
        <f>_xll.qlRateHelperLatestDate(M59,Trigger)</f>
        <v>48764</v>
      </c>
      <c r="P59" s="120">
        <f>_xll.qlRateHelperQuoteValue(M59,_xll.ohTrigger(RecalcTrigger,YieldCurve))</f>
        <v>1.6150000000000001E-2</v>
      </c>
      <c r="Q59" s="122" t="str">
        <f t="shared" si="9"/>
        <v>18Y</v>
      </c>
      <c r="R59" s="123" t="str">
        <f>_xll.qlEuriborSwap(,"IsdaFixA",Monitor!Q59,YieldCurve,Discounting,,_xll.ohTrigger(Trigger,RecalcTrigger))</f>
        <v>obj_007dd#0007</v>
      </c>
      <c r="S59" s="123"/>
      <c r="T59" s="123"/>
      <c r="U59" s="110">
        <f>_xll.qlIndexFixing(R59,$Z$19,TRUE,Trigger)</f>
        <v>1.6150941193673694E-2</v>
      </c>
      <c r="V59" s="111">
        <f t="shared" si="10"/>
        <v>9.4119367369249751E-7</v>
      </c>
      <c r="W59" s="94"/>
      <c r="Y59" s="105" t="str">
        <f t="shared" si="8"/>
        <v>1D</v>
      </c>
      <c r="Z59" s="93">
        <f>_xll.qlCalendarAdvance(Calendar,Z58,Y59,"f",FALSE)</f>
        <v>42241</v>
      </c>
      <c r="AA59" s="117">
        <f>_xll.qlCalendarAdvance(Calendar,Z59,NDays&amp;"D")</f>
        <v>42243</v>
      </c>
      <c r="AB59" s="92">
        <v>7.4628021182141576E-4</v>
      </c>
      <c r="AC59" s="101">
        <v>3.1460933458404838E-4</v>
      </c>
    </row>
    <row r="60" spans="10:29" x14ac:dyDescent="0.2">
      <c r="M60" s="105" t="str">
        <v>obj_0079f#0003</v>
      </c>
      <c r="N60" s="105" t="str">
        <f>_xll.qlRateHelperQuoteName(M60)</f>
        <v>EURAB6E19Y_Quote</v>
      </c>
      <c r="O60" s="93">
        <f>_xll.qlRateHelperLatestDate(M60,Trigger)</f>
        <v>49128</v>
      </c>
      <c r="P60" s="120">
        <f>_xll.qlRateHelperQuoteValue(M60,_xll.ohTrigger(RecalcTrigger,YieldCurve))</f>
        <v>1.6369999999999999E-2</v>
      </c>
      <c r="Q60" s="122" t="str">
        <f t="shared" si="9"/>
        <v>19Y</v>
      </c>
      <c r="R60" s="123" t="str">
        <f>_xll.qlEuriborSwap(,"IsdaFixA",Monitor!Q60,YieldCurve,Discounting,,_xll.ohTrigger(Trigger,RecalcTrigger))</f>
        <v>obj_007b8#0009</v>
      </c>
      <c r="S60" s="123"/>
      <c r="T60" s="123"/>
      <c r="U60" s="110">
        <f>_xll.qlIndexFixing(R60,$Z$19,TRUE,Trigger)</f>
        <v>1.6372311319229203E-2</v>
      </c>
      <c r="V60" s="111">
        <f t="shared" si="10"/>
        <v>2.3113192292034679E-6</v>
      </c>
      <c r="W60" s="94"/>
      <c r="Y60" s="105" t="str">
        <f t="shared" si="8"/>
        <v>1D</v>
      </c>
      <c r="Z60" s="93">
        <f>_xll.qlCalendarAdvance(Calendar,Z59,Y60,"f",FALSE)</f>
        <v>42242</v>
      </c>
      <c r="AA60" s="117">
        <f>_xll.qlCalendarAdvance(Calendar,Z60,NDays&amp;"D")</f>
        <v>42244</v>
      </c>
      <c r="AB60" s="92">
        <v>7.4861291369067255E-4</v>
      </c>
      <c r="AC60" s="101">
        <v>3.2773423231269305E-4</v>
      </c>
    </row>
    <row r="61" spans="10:29" x14ac:dyDescent="0.2">
      <c r="M61" s="105" t="str">
        <v>obj_0078c#0003</v>
      </c>
      <c r="N61" s="105" t="str">
        <f>_xll.qlRateHelperQuoteName(M61)</f>
        <v>EURAB6E20Y_Quote</v>
      </c>
      <c r="O61" s="93">
        <f>_xll.qlRateHelperLatestDate(M61,Trigger)</f>
        <v>49492</v>
      </c>
      <c r="P61" s="120">
        <f>_xll.qlRateHelperQuoteValue(M61,_xll.ohTrigger(RecalcTrigger,YieldCurve))</f>
        <v>1.6539999999999999E-2</v>
      </c>
      <c r="Q61" s="122" t="str">
        <f t="shared" si="9"/>
        <v>20Y</v>
      </c>
      <c r="R61" s="123" t="str">
        <f>_xll.qlEuriborSwap(,"IsdaFixA",Monitor!Q61,YieldCurve,Discounting,,_xll.ohTrigger(Trigger,RecalcTrigger))</f>
        <v>obj_007c9#0009</v>
      </c>
      <c r="S61" s="123"/>
      <c r="T61" s="123"/>
      <c r="U61" s="110">
        <f>_xll.qlIndexFixing(R61,$Z$19,TRUE,Trigger)</f>
        <v>1.6539999999995631E-2</v>
      </c>
      <c r="V61" s="111">
        <f t="shared" si="10"/>
        <v>-4.3680337125096003E-15</v>
      </c>
      <c r="W61" s="94"/>
      <c r="Y61" s="105" t="str">
        <f t="shared" si="8"/>
        <v>1D</v>
      </c>
      <c r="Z61" s="93">
        <f>_xll.qlCalendarAdvance(Calendar,Z60,Y61,"f",FALSE)</f>
        <v>42243</v>
      </c>
      <c r="AA61" s="117">
        <f>_xll.qlCalendarAdvance(Calendar,Z61,NDays&amp;"D")</f>
        <v>42247</v>
      </c>
      <c r="AB61" s="92">
        <v>7.5554841088093213E-4</v>
      </c>
      <c r="AC61" s="101">
        <v>3.3947065110950803E-4</v>
      </c>
    </row>
    <row r="62" spans="10:29" x14ac:dyDescent="0.2">
      <c r="M62" s="105" t="str">
        <v>obj_0079b#0003</v>
      </c>
      <c r="N62" s="105" t="str">
        <f>_xll.qlRateHelperQuoteName(M62)</f>
        <v>EURAB6E21Y_Quote</v>
      </c>
      <c r="O62" s="93">
        <f>_xll.qlRateHelperLatestDate(M62,Trigger)</f>
        <v>49858</v>
      </c>
      <c r="P62" s="120">
        <f>_xll.qlRateHelperQuoteValue(M62,_xll.ohTrigger(RecalcTrigger,YieldCurve))</f>
        <v>1.6670000000000001E-2</v>
      </c>
      <c r="Q62" s="122" t="str">
        <f t="shared" si="9"/>
        <v>21Y</v>
      </c>
      <c r="R62" s="123" t="str">
        <f>_xll.qlEuriborSwap(,"IsdaFixA",Monitor!Q62,YieldCurve,Discounting,,_xll.ohTrigger(Trigger,RecalcTrigger))</f>
        <v>obj_007d3#0007</v>
      </c>
      <c r="S62" s="123"/>
      <c r="T62" s="123"/>
      <c r="U62" s="110">
        <f>_xll.qlIndexFixing(R62,$Z$19,TRUE,Trigger)</f>
        <v>1.6661155112817769E-2</v>
      </c>
      <c r="V62" s="111">
        <f t="shared" si="10"/>
        <v>-8.8448871822313646E-6</v>
      </c>
      <c r="W62" s="94"/>
      <c r="Y62" s="105" t="str">
        <f t="shared" si="8"/>
        <v>1D</v>
      </c>
      <c r="Z62" s="93">
        <f>_xll.qlCalendarAdvance(Calendar,Z61,Y62,"f",FALSE)</f>
        <v>42244</v>
      </c>
      <c r="AA62" s="117">
        <f>_xll.qlCalendarAdvance(Calendar,Z62,NDays&amp;"D")</f>
        <v>42248</v>
      </c>
      <c r="AB62" s="92">
        <v>7.5774830238769435E-4</v>
      </c>
      <c r="AC62" s="101">
        <v>3.4464506848408405E-4</v>
      </c>
    </row>
    <row r="63" spans="10:29" x14ac:dyDescent="0.2">
      <c r="M63" s="105" t="str">
        <v>obj_0078e#0003</v>
      </c>
      <c r="N63" s="105" t="str">
        <f>_xll.qlRateHelperQuoteName(M63)</f>
        <v>EURAB6E22Y_Quote</v>
      </c>
      <c r="O63" s="93">
        <f>_xll.qlRateHelperLatestDate(M63,Trigger)</f>
        <v>50223</v>
      </c>
      <c r="P63" s="120">
        <f>_xll.qlRateHelperQuoteValue(M63,_xll.ohTrigger(RecalcTrigger,YieldCurve))</f>
        <v>1.6750000000000001E-2</v>
      </c>
      <c r="Q63" s="122" t="str">
        <f t="shared" si="9"/>
        <v>22Y</v>
      </c>
      <c r="R63" s="123" t="str">
        <f>_xll.qlEuriborSwap(,"IsdaFixA",Monitor!Q63,YieldCurve,Discounting,,_xll.ohTrigger(Trigger,RecalcTrigger))</f>
        <v>obj_007db#0007</v>
      </c>
      <c r="S63" s="123"/>
      <c r="T63" s="123"/>
      <c r="U63" s="110">
        <f>_xll.qlIndexFixing(R63,$Z$19,TRUE,Trigger)</f>
        <v>1.6743282463473702E-2</v>
      </c>
      <c r="V63" s="111">
        <f t="shared" si="10"/>
        <v>-6.7175365262989173E-6</v>
      </c>
      <c r="W63" s="94"/>
      <c r="Y63" s="105" t="str">
        <f t="shared" si="8"/>
        <v>1D</v>
      </c>
      <c r="Z63" s="93">
        <f>_xll.qlCalendarAdvance(Calendar,Z62,Y63,"f",FALSE)</f>
        <v>42247</v>
      </c>
      <c r="AA63" s="117">
        <f>_xll.qlCalendarAdvance(Calendar,Z63,NDays&amp;"D")</f>
        <v>42249</v>
      </c>
      <c r="AB63" s="92">
        <v>7.6000000000023553E-4</v>
      </c>
      <c r="AC63" s="101">
        <v>3.4947961948361694E-4</v>
      </c>
    </row>
    <row r="64" spans="10:29" x14ac:dyDescent="0.2">
      <c r="M64" s="105" t="str">
        <v>obj_00791#0003</v>
      </c>
      <c r="N64" s="105" t="str">
        <f>_xll.qlRateHelperQuoteName(M64)</f>
        <v>EURAB6E23Y_Quote</v>
      </c>
      <c r="O64" s="93">
        <f>_xll.qlRateHelperLatestDate(M64,Trigger)</f>
        <v>50588</v>
      </c>
      <c r="P64" s="120">
        <f>_xll.qlRateHelperQuoteValue(M64,_xll.ohTrigger(RecalcTrigger,YieldCurve))</f>
        <v>1.6810000000000002E-2</v>
      </c>
      <c r="Q64" s="122" t="str">
        <f t="shared" si="9"/>
        <v>23Y</v>
      </c>
      <c r="R64" s="123" t="str">
        <f>_xll.qlEuriborSwap(,"IsdaFixA",Monitor!Q64,YieldCurve,Discounting,,_xll.ohTrigger(Trigger,RecalcTrigger))</f>
        <v>obj_007d0#0007</v>
      </c>
      <c r="S64" s="123"/>
      <c r="T64" s="123"/>
      <c r="U64" s="110">
        <f>_xll.qlIndexFixing(R64,$Z$19,TRUE,Trigger)</f>
        <v>1.6800603649821524E-2</v>
      </c>
      <c r="V64" s="111">
        <f t="shared" si="10"/>
        <v>-9.3963501784782855E-6</v>
      </c>
      <c r="W64" s="94"/>
      <c r="Y64" s="105" t="str">
        <f t="shared" si="8"/>
        <v>1D</v>
      </c>
      <c r="Z64" s="93">
        <f>_xll.qlCalendarAdvance(Calendar,Z63,Y64,"f",FALSE)</f>
        <v>42248</v>
      </c>
      <c r="AA64" s="117">
        <f>_xll.qlCalendarAdvance(Calendar,Z64,NDays&amp;"D")</f>
        <v>42250</v>
      </c>
      <c r="AB64" s="92">
        <v>7.623128742229279E-4</v>
      </c>
      <c r="AC64" s="101">
        <v>3.5428029797834881E-4</v>
      </c>
    </row>
    <row r="65" spans="13:29" x14ac:dyDescent="0.2">
      <c r="M65" s="105" t="str">
        <v>obj_007a1#0003</v>
      </c>
      <c r="N65" s="105" t="str">
        <f>_xll.qlRateHelperQuoteName(M65)</f>
        <v>EURAB6E24Y_Quote</v>
      </c>
      <c r="O65" s="93">
        <f>_xll.qlRateHelperLatestDate(M65,Trigger)</f>
        <v>50955</v>
      </c>
      <c r="P65" s="120">
        <f>_xll.qlRateHelperQuoteValue(M65,_xll.ohTrigger(RecalcTrigger,YieldCurve))</f>
        <v>1.685E-2</v>
      </c>
      <c r="Q65" s="122" t="str">
        <f t="shared" si="9"/>
        <v>24Y</v>
      </c>
      <c r="R65" s="123" t="str">
        <f>_xll.qlEuriborSwap(,"IsdaFixA",Monitor!Q65,YieldCurve,Discounting,,_xll.ohTrigger(Trigger,RecalcTrigger))</f>
        <v>obj_007cf#0007</v>
      </c>
      <c r="S65" s="123"/>
      <c r="T65" s="123"/>
      <c r="U65" s="110">
        <f>_xll.qlIndexFixing(R65,$Z$19,TRUE,Trigger)</f>
        <v>1.6843133847493103E-2</v>
      </c>
      <c r="V65" s="111">
        <f t="shared" si="10"/>
        <v>-6.8661525068972051E-6</v>
      </c>
      <c r="W65" s="94"/>
      <c r="Y65" s="105" t="str">
        <f t="shared" si="8"/>
        <v>1D</v>
      </c>
      <c r="Z65" s="93">
        <f>_xll.qlCalendarAdvance(Calendar,Z64,Y65,"f",FALSE)</f>
        <v>42249</v>
      </c>
      <c r="AA65" s="117">
        <f>_xll.qlCalendarAdvance(Calendar,Z65,NDays&amp;"D")</f>
        <v>42251</v>
      </c>
      <c r="AB65" s="92">
        <v>7.6468549037263017E-4</v>
      </c>
      <c r="AC65" s="101">
        <v>3.6402410901636983E-4</v>
      </c>
    </row>
    <row r="66" spans="13:29" x14ac:dyDescent="0.2">
      <c r="M66" s="105" t="str">
        <v>obj_00796#0003</v>
      </c>
      <c r="N66" s="105" t="str">
        <f>_xll.qlRateHelperQuoteName(M66)</f>
        <v>EURAB6E25Y_Quote</v>
      </c>
      <c r="O66" s="93">
        <f>_xll.qlRateHelperLatestDate(M66,Trigger)</f>
        <v>51319</v>
      </c>
      <c r="P66" s="120">
        <f>_xll.qlRateHelperQuoteValue(M66,_xll.ohTrigger(RecalcTrigger,YieldCurve))</f>
        <v>1.6879999999999999E-2</v>
      </c>
      <c r="Q66" s="122" t="str">
        <f t="shared" si="9"/>
        <v>25Y</v>
      </c>
      <c r="R66" s="123" t="str">
        <f>_xll.qlEuriborSwap(,"IsdaFixA",Monitor!Q66,YieldCurve,Discounting,,_xll.ohTrigger(Trigger,RecalcTrigger))</f>
        <v>obj_007d9#0007</v>
      </c>
      <c r="S66" s="123"/>
      <c r="T66" s="123"/>
      <c r="U66" s="110">
        <f>_xll.qlIndexFixing(R66,$Z$19,TRUE,Trigger)</f>
        <v>1.6880000000011868E-2</v>
      </c>
      <c r="V66" s="111">
        <f t="shared" si="10"/>
        <v>1.1868978022633314E-14</v>
      </c>
      <c r="W66" s="94"/>
      <c r="Y66" s="105" t="str">
        <f t="shared" si="8"/>
        <v>1D</v>
      </c>
      <c r="Z66" s="93">
        <f>_xll.qlCalendarAdvance(Calendar,Z65,Y66,"f",FALSE)</f>
        <v>42250</v>
      </c>
      <c r="AA66" s="117">
        <f>_xll.qlCalendarAdvance(Calendar,Z66,NDays&amp;"D")</f>
        <v>42254</v>
      </c>
      <c r="AB66" s="92">
        <v>7.7212043034181118E-4</v>
      </c>
      <c r="AC66" s="101">
        <v>3.7390927010605424E-4</v>
      </c>
    </row>
    <row r="67" spans="13:29" x14ac:dyDescent="0.2">
      <c r="M67" s="105" t="str">
        <v>obj_00794#0003</v>
      </c>
      <c r="N67" s="105" t="str">
        <f>_xll.qlRateHelperQuoteName(M67)</f>
        <v>EURAB6E26Y_Quote</v>
      </c>
      <c r="O67" s="93">
        <f>_xll.qlRateHelperLatestDate(M67,Trigger)</f>
        <v>51684</v>
      </c>
      <c r="P67" s="120">
        <f>_xll.qlRateHelperQuoteValue(M67,_xll.ohTrigger(RecalcTrigger,YieldCurve))</f>
        <v>1.6910000000000001E-2</v>
      </c>
      <c r="Q67" s="122" t="str">
        <f t="shared" si="9"/>
        <v>26Y</v>
      </c>
      <c r="R67" s="123" t="str">
        <f>_xll.qlEuriborSwap(,"IsdaFixA",Monitor!Q67,YieldCurve,Discounting,,_xll.ohTrigger(Trigger,RecalcTrigger))</f>
        <v>obj_007c6#0009</v>
      </c>
      <c r="S67" s="123"/>
      <c r="T67" s="123"/>
      <c r="U67" s="110">
        <f>_xll.qlIndexFixing(R67,$Z$19,TRUE,Trigger)</f>
        <v>1.6914350177300457E-2</v>
      </c>
      <c r="V67" s="111">
        <f t="shared" si="10"/>
        <v>4.3501773004557542E-6</v>
      </c>
      <c r="W67" s="94"/>
      <c r="Y67" s="105" t="str">
        <f t="shared" si="8"/>
        <v>1D</v>
      </c>
      <c r="Z67" s="93">
        <f>_xll.qlCalendarAdvance(Calendar,Z66,Y67,"f",FALSE)</f>
        <v>42251</v>
      </c>
      <c r="AA67" s="117">
        <f>_xll.qlCalendarAdvance(Calendar,Z67,NDays&amp;"D")</f>
        <v>42255</v>
      </c>
      <c r="AB67" s="92">
        <v>7.7469065407499661E-4</v>
      </c>
      <c r="AC67" s="101">
        <v>3.7892307779507917E-4</v>
      </c>
    </row>
    <row r="68" spans="13:29" x14ac:dyDescent="0.2">
      <c r="M68" s="105" t="str">
        <v>obj_007aa#0003</v>
      </c>
      <c r="N68" s="105" t="str">
        <f>_xll.qlRateHelperQuoteName(M68)</f>
        <v>EURAB6E27Y_Quote</v>
      </c>
      <c r="O68" s="93">
        <f>_xll.qlRateHelperLatestDate(M68,Trigger)</f>
        <v>52049</v>
      </c>
      <c r="P68" s="120">
        <f>_xll.qlRateHelperQuoteValue(M68,_xll.ohTrigger(RecalcTrigger,YieldCurve))</f>
        <v>1.695E-2</v>
      </c>
      <c r="Q68" s="122" t="str">
        <f t="shared" si="9"/>
        <v>27Y</v>
      </c>
      <c r="R68" s="123" t="str">
        <f>_xll.qlEuriborSwap(,"IsdaFixA",Monitor!Q68,YieldCurve,Discounting,,_xll.ohTrigger(Trigger,RecalcTrigger))</f>
        <v>obj_007d8#0007</v>
      </c>
      <c r="S68" s="123"/>
      <c r="T68" s="123"/>
      <c r="U68" s="110">
        <f>_xll.qlIndexFixing(R68,$Z$19,TRUE,Trigger)</f>
        <v>1.6948534655376844E-2</v>
      </c>
      <c r="V68" s="111">
        <f t="shared" si="10"/>
        <v>-1.4653446231555067E-6</v>
      </c>
      <c r="W68" s="94"/>
      <c r="Y68" s="105" t="str">
        <f t="shared" si="8"/>
        <v>1D</v>
      </c>
      <c r="Z68" s="93">
        <f>_xll.qlCalendarAdvance(Calendar,Z67,Y68,"f",FALSE)</f>
        <v>42254</v>
      </c>
      <c r="AA68" s="117">
        <f>_xll.qlCalendarAdvance(Calendar,Z68,NDays&amp;"D")</f>
        <v>42256</v>
      </c>
      <c r="AB68" s="92">
        <v>7.7729993958792695E-4</v>
      </c>
      <c r="AC68" s="101">
        <v>3.8397951122703944E-4</v>
      </c>
    </row>
    <row r="69" spans="13:29" x14ac:dyDescent="0.2">
      <c r="M69" s="105" t="str">
        <v>obj_007a5#0003</v>
      </c>
      <c r="N69" s="105" t="str">
        <f>_xll.qlRateHelperQuoteName(M69)</f>
        <v>EURAB6E28Y_Quote</v>
      </c>
      <c r="O69" s="93">
        <f>_xll.qlRateHelperLatestDate(M69,Trigger)</f>
        <v>52414</v>
      </c>
      <c r="P69" s="120">
        <f>_xll.qlRateHelperQuoteValue(M69,_xll.ohTrigger(RecalcTrigger,YieldCurve))</f>
        <v>1.6979999999999999E-2</v>
      </c>
      <c r="Q69" s="122" t="str">
        <f t="shared" si="9"/>
        <v>28Y</v>
      </c>
      <c r="R69" s="123" t="str">
        <f>_xll.qlEuriborSwap(,"IsdaFixA",Monitor!Q69,YieldCurve,Discounting,,_xll.ohTrigger(Trigger,RecalcTrigger))</f>
        <v>obj_007c7#0009</v>
      </c>
      <c r="S69" s="123"/>
      <c r="T69" s="123"/>
      <c r="U69" s="110">
        <f>_xll.qlIndexFixing(R69,$Z$19,TRUE,Trigger)</f>
        <v>1.698239407813263E-2</v>
      </c>
      <c r="V69" s="111">
        <f t="shared" si="10"/>
        <v>2.3940781326316218E-6</v>
      </c>
      <c r="W69" s="94"/>
      <c r="Y69" s="105" t="str">
        <f t="shared" si="8"/>
        <v>1D</v>
      </c>
      <c r="Z69" s="93">
        <f>_xll.qlCalendarAdvance(Calendar,Z68,Y69,"f",FALSE)</f>
        <v>42255</v>
      </c>
      <c r="AA69" s="117">
        <f>_xll.qlCalendarAdvance(Calendar,Z69,NDays&amp;"D")</f>
        <v>42257</v>
      </c>
      <c r="AB69" s="92">
        <v>7.7994415079659935E-4</v>
      </c>
      <c r="AC69" s="101">
        <v>3.8907857056180717E-4</v>
      </c>
    </row>
    <row r="70" spans="13:29" x14ac:dyDescent="0.2">
      <c r="M70" s="105" t="str">
        <v>obj_0078b#0003</v>
      </c>
      <c r="N70" s="105" t="str">
        <f>_xll.qlRateHelperQuoteName(M70)</f>
        <v>EURAB6E29Y_Quote</v>
      </c>
      <c r="O70" s="93">
        <f>_xll.qlRateHelperLatestDate(M70,Trigger)</f>
        <v>52782</v>
      </c>
      <c r="P70" s="120">
        <f>_xll.qlRateHelperQuoteValue(M70,_xll.ohTrigger(RecalcTrigger,YieldCurve))</f>
        <v>1.702E-2</v>
      </c>
      <c r="Q70" s="122" t="str">
        <f t="shared" si="9"/>
        <v>29Y</v>
      </c>
      <c r="R70" s="123" t="str">
        <f>_xll.qlEuriborSwap(,"IsdaFixA",Monitor!Q70,YieldCurve,Discounting,,_xll.ohTrigger(Trigger,RecalcTrigger))</f>
        <v>obj_007d7#0007</v>
      </c>
      <c r="S70" s="123"/>
      <c r="T70" s="123"/>
      <c r="U70" s="110">
        <f>_xll.qlIndexFixing(R70,$Z$19,TRUE,Trigger)</f>
        <v>1.7017291908465192E-2</v>
      </c>
      <c r="V70" s="111">
        <f t="shared" si="10"/>
        <v>-2.7080915348080825E-6</v>
      </c>
      <c r="W70" s="94"/>
      <c r="Y70" s="105" t="str">
        <f t="shared" si="8"/>
        <v>1D</v>
      </c>
      <c r="Z70" s="93">
        <f>_xll.qlCalendarAdvance(Calendar,Z69,Y70,"f",FALSE)</f>
        <v>42256</v>
      </c>
      <c r="AA70" s="117">
        <f>_xll.qlCalendarAdvance(Calendar,Z70,NDays&amp;"D")</f>
        <v>42258</v>
      </c>
      <c r="AB70" s="92">
        <v>7.8261915159724661E-4</v>
      </c>
      <c r="AC70" s="101">
        <v>3.9941921857966634E-4</v>
      </c>
    </row>
    <row r="71" spans="13:29" x14ac:dyDescent="0.2">
      <c r="M71" s="105" t="str">
        <v>obj_00797#0003</v>
      </c>
      <c r="N71" s="105" t="str">
        <f>_xll.qlRateHelperQuoteName(M71)</f>
        <v>EURAB6E30Y_Quote</v>
      </c>
      <c r="O71" s="93">
        <f>_xll.qlRateHelperLatestDate(M71,Trigger)</f>
        <v>53146</v>
      </c>
      <c r="P71" s="120">
        <f>_xll.qlRateHelperQuoteValue(M71,_xll.ohTrigger(RecalcTrigger,YieldCurve))</f>
        <v>1.7049999999999999E-2</v>
      </c>
      <c r="Q71" s="122" t="str">
        <f t="shared" si="9"/>
        <v>30Y</v>
      </c>
      <c r="R71" s="123" t="str">
        <f>_xll.qlEuriborSwap(,"IsdaFixA",Monitor!Q71,YieldCurve,Discounting,,_xll.ohTrigger(Trigger,RecalcTrigger))</f>
        <v>obj_007c1#0009</v>
      </c>
      <c r="S71" s="123"/>
      <c r="T71" s="123"/>
      <c r="U71" s="110">
        <f>_xll.qlIndexFixing(R71,$Z$19,TRUE,Trigger)</f>
        <v>1.7049999999996148E-2</v>
      </c>
      <c r="V71" s="111">
        <f t="shared" si="10"/>
        <v>-3.8510861166685117E-15</v>
      </c>
      <c r="W71" s="94"/>
      <c r="Y71" s="105" t="str">
        <f t="shared" si="8"/>
        <v>1D</v>
      </c>
      <c r="Z71" s="93">
        <f>_xll.qlCalendarAdvance(Calendar,Z70,Y71,"f",FALSE)</f>
        <v>42257</v>
      </c>
      <c r="AA71" s="117">
        <f>_xll.qlCalendarAdvance(Calendar,Z71,NDays&amp;"D")</f>
        <v>42261</v>
      </c>
      <c r="AB71" s="92">
        <v>7.9078753019406122E-4</v>
      </c>
      <c r="AC71" s="101">
        <v>4.0990106652927238E-4</v>
      </c>
    </row>
    <row r="72" spans="13:29" x14ac:dyDescent="0.2">
      <c r="M72" s="105" t="str">
        <v>obj_00789#0003</v>
      </c>
      <c r="N72" s="105" t="str">
        <f>_xll.qlRateHelperQuoteName(M72)</f>
        <v>EURAB6E35Y_Quote</v>
      </c>
      <c r="O72" s="93">
        <f>_xll.qlRateHelperLatestDate(M72,Trigger)</f>
        <v>54973</v>
      </c>
      <c r="P72" s="120">
        <f>_xll.qlRateHelperQuoteValue(M72,_xll.ohTrigger(RecalcTrigger,YieldCurve))</f>
        <v>1.7170000000000001E-2</v>
      </c>
      <c r="Q72" s="122" t="str">
        <f t="shared" si="9"/>
        <v>35Y</v>
      </c>
      <c r="R72" s="123" t="str">
        <f>_xll.qlEuriborSwap(,"IsdaFixA",Monitor!Q72,YieldCurve,Discounting,,_xll.ohTrigger(Trigger,RecalcTrigger))</f>
        <v>obj_007cb#0007</v>
      </c>
      <c r="S72" s="123"/>
      <c r="T72" s="123"/>
      <c r="U72" s="110">
        <f>_xll.qlIndexFixing(R72,$Z$19,TRUE,Trigger)</f>
        <v>1.7170000000003533E-2</v>
      </c>
      <c r="V72" s="111">
        <f t="shared" si="10"/>
        <v>3.5318969970887792E-15</v>
      </c>
      <c r="W72" s="94"/>
      <c r="Y72" s="105" t="str">
        <f t="shared" si="8"/>
        <v>1D</v>
      </c>
      <c r="Z72" s="93">
        <f>_xll.qlCalendarAdvance(Calendar,Z71,Y72,"f",FALSE)</f>
        <v>42258</v>
      </c>
      <c r="AA72" s="117">
        <f>_xll.qlCalendarAdvance(Calendar,Z72,NDays&amp;"D")</f>
        <v>42262</v>
      </c>
      <c r="AB72" s="92">
        <v>7.9354432789802512E-4</v>
      </c>
      <c r="AC72" s="101">
        <v>4.1521325513826923E-4</v>
      </c>
    </row>
    <row r="73" spans="13:29" x14ac:dyDescent="0.2">
      <c r="M73" s="105" t="str">
        <v>obj_00788#0003</v>
      </c>
      <c r="N73" s="105" t="str">
        <f>_xll.qlRateHelperQuoteName(M73)</f>
        <v>EURAB6E40Y_Quote</v>
      </c>
      <c r="O73" s="93">
        <f>_xll.qlRateHelperLatestDate(M73,Trigger)</f>
        <v>56797</v>
      </c>
      <c r="P73" s="120">
        <f>_xll.qlRateHelperQuoteValue(M73,_xll.ohTrigger(RecalcTrigger,YieldCurve))</f>
        <v>1.7159999999999998E-2</v>
      </c>
      <c r="Q73" s="122" t="str">
        <f t="shared" si="9"/>
        <v>40Y</v>
      </c>
      <c r="R73" s="123" t="str">
        <f>_xll.qlEuriborSwap(,"IsdaFixA",Monitor!Q73,YieldCurve,Discounting,,_xll.ohTrigger(Trigger,RecalcTrigger))</f>
        <v>obj_007b7#0009</v>
      </c>
      <c r="S73" s="123"/>
      <c r="T73" s="123"/>
      <c r="U73" s="110">
        <f>_xll.qlIndexFixing(R73,$Z$19,TRUE,Trigger)</f>
        <v>1.7159999999944546E-2</v>
      </c>
      <c r="V73" s="111">
        <f t="shared" si="10"/>
        <v>-5.5452170633074616E-14</v>
      </c>
      <c r="W73" s="94"/>
      <c r="Y73" s="105" t="str">
        <f t="shared" si="8"/>
        <v>1D</v>
      </c>
      <c r="Z73" s="93">
        <f>_xll.qlCalendarAdvance(Calendar,Z72,Y73,"f",FALSE)</f>
        <v>42261</v>
      </c>
      <c r="AA73" s="117">
        <f>_xll.qlCalendarAdvance(Calendar,Z73,NDays&amp;"D")</f>
        <v>42263</v>
      </c>
      <c r="AB73" s="92">
        <v>7.9631123435143091E-4</v>
      </c>
      <c r="AC73" s="101">
        <v>4.2056806965007354E-4</v>
      </c>
    </row>
    <row r="74" spans="13:29" x14ac:dyDescent="0.2">
      <c r="M74" s="105" t="str">
        <v>obj_00790#0003</v>
      </c>
      <c r="N74" s="105" t="str">
        <f>_xll.qlRateHelperQuoteName(M74)</f>
        <v>EURAB6E50Y_Quote</v>
      </c>
      <c r="O74" s="93">
        <f>_xll.qlRateHelperLatestDate(M74,Trigger)</f>
        <v>60450</v>
      </c>
      <c r="P74" s="120">
        <f>_xll.qlRateHelperQuoteValue(M74,_xll.ohTrigger(RecalcTrigger,YieldCurve))</f>
        <v>1.6730000000000002E-2</v>
      </c>
      <c r="Q74" s="122" t="str">
        <f t="shared" si="9"/>
        <v>50Y</v>
      </c>
      <c r="R74" s="123" t="str">
        <f>_xll.qlEuriborSwap(,"IsdaFixA",Monitor!Q74,YieldCurve,Discounting,,_xll.ohTrigger(Trigger,RecalcTrigger))</f>
        <v>obj_007cd#0007</v>
      </c>
      <c r="S74" s="123"/>
      <c r="T74" s="123"/>
      <c r="U74" s="110">
        <f>_xll.qlIndexFixing(R74,$Z$19,TRUE,Trigger)</f>
        <v>1.6729999999963139E-2</v>
      </c>
      <c r="V74" s="111">
        <f t="shared" si="10"/>
        <v>-3.6862873864507151E-14</v>
      </c>
      <c r="W74" s="94"/>
      <c r="Y74" s="105" t="str">
        <f t="shared" si="8"/>
        <v>1D</v>
      </c>
      <c r="Z74" s="93">
        <f>_xll.qlCalendarAdvance(Calendar,Z73,Y74,"f",FALSE)</f>
        <v>42262</v>
      </c>
      <c r="AA74" s="117">
        <f>_xll.qlCalendarAdvance(Calendar,Z74,NDays&amp;"D")</f>
        <v>42264</v>
      </c>
      <c r="AB74" s="92">
        <v>7.9908411331830952E-4</v>
      </c>
      <c r="AC74" s="101">
        <v>4.2596550998474925E-4</v>
      </c>
    </row>
    <row r="75" spans="13:29" ht="12" thickBot="1" x14ac:dyDescent="0.25">
      <c r="M75" s="106" t="str">
        <v>obj_007a4#0003</v>
      </c>
      <c r="N75" s="106" t="str">
        <f>_xll.qlRateHelperQuoteName(M75)</f>
        <v>EURAB6E60Y_Quote</v>
      </c>
      <c r="O75" s="103">
        <f>_xll.qlRateHelperLatestDate(M75,Trigger)</f>
        <v>64102</v>
      </c>
      <c r="P75" s="121">
        <f>_xll.qlRateHelperQuoteValue(M75,_xll.ohTrigger(RecalcTrigger,YieldCurve))</f>
        <v>1.6579999999999998E-2</v>
      </c>
      <c r="Q75" s="189" t="str">
        <f t="shared" si="9"/>
        <v>60Y</v>
      </c>
      <c r="R75" s="124" t="str">
        <f>_xll.qlEuriborSwap(,"IsdaFixA",Monitor!Q75,YieldCurve,Discounting,,_xll.ohTrigger(Trigger,RecalcTrigger))</f>
        <v>obj_007c0#0009</v>
      </c>
      <c r="S75" s="124"/>
      <c r="T75" s="124"/>
      <c r="U75" s="112">
        <f>_xll.qlIndexFixing(R75,$Z$19,TRUE,Trigger)</f>
        <v>1.6579999999999404E-2</v>
      </c>
      <c r="V75" s="113">
        <f t="shared" si="10"/>
        <v>-5.9327542878406803E-16</v>
      </c>
      <c r="W75" s="94"/>
      <c r="Y75" s="105" t="str">
        <f t="shared" si="8"/>
        <v>1D</v>
      </c>
      <c r="Z75" s="93">
        <f>_xll.qlCalendarAdvance(Calendar,Z74,Y75,"f",FALSE)</f>
        <v>42263</v>
      </c>
      <c r="AA75" s="117">
        <f>_xll.qlCalendarAdvance(Calendar,Z75,NDays&amp;"D")</f>
        <v>42265</v>
      </c>
      <c r="AB75" s="92">
        <v>8.0185882853941375E-4</v>
      </c>
      <c r="AC75" s="101">
        <v>4.3690300710608199E-4</v>
      </c>
    </row>
    <row r="76" spans="13:29" ht="12" thickBot="1" x14ac:dyDescent="0.25">
      <c r="Y76" s="105" t="str">
        <f t="shared" si="8"/>
        <v>1D</v>
      </c>
      <c r="Z76" s="93">
        <f>_xll.qlCalendarAdvance(Calendar,Z75,Y76,"f",FALSE)</f>
        <v>42264</v>
      </c>
      <c r="AA76" s="117">
        <f>_xll.qlCalendarAdvance(Calendar,Z76,NDays&amp;"D")</f>
        <v>42268</v>
      </c>
      <c r="AB76" s="92">
        <v>8.1015262879258567E-4</v>
      </c>
      <c r="AC76" s="101">
        <v>4.4798153003178243E-4</v>
      </c>
    </row>
    <row r="77" spans="13:29" x14ac:dyDescent="0.2">
      <c r="M77" s="190" t="s">
        <v>44</v>
      </c>
      <c r="N77" s="97" t="s">
        <v>161</v>
      </c>
      <c r="O77" s="98" t="s">
        <v>129</v>
      </c>
      <c r="P77" s="98" t="s">
        <v>43</v>
      </c>
      <c r="Q77" s="108" t="s">
        <v>138</v>
      </c>
      <c r="R77" s="108" t="s">
        <v>171</v>
      </c>
      <c r="S77" s="98" t="s">
        <v>137</v>
      </c>
      <c r="T77" s="98" t="s">
        <v>159</v>
      </c>
      <c r="U77" s="98" t="s">
        <v>153</v>
      </c>
      <c r="V77" s="109" t="s">
        <v>142</v>
      </c>
      <c r="W77" s="114" t="s">
        <v>160</v>
      </c>
      <c r="Y77" s="105" t="str">
        <f t="shared" si="8"/>
        <v>1D</v>
      </c>
      <c r="Z77" s="93">
        <f>_xll.qlCalendarAdvance(Calendar,Z76,Y77,"f",FALSE)</f>
        <v>42265</v>
      </c>
      <c r="AA77" s="117">
        <f>_xll.qlCalendarAdvance(Calendar,Z77,NDays&amp;"D")</f>
        <v>42269</v>
      </c>
      <c r="AB77" s="92">
        <v>8.1289332597826833E-4</v>
      </c>
      <c r="AC77" s="101">
        <v>4.5359209972062331E-4</v>
      </c>
    </row>
    <row r="78" spans="13:29" x14ac:dyDescent="0.2">
      <c r="M78" s="209">
        <f>RateHelpers!B67</f>
        <v>0</v>
      </c>
      <c r="N78" s="105" t="e">
        <f>_xll.qlRateHelperQuoteName(M78)</f>
        <v>#NUM!</v>
      </c>
      <c r="O78" s="93" t="e">
        <f>_xll.qlInterestRateIndexFixingDate(S78,_xll.qlRateHelperEarliestDate(M78,Trigger),)</f>
        <v>#VALUE!</v>
      </c>
      <c r="P78" s="120" t="e">
        <f>_xll.qlRateHelperQuoteValue(M78,_xll.ohTrigger(RecalcTrigger,YieldCurve))</f>
        <v>#NUM!</v>
      </c>
      <c r="Q78" s="123" t="e">
        <f t="shared" ref="Q78:Q95" si="11">SUBSTITUTE(SUBSTITUTE(N78,"_Quote",""),"EUR1F","")</f>
        <v>#NUM!</v>
      </c>
      <c r="R78" s="123">
        <v>2</v>
      </c>
      <c r="S78" s="123" t="e">
        <f>_xll.qlSwapIndex(,"Euribor",Q78,$R78,Currency,Calendar,"1Y","mf","30/360 (Bond Basis)",IborIndex,Discounting,,_xll.ohTrigger(Trigger,RecalcTrigger))</f>
        <v>#VALUE!</v>
      </c>
      <c r="T78" s="123" t="e">
        <f>_xll.qlVanillaSwapFromSwapIndex(,S78,O78)</f>
        <v>#VALUE!</v>
      </c>
      <c r="U78" s="110" t="e">
        <f>_xll.qlVanillaSwapFairRate(T78)</f>
        <v>#VALUE!</v>
      </c>
      <c r="V78" s="206" t="e">
        <f t="shared" ref="V78:V141" si="12">U78-P78</f>
        <v>#VALUE!</v>
      </c>
      <c r="W78" s="137">
        <f>MAX(ABS(V347),ABS(V383))</f>
        <v>5.9077742697866142E-14</v>
      </c>
      <c r="Y78" s="105" t="str">
        <f t="shared" si="8"/>
        <v>1D</v>
      </c>
      <c r="Z78" s="93">
        <f>_xll.qlCalendarAdvance(Calendar,Z77,Y78,"f",FALSE)</f>
        <v>42268</v>
      </c>
      <c r="AA78" s="117">
        <f>_xll.qlCalendarAdvance(Calendar,Z78,NDays&amp;"D")</f>
        <v>42270</v>
      </c>
      <c r="AB78" s="92">
        <v>8.1561517777716148E-4</v>
      </c>
      <c r="AC78" s="101">
        <v>4.5924529531227165E-4</v>
      </c>
    </row>
    <row r="79" spans="13:29" x14ac:dyDescent="0.2">
      <c r="M79" s="209">
        <f>RateHelpers!B68</f>
        <v>0</v>
      </c>
      <c r="N79" s="105" t="e">
        <f>_xll.qlRateHelperQuoteName(M79)</f>
        <v>#NUM!</v>
      </c>
      <c r="O79" s="93" t="e">
        <f>_xll.qlInterestRateIndexFixingDate(S79,_xll.qlRateHelperEarliestDate(M79,Trigger),)</f>
        <v>#VALUE!</v>
      </c>
      <c r="P79" s="120" t="e">
        <f>_xll.qlRateHelperQuoteValue(M79,_xll.ohTrigger(RecalcTrigger,YieldCurve))</f>
        <v>#NUM!</v>
      </c>
      <c r="Q79" s="123" t="e">
        <f t="shared" si="11"/>
        <v>#NUM!</v>
      </c>
      <c r="R79" s="123">
        <v>2</v>
      </c>
      <c r="S79" s="123" t="e">
        <f>_xll.qlSwapIndex(,"Euribor",Q79,NDays,Currency,Calendar,"1Y","mf","30/360 (Bond Basis)",IborIndex,Discounting,,_xll.ohTrigger(Trigger,RecalcTrigger))</f>
        <v>#VALUE!</v>
      </c>
      <c r="T79" s="123" t="e">
        <f>_xll.qlVanillaSwapFromSwapIndex(,S79,O79)</f>
        <v>#VALUE!</v>
      </c>
      <c r="U79" s="110" t="e">
        <f>_xll.qlVanillaSwapFairRate(T79)</f>
        <v>#VALUE!</v>
      </c>
      <c r="V79" s="206" t="e">
        <f t="shared" si="12"/>
        <v>#VALUE!</v>
      </c>
      <c r="Y79" s="105" t="str">
        <f t="shared" si="8"/>
        <v>1D</v>
      </c>
      <c r="Z79" s="93">
        <f>_xll.qlCalendarAdvance(Calendar,Z78,Y79,"f",FALSE)</f>
        <v>42269</v>
      </c>
      <c r="AA79" s="117">
        <f>_xll.qlCalendarAdvance(Calendar,Z79,NDays&amp;"D")</f>
        <v>42271</v>
      </c>
      <c r="AB79" s="92">
        <v>8.1831404779210621E-4</v>
      </c>
      <c r="AC79" s="101">
        <v>4.6494111672679139E-4</v>
      </c>
    </row>
    <row r="80" spans="13:29" x14ac:dyDescent="0.2">
      <c r="M80" s="209">
        <f>RateHelpers!B69</f>
        <v>0</v>
      </c>
      <c r="N80" s="105" t="e">
        <f>_xll.qlRateHelperQuoteName(M80)</f>
        <v>#NUM!</v>
      </c>
      <c r="O80" s="93" t="e">
        <f>_xll.qlInterestRateIndexFixingDate(S80,_xll.qlRateHelperEarliestDate(M80,Trigger),)</f>
        <v>#VALUE!</v>
      </c>
      <c r="P80" s="120" t="e">
        <f>_xll.qlRateHelperQuoteValue(M80,_xll.ohTrigger(RecalcTrigger,YieldCurve))</f>
        <v>#NUM!</v>
      </c>
      <c r="Q80" s="123" t="e">
        <f t="shared" si="11"/>
        <v>#NUM!</v>
      </c>
      <c r="R80" s="123">
        <v>2</v>
      </c>
      <c r="S80" s="123" t="e">
        <f>_xll.qlSwapIndex(,"Euribor",Q80,NDays,Currency,Calendar,"1Y","mf","30/360 (Bond Basis)",IborIndex,Discounting,,_xll.ohTrigger(Trigger,RecalcTrigger))</f>
        <v>#VALUE!</v>
      </c>
      <c r="T80" s="123" t="e">
        <f>_xll.qlVanillaSwapFromSwapIndex(,S80,O80)</f>
        <v>#VALUE!</v>
      </c>
      <c r="U80" s="110" t="e">
        <f>_xll.qlVanillaSwapFairRate(T80)</f>
        <v>#VALUE!</v>
      </c>
      <c r="V80" s="206" t="e">
        <f t="shared" si="12"/>
        <v>#VALUE!</v>
      </c>
      <c r="Y80" s="105" t="str">
        <f t="shared" si="8"/>
        <v>1D</v>
      </c>
      <c r="Z80" s="93">
        <f>_xll.qlCalendarAdvance(Calendar,Z79,Y80,"f",FALSE)</f>
        <v>42270</v>
      </c>
      <c r="AA80" s="117">
        <f>_xll.qlCalendarAdvance(Calendar,Z80,NDays&amp;"D")</f>
        <v>42272</v>
      </c>
      <c r="AB80" s="92">
        <v>8.2375496758620018E-4</v>
      </c>
      <c r="AC80" s="101">
        <v>4.7647547648743682E-4</v>
      </c>
    </row>
    <row r="81" spans="13:29" x14ac:dyDescent="0.2">
      <c r="M81" s="209">
        <f>RateHelpers!B70</f>
        <v>0</v>
      </c>
      <c r="N81" s="105" t="e">
        <f>_xll.qlRateHelperQuoteName(M81)</f>
        <v>#NUM!</v>
      </c>
      <c r="O81" s="93" t="e">
        <f>_xll.qlInterestRateIndexFixingDate(S81,_xll.qlRateHelperEarliestDate(M81,Trigger),)</f>
        <v>#VALUE!</v>
      </c>
      <c r="P81" s="120" t="e">
        <f>_xll.qlRateHelperQuoteValue(M81,_xll.ohTrigger(RecalcTrigger,YieldCurve))</f>
        <v>#NUM!</v>
      </c>
      <c r="Q81" s="123" t="e">
        <f t="shared" si="11"/>
        <v>#NUM!</v>
      </c>
      <c r="R81" s="123">
        <v>2</v>
      </c>
      <c r="S81" s="123" t="e">
        <f>_xll.qlSwapIndex(,"Euribor",Q81,NDays,Currency,Calendar,"1Y","mf","30/360 (Bond Basis)",IborIndex,Discounting,,_xll.ohTrigger(Trigger,RecalcTrigger))</f>
        <v>#VALUE!</v>
      </c>
      <c r="T81" s="123" t="e">
        <f>_xll.qlVanillaSwapFromSwapIndex(,S81,O81)</f>
        <v>#VALUE!</v>
      </c>
      <c r="U81" s="110" t="e">
        <f>_xll.qlVanillaSwapFairRate(T81)</f>
        <v>#VALUE!</v>
      </c>
      <c r="V81" s="206" t="e">
        <f t="shared" si="12"/>
        <v>#VALUE!</v>
      </c>
      <c r="Y81" s="105" t="str">
        <f t="shared" si="8"/>
        <v>1D</v>
      </c>
      <c r="Z81" s="93">
        <f>_xll.qlCalendarAdvance(Calendar,Z80,Y81,"f",FALSE)</f>
        <v>42271</v>
      </c>
      <c r="AA81" s="117">
        <f>_xll.qlCalendarAdvance(Calendar,Z81,NDays&amp;"D")</f>
        <v>42275</v>
      </c>
      <c r="AB81" s="92">
        <v>8.2944478058009496E-4</v>
      </c>
      <c r="AC81" s="101">
        <v>4.8815066125307283E-4</v>
      </c>
    </row>
    <row r="82" spans="13:29" x14ac:dyDescent="0.2">
      <c r="M82" s="209">
        <f>RateHelpers!B71</f>
        <v>0</v>
      </c>
      <c r="N82" s="105" t="e">
        <f>_xll.qlRateHelperQuoteName(M82)</f>
        <v>#NUM!</v>
      </c>
      <c r="O82" s="93" t="e">
        <f>_xll.qlInterestRateIndexFixingDate(S82,_xll.qlRateHelperEarliestDate(M82,Trigger),)</f>
        <v>#VALUE!</v>
      </c>
      <c r="P82" s="120" t="e">
        <f>_xll.qlRateHelperQuoteValue(M82,_xll.ohTrigger(RecalcTrigger,YieldCurve))</f>
        <v>#NUM!</v>
      </c>
      <c r="Q82" s="123" t="e">
        <f t="shared" si="11"/>
        <v>#NUM!</v>
      </c>
      <c r="R82" s="123">
        <v>2</v>
      </c>
      <c r="S82" s="123" t="e">
        <f>_xll.qlSwapIndex(,"Euribor",Q82,NDays,Currency,Calendar,"1Y","mf","30/360 (Bond Basis)",IborIndex,Discounting,,_xll.ohTrigger(Trigger,RecalcTrigger))</f>
        <v>#VALUE!</v>
      </c>
      <c r="T82" s="123" t="e">
        <f>_xll.qlVanillaSwapFromSwapIndex(,S82,O82)</f>
        <v>#VALUE!</v>
      </c>
      <c r="U82" s="110" t="e">
        <f>_xll.qlVanillaSwapFairRate(T82)</f>
        <v>#VALUE!</v>
      </c>
      <c r="V82" s="206" t="e">
        <f t="shared" si="12"/>
        <v>#VALUE!</v>
      </c>
      <c r="Y82" s="105" t="str">
        <f t="shared" si="8"/>
        <v>1D</v>
      </c>
      <c r="Z82" s="93">
        <f>_xll.qlCalendarAdvance(Calendar,Z81,Y82,"f",FALSE)</f>
        <v>42272</v>
      </c>
      <c r="AA82" s="117">
        <f>_xll.qlCalendarAdvance(Calendar,Z82,NDays&amp;"D")</f>
        <v>42276</v>
      </c>
      <c r="AB82" s="92">
        <v>8.3131889574667318E-4</v>
      </c>
      <c r="AC82" s="101">
        <v>4.9405961218162986E-4</v>
      </c>
    </row>
    <row r="83" spans="13:29" x14ac:dyDescent="0.2">
      <c r="M83" s="209">
        <f>RateHelpers!B72</f>
        <v>0</v>
      </c>
      <c r="N83" s="105" t="e">
        <f>_xll.qlRateHelperQuoteName(M83)</f>
        <v>#NUM!</v>
      </c>
      <c r="O83" s="93" t="e">
        <f>_xll.qlInterestRateIndexFixingDate(S83,_xll.qlRateHelperEarliestDate(M83,Trigger),)</f>
        <v>#VALUE!</v>
      </c>
      <c r="P83" s="120" t="e">
        <f>_xll.qlRateHelperQuoteValue(M83,_xll.ohTrigger(RecalcTrigger,YieldCurve))</f>
        <v>#NUM!</v>
      </c>
      <c r="Q83" s="123" t="e">
        <f t="shared" si="11"/>
        <v>#NUM!</v>
      </c>
      <c r="R83" s="123">
        <v>2</v>
      </c>
      <c r="S83" s="123" t="e">
        <f>_xll.qlSwapIndex(,"Euribor",Q83,NDays,Currency,Calendar,"1Y","mf","30/360 (Bond Basis)",IborIndex,Discounting,,_xll.ohTrigger(Trigger,RecalcTrigger))</f>
        <v>#VALUE!</v>
      </c>
      <c r="T83" s="123" t="e">
        <f>_xll.qlVanillaSwapFromSwapIndex(,S83,O83)</f>
        <v>#VALUE!</v>
      </c>
      <c r="U83" s="110" t="e">
        <f>_xll.qlVanillaSwapFairRate(T83)</f>
        <v>#VALUE!</v>
      </c>
      <c r="V83" s="206" t="e">
        <f t="shared" si="12"/>
        <v>#VALUE!</v>
      </c>
      <c r="Y83" s="105" t="str">
        <f t="shared" si="8"/>
        <v>1D</v>
      </c>
      <c r="Z83" s="93">
        <f>_xll.qlCalendarAdvance(Calendar,Z82,Y83,"f",FALSE)</f>
        <v>42275</v>
      </c>
      <c r="AA83" s="117">
        <f>_xll.qlCalendarAdvance(Calendar,Z83,NDays&amp;"D")</f>
        <v>42277</v>
      </c>
      <c r="AB83" s="92">
        <v>8.3437916100741227E-4</v>
      </c>
      <c r="AC83" s="101">
        <v>5.0001118885312223E-4</v>
      </c>
    </row>
    <row r="84" spans="13:29" x14ac:dyDescent="0.2">
      <c r="M84" s="209">
        <f>RateHelpers!B73</f>
        <v>0</v>
      </c>
      <c r="N84" s="105" t="e">
        <f>_xll.qlRateHelperQuoteName(M84)</f>
        <v>#NUM!</v>
      </c>
      <c r="O84" s="93" t="e">
        <f>_xll.qlInterestRateIndexFixingDate(S84,_xll.qlRateHelperEarliestDate(M84,Trigger),)</f>
        <v>#VALUE!</v>
      </c>
      <c r="P84" s="120" t="e">
        <f>_xll.qlRateHelperQuoteValue(M84,_xll.ohTrigger(RecalcTrigger,YieldCurve))</f>
        <v>#NUM!</v>
      </c>
      <c r="Q84" s="123" t="e">
        <f t="shared" si="11"/>
        <v>#NUM!</v>
      </c>
      <c r="R84" s="123">
        <v>2</v>
      </c>
      <c r="S84" s="123" t="e">
        <f>_xll.qlSwapIndex(,"Euribor",Q84,NDays,Currency,Calendar,"1Y","mf","30/360 (Bond Basis)",IborIndex,Discounting,,_xll.ohTrigger(Trigger,RecalcTrigger))</f>
        <v>#VALUE!</v>
      </c>
      <c r="T84" s="123" t="e">
        <f>_xll.qlVanillaSwapFromSwapIndex(,S84,O84)</f>
        <v>#VALUE!</v>
      </c>
      <c r="U84" s="110" t="e">
        <f>_xll.qlVanillaSwapFairRate(T84)</f>
        <v>#VALUE!</v>
      </c>
      <c r="V84" s="206" t="e">
        <f t="shared" si="12"/>
        <v>#VALUE!</v>
      </c>
      <c r="Y84" s="105" t="str">
        <f t="shared" si="8"/>
        <v>1D</v>
      </c>
      <c r="Z84" s="93">
        <f>_xll.qlCalendarAdvance(Calendar,Z83,Y84,"f",FALSE)</f>
        <v>42276</v>
      </c>
      <c r="AA84" s="117">
        <f>_xll.qlCalendarAdvance(Calendar,Z84,NDays&amp;"D")</f>
        <v>42278</v>
      </c>
      <c r="AB84" s="92">
        <v>8.3676510683302317E-4</v>
      </c>
      <c r="AC84" s="101">
        <v>5.0600539158729418E-4</v>
      </c>
    </row>
    <row r="85" spans="13:29" x14ac:dyDescent="0.2">
      <c r="M85" s="209">
        <f>RateHelpers!B74</f>
        <v>0</v>
      </c>
      <c r="N85" s="105" t="e">
        <f>_xll.qlRateHelperQuoteName(M85)</f>
        <v>#NUM!</v>
      </c>
      <c r="O85" s="93" t="e">
        <f>_xll.qlInterestRateIndexFixingDate(S85,_xll.qlRateHelperEarliestDate(M85,Trigger),)</f>
        <v>#VALUE!</v>
      </c>
      <c r="P85" s="120" t="e">
        <f>_xll.qlRateHelperQuoteValue(M85,_xll.ohTrigger(RecalcTrigger,YieldCurve))</f>
        <v>#NUM!</v>
      </c>
      <c r="Q85" s="123" t="e">
        <f t="shared" si="11"/>
        <v>#NUM!</v>
      </c>
      <c r="R85" s="123">
        <v>2</v>
      </c>
      <c r="S85" s="123" t="e">
        <f>_xll.qlSwapIndex(,"Euribor",Q85,NDays,Currency,Calendar,"1Y","mf","30/360 (Bond Basis)",IborIndex,Discounting,,_xll.ohTrigger(Trigger,RecalcTrigger))</f>
        <v>#VALUE!</v>
      </c>
      <c r="T85" s="123" t="e">
        <f>_xll.qlVanillaSwapFromSwapIndex(,S85,O85)</f>
        <v>#VALUE!</v>
      </c>
      <c r="U85" s="110" t="e">
        <f>_xll.qlVanillaSwapFairRate(T85)</f>
        <v>#VALUE!</v>
      </c>
      <c r="V85" s="206" t="e">
        <f t="shared" si="12"/>
        <v>#VALUE!</v>
      </c>
      <c r="Y85" s="105" t="str">
        <f t="shared" ref="Y85:Y148" si="13">Y84</f>
        <v>1D</v>
      </c>
      <c r="Z85" s="93">
        <f>_xll.qlCalendarAdvance(Calendar,Z84,Y85,"f",FALSE)</f>
        <v>42277</v>
      </c>
      <c r="AA85" s="117">
        <f>_xll.qlCalendarAdvance(Calendar,Z85,NDays&amp;"D")</f>
        <v>42279</v>
      </c>
      <c r="AB85" s="92">
        <v>8.3999999999988598E-4</v>
      </c>
      <c r="AC85" s="101">
        <v>5.1795838349022461E-4</v>
      </c>
    </row>
    <row r="86" spans="13:29" x14ac:dyDescent="0.2">
      <c r="M86" s="209">
        <f>RateHelpers!B75</f>
        <v>0</v>
      </c>
      <c r="N86" s="105" t="e">
        <f>_xll.qlRateHelperQuoteName(M86)</f>
        <v>#NUM!</v>
      </c>
      <c r="O86" s="93" t="e">
        <f>_xll.qlInterestRateIndexFixingDate(S86,_xll.qlRateHelperEarliestDate(M86,Trigger),)</f>
        <v>#VALUE!</v>
      </c>
      <c r="P86" s="120" t="e">
        <f>_xll.qlRateHelperQuoteValue(M86,_xll.ohTrigger(RecalcTrigger,YieldCurve))</f>
        <v>#NUM!</v>
      </c>
      <c r="Q86" s="123" t="e">
        <f t="shared" si="11"/>
        <v>#NUM!</v>
      </c>
      <c r="R86" s="123">
        <v>2</v>
      </c>
      <c r="S86" s="123" t="e">
        <f>_xll.qlSwapIndex(,"Euribor",Q86,NDays,Currency,Calendar,"1Y","mf","30/360 (Bond Basis)",IborIndex,Discounting,,_xll.ohTrigger(Trigger,RecalcTrigger))</f>
        <v>#VALUE!</v>
      </c>
      <c r="T86" s="123" t="e">
        <f>_xll.qlVanillaSwapFromSwapIndex(,S86,O86)</f>
        <v>#VALUE!</v>
      </c>
      <c r="U86" s="110" t="e">
        <f>_xll.qlVanillaSwapFairRate(T86)</f>
        <v>#VALUE!</v>
      </c>
      <c r="V86" s="206" t="e">
        <f t="shared" si="12"/>
        <v>#VALUE!</v>
      </c>
      <c r="Y86" s="105" t="str">
        <f t="shared" si="13"/>
        <v>1D</v>
      </c>
      <c r="Z86" s="93">
        <f>_xll.qlCalendarAdvance(Calendar,Z85,Y86,"f",FALSE)</f>
        <v>42278</v>
      </c>
      <c r="AA86" s="117">
        <f>_xll.qlCalendarAdvance(Calendar,Z86,NDays&amp;"D")</f>
        <v>42282</v>
      </c>
      <c r="AB86" s="92">
        <v>8.4567533341581161E-4</v>
      </c>
      <c r="AC86" s="101">
        <v>5.2967567675921146E-4</v>
      </c>
    </row>
    <row r="87" spans="13:29" x14ac:dyDescent="0.2">
      <c r="M87" s="209">
        <f>RateHelpers!B76</f>
        <v>0</v>
      </c>
      <c r="N87" s="105" t="e">
        <f>_xll.qlRateHelperQuoteName(M87)</f>
        <v>#NUM!</v>
      </c>
      <c r="O87" s="93" t="e">
        <f>_xll.qlInterestRateIndexFixingDate(S87,_xll.qlRateHelperEarliestDate(M87,Trigger),)</f>
        <v>#VALUE!</v>
      </c>
      <c r="P87" s="120" t="e">
        <f>_xll.qlRateHelperQuoteValue(M87,_xll.ohTrigger(RecalcTrigger,YieldCurve))</f>
        <v>#NUM!</v>
      </c>
      <c r="Q87" s="123" t="e">
        <f t="shared" si="11"/>
        <v>#NUM!</v>
      </c>
      <c r="R87" s="123">
        <v>2</v>
      </c>
      <c r="S87" s="123" t="e">
        <f>_xll.qlSwapIndex(,"Euribor",Q87,NDays,Currency,Calendar,"1Y","mf","30/360 (Bond Basis)",IborIndex,Discounting,,_xll.ohTrigger(Trigger,RecalcTrigger))</f>
        <v>#VALUE!</v>
      </c>
      <c r="T87" s="123" t="e">
        <f>_xll.qlVanillaSwapFromSwapIndex(,S87,O87)</f>
        <v>#VALUE!</v>
      </c>
      <c r="U87" s="110" t="e">
        <f>_xll.qlVanillaSwapFairRate(T87)</f>
        <v>#VALUE!</v>
      </c>
      <c r="V87" s="206" t="e">
        <f t="shared" si="12"/>
        <v>#VALUE!</v>
      </c>
      <c r="Y87" s="105" t="str">
        <f t="shared" si="13"/>
        <v>1D</v>
      </c>
      <c r="Z87" s="93">
        <f>_xll.qlCalendarAdvance(Calendar,Z86,Y87,"f",FALSE)</f>
        <v>42279</v>
      </c>
      <c r="AA87" s="117">
        <f>_xll.qlCalendarAdvance(Calendar,Z87,NDays&amp;"D")</f>
        <v>42283</v>
      </c>
      <c r="AB87" s="92">
        <v>8.4773389848591223E-4</v>
      </c>
      <c r="AC87" s="101">
        <v>5.3540768938376004E-4</v>
      </c>
    </row>
    <row r="88" spans="13:29" x14ac:dyDescent="0.2">
      <c r="M88" s="209">
        <f>RateHelpers!B77</f>
        <v>0</v>
      </c>
      <c r="N88" s="105" t="e">
        <f>_xll.qlRateHelperQuoteName(M88)</f>
        <v>#NUM!</v>
      </c>
      <c r="O88" s="93" t="e">
        <f>_xll.qlInterestRateIndexFixingDate(S88,_xll.qlRateHelperEarliestDate(M88,Trigger),)</f>
        <v>#VALUE!</v>
      </c>
      <c r="P88" s="120" t="e">
        <f>_xll.qlRateHelperQuoteValue(M88,_xll.ohTrigger(RecalcTrigger,YieldCurve))</f>
        <v>#NUM!</v>
      </c>
      <c r="Q88" s="123" t="e">
        <f t="shared" si="11"/>
        <v>#NUM!</v>
      </c>
      <c r="R88" s="123">
        <v>2</v>
      </c>
      <c r="S88" s="123" t="e">
        <f>_xll.qlSwapIndex(,"Euribor",Q88,NDays,Currency,Calendar,"1Y","mf","30/360 (Bond Basis)",IborIndex,Discounting,,_xll.ohTrigger(Trigger,RecalcTrigger))</f>
        <v>#VALUE!</v>
      </c>
      <c r="T88" s="123" t="e">
        <f>_xll.qlVanillaSwapFromSwapIndex(,S88,O88)</f>
        <v>#VALUE!</v>
      </c>
      <c r="U88" s="110" t="e">
        <f>_xll.qlVanillaSwapFairRate(T88)</f>
        <v>#VALUE!</v>
      </c>
      <c r="V88" s="206" t="e">
        <f t="shared" si="12"/>
        <v>#VALUE!</v>
      </c>
      <c r="Y88" s="105" t="str">
        <f t="shared" si="13"/>
        <v>1D</v>
      </c>
      <c r="Z88" s="93">
        <f>_xll.qlCalendarAdvance(Calendar,Z87,Y88,"f",FALSE)</f>
        <v>42282</v>
      </c>
      <c r="AA88" s="117">
        <f>_xll.qlCalendarAdvance(Calendar,Z88,NDays&amp;"D")</f>
        <v>42284</v>
      </c>
      <c r="AB88" s="92">
        <v>8.4972854830827357E-4</v>
      </c>
      <c r="AC88" s="101">
        <v>5.4106349800520093E-4</v>
      </c>
    </row>
    <row r="89" spans="13:29" x14ac:dyDescent="0.2">
      <c r="M89" s="209">
        <f>RateHelpers!B78</f>
        <v>0</v>
      </c>
      <c r="N89" s="105" t="e">
        <f>_xll.qlRateHelperQuoteName(M89)</f>
        <v>#NUM!</v>
      </c>
      <c r="O89" s="93" t="e">
        <f>_xll.qlInterestRateIndexFixingDate(S89,_xll.qlRateHelperEarliestDate(M89,Trigger),)</f>
        <v>#VALUE!</v>
      </c>
      <c r="P89" s="120" t="e">
        <f>_xll.qlRateHelperQuoteValue(M89,_xll.ohTrigger(RecalcTrigger,YieldCurve))</f>
        <v>#NUM!</v>
      </c>
      <c r="Q89" s="123" t="e">
        <f t="shared" si="11"/>
        <v>#NUM!</v>
      </c>
      <c r="R89" s="123">
        <v>2</v>
      </c>
      <c r="S89" s="123" t="e">
        <f>_xll.qlSwapIndex(,"Euribor",Q89,NDays,Currency,Calendar,"1Y","mf","30/360 (Bond Basis)",IborIndex,Discounting,,_xll.ohTrigger(Trigger,RecalcTrigger))</f>
        <v>#VALUE!</v>
      </c>
      <c r="T89" s="123" t="e">
        <f>_xll.qlVanillaSwapFromSwapIndex(,S89,O89)</f>
        <v>#VALUE!</v>
      </c>
      <c r="U89" s="110" t="e">
        <f>_xll.qlVanillaSwapFairRate(T89)</f>
        <v>#VALUE!</v>
      </c>
      <c r="V89" s="206" t="e">
        <f t="shared" si="12"/>
        <v>#VALUE!</v>
      </c>
      <c r="Y89" s="105" t="str">
        <f t="shared" si="13"/>
        <v>1D</v>
      </c>
      <c r="Z89" s="93">
        <f>_xll.qlCalendarAdvance(Calendar,Z88,Y89,"f",FALSE)</f>
        <v>42283</v>
      </c>
      <c r="AA89" s="117">
        <f>_xll.qlCalendarAdvance(Calendar,Z89,NDays&amp;"D")</f>
        <v>42285</v>
      </c>
      <c r="AB89" s="92">
        <v>8.5166267076915137E-4</v>
      </c>
      <c r="AC89" s="101">
        <v>5.4664310262353411E-4</v>
      </c>
    </row>
    <row r="90" spans="13:29" x14ac:dyDescent="0.2">
      <c r="M90" s="209">
        <f>RateHelpers!B79</f>
        <v>0</v>
      </c>
      <c r="N90" s="105" t="e">
        <f>_xll.qlRateHelperQuoteName(M90)</f>
        <v>#NUM!</v>
      </c>
      <c r="O90" s="93" t="e">
        <f>_xll.qlInterestRateIndexFixingDate(S90,_xll.qlRateHelperEarliestDate(M90,Trigger),)</f>
        <v>#VALUE!</v>
      </c>
      <c r="P90" s="120" t="e">
        <f>_xll.qlRateHelperQuoteValue(M90,_xll.ohTrigger(RecalcTrigger,YieldCurve))</f>
        <v>#NUM!</v>
      </c>
      <c r="Q90" s="123" t="e">
        <f t="shared" si="11"/>
        <v>#NUM!</v>
      </c>
      <c r="R90" s="123">
        <v>2</v>
      </c>
      <c r="S90" s="123" t="e">
        <f>_xll.qlSwapIndex(,"Euribor",Q90,NDays,Currency,Calendar,"1Y","mf","30/360 (Bond Basis)",IborIndex,Discounting,,_xll.ohTrigger(Trigger,RecalcTrigger))</f>
        <v>#VALUE!</v>
      </c>
      <c r="T90" s="123" t="e">
        <f>_xll.qlVanillaSwapFromSwapIndex(,S90,O90)</f>
        <v>#VALUE!</v>
      </c>
      <c r="U90" s="110" t="e">
        <f>_xll.qlVanillaSwapFairRate(T90)</f>
        <v>#VALUE!</v>
      </c>
      <c r="V90" s="206" t="e">
        <f t="shared" si="12"/>
        <v>#VALUE!</v>
      </c>
      <c r="Y90" s="105" t="str">
        <f t="shared" si="13"/>
        <v>1D</v>
      </c>
      <c r="Z90" s="93">
        <f>_xll.qlCalendarAdvance(Calendar,Z89,Y90,"f",FALSE)</f>
        <v>42284</v>
      </c>
      <c r="AA90" s="117">
        <f>_xll.qlCalendarAdvance(Calendar,Z90,NDays&amp;"D")</f>
        <v>42286</v>
      </c>
      <c r="AB90" s="92">
        <v>8.5387052647343978E-4</v>
      </c>
      <c r="AC90" s="101">
        <v>5.5754916190586812E-4</v>
      </c>
    </row>
    <row r="91" spans="13:29" x14ac:dyDescent="0.2">
      <c r="M91" s="209">
        <f>RateHelpers!B80</f>
        <v>0</v>
      </c>
      <c r="N91" s="105" t="e">
        <f>_xll.qlRateHelperQuoteName(M91)</f>
        <v>#NUM!</v>
      </c>
      <c r="O91" s="93" t="e">
        <f>_xll.qlInterestRateIndexFixingDate(S91,_xll.qlRateHelperEarliestDate(M91,Trigger),)</f>
        <v>#VALUE!</v>
      </c>
      <c r="P91" s="120" t="e">
        <f>_xll.qlRateHelperQuoteValue(M91,_xll.ohTrigger(RecalcTrigger,YieldCurve))</f>
        <v>#NUM!</v>
      </c>
      <c r="Q91" s="123" t="e">
        <f t="shared" si="11"/>
        <v>#NUM!</v>
      </c>
      <c r="R91" s="123">
        <v>2</v>
      </c>
      <c r="S91" s="123" t="e">
        <f>_xll.qlSwapIndex(,"Euribor",Q91,NDays,Currency,Calendar,"1Y","mf","30/360 (Bond Basis)",IborIndex,Discounting,,_xll.ohTrigger(Trigger,RecalcTrigger))</f>
        <v>#VALUE!</v>
      </c>
      <c r="T91" s="123" t="e">
        <f>_xll.qlVanillaSwapFromSwapIndex(,S91,O91)</f>
        <v>#VALUE!</v>
      </c>
      <c r="U91" s="110" t="e">
        <f>_xll.qlVanillaSwapFairRate(T91)</f>
        <v>#VALUE!</v>
      </c>
      <c r="V91" s="206" t="e">
        <f t="shared" si="12"/>
        <v>#VALUE!</v>
      </c>
      <c r="Y91" s="105" t="str">
        <f t="shared" si="13"/>
        <v>1D</v>
      </c>
      <c r="Z91" s="93">
        <f>_xll.qlCalendarAdvance(Calendar,Z90,Y91,"f",FALSE)</f>
        <v>42285</v>
      </c>
      <c r="AA91" s="117">
        <f>_xll.qlCalendarAdvance(Calendar,Z91,NDays&amp;"D")</f>
        <v>42289</v>
      </c>
      <c r="AB91" s="92">
        <v>8.5886164537203949E-4</v>
      </c>
      <c r="AC91" s="101">
        <v>5.6819948098585371E-4</v>
      </c>
    </row>
    <row r="92" spans="13:29" x14ac:dyDescent="0.2">
      <c r="M92" s="209">
        <f>RateHelpers!B81</f>
        <v>0</v>
      </c>
      <c r="N92" s="105" t="e">
        <f>_xll.qlRateHelperQuoteName(M92)</f>
        <v>#NUM!</v>
      </c>
      <c r="O92" s="93" t="e">
        <f>_xll.qlInterestRateIndexFixingDate(S92,_xll.qlRateHelperEarliestDate(M92,Trigger),)</f>
        <v>#VALUE!</v>
      </c>
      <c r="P92" s="120" t="e">
        <f>_xll.qlRateHelperQuoteValue(M92,_xll.ohTrigger(RecalcTrigger,YieldCurve))</f>
        <v>#NUM!</v>
      </c>
      <c r="Q92" s="123" t="e">
        <f t="shared" si="11"/>
        <v>#NUM!</v>
      </c>
      <c r="R92" s="123">
        <v>2</v>
      </c>
      <c r="S92" s="123" t="e">
        <f>_xll.qlSwapIndex(,"Euribor",Q92,NDays,Currency,Calendar,"1Y","mf","30/360 (Bond Basis)",IborIndex,Discounting,,_xll.ohTrigger(Trigger,RecalcTrigger))</f>
        <v>#VALUE!</v>
      </c>
      <c r="T92" s="123" t="e">
        <f>_xll.qlVanillaSwapFromSwapIndex(,S92,O92)</f>
        <v>#VALUE!</v>
      </c>
      <c r="U92" s="110" t="e">
        <f>_xll.qlVanillaSwapFairRate(T92)</f>
        <v>#VALUE!</v>
      </c>
      <c r="V92" s="206" t="e">
        <f t="shared" si="12"/>
        <v>#VALUE!</v>
      </c>
      <c r="Y92" s="105" t="str">
        <f t="shared" si="13"/>
        <v>1D</v>
      </c>
      <c r="Z92" s="93">
        <f>_xll.qlCalendarAdvance(Calendar,Z91,Y92,"f",FALSE)</f>
        <v>42286</v>
      </c>
      <c r="AA92" s="117">
        <f>_xll.qlCalendarAdvance(Calendar,Z92,NDays&amp;"D")</f>
        <v>42290</v>
      </c>
      <c r="AB92" s="92">
        <v>8.6054394995445534E-4</v>
      </c>
      <c r="AC92" s="101">
        <v>5.7339806558864836E-4</v>
      </c>
    </row>
    <row r="93" spans="13:29" x14ac:dyDescent="0.2">
      <c r="M93" s="209">
        <f>RateHelpers!B82</f>
        <v>0</v>
      </c>
      <c r="N93" s="105" t="e">
        <f>_xll.qlRateHelperQuoteName(M93)</f>
        <v>#NUM!</v>
      </c>
      <c r="O93" s="93" t="e">
        <f>_xll.qlInterestRateIndexFixingDate(S93,_xll.qlRateHelperEarliestDate(M93,Trigger),)</f>
        <v>#VALUE!</v>
      </c>
      <c r="P93" s="120" t="e">
        <f>_xll.qlRateHelperQuoteValue(M93,_xll.ohTrigger(RecalcTrigger,YieldCurve))</f>
        <v>#NUM!</v>
      </c>
      <c r="Q93" s="123" t="e">
        <f t="shared" si="11"/>
        <v>#NUM!</v>
      </c>
      <c r="R93" s="123">
        <v>2</v>
      </c>
      <c r="S93" s="123" t="e">
        <f>_xll.qlSwapIndex(,"Euribor",Q93,NDays,Currency,Calendar,"1Y","mf","30/360 (Bond Basis)",IborIndex,Discounting,,_xll.ohTrigger(Trigger,RecalcTrigger))</f>
        <v>#VALUE!</v>
      </c>
      <c r="T93" s="123" t="e">
        <f>_xll.qlVanillaSwapFromSwapIndex(,S93,O93)</f>
        <v>#VALUE!</v>
      </c>
      <c r="U93" s="110" t="e">
        <f>_xll.qlVanillaSwapFairRate(T93)</f>
        <v>#VALUE!</v>
      </c>
      <c r="V93" s="206" t="e">
        <f t="shared" si="12"/>
        <v>#VALUE!</v>
      </c>
      <c r="Y93" s="105" t="str">
        <f t="shared" si="13"/>
        <v>1D</v>
      </c>
      <c r="Z93" s="93">
        <f>_xll.qlCalendarAdvance(Calendar,Z92,Y93,"f",FALSE)</f>
        <v>42289</v>
      </c>
      <c r="AA93" s="117">
        <f>_xll.qlCalendarAdvance(Calendar,Z93,NDays&amp;"D")</f>
        <v>42291</v>
      </c>
      <c r="AB93" s="92">
        <v>8.6218605486071507E-4</v>
      </c>
      <c r="AC93" s="101">
        <v>5.785204460284632E-4</v>
      </c>
    </row>
    <row r="94" spans="13:29" x14ac:dyDescent="0.2">
      <c r="M94" s="209">
        <f>RateHelpers!B83</f>
        <v>0</v>
      </c>
      <c r="N94" s="105" t="e">
        <f>_xll.qlRateHelperQuoteName(M94)</f>
        <v>#NUM!</v>
      </c>
      <c r="O94" s="93" t="e">
        <f>_xll.qlInterestRateIndexFixingDate(S94,_xll.qlRateHelperEarliestDate(M94,Trigger),)</f>
        <v>#VALUE!</v>
      </c>
      <c r="P94" s="120" t="e">
        <f>_xll.qlRateHelperQuoteValue(M94,_xll.ohTrigger(RecalcTrigger,YieldCurve))</f>
        <v>#NUM!</v>
      </c>
      <c r="Q94" s="123" t="e">
        <f t="shared" si="11"/>
        <v>#NUM!</v>
      </c>
      <c r="R94" s="123">
        <v>2</v>
      </c>
      <c r="S94" s="123" t="e">
        <f>_xll.qlSwapIndex(,"Euribor",Q94,NDays,Currency,Calendar,"1Y","mf","30/360 (Bond Basis)",IborIndex,Discounting,,_xll.ohTrigger(Trigger,RecalcTrigger))</f>
        <v>#VALUE!</v>
      </c>
      <c r="T94" s="123" t="e">
        <f>_xll.qlVanillaSwapFromSwapIndex(,S94,O94)</f>
        <v>#VALUE!</v>
      </c>
      <c r="U94" s="110" t="e">
        <f>_xll.qlVanillaSwapFairRate(T94)</f>
        <v>#VALUE!</v>
      </c>
      <c r="V94" s="206" t="e">
        <f t="shared" si="12"/>
        <v>#VALUE!</v>
      </c>
      <c r="Y94" s="105" t="str">
        <f t="shared" si="13"/>
        <v>1D</v>
      </c>
      <c r="Z94" s="93">
        <f>_xll.qlCalendarAdvance(Calendar,Z93,Y94,"f",FALSE)</f>
        <v>42290</v>
      </c>
      <c r="AA94" s="117">
        <f>_xll.qlCalendarAdvance(Calendar,Z94,NDays&amp;"D")</f>
        <v>42292</v>
      </c>
      <c r="AB94" s="92">
        <v>8.6379134809239186E-4</v>
      </c>
      <c r="AC94" s="101">
        <v>5.8356662262504244E-4</v>
      </c>
    </row>
    <row r="95" spans="13:29" ht="12" thickBot="1" x14ac:dyDescent="0.25">
      <c r="M95" s="210">
        <f>RateHelpers!B84</f>
        <v>0</v>
      </c>
      <c r="N95" s="106" t="e">
        <f>_xll.qlRateHelperQuoteName(M95)</f>
        <v>#NUM!</v>
      </c>
      <c r="O95" s="103" t="e">
        <f>_xll.qlInterestRateIndexFixingDate(S95,_xll.qlRateHelperEarliestDate(M95,Trigger),)</f>
        <v>#VALUE!</v>
      </c>
      <c r="P95" s="121" t="e">
        <f>_xll.qlRateHelperQuoteValue(M95,_xll.ohTrigger(RecalcTrigger,YieldCurve))</f>
        <v>#NUM!</v>
      </c>
      <c r="Q95" s="124" t="e">
        <f t="shared" si="11"/>
        <v>#NUM!</v>
      </c>
      <c r="R95" s="124">
        <v>2</v>
      </c>
      <c r="S95" s="124" t="e">
        <f>_xll.qlSwapIndex(,"Euribor",Q95,NDays,Currency,Calendar,"1Y","mf","30/360 (Bond Basis)",IborIndex,Discounting,,_xll.ohTrigger(Trigger,RecalcTrigger))</f>
        <v>#VALUE!</v>
      </c>
      <c r="T95" s="124" t="e">
        <f>_xll.qlVanillaSwapFromSwapIndex(,S95,O95)</f>
        <v>#VALUE!</v>
      </c>
      <c r="U95" s="112" t="e">
        <f>_xll.qlVanillaSwapFairRate(T95)</f>
        <v>#VALUE!</v>
      </c>
      <c r="V95" s="207" t="e">
        <f t="shared" si="12"/>
        <v>#VALUE!</v>
      </c>
      <c r="Y95" s="105" t="str">
        <f t="shared" si="13"/>
        <v>1D</v>
      </c>
      <c r="Z95" s="93">
        <f>_xll.qlCalendarAdvance(Calendar,Z94,Y95,"f",FALSE)</f>
        <v>42291</v>
      </c>
      <c r="AA95" s="117">
        <f>_xll.qlCalendarAdvance(Calendar,Z95,NDays&amp;"D")</f>
        <v>42293</v>
      </c>
      <c r="AB95" s="92">
        <v>8.6542374728763307E-4</v>
      </c>
      <c r="AC95" s="101">
        <v>5.9340594035894867E-4</v>
      </c>
    </row>
    <row r="96" spans="13:29" x14ac:dyDescent="0.2">
      <c r="M96" s="211">
        <f>RateHelpers!B85</f>
        <v>0</v>
      </c>
      <c r="N96" s="195" t="e">
        <f>_xll.qlRateHelperQuoteName(M96)</f>
        <v>#NUM!</v>
      </c>
      <c r="O96" s="192" t="e">
        <f>_xll.qlInterestRateIndexFixingDate(S96,_xll.qlRateHelperEarliestDate(M96,Trigger),)</f>
        <v>#VALUE!</v>
      </c>
      <c r="P96" s="193" t="e">
        <f>_xll.qlRateHelperQuoteValue(M96,_xll.ohTrigger(RecalcTrigger,YieldCurve))</f>
        <v>#NUM!</v>
      </c>
      <c r="Q96" s="191" t="e">
        <f t="shared" ref="Q96:Q113" si="14">SUBSTITUTE(SUBSTITUTE(N96,"_Quote",""),"EUR2F","")</f>
        <v>#NUM!</v>
      </c>
      <c r="R96" s="191">
        <v>2</v>
      </c>
      <c r="S96" s="191" t="e">
        <f>_xll.qlSwapIndex(,"Euribor",Q96,NDays,Currency,Calendar,"1Y","mf","30/360 (Bond Basis)",IborIndex,Discounting,,_xll.ohTrigger(Trigger,RecalcTrigger))</f>
        <v>#VALUE!</v>
      </c>
      <c r="T96" s="191" t="e">
        <f>_xll.qlVanillaSwapFromSwapIndex(,S96,O96)</f>
        <v>#VALUE!</v>
      </c>
      <c r="U96" s="194" t="e">
        <f>_xll.qlVanillaSwapFairRate(T96)</f>
        <v>#VALUE!</v>
      </c>
      <c r="V96" s="208" t="e">
        <f t="shared" si="12"/>
        <v>#VALUE!</v>
      </c>
      <c r="Y96" s="105" t="str">
        <f t="shared" si="13"/>
        <v>1D</v>
      </c>
      <c r="Z96" s="93">
        <f>_xll.qlCalendarAdvance(Calendar,Z95,Y96,"f",FALSE)</f>
        <v>42292</v>
      </c>
      <c r="AA96" s="117">
        <f>_xll.qlCalendarAdvance(Calendar,Z96,NDays&amp;"D")</f>
        <v>42296</v>
      </c>
      <c r="AB96" s="92">
        <v>8.6991216473717662E-4</v>
      </c>
      <c r="AC96" s="101">
        <v>6.0298928842072996E-4</v>
      </c>
    </row>
    <row r="97" spans="13:29" x14ac:dyDescent="0.2">
      <c r="M97" s="209">
        <f>RateHelpers!B86</f>
        <v>0</v>
      </c>
      <c r="N97" s="105" t="e">
        <f>_xll.qlRateHelperQuoteName(M97)</f>
        <v>#NUM!</v>
      </c>
      <c r="O97" s="93" t="e">
        <f>_xll.qlInterestRateIndexFixingDate(S97,_xll.qlRateHelperEarliestDate(M97,Trigger),)</f>
        <v>#VALUE!</v>
      </c>
      <c r="P97" s="120" t="e">
        <f>_xll.qlRateHelperQuoteValue(M97,_xll.ohTrigger(RecalcTrigger,YieldCurve))</f>
        <v>#NUM!</v>
      </c>
      <c r="Q97" s="123" t="e">
        <f t="shared" si="14"/>
        <v>#NUM!</v>
      </c>
      <c r="R97" s="123">
        <v>2</v>
      </c>
      <c r="S97" s="123" t="e">
        <f>_xll.qlSwapIndex(,"Euribor",Q97,NDays,Currency,Calendar,"1Y","mf","30/360 (Bond Basis)",IborIndex,Discounting,,_xll.ohTrigger(Trigger,RecalcTrigger))</f>
        <v>#VALUE!</v>
      </c>
      <c r="T97" s="123" t="e">
        <f>_xll.qlVanillaSwapFromSwapIndex(,S97,O97)</f>
        <v>#VALUE!</v>
      </c>
      <c r="U97" s="110" t="e">
        <f>_xll.qlVanillaSwapFairRate(T97)</f>
        <v>#VALUE!</v>
      </c>
      <c r="V97" s="206" t="e">
        <f t="shared" si="12"/>
        <v>#VALUE!</v>
      </c>
      <c r="Y97" s="105" t="str">
        <f t="shared" si="13"/>
        <v>1D</v>
      </c>
      <c r="Z97" s="93">
        <f>_xll.qlCalendarAdvance(Calendar,Z96,Y97,"f",FALSE)</f>
        <v>42293</v>
      </c>
      <c r="AA97" s="117">
        <f>_xll.qlCalendarAdvance(Calendar,Z97,NDays&amp;"D")</f>
        <v>42297</v>
      </c>
      <c r="AB97" s="92">
        <v>8.7138422005066866E-4</v>
      </c>
      <c r="AC97" s="101">
        <v>6.0765444484189857E-4</v>
      </c>
    </row>
    <row r="98" spans="13:29" x14ac:dyDescent="0.2">
      <c r="M98" s="209">
        <f>RateHelpers!B87</f>
        <v>0</v>
      </c>
      <c r="N98" s="105" t="e">
        <f>_xll.qlRateHelperQuoteName(M98)</f>
        <v>#NUM!</v>
      </c>
      <c r="O98" s="93" t="e">
        <f>_xll.qlInterestRateIndexFixingDate(S98,_xll.qlRateHelperEarliestDate(M98,Trigger),)</f>
        <v>#VALUE!</v>
      </c>
      <c r="P98" s="120" t="e">
        <f>_xll.qlRateHelperQuoteValue(M98,_xll.ohTrigger(RecalcTrigger,YieldCurve))</f>
        <v>#NUM!</v>
      </c>
      <c r="Q98" s="123" t="e">
        <f t="shared" si="14"/>
        <v>#NUM!</v>
      </c>
      <c r="R98" s="123">
        <v>2</v>
      </c>
      <c r="S98" s="123" t="e">
        <f>_xll.qlSwapIndex(,"Euribor",Q98,NDays,Currency,Calendar,"1Y","mf","30/360 (Bond Basis)",IborIndex,Discounting,,_xll.ohTrigger(Trigger,RecalcTrigger))</f>
        <v>#VALUE!</v>
      </c>
      <c r="T98" s="123" t="e">
        <f>_xll.qlVanillaSwapFromSwapIndex(,S98,O98)</f>
        <v>#VALUE!</v>
      </c>
      <c r="U98" s="110" t="e">
        <f>_xll.qlVanillaSwapFairRate(T98)</f>
        <v>#VALUE!</v>
      </c>
      <c r="V98" s="206" t="e">
        <f t="shared" si="12"/>
        <v>#VALUE!</v>
      </c>
      <c r="Y98" s="105" t="str">
        <f t="shared" si="13"/>
        <v>1D</v>
      </c>
      <c r="Z98" s="93">
        <f>_xll.qlCalendarAdvance(Calendar,Z97,Y98,"f",FALSE)</f>
        <v>42296</v>
      </c>
      <c r="AA98" s="117">
        <f>_xll.qlCalendarAdvance(Calendar,Z98,NDays&amp;"D")</f>
        <v>42298</v>
      </c>
      <c r="AB98" s="92">
        <v>8.728397919528035E-4</v>
      </c>
      <c r="AC98" s="101">
        <v>6.1224339718002341E-4</v>
      </c>
    </row>
    <row r="99" spans="13:29" x14ac:dyDescent="0.2">
      <c r="M99" s="209">
        <f>RateHelpers!B88</f>
        <v>0</v>
      </c>
      <c r="N99" s="105" t="e">
        <f>_xll.qlRateHelperQuoteName(M99)</f>
        <v>#NUM!</v>
      </c>
      <c r="O99" s="93" t="e">
        <f>_xll.qlInterestRateIndexFixingDate(S99,_xll.qlRateHelperEarliestDate(M99,Trigger),)</f>
        <v>#VALUE!</v>
      </c>
      <c r="P99" s="120" t="e">
        <f>_xll.qlRateHelperQuoteValue(M99,_xll.ohTrigger(RecalcTrigger,YieldCurve))</f>
        <v>#NUM!</v>
      </c>
      <c r="Q99" s="123" t="e">
        <f t="shared" si="14"/>
        <v>#NUM!</v>
      </c>
      <c r="R99" s="123">
        <v>2</v>
      </c>
      <c r="S99" s="123" t="e">
        <f>_xll.qlSwapIndex(,"Euribor",Q99,NDays,Currency,Calendar,"1Y","mf","30/360 (Bond Basis)",IborIndex,Discounting,,_xll.ohTrigger(Trigger,RecalcTrigger))</f>
        <v>#VALUE!</v>
      </c>
      <c r="T99" s="123" t="e">
        <f>_xll.qlVanillaSwapFromSwapIndex(,S99,O99)</f>
        <v>#VALUE!</v>
      </c>
      <c r="U99" s="110" t="e">
        <f>_xll.qlVanillaSwapFairRate(T99)</f>
        <v>#VALUE!</v>
      </c>
      <c r="V99" s="206" t="e">
        <f t="shared" si="12"/>
        <v>#VALUE!</v>
      </c>
      <c r="Y99" s="105" t="str">
        <f t="shared" si="13"/>
        <v>1D</v>
      </c>
      <c r="Z99" s="93">
        <f>_xll.qlCalendarAdvance(Calendar,Z98,Y99,"f",FALSE)</f>
        <v>42297</v>
      </c>
      <c r="AA99" s="117">
        <f>_xll.qlCalendarAdvance(Calendar,Z99,NDays&amp;"D")</f>
        <v>42299</v>
      </c>
      <c r="AB99" s="92">
        <v>8.7428226852771145E-4</v>
      </c>
      <c r="AC99" s="101">
        <v>6.1675614551504054E-4</v>
      </c>
    </row>
    <row r="100" spans="13:29" x14ac:dyDescent="0.2">
      <c r="M100" s="209">
        <f>RateHelpers!B89</f>
        <v>0</v>
      </c>
      <c r="N100" s="105" t="e">
        <f>_xll.qlRateHelperQuoteName(M100)</f>
        <v>#NUM!</v>
      </c>
      <c r="O100" s="93" t="e">
        <f>_xll.qlInterestRateIndexFixingDate(S100,_xll.qlRateHelperEarliestDate(M100,Trigger),)</f>
        <v>#VALUE!</v>
      </c>
      <c r="P100" s="120" t="e">
        <f>_xll.qlRateHelperQuoteValue(M100,_xll.ohTrigger(RecalcTrigger,YieldCurve))</f>
        <v>#NUM!</v>
      </c>
      <c r="Q100" s="123" t="e">
        <f t="shared" si="14"/>
        <v>#NUM!</v>
      </c>
      <c r="R100" s="123">
        <v>2</v>
      </c>
      <c r="S100" s="123" t="e">
        <f>_xll.qlSwapIndex(,"Euribor",Q100,NDays,Currency,Calendar,"1Y","mf","30/360 (Bond Basis)",IborIndex,Discounting,,_xll.ohTrigger(Trigger,RecalcTrigger))</f>
        <v>#VALUE!</v>
      </c>
      <c r="T100" s="123" t="e">
        <f>_xll.qlVanillaSwapFromSwapIndex(,S100,O100)</f>
        <v>#VALUE!</v>
      </c>
      <c r="U100" s="110" t="e">
        <f>_xll.qlVanillaSwapFairRate(T100)</f>
        <v>#VALUE!</v>
      </c>
      <c r="V100" s="206" t="e">
        <f t="shared" si="12"/>
        <v>#VALUE!</v>
      </c>
      <c r="Y100" s="105" t="str">
        <f t="shared" si="13"/>
        <v>1D</v>
      </c>
      <c r="Z100" s="93">
        <f>_xll.qlCalendarAdvance(Calendar,Z99,Y100,"f",FALSE)</f>
        <v>42298</v>
      </c>
      <c r="AA100" s="117">
        <f>_xll.qlCalendarAdvance(Calendar,Z100,NDays&amp;"D")</f>
        <v>42300</v>
      </c>
      <c r="AB100" s="92">
        <v>8.7580918881493446E-4</v>
      </c>
      <c r="AC100" s="101">
        <v>6.2552871543886113E-4</v>
      </c>
    </row>
    <row r="101" spans="13:29" x14ac:dyDescent="0.2">
      <c r="M101" s="209">
        <f>RateHelpers!B90</f>
        <v>0</v>
      </c>
      <c r="N101" s="105" t="e">
        <f>_xll.qlRateHelperQuoteName(M101)</f>
        <v>#NUM!</v>
      </c>
      <c r="O101" s="93" t="e">
        <f>_xll.qlInterestRateIndexFixingDate(S101,_xll.qlRateHelperEarliestDate(M101,Trigger),)</f>
        <v>#VALUE!</v>
      </c>
      <c r="P101" s="120" t="e">
        <f>_xll.qlRateHelperQuoteValue(M101,_xll.ohTrigger(RecalcTrigger,YieldCurve))</f>
        <v>#NUM!</v>
      </c>
      <c r="Q101" s="123" t="e">
        <f t="shared" si="14"/>
        <v>#NUM!</v>
      </c>
      <c r="R101" s="123">
        <v>2</v>
      </c>
      <c r="S101" s="123" t="e">
        <f>_xll.qlSwapIndex(,"Euribor",Q101,NDays,Currency,Calendar,"1Y","mf","30/360 (Bond Basis)",IborIndex,Discounting,,_xll.ohTrigger(Trigger,RecalcTrigger))</f>
        <v>#VALUE!</v>
      </c>
      <c r="T101" s="123" t="e">
        <f>_xll.qlVanillaSwapFromSwapIndex(,S101,O101)</f>
        <v>#VALUE!</v>
      </c>
      <c r="U101" s="110" t="e">
        <f>_xll.qlVanillaSwapFairRate(T101)</f>
        <v>#VALUE!</v>
      </c>
      <c r="V101" s="206" t="e">
        <f t="shared" si="12"/>
        <v>#VALUE!</v>
      </c>
      <c r="Y101" s="105" t="str">
        <f t="shared" si="13"/>
        <v>1D</v>
      </c>
      <c r="Z101" s="93">
        <f>_xll.qlCalendarAdvance(Calendar,Z100,Y101,"f",FALSE)</f>
        <v>42299</v>
      </c>
      <c r="AA101" s="117">
        <f>_xll.qlCalendarAdvance(Calendar,Z101,NDays&amp;"D")</f>
        <v>42303</v>
      </c>
      <c r="AB101" s="92">
        <v>8.799889835622263E-4</v>
      </c>
      <c r="AC101" s="101">
        <v>6.3404509818454358E-4</v>
      </c>
    </row>
    <row r="102" spans="13:29" x14ac:dyDescent="0.2">
      <c r="M102" s="209">
        <f>RateHelpers!B91</f>
        <v>0</v>
      </c>
      <c r="N102" s="105" t="e">
        <f>_xll.qlRateHelperQuoteName(M102)</f>
        <v>#NUM!</v>
      </c>
      <c r="O102" s="93" t="e">
        <f>_xll.qlInterestRateIndexFixingDate(S102,_xll.qlRateHelperEarliestDate(M102,Trigger),)</f>
        <v>#VALUE!</v>
      </c>
      <c r="P102" s="120" t="e">
        <f>_xll.qlRateHelperQuoteValue(M102,_xll.ohTrigger(RecalcTrigger,YieldCurve))</f>
        <v>#NUM!</v>
      </c>
      <c r="Q102" s="123" t="e">
        <f t="shared" si="14"/>
        <v>#NUM!</v>
      </c>
      <c r="R102" s="123">
        <v>2</v>
      </c>
      <c r="S102" s="123" t="e">
        <f>_xll.qlSwapIndex(,"Euribor",Q102,NDays,Currency,Calendar,"1Y","mf","30/360 (Bond Basis)",IborIndex,Discounting,,_xll.ohTrigger(Trigger,RecalcTrigger))</f>
        <v>#VALUE!</v>
      </c>
      <c r="T102" s="123" t="e">
        <f>_xll.qlVanillaSwapFromSwapIndex(,S102,O102)</f>
        <v>#VALUE!</v>
      </c>
      <c r="U102" s="110" t="e">
        <f>_xll.qlVanillaSwapFairRate(T102)</f>
        <v>#VALUE!</v>
      </c>
      <c r="V102" s="206" t="e">
        <f t="shared" si="12"/>
        <v>#VALUE!</v>
      </c>
      <c r="Y102" s="105" t="str">
        <f t="shared" si="13"/>
        <v>1D</v>
      </c>
      <c r="Z102" s="93">
        <f>_xll.qlCalendarAdvance(Calendar,Z101,Y102,"f",FALSE)</f>
        <v>42300</v>
      </c>
      <c r="AA102" s="117">
        <f>_xll.qlCalendarAdvance(Calendar,Z102,NDays&amp;"D")</f>
        <v>42304</v>
      </c>
      <c r="AB102" s="92">
        <v>8.8141680509492713E-4</v>
      </c>
      <c r="AC102" s="101">
        <v>6.3817682618427796E-4</v>
      </c>
    </row>
    <row r="103" spans="13:29" x14ac:dyDescent="0.2">
      <c r="M103" s="209">
        <f>RateHelpers!B92</f>
        <v>0</v>
      </c>
      <c r="N103" s="105" t="e">
        <f>_xll.qlRateHelperQuoteName(M103)</f>
        <v>#NUM!</v>
      </c>
      <c r="O103" s="93" t="e">
        <f>_xll.qlInterestRateIndexFixingDate(S103,_xll.qlRateHelperEarliestDate(M103,Trigger),)</f>
        <v>#VALUE!</v>
      </c>
      <c r="P103" s="120" t="e">
        <f>_xll.qlRateHelperQuoteValue(M103,_xll.ohTrigger(RecalcTrigger,YieldCurve))</f>
        <v>#NUM!</v>
      </c>
      <c r="Q103" s="123" t="e">
        <f t="shared" si="14"/>
        <v>#NUM!</v>
      </c>
      <c r="R103" s="123">
        <v>2</v>
      </c>
      <c r="S103" s="123" t="e">
        <f>_xll.qlSwapIndex(,"Euribor",Q103,NDays,Currency,Calendar,"1Y","mf","30/360 (Bond Basis)",IborIndex,Discounting,,_xll.ohTrigger(Trigger,RecalcTrigger))</f>
        <v>#VALUE!</v>
      </c>
      <c r="T103" s="123" t="e">
        <f>_xll.qlVanillaSwapFromSwapIndex(,S103,O103)</f>
        <v>#VALUE!</v>
      </c>
      <c r="U103" s="110" t="e">
        <f>_xll.qlVanillaSwapFairRate(T103)</f>
        <v>#VALUE!</v>
      </c>
      <c r="V103" s="206" t="e">
        <f t="shared" si="12"/>
        <v>#VALUE!</v>
      </c>
      <c r="Y103" s="105" t="str">
        <f t="shared" si="13"/>
        <v>1D</v>
      </c>
      <c r="Z103" s="93">
        <f>_xll.qlCalendarAdvance(Calendar,Z102,Y103,"f",FALSE)</f>
        <v>42303</v>
      </c>
      <c r="AA103" s="117">
        <f>_xll.qlCalendarAdvance(Calendar,Z103,NDays&amp;"D")</f>
        <v>42305</v>
      </c>
      <c r="AB103" s="92">
        <v>8.8285186000873516E-4</v>
      </c>
      <c r="AC103" s="101">
        <v>6.4223235018090463E-4</v>
      </c>
    </row>
    <row r="104" spans="13:29" x14ac:dyDescent="0.2">
      <c r="M104" s="209">
        <f>RateHelpers!B93</f>
        <v>0</v>
      </c>
      <c r="N104" s="105" t="e">
        <f>_xll.qlRateHelperQuoteName(M104)</f>
        <v>#NUM!</v>
      </c>
      <c r="O104" s="93" t="e">
        <f>_xll.qlInterestRateIndexFixingDate(S104,_xll.qlRateHelperEarliestDate(M104,Trigger),)</f>
        <v>#VALUE!</v>
      </c>
      <c r="P104" s="120" t="e">
        <f>_xll.qlRateHelperQuoteValue(M104,_xll.ohTrigger(RecalcTrigger,YieldCurve))</f>
        <v>#NUM!</v>
      </c>
      <c r="Q104" s="123" t="e">
        <f t="shared" si="14"/>
        <v>#NUM!</v>
      </c>
      <c r="R104" s="123">
        <v>2</v>
      </c>
      <c r="S104" s="123" t="e">
        <f>_xll.qlSwapIndex(,"Euribor",Q104,NDays,Currency,Calendar,"1Y","mf","30/360 (Bond Basis)",IborIndex,Discounting,,_xll.ohTrigger(Trigger,RecalcTrigger))</f>
        <v>#VALUE!</v>
      </c>
      <c r="T104" s="123" t="e">
        <f>_xll.qlVanillaSwapFromSwapIndex(,S104,O104)</f>
        <v>#VALUE!</v>
      </c>
      <c r="U104" s="110" t="e">
        <f>_xll.qlVanillaSwapFairRate(T104)</f>
        <v>#VALUE!</v>
      </c>
      <c r="V104" s="206" t="e">
        <f t="shared" si="12"/>
        <v>#VALUE!</v>
      </c>
      <c r="Y104" s="105" t="str">
        <f t="shared" si="13"/>
        <v>1D</v>
      </c>
      <c r="Z104" s="93">
        <f>_xll.qlCalendarAdvance(Calendar,Z103,Y104,"f",FALSE)</f>
        <v>42304</v>
      </c>
      <c r="AA104" s="117">
        <f>_xll.qlCalendarAdvance(Calendar,Z104,NDays&amp;"D")</f>
        <v>42306</v>
      </c>
      <c r="AB104" s="92">
        <v>8.8429753645504915E-4</v>
      </c>
      <c r="AC104" s="101">
        <v>6.4621167009448754E-4</v>
      </c>
    </row>
    <row r="105" spans="13:29" x14ac:dyDescent="0.2">
      <c r="M105" s="209">
        <f>RateHelpers!B94</f>
        <v>0</v>
      </c>
      <c r="N105" s="105" t="e">
        <f>_xll.qlRateHelperQuoteName(M105)</f>
        <v>#NUM!</v>
      </c>
      <c r="O105" s="93" t="e">
        <f>_xll.qlInterestRateIndexFixingDate(S105,_xll.qlRateHelperEarliestDate(M105,Trigger),)</f>
        <v>#VALUE!</v>
      </c>
      <c r="P105" s="120" t="e">
        <f>_xll.qlRateHelperQuoteValue(M105,_xll.ohTrigger(RecalcTrigger,YieldCurve))</f>
        <v>#NUM!</v>
      </c>
      <c r="Q105" s="123" t="e">
        <f t="shared" si="14"/>
        <v>#NUM!</v>
      </c>
      <c r="R105" s="123">
        <v>2</v>
      </c>
      <c r="S105" s="123" t="e">
        <f>_xll.qlSwapIndex(,"Euribor",Q105,NDays,Currency,Calendar,"1Y","mf","30/360 (Bond Basis)",IborIndex,Discounting,,_xll.ohTrigger(Trigger,RecalcTrigger))</f>
        <v>#VALUE!</v>
      </c>
      <c r="T105" s="123" t="e">
        <f>_xll.qlVanillaSwapFromSwapIndex(,S105,O105)</f>
        <v>#VALUE!</v>
      </c>
      <c r="U105" s="110" t="e">
        <f>_xll.qlVanillaSwapFairRate(T105)</f>
        <v>#VALUE!</v>
      </c>
      <c r="V105" s="206" t="e">
        <f t="shared" si="12"/>
        <v>#VALUE!</v>
      </c>
      <c r="Y105" s="105" t="str">
        <f t="shared" si="13"/>
        <v>1D</v>
      </c>
      <c r="Z105" s="93">
        <f>_xll.qlCalendarAdvance(Calendar,Z104,Y105,"f",FALSE)</f>
        <v>42305</v>
      </c>
      <c r="AA105" s="117">
        <f>_xll.qlCalendarAdvance(Calendar,Z105,NDays&amp;"D")</f>
        <v>42307</v>
      </c>
      <c r="AB105" s="92">
        <v>8.856041108675504E-4</v>
      </c>
      <c r="AC105" s="101">
        <v>6.5391748421461671E-4</v>
      </c>
    </row>
    <row r="106" spans="13:29" x14ac:dyDescent="0.2">
      <c r="M106" s="209">
        <f>RateHelpers!B95</f>
        <v>0</v>
      </c>
      <c r="N106" s="105" t="e">
        <f>_xll.qlRateHelperQuoteName(M106)</f>
        <v>#NUM!</v>
      </c>
      <c r="O106" s="93" t="e">
        <f>_xll.qlInterestRateIndexFixingDate(S106,_xll.qlRateHelperEarliestDate(M106,Trigger),)</f>
        <v>#VALUE!</v>
      </c>
      <c r="P106" s="120" t="e">
        <f>_xll.qlRateHelperQuoteValue(M106,_xll.ohTrigger(RecalcTrigger,YieldCurve))</f>
        <v>#NUM!</v>
      </c>
      <c r="Q106" s="123" t="e">
        <f t="shared" si="14"/>
        <v>#NUM!</v>
      </c>
      <c r="R106" s="123">
        <v>2</v>
      </c>
      <c r="S106" s="123" t="e">
        <f>_xll.qlSwapIndex(,"Euribor",Q106,NDays,Currency,Calendar,"1Y","mf","30/360 (Bond Basis)",IborIndex,Discounting,,_xll.ohTrigger(Trigger,RecalcTrigger))</f>
        <v>#VALUE!</v>
      </c>
      <c r="T106" s="123" t="e">
        <f>_xll.qlVanillaSwapFromSwapIndex(,S106,O106)</f>
        <v>#VALUE!</v>
      </c>
      <c r="U106" s="110" t="e">
        <f>_xll.qlVanillaSwapFairRate(T106)</f>
        <v>#VALUE!</v>
      </c>
      <c r="V106" s="206" t="e">
        <f t="shared" si="12"/>
        <v>#VALUE!</v>
      </c>
      <c r="Y106" s="105" t="str">
        <f t="shared" si="13"/>
        <v>1D</v>
      </c>
      <c r="Z106" s="93">
        <f>_xll.qlCalendarAdvance(Calendar,Z105,Y106,"f",FALSE)</f>
        <v>42306</v>
      </c>
      <c r="AA106" s="117">
        <f>_xll.qlCalendarAdvance(Calendar,Z106,NDays&amp;"D")</f>
        <v>42310</v>
      </c>
      <c r="AB106" s="92">
        <v>8.9000000000025268E-4</v>
      </c>
      <c r="AC106" s="101">
        <v>6.6135044249016062E-4</v>
      </c>
    </row>
    <row r="107" spans="13:29" x14ac:dyDescent="0.2">
      <c r="M107" s="209">
        <f>RateHelpers!B96</f>
        <v>0</v>
      </c>
      <c r="N107" s="105" t="e">
        <f>_xll.qlRateHelperQuoteName(M107)</f>
        <v>#NUM!</v>
      </c>
      <c r="O107" s="93" t="e">
        <f>_xll.qlInterestRateIndexFixingDate(S107,_xll.qlRateHelperEarliestDate(M107,Trigger),)</f>
        <v>#VALUE!</v>
      </c>
      <c r="P107" s="120" t="e">
        <f>_xll.qlRateHelperQuoteValue(M107,_xll.ohTrigger(RecalcTrigger,YieldCurve))</f>
        <v>#NUM!</v>
      </c>
      <c r="Q107" s="123" t="e">
        <f t="shared" si="14"/>
        <v>#NUM!</v>
      </c>
      <c r="R107" s="123">
        <v>2</v>
      </c>
      <c r="S107" s="123" t="e">
        <f>_xll.qlSwapIndex(,"Euribor",Q107,NDays,Currency,Calendar,"1Y","mf","30/360 (Bond Basis)",IborIndex,Discounting,,_xll.ohTrigger(Trigger,RecalcTrigger))</f>
        <v>#VALUE!</v>
      </c>
      <c r="T107" s="123" t="e">
        <f>_xll.qlVanillaSwapFromSwapIndex(,S107,O107)</f>
        <v>#VALUE!</v>
      </c>
      <c r="U107" s="110" t="e">
        <f>_xll.qlVanillaSwapFairRate(T107)</f>
        <v>#VALUE!</v>
      </c>
      <c r="V107" s="206" t="e">
        <f t="shared" si="12"/>
        <v>#VALUE!</v>
      </c>
      <c r="Y107" s="105" t="str">
        <f t="shared" si="13"/>
        <v>1D</v>
      </c>
      <c r="Z107" s="93">
        <f>_xll.qlCalendarAdvance(Calendar,Z106,Y107,"f",FALSE)</f>
        <v>42307</v>
      </c>
      <c r="AA107" s="117">
        <f>_xll.qlCalendarAdvance(Calendar,Z107,NDays&amp;"D")</f>
        <v>42311</v>
      </c>
      <c r="AB107" s="92">
        <v>8.9150943996184632E-4</v>
      </c>
      <c r="AC107" s="101">
        <v>6.6484994206028603E-4</v>
      </c>
    </row>
    <row r="108" spans="13:29" x14ac:dyDescent="0.2">
      <c r="M108" s="209">
        <f>RateHelpers!B97</f>
        <v>0</v>
      </c>
      <c r="N108" s="105" t="e">
        <f>_xll.qlRateHelperQuoteName(M108)</f>
        <v>#NUM!</v>
      </c>
      <c r="O108" s="93" t="e">
        <f>_xll.qlInterestRateIndexFixingDate(S108,_xll.qlRateHelperEarliestDate(M108,Trigger),)</f>
        <v>#VALUE!</v>
      </c>
      <c r="P108" s="120" t="e">
        <f>_xll.qlRateHelperQuoteValue(M108,_xll.ohTrigger(RecalcTrigger,YieldCurve))</f>
        <v>#NUM!</v>
      </c>
      <c r="Q108" s="123" t="e">
        <f t="shared" si="14"/>
        <v>#NUM!</v>
      </c>
      <c r="R108" s="123">
        <v>2</v>
      </c>
      <c r="S108" s="123" t="e">
        <f>_xll.qlSwapIndex(,"Euribor",Q108,NDays,Currency,Calendar,"1Y","mf","30/360 (Bond Basis)",IborIndex,Discounting,,_xll.ohTrigger(Trigger,RecalcTrigger))</f>
        <v>#VALUE!</v>
      </c>
      <c r="T108" s="123" t="e">
        <f>_xll.qlVanillaSwapFromSwapIndex(,S108,O108)</f>
        <v>#VALUE!</v>
      </c>
      <c r="U108" s="110" t="e">
        <f>_xll.qlVanillaSwapFairRate(T108)</f>
        <v>#VALUE!</v>
      </c>
      <c r="V108" s="206" t="e">
        <f t="shared" si="12"/>
        <v>#VALUE!</v>
      </c>
      <c r="Y108" s="105" t="str">
        <f t="shared" si="13"/>
        <v>1D</v>
      </c>
      <c r="Z108" s="93">
        <f>_xll.qlCalendarAdvance(Calendar,Z107,Y108,"f",FALSE)</f>
        <v>42310</v>
      </c>
      <c r="AA108" s="117">
        <f>_xll.qlCalendarAdvance(Calendar,Z108,NDays&amp;"D")</f>
        <v>42312</v>
      </c>
      <c r="AB108" s="92">
        <v>8.9304241788622772E-4</v>
      </c>
      <c r="AC108" s="101">
        <v>6.6817443753919292E-4</v>
      </c>
    </row>
    <row r="109" spans="13:29" x14ac:dyDescent="0.2">
      <c r="M109" s="209">
        <f>RateHelpers!B98</f>
        <v>0</v>
      </c>
      <c r="N109" s="105" t="e">
        <f>_xll.qlRateHelperQuoteName(M109)</f>
        <v>#NUM!</v>
      </c>
      <c r="O109" s="93" t="e">
        <f>_xll.qlInterestRateIndexFixingDate(S109,_xll.qlRateHelperEarliestDate(M109,Trigger),)</f>
        <v>#VALUE!</v>
      </c>
      <c r="P109" s="120" t="e">
        <f>_xll.qlRateHelperQuoteValue(M109,_xll.ohTrigger(RecalcTrigger,YieldCurve))</f>
        <v>#NUM!</v>
      </c>
      <c r="Q109" s="123" t="e">
        <f t="shared" si="14"/>
        <v>#NUM!</v>
      </c>
      <c r="R109" s="123">
        <v>2</v>
      </c>
      <c r="S109" s="123" t="e">
        <f>_xll.qlSwapIndex(,"Euribor",Q109,NDays,Currency,Calendar,"1Y","mf","30/360 (Bond Basis)",IborIndex,Discounting,,_xll.ohTrigger(Trigger,RecalcTrigger))</f>
        <v>#VALUE!</v>
      </c>
      <c r="T109" s="123" t="e">
        <f>_xll.qlVanillaSwapFromSwapIndex(,S109,O109)</f>
        <v>#VALUE!</v>
      </c>
      <c r="U109" s="110" t="e">
        <f>_xll.qlVanillaSwapFairRate(T109)</f>
        <v>#VALUE!</v>
      </c>
      <c r="V109" s="206" t="e">
        <f t="shared" si="12"/>
        <v>#VALUE!</v>
      </c>
      <c r="Y109" s="105" t="str">
        <f t="shared" si="13"/>
        <v>1D</v>
      </c>
      <c r="Z109" s="93">
        <f>_xll.qlCalendarAdvance(Calendar,Z108,Y109,"f",FALSE)</f>
        <v>42311</v>
      </c>
      <c r="AA109" s="117">
        <f>_xll.qlCalendarAdvance(Calendar,Z109,NDays&amp;"D")</f>
        <v>42313</v>
      </c>
      <c r="AB109" s="92">
        <v>8.9459774584627733E-4</v>
      </c>
      <c r="AC109" s="101">
        <v>6.7132392892688131E-4</v>
      </c>
    </row>
    <row r="110" spans="13:29" x14ac:dyDescent="0.2">
      <c r="M110" s="209">
        <f>RateHelpers!B99</f>
        <v>0</v>
      </c>
      <c r="N110" s="105" t="e">
        <f>_xll.qlRateHelperQuoteName(M110)</f>
        <v>#NUM!</v>
      </c>
      <c r="O110" s="93" t="e">
        <f>_xll.qlInterestRateIndexFixingDate(S110,_xll.qlRateHelperEarliestDate(M110,Trigger),)</f>
        <v>#VALUE!</v>
      </c>
      <c r="P110" s="120" t="e">
        <f>_xll.qlRateHelperQuoteValue(M110,_xll.ohTrigger(RecalcTrigger,YieldCurve))</f>
        <v>#NUM!</v>
      </c>
      <c r="Q110" s="123" t="e">
        <f t="shared" si="14"/>
        <v>#NUM!</v>
      </c>
      <c r="R110" s="123">
        <v>2</v>
      </c>
      <c r="S110" s="123" t="e">
        <f>_xll.qlSwapIndex(,"Euribor",Q110,NDays,Currency,Calendar,"1Y","mf","30/360 (Bond Basis)",IborIndex,Discounting,,_xll.ohTrigger(Trigger,RecalcTrigger))</f>
        <v>#VALUE!</v>
      </c>
      <c r="T110" s="123" t="e">
        <f>_xll.qlVanillaSwapFromSwapIndex(,S110,O110)</f>
        <v>#VALUE!</v>
      </c>
      <c r="U110" s="110" t="e">
        <f>_xll.qlVanillaSwapFairRate(T110)</f>
        <v>#VALUE!</v>
      </c>
      <c r="V110" s="206" t="e">
        <f t="shared" si="12"/>
        <v>#VALUE!</v>
      </c>
      <c r="Y110" s="105" t="str">
        <f t="shared" si="13"/>
        <v>1D</v>
      </c>
      <c r="Z110" s="93">
        <f>_xll.qlCalendarAdvance(Calendar,Z109,Y110,"f",FALSE)</f>
        <v>42312</v>
      </c>
      <c r="AA110" s="117">
        <f>_xll.qlCalendarAdvance(Calendar,Z110,NDays&amp;"D")</f>
        <v>42314</v>
      </c>
      <c r="AB110" s="92">
        <v>8.9617423591224082E-4</v>
      </c>
      <c r="AC110" s="101">
        <v>6.7704083803299397E-4</v>
      </c>
    </row>
    <row r="111" spans="13:29" x14ac:dyDescent="0.2">
      <c r="M111" s="209">
        <f>RateHelpers!B100</f>
        <v>0</v>
      </c>
      <c r="N111" s="105" t="e">
        <f>_xll.qlRateHelperQuoteName(M111)</f>
        <v>#NUM!</v>
      </c>
      <c r="O111" s="93" t="e">
        <f>_xll.qlInterestRateIndexFixingDate(S111,_xll.qlRateHelperEarliestDate(M111,Trigger),)</f>
        <v>#VALUE!</v>
      </c>
      <c r="P111" s="120" t="e">
        <f>_xll.qlRateHelperQuoteValue(M111,_xll.ohTrigger(RecalcTrigger,YieldCurve))</f>
        <v>#NUM!</v>
      </c>
      <c r="Q111" s="123" t="e">
        <f t="shared" si="14"/>
        <v>#NUM!</v>
      </c>
      <c r="R111" s="123">
        <v>2</v>
      </c>
      <c r="S111" s="123" t="e">
        <f>_xll.qlSwapIndex(,"Euribor",Q111,NDays,Currency,Calendar,"1Y","mf","30/360 (Bond Basis)",IborIndex,Discounting,,_xll.ohTrigger(Trigger,RecalcTrigger))</f>
        <v>#VALUE!</v>
      </c>
      <c r="T111" s="123" t="e">
        <f>_xll.qlVanillaSwapFromSwapIndex(,S111,O111)</f>
        <v>#VALUE!</v>
      </c>
      <c r="U111" s="110" t="e">
        <f>_xll.qlVanillaSwapFairRate(T111)</f>
        <v>#VALUE!</v>
      </c>
      <c r="V111" s="206" t="e">
        <f t="shared" si="12"/>
        <v>#VALUE!</v>
      </c>
      <c r="Y111" s="105" t="str">
        <f t="shared" si="13"/>
        <v>1D</v>
      </c>
      <c r="Z111" s="93">
        <f>_xll.qlCalendarAdvance(Calendar,Z110,Y111,"f",FALSE)</f>
        <v>42313</v>
      </c>
      <c r="AA111" s="117">
        <f>_xll.qlCalendarAdvance(Calendar,Z111,NDays&amp;"D")</f>
        <v>42317</v>
      </c>
      <c r="AB111" s="92">
        <v>9.0101879939931612E-4</v>
      </c>
      <c r="AC111" s="101">
        <v>6.8217185348551368E-4</v>
      </c>
    </row>
    <row r="112" spans="13:29" x14ac:dyDescent="0.2">
      <c r="M112" s="209">
        <f>RateHelpers!B101</f>
        <v>0</v>
      </c>
      <c r="N112" s="105" t="e">
        <f>_xll.qlRateHelperQuoteName(M112)</f>
        <v>#NUM!</v>
      </c>
      <c r="O112" s="93" t="e">
        <f>_xll.qlInterestRateIndexFixingDate(S112,_xll.qlRateHelperEarliestDate(M112,Trigger),)</f>
        <v>#VALUE!</v>
      </c>
      <c r="P112" s="120" t="e">
        <f>_xll.qlRateHelperQuoteValue(M112,_xll.ohTrigger(RecalcTrigger,YieldCurve))</f>
        <v>#NUM!</v>
      </c>
      <c r="Q112" s="123" t="e">
        <f t="shared" si="14"/>
        <v>#NUM!</v>
      </c>
      <c r="R112" s="123">
        <v>2</v>
      </c>
      <c r="S112" s="123" t="e">
        <f>_xll.qlSwapIndex(,"Euribor",Q112,NDays,Currency,Calendar,"1Y","mf","30/360 (Bond Basis)",IborIndex,Discounting,,_xll.ohTrigger(Trigger,RecalcTrigger))</f>
        <v>#VALUE!</v>
      </c>
      <c r="T112" s="123" t="e">
        <f>_xll.qlVanillaSwapFromSwapIndex(,S112,O112)</f>
        <v>#VALUE!</v>
      </c>
      <c r="U112" s="110" t="e">
        <f>_xll.qlVanillaSwapFairRate(T112)</f>
        <v>#VALUE!</v>
      </c>
      <c r="V112" s="206" t="e">
        <f t="shared" si="12"/>
        <v>#VALUE!</v>
      </c>
      <c r="Y112" s="105" t="str">
        <f t="shared" si="13"/>
        <v>1D</v>
      </c>
      <c r="Z112" s="93">
        <f>_xll.qlCalendarAdvance(Calendar,Z111,Y112,"f",FALSE)</f>
        <v>42314</v>
      </c>
      <c r="AA112" s="117">
        <f>_xll.qlCalendarAdvance(Calendar,Z112,NDays&amp;"D")</f>
        <v>42318</v>
      </c>
      <c r="AB112" s="92">
        <v>9.0266805852638613E-4</v>
      </c>
      <c r="AC112" s="101">
        <v>6.8444632441710951E-4</v>
      </c>
    </row>
    <row r="113" spans="13:29" ht="12" thickBot="1" x14ac:dyDescent="0.25">
      <c r="M113" s="210">
        <f>RateHelpers!B102</f>
        <v>0</v>
      </c>
      <c r="N113" s="106" t="e">
        <f>_xll.qlRateHelperQuoteName(M113)</f>
        <v>#NUM!</v>
      </c>
      <c r="O113" s="103" t="e">
        <f>_xll.qlInterestRateIndexFixingDate(S113,_xll.qlRateHelperEarliestDate(M113,Trigger),)</f>
        <v>#VALUE!</v>
      </c>
      <c r="P113" s="121" t="e">
        <f>_xll.qlRateHelperQuoteValue(M113,_xll.ohTrigger(RecalcTrigger,YieldCurve))</f>
        <v>#NUM!</v>
      </c>
      <c r="Q113" s="124" t="e">
        <f t="shared" si="14"/>
        <v>#NUM!</v>
      </c>
      <c r="R113" s="124">
        <v>2</v>
      </c>
      <c r="S113" s="124" t="e">
        <f>_xll.qlSwapIndex(,"Euribor",Q113,NDays,Currency,Calendar,"1Y","mf","30/360 (Bond Basis)",IborIndex,Discounting,,_xll.ohTrigger(Trigger,RecalcTrigger))</f>
        <v>#VALUE!</v>
      </c>
      <c r="T113" s="124" t="e">
        <f>_xll.qlVanillaSwapFromSwapIndex(,S113,O113)</f>
        <v>#VALUE!</v>
      </c>
      <c r="U113" s="112" t="e">
        <f>_xll.qlVanillaSwapFairRate(T113)</f>
        <v>#VALUE!</v>
      </c>
      <c r="V113" s="207" t="e">
        <f t="shared" si="12"/>
        <v>#VALUE!</v>
      </c>
      <c r="Y113" s="105" t="str">
        <f t="shared" si="13"/>
        <v>1D</v>
      </c>
      <c r="Z113" s="93">
        <f>_xll.qlCalendarAdvance(Calendar,Z112,Y113,"f",FALSE)</f>
        <v>42317</v>
      </c>
      <c r="AA113" s="117">
        <f>_xll.qlCalendarAdvance(Calendar,Z113,NDays&amp;"D")</f>
        <v>42319</v>
      </c>
      <c r="AB113" s="92">
        <v>9.0433254006052721E-4</v>
      </c>
      <c r="AC113" s="101">
        <v>6.8654579117755077E-4</v>
      </c>
    </row>
    <row r="114" spans="13:29" x14ac:dyDescent="0.2">
      <c r="M114" s="211">
        <f>RateHelpers!B103</f>
        <v>0</v>
      </c>
      <c r="N114" s="195" t="e">
        <f>_xll.qlRateHelperQuoteName(M114)</f>
        <v>#NUM!</v>
      </c>
      <c r="O114" s="192" t="e">
        <f>_xll.qlInterestRateIndexFixingDate(S114,_xll.qlRateHelperEarliestDate(M114,Trigger),)</f>
        <v>#VALUE!</v>
      </c>
      <c r="P114" s="193" t="e">
        <f>_xll.qlRateHelperQuoteValue(M114,_xll.ohTrigger(RecalcTrigger,YieldCurve))</f>
        <v>#NUM!</v>
      </c>
      <c r="Q114" s="191" t="e">
        <f t="shared" ref="Q114:Q131" si="15">SUBSTITUTE(SUBSTITUTE(N114,"_Quote",""),"EUR3F","")</f>
        <v>#NUM!</v>
      </c>
      <c r="R114" s="191">
        <v>2</v>
      </c>
      <c r="S114" s="191" t="e">
        <f>_xll.qlSwapIndex(,"Euribor",Q114,NDays,Currency,Calendar,"1Y","mf","30/360 (Bond Basis)",IborIndex,Discounting,,_xll.ohTrigger(Trigger,RecalcTrigger))</f>
        <v>#VALUE!</v>
      </c>
      <c r="T114" s="191" t="e">
        <f>_xll.qlVanillaSwapFromSwapIndex(,S114,O114)</f>
        <v>#VALUE!</v>
      </c>
      <c r="U114" s="194" t="e">
        <f>_xll.qlVanillaSwapFairRate(T114)</f>
        <v>#VALUE!</v>
      </c>
      <c r="V114" s="208" t="e">
        <f t="shared" si="12"/>
        <v>#VALUE!</v>
      </c>
      <c r="Y114" s="105" t="str">
        <f t="shared" si="13"/>
        <v>1D</v>
      </c>
      <c r="Z114" s="93">
        <f>_xll.qlCalendarAdvance(Calendar,Z113,Y114,"f",FALSE)</f>
        <v>42318</v>
      </c>
      <c r="AA114" s="117">
        <f>_xll.qlCalendarAdvance(Calendar,Z114,NDays&amp;"D")</f>
        <v>42320</v>
      </c>
      <c r="AB114" s="92">
        <v>9.0601105605222045E-4</v>
      </c>
      <c r="AC114" s="101">
        <v>6.8847025384677352E-4</v>
      </c>
    </row>
    <row r="115" spans="13:29" x14ac:dyDescent="0.2">
      <c r="M115" s="209">
        <f>RateHelpers!B104</f>
        <v>0</v>
      </c>
      <c r="N115" s="105" t="e">
        <f>_xll.qlRateHelperQuoteName(M115)</f>
        <v>#NUM!</v>
      </c>
      <c r="O115" s="93" t="e">
        <f>_xll.qlInterestRateIndexFixingDate(S115,_xll.qlRateHelperEarliestDate(M115,Trigger),)</f>
        <v>#VALUE!</v>
      </c>
      <c r="P115" s="120" t="e">
        <f>_xll.qlRateHelperQuoteValue(M115,_xll.ohTrigger(RecalcTrigger,YieldCurve))</f>
        <v>#NUM!</v>
      </c>
      <c r="Q115" s="123" t="e">
        <f t="shared" si="15"/>
        <v>#NUM!</v>
      </c>
      <c r="R115" s="123">
        <v>2</v>
      </c>
      <c r="S115" s="123" t="e">
        <f>_xll.qlSwapIndex(,"Euribor",Q115,NDays,Currency,Calendar,"1Y","mf","30/360 (Bond Basis)",IborIndex,Discounting,,_xll.ohTrigger(Trigger,RecalcTrigger))</f>
        <v>#VALUE!</v>
      </c>
      <c r="T115" s="123" t="e">
        <f>_xll.qlVanillaSwapFromSwapIndex(,S115,O115)</f>
        <v>#VALUE!</v>
      </c>
      <c r="U115" s="110" t="e">
        <f>_xll.qlVanillaSwapFairRate(T115)</f>
        <v>#VALUE!</v>
      </c>
      <c r="V115" s="206" t="e">
        <f t="shared" si="12"/>
        <v>#VALUE!</v>
      </c>
      <c r="Y115" s="105" t="str">
        <f t="shared" si="13"/>
        <v>1D</v>
      </c>
      <c r="Z115" s="93">
        <f>_xll.qlCalendarAdvance(Calendar,Z114,Y115,"f",FALSE)</f>
        <v>42319</v>
      </c>
      <c r="AA115" s="117">
        <f>_xll.qlCalendarAdvance(Calendar,Z115,NDays&amp;"D")</f>
        <v>42321</v>
      </c>
      <c r="AB115" s="92">
        <v>9.0770241854755483E-4</v>
      </c>
      <c r="AC115" s="101">
        <v>6.9173716123138718E-4</v>
      </c>
    </row>
    <row r="116" spans="13:29" x14ac:dyDescent="0.2">
      <c r="M116" s="209">
        <f>RateHelpers!B105</f>
        <v>0</v>
      </c>
      <c r="N116" s="105" t="e">
        <f>_xll.qlRateHelperQuoteName(M116)</f>
        <v>#NUM!</v>
      </c>
      <c r="O116" s="93" t="e">
        <f>_xll.qlInterestRateIndexFixingDate(S116,_xll.qlRateHelperEarliestDate(M116,Trigger),)</f>
        <v>#VALUE!</v>
      </c>
      <c r="P116" s="120" t="e">
        <f>_xll.qlRateHelperQuoteValue(M116,_xll.ohTrigger(RecalcTrigger,YieldCurve))</f>
        <v>#NUM!</v>
      </c>
      <c r="Q116" s="123" t="e">
        <f t="shared" si="15"/>
        <v>#NUM!</v>
      </c>
      <c r="R116" s="123">
        <v>2</v>
      </c>
      <c r="S116" s="123" t="e">
        <f>_xll.qlSwapIndex(,"Euribor",Q116,NDays,Currency,Calendar,"1Y","mf","30/360 (Bond Basis)",IborIndex,Discounting,,_xll.ohTrigger(Trigger,RecalcTrigger))</f>
        <v>#VALUE!</v>
      </c>
      <c r="T116" s="123" t="e">
        <f>_xll.qlVanillaSwapFromSwapIndex(,S116,O116)</f>
        <v>#VALUE!</v>
      </c>
      <c r="U116" s="110" t="e">
        <f>_xll.qlVanillaSwapFairRate(T116)</f>
        <v>#VALUE!</v>
      </c>
      <c r="V116" s="206" t="e">
        <f t="shared" si="12"/>
        <v>#VALUE!</v>
      </c>
      <c r="Y116" s="105" t="str">
        <f t="shared" si="13"/>
        <v>1D</v>
      </c>
      <c r="Z116" s="93">
        <f>_xll.qlCalendarAdvance(Calendar,Z115,Y116,"f",FALSE)</f>
        <v>42320</v>
      </c>
      <c r="AA116" s="117">
        <f>_xll.qlCalendarAdvance(Calendar,Z116,NDays&amp;"D")</f>
        <v>42324</v>
      </c>
      <c r="AB116" s="92">
        <v>9.1284170545831813E-4</v>
      </c>
      <c r="AC116" s="101">
        <v>6.9441806321179911E-4</v>
      </c>
    </row>
    <row r="117" spans="13:29" x14ac:dyDescent="0.2">
      <c r="M117" s="209">
        <f>RateHelpers!B106</f>
        <v>0</v>
      </c>
      <c r="N117" s="105" t="e">
        <f>_xll.qlRateHelperQuoteName(M117)</f>
        <v>#NUM!</v>
      </c>
      <c r="O117" s="93" t="e">
        <f>_xll.qlInterestRateIndexFixingDate(S117,_xll.qlRateHelperEarliestDate(M117,Trigger),)</f>
        <v>#VALUE!</v>
      </c>
      <c r="P117" s="120" t="e">
        <f>_xll.qlRateHelperQuoteValue(M117,_xll.ohTrigger(RecalcTrigger,YieldCurve))</f>
        <v>#NUM!</v>
      </c>
      <c r="Q117" s="123" t="e">
        <f t="shared" si="15"/>
        <v>#NUM!</v>
      </c>
      <c r="R117" s="123">
        <v>2</v>
      </c>
      <c r="S117" s="123" t="e">
        <f>_xll.qlSwapIndex(,"Euribor",Q117,NDays,Currency,Calendar,"1Y","mf","30/360 (Bond Basis)",IborIndex,Discounting,,_xll.ohTrigger(Trigger,RecalcTrigger))</f>
        <v>#VALUE!</v>
      </c>
      <c r="T117" s="123" t="e">
        <f>_xll.qlVanillaSwapFromSwapIndex(,S117,O117)</f>
        <v>#VALUE!</v>
      </c>
      <c r="U117" s="110" t="e">
        <f>_xll.qlVanillaSwapFairRate(T117)</f>
        <v>#VALUE!</v>
      </c>
      <c r="V117" s="206" t="e">
        <f t="shared" si="12"/>
        <v>#VALUE!</v>
      </c>
      <c r="Y117" s="105" t="str">
        <f t="shared" si="13"/>
        <v>1D</v>
      </c>
      <c r="Z117" s="93">
        <f>_xll.qlCalendarAdvance(Calendar,Z116,Y117,"f",FALSE)</f>
        <v>42321</v>
      </c>
      <c r="AA117" s="117">
        <f>_xll.qlCalendarAdvance(Calendar,Z117,NDays&amp;"D")</f>
        <v>42325</v>
      </c>
      <c r="AB117" s="92">
        <v>9.1457257435224458E-4</v>
      </c>
      <c r="AC117" s="101">
        <v>6.9546750518512113E-4</v>
      </c>
    </row>
    <row r="118" spans="13:29" x14ac:dyDescent="0.2">
      <c r="M118" s="209">
        <f>RateHelpers!B107</f>
        <v>0</v>
      </c>
      <c r="N118" s="105" t="e">
        <f>_xll.qlRateHelperQuoteName(M118)</f>
        <v>#NUM!</v>
      </c>
      <c r="O118" s="93" t="e">
        <f>_xll.qlInterestRateIndexFixingDate(S118,_xll.qlRateHelperEarliestDate(M118,Trigger),)</f>
        <v>#VALUE!</v>
      </c>
      <c r="P118" s="120" t="e">
        <f>_xll.qlRateHelperQuoteValue(M118,_xll.ohTrigger(RecalcTrigger,YieldCurve))</f>
        <v>#NUM!</v>
      </c>
      <c r="Q118" s="123" t="e">
        <f t="shared" si="15"/>
        <v>#NUM!</v>
      </c>
      <c r="R118" s="123">
        <v>2</v>
      </c>
      <c r="S118" s="123" t="e">
        <f>_xll.qlSwapIndex(,"Euribor",Q118,NDays,Currency,Calendar,"1Y","mf","30/360 (Bond Basis)",IborIndex,Discounting,,_xll.ohTrigger(Trigger,RecalcTrigger))</f>
        <v>#VALUE!</v>
      </c>
      <c r="T118" s="123" t="e">
        <f>_xll.qlVanillaSwapFromSwapIndex(,S118,O118)</f>
        <v>#VALUE!</v>
      </c>
      <c r="U118" s="110" t="e">
        <f>_xll.qlVanillaSwapFairRate(T118)</f>
        <v>#VALUE!</v>
      </c>
      <c r="V118" s="206" t="e">
        <f t="shared" si="12"/>
        <v>#VALUE!</v>
      </c>
      <c r="Y118" s="105" t="str">
        <f t="shared" si="13"/>
        <v>1D</v>
      </c>
      <c r="Z118" s="93">
        <f>_xll.qlCalendarAdvance(Calendar,Z117,Y118,"f",FALSE)</f>
        <v>42324</v>
      </c>
      <c r="AA118" s="117">
        <f>_xll.qlCalendarAdvance(Calendar,Z118,NDays&amp;"D")</f>
        <v>42326</v>
      </c>
      <c r="AB118" s="92">
        <v>9.1631034992228119E-4</v>
      </c>
      <c r="AC118" s="101">
        <v>6.9634194314716069E-4</v>
      </c>
    </row>
    <row r="119" spans="13:29" x14ac:dyDescent="0.2">
      <c r="M119" s="209">
        <f>RateHelpers!B108</f>
        <v>0</v>
      </c>
      <c r="N119" s="105" t="e">
        <f>_xll.qlRateHelperQuoteName(M119)</f>
        <v>#NUM!</v>
      </c>
      <c r="O119" s="93" t="e">
        <f>_xll.qlInterestRateIndexFixingDate(S119,_xll.qlRateHelperEarliestDate(M119,Trigger),)</f>
        <v>#VALUE!</v>
      </c>
      <c r="P119" s="120" t="e">
        <f>_xll.qlRateHelperQuoteValue(M119,_xll.ohTrigger(RecalcTrigger,YieldCurve))</f>
        <v>#NUM!</v>
      </c>
      <c r="Q119" s="123" t="e">
        <f t="shared" si="15"/>
        <v>#NUM!</v>
      </c>
      <c r="R119" s="123">
        <v>2</v>
      </c>
      <c r="S119" s="123" t="e">
        <f>_xll.qlSwapIndex(,"Euribor",Q119,NDays,Currency,Calendar,"1Y","mf","30/360 (Bond Basis)",IborIndex,Discounting,,_xll.ohTrigger(Trigger,RecalcTrigger))</f>
        <v>#VALUE!</v>
      </c>
      <c r="T119" s="123" t="e">
        <f>_xll.qlVanillaSwapFromSwapIndex(,S119,O119)</f>
        <v>#VALUE!</v>
      </c>
      <c r="U119" s="110" t="e">
        <f>_xll.qlVanillaSwapFairRate(T119)</f>
        <v>#VALUE!</v>
      </c>
      <c r="V119" s="206" t="e">
        <f t="shared" si="12"/>
        <v>#VALUE!</v>
      </c>
      <c r="Y119" s="105" t="str">
        <f t="shared" si="13"/>
        <v>1D</v>
      </c>
      <c r="Z119" s="93">
        <f>_xll.qlCalendarAdvance(Calendar,Z118,Y119,"f",FALSE)</f>
        <v>42325</v>
      </c>
      <c r="AA119" s="117">
        <f>_xll.qlCalendarAdvance(Calendar,Z119,NDays&amp;"D")</f>
        <v>42327</v>
      </c>
      <c r="AB119" s="92">
        <v>9.1805384419079957E-4</v>
      </c>
      <c r="AC119" s="101">
        <v>6.9704137685810963E-4</v>
      </c>
    </row>
    <row r="120" spans="13:29" x14ac:dyDescent="0.2">
      <c r="M120" s="209">
        <f>RateHelpers!B109</f>
        <v>0</v>
      </c>
      <c r="N120" s="105" t="e">
        <f>_xll.qlRateHelperQuoteName(M120)</f>
        <v>#NUM!</v>
      </c>
      <c r="O120" s="93" t="e">
        <f>_xll.qlInterestRateIndexFixingDate(S120,_xll.qlRateHelperEarliestDate(M120,Trigger),)</f>
        <v>#VALUE!</v>
      </c>
      <c r="P120" s="120" t="e">
        <f>_xll.qlRateHelperQuoteValue(M120,_xll.ohTrigger(RecalcTrigger,YieldCurve))</f>
        <v>#NUM!</v>
      </c>
      <c r="Q120" s="123" t="e">
        <f t="shared" si="15"/>
        <v>#NUM!</v>
      </c>
      <c r="R120" s="123">
        <v>2</v>
      </c>
      <c r="S120" s="123" t="e">
        <f>_xll.qlSwapIndex(,"Euribor",Q120,NDays,Currency,Calendar,"1Y","mf","30/360 (Bond Basis)",IborIndex,Discounting,,_xll.ohTrigger(Trigger,RecalcTrigger))</f>
        <v>#VALUE!</v>
      </c>
      <c r="T120" s="123" t="e">
        <f>_xll.qlVanillaSwapFromSwapIndex(,S120,O120)</f>
        <v>#VALUE!</v>
      </c>
      <c r="U120" s="110" t="e">
        <f>_xll.qlVanillaSwapFairRate(T120)</f>
        <v>#VALUE!</v>
      </c>
      <c r="V120" s="206" t="e">
        <f t="shared" si="12"/>
        <v>#VALUE!</v>
      </c>
      <c r="Y120" s="105" t="str">
        <f t="shared" si="13"/>
        <v>1D</v>
      </c>
      <c r="Z120" s="93">
        <f>_xll.qlCalendarAdvance(Calendar,Z119,Y120,"f",FALSE)</f>
        <v>42326</v>
      </c>
      <c r="AA120" s="117">
        <f>_xll.qlCalendarAdvance(Calendar,Z120,NDays&amp;"D")</f>
        <v>42328</v>
      </c>
      <c r="AB120" s="92">
        <v>9.1980186917534014E-4</v>
      </c>
      <c r="AC120" s="101">
        <v>6.9785825006718483E-4</v>
      </c>
    </row>
    <row r="121" spans="13:29" x14ac:dyDescent="0.2">
      <c r="M121" s="209">
        <f>RateHelpers!B110</f>
        <v>0</v>
      </c>
      <c r="N121" s="105" t="e">
        <f>_xll.qlRateHelperQuoteName(M121)</f>
        <v>#NUM!</v>
      </c>
      <c r="O121" s="93" t="e">
        <f>_xll.qlInterestRateIndexFixingDate(S121,_xll.qlRateHelperEarliestDate(M121,Trigger),)</f>
        <v>#VALUE!</v>
      </c>
      <c r="P121" s="120" t="e">
        <f>_xll.qlRateHelperQuoteValue(M121,_xll.ohTrigger(RecalcTrigger,YieldCurve))</f>
        <v>#NUM!</v>
      </c>
      <c r="Q121" s="123" t="e">
        <f t="shared" si="15"/>
        <v>#NUM!</v>
      </c>
      <c r="R121" s="123">
        <v>2</v>
      </c>
      <c r="S121" s="123" t="e">
        <f>_xll.qlSwapIndex(,"Euribor",Q121,NDays,Currency,Calendar,"1Y","mf","30/360 (Bond Basis)",IborIndex,Discounting,,_xll.ohTrigger(Trigger,RecalcTrigger))</f>
        <v>#VALUE!</v>
      </c>
      <c r="T121" s="123" t="e">
        <f>_xll.qlVanillaSwapFromSwapIndex(,S121,O121)</f>
        <v>#VALUE!</v>
      </c>
      <c r="U121" s="110" t="e">
        <f>_xll.qlVanillaSwapFairRate(T121)</f>
        <v>#VALUE!</v>
      </c>
      <c r="V121" s="206" t="e">
        <f t="shared" si="12"/>
        <v>#VALUE!</v>
      </c>
      <c r="Y121" s="105" t="str">
        <f t="shared" si="13"/>
        <v>1D</v>
      </c>
      <c r="Z121" s="93">
        <f>_xll.qlCalendarAdvance(Calendar,Z120,Y121,"f",FALSE)</f>
        <v>42327</v>
      </c>
      <c r="AA121" s="117">
        <f>_xll.qlCalendarAdvance(Calendar,Z121,NDays&amp;"D")</f>
        <v>42331</v>
      </c>
      <c r="AB121" s="92">
        <v>9.2506124854998888E-4</v>
      </c>
      <c r="AC121" s="101">
        <v>6.9808907054991209E-4</v>
      </c>
    </row>
    <row r="122" spans="13:29" x14ac:dyDescent="0.2">
      <c r="M122" s="209">
        <f>RateHelpers!B111</f>
        <v>0</v>
      </c>
      <c r="N122" s="105" t="e">
        <f>_xll.qlRateHelperQuoteName(M122)</f>
        <v>#NUM!</v>
      </c>
      <c r="O122" s="93" t="e">
        <f>_xll.qlInterestRateIndexFixingDate(S122,_xll.qlRateHelperEarliestDate(M122,Trigger),)</f>
        <v>#VALUE!</v>
      </c>
      <c r="P122" s="120" t="e">
        <f>_xll.qlRateHelperQuoteValue(M122,_xll.ohTrigger(RecalcTrigger,YieldCurve))</f>
        <v>#NUM!</v>
      </c>
      <c r="Q122" s="123" t="e">
        <f t="shared" si="15"/>
        <v>#NUM!</v>
      </c>
      <c r="R122" s="123">
        <v>2</v>
      </c>
      <c r="S122" s="123" t="e">
        <f>_xll.qlSwapIndex(,"Euribor",Q122,NDays,Currency,Calendar,"1Y","mf","30/360 (Bond Basis)",IborIndex,Discounting,,_xll.ohTrigger(Trigger,RecalcTrigger))</f>
        <v>#VALUE!</v>
      </c>
      <c r="T122" s="123" t="e">
        <f>_xll.qlVanillaSwapFromSwapIndex(,S122,O122)</f>
        <v>#VALUE!</v>
      </c>
      <c r="U122" s="110" t="e">
        <f>_xll.qlVanillaSwapFairRate(T122)</f>
        <v>#VALUE!</v>
      </c>
      <c r="V122" s="206" t="e">
        <f t="shared" si="12"/>
        <v>#VALUE!</v>
      </c>
      <c r="Y122" s="105" t="str">
        <f t="shared" si="13"/>
        <v>1D</v>
      </c>
      <c r="Z122" s="93">
        <f>_xll.qlCalendarAdvance(Calendar,Z121,Y122,"f",FALSE)</f>
        <v>42328</v>
      </c>
      <c r="AA122" s="117">
        <f>_xll.qlCalendarAdvance(Calendar,Z122,NDays&amp;"D")</f>
        <v>42332</v>
      </c>
      <c r="AB122" s="92">
        <v>9.2681551650067339E-4</v>
      </c>
      <c r="AC122" s="101">
        <v>6.9791348364489636E-4</v>
      </c>
    </row>
    <row r="123" spans="13:29" x14ac:dyDescent="0.2">
      <c r="M123" s="209">
        <f>RateHelpers!B112</f>
        <v>0</v>
      </c>
      <c r="N123" s="105" t="e">
        <f>_xll.qlRateHelperQuoteName(M123)</f>
        <v>#NUM!</v>
      </c>
      <c r="O123" s="93" t="e">
        <f>_xll.qlInterestRateIndexFixingDate(S123,_xll.qlRateHelperEarliestDate(M123,Trigger),)</f>
        <v>#VALUE!</v>
      </c>
      <c r="P123" s="120" t="e">
        <f>_xll.qlRateHelperQuoteValue(M123,_xll.ohTrigger(RecalcTrigger,YieldCurve))</f>
        <v>#NUM!</v>
      </c>
      <c r="Q123" s="123" t="e">
        <f t="shared" si="15"/>
        <v>#NUM!</v>
      </c>
      <c r="R123" s="123">
        <v>2</v>
      </c>
      <c r="S123" s="123" t="e">
        <f>_xll.qlSwapIndex(,"Euribor",Q123,NDays,Currency,Calendar,"1Y","mf","30/360 (Bond Basis)",IborIndex,Discounting,,_xll.ohTrigger(Trigger,RecalcTrigger))</f>
        <v>#VALUE!</v>
      </c>
      <c r="T123" s="123" t="e">
        <f>_xll.qlVanillaSwapFromSwapIndex(,S123,O123)</f>
        <v>#VALUE!</v>
      </c>
      <c r="U123" s="110" t="e">
        <f>_xll.qlVanillaSwapFairRate(T123)</f>
        <v>#VALUE!</v>
      </c>
      <c r="V123" s="206" t="e">
        <f t="shared" si="12"/>
        <v>#VALUE!</v>
      </c>
      <c r="Y123" s="105" t="str">
        <f t="shared" si="13"/>
        <v>1D</v>
      </c>
      <c r="Z123" s="93">
        <f>_xll.qlCalendarAdvance(Calendar,Z122,Y123,"f",FALSE)</f>
        <v>42331</v>
      </c>
      <c r="AA123" s="117">
        <f>_xll.qlCalendarAdvance(Calendar,Z123,NDays&amp;"D")</f>
        <v>42333</v>
      </c>
      <c r="AB123" s="92">
        <v>9.2856837519666698E-4</v>
      </c>
      <c r="AC123" s="101">
        <v>6.9756289264866211E-4</v>
      </c>
    </row>
    <row r="124" spans="13:29" x14ac:dyDescent="0.2">
      <c r="M124" s="209">
        <f>RateHelpers!B113</f>
        <v>0</v>
      </c>
      <c r="N124" s="105" t="e">
        <f>_xll.qlRateHelperQuoteName(M124)</f>
        <v>#NUM!</v>
      </c>
      <c r="O124" s="93" t="e">
        <f>_xll.qlInterestRateIndexFixingDate(S124,_xll.qlRateHelperEarliestDate(M124,Trigger),)</f>
        <v>#VALUE!</v>
      </c>
      <c r="P124" s="120" t="e">
        <f>_xll.qlRateHelperQuoteValue(M124,_xll.ohTrigger(RecalcTrigger,YieldCurve))</f>
        <v>#NUM!</v>
      </c>
      <c r="Q124" s="123" t="e">
        <f t="shared" si="15"/>
        <v>#NUM!</v>
      </c>
      <c r="R124" s="123">
        <v>2</v>
      </c>
      <c r="S124" s="123" t="e">
        <f>_xll.qlSwapIndex(,"Euribor",Q124,NDays,Currency,Calendar,"1Y","mf","30/360 (Bond Basis)",IborIndex,Discounting,,_xll.ohTrigger(Trigger,RecalcTrigger))</f>
        <v>#VALUE!</v>
      </c>
      <c r="T124" s="123" t="e">
        <f>_xll.qlVanillaSwapFromSwapIndex(,S124,O124)</f>
        <v>#VALUE!</v>
      </c>
      <c r="U124" s="110" t="e">
        <f>_xll.qlVanillaSwapFairRate(T124)</f>
        <v>#VALUE!</v>
      </c>
      <c r="V124" s="206" t="e">
        <f t="shared" si="12"/>
        <v>#VALUE!</v>
      </c>
      <c r="Y124" s="105" t="str">
        <f t="shared" si="13"/>
        <v>1D</v>
      </c>
      <c r="Z124" s="93">
        <f>_xll.qlCalendarAdvance(Calendar,Z123,Y124,"f",FALSE)</f>
        <v>42332</v>
      </c>
      <c r="AA124" s="117">
        <f>_xll.qlCalendarAdvance(Calendar,Z124,NDays&amp;"D")</f>
        <v>42334</v>
      </c>
      <c r="AB124" s="92">
        <v>9.3031863663091429E-4</v>
      </c>
      <c r="AC124" s="101">
        <v>6.970372974812733E-4</v>
      </c>
    </row>
    <row r="125" spans="13:29" x14ac:dyDescent="0.2">
      <c r="M125" s="209">
        <f>RateHelpers!B114</f>
        <v>0</v>
      </c>
      <c r="N125" s="105" t="e">
        <f>_xll.qlRateHelperQuoteName(M125)</f>
        <v>#NUM!</v>
      </c>
      <c r="O125" s="93" t="e">
        <f>_xll.qlInterestRateIndexFixingDate(S125,_xll.qlRateHelperEarliestDate(M125,Trigger),)</f>
        <v>#VALUE!</v>
      </c>
      <c r="P125" s="120" t="e">
        <f>_xll.qlRateHelperQuoteValue(M125,_xll.ohTrigger(RecalcTrigger,YieldCurve))</f>
        <v>#NUM!</v>
      </c>
      <c r="Q125" s="123" t="e">
        <f t="shared" si="15"/>
        <v>#NUM!</v>
      </c>
      <c r="R125" s="123">
        <v>2</v>
      </c>
      <c r="S125" s="123" t="e">
        <f>_xll.qlSwapIndex(,"Euribor",Q125,NDays,Currency,Calendar,"1Y","mf","30/360 (Bond Basis)",IborIndex,Discounting,,_xll.ohTrigger(Trigger,RecalcTrigger))</f>
        <v>#VALUE!</v>
      </c>
      <c r="T125" s="123" t="e">
        <f>_xll.qlVanillaSwapFromSwapIndex(,S125,O125)</f>
        <v>#VALUE!</v>
      </c>
      <c r="U125" s="110" t="e">
        <f>_xll.qlVanillaSwapFairRate(T125)</f>
        <v>#VALUE!</v>
      </c>
      <c r="V125" s="206" t="e">
        <f t="shared" si="12"/>
        <v>#VALUE!</v>
      </c>
      <c r="Y125" s="105" t="str">
        <f t="shared" si="13"/>
        <v>1D</v>
      </c>
      <c r="Z125" s="93">
        <f>_xll.qlCalendarAdvance(Calendar,Z124,Y125,"f",FALSE)</f>
        <v>42333</v>
      </c>
      <c r="AA125" s="117">
        <f>_xll.qlCalendarAdvance(Calendar,Z125,NDays&amp;"D")</f>
        <v>42335</v>
      </c>
      <c r="AB125" s="92">
        <v>9.3206511279240697E-4</v>
      </c>
      <c r="AC125" s="101">
        <v>6.9540410328805535E-4</v>
      </c>
    </row>
    <row r="126" spans="13:29" x14ac:dyDescent="0.2">
      <c r="M126" s="209">
        <f>RateHelpers!B115</f>
        <v>0</v>
      </c>
      <c r="N126" s="105" t="e">
        <f>_xll.qlRateHelperQuoteName(M126)</f>
        <v>#NUM!</v>
      </c>
      <c r="O126" s="93" t="e">
        <f>_xll.qlInterestRateIndexFixingDate(S126,_xll.qlRateHelperEarliestDate(M126,Trigger),)</f>
        <v>#VALUE!</v>
      </c>
      <c r="P126" s="120" t="e">
        <f>_xll.qlRateHelperQuoteValue(M126,_xll.ohTrigger(RecalcTrigger,YieldCurve))</f>
        <v>#NUM!</v>
      </c>
      <c r="Q126" s="123" t="e">
        <f t="shared" si="15"/>
        <v>#NUM!</v>
      </c>
      <c r="R126" s="123">
        <v>2</v>
      </c>
      <c r="S126" s="123" t="e">
        <f>_xll.qlSwapIndex(,"Euribor",Q126,NDays,Currency,Calendar,"1Y","mf","30/360 (Bond Basis)",IborIndex,Discounting,,_xll.ohTrigger(Trigger,RecalcTrigger))</f>
        <v>#VALUE!</v>
      </c>
      <c r="T126" s="123" t="e">
        <f>_xll.qlVanillaSwapFromSwapIndex(,S126,O126)</f>
        <v>#VALUE!</v>
      </c>
      <c r="U126" s="110" t="e">
        <f>_xll.qlVanillaSwapFairRate(T126)</f>
        <v>#VALUE!</v>
      </c>
      <c r="V126" s="206" t="e">
        <f t="shared" si="12"/>
        <v>#VALUE!</v>
      </c>
      <c r="Y126" s="105" t="str">
        <f t="shared" si="13"/>
        <v>1D</v>
      </c>
      <c r="Z126" s="93">
        <f>_xll.qlCalendarAdvance(Calendar,Z125,Y126,"f",FALSE)</f>
        <v>42334</v>
      </c>
      <c r="AA126" s="117">
        <f>_xll.qlCalendarAdvance(Calendar,Z126,NDays&amp;"D")</f>
        <v>42338</v>
      </c>
      <c r="AB126" s="92">
        <v>9.376480083536598E-4</v>
      </c>
      <c r="AC126" s="101">
        <v>2.709200046941973E-3</v>
      </c>
    </row>
    <row r="127" spans="13:29" x14ac:dyDescent="0.2">
      <c r="M127" s="209">
        <f>RateHelpers!B116</f>
        <v>0</v>
      </c>
      <c r="N127" s="105" t="e">
        <f>_xll.qlRateHelperQuoteName(M127)</f>
        <v>#NUM!</v>
      </c>
      <c r="O127" s="93" t="e">
        <f>_xll.qlInterestRateIndexFixingDate(S127,_xll.qlRateHelperEarliestDate(M127,Trigger),)</f>
        <v>#VALUE!</v>
      </c>
      <c r="P127" s="120" t="e">
        <f>_xll.qlRateHelperQuoteValue(M127,_xll.ohTrigger(RecalcTrigger,YieldCurve))</f>
        <v>#NUM!</v>
      </c>
      <c r="Q127" s="123" t="e">
        <f t="shared" si="15"/>
        <v>#NUM!</v>
      </c>
      <c r="R127" s="123">
        <v>2</v>
      </c>
      <c r="S127" s="123" t="e">
        <f>_xll.qlSwapIndex(,"Euribor",Q127,NDays,Currency,Calendar,"1Y","mf","30/360 (Bond Basis)",IborIndex,Discounting,,_xll.ohTrigger(Trigger,RecalcTrigger))</f>
        <v>#VALUE!</v>
      </c>
      <c r="T127" s="123" t="e">
        <f>_xll.qlVanillaSwapFromSwapIndex(,S127,O127)</f>
        <v>#VALUE!</v>
      </c>
      <c r="U127" s="110" t="e">
        <f>_xll.qlVanillaSwapFairRate(T127)</f>
        <v>#VALUE!</v>
      </c>
      <c r="V127" s="206" t="e">
        <f t="shared" si="12"/>
        <v>#VALUE!</v>
      </c>
      <c r="Y127" s="105" t="str">
        <f t="shared" si="13"/>
        <v>1D</v>
      </c>
      <c r="Z127" s="93">
        <f>_xll.qlCalendarAdvance(Calendar,Z126,Y127,"f",FALSE)</f>
        <v>42335</v>
      </c>
      <c r="AA127" s="117">
        <f>_xll.qlCalendarAdvance(Calendar,Z127,NDays&amp;"D")</f>
        <v>42339</v>
      </c>
      <c r="AB127" s="92">
        <v>9.2831908730117534E-4</v>
      </c>
      <c r="AC127" s="101">
        <v>6.9178425963656309E-4</v>
      </c>
    </row>
    <row r="128" spans="13:29" x14ac:dyDescent="0.2">
      <c r="M128" s="209">
        <f>RateHelpers!B117</f>
        <v>0</v>
      </c>
      <c r="N128" s="105" t="e">
        <f>_xll.qlRateHelperQuoteName(M128)</f>
        <v>#NUM!</v>
      </c>
      <c r="O128" s="93" t="e">
        <f>_xll.qlInterestRateIndexFixingDate(S128,_xll.qlRateHelperEarliestDate(M128,Trigger),)</f>
        <v>#VALUE!</v>
      </c>
      <c r="P128" s="120" t="e">
        <f>_xll.qlRateHelperQuoteValue(M128,_xll.ohTrigger(RecalcTrigger,YieldCurve))</f>
        <v>#NUM!</v>
      </c>
      <c r="Q128" s="123" t="e">
        <f t="shared" si="15"/>
        <v>#NUM!</v>
      </c>
      <c r="R128" s="123">
        <v>2</v>
      </c>
      <c r="S128" s="123" t="e">
        <f>_xll.qlSwapIndex(,"Euribor",Q128,NDays,Currency,Calendar,"1Y","mf","30/360 (Bond Basis)",IborIndex,Discounting,,_xll.ohTrigger(Trigger,RecalcTrigger))</f>
        <v>#VALUE!</v>
      </c>
      <c r="T128" s="123" t="e">
        <f>_xll.qlVanillaSwapFromSwapIndex(,S128,O128)</f>
        <v>#VALUE!</v>
      </c>
      <c r="U128" s="110" t="e">
        <f>_xll.qlVanillaSwapFairRate(T128)</f>
        <v>#VALUE!</v>
      </c>
      <c r="V128" s="206" t="e">
        <f t="shared" si="12"/>
        <v>#VALUE!</v>
      </c>
      <c r="Y128" s="105" t="str">
        <f t="shared" si="13"/>
        <v>1D</v>
      </c>
      <c r="Z128" s="93">
        <f>_xll.qlCalendarAdvance(Calendar,Z127,Y128,"f",FALSE)</f>
        <v>42338</v>
      </c>
      <c r="AA128" s="117">
        <f>_xll.qlCalendarAdvance(Calendar,Z128,NDays&amp;"D")</f>
        <v>42340</v>
      </c>
      <c r="AB128" s="92">
        <v>9.3000000000026124E-4</v>
      </c>
      <c r="AC128" s="101">
        <v>6.9038013873701232E-4</v>
      </c>
    </row>
    <row r="129" spans="13:29" x14ac:dyDescent="0.2">
      <c r="M129" s="209">
        <f>RateHelpers!B118</f>
        <v>0</v>
      </c>
      <c r="N129" s="105" t="e">
        <f>_xll.qlRateHelperQuoteName(M129)</f>
        <v>#NUM!</v>
      </c>
      <c r="O129" s="93" t="e">
        <f>_xll.qlInterestRateIndexFixingDate(S129,_xll.qlRateHelperEarliestDate(M129,Trigger),)</f>
        <v>#VALUE!</v>
      </c>
      <c r="P129" s="120" t="e">
        <f>_xll.qlRateHelperQuoteValue(M129,_xll.ohTrigger(RecalcTrigger,YieldCurve))</f>
        <v>#NUM!</v>
      </c>
      <c r="Q129" s="123" t="e">
        <f t="shared" si="15"/>
        <v>#NUM!</v>
      </c>
      <c r="R129" s="123">
        <v>2</v>
      </c>
      <c r="S129" s="123" t="e">
        <f>_xll.qlSwapIndex(,"Euribor",Q129,NDays,Currency,Calendar,"1Y","mf","30/360 (Bond Basis)",IborIndex,Discounting,,_xll.ohTrigger(Trigger,RecalcTrigger))</f>
        <v>#VALUE!</v>
      </c>
      <c r="T129" s="123" t="e">
        <f>_xll.qlVanillaSwapFromSwapIndex(,S129,O129)</f>
        <v>#VALUE!</v>
      </c>
      <c r="U129" s="110" t="e">
        <f>_xll.qlVanillaSwapFairRate(T129)</f>
        <v>#VALUE!</v>
      </c>
      <c r="V129" s="206" t="e">
        <f t="shared" si="12"/>
        <v>#VALUE!</v>
      </c>
      <c r="Y129" s="105" t="str">
        <f t="shared" si="13"/>
        <v>1D</v>
      </c>
      <c r="Z129" s="93">
        <f>_xll.qlCalendarAdvance(Calendar,Z128,Y129,"f",FALSE)</f>
        <v>42339</v>
      </c>
      <c r="AA129" s="117">
        <f>_xll.qlCalendarAdvance(Calendar,Z129,NDays&amp;"D")</f>
        <v>42341</v>
      </c>
      <c r="AB129" s="92">
        <v>9.3166822964954555E-4</v>
      </c>
      <c r="AC129" s="101">
        <v>6.8965850918090155E-4</v>
      </c>
    </row>
    <row r="130" spans="13:29" x14ac:dyDescent="0.2">
      <c r="M130" s="209">
        <f>RateHelpers!B119</f>
        <v>0</v>
      </c>
      <c r="N130" s="105" t="e">
        <f>_xll.qlRateHelperQuoteName(M130)</f>
        <v>#NUM!</v>
      </c>
      <c r="O130" s="93" t="e">
        <f>_xll.qlInterestRateIndexFixingDate(S130,_xll.qlRateHelperEarliestDate(M130,Trigger),)</f>
        <v>#VALUE!</v>
      </c>
      <c r="P130" s="120" t="e">
        <f>_xll.qlRateHelperQuoteValue(M130,_xll.ohTrigger(RecalcTrigger,YieldCurve))</f>
        <v>#NUM!</v>
      </c>
      <c r="Q130" s="123" t="e">
        <f t="shared" si="15"/>
        <v>#NUM!</v>
      </c>
      <c r="R130" s="123">
        <v>2</v>
      </c>
      <c r="S130" s="123" t="e">
        <f>_xll.qlSwapIndex(,"Euribor",Q130,NDays,Currency,Calendar,"1Y","mf","30/360 (Bond Basis)",IborIndex,Discounting,,_xll.ohTrigger(Trigger,RecalcTrigger))</f>
        <v>#VALUE!</v>
      </c>
      <c r="T130" s="123" t="e">
        <f>_xll.qlVanillaSwapFromSwapIndex(,S130,O130)</f>
        <v>#VALUE!</v>
      </c>
      <c r="U130" s="110" t="e">
        <f>_xll.qlVanillaSwapFairRate(T130)</f>
        <v>#VALUE!</v>
      </c>
      <c r="V130" s="206" t="e">
        <f t="shared" si="12"/>
        <v>#VALUE!</v>
      </c>
      <c r="Y130" s="105" t="str">
        <f t="shared" si="13"/>
        <v>1D</v>
      </c>
      <c r="Z130" s="93">
        <f>_xll.qlCalendarAdvance(Calendar,Z129,Y130,"f",FALSE)</f>
        <v>42340</v>
      </c>
      <c r="AA130" s="117">
        <f>_xll.qlCalendarAdvance(Calendar,Z130,NDays&amp;"D")</f>
        <v>42342</v>
      </c>
      <c r="AB130" s="92">
        <v>9.3394235831260333E-4</v>
      </c>
      <c r="AC130" s="101">
        <v>6.9106321097578416E-4</v>
      </c>
    </row>
    <row r="131" spans="13:29" ht="12" thickBot="1" x14ac:dyDescent="0.25">
      <c r="M131" s="210">
        <f>RateHelpers!B120</f>
        <v>0</v>
      </c>
      <c r="N131" s="106" t="e">
        <f>_xll.qlRateHelperQuoteName(M131)</f>
        <v>#NUM!</v>
      </c>
      <c r="O131" s="103" t="e">
        <f>_xll.qlInterestRateIndexFixingDate(S131,_xll.qlRateHelperEarliestDate(M131,Trigger),)</f>
        <v>#VALUE!</v>
      </c>
      <c r="P131" s="121" t="e">
        <f>_xll.qlRateHelperQuoteValue(M131,_xll.ohTrigger(RecalcTrigger,YieldCurve))</f>
        <v>#NUM!</v>
      </c>
      <c r="Q131" s="124" t="e">
        <f t="shared" si="15"/>
        <v>#NUM!</v>
      </c>
      <c r="R131" s="124">
        <v>2</v>
      </c>
      <c r="S131" s="124" t="e">
        <f>_xll.qlSwapIndex(,"Euribor",Q131,NDays,Currency,Calendar,"1Y","mf","30/360 (Bond Basis)",IborIndex,Discounting,,_xll.ohTrigger(Trigger,RecalcTrigger))</f>
        <v>#VALUE!</v>
      </c>
      <c r="T131" s="124" t="e">
        <f>_xll.qlVanillaSwapFromSwapIndex(,S131,O131)</f>
        <v>#VALUE!</v>
      </c>
      <c r="U131" s="112" t="e">
        <f>_xll.qlVanillaSwapFairRate(T131)</f>
        <v>#VALUE!</v>
      </c>
      <c r="V131" s="207" t="e">
        <f t="shared" si="12"/>
        <v>#VALUE!</v>
      </c>
      <c r="Y131" s="105" t="str">
        <f t="shared" si="13"/>
        <v>1D</v>
      </c>
      <c r="Z131" s="93">
        <f>_xll.qlCalendarAdvance(Calendar,Z130,Y131,"f",FALSE)</f>
        <v>42341</v>
      </c>
      <c r="AA131" s="117">
        <f>_xll.qlCalendarAdvance(Calendar,Z131,NDays&amp;"D")</f>
        <v>42345</v>
      </c>
      <c r="AB131" s="92">
        <v>9.3822467853979844E-4</v>
      </c>
      <c r="AC131" s="101">
        <v>6.9531189422100681E-4</v>
      </c>
    </row>
    <row r="132" spans="13:29" x14ac:dyDescent="0.2">
      <c r="M132" s="211">
        <f>RateHelpers!B121</f>
        <v>0</v>
      </c>
      <c r="N132" s="195" t="e">
        <f>_xll.qlRateHelperQuoteName(M132)</f>
        <v>#NUM!</v>
      </c>
      <c r="O132" s="192" t="e">
        <f>_xll.qlInterestRateIndexFixingDate(S132,_xll.qlRateHelperEarliestDate(M132,Trigger),)</f>
        <v>#VALUE!</v>
      </c>
      <c r="P132" s="193" t="e">
        <f>_xll.qlRateHelperQuoteValue(M132,_xll.ohTrigger(RecalcTrigger,YieldCurve))</f>
        <v>#NUM!</v>
      </c>
      <c r="Q132" s="191" t="e">
        <f t="shared" ref="Q132:Q149" si="16">SUBSTITUTE(SUBSTITUTE(N132,"_Quote",""),"EUR4F","")</f>
        <v>#NUM!</v>
      </c>
      <c r="R132" s="191">
        <v>2</v>
      </c>
      <c r="S132" s="191" t="e">
        <f>_xll.qlSwapIndex(,"Euribor",Q132,NDays,Currency,Calendar,"1Y","mf","30/360 (Bond Basis)",IborIndex,Discounting,,_xll.ohTrigger(Trigger,RecalcTrigger))</f>
        <v>#VALUE!</v>
      </c>
      <c r="T132" s="191" t="e">
        <f>_xll.qlVanillaSwapFromSwapIndex(,S132,O132)</f>
        <v>#VALUE!</v>
      </c>
      <c r="U132" s="194" t="e">
        <f>_xll.qlVanillaSwapFairRate(T132)</f>
        <v>#VALUE!</v>
      </c>
      <c r="V132" s="208" t="e">
        <f t="shared" si="12"/>
        <v>#VALUE!</v>
      </c>
      <c r="Y132" s="105" t="str">
        <f t="shared" si="13"/>
        <v>1D</v>
      </c>
      <c r="Z132" s="93">
        <f>_xll.qlCalendarAdvance(Calendar,Z131,Y132,"f",FALSE)</f>
        <v>42342</v>
      </c>
      <c r="AA132" s="117">
        <f>_xll.qlCalendarAdvance(Calendar,Z132,NDays&amp;"D")</f>
        <v>42346</v>
      </c>
      <c r="AB132" s="92">
        <v>9.3983803609227101E-4</v>
      </c>
      <c r="AC132" s="101">
        <v>6.988602164170743E-4</v>
      </c>
    </row>
    <row r="133" spans="13:29" x14ac:dyDescent="0.2">
      <c r="M133" s="209">
        <f>RateHelpers!B122</f>
        <v>0</v>
      </c>
      <c r="N133" s="105" t="e">
        <f>_xll.qlRateHelperQuoteName(M133)</f>
        <v>#NUM!</v>
      </c>
      <c r="O133" s="93" t="e">
        <f>_xll.qlInterestRateIndexFixingDate(S133,_xll.qlRateHelperEarliestDate(M133,Trigger),)</f>
        <v>#VALUE!</v>
      </c>
      <c r="P133" s="120" t="e">
        <f>_xll.qlRateHelperQuoteValue(M133,_xll.ohTrigger(RecalcTrigger,YieldCurve))</f>
        <v>#NUM!</v>
      </c>
      <c r="Q133" s="123" t="e">
        <f t="shared" si="16"/>
        <v>#NUM!</v>
      </c>
      <c r="R133" s="123">
        <v>2</v>
      </c>
      <c r="S133" s="123" t="e">
        <f>_xll.qlSwapIndex(,"Euribor",Q133,NDays,Currency,Calendar,"1Y","mf","30/360 (Bond Basis)",IborIndex,Discounting,,_xll.ohTrigger(Trigger,RecalcTrigger))</f>
        <v>#VALUE!</v>
      </c>
      <c r="T133" s="123" t="e">
        <f>_xll.qlVanillaSwapFromSwapIndex(,S133,O133)</f>
        <v>#VALUE!</v>
      </c>
      <c r="U133" s="110" t="e">
        <f>_xll.qlVanillaSwapFairRate(T133)</f>
        <v>#VALUE!</v>
      </c>
      <c r="V133" s="206" t="e">
        <f t="shared" si="12"/>
        <v>#VALUE!</v>
      </c>
      <c r="Y133" s="105" t="str">
        <f t="shared" si="13"/>
        <v>1D</v>
      </c>
      <c r="Z133" s="93">
        <f>_xll.qlCalendarAdvance(Calendar,Z132,Y133,"f",FALSE)</f>
        <v>42345</v>
      </c>
      <c r="AA133" s="117">
        <f>_xll.qlCalendarAdvance(Calendar,Z133,NDays&amp;"D")</f>
        <v>42347</v>
      </c>
      <c r="AB133" s="92">
        <v>9.414424368876591E-4</v>
      </c>
      <c r="AC133" s="101">
        <v>7.0326252909147513E-4</v>
      </c>
    </row>
    <row r="134" spans="13:29" x14ac:dyDescent="0.2">
      <c r="M134" s="209">
        <f>RateHelpers!B123</f>
        <v>0</v>
      </c>
      <c r="N134" s="105" t="e">
        <f>_xll.qlRateHelperQuoteName(M134)</f>
        <v>#NUM!</v>
      </c>
      <c r="O134" s="93" t="e">
        <f>_xll.qlInterestRateIndexFixingDate(S134,_xll.qlRateHelperEarliestDate(M134,Trigger),)</f>
        <v>#VALUE!</v>
      </c>
      <c r="P134" s="120" t="e">
        <f>_xll.qlRateHelperQuoteValue(M134,_xll.ohTrigger(RecalcTrigger,YieldCurve))</f>
        <v>#NUM!</v>
      </c>
      <c r="Q134" s="123" t="e">
        <f t="shared" si="16"/>
        <v>#NUM!</v>
      </c>
      <c r="R134" s="123">
        <v>2</v>
      </c>
      <c r="S134" s="123" t="e">
        <f>_xll.qlSwapIndex(,"Euribor",Q134,NDays,Currency,Calendar,"1Y","mf","30/360 (Bond Basis)",IborIndex,Discounting,,_xll.ohTrigger(Trigger,RecalcTrigger))</f>
        <v>#VALUE!</v>
      </c>
      <c r="T134" s="123" t="e">
        <f>_xll.qlVanillaSwapFromSwapIndex(,S134,O134)</f>
        <v>#VALUE!</v>
      </c>
      <c r="U134" s="110" t="e">
        <f>_xll.qlVanillaSwapFairRate(T134)</f>
        <v>#VALUE!</v>
      </c>
      <c r="V134" s="206" t="e">
        <f t="shared" si="12"/>
        <v>#VALUE!</v>
      </c>
      <c r="Y134" s="105" t="str">
        <f t="shared" si="13"/>
        <v>1D</v>
      </c>
      <c r="Z134" s="93">
        <f>_xll.qlCalendarAdvance(Calendar,Z133,Y134,"f",FALSE)</f>
        <v>42346</v>
      </c>
      <c r="AA134" s="117">
        <f>_xll.qlCalendarAdvance(Calendar,Z134,NDays&amp;"D")</f>
        <v>42348</v>
      </c>
      <c r="AB134" s="92">
        <v>9.4303855348567525E-4</v>
      </c>
      <c r="AC134" s="101">
        <v>7.0851883208433719E-4</v>
      </c>
    </row>
    <row r="135" spans="13:29" x14ac:dyDescent="0.2">
      <c r="M135" s="209">
        <f>RateHelpers!B124</f>
        <v>0</v>
      </c>
      <c r="N135" s="105" t="e">
        <f>_xll.qlRateHelperQuoteName(M135)</f>
        <v>#NUM!</v>
      </c>
      <c r="O135" s="93" t="e">
        <f>_xll.qlInterestRateIndexFixingDate(S135,_xll.qlRateHelperEarliestDate(M135,Trigger),)</f>
        <v>#VALUE!</v>
      </c>
      <c r="P135" s="120" t="e">
        <f>_xll.qlRateHelperQuoteValue(M135,_xll.ohTrigger(RecalcTrigger,YieldCurve))</f>
        <v>#NUM!</v>
      </c>
      <c r="Q135" s="123" t="e">
        <f t="shared" si="16"/>
        <v>#NUM!</v>
      </c>
      <c r="R135" s="123">
        <v>2</v>
      </c>
      <c r="S135" s="123" t="e">
        <f>_xll.qlSwapIndex(,"Euribor",Q135,NDays,Currency,Calendar,"1Y","mf","30/360 (Bond Basis)",IborIndex,Discounting,,_xll.ohTrigger(Trigger,RecalcTrigger))</f>
        <v>#VALUE!</v>
      </c>
      <c r="T135" s="123" t="e">
        <f>_xll.qlVanillaSwapFromSwapIndex(,S135,O135)</f>
        <v>#VALUE!</v>
      </c>
      <c r="U135" s="110" t="e">
        <f>_xll.qlVanillaSwapFairRate(T135)</f>
        <v>#VALUE!</v>
      </c>
      <c r="V135" s="206" t="e">
        <f t="shared" si="12"/>
        <v>#VALUE!</v>
      </c>
      <c r="Y135" s="105" t="str">
        <f t="shared" si="13"/>
        <v>1D</v>
      </c>
      <c r="Z135" s="93">
        <f>_xll.qlCalendarAdvance(Calendar,Z134,Y135,"f",FALSE)</f>
        <v>42347</v>
      </c>
      <c r="AA135" s="117">
        <f>_xll.qlCalendarAdvance(Calendar,Z135,NDays&amp;"D")</f>
        <v>42349</v>
      </c>
      <c r="AB135" s="92">
        <v>9.4530472415172936E-4</v>
      </c>
      <c r="AC135" s="101">
        <v>7.2187952074642681E-4</v>
      </c>
    </row>
    <row r="136" spans="13:29" x14ac:dyDescent="0.2">
      <c r="M136" s="209">
        <f>RateHelpers!B125</f>
        <v>0</v>
      </c>
      <c r="N136" s="105" t="e">
        <f>_xll.qlRateHelperQuoteName(M136)</f>
        <v>#NUM!</v>
      </c>
      <c r="O136" s="93" t="e">
        <f>_xll.qlInterestRateIndexFixingDate(S136,_xll.qlRateHelperEarliestDate(M136,Trigger),)</f>
        <v>#VALUE!</v>
      </c>
      <c r="P136" s="120" t="e">
        <f>_xll.qlRateHelperQuoteValue(M136,_xll.ohTrigger(RecalcTrigger,YieldCurve))</f>
        <v>#NUM!</v>
      </c>
      <c r="Q136" s="123" t="e">
        <f t="shared" si="16"/>
        <v>#NUM!</v>
      </c>
      <c r="R136" s="123">
        <v>2</v>
      </c>
      <c r="S136" s="123" t="e">
        <f>_xll.qlSwapIndex(,"Euribor",Q136,NDays,Currency,Calendar,"1Y","mf","30/360 (Bond Basis)",IborIndex,Discounting,,_xll.ohTrigger(Trigger,RecalcTrigger))</f>
        <v>#VALUE!</v>
      </c>
      <c r="T136" s="123" t="e">
        <f>_xll.qlVanillaSwapFromSwapIndex(,S136,O136)</f>
        <v>#VALUE!</v>
      </c>
      <c r="U136" s="110" t="e">
        <f>_xll.qlVanillaSwapFairRate(T136)</f>
        <v>#VALUE!</v>
      </c>
      <c r="V136" s="206" t="e">
        <f t="shared" si="12"/>
        <v>#VALUE!</v>
      </c>
      <c r="Y136" s="105" t="str">
        <f t="shared" si="13"/>
        <v>1D</v>
      </c>
      <c r="Z136" s="93">
        <f>_xll.qlCalendarAdvance(Calendar,Z135,Y136,"f",FALSE)</f>
        <v>42348</v>
      </c>
      <c r="AA136" s="117">
        <f>_xll.qlCalendarAdvance(Calendar,Z136,NDays&amp;"D")</f>
        <v>42352</v>
      </c>
      <c r="AB136" s="92">
        <v>9.4935362917428353E-4</v>
      </c>
      <c r="AC136" s="101">
        <v>7.3808394963847945E-4</v>
      </c>
    </row>
    <row r="137" spans="13:29" x14ac:dyDescent="0.2">
      <c r="M137" s="209">
        <f>RateHelpers!B126</f>
        <v>0</v>
      </c>
      <c r="N137" s="105" t="e">
        <f>_xll.qlRateHelperQuoteName(M137)</f>
        <v>#NUM!</v>
      </c>
      <c r="O137" s="93" t="e">
        <f>_xll.qlInterestRateIndexFixingDate(S137,_xll.qlRateHelperEarliestDate(M137,Trigger),)</f>
        <v>#VALUE!</v>
      </c>
      <c r="P137" s="120" t="e">
        <f>_xll.qlRateHelperQuoteValue(M137,_xll.ohTrigger(RecalcTrigger,YieldCurve))</f>
        <v>#NUM!</v>
      </c>
      <c r="Q137" s="123" t="e">
        <f t="shared" si="16"/>
        <v>#NUM!</v>
      </c>
      <c r="R137" s="123">
        <v>2</v>
      </c>
      <c r="S137" s="123" t="e">
        <f>_xll.qlSwapIndex(,"Euribor",Q137,NDays,Currency,Calendar,"1Y","mf","30/360 (Bond Basis)",IborIndex,Discounting,,_xll.ohTrigger(Trigger,RecalcTrigger))</f>
        <v>#VALUE!</v>
      </c>
      <c r="T137" s="123" t="e">
        <f>_xll.qlVanillaSwapFromSwapIndex(,S137,O137)</f>
        <v>#VALUE!</v>
      </c>
      <c r="U137" s="110" t="e">
        <f>_xll.qlVanillaSwapFairRate(T137)</f>
        <v>#VALUE!</v>
      </c>
      <c r="V137" s="206" t="e">
        <f t="shared" si="12"/>
        <v>#VALUE!</v>
      </c>
      <c r="Y137" s="105" t="str">
        <f t="shared" si="13"/>
        <v>1D</v>
      </c>
      <c r="Z137" s="93">
        <f>_xll.qlCalendarAdvance(Calendar,Z136,Y137,"f",FALSE)</f>
        <v>42349</v>
      </c>
      <c r="AA137" s="117">
        <f>_xll.qlCalendarAdvance(Calendar,Z137,NDays&amp;"D")</f>
        <v>42353</v>
      </c>
      <c r="AB137" s="92">
        <v>9.5091841325888537E-4</v>
      </c>
      <c r="AC137" s="101">
        <v>7.476102056624967E-4</v>
      </c>
    </row>
    <row r="138" spans="13:29" x14ac:dyDescent="0.2">
      <c r="M138" s="209">
        <f>RateHelpers!B127</f>
        <v>0</v>
      </c>
      <c r="N138" s="105" t="e">
        <f>_xll.qlRateHelperQuoteName(M138)</f>
        <v>#NUM!</v>
      </c>
      <c r="O138" s="93" t="e">
        <f>_xll.qlInterestRateIndexFixingDate(S138,_xll.qlRateHelperEarliestDate(M138,Trigger),)</f>
        <v>#VALUE!</v>
      </c>
      <c r="P138" s="120" t="e">
        <f>_xll.qlRateHelperQuoteValue(M138,_xll.ohTrigger(RecalcTrigger,YieldCurve))</f>
        <v>#NUM!</v>
      </c>
      <c r="Q138" s="123" t="e">
        <f t="shared" si="16"/>
        <v>#NUM!</v>
      </c>
      <c r="R138" s="123">
        <v>2</v>
      </c>
      <c r="S138" s="123" t="e">
        <f>_xll.qlSwapIndex(,"Euribor",Q138,NDays,Currency,Calendar,"1Y","mf","30/360 (Bond Basis)",IborIndex,Discounting,,_xll.ohTrigger(Trigger,RecalcTrigger))</f>
        <v>#VALUE!</v>
      </c>
      <c r="T138" s="123" t="e">
        <f>_xll.qlVanillaSwapFromSwapIndex(,S138,O138)</f>
        <v>#VALUE!</v>
      </c>
      <c r="U138" s="110" t="e">
        <f>_xll.qlVanillaSwapFairRate(T138)</f>
        <v>#VALUE!</v>
      </c>
      <c r="V138" s="206" t="e">
        <f t="shared" si="12"/>
        <v>#VALUE!</v>
      </c>
      <c r="Y138" s="105" t="str">
        <f t="shared" si="13"/>
        <v>1D</v>
      </c>
      <c r="Z138" s="93">
        <f>_xll.qlCalendarAdvance(Calendar,Z137,Y138,"f",FALSE)</f>
        <v>42352</v>
      </c>
      <c r="AA138" s="117">
        <f>_xll.qlCalendarAdvance(Calendar,Z138,NDays&amp;"D")</f>
        <v>42354</v>
      </c>
      <c r="AB138" s="92">
        <v>9.5247894855025731E-4</v>
      </c>
      <c r="AC138" s="101">
        <v>7.579904523247194E-4</v>
      </c>
    </row>
    <row r="139" spans="13:29" x14ac:dyDescent="0.2">
      <c r="M139" s="209">
        <f>RateHelpers!B128</f>
        <v>0</v>
      </c>
      <c r="N139" s="105" t="e">
        <f>_xll.qlRateHelperQuoteName(M139)</f>
        <v>#NUM!</v>
      </c>
      <c r="O139" s="93" t="e">
        <f>_xll.qlInterestRateIndexFixingDate(S139,_xll.qlRateHelperEarliestDate(M139,Trigger),)</f>
        <v>#VALUE!</v>
      </c>
      <c r="P139" s="120" t="e">
        <f>_xll.qlRateHelperQuoteValue(M139,_xll.ohTrigger(RecalcTrigger,YieldCurve))</f>
        <v>#NUM!</v>
      </c>
      <c r="Q139" s="123" t="e">
        <f t="shared" si="16"/>
        <v>#NUM!</v>
      </c>
      <c r="R139" s="123">
        <v>2</v>
      </c>
      <c r="S139" s="123" t="e">
        <f>_xll.qlSwapIndex(,"Euribor",Q139,NDays,Currency,Calendar,"1Y","mf","30/360 (Bond Basis)",IborIndex,Discounting,,_xll.ohTrigger(Trigger,RecalcTrigger))</f>
        <v>#VALUE!</v>
      </c>
      <c r="T139" s="123" t="e">
        <f>_xll.qlVanillaSwapFromSwapIndex(,S139,O139)</f>
        <v>#VALUE!</v>
      </c>
      <c r="U139" s="110" t="e">
        <f>_xll.qlVanillaSwapFairRate(T139)</f>
        <v>#VALUE!</v>
      </c>
      <c r="V139" s="206" t="e">
        <f t="shared" si="12"/>
        <v>#VALUE!</v>
      </c>
      <c r="Y139" s="105" t="str">
        <f t="shared" si="13"/>
        <v>1D</v>
      </c>
      <c r="Z139" s="93">
        <f>_xll.qlCalendarAdvance(Calendar,Z138,Y139,"f",FALSE)</f>
        <v>42353</v>
      </c>
      <c r="AA139" s="117">
        <f>_xll.qlCalendarAdvance(Calendar,Z139,NDays&amp;"D")</f>
        <v>42355</v>
      </c>
      <c r="AB139" s="92">
        <v>9.5403590762471106E-4</v>
      </c>
      <c r="AC139" s="101">
        <v>7.6922468994489179E-4</v>
      </c>
    </row>
    <row r="140" spans="13:29" x14ac:dyDescent="0.2">
      <c r="M140" s="209">
        <f>RateHelpers!B129</f>
        <v>0</v>
      </c>
      <c r="N140" s="105" t="e">
        <f>_xll.qlRateHelperQuoteName(M140)</f>
        <v>#NUM!</v>
      </c>
      <c r="O140" s="93" t="e">
        <f>_xll.qlInterestRateIndexFixingDate(S140,_xll.qlRateHelperEarliestDate(M140,Trigger),)</f>
        <v>#VALUE!</v>
      </c>
      <c r="P140" s="120" t="e">
        <f>_xll.qlRateHelperQuoteValue(M140,_xll.ohTrigger(RecalcTrigger,YieldCurve))</f>
        <v>#NUM!</v>
      </c>
      <c r="Q140" s="123" t="e">
        <f t="shared" si="16"/>
        <v>#NUM!</v>
      </c>
      <c r="R140" s="123">
        <v>2</v>
      </c>
      <c r="S140" s="123" t="e">
        <f>_xll.qlSwapIndex(,"Euribor",Q140,NDays,Currency,Calendar,"1Y","mf","30/360 (Bond Basis)",IborIndex,Discounting,,_xll.ohTrigger(Trigger,RecalcTrigger))</f>
        <v>#VALUE!</v>
      </c>
      <c r="T140" s="123" t="e">
        <f>_xll.qlVanillaSwapFromSwapIndex(,S140,O140)</f>
        <v>#VALUE!</v>
      </c>
      <c r="U140" s="110" t="e">
        <f>_xll.qlVanillaSwapFairRate(T140)</f>
        <v>#VALUE!</v>
      </c>
      <c r="V140" s="206" t="e">
        <f t="shared" si="12"/>
        <v>#VALUE!</v>
      </c>
      <c r="Y140" s="105" t="str">
        <f t="shared" si="13"/>
        <v>1D</v>
      </c>
      <c r="Z140" s="93">
        <f>_xll.qlCalendarAdvance(Calendar,Z139,Y140,"f",FALSE)</f>
        <v>42354</v>
      </c>
      <c r="AA140" s="117">
        <f>_xll.qlCalendarAdvance(Calendar,Z140,NDays&amp;"D")</f>
        <v>42356</v>
      </c>
      <c r="AB140" s="92">
        <v>9.5684855875260251E-4</v>
      </c>
      <c r="AC140" s="101">
        <v>7.9454155497593604E-4</v>
      </c>
    </row>
    <row r="141" spans="13:29" x14ac:dyDescent="0.2">
      <c r="M141" s="209">
        <f>RateHelpers!B130</f>
        <v>0</v>
      </c>
      <c r="N141" s="105" t="e">
        <f>_xll.qlRateHelperQuoteName(M141)</f>
        <v>#NUM!</v>
      </c>
      <c r="O141" s="93" t="e">
        <f>_xll.qlInterestRateIndexFixingDate(S141,_xll.qlRateHelperEarliestDate(M141,Trigger),)</f>
        <v>#VALUE!</v>
      </c>
      <c r="P141" s="120" t="e">
        <f>_xll.qlRateHelperQuoteValue(M141,_xll.ohTrigger(RecalcTrigger,YieldCurve))</f>
        <v>#NUM!</v>
      </c>
      <c r="Q141" s="123" t="e">
        <f t="shared" si="16"/>
        <v>#NUM!</v>
      </c>
      <c r="R141" s="123">
        <v>2</v>
      </c>
      <c r="S141" s="123" t="e">
        <f>_xll.qlSwapIndex(,"Euribor",Q141,NDays,Currency,Calendar,"1Y","mf","30/360 (Bond Basis)",IborIndex,Discounting,,_xll.ohTrigger(Trigger,RecalcTrigger))</f>
        <v>#VALUE!</v>
      </c>
      <c r="T141" s="123" t="e">
        <f>_xll.qlVanillaSwapFromSwapIndex(,S141,O141)</f>
        <v>#VALUE!</v>
      </c>
      <c r="U141" s="110" t="e">
        <f>_xll.qlVanillaSwapFairRate(T141)</f>
        <v>#VALUE!</v>
      </c>
      <c r="V141" s="206" t="e">
        <f t="shared" si="12"/>
        <v>#VALUE!</v>
      </c>
      <c r="Y141" s="105" t="str">
        <f t="shared" si="13"/>
        <v>1D</v>
      </c>
      <c r="Z141" s="93">
        <f>_xll.qlCalendarAdvance(Calendar,Z140,Y141,"f",FALSE)</f>
        <v>42355</v>
      </c>
      <c r="AA141" s="117">
        <f>_xll.qlCalendarAdvance(Calendar,Z141,NDays&amp;"D")</f>
        <v>42359</v>
      </c>
      <c r="AB141" s="92">
        <v>9.6024143332544033E-4</v>
      </c>
      <c r="AC141" s="101">
        <v>8.2270155016495039E-4</v>
      </c>
    </row>
    <row r="142" spans="13:29" x14ac:dyDescent="0.2">
      <c r="M142" s="209">
        <f>RateHelpers!B131</f>
        <v>0</v>
      </c>
      <c r="N142" s="105" t="e">
        <f>_xll.qlRateHelperQuoteName(M142)</f>
        <v>#NUM!</v>
      </c>
      <c r="O142" s="93" t="e">
        <f>_xll.qlInterestRateIndexFixingDate(S142,_xll.qlRateHelperEarliestDate(M142,Trigger),)</f>
        <v>#VALUE!</v>
      </c>
      <c r="P142" s="120" t="e">
        <f>_xll.qlRateHelperQuoteValue(M142,_xll.ohTrigger(RecalcTrigger,YieldCurve))</f>
        <v>#NUM!</v>
      </c>
      <c r="Q142" s="123" t="e">
        <f t="shared" si="16"/>
        <v>#NUM!</v>
      </c>
      <c r="R142" s="123">
        <v>2</v>
      </c>
      <c r="S142" s="123" t="e">
        <f>_xll.qlSwapIndex(,"Euribor",Q142,NDays,Currency,Calendar,"1Y","mf","30/360 (Bond Basis)",IborIndex,Discounting,,_xll.ohTrigger(Trigger,RecalcTrigger))</f>
        <v>#VALUE!</v>
      </c>
      <c r="T142" s="123" t="e">
        <f>_xll.qlVanillaSwapFromSwapIndex(,S142,O142)</f>
        <v>#VALUE!</v>
      </c>
      <c r="U142" s="110" t="e">
        <f>_xll.qlVanillaSwapFairRate(T142)</f>
        <v>#VALUE!</v>
      </c>
      <c r="V142" s="206" t="e">
        <f t="shared" ref="V142:V205" si="17">U142-P142</f>
        <v>#VALUE!</v>
      </c>
      <c r="Y142" s="105" t="str">
        <f t="shared" si="13"/>
        <v>1D</v>
      </c>
      <c r="Z142" s="93">
        <f>_xll.qlCalendarAdvance(Calendar,Z141,Y142,"f",FALSE)</f>
        <v>42356</v>
      </c>
      <c r="AA142" s="117">
        <f>_xll.qlCalendarAdvance(Calendar,Z142,NDays&amp;"D")</f>
        <v>42360</v>
      </c>
      <c r="AB142" s="92">
        <v>9.6179060001501469E-4</v>
      </c>
      <c r="AC142" s="101">
        <v>8.3820574329429576E-4</v>
      </c>
    </row>
    <row r="143" spans="13:29" x14ac:dyDescent="0.2">
      <c r="M143" s="209">
        <f>RateHelpers!B132</f>
        <v>0</v>
      </c>
      <c r="N143" s="105" t="e">
        <f>_xll.qlRateHelperQuoteName(M143)</f>
        <v>#NUM!</v>
      </c>
      <c r="O143" s="93" t="e">
        <f>_xll.qlInterestRateIndexFixingDate(S143,_xll.qlRateHelperEarliestDate(M143,Trigger),)</f>
        <v>#VALUE!</v>
      </c>
      <c r="P143" s="120" t="e">
        <f>_xll.qlRateHelperQuoteValue(M143,_xll.ohTrigger(RecalcTrigger,YieldCurve))</f>
        <v>#NUM!</v>
      </c>
      <c r="Q143" s="123" t="e">
        <f t="shared" si="16"/>
        <v>#NUM!</v>
      </c>
      <c r="R143" s="123">
        <v>2</v>
      </c>
      <c r="S143" s="123" t="e">
        <f>_xll.qlSwapIndex(,"Euribor",Q143,NDays,Currency,Calendar,"1Y","mf","30/360 (Bond Basis)",IborIndex,Discounting,,_xll.ohTrigger(Trigger,RecalcTrigger))</f>
        <v>#VALUE!</v>
      </c>
      <c r="T143" s="123" t="e">
        <f>_xll.qlVanillaSwapFromSwapIndex(,S143,O143)</f>
        <v>#VALUE!</v>
      </c>
      <c r="U143" s="110" t="e">
        <f>_xll.qlVanillaSwapFairRate(T143)</f>
        <v>#VALUE!</v>
      </c>
      <c r="V143" s="206" t="e">
        <f t="shared" si="17"/>
        <v>#VALUE!</v>
      </c>
      <c r="Y143" s="105" t="str">
        <f t="shared" si="13"/>
        <v>1D</v>
      </c>
      <c r="Z143" s="93">
        <f>_xll.qlCalendarAdvance(Calendar,Z142,Y143,"f",FALSE)</f>
        <v>42359</v>
      </c>
      <c r="AA143" s="117">
        <f>_xll.qlCalendarAdvance(Calendar,Z143,NDays&amp;"D")</f>
        <v>42361</v>
      </c>
      <c r="AB143" s="92">
        <v>9.6334022598266902E-4</v>
      </c>
      <c r="AC143" s="101">
        <v>8.5456392770133505E-4</v>
      </c>
    </row>
    <row r="144" spans="13:29" x14ac:dyDescent="0.2">
      <c r="M144" s="209">
        <f>RateHelpers!B133</f>
        <v>0</v>
      </c>
      <c r="N144" s="105" t="e">
        <f>_xll.qlRateHelperQuoteName(M144)</f>
        <v>#NUM!</v>
      </c>
      <c r="O144" s="93" t="e">
        <f>_xll.qlInterestRateIndexFixingDate(S144,_xll.qlRateHelperEarliestDate(M144,Trigger),)</f>
        <v>#VALUE!</v>
      </c>
      <c r="P144" s="120" t="e">
        <f>_xll.qlRateHelperQuoteValue(M144,_xll.ohTrigger(RecalcTrigger,YieldCurve))</f>
        <v>#NUM!</v>
      </c>
      <c r="Q144" s="123" t="e">
        <f t="shared" si="16"/>
        <v>#NUM!</v>
      </c>
      <c r="R144" s="123">
        <v>2</v>
      </c>
      <c r="S144" s="123" t="e">
        <f>_xll.qlSwapIndex(,"Euribor",Q144,NDays,Currency,Calendar,"1Y","mf","30/360 (Bond Basis)",IborIndex,Discounting,,_xll.ohTrigger(Trigger,RecalcTrigger))</f>
        <v>#VALUE!</v>
      </c>
      <c r="T144" s="123" t="e">
        <f>_xll.qlVanillaSwapFromSwapIndex(,S144,O144)</f>
        <v>#VALUE!</v>
      </c>
      <c r="U144" s="110" t="e">
        <f>_xll.qlVanillaSwapFairRate(T144)</f>
        <v>#VALUE!</v>
      </c>
      <c r="V144" s="206" t="e">
        <f t="shared" si="17"/>
        <v>#VALUE!</v>
      </c>
      <c r="Y144" s="105" t="str">
        <f t="shared" si="13"/>
        <v>1D</v>
      </c>
      <c r="Z144" s="93">
        <f>_xll.qlCalendarAdvance(Calendar,Z143,Y144,"f",FALSE)</f>
        <v>42360</v>
      </c>
      <c r="AA144" s="117">
        <f>_xll.qlCalendarAdvance(Calendar,Z144,NDays&amp;"D")</f>
        <v>42362</v>
      </c>
      <c r="AB144" s="92">
        <v>9.6489098381912972E-4</v>
      </c>
      <c r="AC144" s="101">
        <v>8.9973271924836951E-4</v>
      </c>
    </row>
    <row r="145" spans="13:29" x14ac:dyDescent="0.2">
      <c r="M145" s="209">
        <f>RateHelpers!B134</f>
        <v>0</v>
      </c>
      <c r="N145" s="105" t="e">
        <f>_xll.qlRateHelperQuoteName(M145)</f>
        <v>#NUM!</v>
      </c>
      <c r="O145" s="93" t="e">
        <f>_xll.qlInterestRateIndexFixingDate(S145,_xll.qlRateHelperEarliestDate(M145,Trigger),)</f>
        <v>#VALUE!</v>
      </c>
      <c r="P145" s="120" t="e">
        <f>_xll.qlRateHelperQuoteValue(M145,_xll.ohTrigger(RecalcTrigger,YieldCurve))</f>
        <v>#NUM!</v>
      </c>
      <c r="Q145" s="123" t="e">
        <f t="shared" si="16"/>
        <v>#NUM!</v>
      </c>
      <c r="R145" s="123">
        <v>2</v>
      </c>
      <c r="S145" s="123" t="e">
        <f>_xll.qlSwapIndex(,"Euribor",Q145,NDays,Currency,Calendar,"1Y","mf","30/360 (Bond Basis)",IborIndex,Discounting,,_xll.ohTrigger(Trigger,RecalcTrigger))</f>
        <v>#VALUE!</v>
      </c>
      <c r="T145" s="123" t="e">
        <f>_xll.qlVanillaSwapFromSwapIndex(,S145,O145)</f>
        <v>#VALUE!</v>
      </c>
      <c r="U145" s="110" t="e">
        <f>_xll.qlVanillaSwapFairRate(T145)</f>
        <v>#VALUE!</v>
      </c>
      <c r="V145" s="206" t="e">
        <f t="shared" si="17"/>
        <v>#VALUE!</v>
      </c>
      <c r="Y145" s="105" t="str">
        <f t="shared" si="13"/>
        <v>1D</v>
      </c>
      <c r="Z145" s="93">
        <f>_xll.qlCalendarAdvance(Calendar,Z144,Y145,"f",FALSE)</f>
        <v>42361</v>
      </c>
      <c r="AA145" s="117">
        <f>_xll.qlCalendarAdvance(Calendar,Z145,NDays&amp;"D")</f>
        <v>42366</v>
      </c>
      <c r="AB145" s="92">
        <v>9.7111878572565704E-4</v>
      </c>
      <c r="AC145" s="101">
        <v>9.49164725376761E-4</v>
      </c>
    </row>
    <row r="146" spans="13:29" x14ac:dyDescent="0.2">
      <c r="M146" s="209">
        <f>RateHelpers!B135</f>
        <v>0</v>
      </c>
      <c r="N146" s="105" t="e">
        <f>_xll.qlRateHelperQuoteName(M146)</f>
        <v>#NUM!</v>
      </c>
      <c r="O146" s="93" t="e">
        <f>_xll.qlInterestRateIndexFixingDate(S146,_xll.qlRateHelperEarliestDate(M146,Trigger),)</f>
        <v>#VALUE!</v>
      </c>
      <c r="P146" s="120" t="e">
        <f>_xll.qlRateHelperQuoteValue(M146,_xll.ohTrigger(RecalcTrigger,YieldCurve))</f>
        <v>#NUM!</v>
      </c>
      <c r="Q146" s="123" t="e">
        <f t="shared" si="16"/>
        <v>#NUM!</v>
      </c>
      <c r="R146" s="123">
        <v>2</v>
      </c>
      <c r="S146" s="123" t="e">
        <f>_xll.qlSwapIndex(,"Euribor",Q146,NDays,Currency,Calendar,"1Y","mf","30/360 (Bond Basis)",IborIndex,Discounting,,_xll.ohTrigger(Trigger,RecalcTrigger))</f>
        <v>#VALUE!</v>
      </c>
      <c r="T146" s="123" t="e">
        <f>_xll.qlVanillaSwapFromSwapIndex(,S146,O146)</f>
        <v>#VALUE!</v>
      </c>
      <c r="U146" s="110" t="e">
        <f>_xll.qlVanillaSwapFairRate(T146)</f>
        <v>#VALUE!</v>
      </c>
      <c r="V146" s="206" t="e">
        <f t="shared" si="17"/>
        <v>#VALUE!</v>
      </c>
      <c r="Y146" s="105" t="str">
        <f t="shared" si="13"/>
        <v>1D</v>
      </c>
      <c r="Z146" s="93">
        <f>_xll.qlCalendarAdvance(Calendar,Z145,Y146,"f",FALSE)</f>
        <v>42362</v>
      </c>
      <c r="AA146" s="117">
        <f>_xll.qlCalendarAdvance(Calendar,Z146,NDays&amp;"D")</f>
        <v>42367</v>
      </c>
      <c r="AB146" s="92">
        <v>9.7268529182950733E-4</v>
      </c>
      <c r="AC146" s="101">
        <v>9.706468608872143E-4</v>
      </c>
    </row>
    <row r="147" spans="13:29" x14ac:dyDescent="0.2">
      <c r="M147" s="209">
        <f>RateHelpers!B136</f>
        <v>0</v>
      </c>
      <c r="N147" s="105" t="e">
        <f>_xll.qlRateHelperQuoteName(M147)</f>
        <v>#NUM!</v>
      </c>
      <c r="O147" s="93" t="e">
        <f>_xll.qlInterestRateIndexFixingDate(S147,_xll.qlRateHelperEarliestDate(M147,Trigger),)</f>
        <v>#VALUE!</v>
      </c>
      <c r="P147" s="120" t="e">
        <f>_xll.qlRateHelperQuoteValue(M147,_xll.ohTrigger(RecalcTrigger,YieldCurve))</f>
        <v>#NUM!</v>
      </c>
      <c r="Q147" s="123" t="e">
        <f t="shared" si="16"/>
        <v>#NUM!</v>
      </c>
      <c r="R147" s="123">
        <v>2</v>
      </c>
      <c r="S147" s="123" t="e">
        <f>_xll.qlSwapIndex(,"Euribor",Q147,NDays,Currency,Calendar,"1Y","mf","30/360 (Bond Basis)",IborIndex,Discounting,,_xll.ohTrigger(Trigger,RecalcTrigger))</f>
        <v>#VALUE!</v>
      </c>
      <c r="T147" s="123" t="e">
        <f>_xll.qlVanillaSwapFromSwapIndex(,S147,O147)</f>
        <v>#VALUE!</v>
      </c>
      <c r="U147" s="110" t="e">
        <f>_xll.qlVanillaSwapFairRate(T147)</f>
        <v>#VALUE!</v>
      </c>
      <c r="V147" s="206" t="e">
        <f t="shared" si="17"/>
        <v>#VALUE!</v>
      </c>
      <c r="Y147" s="105" t="str">
        <f t="shared" si="13"/>
        <v>1D</v>
      </c>
      <c r="Z147" s="93">
        <f>_xll.qlCalendarAdvance(Calendar,Z146,Y147,"f",FALSE)</f>
        <v>42366</v>
      </c>
      <c r="AA147" s="117">
        <f>_xll.qlCalendarAdvance(Calendar,Z147,NDays&amp;"D")</f>
        <v>42368</v>
      </c>
      <c r="AB147" s="92">
        <v>9.7425696538758167E-4</v>
      </c>
      <c r="AC147" s="101">
        <v>9.9298298871453028E-4</v>
      </c>
    </row>
    <row r="148" spans="13:29" x14ac:dyDescent="0.2">
      <c r="M148" s="209">
        <f>RateHelpers!B137</f>
        <v>0</v>
      </c>
      <c r="N148" s="105" t="e">
        <f>_xll.qlRateHelperQuoteName(M148)</f>
        <v>#NUM!</v>
      </c>
      <c r="O148" s="93" t="e">
        <f>_xll.qlInterestRateIndexFixingDate(S148,_xll.qlRateHelperEarliestDate(M148,Trigger),)</f>
        <v>#VALUE!</v>
      </c>
      <c r="P148" s="120" t="e">
        <f>_xll.qlRateHelperQuoteValue(M148,_xll.ohTrigger(RecalcTrigger,YieldCurve))</f>
        <v>#NUM!</v>
      </c>
      <c r="Q148" s="123" t="e">
        <f t="shared" si="16"/>
        <v>#NUM!</v>
      </c>
      <c r="R148" s="123">
        <v>2</v>
      </c>
      <c r="S148" s="123" t="e">
        <f>_xll.qlSwapIndex(,"Euribor",Q148,NDays,Currency,Calendar,"1Y","mf","30/360 (Bond Basis)",IborIndex,Discounting,,_xll.ohTrigger(Trigger,RecalcTrigger))</f>
        <v>#VALUE!</v>
      </c>
      <c r="T148" s="123" t="e">
        <f>_xll.qlVanillaSwapFromSwapIndex(,S148,O148)</f>
        <v>#VALUE!</v>
      </c>
      <c r="U148" s="110" t="e">
        <f>_xll.qlVanillaSwapFairRate(T148)</f>
        <v>#VALUE!</v>
      </c>
      <c r="V148" s="206" t="e">
        <f t="shared" si="17"/>
        <v>#VALUE!</v>
      </c>
      <c r="Y148" s="105" t="str">
        <f t="shared" si="13"/>
        <v>1D</v>
      </c>
      <c r="Z148" s="93">
        <f>_xll.qlCalendarAdvance(Calendar,Z147,Y148,"f",FALSE)</f>
        <v>42367</v>
      </c>
      <c r="AA148" s="117">
        <f>_xll.qlCalendarAdvance(Calendar,Z148,NDays&amp;"D")</f>
        <v>42369</v>
      </c>
      <c r="AB148" s="92">
        <v>9.7415138816130716E-4</v>
      </c>
      <c r="AC148" s="101">
        <v>1.0530978914102818E-3</v>
      </c>
    </row>
    <row r="149" spans="13:29" ht="12" thickBot="1" x14ac:dyDescent="0.25">
      <c r="M149" s="210">
        <f>RateHelpers!B138</f>
        <v>0</v>
      </c>
      <c r="N149" s="106" t="e">
        <f>_xll.qlRateHelperQuoteName(M149)</f>
        <v>#NUM!</v>
      </c>
      <c r="O149" s="103" t="e">
        <f>_xll.qlInterestRateIndexFixingDate(S149,_xll.qlRateHelperEarliestDate(M149,Trigger),)</f>
        <v>#VALUE!</v>
      </c>
      <c r="P149" s="121" t="e">
        <f>_xll.qlRateHelperQuoteValue(M149,_xll.ohTrigger(RecalcTrigger,YieldCurve))</f>
        <v>#NUM!</v>
      </c>
      <c r="Q149" s="124" t="e">
        <f t="shared" si="16"/>
        <v>#NUM!</v>
      </c>
      <c r="R149" s="124">
        <v>2</v>
      </c>
      <c r="S149" s="124" t="e">
        <f>_xll.qlSwapIndex(,"Euribor",Q149,NDays,Currency,Calendar,"1Y","mf","30/360 (Bond Basis)",IborIndex,Discounting,,_xll.ohTrigger(Trigger,RecalcTrigger))</f>
        <v>#VALUE!</v>
      </c>
      <c r="T149" s="124" t="e">
        <f>_xll.qlVanillaSwapFromSwapIndex(,S149,O149)</f>
        <v>#VALUE!</v>
      </c>
      <c r="U149" s="112" t="e">
        <f>_xll.qlVanillaSwapFairRate(T149)</f>
        <v>#VALUE!</v>
      </c>
      <c r="V149" s="207" t="e">
        <f t="shared" si="17"/>
        <v>#VALUE!</v>
      </c>
      <c r="Y149" s="105" t="str">
        <f t="shared" ref="Y149:Y212" si="18">Y148</f>
        <v>1D</v>
      </c>
      <c r="Z149" s="93">
        <f>_xll.qlCalendarAdvance(Calendar,Z148,Y149,"f",FALSE)</f>
        <v>42368</v>
      </c>
      <c r="AA149" s="117">
        <f>_xll.qlCalendarAdvance(Calendar,Z149,NDays&amp;"D")</f>
        <v>42373</v>
      </c>
      <c r="AB149" s="92">
        <v>9.8000000000009559E-4</v>
      </c>
      <c r="AC149" s="101">
        <v>1.1169975069691418E-3</v>
      </c>
    </row>
    <row r="150" spans="13:29" x14ac:dyDescent="0.2">
      <c r="M150" s="211">
        <f>RateHelpers!B139</f>
        <v>0</v>
      </c>
      <c r="N150" s="195" t="e">
        <f>_xll.qlRateHelperQuoteName(M150)</f>
        <v>#NUM!</v>
      </c>
      <c r="O150" s="192" t="e">
        <f>_xll.qlInterestRateIndexFixingDate(S150,_xll.qlRateHelperEarliestDate(M150,Trigger),)</f>
        <v>#VALUE!</v>
      </c>
      <c r="P150" s="193" t="e">
        <f>_xll.qlRateHelperQuoteValue(M150,_xll.ohTrigger(RecalcTrigger,YieldCurve))</f>
        <v>#NUM!</v>
      </c>
      <c r="Q150" s="191" t="e">
        <f t="shared" ref="Q150:Q167" si="19">SUBSTITUTE(SUBSTITUTE(N150,"_Quote",""),"EUR5F","")</f>
        <v>#NUM!</v>
      </c>
      <c r="R150" s="191">
        <v>2</v>
      </c>
      <c r="S150" s="191" t="e">
        <f>_xll.qlSwapIndex(,"Euribor",Q150,NDays,Currency,Calendar,"1Y","mf","30/360 (Bond Basis)",IborIndex,Discounting,,_xll.ohTrigger(Trigger,RecalcTrigger))</f>
        <v>#VALUE!</v>
      </c>
      <c r="T150" s="191" t="e">
        <f>_xll.qlVanillaSwapFromSwapIndex(,S150,O150)</f>
        <v>#VALUE!</v>
      </c>
      <c r="U150" s="194" t="e">
        <f>_xll.qlVanillaSwapFairRate(T150)</f>
        <v>#VALUE!</v>
      </c>
      <c r="V150" s="208" t="e">
        <f t="shared" si="17"/>
        <v>#VALUE!</v>
      </c>
      <c r="Y150" s="105" t="str">
        <f t="shared" si="18"/>
        <v>1D</v>
      </c>
      <c r="Z150" s="93">
        <f>_xll.qlCalendarAdvance(Calendar,Z149,Y150,"f",FALSE)</f>
        <v>42369</v>
      </c>
      <c r="AA150" s="117">
        <f>_xll.qlCalendarAdvance(Calendar,Z150,NDays&amp;"D")</f>
        <v>42374</v>
      </c>
      <c r="AB150" s="92">
        <v>9.8146988335622563E-4</v>
      </c>
      <c r="AC150" s="101">
        <v>1.1416015190768292E-3</v>
      </c>
    </row>
    <row r="151" spans="13:29" x14ac:dyDescent="0.2">
      <c r="M151" s="209">
        <f>RateHelpers!B140</f>
        <v>0</v>
      </c>
      <c r="N151" s="105" t="e">
        <f>_xll.qlRateHelperQuoteName(M151)</f>
        <v>#NUM!</v>
      </c>
      <c r="O151" s="93" t="e">
        <f>_xll.qlInterestRateIndexFixingDate(S151,_xll.qlRateHelperEarliestDate(M151,Trigger),)</f>
        <v>#VALUE!</v>
      </c>
      <c r="P151" s="120" t="e">
        <f>_xll.qlRateHelperQuoteValue(M151,_xll.ohTrigger(RecalcTrigger,YieldCurve))</f>
        <v>#NUM!</v>
      </c>
      <c r="Q151" s="123" t="e">
        <f t="shared" si="19"/>
        <v>#NUM!</v>
      </c>
      <c r="R151" s="123">
        <v>2</v>
      </c>
      <c r="S151" s="123" t="e">
        <f>_xll.qlSwapIndex(,"Euribor",Q151,NDays,Currency,Calendar,"1Y","mf","30/360 (Bond Basis)",IborIndex,Discounting,,_xll.ohTrigger(Trigger,RecalcTrigger))</f>
        <v>#VALUE!</v>
      </c>
      <c r="T151" s="123" t="e">
        <f>_xll.qlVanillaSwapFromSwapIndex(,S151,O151)</f>
        <v>#VALUE!</v>
      </c>
      <c r="U151" s="110" t="e">
        <f>_xll.qlVanillaSwapFairRate(T151)</f>
        <v>#VALUE!</v>
      </c>
      <c r="V151" s="206" t="e">
        <f t="shared" si="17"/>
        <v>#VALUE!</v>
      </c>
      <c r="Y151" s="105" t="str">
        <f t="shared" si="18"/>
        <v>1D</v>
      </c>
      <c r="Z151" s="93">
        <f>_xll.qlCalendarAdvance(Calendar,Z150,Y151,"f",FALSE)</f>
        <v>42373</v>
      </c>
      <c r="AA151" s="117">
        <f>_xll.qlCalendarAdvance(Calendar,Z151,NDays&amp;"D")</f>
        <v>42375</v>
      </c>
      <c r="AB151" s="92">
        <v>9.8294261407909345E-4</v>
      </c>
      <c r="AC151" s="101">
        <v>1.1642034507630683E-3</v>
      </c>
    </row>
    <row r="152" spans="13:29" x14ac:dyDescent="0.2">
      <c r="M152" s="209">
        <f>RateHelpers!B141</f>
        <v>0</v>
      </c>
      <c r="N152" s="105" t="e">
        <f>_xll.qlRateHelperQuoteName(M152)</f>
        <v>#NUM!</v>
      </c>
      <c r="O152" s="93" t="e">
        <f>_xll.qlInterestRateIndexFixingDate(S152,_xll.qlRateHelperEarliestDate(M152,Trigger),)</f>
        <v>#VALUE!</v>
      </c>
      <c r="P152" s="120" t="e">
        <f>_xll.qlRateHelperQuoteValue(M152,_xll.ohTrigger(RecalcTrigger,YieldCurve))</f>
        <v>#NUM!</v>
      </c>
      <c r="Q152" s="123" t="e">
        <f t="shared" si="19"/>
        <v>#NUM!</v>
      </c>
      <c r="R152" s="123">
        <v>2</v>
      </c>
      <c r="S152" s="123" t="e">
        <f>_xll.qlSwapIndex(,"Euribor",Q152,NDays,Currency,Calendar,"1Y","mf","30/360 (Bond Basis)",IborIndex,Discounting,,_xll.ohTrigger(Trigger,RecalcTrigger))</f>
        <v>#VALUE!</v>
      </c>
      <c r="T152" s="123" t="e">
        <f>_xll.qlVanillaSwapFromSwapIndex(,S152,O152)</f>
        <v>#VALUE!</v>
      </c>
      <c r="U152" s="110" t="e">
        <f>_xll.qlVanillaSwapFairRate(T152)</f>
        <v>#VALUE!</v>
      </c>
      <c r="V152" s="206" t="e">
        <f t="shared" si="17"/>
        <v>#VALUE!</v>
      </c>
      <c r="Y152" s="105" t="str">
        <f t="shared" si="18"/>
        <v>1D</v>
      </c>
      <c r="Z152" s="93">
        <f>_xll.qlCalendarAdvance(Calendar,Z151,Y152,"f",FALSE)</f>
        <v>42374</v>
      </c>
      <c r="AA152" s="117">
        <f>_xll.qlCalendarAdvance(Calendar,Z152,NDays&amp;"D")</f>
        <v>42376</v>
      </c>
      <c r="AB152" s="92">
        <v>9.8441715698050066E-4</v>
      </c>
      <c r="AC152" s="101">
        <v>1.184803301708115E-3</v>
      </c>
    </row>
    <row r="153" spans="13:29" x14ac:dyDescent="0.2">
      <c r="M153" s="209">
        <f>RateHelpers!B142</f>
        <v>0</v>
      </c>
      <c r="N153" s="105" t="e">
        <f>_xll.qlRateHelperQuoteName(M153)</f>
        <v>#NUM!</v>
      </c>
      <c r="O153" s="93" t="e">
        <f>_xll.qlInterestRateIndexFixingDate(S153,_xll.qlRateHelperEarliestDate(M153,Trigger),)</f>
        <v>#VALUE!</v>
      </c>
      <c r="P153" s="120" t="e">
        <f>_xll.qlRateHelperQuoteValue(M153,_xll.ohTrigger(RecalcTrigger,YieldCurve))</f>
        <v>#NUM!</v>
      </c>
      <c r="Q153" s="123" t="e">
        <f t="shared" si="19"/>
        <v>#NUM!</v>
      </c>
      <c r="R153" s="123">
        <v>2</v>
      </c>
      <c r="S153" s="123" t="e">
        <f>_xll.qlSwapIndex(,"Euribor",Q153,NDays,Currency,Calendar,"1Y","mf","30/360 (Bond Basis)",IborIndex,Discounting,,_xll.ohTrigger(Trigger,RecalcTrigger))</f>
        <v>#VALUE!</v>
      </c>
      <c r="T153" s="123" t="e">
        <f>_xll.qlVanillaSwapFromSwapIndex(,S153,O153)</f>
        <v>#VALUE!</v>
      </c>
      <c r="U153" s="110" t="e">
        <f>_xll.qlVanillaSwapFairRate(T153)</f>
        <v>#VALUE!</v>
      </c>
      <c r="V153" s="206" t="e">
        <f t="shared" si="17"/>
        <v>#VALUE!</v>
      </c>
      <c r="Y153" s="105" t="str">
        <f t="shared" si="18"/>
        <v>1D</v>
      </c>
      <c r="Z153" s="93">
        <f>_xll.qlCalendarAdvance(Calendar,Z152,Y153,"f",FALSE)</f>
        <v>42375</v>
      </c>
      <c r="AA153" s="117">
        <f>_xll.qlCalendarAdvance(Calendar,Z153,NDays&amp;"D")</f>
        <v>42377</v>
      </c>
      <c r="AB153" s="92">
        <v>9.8589247686917342E-4</v>
      </c>
      <c r="AC153" s="101">
        <v>1.2193335288923635E-3</v>
      </c>
    </row>
    <row r="154" spans="13:29" x14ac:dyDescent="0.2">
      <c r="M154" s="209">
        <f>RateHelpers!B143</f>
        <v>0</v>
      </c>
      <c r="N154" s="105" t="e">
        <f>_xll.qlRateHelperQuoteName(M154)</f>
        <v>#NUM!</v>
      </c>
      <c r="O154" s="93" t="e">
        <f>_xll.qlInterestRateIndexFixingDate(S154,_xll.qlRateHelperEarliestDate(M154,Trigger),)</f>
        <v>#VALUE!</v>
      </c>
      <c r="P154" s="120" t="e">
        <f>_xll.qlRateHelperQuoteValue(M154,_xll.ohTrigger(RecalcTrigger,YieldCurve))</f>
        <v>#NUM!</v>
      </c>
      <c r="Q154" s="123" t="e">
        <f t="shared" si="19"/>
        <v>#NUM!</v>
      </c>
      <c r="R154" s="123">
        <v>2</v>
      </c>
      <c r="S154" s="123" t="e">
        <f>_xll.qlSwapIndex(,"Euribor",Q154,NDays,Currency,Calendar,"1Y","mf","30/360 (Bond Basis)",IborIndex,Discounting,,_xll.ohTrigger(Trigger,RecalcTrigger))</f>
        <v>#VALUE!</v>
      </c>
      <c r="T154" s="123" t="e">
        <f>_xll.qlVanillaSwapFromSwapIndex(,S154,O154)</f>
        <v>#VALUE!</v>
      </c>
      <c r="U154" s="110" t="e">
        <f>_xll.qlVanillaSwapFairRate(T154)</f>
        <v>#VALUE!</v>
      </c>
      <c r="V154" s="206" t="e">
        <f t="shared" si="17"/>
        <v>#VALUE!</v>
      </c>
      <c r="Y154" s="105" t="str">
        <f t="shared" si="18"/>
        <v>1D</v>
      </c>
      <c r="Z154" s="93">
        <f>_xll.qlCalendarAdvance(Calendar,Z153,Y154,"f",FALSE)</f>
        <v>42376</v>
      </c>
      <c r="AA154" s="117">
        <f>_xll.qlCalendarAdvance(Calendar,Z154,NDays&amp;"D")</f>
        <v>42380</v>
      </c>
      <c r="AB154" s="92">
        <v>9.9031274650520609E-4</v>
      </c>
      <c r="AC154" s="101">
        <v>1.2471818911219401E-3</v>
      </c>
    </row>
    <row r="155" spans="13:29" x14ac:dyDescent="0.2">
      <c r="M155" s="209">
        <f>RateHelpers!B144</f>
        <v>0</v>
      </c>
      <c r="N155" s="105" t="e">
        <f>_xll.qlRateHelperQuoteName(M155)</f>
        <v>#NUM!</v>
      </c>
      <c r="O155" s="93" t="e">
        <f>_xll.qlInterestRateIndexFixingDate(S155,_xll.qlRateHelperEarliestDate(M155,Trigger),)</f>
        <v>#VALUE!</v>
      </c>
      <c r="P155" s="120" t="e">
        <f>_xll.qlRateHelperQuoteValue(M155,_xll.ohTrigger(RecalcTrigger,YieldCurve))</f>
        <v>#NUM!</v>
      </c>
      <c r="Q155" s="123" t="e">
        <f t="shared" si="19"/>
        <v>#NUM!</v>
      </c>
      <c r="R155" s="123">
        <v>2</v>
      </c>
      <c r="S155" s="123" t="e">
        <f>_xll.qlSwapIndex(,"Euribor",Q155,NDays,Currency,Calendar,"1Y","mf","30/360 (Bond Basis)",IborIndex,Discounting,,_xll.ohTrigger(Trigger,RecalcTrigger))</f>
        <v>#VALUE!</v>
      </c>
      <c r="T155" s="123" t="e">
        <f>_xll.qlVanillaSwapFromSwapIndex(,S155,O155)</f>
        <v>#VALUE!</v>
      </c>
      <c r="U155" s="110" t="e">
        <f>_xll.qlVanillaSwapFairRate(T155)</f>
        <v>#VALUE!</v>
      </c>
      <c r="V155" s="206" t="e">
        <f t="shared" si="17"/>
        <v>#VALUE!</v>
      </c>
      <c r="Y155" s="105" t="str">
        <f t="shared" si="18"/>
        <v>1D</v>
      </c>
      <c r="Z155" s="93">
        <f>_xll.qlCalendarAdvance(Calendar,Z154,Y155,"f",FALSE)</f>
        <v>42377</v>
      </c>
      <c r="AA155" s="117">
        <f>_xll.qlCalendarAdvance(Calendar,Z155,NDays&amp;"D")</f>
        <v>42381</v>
      </c>
      <c r="AB155" s="92">
        <v>9.9178082237223264E-4</v>
      </c>
      <c r="AC155" s="101">
        <v>1.257771333564861E-3</v>
      </c>
    </row>
    <row r="156" spans="13:29" x14ac:dyDescent="0.2">
      <c r="M156" s="209">
        <f>RateHelpers!B145</f>
        <v>0</v>
      </c>
      <c r="N156" s="105" t="e">
        <f>_xll.qlRateHelperQuoteName(M156)</f>
        <v>#NUM!</v>
      </c>
      <c r="O156" s="93" t="e">
        <f>_xll.qlInterestRateIndexFixingDate(S156,_xll.qlRateHelperEarliestDate(M156,Trigger),)</f>
        <v>#VALUE!</v>
      </c>
      <c r="P156" s="120" t="e">
        <f>_xll.qlRateHelperQuoteValue(M156,_xll.ohTrigger(RecalcTrigger,YieldCurve))</f>
        <v>#NUM!</v>
      </c>
      <c r="Q156" s="123" t="e">
        <f t="shared" si="19"/>
        <v>#NUM!</v>
      </c>
      <c r="R156" s="123">
        <v>2</v>
      </c>
      <c r="S156" s="123" t="e">
        <f>_xll.qlSwapIndex(,"Euribor",Q156,NDays,Currency,Calendar,"1Y","mf","30/360 (Bond Basis)",IborIndex,Discounting,,_xll.ohTrigger(Trigger,RecalcTrigger))</f>
        <v>#VALUE!</v>
      </c>
      <c r="T156" s="123" t="e">
        <f>_xll.qlVanillaSwapFromSwapIndex(,S156,O156)</f>
        <v>#VALUE!</v>
      </c>
      <c r="U156" s="110" t="e">
        <f>_xll.qlVanillaSwapFairRate(T156)</f>
        <v>#VALUE!</v>
      </c>
      <c r="V156" s="206" t="e">
        <f t="shared" si="17"/>
        <v>#VALUE!</v>
      </c>
      <c r="Y156" s="105" t="str">
        <f t="shared" si="18"/>
        <v>1D</v>
      </c>
      <c r="Z156" s="93">
        <f>_xll.qlCalendarAdvance(Calendar,Z155,Y156,"f",FALSE)</f>
        <v>42380</v>
      </c>
      <c r="AA156" s="117">
        <f>_xll.qlCalendarAdvance(Calendar,Z156,NDays&amp;"D")</f>
        <v>42382</v>
      </c>
      <c r="AB156" s="92">
        <v>9.9324449922535887E-4</v>
      </c>
      <c r="AC156" s="101">
        <v>1.2663586938277405E-3</v>
      </c>
    </row>
    <row r="157" spans="13:29" x14ac:dyDescent="0.2">
      <c r="M157" s="209">
        <f>RateHelpers!B146</f>
        <v>0</v>
      </c>
      <c r="N157" s="105" t="e">
        <f>_xll.qlRateHelperQuoteName(M157)</f>
        <v>#NUM!</v>
      </c>
      <c r="O157" s="93" t="e">
        <f>_xll.qlInterestRateIndexFixingDate(S157,_xll.qlRateHelperEarliestDate(M157,Trigger),)</f>
        <v>#VALUE!</v>
      </c>
      <c r="P157" s="120" t="e">
        <f>_xll.qlRateHelperQuoteValue(M157,_xll.ohTrigger(RecalcTrigger,YieldCurve))</f>
        <v>#NUM!</v>
      </c>
      <c r="Q157" s="123" t="e">
        <f t="shared" si="19"/>
        <v>#NUM!</v>
      </c>
      <c r="R157" s="123">
        <v>2</v>
      </c>
      <c r="S157" s="123" t="e">
        <f>_xll.qlSwapIndex(,"Euribor",Q157,NDays,Currency,Calendar,"1Y","mf","30/360 (Bond Basis)",IborIndex,Discounting,,_xll.ohTrigger(Trigger,RecalcTrigger))</f>
        <v>#VALUE!</v>
      </c>
      <c r="T157" s="123" t="e">
        <f>_xll.qlVanillaSwapFromSwapIndex(,S157,O157)</f>
        <v>#VALUE!</v>
      </c>
      <c r="U157" s="110" t="e">
        <f>_xll.qlVanillaSwapFairRate(T157)</f>
        <v>#VALUE!</v>
      </c>
      <c r="V157" s="206" t="e">
        <f t="shared" si="17"/>
        <v>#VALUE!</v>
      </c>
      <c r="Y157" s="105" t="str">
        <f t="shared" si="18"/>
        <v>1D</v>
      </c>
      <c r="Z157" s="93">
        <f>_xll.qlCalendarAdvance(Calendar,Z156,Y157,"f",FALSE)</f>
        <v>42381</v>
      </c>
      <c r="AA157" s="117">
        <f>_xll.qlCalendarAdvance(Calendar,Z157,NDays&amp;"D")</f>
        <v>42383</v>
      </c>
      <c r="AB157" s="92">
        <v>9.9470274185486452E-4</v>
      </c>
      <c r="AC157" s="101">
        <v>1.2729439715108981E-3</v>
      </c>
    </row>
    <row r="158" spans="13:29" x14ac:dyDescent="0.2">
      <c r="M158" s="209">
        <f>RateHelpers!B147</f>
        <v>0</v>
      </c>
      <c r="N158" s="105" t="e">
        <f>_xll.qlRateHelperQuoteName(M158)</f>
        <v>#NUM!</v>
      </c>
      <c r="O158" s="93" t="e">
        <f>_xll.qlInterestRateIndexFixingDate(S158,_xll.qlRateHelperEarliestDate(M158,Trigger),)</f>
        <v>#VALUE!</v>
      </c>
      <c r="P158" s="120" t="e">
        <f>_xll.qlRateHelperQuoteValue(M158,_xll.ohTrigger(RecalcTrigger,YieldCurve))</f>
        <v>#NUM!</v>
      </c>
      <c r="Q158" s="123" t="e">
        <f t="shared" si="19"/>
        <v>#NUM!</v>
      </c>
      <c r="R158" s="123">
        <v>2</v>
      </c>
      <c r="S158" s="123" t="e">
        <f>_xll.qlSwapIndex(,"Euribor",Q158,NDays,Currency,Calendar,"1Y","mf","30/360 (Bond Basis)",IborIndex,Discounting,,_xll.ohTrigger(Trigger,RecalcTrigger))</f>
        <v>#VALUE!</v>
      </c>
      <c r="T158" s="123" t="e">
        <f>_xll.qlVanillaSwapFromSwapIndex(,S158,O158)</f>
        <v>#VALUE!</v>
      </c>
      <c r="U158" s="110" t="e">
        <f>_xll.qlVanillaSwapFairRate(T158)</f>
        <v>#VALUE!</v>
      </c>
      <c r="V158" s="206" t="e">
        <f t="shared" si="17"/>
        <v>#VALUE!</v>
      </c>
      <c r="Y158" s="105" t="str">
        <f t="shared" si="18"/>
        <v>1D</v>
      </c>
      <c r="Z158" s="93">
        <f>_xll.qlCalendarAdvance(Calendar,Z157,Y158,"f",FALSE)</f>
        <v>42382</v>
      </c>
      <c r="AA158" s="117">
        <f>_xll.qlCalendarAdvance(Calendar,Z158,NDays&amp;"D")</f>
        <v>42384</v>
      </c>
      <c r="AB158" s="92">
        <v>9.9615451504927251E-4</v>
      </c>
      <c r="AC158" s="101">
        <v>1.279445465200979E-3</v>
      </c>
    </row>
    <row r="159" spans="13:29" x14ac:dyDescent="0.2">
      <c r="M159" s="209">
        <f>RateHelpers!B148</f>
        <v>0</v>
      </c>
      <c r="N159" s="105" t="e">
        <f>_xll.qlRateHelperQuoteName(M159)</f>
        <v>#NUM!</v>
      </c>
      <c r="O159" s="93" t="e">
        <f>_xll.qlInterestRateIndexFixingDate(S159,_xll.qlRateHelperEarliestDate(M159,Trigger),)</f>
        <v>#VALUE!</v>
      </c>
      <c r="P159" s="120" t="e">
        <f>_xll.qlRateHelperQuoteValue(M159,_xll.ohTrigger(RecalcTrigger,YieldCurve))</f>
        <v>#NUM!</v>
      </c>
      <c r="Q159" s="123" t="e">
        <f t="shared" si="19"/>
        <v>#NUM!</v>
      </c>
      <c r="R159" s="123">
        <v>2</v>
      </c>
      <c r="S159" s="123" t="e">
        <f>_xll.qlSwapIndex(,"Euribor",Q159,NDays,Currency,Calendar,"1Y","mf","30/360 (Bond Basis)",IborIndex,Discounting,,_xll.ohTrigger(Trigger,RecalcTrigger))</f>
        <v>#VALUE!</v>
      </c>
      <c r="T159" s="123" t="e">
        <f>_xll.qlVanillaSwapFromSwapIndex(,S159,O159)</f>
        <v>#VALUE!</v>
      </c>
      <c r="U159" s="110" t="e">
        <f>_xll.qlVanillaSwapFairRate(T159)</f>
        <v>#VALUE!</v>
      </c>
      <c r="V159" s="206" t="e">
        <f t="shared" si="17"/>
        <v>#VALUE!</v>
      </c>
      <c r="Y159" s="105" t="str">
        <f t="shared" si="18"/>
        <v>1D</v>
      </c>
      <c r="Z159" s="93">
        <f>_xll.qlCalendarAdvance(Calendar,Z158,Y159,"f",FALSE)</f>
        <v>42383</v>
      </c>
      <c r="AA159" s="117">
        <f>_xll.qlCalendarAdvance(Calendar,Z159,NDays&amp;"D")</f>
        <v>42387</v>
      </c>
      <c r="AB159" s="92">
        <v>1.0004606658474092E-3</v>
      </c>
      <c r="AC159" s="101">
        <v>1.2792642556469502E-3</v>
      </c>
    </row>
    <row r="160" spans="13:29" x14ac:dyDescent="0.2">
      <c r="M160" s="209">
        <f>RateHelpers!B149</f>
        <v>0</v>
      </c>
      <c r="N160" s="105" t="e">
        <f>_xll.qlRateHelperQuoteName(M160)</f>
        <v>#NUM!</v>
      </c>
      <c r="O160" s="93" t="e">
        <f>_xll.qlInterestRateIndexFixingDate(S160,_xll.qlRateHelperEarliestDate(M160,Trigger),)</f>
        <v>#VALUE!</v>
      </c>
      <c r="P160" s="120" t="e">
        <f>_xll.qlRateHelperQuoteValue(M160,_xll.ohTrigger(RecalcTrigger,YieldCurve))</f>
        <v>#NUM!</v>
      </c>
      <c r="Q160" s="123" t="e">
        <f t="shared" si="19"/>
        <v>#NUM!</v>
      </c>
      <c r="R160" s="123">
        <v>2</v>
      </c>
      <c r="S160" s="123" t="e">
        <f>_xll.qlSwapIndex(,"Euribor",Q160,NDays,Currency,Calendar,"1Y","mf","30/360 (Bond Basis)",IborIndex,Discounting,,_xll.ohTrigger(Trigger,RecalcTrigger))</f>
        <v>#VALUE!</v>
      </c>
      <c r="T160" s="123" t="e">
        <f>_xll.qlVanillaSwapFromSwapIndex(,S160,O160)</f>
        <v>#VALUE!</v>
      </c>
      <c r="U160" s="110" t="e">
        <f>_xll.qlVanillaSwapFairRate(T160)</f>
        <v>#VALUE!</v>
      </c>
      <c r="V160" s="206" t="e">
        <f t="shared" si="17"/>
        <v>#VALUE!</v>
      </c>
      <c r="Y160" s="105" t="str">
        <f t="shared" si="18"/>
        <v>1D</v>
      </c>
      <c r="Z160" s="93">
        <f>_xll.qlCalendarAdvance(Calendar,Z159,Y160,"f",FALSE)</f>
        <v>42384</v>
      </c>
      <c r="AA160" s="117">
        <f>_xll.qlCalendarAdvance(Calendar,Z160,NDays&amp;"D")</f>
        <v>42388</v>
      </c>
      <c r="AB160" s="92">
        <v>1.0018762091146272E-3</v>
      </c>
      <c r="AC160" s="101">
        <v>1.2758391198719465E-3</v>
      </c>
    </row>
    <row r="161" spans="13:29" x14ac:dyDescent="0.2">
      <c r="M161" s="209">
        <f>RateHelpers!B150</f>
        <v>0</v>
      </c>
      <c r="N161" s="105" t="e">
        <f>_xll.qlRateHelperQuoteName(M161)</f>
        <v>#NUM!</v>
      </c>
      <c r="O161" s="93" t="e">
        <f>_xll.qlInterestRateIndexFixingDate(S161,_xll.qlRateHelperEarliestDate(M161,Trigger),)</f>
        <v>#VALUE!</v>
      </c>
      <c r="P161" s="120" t="e">
        <f>_xll.qlRateHelperQuoteValue(M161,_xll.ohTrigger(RecalcTrigger,YieldCurve))</f>
        <v>#NUM!</v>
      </c>
      <c r="Q161" s="123" t="e">
        <f t="shared" si="19"/>
        <v>#NUM!</v>
      </c>
      <c r="R161" s="123">
        <v>2</v>
      </c>
      <c r="S161" s="123" t="e">
        <f>_xll.qlSwapIndex(,"Euribor",Q161,NDays,Currency,Calendar,"1Y","mf","30/360 (Bond Basis)",IborIndex,Discounting,,_xll.ohTrigger(Trigger,RecalcTrigger))</f>
        <v>#VALUE!</v>
      </c>
      <c r="T161" s="123" t="e">
        <f>_xll.qlVanillaSwapFromSwapIndex(,S161,O161)</f>
        <v>#VALUE!</v>
      </c>
      <c r="U161" s="110" t="e">
        <f>_xll.qlVanillaSwapFairRate(T161)</f>
        <v>#VALUE!</v>
      </c>
      <c r="V161" s="206" t="e">
        <f t="shared" si="17"/>
        <v>#VALUE!</v>
      </c>
      <c r="Y161" s="105" t="str">
        <f t="shared" si="18"/>
        <v>1D</v>
      </c>
      <c r="Z161" s="93">
        <f>_xll.qlCalendarAdvance(Calendar,Z160,Y161,"f",FALSE)</f>
        <v>42387</v>
      </c>
      <c r="AA161" s="117">
        <f>_xll.qlCalendarAdvance(Calendar,Z161,NDays&amp;"D")</f>
        <v>42389</v>
      </c>
      <c r="AB161" s="92">
        <v>1.0032801068392929E-3</v>
      </c>
      <c r="AC161" s="101">
        <v>1.2704119015172211E-3</v>
      </c>
    </row>
    <row r="162" spans="13:29" x14ac:dyDescent="0.2">
      <c r="M162" s="209">
        <f>RateHelpers!B151</f>
        <v>0</v>
      </c>
      <c r="N162" s="105" t="e">
        <f>_xll.qlRateHelperQuoteName(M162)</f>
        <v>#NUM!</v>
      </c>
      <c r="O162" s="93" t="e">
        <f>_xll.qlInterestRateIndexFixingDate(S162,_xll.qlRateHelperEarliestDate(M162,Trigger),)</f>
        <v>#VALUE!</v>
      </c>
      <c r="P162" s="120" t="e">
        <f>_xll.qlRateHelperQuoteValue(M162,_xll.ohTrigger(RecalcTrigger,YieldCurve))</f>
        <v>#NUM!</v>
      </c>
      <c r="Q162" s="123" t="e">
        <f t="shared" si="19"/>
        <v>#NUM!</v>
      </c>
      <c r="R162" s="123">
        <v>2</v>
      </c>
      <c r="S162" s="123" t="e">
        <f>_xll.qlSwapIndex(,"Euribor",Q162,NDays,Currency,Calendar,"1Y","mf","30/360 (Bond Basis)",IborIndex,Discounting,,_xll.ohTrigger(Trigger,RecalcTrigger))</f>
        <v>#VALUE!</v>
      </c>
      <c r="T162" s="123" t="e">
        <f>_xll.qlVanillaSwapFromSwapIndex(,S162,O162)</f>
        <v>#VALUE!</v>
      </c>
      <c r="U162" s="110" t="e">
        <f>_xll.qlVanillaSwapFairRate(T162)</f>
        <v>#VALUE!</v>
      </c>
      <c r="V162" s="206" t="e">
        <f t="shared" si="17"/>
        <v>#VALUE!</v>
      </c>
      <c r="Y162" s="105" t="str">
        <f t="shared" si="18"/>
        <v>1D</v>
      </c>
      <c r="Z162" s="93">
        <f>_xll.qlCalendarAdvance(Calendar,Z161,Y162,"f",FALSE)</f>
        <v>42388</v>
      </c>
      <c r="AA162" s="117">
        <f>_xll.qlCalendarAdvance(Calendar,Z162,NDays&amp;"D")</f>
        <v>42390</v>
      </c>
      <c r="AB162" s="92">
        <v>1.0046713237928E-3</v>
      </c>
      <c r="AC162" s="101">
        <v>1.2629826005827738E-3</v>
      </c>
    </row>
    <row r="163" spans="13:29" x14ac:dyDescent="0.2">
      <c r="M163" s="209">
        <f>RateHelpers!B152</f>
        <v>0</v>
      </c>
      <c r="N163" s="105" t="e">
        <f>_xll.qlRateHelperQuoteName(M163)</f>
        <v>#NUM!</v>
      </c>
      <c r="O163" s="93" t="e">
        <f>_xll.qlInterestRateIndexFixingDate(S163,_xll.qlRateHelperEarliestDate(M163,Trigger),)</f>
        <v>#VALUE!</v>
      </c>
      <c r="P163" s="120" t="e">
        <f>_xll.qlRateHelperQuoteValue(M163,_xll.ohTrigger(RecalcTrigger,YieldCurve))</f>
        <v>#NUM!</v>
      </c>
      <c r="Q163" s="123" t="e">
        <f t="shared" si="19"/>
        <v>#NUM!</v>
      </c>
      <c r="R163" s="123">
        <v>2</v>
      </c>
      <c r="S163" s="123" t="e">
        <f>_xll.qlSwapIndex(,"Euribor",Q163,NDays,Currency,Calendar,"1Y","mf","30/360 (Bond Basis)",IborIndex,Discounting,,_xll.ohTrigger(Trigger,RecalcTrigger))</f>
        <v>#VALUE!</v>
      </c>
      <c r="T163" s="123" t="e">
        <f>_xll.qlVanillaSwapFromSwapIndex(,S163,O163)</f>
        <v>#VALUE!</v>
      </c>
      <c r="U163" s="110" t="e">
        <f>_xll.qlVanillaSwapFairRate(T163)</f>
        <v>#VALUE!</v>
      </c>
      <c r="V163" s="206" t="e">
        <f t="shared" si="17"/>
        <v>#VALUE!</v>
      </c>
      <c r="Y163" s="105" t="str">
        <f t="shared" si="18"/>
        <v>1D</v>
      </c>
      <c r="Z163" s="93">
        <f>_xll.qlCalendarAdvance(Calendar,Z162,Y163,"f",FALSE)</f>
        <v>42389</v>
      </c>
      <c r="AA163" s="117">
        <f>_xll.qlCalendarAdvance(Calendar,Z163,NDays&amp;"D")</f>
        <v>42391</v>
      </c>
      <c r="AB163" s="92">
        <v>1.0060488247417114E-3</v>
      </c>
      <c r="AC163" s="101">
        <v>1.2414546718897412E-3</v>
      </c>
    </row>
    <row r="164" spans="13:29" x14ac:dyDescent="0.2">
      <c r="M164" s="209">
        <f>RateHelpers!B153</f>
        <v>0</v>
      </c>
      <c r="N164" s="105" t="e">
        <f>_xll.qlRateHelperQuoteName(M164)</f>
        <v>#NUM!</v>
      </c>
      <c r="O164" s="93" t="e">
        <f>_xll.qlInterestRateIndexFixingDate(S164,_xll.qlRateHelperEarliestDate(M164,Trigger),)</f>
        <v>#VALUE!</v>
      </c>
      <c r="P164" s="120" t="e">
        <f>_xll.qlRateHelperQuoteValue(M164,_xll.ohTrigger(RecalcTrigger,YieldCurve))</f>
        <v>#NUM!</v>
      </c>
      <c r="Q164" s="123" t="e">
        <f t="shared" si="19"/>
        <v>#NUM!</v>
      </c>
      <c r="R164" s="123">
        <v>2</v>
      </c>
      <c r="S164" s="123" t="e">
        <f>_xll.qlSwapIndex(,"Euribor",Q164,NDays,Currency,Calendar,"1Y","mf","30/360 (Bond Basis)",IborIndex,Discounting,,_xll.ohTrigger(Trigger,RecalcTrigger))</f>
        <v>#VALUE!</v>
      </c>
      <c r="T164" s="123" t="e">
        <f>_xll.qlVanillaSwapFromSwapIndex(,S164,O164)</f>
        <v>#VALUE!</v>
      </c>
      <c r="U164" s="110" t="e">
        <f>_xll.qlVanillaSwapFairRate(T164)</f>
        <v>#VALUE!</v>
      </c>
      <c r="V164" s="206" t="e">
        <f t="shared" si="17"/>
        <v>#VALUE!</v>
      </c>
      <c r="Y164" s="105" t="str">
        <f t="shared" si="18"/>
        <v>1D</v>
      </c>
      <c r="Z164" s="93">
        <f>_xll.qlCalendarAdvance(Calendar,Z163,Y164,"f",FALSE)</f>
        <v>42390</v>
      </c>
      <c r="AA164" s="117">
        <f>_xll.qlCalendarAdvance(Calendar,Z164,NDays&amp;"D")</f>
        <v>42394</v>
      </c>
      <c r="AB164" s="92">
        <v>1.0100886792019004E-3</v>
      </c>
      <c r="AC164" s="101">
        <v>1.2132445742452092E-3</v>
      </c>
    </row>
    <row r="165" spans="13:29" x14ac:dyDescent="0.2">
      <c r="M165" s="209">
        <f>RateHelpers!B154</f>
        <v>0</v>
      </c>
      <c r="N165" s="105" t="e">
        <f>_xll.qlRateHelperQuoteName(M165)</f>
        <v>#NUM!</v>
      </c>
      <c r="O165" s="93" t="e">
        <f>_xll.qlInterestRateIndexFixingDate(S165,_xll.qlRateHelperEarliestDate(M165,Trigger),)</f>
        <v>#VALUE!</v>
      </c>
      <c r="P165" s="120" t="e">
        <f>_xll.qlRateHelperQuoteValue(M165,_xll.ohTrigger(RecalcTrigger,YieldCurve))</f>
        <v>#NUM!</v>
      </c>
      <c r="Q165" s="123" t="e">
        <f t="shared" si="19"/>
        <v>#NUM!</v>
      </c>
      <c r="R165" s="123">
        <v>2</v>
      </c>
      <c r="S165" s="123" t="e">
        <f>_xll.qlSwapIndex(,"Euribor",Q165,NDays,Currency,Calendar,"1Y","mf","30/360 (Bond Basis)",IborIndex,Discounting,,_xll.ohTrigger(Trigger,RecalcTrigger))</f>
        <v>#VALUE!</v>
      </c>
      <c r="T165" s="123" t="e">
        <f>_xll.qlVanillaSwapFromSwapIndex(,S165,O165)</f>
        <v>#VALUE!</v>
      </c>
      <c r="U165" s="110" t="e">
        <f>_xll.qlVanillaSwapFairRate(T165)</f>
        <v>#VALUE!</v>
      </c>
      <c r="V165" s="206" t="e">
        <f t="shared" si="17"/>
        <v>#VALUE!</v>
      </c>
      <c r="Y165" s="105" t="str">
        <f t="shared" si="18"/>
        <v>1D</v>
      </c>
      <c r="Z165" s="93">
        <f>_xll.qlCalendarAdvance(Calendar,Z164,Y165,"f",FALSE)</f>
        <v>42391</v>
      </c>
      <c r="AA165" s="117">
        <f>_xll.qlCalendarAdvance(Calendar,Z165,NDays&amp;"D")</f>
        <v>42395</v>
      </c>
      <c r="AB165" s="92">
        <v>1.0114009637594036E-3</v>
      </c>
      <c r="AC165" s="101">
        <v>1.1958048631299789E-3</v>
      </c>
    </row>
    <row r="166" spans="13:29" x14ac:dyDescent="0.2">
      <c r="M166" s="209">
        <f>RateHelpers!B155</f>
        <v>0</v>
      </c>
      <c r="N166" s="105" t="e">
        <f>_xll.qlRateHelperQuoteName(M166)</f>
        <v>#NUM!</v>
      </c>
      <c r="O166" s="93" t="e">
        <f>_xll.qlInterestRateIndexFixingDate(S166,_xll.qlRateHelperEarliestDate(M166,Trigger),)</f>
        <v>#VALUE!</v>
      </c>
      <c r="P166" s="120" t="e">
        <f>_xll.qlRateHelperQuoteValue(M166,_xll.ohTrigger(RecalcTrigger,YieldCurve))</f>
        <v>#NUM!</v>
      </c>
      <c r="Q166" s="123" t="e">
        <f t="shared" si="19"/>
        <v>#NUM!</v>
      </c>
      <c r="R166" s="123">
        <v>2</v>
      </c>
      <c r="S166" s="123" t="e">
        <f>_xll.qlSwapIndex(,"Euribor",Q166,NDays,Currency,Calendar,"1Y","mf","30/360 (Bond Basis)",IborIndex,Discounting,,_xll.ohTrigger(Trigger,RecalcTrigger))</f>
        <v>#VALUE!</v>
      </c>
      <c r="T166" s="123" t="e">
        <f>_xll.qlVanillaSwapFromSwapIndex(,S166,O166)</f>
        <v>#VALUE!</v>
      </c>
      <c r="U166" s="110" t="e">
        <f>_xll.qlVanillaSwapFairRate(T166)</f>
        <v>#VALUE!</v>
      </c>
      <c r="V166" s="206" t="e">
        <f t="shared" si="17"/>
        <v>#VALUE!</v>
      </c>
      <c r="Y166" s="105" t="str">
        <f t="shared" si="18"/>
        <v>1D</v>
      </c>
      <c r="Z166" s="93">
        <f>_xll.qlCalendarAdvance(Calendar,Z165,Y166,"f",FALSE)</f>
        <v>42394</v>
      </c>
      <c r="AA166" s="117">
        <f>_xll.qlCalendarAdvance(Calendar,Z166,NDays&amp;"D")</f>
        <v>42396</v>
      </c>
      <c r="AB166" s="92">
        <v>1.0126943561135008E-3</v>
      </c>
      <c r="AC166" s="101">
        <v>1.1763630706340678E-3</v>
      </c>
    </row>
    <row r="167" spans="13:29" ht="12" thickBot="1" x14ac:dyDescent="0.25">
      <c r="M167" s="210">
        <f>RateHelpers!B156</f>
        <v>0</v>
      </c>
      <c r="N167" s="106" t="e">
        <f>_xll.qlRateHelperQuoteName(M167)</f>
        <v>#NUM!</v>
      </c>
      <c r="O167" s="103" t="e">
        <f>_xll.qlInterestRateIndexFixingDate(S167,_xll.qlRateHelperEarliestDate(M167,Trigger),)</f>
        <v>#VALUE!</v>
      </c>
      <c r="P167" s="121" t="e">
        <f>_xll.qlRateHelperQuoteValue(M167,_xll.ohTrigger(RecalcTrigger,YieldCurve))</f>
        <v>#NUM!</v>
      </c>
      <c r="Q167" s="124" t="e">
        <f t="shared" si="19"/>
        <v>#NUM!</v>
      </c>
      <c r="R167" s="124">
        <v>2</v>
      </c>
      <c r="S167" s="124" t="e">
        <f>_xll.qlSwapIndex(,"Euribor",Q167,NDays,Currency,Calendar,"1Y","mf","30/360 (Bond Basis)",IborIndex,Discounting,,_xll.ohTrigger(Trigger,RecalcTrigger))</f>
        <v>#VALUE!</v>
      </c>
      <c r="T167" s="124" t="e">
        <f>_xll.qlVanillaSwapFromSwapIndex(,S167,O167)</f>
        <v>#VALUE!</v>
      </c>
      <c r="U167" s="112" t="e">
        <f>_xll.qlVanillaSwapFairRate(T167)</f>
        <v>#VALUE!</v>
      </c>
      <c r="V167" s="207" t="e">
        <f t="shared" si="17"/>
        <v>#VALUE!</v>
      </c>
      <c r="Y167" s="105" t="str">
        <f t="shared" si="18"/>
        <v>1D</v>
      </c>
      <c r="Z167" s="93">
        <f>_xll.qlCalendarAdvance(Calendar,Z166,Y167,"f",FALSE)</f>
        <v>42395</v>
      </c>
      <c r="AA167" s="117">
        <f>_xll.qlCalendarAdvance(Calendar,Z167,NDays&amp;"D")</f>
        <v>42397</v>
      </c>
      <c r="AB167" s="92">
        <v>1.0139678210171392E-3</v>
      </c>
      <c r="AC167" s="101">
        <v>1.154919197157156E-3</v>
      </c>
    </row>
    <row r="168" spans="13:29" x14ac:dyDescent="0.2">
      <c r="M168" s="211">
        <f>RateHelpers!B157</f>
        <v>0</v>
      </c>
      <c r="N168" s="195" t="e">
        <f>_xll.qlRateHelperQuoteName(M168)</f>
        <v>#NUM!</v>
      </c>
      <c r="O168" s="192" t="e">
        <f>_xll.qlInterestRateIndexFixingDate(S168,_xll.qlRateHelperEarliestDate(M168,Trigger),)</f>
        <v>#VALUE!</v>
      </c>
      <c r="P168" s="193" t="e">
        <f>_xll.qlRateHelperQuoteValue(M168,_xll.ohTrigger(RecalcTrigger,YieldCurve))</f>
        <v>#NUM!</v>
      </c>
      <c r="Q168" s="191" t="e">
        <f t="shared" ref="Q168:Q185" si="20">SUBSTITUTE(SUBSTITUTE(N168,"_Quote",""),"EUR6F","")</f>
        <v>#NUM!</v>
      </c>
      <c r="R168" s="191">
        <v>2</v>
      </c>
      <c r="S168" s="191" t="e">
        <f>_xll.qlSwapIndex(,"Euribor",Q168,NDays,Currency,Calendar,"1Y","mf","30/360 (Bond Basis)",IborIndex,Discounting,,_xll.ohTrigger(Trigger,RecalcTrigger))</f>
        <v>#VALUE!</v>
      </c>
      <c r="T168" s="191" t="e">
        <f>_xll.qlVanillaSwapFromSwapIndex(,S168,O168)</f>
        <v>#VALUE!</v>
      </c>
      <c r="U168" s="194" t="e">
        <f>_xll.qlVanillaSwapFairRate(T168)</f>
        <v>#VALUE!</v>
      </c>
      <c r="V168" s="208" t="e">
        <f t="shared" si="17"/>
        <v>#VALUE!</v>
      </c>
      <c r="Y168" s="105" t="str">
        <f t="shared" si="18"/>
        <v>1D</v>
      </c>
      <c r="Z168" s="93">
        <f>_xll.qlCalendarAdvance(Calendar,Z167,Y168,"f",FALSE)</f>
        <v>42396</v>
      </c>
      <c r="AA168" s="117">
        <f>_xll.qlCalendarAdvance(Calendar,Z168,NDays&amp;"D")</f>
        <v>42398</v>
      </c>
      <c r="AB168" s="92">
        <v>1.0152203232210695E-3</v>
      </c>
      <c r="AC168" s="101">
        <v>1.1053612420841574E-3</v>
      </c>
    </row>
    <row r="169" spans="13:29" x14ac:dyDescent="0.2">
      <c r="M169" s="209">
        <f>RateHelpers!B158</f>
        <v>0</v>
      </c>
      <c r="N169" s="105" t="e">
        <f>_xll.qlRateHelperQuoteName(M169)</f>
        <v>#NUM!</v>
      </c>
      <c r="O169" s="93" t="e">
        <f>_xll.qlInterestRateIndexFixingDate(S169,_xll.qlRateHelperEarliestDate(M169,Trigger),)</f>
        <v>#VALUE!</v>
      </c>
      <c r="P169" s="120" t="e">
        <f>_xll.qlRateHelperQuoteValue(M169,_xll.ohTrigger(RecalcTrigger,YieldCurve))</f>
        <v>#NUM!</v>
      </c>
      <c r="Q169" s="123" t="e">
        <f t="shared" si="20"/>
        <v>#NUM!</v>
      </c>
      <c r="R169" s="123">
        <v>2</v>
      </c>
      <c r="S169" s="123" t="e">
        <f>_xll.qlSwapIndex(,"Euribor",Q169,NDays,Currency,Calendar,"1Y","mf","30/360 (Bond Basis)",IborIndex,Discounting,,_xll.ohTrigger(Trigger,RecalcTrigger))</f>
        <v>#VALUE!</v>
      </c>
      <c r="T169" s="123" t="e">
        <f>_xll.qlVanillaSwapFromSwapIndex(,S169,O169)</f>
        <v>#VALUE!</v>
      </c>
      <c r="U169" s="110" t="e">
        <f>_xll.qlVanillaSwapFairRate(T169)</f>
        <v>#VALUE!</v>
      </c>
      <c r="V169" s="206" t="e">
        <f t="shared" si="17"/>
        <v>#VALUE!</v>
      </c>
      <c r="Y169" s="105" t="str">
        <f t="shared" si="18"/>
        <v>1D</v>
      </c>
      <c r="Z169" s="93">
        <f>_xll.qlCalendarAdvance(Calendar,Z168,Y169,"f",FALSE)</f>
        <v>42397</v>
      </c>
      <c r="AA169" s="117">
        <f>_xll.qlCalendarAdvance(Calendar,Z169,NDays&amp;"D")</f>
        <v>42401</v>
      </c>
      <c r="AB169" s="92">
        <v>1.0188417011197232E-3</v>
      </c>
      <c r="AC169" s="101">
        <v>1.049122901113364E-3</v>
      </c>
    </row>
    <row r="170" spans="13:29" x14ac:dyDescent="0.2">
      <c r="M170" s="209">
        <f>RateHelpers!B159</f>
        <v>0</v>
      </c>
      <c r="N170" s="105" t="e">
        <f>_xll.qlRateHelperQuoteName(M170)</f>
        <v>#NUM!</v>
      </c>
      <c r="O170" s="93" t="e">
        <f>_xll.qlInterestRateIndexFixingDate(S170,_xll.qlRateHelperEarliestDate(M170,Trigger),)</f>
        <v>#VALUE!</v>
      </c>
      <c r="P170" s="120" t="e">
        <f>_xll.qlRateHelperQuoteValue(M170,_xll.ohTrigger(RecalcTrigger,YieldCurve))</f>
        <v>#NUM!</v>
      </c>
      <c r="Q170" s="123" t="e">
        <f t="shared" si="20"/>
        <v>#NUM!</v>
      </c>
      <c r="R170" s="123">
        <v>2</v>
      </c>
      <c r="S170" s="123" t="e">
        <f>_xll.qlSwapIndex(,"Euribor",Q170,NDays,Currency,Calendar,"1Y","mf","30/360 (Bond Basis)",IborIndex,Discounting,,_xll.ohTrigger(Trigger,RecalcTrigger))</f>
        <v>#VALUE!</v>
      </c>
      <c r="T170" s="123" t="e">
        <f>_xll.qlVanillaSwapFromSwapIndex(,S170,O170)</f>
        <v>#VALUE!</v>
      </c>
      <c r="U170" s="110" t="e">
        <f>_xll.qlVanillaSwapFairRate(T170)</f>
        <v>#VALUE!</v>
      </c>
      <c r="V170" s="206" t="e">
        <f t="shared" si="17"/>
        <v>#VALUE!</v>
      </c>
      <c r="Y170" s="105" t="str">
        <f t="shared" si="18"/>
        <v>1D</v>
      </c>
      <c r="Z170" s="93">
        <f>_xll.qlCalendarAdvance(Calendar,Z169,Y170,"f",FALSE)</f>
        <v>42398</v>
      </c>
      <c r="AA170" s="117">
        <f>_xll.qlCalendarAdvance(Calendar,Z170,NDays&amp;"D")</f>
        <v>42402</v>
      </c>
      <c r="AB170" s="92">
        <v>1.0199999999998305E-3</v>
      </c>
      <c r="AC170" s="101">
        <v>1.0176686287266534E-3</v>
      </c>
    </row>
    <row r="171" spans="13:29" x14ac:dyDescent="0.2">
      <c r="M171" s="209">
        <f>RateHelpers!B160</f>
        <v>0</v>
      </c>
      <c r="N171" s="105" t="e">
        <f>_xll.qlRateHelperQuoteName(M171)</f>
        <v>#NUM!</v>
      </c>
      <c r="O171" s="93" t="e">
        <f>_xll.qlInterestRateIndexFixingDate(S171,_xll.qlRateHelperEarliestDate(M171,Trigger),)</f>
        <v>#VALUE!</v>
      </c>
      <c r="P171" s="120" t="e">
        <f>_xll.qlRateHelperQuoteValue(M171,_xll.ohTrigger(RecalcTrigger,YieldCurve))</f>
        <v>#NUM!</v>
      </c>
      <c r="Q171" s="123" t="e">
        <f t="shared" si="20"/>
        <v>#NUM!</v>
      </c>
      <c r="R171" s="123">
        <v>2</v>
      </c>
      <c r="S171" s="123" t="e">
        <f>_xll.qlSwapIndex(,"Euribor",Q171,NDays,Currency,Calendar,"1Y","mf","30/360 (Bond Basis)",IborIndex,Discounting,,_xll.ohTrigger(Trigger,RecalcTrigger))</f>
        <v>#VALUE!</v>
      </c>
      <c r="T171" s="123" t="e">
        <f>_xll.qlVanillaSwapFromSwapIndex(,S171,O171)</f>
        <v>#VALUE!</v>
      </c>
      <c r="U171" s="110" t="e">
        <f>_xll.qlVanillaSwapFairRate(T171)</f>
        <v>#VALUE!</v>
      </c>
      <c r="V171" s="206" t="e">
        <f t="shared" si="17"/>
        <v>#VALUE!</v>
      </c>
      <c r="Y171" s="105" t="str">
        <f t="shared" si="18"/>
        <v>1D</v>
      </c>
      <c r="Z171" s="93">
        <f>_xll.qlCalendarAdvance(Calendar,Z170,Y171,"f",FALSE)</f>
        <v>42401</v>
      </c>
      <c r="AA171" s="117">
        <f>_xll.qlCalendarAdvance(Calendar,Z171,NDays&amp;"D")</f>
        <v>42403</v>
      </c>
      <c r="AB171" s="92">
        <v>1.0211358091432715E-3</v>
      </c>
      <c r="AC171" s="101">
        <v>9.8484259675402086E-4</v>
      </c>
    </row>
    <row r="172" spans="13:29" x14ac:dyDescent="0.2">
      <c r="M172" s="209">
        <f>RateHelpers!B161</f>
        <v>0</v>
      </c>
      <c r="N172" s="105" t="e">
        <f>_xll.qlRateHelperQuoteName(M172)</f>
        <v>#NUM!</v>
      </c>
      <c r="O172" s="93" t="e">
        <f>_xll.qlInterestRateIndexFixingDate(S172,_xll.qlRateHelperEarliestDate(M172,Trigger),)</f>
        <v>#VALUE!</v>
      </c>
      <c r="P172" s="120" t="e">
        <f>_xll.qlRateHelperQuoteValue(M172,_xll.ohTrigger(RecalcTrigger,YieldCurve))</f>
        <v>#NUM!</v>
      </c>
      <c r="Q172" s="123" t="e">
        <f t="shared" si="20"/>
        <v>#NUM!</v>
      </c>
      <c r="R172" s="123">
        <v>2</v>
      </c>
      <c r="S172" s="123" t="e">
        <f>_xll.qlSwapIndex(,"Euribor",Q172,NDays,Currency,Calendar,"1Y","mf","30/360 (Bond Basis)",IborIndex,Discounting,,_xll.ohTrigger(Trigger,RecalcTrigger))</f>
        <v>#VALUE!</v>
      </c>
      <c r="T172" s="123" t="e">
        <f>_xll.qlVanillaSwapFromSwapIndex(,S172,O172)</f>
        <v>#VALUE!</v>
      </c>
      <c r="U172" s="110" t="e">
        <f>_xll.qlVanillaSwapFairRate(T172)</f>
        <v>#VALUE!</v>
      </c>
      <c r="V172" s="206" t="e">
        <f t="shared" si="17"/>
        <v>#VALUE!</v>
      </c>
      <c r="Y172" s="105" t="str">
        <f t="shared" si="18"/>
        <v>1D</v>
      </c>
      <c r="Z172" s="93">
        <f>_xll.qlCalendarAdvance(Calendar,Z171,Y172,"f",FALSE)</f>
        <v>42402</v>
      </c>
      <c r="AA172" s="117">
        <f>_xll.qlCalendarAdvance(Calendar,Z172,NDays&amp;"D")</f>
        <v>42404</v>
      </c>
      <c r="AB172" s="92">
        <v>1.0222628744133949E-3</v>
      </c>
      <c r="AC172" s="101">
        <v>9.531660803041575E-4</v>
      </c>
    </row>
    <row r="173" spans="13:29" x14ac:dyDescent="0.2">
      <c r="M173" s="209">
        <f>RateHelpers!B162</f>
        <v>0</v>
      </c>
      <c r="N173" s="105" t="e">
        <f>_xll.qlRateHelperQuoteName(M173)</f>
        <v>#NUM!</v>
      </c>
      <c r="O173" s="93" t="e">
        <f>_xll.qlInterestRateIndexFixingDate(S173,_xll.qlRateHelperEarliestDate(M173,Trigger),)</f>
        <v>#VALUE!</v>
      </c>
      <c r="P173" s="120" t="e">
        <f>_xll.qlRateHelperQuoteValue(M173,_xll.ohTrigger(RecalcTrigger,YieldCurve))</f>
        <v>#NUM!</v>
      </c>
      <c r="Q173" s="123" t="e">
        <f t="shared" si="20"/>
        <v>#NUM!</v>
      </c>
      <c r="R173" s="123">
        <v>2</v>
      </c>
      <c r="S173" s="123" t="e">
        <f>_xll.qlSwapIndex(,"Euribor",Q173,NDays,Currency,Calendar,"1Y","mf","30/360 (Bond Basis)",IborIndex,Discounting,,_xll.ohTrigger(Trigger,RecalcTrigger))</f>
        <v>#VALUE!</v>
      </c>
      <c r="T173" s="123" t="e">
        <f>_xll.qlVanillaSwapFromSwapIndex(,S173,O173)</f>
        <v>#VALUE!</v>
      </c>
      <c r="U173" s="110" t="e">
        <f>_xll.qlVanillaSwapFairRate(T173)</f>
        <v>#VALUE!</v>
      </c>
      <c r="V173" s="206" t="e">
        <f t="shared" si="17"/>
        <v>#VALUE!</v>
      </c>
      <c r="Y173" s="105" t="str">
        <f t="shared" si="18"/>
        <v>1D</v>
      </c>
      <c r="Z173" s="93">
        <f>_xll.qlCalendarAdvance(Calendar,Z172,Y173,"f",FALSE)</f>
        <v>42403</v>
      </c>
      <c r="AA173" s="117">
        <f>_xll.qlCalendarAdvance(Calendar,Z173,NDays&amp;"D")</f>
        <v>42405</v>
      </c>
      <c r="AB173" s="92">
        <v>1.0233847306542663E-3</v>
      </c>
      <c r="AC173" s="101">
        <v>8.9574805421044346E-4</v>
      </c>
    </row>
    <row r="174" spans="13:29" x14ac:dyDescent="0.2">
      <c r="M174" s="209">
        <f>RateHelpers!B163</f>
        <v>0</v>
      </c>
      <c r="N174" s="105" t="e">
        <f>_xll.qlRateHelperQuoteName(M174)</f>
        <v>#NUM!</v>
      </c>
      <c r="O174" s="93" t="e">
        <f>_xll.qlInterestRateIndexFixingDate(S174,_xll.qlRateHelperEarliestDate(M174,Trigger),)</f>
        <v>#VALUE!</v>
      </c>
      <c r="P174" s="120" t="e">
        <f>_xll.qlRateHelperQuoteValue(M174,_xll.ohTrigger(RecalcTrigger,YieldCurve))</f>
        <v>#NUM!</v>
      </c>
      <c r="Q174" s="123" t="e">
        <f t="shared" si="20"/>
        <v>#NUM!</v>
      </c>
      <c r="R174" s="123">
        <v>2</v>
      </c>
      <c r="S174" s="123" t="e">
        <f>_xll.qlSwapIndex(,"Euribor",Q174,NDays,Currency,Calendar,"1Y","mf","30/360 (Bond Basis)",IborIndex,Discounting,,_xll.ohTrigger(Trigger,RecalcTrigger))</f>
        <v>#VALUE!</v>
      </c>
      <c r="T174" s="123" t="e">
        <f>_xll.qlVanillaSwapFromSwapIndex(,S174,O174)</f>
        <v>#VALUE!</v>
      </c>
      <c r="U174" s="110" t="e">
        <f>_xll.qlVanillaSwapFairRate(T174)</f>
        <v>#VALUE!</v>
      </c>
      <c r="V174" s="206" t="e">
        <f t="shared" si="17"/>
        <v>#VALUE!</v>
      </c>
      <c r="Y174" s="105" t="str">
        <f t="shared" si="18"/>
        <v>1D</v>
      </c>
      <c r="Z174" s="93">
        <f>_xll.qlCalendarAdvance(Calendar,Z173,Y174,"f",FALSE)</f>
        <v>42404</v>
      </c>
      <c r="AA174" s="117">
        <f>_xll.qlCalendarAdvance(Calendar,Z174,NDays&amp;"D")</f>
        <v>42408</v>
      </c>
      <c r="AB174" s="92">
        <v>1.0267197429891307E-3</v>
      </c>
      <c r="AC174" s="101">
        <v>8.4425834859125359E-4</v>
      </c>
    </row>
    <row r="175" spans="13:29" x14ac:dyDescent="0.2">
      <c r="M175" s="209">
        <f>RateHelpers!B164</f>
        <v>0</v>
      </c>
      <c r="N175" s="105" t="e">
        <f>_xll.qlRateHelperQuoteName(M175)</f>
        <v>#NUM!</v>
      </c>
      <c r="O175" s="93" t="e">
        <f>_xll.qlInterestRateIndexFixingDate(S175,_xll.qlRateHelperEarliestDate(M175,Trigger),)</f>
        <v>#VALUE!</v>
      </c>
      <c r="P175" s="120" t="e">
        <f>_xll.qlRateHelperQuoteValue(M175,_xll.ohTrigger(RecalcTrigger,YieldCurve))</f>
        <v>#NUM!</v>
      </c>
      <c r="Q175" s="123" t="e">
        <f t="shared" si="20"/>
        <v>#NUM!</v>
      </c>
      <c r="R175" s="123">
        <v>2</v>
      </c>
      <c r="S175" s="123" t="e">
        <f>_xll.qlSwapIndex(,"Euribor",Q175,NDays,Currency,Calendar,"1Y","mf","30/360 (Bond Basis)",IborIndex,Discounting,,_xll.ohTrigger(Trigger,RecalcTrigger))</f>
        <v>#VALUE!</v>
      </c>
      <c r="T175" s="123" t="e">
        <f>_xll.qlVanillaSwapFromSwapIndex(,S175,O175)</f>
        <v>#VALUE!</v>
      </c>
      <c r="U175" s="110" t="e">
        <f>_xll.qlVanillaSwapFairRate(T175)</f>
        <v>#VALUE!</v>
      </c>
      <c r="V175" s="206" t="e">
        <f t="shared" si="17"/>
        <v>#VALUE!</v>
      </c>
      <c r="Y175" s="105" t="str">
        <f t="shared" si="18"/>
        <v>1D</v>
      </c>
      <c r="Z175" s="93">
        <f>_xll.qlCalendarAdvance(Calendar,Z174,Y175,"f",FALSE)</f>
        <v>42405</v>
      </c>
      <c r="AA175" s="117">
        <f>_xll.qlCalendarAdvance(Calendar,Z175,NDays&amp;"D")</f>
        <v>42409</v>
      </c>
      <c r="AB175" s="92">
        <v>1.0278214609007561E-3</v>
      </c>
      <c r="AC175" s="101">
        <v>8.2148099706635946E-4</v>
      </c>
    </row>
    <row r="176" spans="13:29" x14ac:dyDescent="0.2">
      <c r="M176" s="209">
        <f>RateHelpers!B165</f>
        <v>0</v>
      </c>
      <c r="N176" s="105" t="e">
        <f>_xll.qlRateHelperQuoteName(M176)</f>
        <v>#NUM!</v>
      </c>
      <c r="O176" s="93" t="e">
        <f>_xll.qlInterestRateIndexFixingDate(S176,_xll.qlRateHelperEarliestDate(M176,Trigger),)</f>
        <v>#VALUE!</v>
      </c>
      <c r="P176" s="120" t="e">
        <f>_xll.qlRateHelperQuoteValue(M176,_xll.ohTrigger(RecalcTrigger,YieldCurve))</f>
        <v>#NUM!</v>
      </c>
      <c r="Q176" s="123" t="e">
        <f t="shared" si="20"/>
        <v>#NUM!</v>
      </c>
      <c r="R176" s="123">
        <v>2</v>
      </c>
      <c r="S176" s="123" t="e">
        <f>_xll.qlSwapIndex(,"Euribor",Q176,NDays,Currency,Calendar,"1Y","mf","30/360 (Bond Basis)",IborIndex,Discounting,,_xll.ohTrigger(Trigger,RecalcTrigger))</f>
        <v>#VALUE!</v>
      </c>
      <c r="T176" s="123" t="e">
        <f>_xll.qlVanillaSwapFromSwapIndex(,S176,O176)</f>
        <v>#VALUE!</v>
      </c>
      <c r="U176" s="110" t="e">
        <f>_xll.qlVanillaSwapFairRate(T176)</f>
        <v>#VALUE!</v>
      </c>
      <c r="V176" s="206" t="e">
        <f t="shared" si="17"/>
        <v>#VALUE!</v>
      </c>
      <c r="Y176" s="105" t="str">
        <f t="shared" si="18"/>
        <v>1D</v>
      </c>
      <c r="Z176" s="93">
        <f>_xll.qlCalendarAdvance(Calendar,Z175,Y176,"f",FALSE)</f>
        <v>42408</v>
      </c>
      <c r="AA176" s="117">
        <f>_xll.qlCalendarAdvance(Calendar,Z176,NDays&amp;"D")</f>
        <v>42410</v>
      </c>
      <c r="AB176" s="92">
        <v>1.028918318678987E-3</v>
      </c>
      <c r="AC176" s="101">
        <v>8.0048347750327764E-4</v>
      </c>
    </row>
    <row r="177" spans="13:29" x14ac:dyDescent="0.2">
      <c r="M177" s="209">
        <f>RateHelpers!B166</f>
        <v>0</v>
      </c>
      <c r="N177" s="105" t="e">
        <f>_xll.qlRateHelperQuoteName(M177)</f>
        <v>#NUM!</v>
      </c>
      <c r="O177" s="93" t="e">
        <f>_xll.qlInterestRateIndexFixingDate(S177,_xll.qlRateHelperEarliestDate(M177,Trigger),)</f>
        <v>#VALUE!</v>
      </c>
      <c r="P177" s="120" t="e">
        <f>_xll.qlRateHelperQuoteValue(M177,_xll.ohTrigger(RecalcTrigger,YieldCurve))</f>
        <v>#NUM!</v>
      </c>
      <c r="Q177" s="123" t="e">
        <f t="shared" si="20"/>
        <v>#NUM!</v>
      </c>
      <c r="R177" s="123">
        <v>2</v>
      </c>
      <c r="S177" s="123" t="e">
        <f>_xll.qlSwapIndex(,"Euribor",Q177,NDays,Currency,Calendar,"1Y","mf","30/360 (Bond Basis)",IborIndex,Discounting,,_xll.ohTrigger(Trigger,RecalcTrigger))</f>
        <v>#VALUE!</v>
      </c>
      <c r="T177" s="123" t="e">
        <f>_xll.qlVanillaSwapFromSwapIndex(,S177,O177)</f>
        <v>#VALUE!</v>
      </c>
      <c r="U177" s="110" t="e">
        <f>_xll.qlVanillaSwapFairRate(T177)</f>
        <v>#VALUE!</v>
      </c>
      <c r="V177" s="206" t="e">
        <f t="shared" si="17"/>
        <v>#VALUE!</v>
      </c>
      <c r="Y177" s="105" t="str">
        <f t="shared" si="18"/>
        <v>1D</v>
      </c>
      <c r="Z177" s="93">
        <f>_xll.qlCalendarAdvance(Calendar,Z176,Y177,"f",FALSE)</f>
        <v>42409</v>
      </c>
      <c r="AA177" s="117">
        <f>_xll.qlCalendarAdvance(Calendar,Z177,NDays&amp;"D")</f>
        <v>42411</v>
      </c>
      <c r="AB177" s="92">
        <v>1.0300103861022919E-3</v>
      </c>
      <c r="AC177" s="101">
        <v>7.8126578950232783E-4</v>
      </c>
    </row>
    <row r="178" spans="13:29" x14ac:dyDescent="0.2">
      <c r="M178" s="209">
        <f>RateHelpers!B167</f>
        <v>0</v>
      </c>
      <c r="N178" s="105" t="e">
        <f>_xll.qlRateHelperQuoteName(M178)</f>
        <v>#NUM!</v>
      </c>
      <c r="O178" s="93" t="e">
        <f>_xll.qlInterestRateIndexFixingDate(S178,_xll.qlRateHelperEarliestDate(M178,Trigger),)</f>
        <v>#VALUE!</v>
      </c>
      <c r="P178" s="120" t="e">
        <f>_xll.qlRateHelperQuoteValue(M178,_xll.ohTrigger(RecalcTrigger,YieldCurve))</f>
        <v>#NUM!</v>
      </c>
      <c r="Q178" s="123" t="e">
        <f t="shared" si="20"/>
        <v>#NUM!</v>
      </c>
      <c r="R178" s="123">
        <v>2</v>
      </c>
      <c r="S178" s="123" t="e">
        <f>_xll.qlSwapIndex(,"Euribor",Q178,NDays,Currency,Calendar,"1Y","mf","30/360 (Bond Basis)",IborIndex,Discounting,,_xll.ohTrigger(Trigger,RecalcTrigger))</f>
        <v>#VALUE!</v>
      </c>
      <c r="T178" s="123" t="e">
        <f>_xll.qlVanillaSwapFromSwapIndex(,S178,O178)</f>
        <v>#VALUE!</v>
      </c>
      <c r="U178" s="110" t="e">
        <f>_xll.qlVanillaSwapFairRate(T178)</f>
        <v>#VALUE!</v>
      </c>
      <c r="V178" s="206" t="e">
        <f t="shared" si="17"/>
        <v>#VALUE!</v>
      </c>
      <c r="Y178" s="105" t="str">
        <f t="shared" si="18"/>
        <v>1D</v>
      </c>
      <c r="Z178" s="93">
        <f>_xll.qlCalendarAdvance(Calendar,Z177,Y178,"f",FALSE)</f>
        <v>42410</v>
      </c>
      <c r="AA178" s="117">
        <f>_xll.qlCalendarAdvance(Calendar,Z178,NDays&amp;"D")</f>
        <v>42412</v>
      </c>
      <c r="AB178" s="92">
        <v>1.0310977329513356E-3</v>
      </c>
      <c r="AC178" s="101">
        <v>7.4876474124963011E-4</v>
      </c>
    </row>
    <row r="179" spans="13:29" x14ac:dyDescent="0.2">
      <c r="M179" s="209">
        <f>RateHelpers!B168</f>
        <v>0</v>
      </c>
      <c r="N179" s="105" t="e">
        <f>_xll.qlRateHelperQuoteName(M179)</f>
        <v>#NUM!</v>
      </c>
      <c r="O179" s="93" t="e">
        <f>_xll.qlInterestRateIndexFixingDate(S179,_xll.qlRateHelperEarliestDate(M179,Trigger),)</f>
        <v>#VALUE!</v>
      </c>
      <c r="P179" s="120" t="e">
        <f>_xll.qlRateHelperQuoteValue(M179,_xll.ohTrigger(RecalcTrigger,YieldCurve))</f>
        <v>#NUM!</v>
      </c>
      <c r="Q179" s="123" t="e">
        <f t="shared" si="20"/>
        <v>#NUM!</v>
      </c>
      <c r="R179" s="123">
        <v>2</v>
      </c>
      <c r="S179" s="123" t="e">
        <f>_xll.qlSwapIndex(,"Euribor",Q179,NDays,Currency,Calendar,"1Y","mf","30/360 (Bond Basis)",IborIndex,Discounting,,_xll.ohTrigger(Trigger,RecalcTrigger))</f>
        <v>#VALUE!</v>
      </c>
      <c r="T179" s="123" t="e">
        <f>_xll.qlVanillaSwapFromSwapIndex(,S179,O179)</f>
        <v>#VALUE!</v>
      </c>
      <c r="U179" s="110" t="e">
        <f>_xll.qlVanillaSwapFairRate(T179)</f>
        <v>#VALUE!</v>
      </c>
      <c r="V179" s="206" t="e">
        <f t="shared" si="17"/>
        <v>#VALUE!</v>
      </c>
      <c r="Y179" s="105" t="str">
        <f t="shared" si="18"/>
        <v>1D</v>
      </c>
      <c r="Z179" s="93">
        <f>_xll.qlCalendarAdvance(Calendar,Z178,Y179,"f",FALSE)</f>
        <v>42411</v>
      </c>
      <c r="AA179" s="117">
        <f>_xll.qlCalendarAdvance(Calendar,Z179,NDays&amp;"D")</f>
        <v>42415</v>
      </c>
      <c r="AB179" s="92">
        <v>1.0343321478494456E-3</v>
      </c>
      <c r="AC179" s="101">
        <v>7.2219334792400502E-4</v>
      </c>
    </row>
    <row r="180" spans="13:29" x14ac:dyDescent="0.2">
      <c r="M180" s="209">
        <f>RateHelpers!B169</f>
        <v>0</v>
      </c>
      <c r="N180" s="105" t="e">
        <f>_xll.qlRateHelperQuoteName(M180)</f>
        <v>#NUM!</v>
      </c>
      <c r="O180" s="93" t="e">
        <f>_xll.qlInterestRateIndexFixingDate(S180,_xll.qlRateHelperEarliestDate(M180,Trigger),)</f>
        <v>#VALUE!</v>
      </c>
      <c r="P180" s="120" t="e">
        <f>_xll.qlRateHelperQuoteValue(M180,_xll.ohTrigger(RecalcTrigger,YieldCurve))</f>
        <v>#NUM!</v>
      </c>
      <c r="Q180" s="123" t="e">
        <f t="shared" si="20"/>
        <v>#NUM!</v>
      </c>
      <c r="R180" s="123">
        <v>2</v>
      </c>
      <c r="S180" s="123" t="e">
        <f>_xll.qlSwapIndex(,"Euribor",Q180,NDays,Currency,Calendar,"1Y","mf","30/360 (Bond Basis)",IborIndex,Discounting,,_xll.ohTrigger(Trigger,RecalcTrigger))</f>
        <v>#VALUE!</v>
      </c>
      <c r="T180" s="123" t="e">
        <f>_xll.qlVanillaSwapFromSwapIndex(,S180,O180)</f>
        <v>#VALUE!</v>
      </c>
      <c r="U180" s="110" t="e">
        <f>_xll.qlVanillaSwapFairRate(T180)</f>
        <v>#VALUE!</v>
      </c>
      <c r="V180" s="206" t="e">
        <f t="shared" si="17"/>
        <v>#VALUE!</v>
      </c>
      <c r="Y180" s="105" t="str">
        <f t="shared" si="18"/>
        <v>1D</v>
      </c>
      <c r="Z180" s="93">
        <f>_xll.qlCalendarAdvance(Calendar,Z179,Y180,"f",FALSE)</f>
        <v>42412</v>
      </c>
      <c r="AA180" s="117">
        <f>_xll.qlCalendarAdvance(Calendar,Z180,NDays&amp;"D")</f>
        <v>42416</v>
      </c>
      <c r="AB180" s="92">
        <v>1.0354013102006258E-3</v>
      </c>
      <c r="AC180" s="101">
        <v>7.1187481405665665E-4</v>
      </c>
    </row>
    <row r="181" spans="13:29" x14ac:dyDescent="0.2">
      <c r="M181" s="209">
        <f>RateHelpers!B170</f>
        <v>0</v>
      </c>
      <c r="N181" s="105" t="e">
        <f>_xll.qlRateHelperQuoteName(M181)</f>
        <v>#NUM!</v>
      </c>
      <c r="O181" s="93" t="e">
        <f>_xll.qlInterestRateIndexFixingDate(S181,_xll.qlRateHelperEarliestDate(M181,Trigger),)</f>
        <v>#VALUE!</v>
      </c>
      <c r="P181" s="120" t="e">
        <f>_xll.qlRateHelperQuoteValue(M181,_xll.ohTrigger(RecalcTrigger,YieldCurve))</f>
        <v>#NUM!</v>
      </c>
      <c r="Q181" s="123" t="e">
        <f t="shared" si="20"/>
        <v>#NUM!</v>
      </c>
      <c r="R181" s="123">
        <v>2</v>
      </c>
      <c r="S181" s="123" t="e">
        <f>_xll.qlSwapIndex(,"Euribor",Q181,NDays,Currency,Calendar,"1Y","mf","30/360 (Bond Basis)",IborIndex,Discounting,,_xll.ohTrigger(Trigger,RecalcTrigger))</f>
        <v>#VALUE!</v>
      </c>
      <c r="T181" s="123" t="e">
        <f>_xll.qlVanillaSwapFromSwapIndex(,S181,O181)</f>
        <v>#VALUE!</v>
      </c>
      <c r="U181" s="110" t="e">
        <f>_xll.qlVanillaSwapFairRate(T181)</f>
        <v>#VALUE!</v>
      </c>
      <c r="V181" s="206" t="e">
        <f t="shared" si="17"/>
        <v>#VALUE!</v>
      </c>
      <c r="Y181" s="105" t="str">
        <f t="shared" si="18"/>
        <v>1D</v>
      </c>
      <c r="Z181" s="93">
        <f>_xll.qlCalendarAdvance(Calendar,Z180,Y181,"f",FALSE)</f>
        <v>42415</v>
      </c>
      <c r="AA181" s="117">
        <f>_xll.qlCalendarAdvance(Calendar,Z181,NDays&amp;"D")</f>
        <v>42417</v>
      </c>
      <c r="AB181" s="92">
        <v>1.0364661008786726E-3</v>
      </c>
      <c r="AC181" s="101">
        <v>7.0333611055239942E-4</v>
      </c>
    </row>
    <row r="182" spans="13:29" x14ac:dyDescent="0.2">
      <c r="M182" s="209">
        <f>RateHelpers!B171</f>
        <v>0</v>
      </c>
      <c r="N182" s="105" t="e">
        <f>_xll.qlRateHelperQuoteName(M182)</f>
        <v>#NUM!</v>
      </c>
      <c r="O182" s="93" t="e">
        <f>_xll.qlInterestRateIndexFixingDate(S182,_xll.qlRateHelperEarliestDate(M182,Trigger),)</f>
        <v>#VALUE!</v>
      </c>
      <c r="P182" s="120" t="e">
        <f>_xll.qlRateHelperQuoteValue(M182,_xll.ohTrigger(RecalcTrigger,YieldCurve))</f>
        <v>#NUM!</v>
      </c>
      <c r="Q182" s="123" t="e">
        <f t="shared" si="20"/>
        <v>#NUM!</v>
      </c>
      <c r="R182" s="123">
        <v>2</v>
      </c>
      <c r="S182" s="123" t="e">
        <f>_xll.qlSwapIndex(,"Euribor",Q182,NDays,Currency,Calendar,"1Y","mf","30/360 (Bond Basis)",IborIndex,Discounting,,_xll.ohTrigger(Trigger,RecalcTrigger))</f>
        <v>#VALUE!</v>
      </c>
      <c r="T182" s="123" t="e">
        <f>_xll.qlVanillaSwapFromSwapIndex(,S182,O182)</f>
        <v>#VALUE!</v>
      </c>
      <c r="U182" s="110" t="e">
        <f>_xll.qlVanillaSwapFairRate(T182)</f>
        <v>#VALUE!</v>
      </c>
      <c r="V182" s="206" t="e">
        <f t="shared" si="17"/>
        <v>#VALUE!</v>
      </c>
      <c r="Y182" s="105" t="str">
        <f t="shared" si="18"/>
        <v>1D</v>
      </c>
      <c r="Z182" s="93">
        <f>_xll.qlCalendarAdvance(Calendar,Z181,Y182,"f",FALSE)</f>
        <v>42416</v>
      </c>
      <c r="AA182" s="117">
        <f>_xll.qlCalendarAdvance(Calendar,Z182,NDays&amp;"D")</f>
        <v>42418</v>
      </c>
      <c r="AB182" s="92">
        <v>1.0375265896638115E-3</v>
      </c>
      <c r="AC182" s="101">
        <v>6.9657723693161699E-4</v>
      </c>
    </row>
    <row r="183" spans="13:29" x14ac:dyDescent="0.2">
      <c r="M183" s="209">
        <f>RateHelpers!B172</f>
        <v>0</v>
      </c>
      <c r="N183" s="105" t="e">
        <f>_xll.qlRateHelperQuoteName(M183)</f>
        <v>#NUM!</v>
      </c>
      <c r="O183" s="93" t="e">
        <f>_xll.qlInterestRateIndexFixingDate(S183,_xll.qlRateHelperEarliestDate(M183,Trigger),)</f>
        <v>#VALUE!</v>
      </c>
      <c r="P183" s="120" t="e">
        <f>_xll.qlRateHelperQuoteValue(M183,_xll.ohTrigger(RecalcTrigger,YieldCurve))</f>
        <v>#NUM!</v>
      </c>
      <c r="Q183" s="123" t="e">
        <f t="shared" si="20"/>
        <v>#NUM!</v>
      </c>
      <c r="R183" s="123">
        <v>2</v>
      </c>
      <c r="S183" s="123" t="e">
        <f>_xll.qlSwapIndex(,"Euribor",Q183,NDays,Currency,Calendar,"1Y","mf","30/360 (Bond Basis)",IborIndex,Discounting,,_xll.ohTrigger(Trigger,RecalcTrigger))</f>
        <v>#VALUE!</v>
      </c>
      <c r="T183" s="123" t="e">
        <f>_xll.qlVanillaSwapFromSwapIndex(,S183,O183)</f>
        <v>#VALUE!</v>
      </c>
      <c r="U183" s="110" t="e">
        <f>_xll.qlVanillaSwapFairRate(T183)</f>
        <v>#VALUE!</v>
      </c>
      <c r="V183" s="206" t="e">
        <f t="shared" si="17"/>
        <v>#VALUE!</v>
      </c>
      <c r="Y183" s="105" t="str">
        <f t="shared" si="18"/>
        <v>1D</v>
      </c>
      <c r="Z183" s="93">
        <f>_xll.qlCalendarAdvance(Calendar,Z182,Y183,"f",FALSE)</f>
        <v>42417</v>
      </c>
      <c r="AA183" s="117">
        <f>_xll.qlCalendarAdvance(Calendar,Z183,NDays&amp;"D")</f>
        <v>42419</v>
      </c>
      <c r="AB183" s="92">
        <v>1.0385828463384643E-3</v>
      </c>
      <c r="AC183" s="101">
        <v>6.8899357525964433E-4</v>
      </c>
    </row>
    <row r="184" spans="13:29" x14ac:dyDescent="0.2">
      <c r="M184" s="209">
        <f>RateHelpers!B173</f>
        <v>0</v>
      </c>
      <c r="N184" s="105" t="e">
        <f>_xll.qlRateHelperQuoteName(M184)</f>
        <v>#NUM!</v>
      </c>
      <c r="O184" s="93" t="e">
        <f>_xll.qlInterestRateIndexFixingDate(S184,_xll.qlRateHelperEarliestDate(M184,Trigger),)</f>
        <v>#VALUE!</v>
      </c>
      <c r="P184" s="120" t="e">
        <f>_xll.qlRateHelperQuoteValue(M184,_xll.ohTrigger(RecalcTrigger,YieldCurve))</f>
        <v>#NUM!</v>
      </c>
      <c r="Q184" s="123" t="e">
        <f t="shared" si="20"/>
        <v>#NUM!</v>
      </c>
      <c r="R184" s="123">
        <v>2</v>
      </c>
      <c r="S184" s="123" t="e">
        <f>_xll.qlSwapIndex(,"Euribor",Q184,NDays,Currency,Calendar,"1Y","mf","30/360 (Bond Basis)",IborIndex,Discounting,,_xll.ohTrigger(Trigger,RecalcTrigger))</f>
        <v>#VALUE!</v>
      </c>
      <c r="T184" s="123" t="e">
        <f>_xll.qlVanillaSwapFromSwapIndex(,S184,O184)</f>
        <v>#VALUE!</v>
      </c>
      <c r="U184" s="110" t="e">
        <f>_xll.qlVanillaSwapFairRate(T184)</f>
        <v>#VALUE!</v>
      </c>
      <c r="V184" s="206" t="e">
        <f t="shared" si="17"/>
        <v>#VALUE!</v>
      </c>
      <c r="Y184" s="105" t="str">
        <f t="shared" si="18"/>
        <v>1D</v>
      </c>
      <c r="Z184" s="93">
        <f>_xll.qlCalendarAdvance(Calendar,Z183,Y184,"f",FALSE)</f>
        <v>42418</v>
      </c>
      <c r="AA184" s="117">
        <f>_xll.qlCalendarAdvance(Calendar,Z184,NDays&amp;"D")</f>
        <v>42422</v>
      </c>
      <c r="AB184" s="92">
        <v>1.0417269215074704E-3</v>
      </c>
      <c r="AC184" s="101">
        <v>6.8734004264214832E-4</v>
      </c>
    </row>
    <row r="185" spans="13:29" ht="12" thickBot="1" x14ac:dyDescent="0.25">
      <c r="M185" s="210">
        <f>RateHelpers!B174</f>
        <v>0</v>
      </c>
      <c r="N185" s="106" t="e">
        <f>_xll.qlRateHelperQuoteName(M185)</f>
        <v>#NUM!</v>
      </c>
      <c r="O185" s="103" t="e">
        <f>_xll.qlInterestRateIndexFixingDate(S185,_xll.qlRateHelperEarliestDate(M185,Trigger),)</f>
        <v>#VALUE!</v>
      </c>
      <c r="P185" s="121" t="e">
        <f>_xll.qlRateHelperQuoteValue(M185,_xll.ohTrigger(RecalcTrigger,YieldCurve))</f>
        <v>#NUM!</v>
      </c>
      <c r="Q185" s="124" t="e">
        <f t="shared" si="20"/>
        <v>#NUM!</v>
      </c>
      <c r="R185" s="124">
        <v>2</v>
      </c>
      <c r="S185" s="124" t="e">
        <f>_xll.qlSwapIndex(,"Euribor",Q185,NDays,Currency,Calendar,"1Y","mf","30/360 (Bond Basis)",IborIndex,Discounting,,_xll.ohTrigger(Trigger,RecalcTrigger))</f>
        <v>#VALUE!</v>
      </c>
      <c r="T185" s="124" t="e">
        <f>_xll.qlVanillaSwapFromSwapIndex(,S185,O185)</f>
        <v>#VALUE!</v>
      </c>
      <c r="U185" s="112" t="e">
        <f>_xll.qlVanillaSwapFairRate(T185)</f>
        <v>#VALUE!</v>
      </c>
      <c r="V185" s="207" t="e">
        <f t="shared" si="17"/>
        <v>#VALUE!</v>
      </c>
      <c r="Y185" s="105" t="str">
        <f t="shared" si="18"/>
        <v>1D</v>
      </c>
      <c r="Z185" s="93">
        <f>_xll.qlCalendarAdvance(Calendar,Z184,Y185,"f",FALSE)</f>
        <v>42419</v>
      </c>
      <c r="AA185" s="117">
        <f>_xll.qlCalendarAdvance(Calendar,Z185,NDays&amp;"D")</f>
        <v>42423</v>
      </c>
      <c r="AB185" s="92">
        <v>1.0427669475512179E-3</v>
      </c>
      <c r="AC185" s="101">
        <v>6.894803188384202E-4</v>
      </c>
    </row>
    <row r="186" spans="13:29" x14ac:dyDescent="0.2">
      <c r="M186" s="211">
        <f>RateHelpers!B175</f>
        <v>0</v>
      </c>
      <c r="N186" s="195" t="e">
        <f>_xll.qlRateHelperQuoteName(M186)</f>
        <v>#NUM!</v>
      </c>
      <c r="O186" s="192" t="e">
        <f>_xll.qlInterestRateIndexFixingDate(S186,_xll.qlRateHelperEarliestDate(M186,Trigger),)</f>
        <v>#VALUE!</v>
      </c>
      <c r="P186" s="193" t="e">
        <f>_xll.qlRateHelperQuoteValue(M186,_xll.ohTrigger(RecalcTrigger,YieldCurve))</f>
        <v>#NUM!</v>
      </c>
      <c r="Q186" s="191" t="e">
        <f t="shared" ref="Q186:Q203" si="21">SUBSTITUTE(SUBSTITUTE(N186,"_Quote",""),"EUR7F","")</f>
        <v>#NUM!</v>
      </c>
      <c r="R186" s="191">
        <v>2</v>
      </c>
      <c r="S186" s="191" t="e">
        <f>_xll.qlSwapIndex(,"Euribor",Q186,NDays,Currency,Calendar,"1Y","mf","30/360 (Bond Basis)",IborIndex,Discounting,,_xll.ohTrigger(Trigger,RecalcTrigger))</f>
        <v>#VALUE!</v>
      </c>
      <c r="T186" s="191" t="e">
        <f>_xll.qlVanillaSwapFromSwapIndex(,S186,O186)</f>
        <v>#VALUE!</v>
      </c>
      <c r="U186" s="194" t="e">
        <f>_xll.qlVanillaSwapFairRate(T186)</f>
        <v>#VALUE!</v>
      </c>
      <c r="V186" s="208" t="e">
        <f t="shared" si="17"/>
        <v>#VALUE!</v>
      </c>
      <c r="Y186" s="105" t="str">
        <f t="shared" si="18"/>
        <v>1D</v>
      </c>
      <c r="Z186" s="93">
        <f>_xll.qlCalendarAdvance(Calendar,Z185,Y186,"f",FALSE)</f>
        <v>42422</v>
      </c>
      <c r="AA186" s="117">
        <f>_xll.qlCalendarAdvance(Calendar,Z186,NDays&amp;"D")</f>
        <v>42424</v>
      </c>
      <c r="AB186" s="92">
        <v>1.0438030903917558E-3</v>
      </c>
      <c r="AC186" s="101">
        <v>6.9340042491816689E-4</v>
      </c>
    </row>
    <row r="187" spans="13:29" x14ac:dyDescent="0.2">
      <c r="M187" s="209">
        <f>RateHelpers!B176</f>
        <v>0</v>
      </c>
      <c r="N187" s="105" t="e">
        <f>_xll.qlRateHelperQuoteName(M187)</f>
        <v>#NUM!</v>
      </c>
      <c r="O187" s="93" t="e">
        <f>_xll.qlInterestRateIndexFixingDate(S187,_xll.qlRateHelperEarliestDate(M187,Trigger),)</f>
        <v>#VALUE!</v>
      </c>
      <c r="P187" s="120" t="e">
        <f>_xll.qlRateHelperQuoteValue(M187,_xll.ohTrigger(RecalcTrigger,YieldCurve))</f>
        <v>#NUM!</v>
      </c>
      <c r="Q187" s="123" t="e">
        <f t="shared" si="21"/>
        <v>#NUM!</v>
      </c>
      <c r="R187" s="123">
        <v>2</v>
      </c>
      <c r="S187" s="123" t="e">
        <f>_xll.qlSwapIndex(,"Euribor",Q187,NDays,Currency,Calendar,"1Y","mf","30/360 (Bond Basis)",IborIndex,Discounting,,_xll.ohTrigger(Trigger,RecalcTrigger))</f>
        <v>#VALUE!</v>
      </c>
      <c r="T187" s="123" t="e">
        <f>_xll.qlVanillaSwapFromSwapIndex(,S187,O187)</f>
        <v>#VALUE!</v>
      </c>
      <c r="U187" s="110" t="e">
        <f>_xll.qlVanillaSwapFairRate(T187)</f>
        <v>#VALUE!</v>
      </c>
      <c r="V187" s="206" t="e">
        <f t="shared" si="17"/>
        <v>#VALUE!</v>
      </c>
      <c r="Y187" s="105" t="str">
        <f t="shared" si="18"/>
        <v>1D</v>
      </c>
      <c r="Z187" s="93">
        <f>_xll.qlCalendarAdvance(Calendar,Z186,Y187,"f",FALSE)</f>
        <v>42423</v>
      </c>
      <c r="AA187" s="117">
        <f>_xll.qlCalendarAdvance(Calendar,Z187,NDays&amp;"D")</f>
        <v>42425</v>
      </c>
      <c r="AB187" s="92">
        <v>1.0448354198106275E-3</v>
      </c>
      <c r="AC187" s="101">
        <v>6.991003610412605E-4</v>
      </c>
    </row>
    <row r="188" spans="13:29" x14ac:dyDescent="0.2">
      <c r="M188" s="209">
        <f>RateHelpers!B177</f>
        <v>0</v>
      </c>
      <c r="N188" s="105" t="e">
        <f>_xll.qlRateHelperQuoteName(M188)</f>
        <v>#NUM!</v>
      </c>
      <c r="O188" s="93" t="e">
        <f>_xll.qlInterestRateIndexFixingDate(S188,_xll.qlRateHelperEarliestDate(M188,Trigger),)</f>
        <v>#VALUE!</v>
      </c>
      <c r="P188" s="120" t="e">
        <f>_xll.qlRateHelperQuoteValue(M188,_xll.ohTrigger(RecalcTrigger,YieldCurve))</f>
        <v>#NUM!</v>
      </c>
      <c r="Q188" s="123" t="e">
        <f t="shared" si="21"/>
        <v>#NUM!</v>
      </c>
      <c r="R188" s="123">
        <v>2</v>
      </c>
      <c r="S188" s="123" t="e">
        <f>_xll.qlSwapIndex(,"Euribor",Q188,NDays,Currency,Calendar,"1Y","mf","30/360 (Bond Basis)",IborIndex,Discounting,,_xll.ohTrigger(Trigger,RecalcTrigger))</f>
        <v>#VALUE!</v>
      </c>
      <c r="T188" s="123" t="e">
        <f>_xll.qlVanillaSwapFromSwapIndex(,S188,O188)</f>
        <v>#VALUE!</v>
      </c>
      <c r="U188" s="110" t="e">
        <f>_xll.qlVanillaSwapFairRate(T188)</f>
        <v>#VALUE!</v>
      </c>
      <c r="V188" s="206" t="e">
        <f t="shared" si="17"/>
        <v>#VALUE!</v>
      </c>
      <c r="Y188" s="105" t="str">
        <f t="shared" si="18"/>
        <v>1D</v>
      </c>
      <c r="Z188" s="93">
        <f>_xll.qlCalendarAdvance(Calendar,Z187,Y188,"f",FALSE)</f>
        <v>42424</v>
      </c>
      <c r="AA188" s="117">
        <f>_xll.qlCalendarAdvance(Calendar,Z188,NDays&amp;"D")</f>
        <v>42426</v>
      </c>
      <c r="AB188" s="92">
        <v>1.0458640055906936E-3</v>
      </c>
      <c r="AC188" s="101">
        <v>7.1643442594471196E-4</v>
      </c>
    </row>
    <row r="189" spans="13:29" x14ac:dyDescent="0.2">
      <c r="M189" s="209">
        <f>RateHelpers!B178</f>
        <v>0</v>
      </c>
      <c r="N189" s="105" t="e">
        <f>_xll.qlRateHelperQuoteName(M189)</f>
        <v>#NUM!</v>
      </c>
      <c r="O189" s="93" t="e">
        <f>_xll.qlInterestRateIndexFixingDate(S189,_xll.qlRateHelperEarliestDate(M189,Trigger),)</f>
        <v>#VALUE!</v>
      </c>
      <c r="P189" s="120" t="e">
        <f>_xll.qlRateHelperQuoteValue(M189,_xll.ohTrigger(RecalcTrigger,YieldCurve))</f>
        <v>#NUM!</v>
      </c>
      <c r="Q189" s="123" t="e">
        <f t="shared" si="21"/>
        <v>#NUM!</v>
      </c>
      <c r="R189" s="123">
        <v>2</v>
      </c>
      <c r="S189" s="123" t="e">
        <f>_xll.qlSwapIndex(,"Euribor",Q189,NDays,Currency,Calendar,"1Y","mf","30/360 (Bond Basis)",IborIndex,Discounting,,_xll.ohTrigger(Trigger,RecalcTrigger))</f>
        <v>#VALUE!</v>
      </c>
      <c r="T189" s="123" t="e">
        <f>_xll.qlVanillaSwapFromSwapIndex(,S189,O189)</f>
        <v>#VALUE!</v>
      </c>
      <c r="U189" s="110" t="e">
        <f>_xll.qlVanillaSwapFairRate(T189)</f>
        <v>#VALUE!</v>
      </c>
      <c r="V189" s="206" t="e">
        <f t="shared" si="17"/>
        <v>#VALUE!</v>
      </c>
      <c r="Y189" s="105" t="str">
        <f t="shared" si="18"/>
        <v>1D</v>
      </c>
      <c r="Z189" s="93">
        <f>_xll.qlCalendarAdvance(Calendar,Z188,Y189,"f",FALSE)</f>
        <v>42425</v>
      </c>
      <c r="AA189" s="117">
        <f>_xll.qlCalendarAdvance(Calendar,Z189,NDays&amp;"D")</f>
        <v>42429</v>
      </c>
      <c r="AB189" s="92">
        <v>1.0476536831187076E-3</v>
      </c>
      <c r="AC189" s="101">
        <v>7.3969840724608105E-4</v>
      </c>
    </row>
    <row r="190" spans="13:29" x14ac:dyDescent="0.2">
      <c r="M190" s="209">
        <f>RateHelpers!B179</f>
        <v>0</v>
      </c>
      <c r="N190" s="105" t="e">
        <f>_xll.qlRateHelperQuoteName(M190)</f>
        <v>#NUM!</v>
      </c>
      <c r="O190" s="93" t="e">
        <f>_xll.qlInterestRateIndexFixingDate(S190,_xll.qlRateHelperEarliestDate(M190,Trigger),)</f>
        <v>#VALUE!</v>
      </c>
      <c r="P190" s="120" t="e">
        <f>_xll.qlRateHelperQuoteValue(M190,_xll.ohTrigger(RecalcTrigger,YieldCurve))</f>
        <v>#NUM!</v>
      </c>
      <c r="Q190" s="123" t="e">
        <f t="shared" si="21"/>
        <v>#NUM!</v>
      </c>
      <c r="R190" s="123">
        <v>2</v>
      </c>
      <c r="S190" s="123" t="e">
        <f>_xll.qlSwapIndex(,"Euribor",Q190,NDays,Currency,Calendar,"1Y","mf","30/360 (Bond Basis)",IborIndex,Discounting,,_xll.ohTrigger(Trigger,RecalcTrigger))</f>
        <v>#VALUE!</v>
      </c>
      <c r="T190" s="123" t="e">
        <f>_xll.qlVanillaSwapFromSwapIndex(,S190,O190)</f>
        <v>#VALUE!</v>
      </c>
      <c r="U190" s="110" t="e">
        <f>_xll.qlVanillaSwapFairRate(T190)</f>
        <v>#VALUE!</v>
      </c>
      <c r="V190" s="206" t="e">
        <f t="shared" si="17"/>
        <v>#VALUE!</v>
      </c>
      <c r="Y190" s="105" t="str">
        <f t="shared" si="18"/>
        <v>1D</v>
      </c>
      <c r="Z190" s="93">
        <f>_xll.qlCalendarAdvance(Calendar,Z189,Y190,"f",FALSE)</f>
        <v>42426</v>
      </c>
      <c r="AA190" s="117">
        <f>_xll.qlCalendarAdvance(Calendar,Z190,NDays&amp;"D")</f>
        <v>42430</v>
      </c>
      <c r="AB190" s="92">
        <v>1.0488187732000762E-3</v>
      </c>
      <c r="AC190" s="101">
        <v>7.5429749502475829E-4</v>
      </c>
    </row>
    <row r="191" spans="13:29" x14ac:dyDescent="0.2">
      <c r="M191" s="209">
        <f>RateHelpers!B180</f>
        <v>0</v>
      </c>
      <c r="N191" s="105" t="e">
        <f>_xll.qlRateHelperQuoteName(M191)</f>
        <v>#NUM!</v>
      </c>
      <c r="O191" s="93" t="e">
        <f>_xll.qlInterestRateIndexFixingDate(S191,_xll.qlRateHelperEarliestDate(M191,Trigger),)</f>
        <v>#VALUE!</v>
      </c>
      <c r="P191" s="120" t="e">
        <f>_xll.qlRateHelperQuoteValue(M191,_xll.ohTrigger(RecalcTrigger,YieldCurve))</f>
        <v>#NUM!</v>
      </c>
      <c r="Q191" s="123" t="e">
        <f t="shared" si="21"/>
        <v>#NUM!</v>
      </c>
      <c r="R191" s="123">
        <v>2</v>
      </c>
      <c r="S191" s="123" t="e">
        <f>_xll.qlSwapIndex(,"Euribor",Q191,NDays,Currency,Calendar,"1Y","mf","30/360 (Bond Basis)",IborIndex,Discounting,,_xll.ohTrigger(Trigger,RecalcTrigger))</f>
        <v>#VALUE!</v>
      </c>
      <c r="T191" s="123" t="e">
        <f>_xll.qlVanillaSwapFromSwapIndex(,S191,O191)</f>
        <v>#VALUE!</v>
      </c>
      <c r="U191" s="110" t="e">
        <f>_xll.qlVanillaSwapFairRate(T191)</f>
        <v>#VALUE!</v>
      </c>
      <c r="V191" s="206" t="e">
        <f t="shared" si="17"/>
        <v>#VALUE!</v>
      </c>
      <c r="Y191" s="105" t="str">
        <f t="shared" si="18"/>
        <v>1D</v>
      </c>
      <c r="Z191" s="93">
        <f>_xll.qlCalendarAdvance(Calendar,Z190,Y191,"f",FALSE)</f>
        <v>42429</v>
      </c>
      <c r="AA191" s="117">
        <f>_xll.qlCalendarAdvance(Calendar,Z191,NDays&amp;"D")</f>
        <v>42431</v>
      </c>
      <c r="AB191" s="92">
        <v>1.0499999999999279E-3</v>
      </c>
      <c r="AC191" s="101">
        <v>7.7026146293235342E-4</v>
      </c>
    </row>
    <row r="192" spans="13:29" x14ac:dyDescent="0.2">
      <c r="M192" s="209">
        <f>RateHelpers!B181</f>
        <v>0</v>
      </c>
      <c r="N192" s="105" t="e">
        <f>_xll.qlRateHelperQuoteName(M192)</f>
        <v>#NUM!</v>
      </c>
      <c r="O192" s="93" t="e">
        <f>_xll.qlInterestRateIndexFixingDate(S192,_xll.qlRateHelperEarliestDate(M192,Trigger),)</f>
        <v>#VALUE!</v>
      </c>
      <c r="P192" s="120" t="e">
        <f>_xll.qlRateHelperQuoteValue(M192,_xll.ohTrigger(RecalcTrigger,YieldCurve))</f>
        <v>#NUM!</v>
      </c>
      <c r="Q192" s="123" t="e">
        <f t="shared" si="21"/>
        <v>#NUM!</v>
      </c>
      <c r="R192" s="123">
        <v>2</v>
      </c>
      <c r="S192" s="123" t="e">
        <f>_xll.qlSwapIndex(,"Euribor",Q192,NDays,Currency,Calendar,"1Y","mf","30/360 (Bond Basis)",IborIndex,Discounting,,_xll.ohTrigger(Trigger,RecalcTrigger))</f>
        <v>#VALUE!</v>
      </c>
      <c r="T192" s="123" t="e">
        <f>_xll.qlVanillaSwapFromSwapIndex(,S192,O192)</f>
        <v>#VALUE!</v>
      </c>
      <c r="U192" s="110" t="e">
        <f>_xll.qlVanillaSwapFairRate(T192)</f>
        <v>#VALUE!</v>
      </c>
      <c r="V192" s="206" t="e">
        <f t="shared" si="17"/>
        <v>#VALUE!</v>
      </c>
      <c r="Y192" s="105" t="str">
        <f t="shared" si="18"/>
        <v>1D</v>
      </c>
      <c r="Z192" s="93">
        <f>_xll.qlCalendarAdvance(Calendar,Z191,Y192,"f",FALSE)</f>
        <v>42430</v>
      </c>
      <c r="AA192" s="117">
        <f>_xll.qlCalendarAdvance(Calendar,Z192,NDays&amp;"D")</f>
        <v>42432</v>
      </c>
      <c r="AB192" s="92">
        <v>1.0508494773600696E-3</v>
      </c>
      <c r="AC192" s="101">
        <v>7.8593050787389984E-4</v>
      </c>
    </row>
    <row r="193" spans="13:29" x14ac:dyDescent="0.2">
      <c r="M193" s="209">
        <f>RateHelpers!B182</f>
        <v>0</v>
      </c>
      <c r="N193" s="105" t="e">
        <f>_xll.qlRateHelperQuoteName(M193)</f>
        <v>#NUM!</v>
      </c>
      <c r="O193" s="93" t="e">
        <f>_xll.qlInterestRateIndexFixingDate(S193,_xll.qlRateHelperEarliestDate(M193,Trigger),)</f>
        <v>#VALUE!</v>
      </c>
      <c r="P193" s="120" t="e">
        <f>_xll.qlRateHelperQuoteValue(M193,_xll.ohTrigger(RecalcTrigger,YieldCurve))</f>
        <v>#NUM!</v>
      </c>
      <c r="Q193" s="123" t="e">
        <f t="shared" si="21"/>
        <v>#NUM!</v>
      </c>
      <c r="R193" s="123">
        <v>2</v>
      </c>
      <c r="S193" s="123" t="e">
        <f>_xll.qlSwapIndex(,"Euribor",Q193,NDays,Currency,Calendar,"1Y","mf","30/360 (Bond Basis)",IborIndex,Discounting,,_xll.ohTrigger(Trigger,RecalcTrigger))</f>
        <v>#VALUE!</v>
      </c>
      <c r="T193" s="123" t="e">
        <f>_xll.qlVanillaSwapFromSwapIndex(,S193,O193)</f>
        <v>#VALUE!</v>
      </c>
      <c r="U193" s="110" t="e">
        <f>_xll.qlVanillaSwapFairRate(T193)</f>
        <v>#VALUE!</v>
      </c>
      <c r="V193" s="206" t="e">
        <f t="shared" si="17"/>
        <v>#VALUE!</v>
      </c>
      <c r="Y193" s="105" t="str">
        <f t="shared" si="18"/>
        <v>1D</v>
      </c>
      <c r="Z193" s="93">
        <f>_xll.qlCalendarAdvance(Calendar,Z192,Y193,"f",FALSE)</f>
        <v>42431</v>
      </c>
      <c r="AA193" s="117">
        <f>_xll.qlCalendarAdvance(Calendar,Z193,NDays&amp;"D")</f>
        <v>42433</v>
      </c>
      <c r="AB193" s="92">
        <v>1.0522791745164342E-3</v>
      </c>
      <c r="AC193" s="101">
        <v>8.1490419590934948E-4</v>
      </c>
    </row>
    <row r="194" spans="13:29" x14ac:dyDescent="0.2">
      <c r="M194" s="209">
        <f>RateHelpers!B183</f>
        <v>0</v>
      </c>
      <c r="N194" s="105" t="e">
        <f>_xll.qlRateHelperQuoteName(M194)</f>
        <v>#NUM!</v>
      </c>
      <c r="O194" s="93" t="e">
        <f>_xll.qlInterestRateIndexFixingDate(S194,_xll.qlRateHelperEarliestDate(M194,Trigger),)</f>
        <v>#VALUE!</v>
      </c>
      <c r="P194" s="120" t="e">
        <f>_xll.qlRateHelperQuoteValue(M194,_xll.ohTrigger(RecalcTrigger,YieldCurve))</f>
        <v>#NUM!</v>
      </c>
      <c r="Q194" s="123" t="e">
        <f t="shared" si="21"/>
        <v>#NUM!</v>
      </c>
      <c r="R194" s="123">
        <v>2</v>
      </c>
      <c r="S194" s="123" t="e">
        <f>_xll.qlSwapIndex(,"Euribor",Q194,NDays,Currency,Calendar,"1Y","mf","30/360 (Bond Basis)",IborIndex,Discounting,,_xll.ohTrigger(Trigger,RecalcTrigger))</f>
        <v>#VALUE!</v>
      </c>
      <c r="T194" s="123" t="e">
        <f>_xll.qlVanillaSwapFromSwapIndex(,S194,O194)</f>
        <v>#VALUE!</v>
      </c>
      <c r="U194" s="110" t="e">
        <f>_xll.qlVanillaSwapFairRate(T194)</f>
        <v>#VALUE!</v>
      </c>
      <c r="V194" s="206" t="e">
        <f t="shared" si="17"/>
        <v>#VALUE!</v>
      </c>
      <c r="Y194" s="105" t="str">
        <f t="shared" si="18"/>
        <v>1D</v>
      </c>
      <c r="Z194" s="93">
        <f>_xll.qlCalendarAdvance(Calendar,Z193,Y194,"f",FALSE)</f>
        <v>42432</v>
      </c>
      <c r="AA194" s="117">
        <f>_xll.qlCalendarAdvance(Calendar,Z194,NDays&amp;"D")</f>
        <v>42436</v>
      </c>
      <c r="AB194" s="92">
        <v>1.0561593353912134E-3</v>
      </c>
      <c r="AC194" s="101">
        <v>8.4150794836368448E-4</v>
      </c>
    </row>
    <row r="195" spans="13:29" x14ac:dyDescent="0.2">
      <c r="M195" s="209">
        <f>RateHelpers!B184</f>
        <v>0</v>
      </c>
      <c r="N195" s="105" t="e">
        <f>_xll.qlRateHelperQuoteName(M195)</f>
        <v>#NUM!</v>
      </c>
      <c r="O195" s="93" t="e">
        <f>_xll.qlInterestRateIndexFixingDate(S195,_xll.qlRateHelperEarliestDate(M195,Trigger),)</f>
        <v>#VALUE!</v>
      </c>
      <c r="P195" s="120" t="e">
        <f>_xll.qlRateHelperQuoteValue(M195,_xll.ohTrigger(RecalcTrigger,YieldCurve))</f>
        <v>#NUM!</v>
      </c>
      <c r="Q195" s="123" t="e">
        <f t="shared" si="21"/>
        <v>#NUM!</v>
      </c>
      <c r="R195" s="123">
        <v>2</v>
      </c>
      <c r="S195" s="123" t="e">
        <f>_xll.qlSwapIndex(,"Euribor",Q195,NDays,Currency,Calendar,"1Y","mf","30/360 (Bond Basis)",IborIndex,Discounting,,_xll.ohTrigger(Trigger,RecalcTrigger))</f>
        <v>#VALUE!</v>
      </c>
      <c r="T195" s="123" t="e">
        <f>_xll.qlVanillaSwapFromSwapIndex(,S195,O195)</f>
        <v>#VALUE!</v>
      </c>
      <c r="U195" s="110" t="e">
        <f>_xll.qlVanillaSwapFairRate(T195)</f>
        <v>#VALUE!</v>
      </c>
      <c r="V195" s="206" t="e">
        <f t="shared" si="17"/>
        <v>#VALUE!</v>
      </c>
      <c r="Y195" s="105" t="str">
        <f t="shared" si="18"/>
        <v>1D</v>
      </c>
      <c r="Z195" s="93">
        <f>_xll.qlCalendarAdvance(Calendar,Z194,Y195,"f",FALSE)</f>
        <v>42433</v>
      </c>
      <c r="AA195" s="117">
        <f>_xll.qlCalendarAdvance(Calendar,Z195,NDays&amp;"D")</f>
        <v>42437</v>
      </c>
      <c r="AB195" s="92">
        <v>1.0574451907820737E-3</v>
      </c>
      <c r="AC195" s="101">
        <v>8.5362762330731812E-4</v>
      </c>
    </row>
    <row r="196" spans="13:29" x14ac:dyDescent="0.2">
      <c r="M196" s="209">
        <f>RateHelpers!B185</f>
        <v>0</v>
      </c>
      <c r="N196" s="105" t="e">
        <f>_xll.qlRateHelperQuoteName(M196)</f>
        <v>#NUM!</v>
      </c>
      <c r="O196" s="93" t="e">
        <f>_xll.qlInterestRateIndexFixingDate(S196,_xll.qlRateHelperEarliestDate(M196,Trigger),)</f>
        <v>#VALUE!</v>
      </c>
      <c r="P196" s="120" t="e">
        <f>_xll.qlRateHelperQuoteValue(M196,_xll.ohTrigger(RecalcTrigger,YieldCurve))</f>
        <v>#NUM!</v>
      </c>
      <c r="Q196" s="123" t="e">
        <f t="shared" si="21"/>
        <v>#NUM!</v>
      </c>
      <c r="R196" s="123">
        <v>2</v>
      </c>
      <c r="S196" s="123" t="e">
        <f>_xll.qlSwapIndex(,"Euribor",Q196,NDays,Currency,Calendar,"1Y","mf","30/360 (Bond Basis)",IborIndex,Discounting,,_xll.ohTrigger(Trigger,RecalcTrigger))</f>
        <v>#VALUE!</v>
      </c>
      <c r="T196" s="123" t="e">
        <f>_xll.qlVanillaSwapFromSwapIndex(,S196,O196)</f>
        <v>#VALUE!</v>
      </c>
      <c r="U196" s="110" t="e">
        <f>_xll.qlVanillaSwapFairRate(T196)</f>
        <v>#VALUE!</v>
      </c>
      <c r="V196" s="206" t="e">
        <f t="shared" si="17"/>
        <v>#VALUE!</v>
      </c>
      <c r="Y196" s="105" t="str">
        <f t="shared" si="18"/>
        <v>1D</v>
      </c>
      <c r="Z196" s="93">
        <f>_xll.qlCalendarAdvance(Calendar,Z195,Y196,"f",FALSE)</f>
        <v>42436</v>
      </c>
      <c r="AA196" s="117">
        <f>_xll.qlCalendarAdvance(Calendar,Z196,NDays&amp;"D")</f>
        <v>42438</v>
      </c>
      <c r="AB196" s="92">
        <v>1.0587501815861877E-3</v>
      </c>
      <c r="AC196" s="101">
        <v>8.6503742401156103E-4</v>
      </c>
    </row>
    <row r="197" spans="13:29" x14ac:dyDescent="0.2">
      <c r="M197" s="209">
        <f>RateHelpers!B186</f>
        <v>0</v>
      </c>
      <c r="N197" s="105" t="e">
        <f>_xll.qlRateHelperQuoteName(M197)</f>
        <v>#NUM!</v>
      </c>
      <c r="O197" s="93" t="e">
        <f>_xll.qlInterestRateIndexFixingDate(S197,_xll.qlRateHelperEarliestDate(M197,Trigger),)</f>
        <v>#VALUE!</v>
      </c>
      <c r="P197" s="120" t="e">
        <f>_xll.qlRateHelperQuoteValue(M197,_xll.ohTrigger(RecalcTrigger,YieldCurve))</f>
        <v>#NUM!</v>
      </c>
      <c r="Q197" s="123" t="e">
        <f t="shared" si="21"/>
        <v>#NUM!</v>
      </c>
      <c r="R197" s="123">
        <v>2</v>
      </c>
      <c r="S197" s="123" t="e">
        <f>_xll.qlSwapIndex(,"Euribor",Q197,NDays,Currency,Calendar,"1Y","mf","30/360 (Bond Basis)",IborIndex,Discounting,,_xll.ohTrigger(Trigger,RecalcTrigger))</f>
        <v>#VALUE!</v>
      </c>
      <c r="T197" s="123" t="e">
        <f>_xll.qlVanillaSwapFromSwapIndex(,S197,O197)</f>
        <v>#VALUE!</v>
      </c>
      <c r="U197" s="110" t="e">
        <f>_xll.qlVanillaSwapFairRate(T197)</f>
        <v>#VALUE!</v>
      </c>
      <c r="V197" s="206" t="e">
        <f t="shared" si="17"/>
        <v>#VALUE!</v>
      </c>
      <c r="Y197" s="105" t="str">
        <f t="shared" si="18"/>
        <v>1D</v>
      </c>
      <c r="Z197" s="93">
        <f>_xll.qlCalendarAdvance(Calendar,Z196,Y197,"f",FALSE)</f>
        <v>42437</v>
      </c>
      <c r="AA197" s="117">
        <f>_xll.qlCalendarAdvance(Calendar,Z197,NDays&amp;"D")</f>
        <v>42439</v>
      </c>
      <c r="AB197" s="92">
        <v>1.0608324516369811E-3</v>
      </c>
      <c r="AC197" s="101">
        <v>8.7573735039647715E-4</v>
      </c>
    </row>
    <row r="198" spans="13:29" x14ac:dyDescent="0.2">
      <c r="M198" s="209">
        <f>RateHelpers!B187</f>
        <v>0</v>
      </c>
      <c r="N198" s="105" t="e">
        <f>_xll.qlRateHelperQuoteName(M198)</f>
        <v>#NUM!</v>
      </c>
      <c r="O198" s="93" t="e">
        <f>_xll.qlInterestRateIndexFixingDate(S198,_xll.qlRateHelperEarliestDate(M198,Trigger),)</f>
        <v>#VALUE!</v>
      </c>
      <c r="P198" s="120" t="e">
        <f>_xll.qlRateHelperQuoteValue(M198,_xll.ohTrigger(RecalcTrigger,YieldCurve))</f>
        <v>#NUM!</v>
      </c>
      <c r="Q198" s="123" t="e">
        <f t="shared" si="21"/>
        <v>#NUM!</v>
      </c>
      <c r="R198" s="123">
        <v>2</v>
      </c>
      <c r="S198" s="123" t="e">
        <f>_xll.qlSwapIndex(,"Euribor",Q198,NDays,Currency,Calendar,"1Y","mf","30/360 (Bond Basis)",IborIndex,Discounting,,_xll.ohTrigger(Trigger,RecalcTrigger))</f>
        <v>#VALUE!</v>
      </c>
      <c r="T198" s="123" t="e">
        <f>_xll.qlVanillaSwapFromSwapIndex(,S198,O198)</f>
        <v>#VALUE!</v>
      </c>
      <c r="U198" s="110" t="e">
        <f>_xll.qlVanillaSwapFairRate(T198)</f>
        <v>#VALUE!</v>
      </c>
      <c r="V198" s="206" t="e">
        <f t="shared" si="17"/>
        <v>#VALUE!</v>
      </c>
      <c r="Y198" s="105" t="str">
        <f t="shared" si="18"/>
        <v>1D</v>
      </c>
      <c r="Z198" s="93">
        <f>_xll.qlCalendarAdvance(Calendar,Z197,Y198,"f",FALSE)</f>
        <v>42438</v>
      </c>
      <c r="AA198" s="117">
        <f>_xll.qlCalendarAdvance(Calendar,Z198,NDays&amp;"D")</f>
        <v>42440</v>
      </c>
      <c r="AB198" s="92">
        <v>1.0618303826850182E-3</v>
      </c>
      <c r="AC198" s="101">
        <v>8.9477317909647525E-4</v>
      </c>
    </row>
    <row r="199" spans="13:29" x14ac:dyDescent="0.2">
      <c r="M199" s="209">
        <f>RateHelpers!B188</f>
        <v>0</v>
      </c>
      <c r="N199" s="105" t="e">
        <f>_xll.qlRateHelperQuoteName(M199)</f>
        <v>#NUM!</v>
      </c>
      <c r="O199" s="93" t="e">
        <f>_xll.qlInterestRateIndexFixingDate(S199,_xll.qlRateHelperEarliestDate(M199,Trigger),)</f>
        <v>#VALUE!</v>
      </c>
      <c r="P199" s="120" t="e">
        <f>_xll.qlRateHelperQuoteValue(M199,_xll.ohTrigger(RecalcTrigger,YieldCurve))</f>
        <v>#NUM!</v>
      </c>
      <c r="Q199" s="123" t="e">
        <f t="shared" si="21"/>
        <v>#NUM!</v>
      </c>
      <c r="R199" s="123">
        <v>2</v>
      </c>
      <c r="S199" s="123" t="e">
        <f>_xll.qlSwapIndex(,"Euribor",Q199,NDays,Currency,Calendar,"1Y","mf","30/360 (Bond Basis)",IborIndex,Discounting,,_xll.ohTrigger(Trigger,RecalcTrigger))</f>
        <v>#VALUE!</v>
      </c>
      <c r="T199" s="123" t="e">
        <f>_xll.qlVanillaSwapFromSwapIndex(,S199,O199)</f>
        <v>#VALUE!</v>
      </c>
      <c r="U199" s="110" t="e">
        <f>_xll.qlVanillaSwapFairRate(T199)</f>
        <v>#VALUE!</v>
      </c>
      <c r="V199" s="206" t="e">
        <f t="shared" si="17"/>
        <v>#VALUE!</v>
      </c>
      <c r="Y199" s="105" t="str">
        <f t="shared" si="18"/>
        <v>1D</v>
      </c>
      <c r="Z199" s="93">
        <f>_xll.qlCalendarAdvance(Calendar,Z198,Y199,"f",FALSE)</f>
        <v>42439</v>
      </c>
      <c r="AA199" s="117">
        <f>_xll.qlCalendarAdvance(Calendar,Z199,NDays&amp;"D")</f>
        <v>42443</v>
      </c>
      <c r="AB199" s="92">
        <v>1.0655792566242582E-3</v>
      </c>
      <c r="AC199" s="101">
        <v>9.1143831186357716E-4</v>
      </c>
    </row>
    <row r="200" spans="13:29" x14ac:dyDescent="0.2">
      <c r="M200" s="209">
        <f>RateHelpers!B189</f>
        <v>0</v>
      </c>
      <c r="N200" s="105" t="e">
        <f>_xll.qlRateHelperQuoteName(M200)</f>
        <v>#NUM!</v>
      </c>
      <c r="O200" s="93" t="e">
        <f>_xll.qlInterestRateIndexFixingDate(S200,_xll.qlRateHelperEarliestDate(M200,Trigger),)</f>
        <v>#VALUE!</v>
      </c>
      <c r="P200" s="120" t="e">
        <f>_xll.qlRateHelperQuoteValue(M200,_xll.ohTrigger(RecalcTrigger,YieldCurve))</f>
        <v>#NUM!</v>
      </c>
      <c r="Q200" s="123" t="e">
        <f t="shared" si="21"/>
        <v>#NUM!</v>
      </c>
      <c r="R200" s="123">
        <v>2</v>
      </c>
      <c r="S200" s="123" t="e">
        <f>_xll.qlSwapIndex(,"Euribor",Q200,NDays,Currency,Calendar,"1Y","mf","30/360 (Bond Basis)",IborIndex,Discounting,,_xll.ohTrigger(Trigger,RecalcTrigger))</f>
        <v>#VALUE!</v>
      </c>
      <c r="T200" s="123" t="e">
        <f>_xll.qlVanillaSwapFromSwapIndex(,S200,O200)</f>
        <v>#VALUE!</v>
      </c>
      <c r="U200" s="110" t="e">
        <f>_xll.qlVanillaSwapFairRate(T200)</f>
        <v>#VALUE!</v>
      </c>
      <c r="V200" s="206" t="e">
        <f t="shared" si="17"/>
        <v>#VALUE!</v>
      </c>
      <c r="Y200" s="105" t="str">
        <f t="shared" si="18"/>
        <v>1D</v>
      </c>
      <c r="Z200" s="93">
        <f>_xll.qlCalendarAdvance(Calendar,Z199,Y200,"f",FALSE)</f>
        <v>42440</v>
      </c>
      <c r="AA200" s="117">
        <f>_xll.qlCalendarAdvance(Calendar,Z200,NDays&amp;"D")</f>
        <v>42444</v>
      </c>
      <c r="AB200" s="92">
        <v>1.0670093138282176E-3</v>
      </c>
      <c r="AC200" s="101">
        <v>9.1858886585249877E-4</v>
      </c>
    </row>
    <row r="201" spans="13:29" x14ac:dyDescent="0.2">
      <c r="M201" s="209">
        <f>RateHelpers!B190</f>
        <v>0</v>
      </c>
      <c r="N201" s="105" t="e">
        <f>_xll.qlRateHelperQuoteName(M201)</f>
        <v>#NUM!</v>
      </c>
      <c r="O201" s="93" t="e">
        <f>_xll.qlInterestRateIndexFixingDate(S201,_xll.qlRateHelperEarliestDate(M201,Trigger),)</f>
        <v>#VALUE!</v>
      </c>
      <c r="P201" s="120" t="e">
        <f>_xll.qlRateHelperQuoteValue(M201,_xll.ohTrigger(RecalcTrigger,YieldCurve))</f>
        <v>#NUM!</v>
      </c>
      <c r="Q201" s="123" t="e">
        <f t="shared" si="21"/>
        <v>#NUM!</v>
      </c>
      <c r="R201" s="123">
        <v>2</v>
      </c>
      <c r="S201" s="123" t="e">
        <f>_xll.qlSwapIndex(,"Euribor",Q201,NDays,Currency,Calendar,"1Y","mf","30/360 (Bond Basis)",IborIndex,Discounting,,_xll.ohTrigger(Trigger,RecalcTrigger))</f>
        <v>#VALUE!</v>
      </c>
      <c r="T201" s="123" t="e">
        <f>_xll.qlVanillaSwapFromSwapIndex(,S201,O201)</f>
        <v>#VALUE!</v>
      </c>
      <c r="U201" s="110" t="e">
        <f>_xll.qlVanillaSwapFairRate(T201)</f>
        <v>#VALUE!</v>
      </c>
      <c r="V201" s="206" t="e">
        <f t="shared" si="17"/>
        <v>#VALUE!</v>
      </c>
      <c r="Y201" s="105" t="str">
        <f t="shared" si="18"/>
        <v>1D</v>
      </c>
      <c r="Z201" s="93">
        <f>_xll.qlCalendarAdvance(Calendar,Z200,Y201,"f",FALSE)</f>
        <v>42443</v>
      </c>
      <c r="AA201" s="117">
        <f>_xll.qlCalendarAdvance(Calendar,Z201,NDays&amp;"D")</f>
        <v>42445</v>
      </c>
      <c r="AB201" s="92">
        <v>1.0684619244382761E-3</v>
      </c>
      <c r="AC201" s="101">
        <v>9.2502954528228543E-4</v>
      </c>
    </row>
    <row r="202" spans="13:29" x14ac:dyDescent="0.2">
      <c r="M202" s="209">
        <f>RateHelpers!B191</f>
        <v>0</v>
      </c>
      <c r="N202" s="105" t="e">
        <f>_xll.qlRateHelperQuoteName(M202)</f>
        <v>#NUM!</v>
      </c>
      <c r="O202" s="93" t="e">
        <f>_xll.qlInterestRateIndexFixingDate(S202,_xll.qlRateHelperEarliestDate(M202,Trigger),)</f>
        <v>#VALUE!</v>
      </c>
      <c r="P202" s="120" t="e">
        <f>_xll.qlRateHelperQuoteValue(M202,_xll.ohTrigger(RecalcTrigger,YieldCurve))</f>
        <v>#NUM!</v>
      </c>
      <c r="Q202" s="123" t="e">
        <f t="shared" si="21"/>
        <v>#NUM!</v>
      </c>
      <c r="R202" s="123">
        <v>2</v>
      </c>
      <c r="S202" s="123" t="e">
        <f>_xll.qlSwapIndex(,"Euribor",Q202,NDays,Currency,Calendar,"1Y","mf","30/360 (Bond Basis)",IborIndex,Discounting,,_xll.ohTrigger(Trigger,RecalcTrigger))</f>
        <v>#VALUE!</v>
      </c>
      <c r="T202" s="123" t="e">
        <f>_xll.qlVanillaSwapFromSwapIndex(,S202,O202)</f>
        <v>#VALUE!</v>
      </c>
      <c r="U202" s="110" t="e">
        <f>_xll.qlVanillaSwapFairRate(T202)</f>
        <v>#VALUE!</v>
      </c>
      <c r="V202" s="206" t="e">
        <f t="shared" si="17"/>
        <v>#VALUE!</v>
      </c>
      <c r="Y202" s="105" t="str">
        <f t="shared" si="18"/>
        <v>1D</v>
      </c>
      <c r="Z202" s="93">
        <f>_xll.qlCalendarAdvance(Calendar,Z201,Y202,"f",FALSE)</f>
        <v>42444</v>
      </c>
      <c r="AA202" s="117">
        <f>_xll.qlCalendarAdvance(Calendar,Z202,NDays&amp;"D")</f>
        <v>42446</v>
      </c>
      <c r="AB202" s="92">
        <v>1.0714634421567092E-3</v>
      </c>
      <c r="AC202" s="101">
        <v>9.3076035007300106E-4</v>
      </c>
    </row>
    <row r="203" spans="13:29" ht="12" thickBot="1" x14ac:dyDescent="0.25">
      <c r="M203" s="210">
        <f>RateHelpers!B192</f>
        <v>0</v>
      </c>
      <c r="N203" s="106" t="e">
        <f>_xll.qlRateHelperQuoteName(M203)</f>
        <v>#NUM!</v>
      </c>
      <c r="O203" s="103" t="e">
        <f>_xll.qlInterestRateIndexFixingDate(S203,_xll.qlRateHelperEarliestDate(M203,Trigger),)</f>
        <v>#VALUE!</v>
      </c>
      <c r="P203" s="121" t="e">
        <f>_xll.qlRateHelperQuoteValue(M203,_xll.ohTrigger(RecalcTrigger,YieldCurve))</f>
        <v>#NUM!</v>
      </c>
      <c r="Q203" s="124" t="e">
        <f t="shared" si="21"/>
        <v>#NUM!</v>
      </c>
      <c r="R203" s="124">
        <v>2</v>
      </c>
      <c r="S203" s="124" t="e">
        <f>_xll.qlSwapIndex(,"Euribor",Q203,NDays,Currency,Calendar,"1Y","mf","30/360 (Bond Basis)",IborIndex,Discounting,,_xll.ohTrigger(Trigger,RecalcTrigger))</f>
        <v>#VALUE!</v>
      </c>
      <c r="T203" s="124" t="e">
        <f>_xll.qlVanillaSwapFromSwapIndex(,S203,O203)</f>
        <v>#VALUE!</v>
      </c>
      <c r="U203" s="112" t="e">
        <f>_xll.qlVanillaSwapFairRate(T203)</f>
        <v>#VALUE!</v>
      </c>
      <c r="V203" s="207" t="e">
        <f t="shared" si="17"/>
        <v>#VALUE!</v>
      </c>
      <c r="Y203" s="105" t="str">
        <f t="shared" si="18"/>
        <v>1D</v>
      </c>
      <c r="Z203" s="93">
        <f>_xll.qlCalendarAdvance(Calendar,Z202,Y203,"f",FALSE)</f>
        <v>42445</v>
      </c>
      <c r="AA203" s="117">
        <f>_xll.qlCalendarAdvance(Calendar,Z203,NDays&amp;"D")</f>
        <v>42447</v>
      </c>
      <c r="AB203" s="92">
        <v>1.0722212272416948E-3</v>
      </c>
      <c r="AC203" s="101">
        <v>9.3985816428165947E-4</v>
      </c>
    </row>
    <row r="204" spans="13:29" x14ac:dyDescent="0.2">
      <c r="M204" s="211">
        <f>RateHelpers!B193</f>
        <v>0</v>
      </c>
      <c r="N204" s="195" t="e">
        <f>_xll.qlRateHelperQuoteName(M204)</f>
        <v>#NUM!</v>
      </c>
      <c r="O204" s="192" t="e">
        <f>_xll.qlInterestRateIndexFixingDate(S204,_xll.qlRateHelperEarliestDate(M204,Trigger),)</f>
        <v>#VALUE!</v>
      </c>
      <c r="P204" s="193" t="e">
        <f>_xll.qlRateHelperQuoteValue(M204,_xll.ohTrigger(RecalcTrigger,YieldCurve))</f>
        <v>#NUM!</v>
      </c>
      <c r="Q204" s="191" t="e">
        <f t="shared" ref="Q204:Q221" si="22">SUBSTITUTE(SUBSTITUTE(N204,"_Quote",""),"EUR8F","")</f>
        <v>#NUM!</v>
      </c>
      <c r="R204" s="191">
        <v>2</v>
      </c>
      <c r="S204" s="191" t="e">
        <f>_xll.qlSwapIndex(,"Euribor",Q204,NDays,Currency,Calendar,"1Y","mf","30/360 (Bond Basis)",IborIndex,Discounting,,_xll.ohTrigger(Trigger,RecalcTrigger))</f>
        <v>#VALUE!</v>
      </c>
      <c r="T204" s="191" t="e">
        <f>_xll.qlVanillaSwapFromSwapIndex(,S204,O204)</f>
        <v>#VALUE!</v>
      </c>
      <c r="U204" s="194" t="e">
        <f>_xll.qlVanillaSwapFairRate(T204)</f>
        <v>#VALUE!</v>
      </c>
      <c r="V204" s="208" t="e">
        <f t="shared" si="17"/>
        <v>#VALUE!</v>
      </c>
      <c r="Y204" s="105" t="str">
        <f t="shared" si="18"/>
        <v>1D</v>
      </c>
      <c r="Z204" s="93">
        <f>_xll.qlCalendarAdvance(Calendar,Z203,Y204,"f",FALSE)</f>
        <v>42446</v>
      </c>
      <c r="AA204" s="117">
        <f>_xll.qlCalendarAdvance(Calendar,Z204,NDays&amp;"D")</f>
        <v>42450</v>
      </c>
      <c r="AB204" s="92">
        <v>1.076080368923545E-3</v>
      </c>
      <c r="AC204" s="101">
        <v>9.4658482204579286E-4</v>
      </c>
    </row>
    <row r="205" spans="13:29" x14ac:dyDescent="0.2">
      <c r="M205" s="209">
        <f>RateHelpers!B194</f>
        <v>0</v>
      </c>
      <c r="N205" s="105" t="e">
        <f>_xll.qlRateHelperQuoteName(M205)</f>
        <v>#NUM!</v>
      </c>
      <c r="O205" s="93" t="e">
        <f>_xll.qlInterestRateIndexFixingDate(S205,_xll.qlRateHelperEarliestDate(M205,Trigger),)</f>
        <v>#VALUE!</v>
      </c>
      <c r="P205" s="120" t="e">
        <f>_xll.qlRateHelperQuoteValue(M205,_xll.ohTrigger(RecalcTrigger,YieldCurve))</f>
        <v>#NUM!</v>
      </c>
      <c r="Q205" s="123" t="e">
        <f t="shared" si="22"/>
        <v>#NUM!</v>
      </c>
      <c r="R205" s="123">
        <v>2</v>
      </c>
      <c r="S205" s="123" t="e">
        <f>_xll.qlSwapIndex(,"Euribor",Q205,NDays,Currency,Calendar,"1Y","mf","30/360 (Bond Basis)",IborIndex,Discounting,,_xll.ohTrigger(Trigger,RecalcTrigger))</f>
        <v>#VALUE!</v>
      </c>
      <c r="T205" s="123" t="e">
        <f>_xll.qlVanillaSwapFromSwapIndex(,S205,O205)</f>
        <v>#VALUE!</v>
      </c>
      <c r="U205" s="110" t="e">
        <f>_xll.qlVanillaSwapFairRate(T205)</f>
        <v>#VALUE!</v>
      </c>
      <c r="V205" s="206" t="e">
        <f t="shared" si="17"/>
        <v>#VALUE!</v>
      </c>
      <c r="Y205" s="105" t="str">
        <f t="shared" si="18"/>
        <v>1D</v>
      </c>
      <c r="Z205" s="93">
        <f>_xll.qlCalendarAdvance(Calendar,Z204,Y205,"f",FALSE)</f>
        <v>42447</v>
      </c>
      <c r="AA205" s="117">
        <f>_xll.qlCalendarAdvance(Calendar,Z205,NDays&amp;"D")</f>
        <v>42451</v>
      </c>
      <c r="AB205" s="92">
        <v>1.0776785542089612E-3</v>
      </c>
      <c r="AC205" s="101">
        <v>9.4876625308160101E-4</v>
      </c>
    </row>
    <row r="206" spans="13:29" x14ac:dyDescent="0.2">
      <c r="M206" s="209">
        <f>RateHelpers!B195</f>
        <v>0</v>
      </c>
      <c r="N206" s="105" t="e">
        <f>_xll.qlRateHelperQuoteName(M206)</f>
        <v>#NUM!</v>
      </c>
      <c r="O206" s="93" t="e">
        <f>_xll.qlInterestRateIndexFixingDate(S206,_xll.qlRateHelperEarliestDate(M206,Trigger),)</f>
        <v>#VALUE!</v>
      </c>
      <c r="P206" s="120" t="e">
        <f>_xll.qlRateHelperQuoteValue(M206,_xll.ohTrigger(RecalcTrigger,YieldCurve))</f>
        <v>#NUM!</v>
      </c>
      <c r="Q206" s="123" t="e">
        <f t="shared" si="22"/>
        <v>#NUM!</v>
      </c>
      <c r="R206" s="123">
        <v>2</v>
      </c>
      <c r="S206" s="123" t="e">
        <f>_xll.qlSwapIndex(,"Euribor",Q206,NDays,Currency,Calendar,"1Y","mf","30/360 (Bond Basis)",IborIndex,Discounting,,_xll.ohTrigger(Trigger,RecalcTrigger))</f>
        <v>#VALUE!</v>
      </c>
      <c r="T206" s="123" t="e">
        <f>_xll.qlVanillaSwapFromSwapIndex(,S206,O206)</f>
        <v>#VALUE!</v>
      </c>
      <c r="U206" s="110" t="e">
        <f>_xll.qlVanillaSwapFairRate(T206)</f>
        <v>#VALUE!</v>
      </c>
      <c r="V206" s="206" t="e">
        <f t="shared" ref="V206:V269" si="23">U206-P206</f>
        <v>#VALUE!</v>
      </c>
      <c r="Y206" s="105" t="str">
        <f t="shared" si="18"/>
        <v>1D</v>
      </c>
      <c r="Z206" s="93">
        <f>_xll.qlCalendarAdvance(Calendar,Z205,Y206,"f",FALSE)</f>
        <v>42450</v>
      </c>
      <c r="AA206" s="117">
        <f>_xll.qlCalendarAdvance(Calendar,Z206,NDays&amp;"D")</f>
        <v>42452</v>
      </c>
      <c r="AB206" s="92">
        <v>1.0793027110023651E-3</v>
      </c>
      <c r="AC206" s="101">
        <v>9.5023780939840208E-4</v>
      </c>
    </row>
    <row r="207" spans="13:29" x14ac:dyDescent="0.2">
      <c r="M207" s="209">
        <f>RateHelpers!B196</f>
        <v>0</v>
      </c>
      <c r="N207" s="105" t="e">
        <f>_xll.qlRateHelperQuoteName(M207)</f>
        <v>#NUM!</v>
      </c>
      <c r="O207" s="93" t="e">
        <f>_xll.qlInterestRateIndexFixingDate(S207,_xll.qlRateHelperEarliestDate(M207,Trigger),)</f>
        <v>#VALUE!</v>
      </c>
      <c r="P207" s="120" t="e">
        <f>_xll.qlRateHelperQuoteValue(M207,_xll.ohTrigger(RecalcTrigger,YieldCurve))</f>
        <v>#NUM!</v>
      </c>
      <c r="Q207" s="123" t="e">
        <f t="shared" si="22"/>
        <v>#NUM!</v>
      </c>
      <c r="R207" s="123">
        <v>2</v>
      </c>
      <c r="S207" s="123" t="e">
        <f>_xll.qlSwapIndex(,"Euribor",Q207,NDays,Currency,Calendar,"1Y","mf","30/360 (Bond Basis)",IborIndex,Discounting,,_xll.ohTrigger(Trigger,RecalcTrigger))</f>
        <v>#VALUE!</v>
      </c>
      <c r="T207" s="123" t="e">
        <f>_xll.qlVanillaSwapFromSwapIndex(,S207,O207)</f>
        <v>#VALUE!</v>
      </c>
      <c r="U207" s="110" t="e">
        <f>_xll.qlVanillaSwapFairRate(T207)</f>
        <v>#VALUE!</v>
      </c>
      <c r="V207" s="206" t="e">
        <f t="shared" si="23"/>
        <v>#VALUE!</v>
      </c>
      <c r="Y207" s="105" t="str">
        <f t="shared" si="18"/>
        <v>1D</v>
      </c>
      <c r="Z207" s="93">
        <f>_xll.qlCalendarAdvance(Calendar,Z206,Y207,"f",FALSE)</f>
        <v>42451</v>
      </c>
      <c r="AA207" s="117">
        <f>_xll.qlCalendarAdvance(Calendar,Z207,NDays&amp;"D")</f>
        <v>42453</v>
      </c>
      <c r="AB207" s="92">
        <v>1.082908128293989E-3</v>
      </c>
      <c r="AC207" s="101">
        <v>9.4968836521225342E-4</v>
      </c>
    </row>
    <row r="208" spans="13:29" x14ac:dyDescent="0.2">
      <c r="M208" s="209">
        <f>RateHelpers!B197</f>
        <v>0</v>
      </c>
      <c r="N208" s="105" t="e">
        <f>_xll.qlRateHelperQuoteName(M208)</f>
        <v>#NUM!</v>
      </c>
      <c r="O208" s="93" t="e">
        <f>_xll.qlInterestRateIndexFixingDate(S208,_xll.qlRateHelperEarliestDate(M208,Trigger),)</f>
        <v>#VALUE!</v>
      </c>
      <c r="P208" s="120" t="e">
        <f>_xll.qlRateHelperQuoteValue(M208,_xll.ohTrigger(RecalcTrigger,YieldCurve))</f>
        <v>#NUM!</v>
      </c>
      <c r="Q208" s="123" t="e">
        <f t="shared" si="22"/>
        <v>#NUM!</v>
      </c>
      <c r="R208" s="123">
        <v>2</v>
      </c>
      <c r="S208" s="123" t="e">
        <f>_xll.qlSwapIndex(,"Euribor",Q208,NDays,Currency,Calendar,"1Y","mf","30/360 (Bond Basis)",IborIndex,Discounting,,_xll.ohTrigger(Trigger,RecalcTrigger))</f>
        <v>#VALUE!</v>
      </c>
      <c r="T208" s="123" t="e">
        <f>_xll.qlVanillaSwapFromSwapIndex(,S208,O208)</f>
        <v>#VALUE!</v>
      </c>
      <c r="U208" s="110" t="e">
        <f>_xll.qlVanillaSwapFairRate(T208)</f>
        <v>#VALUE!</v>
      </c>
      <c r="V208" s="206" t="e">
        <f t="shared" si="23"/>
        <v>#VALUE!</v>
      </c>
      <c r="Y208" s="105" t="str">
        <f t="shared" si="18"/>
        <v>1D</v>
      </c>
      <c r="Z208" s="93">
        <f>_xll.qlCalendarAdvance(Calendar,Z207,Y208,"f",FALSE)</f>
        <v>42452</v>
      </c>
      <c r="AA208" s="117">
        <f>_xll.qlCalendarAdvance(Calendar,Z208,NDays&amp;"D")</f>
        <v>42458</v>
      </c>
      <c r="AB208" s="92">
        <v>1.089620399010244E-3</v>
      </c>
      <c r="AC208" s="101">
        <v>9.4415977628159453E-4</v>
      </c>
    </row>
    <row r="209" spans="13:29" x14ac:dyDescent="0.2">
      <c r="M209" s="209">
        <f>RateHelpers!B198</f>
        <v>0</v>
      </c>
      <c r="N209" s="105" t="e">
        <f>_xll.qlRateHelperQuoteName(M209)</f>
        <v>#NUM!</v>
      </c>
      <c r="O209" s="93" t="e">
        <f>_xll.qlInterestRateIndexFixingDate(S209,_xll.qlRateHelperEarliestDate(M209,Trigger),)</f>
        <v>#VALUE!</v>
      </c>
      <c r="P209" s="120" t="e">
        <f>_xll.qlRateHelperQuoteValue(M209,_xll.ohTrigger(RecalcTrigger,YieldCurve))</f>
        <v>#NUM!</v>
      </c>
      <c r="Q209" s="123" t="e">
        <f t="shared" si="22"/>
        <v>#NUM!</v>
      </c>
      <c r="R209" s="123">
        <v>2</v>
      </c>
      <c r="S209" s="123" t="e">
        <f>_xll.qlSwapIndex(,"Euribor",Q209,NDays,Currency,Calendar,"1Y","mf","30/360 (Bond Basis)",IborIndex,Discounting,,_xll.ohTrigger(Trigger,RecalcTrigger))</f>
        <v>#VALUE!</v>
      </c>
      <c r="T209" s="123" t="e">
        <f>_xll.qlVanillaSwapFromSwapIndex(,S209,O209)</f>
        <v>#VALUE!</v>
      </c>
      <c r="U209" s="110" t="e">
        <f>_xll.qlVanillaSwapFairRate(T209)</f>
        <v>#VALUE!</v>
      </c>
      <c r="V209" s="206" t="e">
        <f t="shared" si="23"/>
        <v>#VALUE!</v>
      </c>
      <c r="Y209" s="105" t="str">
        <f t="shared" si="18"/>
        <v>1D</v>
      </c>
      <c r="Z209" s="93">
        <f>_xll.qlCalendarAdvance(Calendar,Z208,Y209,"f",FALSE)</f>
        <v>42453</v>
      </c>
      <c r="AA209" s="117">
        <f>_xll.qlCalendarAdvance(Calendar,Z209,NDays&amp;"D")</f>
        <v>42459</v>
      </c>
      <c r="AB209" s="92">
        <v>1.0914400292080676E-3</v>
      </c>
      <c r="AC209" s="101">
        <v>9.4066220900579367E-4</v>
      </c>
    </row>
    <row r="210" spans="13:29" x14ac:dyDescent="0.2">
      <c r="M210" s="209">
        <f>RateHelpers!B199</f>
        <v>0</v>
      </c>
      <c r="N210" s="105" t="e">
        <f>_xll.qlRateHelperQuoteName(M210)</f>
        <v>#NUM!</v>
      </c>
      <c r="O210" s="93" t="e">
        <f>_xll.qlInterestRateIndexFixingDate(S210,_xll.qlRateHelperEarliestDate(M210,Trigger),)</f>
        <v>#VALUE!</v>
      </c>
      <c r="P210" s="120" t="e">
        <f>_xll.qlRateHelperQuoteValue(M210,_xll.ohTrigger(RecalcTrigger,YieldCurve))</f>
        <v>#NUM!</v>
      </c>
      <c r="Q210" s="123" t="e">
        <f t="shared" si="22"/>
        <v>#NUM!</v>
      </c>
      <c r="R210" s="123">
        <v>2</v>
      </c>
      <c r="S210" s="123" t="e">
        <f>_xll.qlSwapIndex(,"Euribor",Q210,NDays,Currency,Calendar,"1Y","mf","30/360 (Bond Basis)",IborIndex,Discounting,,_xll.ohTrigger(Trigger,RecalcTrigger))</f>
        <v>#VALUE!</v>
      </c>
      <c r="T210" s="123" t="e">
        <f>_xll.qlVanillaSwapFromSwapIndex(,S210,O210)</f>
        <v>#VALUE!</v>
      </c>
      <c r="U210" s="110" t="e">
        <f>_xll.qlVanillaSwapFairRate(T210)</f>
        <v>#VALUE!</v>
      </c>
      <c r="V210" s="206" t="e">
        <f t="shared" si="23"/>
        <v>#VALUE!</v>
      </c>
      <c r="Y210" s="105" t="str">
        <f t="shared" si="18"/>
        <v>1D</v>
      </c>
      <c r="Z210" s="93">
        <f>_xll.qlCalendarAdvance(Calendar,Z209,Y210,"f",FALSE)</f>
        <v>42458</v>
      </c>
      <c r="AA210" s="117">
        <f>_xll.qlCalendarAdvance(Calendar,Z210,NDays&amp;"D")</f>
        <v>42460</v>
      </c>
      <c r="AB210" s="92">
        <v>1.0922610976984947E-3</v>
      </c>
      <c r="AC210" s="101">
        <v>9.3645476701098573E-4</v>
      </c>
    </row>
    <row r="211" spans="13:29" x14ac:dyDescent="0.2">
      <c r="M211" s="209">
        <f>RateHelpers!B200</f>
        <v>0</v>
      </c>
      <c r="N211" s="105" t="e">
        <f>_xll.qlRateHelperQuoteName(M211)</f>
        <v>#NUM!</v>
      </c>
      <c r="O211" s="93" t="e">
        <f>_xll.qlInterestRateIndexFixingDate(S211,_xll.qlRateHelperEarliestDate(M211,Trigger),)</f>
        <v>#VALUE!</v>
      </c>
      <c r="P211" s="120" t="e">
        <f>_xll.qlRateHelperQuoteValue(M211,_xll.ohTrigger(RecalcTrigger,YieldCurve))</f>
        <v>#NUM!</v>
      </c>
      <c r="Q211" s="123" t="e">
        <f t="shared" si="22"/>
        <v>#NUM!</v>
      </c>
      <c r="R211" s="123">
        <v>2</v>
      </c>
      <c r="S211" s="123" t="e">
        <f>_xll.qlSwapIndex(,"Euribor",Q211,NDays,Currency,Calendar,"1Y","mf","30/360 (Bond Basis)",IborIndex,Discounting,,_xll.ohTrigger(Trigger,RecalcTrigger))</f>
        <v>#VALUE!</v>
      </c>
      <c r="T211" s="123" t="e">
        <f>_xll.qlVanillaSwapFromSwapIndex(,S211,O211)</f>
        <v>#VALUE!</v>
      </c>
      <c r="U211" s="110" t="e">
        <f>_xll.qlVanillaSwapFairRate(T211)</f>
        <v>#VALUE!</v>
      </c>
      <c r="V211" s="206" t="e">
        <f t="shared" si="23"/>
        <v>#VALUE!</v>
      </c>
      <c r="Y211" s="105" t="str">
        <f t="shared" si="18"/>
        <v>1D</v>
      </c>
      <c r="Z211" s="93">
        <f>_xll.qlCalendarAdvance(Calendar,Z210,Y211,"f",FALSE)</f>
        <v>42459</v>
      </c>
      <c r="AA211" s="117">
        <f>_xll.qlCalendarAdvance(Calendar,Z211,NDays&amp;"D")</f>
        <v>42461</v>
      </c>
      <c r="AB211" s="92">
        <v>1.0961881396704233E-3</v>
      </c>
      <c r="AC211" s="101">
        <v>9.2567601413406919E-4</v>
      </c>
    </row>
    <row r="212" spans="13:29" x14ac:dyDescent="0.2">
      <c r="M212" s="209">
        <f>RateHelpers!B201</f>
        <v>0</v>
      </c>
      <c r="N212" s="105" t="e">
        <f>_xll.qlRateHelperQuoteName(M212)</f>
        <v>#NUM!</v>
      </c>
      <c r="O212" s="93" t="e">
        <f>_xll.qlInterestRateIndexFixingDate(S212,_xll.qlRateHelperEarliestDate(M212,Trigger),)</f>
        <v>#VALUE!</v>
      </c>
      <c r="P212" s="120" t="e">
        <f>_xll.qlRateHelperQuoteValue(M212,_xll.ohTrigger(RecalcTrigger,YieldCurve))</f>
        <v>#NUM!</v>
      </c>
      <c r="Q212" s="123" t="e">
        <f t="shared" si="22"/>
        <v>#NUM!</v>
      </c>
      <c r="R212" s="123">
        <v>2</v>
      </c>
      <c r="S212" s="123" t="e">
        <f>_xll.qlSwapIndex(,"Euribor",Q212,NDays,Currency,Calendar,"1Y","mf","30/360 (Bond Basis)",IborIndex,Discounting,,_xll.ohTrigger(Trigger,RecalcTrigger))</f>
        <v>#VALUE!</v>
      </c>
      <c r="T212" s="123" t="e">
        <f>_xll.qlVanillaSwapFromSwapIndex(,S212,O212)</f>
        <v>#VALUE!</v>
      </c>
      <c r="U212" s="110" t="e">
        <f>_xll.qlVanillaSwapFairRate(T212)</f>
        <v>#VALUE!</v>
      </c>
      <c r="V212" s="206" t="e">
        <f t="shared" si="23"/>
        <v>#VALUE!</v>
      </c>
      <c r="Y212" s="105" t="str">
        <f t="shared" si="18"/>
        <v>1D</v>
      </c>
      <c r="Z212" s="93">
        <f>_xll.qlCalendarAdvance(Calendar,Z211,Y212,"f",FALSE)</f>
        <v>42460</v>
      </c>
      <c r="AA212" s="117">
        <f>_xll.qlCalendarAdvance(Calendar,Z212,NDays&amp;"D")</f>
        <v>42464</v>
      </c>
      <c r="AB212" s="92">
        <v>1.099999999999999E-3</v>
      </c>
      <c r="AC212" s="101">
        <v>9.1273515585577059E-4</v>
      </c>
    </row>
    <row r="213" spans="13:29" x14ac:dyDescent="0.2">
      <c r="M213" s="209">
        <f>RateHelpers!B202</f>
        <v>0</v>
      </c>
      <c r="N213" s="105" t="e">
        <f>_xll.qlRateHelperQuoteName(M213)</f>
        <v>#NUM!</v>
      </c>
      <c r="O213" s="93" t="e">
        <f>_xll.qlInterestRateIndexFixingDate(S213,_xll.qlRateHelperEarliestDate(M213,Trigger),)</f>
        <v>#VALUE!</v>
      </c>
      <c r="P213" s="120" t="e">
        <f>_xll.qlRateHelperQuoteValue(M213,_xll.ohTrigger(RecalcTrigger,YieldCurve))</f>
        <v>#NUM!</v>
      </c>
      <c r="Q213" s="123" t="e">
        <f t="shared" si="22"/>
        <v>#NUM!</v>
      </c>
      <c r="R213" s="123">
        <v>2</v>
      </c>
      <c r="S213" s="123" t="e">
        <f>_xll.qlSwapIndex(,"Euribor",Q213,NDays,Currency,Calendar,"1Y","mf","30/360 (Bond Basis)",IborIndex,Discounting,,_xll.ohTrigger(Trigger,RecalcTrigger))</f>
        <v>#VALUE!</v>
      </c>
      <c r="T213" s="123" t="e">
        <f>_xll.qlVanillaSwapFromSwapIndex(,S213,O213)</f>
        <v>#VALUE!</v>
      </c>
      <c r="U213" s="110" t="e">
        <f>_xll.qlVanillaSwapFairRate(T213)</f>
        <v>#VALUE!</v>
      </c>
      <c r="V213" s="206" t="e">
        <f t="shared" si="23"/>
        <v>#VALUE!</v>
      </c>
      <c r="Y213" s="105" t="str">
        <f t="shared" ref="Y213:Y276" si="24">Y212</f>
        <v>1D</v>
      </c>
      <c r="Z213" s="93">
        <f>_xll.qlCalendarAdvance(Calendar,Z212,Y213,"f",FALSE)</f>
        <v>42461</v>
      </c>
      <c r="AA213" s="117">
        <f>_xll.qlCalendarAdvance(Calendar,Z213,NDays&amp;"D")</f>
        <v>42465</v>
      </c>
      <c r="AB213" s="92">
        <v>1.1020226398776613E-3</v>
      </c>
      <c r="AC213" s="101">
        <v>9.0623176315141052E-4</v>
      </c>
    </row>
    <row r="214" spans="13:29" x14ac:dyDescent="0.2">
      <c r="M214" s="209">
        <f>RateHelpers!B203</f>
        <v>0</v>
      </c>
      <c r="N214" s="105" t="e">
        <f>_xll.qlRateHelperQuoteName(M214)</f>
        <v>#NUM!</v>
      </c>
      <c r="O214" s="93" t="e">
        <f>_xll.qlInterestRateIndexFixingDate(S214,_xll.qlRateHelperEarliestDate(M214,Trigger),)</f>
        <v>#VALUE!</v>
      </c>
      <c r="P214" s="120" t="e">
        <f>_xll.qlRateHelperQuoteValue(M214,_xll.ohTrigger(RecalcTrigger,YieldCurve))</f>
        <v>#NUM!</v>
      </c>
      <c r="Q214" s="123" t="e">
        <f t="shared" si="22"/>
        <v>#NUM!</v>
      </c>
      <c r="R214" s="123">
        <v>2</v>
      </c>
      <c r="S214" s="123" t="e">
        <f>_xll.qlSwapIndex(,"Euribor",Q214,NDays,Currency,Calendar,"1Y","mf","30/360 (Bond Basis)",IborIndex,Discounting,,_xll.ohTrigger(Trigger,RecalcTrigger))</f>
        <v>#VALUE!</v>
      </c>
      <c r="T214" s="123" t="e">
        <f>_xll.qlVanillaSwapFromSwapIndex(,S214,O214)</f>
        <v>#VALUE!</v>
      </c>
      <c r="U214" s="110" t="e">
        <f>_xll.qlVanillaSwapFairRate(T214)</f>
        <v>#VALUE!</v>
      </c>
      <c r="V214" s="206" t="e">
        <f t="shared" si="23"/>
        <v>#VALUE!</v>
      </c>
      <c r="Y214" s="105" t="str">
        <f t="shared" si="24"/>
        <v>1D</v>
      </c>
      <c r="Z214" s="93">
        <f>_xll.qlCalendarAdvance(Calendar,Z213,Y214,"f",FALSE)</f>
        <v>42464</v>
      </c>
      <c r="AA214" s="117">
        <f>_xll.qlCalendarAdvance(Calendar,Z214,NDays&amp;"D")</f>
        <v>42466</v>
      </c>
      <c r="AB214" s="92">
        <v>1.1040782092968215E-3</v>
      </c>
      <c r="AC214" s="101">
        <v>9.0027191829378239E-4</v>
      </c>
    </row>
    <row r="215" spans="13:29" x14ac:dyDescent="0.2">
      <c r="M215" s="209">
        <f>RateHelpers!B204</f>
        <v>0</v>
      </c>
      <c r="N215" s="105" t="e">
        <f>_xll.qlRateHelperQuoteName(M215)</f>
        <v>#NUM!</v>
      </c>
      <c r="O215" s="93" t="e">
        <f>_xll.qlInterestRateIndexFixingDate(S215,_xll.qlRateHelperEarliestDate(M215,Trigger),)</f>
        <v>#VALUE!</v>
      </c>
      <c r="P215" s="120" t="e">
        <f>_xll.qlRateHelperQuoteValue(M215,_xll.ohTrigger(RecalcTrigger,YieldCurve))</f>
        <v>#NUM!</v>
      </c>
      <c r="Q215" s="123" t="e">
        <f t="shared" si="22"/>
        <v>#NUM!</v>
      </c>
      <c r="R215" s="123">
        <v>2</v>
      </c>
      <c r="S215" s="123" t="e">
        <f>_xll.qlSwapIndex(,"Euribor",Q215,NDays,Currency,Calendar,"1Y","mf","30/360 (Bond Basis)",IborIndex,Discounting,,_xll.ohTrigger(Trigger,RecalcTrigger))</f>
        <v>#VALUE!</v>
      </c>
      <c r="T215" s="123" t="e">
        <f>_xll.qlVanillaSwapFromSwapIndex(,S215,O215)</f>
        <v>#VALUE!</v>
      </c>
      <c r="U215" s="110" t="e">
        <f>_xll.qlVanillaSwapFairRate(T215)</f>
        <v>#VALUE!</v>
      </c>
      <c r="V215" s="206" t="e">
        <f t="shared" si="23"/>
        <v>#VALUE!</v>
      </c>
      <c r="Y215" s="105" t="str">
        <f t="shared" si="24"/>
        <v>1D</v>
      </c>
      <c r="Z215" s="93">
        <f>_xll.qlCalendarAdvance(Calendar,Z214,Y215,"f",FALSE)</f>
        <v>42465</v>
      </c>
      <c r="AA215" s="117">
        <f>_xll.qlCalendarAdvance(Calendar,Z215,NDays&amp;"D")</f>
        <v>42467</v>
      </c>
      <c r="AB215" s="92">
        <v>1.1061637511737214E-3</v>
      </c>
      <c r="AC215" s="101">
        <v>8.9485562144275832E-4</v>
      </c>
    </row>
    <row r="216" spans="13:29" x14ac:dyDescent="0.2">
      <c r="M216" s="209">
        <f>RateHelpers!B205</f>
        <v>0</v>
      </c>
      <c r="N216" s="105" t="e">
        <f>_xll.qlRateHelperQuoteName(M216)</f>
        <v>#NUM!</v>
      </c>
      <c r="O216" s="93" t="e">
        <f>_xll.qlInterestRateIndexFixingDate(S216,_xll.qlRateHelperEarliestDate(M216,Trigger),)</f>
        <v>#VALUE!</v>
      </c>
      <c r="P216" s="120" t="e">
        <f>_xll.qlRateHelperQuoteValue(M216,_xll.ohTrigger(RecalcTrigger,YieldCurve))</f>
        <v>#NUM!</v>
      </c>
      <c r="Q216" s="123" t="e">
        <f t="shared" si="22"/>
        <v>#NUM!</v>
      </c>
      <c r="R216" s="123">
        <v>2</v>
      </c>
      <c r="S216" s="123" t="e">
        <f>_xll.qlSwapIndex(,"Euribor",Q216,NDays,Currency,Calendar,"1Y","mf","30/360 (Bond Basis)",IborIndex,Discounting,,_xll.ohTrigger(Trigger,RecalcTrigger))</f>
        <v>#VALUE!</v>
      </c>
      <c r="T216" s="123" t="e">
        <f>_xll.qlVanillaSwapFromSwapIndex(,S216,O216)</f>
        <v>#VALUE!</v>
      </c>
      <c r="U216" s="110" t="e">
        <f>_xll.qlVanillaSwapFairRate(T216)</f>
        <v>#VALUE!</v>
      </c>
      <c r="V216" s="206" t="e">
        <f t="shared" si="23"/>
        <v>#VALUE!</v>
      </c>
      <c r="Y216" s="105" t="str">
        <f t="shared" si="24"/>
        <v>1D</v>
      </c>
      <c r="Z216" s="93">
        <f>_xll.qlCalendarAdvance(Calendar,Z215,Y216,"f",FALSE)</f>
        <v>42466</v>
      </c>
      <c r="AA216" s="117">
        <f>_xll.qlCalendarAdvance(Calendar,Z216,NDays&amp;"D")</f>
        <v>42468</v>
      </c>
      <c r="AB216" s="92">
        <v>1.110146325273662E-3</v>
      </c>
      <c r="AC216" s="101">
        <v>8.8583703369948807E-4</v>
      </c>
    </row>
    <row r="217" spans="13:29" x14ac:dyDescent="0.2">
      <c r="M217" s="209">
        <f>RateHelpers!B206</f>
        <v>0</v>
      </c>
      <c r="N217" s="105" t="e">
        <f>_xll.qlRateHelperQuoteName(M217)</f>
        <v>#NUM!</v>
      </c>
      <c r="O217" s="93" t="e">
        <f>_xll.qlInterestRateIndexFixingDate(S217,_xll.qlRateHelperEarliestDate(M217,Trigger),)</f>
        <v>#VALUE!</v>
      </c>
      <c r="P217" s="120" t="e">
        <f>_xll.qlRateHelperQuoteValue(M217,_xll.ohTrigger(RecalcTrigger,YieldCurve))</f>
        <v>#NUM!</v>
      </c>
      <c r="Q217" s="123" t="e">
        <f t="shared" si="22"/>
        <v>#NUM!</v>
      </c>
      <c r="R217" s="123">
        <v>2</v>
      </c>
      <c r="S217" s="123" t="e">
        <f>_xll.qlSwapIndex(,"Euribor",Q217,NDays,Currency,Calendar,"1Y","mf","30/360 (Bond Basis)",IborIndex,Discounting,,_xll.ohTrigger(Trigger,RecalcTrigger))</f>
        <v>#VALUE!</v>
      </c>
      <c r="T217" s="123" t="e">
        <f>_xll.qlVanillaSwapFromSwapIndex(,S217,O217)</f>
        <v>#VALUE!</v>
      </c>
      <c r="U217" s="110" t="e">
        <f>_xll.qlVanillaSwapFairRate(T217)</f>
        <v>#VALUE!</v>
      </c>
      <c r="V217" s="206" t="e">
        <f t="shared" si="23"/>
        <v>#VALUE!</v>
      </c>
      <c r="Y217" s="105" t="str">
        <f t="shared" si="24"/>
        <v>1D</v>
      </c>
      <c r="Z217" s="93">
        <f>_xll.qlCalendarAdvance(Calendar,Z216,Y217,"f",FALSE)</f>
        <v>42467</v>
      </c>
      <c r="AA217" s="117">
        <f>_xll.qlCalendarAdvance(Calendar,Z217,NDays&amp;"D")</f>
        <v>42471</v>
      </c>
      <c r="AB217" s="92">
        <v>1.1147465011677128E-3</v>
      </c>
      <c r="AC217" s="101">
        <v>8.7862591274578961E-4</v>
      </c>
    </row>
    <row r="218" spans="13:29" x14ac:dyDescent="0.2">
      <c r="M218" s="209">
        <f>RateHelpers!B207</f>
        <v>0</v>
      </c>
      <c r="N218" s="105" t="e">
        <f>_xll.qlRateHelperQuoteName(M218)</f>
        <v>#NUM!</v>
      </c>
      <c r="O218" s="93" t="e">
        <f>_xll.qlInterestRateIndexFixingDate(S218,_xll.qlRateHelperEarliestDate(M218,Trigger),)</f>
        <v>#VALUE!</v>
      </c>
      <c r="P218" s="120" t="e">
        <f>_xll.qlRateHelperQuoteValue(M218,_xll.ohTrigger(RecalcTrigger,YieldCurve))</f>
        <v>#NUM!</v>
      </c>
      <c r="Q218" s="123" t="e">
        <f t="shared" si="22"/>
        <v>#NUM!</v>
      </c>
      <c r="R218" s="123">
        <v>2</v>
      </c>
      <c r="S218" s="123" t="e">
        <f>_xll.qlSwapIndex(,"Euribor",Q218,NDays,Currency,Calendar,"1Y","mf","30/360 (Bond Basis)",IborIndex,Discounting,,_xll.ohTrigger(Trigger,RecalcTrigger))</f>
        <v>#VALUE!</v>
      </c>
      <c r="T218" s="123" t="e">
        <f>_xll.qlVanillaSwapFromSwapIndex(,S218,O218)</f>
        <v>#VALUE!</v>
      </c>
      <c r="U218" s="110" t="e">
        <f>_xll.qlVanillaSwapFairRate(T218)</f>
        <v>#VALUE!</v>
      </c>
      <c r="V218" s="206" t="e">
        <f t="shared" si="23"/>
        <v>#VALUE!</v>
      </c>
      <c r="Y218" s="105" t="str">
        <f t="shared" si="24"/>
        <v>1D</v>
      </c>
      <c r="Z218" s="93">
        <f>_xll.qlCalendarAdvance(Calendar,Z217,Y218,"f",FALSE)</f>
        <v>42468</v>
      </c>
      <c r="AA218" s="117">
        <f>_xll.qlCalendarAdvance(Calendar,Z218,NDays&amp;"D")</f>
        <v>42472</v>
      </c>
      <c r="AB218" s="92">
        <v>1.1169375486624071E-3</v>
      </c>
      <c r="AC218" s="101">
        <v>8.7592735512842523E-4</v>
      </c>
    </row>
    <row r="219" spans="13:29" x14ac:dyDescent="0.2">
      <c r="M219" s="209">
        <f>RateHelpers!B208</f>
        <v>0</v>
      </c>
      <c r="N219" s="105" t="e">
        <f>_xll.qlRateHelperQuoteName(M219)</f>
        <v>#NUM!</v>
      </c>
      <c r="O219" s="93" t="e">
        <f>_xll.qlInterestRateIndexFixingDate(S219,_xll.qlRateHelperEarliestDate(M219,Trigger),)</f>
        <v>#VALUE!</v>
      </c>
      <c r="P219" s="120" t="e">
        <f>_xll.qlRateHelperQuoteValue(M219,_xll.ohTrigger(RecalcTrigger,YieldCurve))</f>
        <v>#NUM!</v>
      </c>
      <c r="Q219" s="123" t="e">
        <f t="shared" si="22"/>
        <v>#NUM!</v>
      </c>
      <c r="R219" s="123">
        <v>2</v>
      </c>
      <c r="S219" s="123" t="e">
        <f>_xll.qlSwapIndex(,"Euribor",Q219,NDays,Currency,Calendar,"1Y","mf","30/360 (Bond Basis)",IborIndex,Discounting,,_xll.ohTrigger(Trigger,RecalcTrigger))</f>
        <v>#VALUE!</v>
      </c>
      <c r="T219" s="123" t="e">
        <f>_xll.qlVanillaSwapFromSwapIndex(,S219,O219)</f>
        <v>#VALUE!</v>
      </c>
      <c r="U219" s="110" t="e">
        <f>_xll.qlVanillaSwapFairRate(T219)</f>
        <v>#VALUE!</v>
      </c>
      <c r="V219" s="206" t="e">
        <f t="shared" si="23"/>
        <v>#VALUE!</v>
      </c>
      <c r="Y219" s="105" t="str">
        <f t="shared" si="24"/>
        <v>1D</v>
      </c>
      <c r="Z219" s="93">
        <f>_xll.qlCalendarAdvance(Calendar,Z218,Y219,"f",FALSE)</f>
        <v>42471</v>
      </c>
      <c r="AA219" s="117">
        <f>_xll.qlCalendarAdvance(Calendar,Z219,NDays&amp;"D")</f>
        <v>42473</v>
      </c>
      <c r="AB219" s="92">
        <v>1.1191408258606898E-3</v>
      </c>
      <c r="AC219" s="101">
        <v>8.7377234543772886E-4</v>
      </c>
    </row>
    <row r="220" spans="13:29" x14ac:dyDescent="0.2">
      <c r="M220" s="209">
        <f>RateHelpers!B209</f>
        <v>0</v>
      </c>
      <c r="N220" s="105" t="e">
        <f>_xll.qlRateHelperQuoteName(M220)</f>
        <v>#NUM!</v>
      </c>
      <c r="O220" s="93" t="e">
        <f>_xll.qlInterestRateIndexFixingDate(S220,_xll.qlRateHelperEarliestDate(M220,Trigger),)</f>
        <v>#VALUE!</v>
      </c>
      <c r="P220" s="120" t="e">
        <f>_xll.qlRateHelperQuoteValue(M220,_xll.ohTrigger(RecalcTrigger,YieldCurve))</f>
        <v>#NUM!</v>
      </c>
      <c r="Q220" s="123" t="e">
        <f t="shared" si="22"/>
        <v>#NUM!</v>
      </c>
      <c r="R220" s="123">
        <v>2</v>
      </c>
      <c r="S220" s="123" t="e">
        <f>_xll.qlSwapIndex(,"Euribor",Q220,NDays,Currency,Calendar,"1Y","mf","30/360 (Bond Basis)",IborIndex,Discounting,,_xll.ohTrigger(Trigger,RecalcTrigger))</f>
        <v>#VALUE!</v>
      </c>
      <c r="T220" s="123" t="e">
        <f>_xll.qlVanillaSwapFromSwapIndex(,S220,O220)</f>
        <v>#VALUE!</v>
      </c>
      <c r="U220" s="110" t="e">
        <f>_xll.qlVanillaSwapFairRate(T220)</f>
        <v>#VALUE!</v>
      </c>
      <c r="V220" s="206" t="e">
        <f t="shared" si="23"/>
        <v>#VALUE!</v>
      </c>
      <c r="Y220" s="105" t="str">
        <f t="shared" si="24"/>
        <v>1D</v>
      </c>
      <c r="Z220" s="93">
        <f>_xll.qlCalendarAdvance(Calendar,Z219,Y220,"f",FALSE)</f>
        <v>42472</v>
      </c>
      <c r="AA220" s="117">
        <f>_xll.qlCalendarAdvance(Calendar,Z220,NDays&amp;"D")</f>
        <v>42474</v>
      </c>
      <c r="AB220" s="92">
        <v>1.121353375594062E-3</v>
      </c>
      <c r="AC220" s="101">
        <v>8.7216088343389231E-4</v>
      </c>
    </row>
    <row r="221" spans="13:29" ht="12" thickBot="1" x14ac:dyDescent="0.25">
      <c r="M221" s="210">
        <f>RateHelpers!B210</f>
        <v>0</v>
      </c>
      <c r="N221" s="106" t="e">
        <f>_xll.qlRateHelperQuoteName(M221)</f>
        <v>#NUM!</v>
      </c>
      <c r="O221" s="103" t="e">
        <f>_xll.qlInterestRateIndexFixingDate(S221,_xll.qlRateHelperEarliestDate(M221,Trigger),)</f>
        <v>#VALUE!</v>
      </c>
      <c r="P221" s="121" t="e">
        <f>_xll.qlRateHelperQuoteValue(M221,_xll.ohTrigger(RecalcTrigger,YieldCurve))</f>
        <v>#NUM!</v>
      </c>
      <c r="Q221" s="124" t="e">
        <f t="shared" si="22"/>
        <v>#NUM!</v>
      </c>
      <c r="R221" s="124">
        <v>2</v>
      </c>
      <c r="S221" s="124" t="e">
        <f>_xll.qlSwapIndex(,"Euribor",Q221,NDays,Currency,Calendar,"1Y","mf","30/360 (Bond Basis)",IborIndex,Discounting,,_xll.ohTrigger(Trigger,RecalcTrigger))</f>
        <v>#VALUE!</v>
      </c>
      <c r="T221" s="124" t="e">
        <f>_xll.qlVanillaSwapFromSwapIndex(,S221,O221)</f>
        <v>#VALUE!</v>
      </c>
      <c r="U221" s="112" t="e">
        <f>_xll.qlVanillaSwapFairRate(T221)</f>
        <v>#VALUE!</v>
      </c>
      <c r="V221" s="207" t="e">
        <f t="shared" si="23"/>
        <v>#VALUE!</v>
      </c>
      <c r="Y221" s="105" t="str">
        <f t="shared" si="24"/>
        <v>1D</v>
      </c>
      <c r="Z221" s="93">
        <f>_xll.qlCalendarAdvance(Calendar,Z220,Y221,"f",FALSE)</f>
        <v>42473</v>
      </c>
      <c r="AA221" s="117">
        <f>_xll.qlCalendarAdvance(Calendar,Z221,NDays&amp;"D")</f>
        <v>42475</v>
      </c>
      <c r="AB221" s="92">
        <v>1.1252421053417991E-3</v>
      </c>
      <c r="AC221" s="101">
        <v>8.7075189160401578E-4</v>
      </c>
    </row>
    <row r="222" spans="13:29" x14ac:dyDescent="0.2">
      <c r="M222" s="211">
        <f>RateHelpers!B211</f>
        <v>0</v>
      </c>
      <c r="N222" s="195" t="e">
        <f>_xll.qlRateHelperQuoteName(M222)</f>
        <v>#NUM!</v>
      </c>
      <c r="O222" s="192" t="e">
        <f>_xll.qlInterestRateIndexFixingDate(S222,_xll.qlRateHelperEarliestDate(M222,Trigger),)</f>
        <v>#VALUE!</v>
      </c>
      <c r="P222" s="193" t="e">
        <f>_xll.qlRateHelperQuoteValue(M222,_xll.ohTrigger(RecalcTrigger,YieldCurve))</f>
        <v>#NUM!</v>
      </c>
      <c r="Q222" s="191" t="e">
        <f t="shared" ref="Q222:Q239" si="25">SUBSTITUTE(SUBSTITUTE(N222,"_Quote",""),"EUR9F","")</f>
        <v>#NUM!</v>
      </c>
      <c r="R222" s="191">
        <v>2</v>
      </c>
      <c r="S222" s="191" t="e">
        <f>_xll.qlSwapIndex(,"Euribor",Q222,NDays,Currency,Calendar,"1Y","mf","30/360 (Bond Basis)",IborIndex,Discounting,,_xll.ohTrigger(Trigger,RecalcTrigger))</f>
        <v>#VALUE!</v>
      </c>
      <c r="T222" s="191" t="e">
        <f>_xll.qlVanillaSwapFromSwapIndex(,S222,O222)</f>
        <v>#VALUE!</v>
      </c>
      <c r="U222" s="194" t="e">
        <f>_xll.qlVanillaSwapFairRate(T222)</f>
        <v>#VALUE!</v>
      </c>
      <c r="V222" s="208" t="e">
        <f t="shared" si="23"/>
        <v>#VALUE!</v>
      </c>
      <c r="Y222" s="105" t="str">
        <f t="shared" si="24"/>
        <v>1D</v>
      </c>
      <c r="Z222" s="93">
        <f>_xll.qlCalendarAdvance(Calendar,Z221,Y222,"f",FALSE)</f>
        <v>42474</v>
      </c>
      <c r="AA222" s="117">
        <f>_xll.qlCalendarAdvance(Calendar,Z222,NDays&amp;"D")</f>
        <v>42478</v>
      </c>
      <c r="AB222" s="92">
        <v>1.1302371560262259E-3</v>
      </c>
      <c r="AC222" s="101">
        <v>8.7115051348618522E-4</v>
      </c>
    </row>
    <row r="223" spans="13:29" x14ac:dyDescent="0.2">
      <c r="M223" s="209">
        <f>RateHelpers!B212</f>
        <v>0</v>
      </c>
      <c r="N223" s="105" t="e">
        <f>_xll.qlRateHelperQuoteName(M223)</f>
        <v>#NUM!</v>
      </c>
      <c r="O223" s="93" t="e">
        <f>_xll.qlInterestRateIndexFixingDate(S223,_xll.qlRateHelperEarliestDate(M223,Trigger),)</f>
        <v>#VALUE!</v>
      </c>
      <c r="P223" s="120" t="e">
        <f>_xll.qlRateHelperQuoteValue(M223,_xll.ohTrigger(RecalcTrigger,YieldCurve))</f>
        <v>#NUM!</v>
      </c>
      <c r="Q223" s="123" t="e">
        <f t="shared" si="25"/>
        <v>#NUM!</v>
      </c>
      <c r="R223" s="123">
        <v>2</v>
      </c>
      <c r="S223" s="123" t="e">
        <f>_xll.qlSwapIndex(,"Euribor",Q223,NDays,Currency,Calendar,"1Y","mf","30/360 (Bond Basis)",IborIndex,Discounting,,_xll.ohTrigger(Trigger,RecalcTrigger))</f>
        <v>#VALUE!</v>
      </c>
      <c r="T223" s="123" t="e">
        <f>_xll.qlVanillaSwapFromSwapIndex(,S223,O223)</f>
        <v>#VALUE!</v>
      </c>
      <c r="U223" s="110" t="e">
        <f>_xll.qlVanillaSwapFairRate(T223)</f>
        <v>#VALUE!</v>
      </c>
      <c r="V223" s="206" t="e">
        <f t="shared" si="23"/>
        <v>#VALUE!</v>
      </c>
      <c r="Y223" s="105" t="str">
        <f t="shared" si="24"/>
        <v>1D</v>
      </c>
      <c r="Z223" s="93">
        <f>_xll.qlCalendarAdvance(Calendar,Z222,Y223,"f",FALSE)</f>
        <v>42475</v>
      </c>
      <c r="AA223" s="117">
        <f>_xll.qlCalendarAdvance(Calendar,Z223,NDays&amp;"D")</f>
        <v>42479</v>
      </c>
      <c r="AB223" s="92">
        <v>1.1324517104296893E-3</v>
      </c>
      <c r="AC223" s="101">
        <v>8.7225679039626414E-4</v>
      </c>
    </row>
    <row r="224" spans="13:29" x14ac:dyDescent="0.2">
      <c r="M224" s="209">
        <f>RateHelpers!B213</f>
        <v>0</v>
      </c>
      <c r="N224" s="105" t="e">
        <f>_xll.qlRateHelperQuoteName(M224)</f>
        <v>#NUM!</v>
      </c>
      <c r="O224" s="93" t="e">
        <f>_xll.qlInterestRateIndexFixingDate(S224,_xll.qlRateHelperEarliestDate(M224,Trigger),)</f>
        <v>#VALUE!</v>
      </c>
      <c r="P224" s="120" t="e">
        <f>_xll.qlRateHelperQuoteValue(M224,_xll.ohTrigger(RecalcTrigger,YieldCurve))</f>
        <v>#NUM!</v>
      </c>
      <c r="Q224" s="123" t="e">
        <f t="shared" si="25"/>
        <v>#NUM!</v>
      </c>
      <c r="R224" s="123">
        <v>2</v>
      </c>
      <c r="S224" s="123" t="e">
        <f>_xll.qlSwapIndex(,"Euribor",Q224,NDays,Currency,Calendar,"1Y","mf","30/360 (Bond Basis)",IborIndex,Discounting,,_xll.ohTrigger(Trigger,RecalcTrigger))</f>
        <v>#VALUE!</v>
      </c>
      <c r="T224" s="123" t="e">
        <f>_xll.qlVanillaSwapFromSwapIndex(,S224,O224)</f>
        <v>#VALUE!</v>
      </c>
      <c r="U224" s="110" t="e">
        <f>_xll.qlVanillaSwapFairRate(T224)</f>
        <v>#VALUE!</v>
      </c>
      <c r="V224" s="206" t="e">
        <f t="shared" si="23"/>
        <v>#VALUE!</v>
      </c>
      <c r="Y224" s="105" t="str">
        <f t="shared" si="24"/>
        <v>1D</v>
      </c>
      <c r="Z224" s="93">
        <f>_xll.qlCalendarAdvance(Calendar,Z223,Y224,"f",FALSE)</f>
        <v>42478</v>
      </c>
      <c r="AA224" s="117">
        <f>_xll.qlCalendarAdvance(Calendar,Z224,NDays&amp;"D")</f>
        <v>42480</v>
      </c>
      <c r="AB224" s="92">
        <v>1.1346577940728848E-3</v>
      </c>
      <c r="AC224" s="101">
        <v>8.7390661523301105E-4</v>
      </c>
    </row>
    <row r="225" spans="13:29" x14ac:dyDescent="0.2">
      <c r="M225" s="209">
        <f>RateHelpers!B214</f>
        <v>0</v>
      </c>
      <c r="N225" s="105" t="e">
        <f>_xll.qlRateHelperQuoteName(M225)</f>
        <v>#NUM!</v>
      </c>
      <c r="O225" s="93" t="e">
        <f>_xll.qlInterestRateIndexFixingDate(S225,_xll.qlRateHelperEarliestDate(M225,Trigger),)</f>
        <v>#VALUE!</v>
      </c>
      <c r="P225" s="120" t="e">
        <f>_xll.qlRateHelperQuoteValue(M225,_xll.ohTrigger(RecalcTrigger,YieldCurve))</f>
        <v>#NUM!</v>
      </c>
      <c r="Q225" s="123" t="e">
        <f t="shared" si="25"/>
        <v>#NUM!</v>
      </c>
      <c r="R225" s="123">
        <v>2</v>
      </c>
      <c r="S225" s="123" t="e">
        <f>_xll.qlSwapIndex(,"Euribor",Q225,NDays,Currency,Calendar,"1Y","mf","30/360 (Bond Basis)",IborIndex,Discounting,,_xll.ohTrigger(Trigger,RecalcTrigger))</f>
        <v>#VALUE!</v>
      </c>
      <c r="T225" s="123" t="e">
        <f>_xll.qlVanillaSwapFromSwapIndex(,S225,O225)</f>
        <v>#VALUE!</v>
      </c>
      <c r="U225" s="110" t="e">
        <f>_xll.qlVanillaSwapFairRate(T225)</f>
        <v>#VALUE!</v>
      </c>
      <c r="V225" s="206" t="e">
        <f t="shared" si="23"/>
        <v>#VALUE!</v>
      </c>
      <c r="Y225" s="105" t="str">
        <f t="shared" si="24"/>
        <v>1D</v>
      </c>
      <c r="Z225" s="93">
        <f>_xll.qlCalendarAdvance(Calendar,Z224,Y225,"f",FALSE)</f>
        <v>42479</v>
      </c>
      <c r="AA225" s="117">
        <f>_xll.qlCalendarAdvance(Calendar,Z225,NDays&amp;"D")</f>
        <v>42481</v>
      </c>
      <c r="AB225" s="92">
        <v>1.1368524496938356E-3</v>
      </c>
      <c r="AC225" s="101">
        <v>8.7609998775661779E-4</v>
      </c>
    </row>
    <row r="226" spans="13:29" x14ac:dyDescent="0.2">
      <c r="M226" s="209">
        <f>RateHelpers!B215</f>
        <v>0</v>
      </c>
      <c r="N226" s="105" t="e">
        <f>_xll.qlRateHelperQuoteName(M226)</f>
        <v>#NUM!</v>
      </c>
      <c r="O226" s="93" t="e">
        <f>_xll.qlInterestRateIndexFixingDate(S226,_xll.qlRateHelperEarliestDate(M226,Trigger),)</f>
        <v>#VALUE!</v>
      </c>
      <c r="P226" s="120" t="e">
        <f>_xll.qlRateHelperQuoteValue(M226,_xll.ohTrigger(RecalcTrigger,YieldCurve))</f>
        <v>#NUM!</v>
      </c>
      <c r="Q226" s="123" t="e">
        <f t="shared" si="25"/>
        <v>#NUM!</v>
      </c>
      <c r="R226" s="123">
        <v>2</v>
      </c>
      <c r="S226" s="123" t="e">
        <f>_xll.qlSwapIndex(,"Euribor",Q226,NDays,Currency,Calendar,"1Y","mf","30/360 (Bond Basis)",IborIndex,Discounting,,_xll.ohTrigger(Trigger,RecalcTrigger))</f>
        <v>#VALUE!</v>
      </c>
      <c r="T226" s="123" t="e">
        <f>_xll.qlVanillaSwapFromSwapIndex(,S226,O226)</f>
        <v>#VALUE!</v>
      </c>
      <c r="U226" s="110" t="e">
        <f>_xll.qlVanillaSwapFairRate(T226)</f>
        <v>#VALUE!</v>
      </c>
      <c r="V226" s="206" t="e">
        <f t="shared" si="23"/>
        <v>#VALUE!</v>
      </c>
      <c r="Y226" s="105" t="str">
        <f t="shared" si="24"/>
        <v>1D</v>
      </c>
      <c r="Z226" s="93">
        <f>_xll.qlCalendarAdvance(Calendar,Z225,Y226,"f",FALSE)</f>
        <v>42480</v>
      </c>
      <c r="AA226" s="117">
        <f>_xll.qlCalendarAdvance(Calendar,Z226,NDays&amp;"D")</f>
        <v>42482</v>
      </c>
      <c r="AB226" s="92">
        <v>1.1405020774934334E-3</v>
      </c>
      <c r="AC226" s="101">
        <v>8.8230072133654858E-4</v>
      </c>
    </row>
    <row r="227" spans="13:29" x14ac:dyDescent="0.2">
      <c r="M227" s="209">
        <f>RateHelpers!B216</f>
        <v>0</v>
      </c>
      <c r="N227" s="105" t="e">
        <f>_xll.qlRateHelperQuoteName(M227)</f>
        <v>#NUM!</v>
      </c>
      <c r="O227" s="93" t="e">
        <f>_xll.qlInterestRateIndexFixingDate(S227,_xll.qlRateHelperEarliestDate(M227,Trigger),)</f>
        <v>#VALUE!</v>
      </c>
      <c r="P227" s="120" t="e">
        <f>_xll.qlRateHelperQuoteValue(M227,_xll.ohTrigger(RecalcTrigger,YieldCurve))</f>
        <v>#NUM!</v>
      </c>
      <c r="Q227" s="123" t="e">
        <f t="shared" si="25"/>
        <v>#NUM!</v>
      </c>
      <c r="R227" s="123">
        <v>2</v>
      </c>
      <c r="S227" s="123" t="e">
        <f>_xll.qlSwapIndex(,"Euribor",Q227,NDays,Currency,Calendar,"1Y","mf","30/360 (Bond Basis)",IborIndex,Discounting,,_xll.ohTrigger(Trigger,RecalcTrigger))</f>
        <v>#VALUE!</v>
      </c>
      <c r="T227" s="123" t="e">
        <f>_xll.qlVanillaSwapFromSwapIndex(,S227,O227)</f>
        <v>#VALUE!</v>
      </c>
      <c r="U227" s="110" t="e">
        <f>_xll.qlVanillaSwapFairRate(T227)</f>
        <v>#VALUE!</v>
      </c>
      <c r="V227" s="206" t="e">
        <f t="shared" si="23"/>
        <v>#VALUE!</v>
      </c>
      <c r="Y227" s="105" t="str">
        <f t="shared" si="24"/>
        <v>1D</v>
      </c>
      <c r="Z227" s="93">
        <f>_xll.qlCalendarAdvance(Calendar,Z226,Y227,"f",FALSE)</f>
        <v>42481</v>
      </c>
      <c r="AA227" s="117">
        <f>_xll.qlCalendarAdvance(Calendar,Z227,NDays&amp;"D")</f>
        <v>42485</v>
      </c>
      <c r="AB227" s="92">
        <v>1.1454576462570207E-3</v>
      </c>
      <c r="AC227" s="101">
        <v>8.9030895631836415E-4</v>
      </c>
    </row>
    <row r="228" spans="13:29" x14ac:dyDescent="0.2">
      <c r="M228" s="209">
        <f>RateHelpers!B217</f>
        <v>0</v>
      </c>
      <c r="N228" s="105" t="e">
        <f>_xll.qlRateHelperQuoteName(M228)</f>
        <v>#NUM!</v>
      </c>
      <c r="O228" s="93" t="e">
        <f>_xll.qlInterestRateIndexFixingDate(S228,_xll.qlRateHelperEarliestDate(M228,Trigger),)</f>
        <v>#VALUE!</v>
      </c>
      <c r="P228" s="120" t="e">
        <f>_xll.qlRateHelperQuoteValue(M228,_xll.ohTrigger(RecalcTrigger,YieldCurve))</f>
        <v>#NUM!</v>
      </c>
      <c r="Q228" s="123" t="e">
        <f t="shared" si="25"/>
        <v>#NUM!</v>
      </c>
      <c r="R228" s="123">
        <v>2</v>
      </c>
      <c r="S228" s="123" t="e">
        <f>_xll.qlSwapIndex(,"Euribor",Q228,NDays,Currency,Calendar,"1Y","mf","30/360 (Bond Basis)",IborIndex,Discounting,,_xll.ohTrigger(Trigger,RecalcTrigger))</f>
        <v>#VALUE!</v>
      </c>
      <c r="T228" s="123" t="e">
        <f>_xll.qlVanillaSwapFromSwapIndex(,S228,O228)</f>
        <v>#VALUE!</v>
      </c>
      <c r="U228" s="110" t="e">
        <f>_xll.qlVanillaSwapFairRate(T228)</f>
        <v>#VALUE!</v>
      </c>
      <c r="V228" s="206" t="e">
        <f t="shared" si="23"/>
        <v>#VALUE!</v>
      </c>
      <c r="Y228" s="105" t="str">
        <f t="shared" si="24"/>
        <v>1D</v>
      </c>
      <c r="Z228" s="93">
        <f>_xll.qlCalendarAdvance(Calendar,Z227,Y228,"f",FALSE)</f>
        <v>42482</v>
      </c>
      <c r="AA228" s="117">
        <f>_xll.qlCalendarAdvance(Calendar,Z228,NDays&amp;"D")</f>
        <v>42486</v>
      </c>
      <c r="AB228" s="92">
        <v>1.147550802383261E-3</v>
      </c>
      <c r="AC228" s="101">
        <v>8.9522006807563059E-4</v>
      </c>
    </row>
    <row r="229" spans="13:29" x14ac:dyDescent="0.2">
      <c r="M229" s="209">
        <f>RateHelpers!B218</f>
        <v>0</v>
      </c>
      <c r="N229" s="105" t="e">
        <f>_xll.qlRateHelperQuoteName(M229)</f>
        <v>#NUM!</v>
      </c>
      <c r="O229" s="93" t="e">
        <f>_xll.qlInterestRateIndexFixingDate(S229,_xll.qlRateHelperEarliestDate(M229,Trigger),)</f>
        <v>#VALUE!</v>
      </c>
      <c r="P229" s="120" t="e">
        <f>_xll.qlRateHelperQuoteValue(M229,_xll.ohTrigger(RecalcTrigger,YieldCurve))</f>
        <v>#NUM!</v>
      </c>
      <c r="Q229" s="123" t="e">
        <f t="shared" si="25"/>
        <v>#NUM!</v>
      </c>
      <c r="R229" s="123">
        <v>2</v>
      </c>
      <c r="S229" s="123" t="e">
        <f>_xll.qlSwapIndex(,"Euribor",Q229,NDays,Currency,Calendar,"1Y","mf","30/360 (Bond Basis)",IborIndex,Discounting,,_xll.ohTrigger(Trigger,RecalcTrigger))</f>
        <v>#VALUE!</v>
      </c>
      <c r="T229" s="123" t="e">
        <f>_xll.qlVanillaSwapFromSwapIndex(,S229,O229)</f>
        <v>#VALUE!</v>
      </c>
      <c r="U229" s="110" t="e">
        <f>_xll.qlVanillaSwapFairRate(T229)</f>
        <v>#VALUE!</v>
      </c>
      <c r="V229" s="206" t="e">
        <f t="shared" si="23"/>
        <v>#VALUE!</v>
      </c>
      <c r="Y229" s="105" t="str">
        <f t="shared" si="24"/>
        <v>1D</v>
      </c>
      <c r="Z229" s="93">
        <f>_xll.qlCalendarAdvance(Calendar,Z228,Y229,"f",FALSE)</f>
        <v>42485</v>
      </c>
      <c r="AA229" s="117">
        <f>_xll.qlCalendarAdvance(Calendar,Z229,NDays&amp;"D")</f>
        <v>42487</v>
      </c>
      <c r="AB229" s="92">
        <v>1.1496147866493823E-3</v>
      </c>
      <c r="AC229" s="101">
        <v>9.0067472783950109E-4</v>
      </c>
    </row>
    <row r="230" spans="13:29" x14ac:dyDescent="0.2">
      <c r="M230" s="209">
        <f>RateHelpers!B219</f>
        <v>0</v>
      </c>
      <c r="N230" s="105" t="e">
        <f>_xll.qlRateHelperQuoteName(M230)</f>
        <v>#NUM!</v>
      </c>
      <c r="O230" s="93" t="e">
        <f>_xll.qlInterestRateIndexFixingDate(S230,_xll.qlRateHelperEarliestDate(M230,Trigger),)</f>
        <v>#VALUE!</v>
      </c>
      <c r="P230" s="120" t="e">
        <f>_xll.qlRateHelperQuoteValue(M230,_xll.ohTrigger(RecalcTrigger,YieldCurve))</f>
        <v>#NUM!</v>
      </c>
      <c r="Q230" s="123" t="e">
        <f t="shared" si="25"/>
        <v>#NUM!</v>
      </c>
      <c r="R230" s="123">
        <v>2</v>
      </c>
      <c r="S230" s="123" t="e">
        <f>_xll.qlSwapIndex(,"Euribor",Q230,NDays,Currency,Calendar,"1Y","mf","30/360 (Bond Basis)",IborIndex,Discounting,,_xll.ohTrigger(Trigger,RecalcTrigger))</f>
        <v>#VALUE!</v>
      </c>
      <c r="T230" s="123" t="e">
        <f>_xll.qlVanillaSwapFromSwapIndex(,S230,O230)</f>
        <v>#VALUE!</v>
      </c>
      <c r="U230" s="110" t="e">
        <f>_xll.qlVanillaSwapFairRate(T230)</f>
        <v>#VALUE!</v>
      </c>
      <c r="V230" s="206" t="e">
        <f t="shared" si="23"/>
        <v>#VALUE!</v>
      </c>
      <c r="Y230" s="105" t="str">
        <f t="shared" si="24"/>
        <v>1D</v>
      </c>
      <c r="Z230" s="93">
        <f>_xll.qlCalendarAdvance(Calendar,Z229,Y230,"f",FALSE)</f>
        <v>42486</v>
      </c>
      <c r="AA230" s="117">
        <f>_xll.qlCalendarAdvance(Calendar,Z230,NDays&amp;"D")</f>
        <v>42488</v>
      </c>
      <c r="AB230" s="92">
        <v>1.1516466417060469E-3</v>
      </c>
      <c r="AC230" s="101">
        <v>9.0667293537016747E-4</v>
      </c>
    </row>
    <row r="231" spans="13:29" x14ac:dyDescent="0.2">
      <c r="M231" s="209">
        <f>RateHelpers!B220</f>
        <v>0</v>
      </c>
      <c r="N231" s="105" t="e">
        <f>_xll.qlRateHelperQuoteName(M231)</f>
        <v>#NUM!</v>
      </c>
      <c r="O231" s="93" t="e">
        <f>_xll.qlInterestRateIndexFixingDate(S231,_xll.qlRateHelperEarliestDate(M231,Trigger),)</f>
        <v>#VALUE!</v>
      </c>
      <c r="P231" s="120" t="e">
        <f>_xll.qlRateHelperQuoteValue(M231,_xll.ohTrigger(RecalcTrigger,YieldCurve))</f>
        <v>#NUM!</v>
      </c>
      <c r="Q231" s="123" t="e">
        <f t="shared" si="25"/>
        <v>#NUM!</v>
      </c>
      <c r="R231" s="123">
        <v>2</v>
      </c>
      <c r="S231" s="123" t="e">
        <f>_xll.qlSwapIndex(,"Euribor",Q231,NDays,Currency,Calendar,"1Y","mf","30/360 (Bond Basis)",IborIndex,Discounting,,_xll.ohTrigger(Trigger,RecalcTrigger))</f>
        <v>#VALUE!</v>
      </c>
      <c r="T231" s="123" t="e">
        <f>_xll.qlVanillaSwapFromSwapIndex(,S231,O231)</f>
        <v>#VALUE!</v>
      </c>
      <c r="U231" s="110" t="e">
        <f>_xll.qlVanillaSwapFairRate(T231)</f>
        <v>#VALUE!</v>
      </c>
      <c r="V231" s="206" t="e">
        <f t="shared" si="23"/>
        <v>#VALUE!</v>
      </c>
      <c r="Y231" s="105" t="str">
        <f t="shared" si="24"/>
        <v>1D</v>
      </c>
      <c r="Z231" s="93">
        <f>_xll.qlCalendarAdvance(Calendar,Z230,Y231,"f",FALSE)</f>
        <v>42487</v>
      </c>
      <c r="AA231" s="117">
        <f>_xll.qlCalendarAdvance(Calendar,Z231,NDays&amp;"D")</f>
        <v>42489</v>
      </c>
      <c r="AB231" s="92">
        <v>1.154922864236769E-3</v>
      </c>
      <c r="AC231" s="101">
        <v>9.2048353065088406E-4</v>
      </c>
    </row>
    <row r="232" spans="13:29" x14ac:dyDescent="0.2">
      <c r="M232" s="209">
        <f>RateHelpers!B221</f>
        <v>0</v>
      </c>
      <c r="N232" s="105" t="e">
        <f>_xll.qlRateHelperQuoteName(M232)</f>
        <v>#NUM!</v>
      </c>
      <c r="O232" s="93" t="e">
        <f>_xll.qlInterestRateIndexFixingDate(S232,_xll.qlRateHelperEarliestDate(M232,Trigger),)</f>
        <v>#VALUE!</v>
      </c>
      <c r="P232" s="120" t="e">
        <f>_xll.qlRateHelperQuoteValue(M232,_xll.ohTrigger(RecalcTrigger,YieldCurve))</f>
        <v>#NUM!</v>
      </c>
      <c r="Q232" s="123" t="e">
        <f t="shared" si="25"/>
        <v>#NUM!</v>
      </c>
      <c r="R232" s="123">
        <v>2</v>
      </c>
      <c r="S232" s="123" t="e">
        <f>_xll.qlSwapIndex(,"Euribor",Q232,NDays,Currency,Calendar,"1Y","mf","30/360 (Bond Basis)",IborIndex,Discounting,,_xll.ohTrigger(Trigger,RecalcTrigger))</f>
        <v>#VALUE!</v>
      </c>
      <c r="T232" s="123" t="e">
        <f>_xll.qlVanillaSwapFromSwapIndex(,S232,O232)</f>
        <v>#VALUE!</v>
      </c>
      <c r="U232" s="110" t="e">
        <f>_xll.qlVanillaSwapFairRate(T232)</f>
        <v>#VALUE!</v>
      </c>
      <c r="V232" s="206" t="e">
        <f t="shared" si="23"/>
        <v>#VALUE!</v>
      </c>
      <c r="Y232" s="105" t="str">
        <f t="shared" si="24"/>
        <v>1D</v>
      </c>
      <c r="Z232" s="93">
        <f>_xll.qlCalendarAdvance(Calendar,Z231,Y232,"f",FALSE)</f>
        <v>42488</v>
      </c>
      <c r="AA232" s="117">
        <f>_xll.qlCalendarAdvance(Calendar,Z232,NDays&amp;"D")</f>
        <v>42492</v>
      </c>
      <c r="AB232" s="92">
        <v>1.1599999999999534E-3</v>
      </c>
      <c r="AC232" s="101">
        <v>9.3594546768827058E-4</v>
      </c>
    </row>
    <row r="233" spans="13:29" x14ac:dyDescent="0.2">
      <c r="M233" s="209">
        <f>RateHelpers!B222</f>
        <v>0</v>
      </c>
      <c r="N233" s="105" t="e">
        <f>_xll.qlRateHelperQuoteName(M233)</f>
        <v>#NUM!</v>
      </c>
      <c r="O233" s="93" t="e">
        <f>_xll.qlInterestRateIndexFixingDate(S233,_xll.qlRateHelperEarliestDate(M233,Trigger),)</f>
        <v>#VALUE!</v>
      </c>
      <c r="P233" s="120" t="e">
        <f>_xll.qlRateHelperQuoteValue(M233,_xll.ohTrigger(RecalcTrigger,YieldCurve))</f>
        <v>#NUM!</v>
      </c>
      <c r="Q233" s="123" t="e">
        <f t="shared" si="25"/>
        <v>#NUM!</v>
      </c>
      <c r="R233" s="123">
        <v>2</v>
      </c>
      <c r="S233" s="123" t="e">
        <f>_xll.qlSwapIndex(,"Euribor",Q233,NDays,Currency,Calendar,"1Y","mf","30/360 (Bond Basis)",IborIndex,Discounting,,_xll.ohTrigger(Trigger,RecalcTrigger))</f>
        <v>#VALUE!</v>
      </c>
      <c r="T233" s="123" t="e">
        <f>_xll.qlVanillaSwapFromSwapIndex(,S233,O233)</f>
        <v>#VALUE!</v>
      </c>
      <c r="U233" s="110" t="e">
        <f>_xll.qlVanillaSwapFairRate(T233)</f>
        <v>#VALUE!</v>
      </c>
      <c r="V233" s="206" t="e">
        <f t="shared" si="23"/>
        <v>#VALUE!</v>
      </c>
      <c r="Y233" s="105" t="str">
        <f t="shared" si="24"/>
        <v>1D</v>
      </c>
      <c r="Z233" s="93">
        <f>_xll.qlCalendarAdvance(Calendar,Z232,Y233,"f",FALSE)</f>
        <v>42489</v>
      </c>
      <c r="AA233" s="117">
        <f>_xll.qlCalendarAdvance(Calendar,Z233,NDays&amp;"D")</f>
        <v>42493</v>
      </c>
      <c r="AB233" s="92">
        <v>1.1618157537368855E-3</v>
      </c>
      <c r="AC233" s="101">
        <v>9.4372674762865927E-4</v>
      </c>
    </row>
    <row r="234" spans="13:29" x14ac:dyDescent="0.2">
      <c r="M234" s="209">
        <f>RateHelpers!B223</f>
        <v>0</v>
      </c>
      <c r="N234" s="105" t="e">
        <f>_xll.qlRateHelperQuoteName(M234)</f>
        <v>#NUM!</v>
      </c>
      <c r="O234" s="93" t="e">
        <f>_xll.qlInterestRateIndexFixingDate(S234,_xll.qlRateHelperEarliestDate(M234,Trigger),)</f>
        <v>#VALUE!</v>
      </c>
      <c r="P234" s="120" t="e">
        <f>_xll.qlRateHelperQuoteValue(M234,_xll.ohTrigger(RecalcTrigger,YieldCurve))</f>
        <v>#NUM!</v>
      </c>
      <c r="Q234" s="123" t="e">
        <f t="shared" si="25"/>
        <v>#NUM!</v>
      </c>
      <c r="R234" s="123">
        <v>2</v>
      </c>
      <c r="S234" s="123" t="e">
        <f>_xll.qlSwapIndex(,"Euribor",Q234,NDays,Currency,Calendar,"1Y","mf","30/360 (Bond Basis)",IborIndex,Discounting,,_xll.ohTrigger(Trigger,RecalcTrigger))</f>
        <v>#VALUE!</v>
      </c>
      <c r="T234" s="123" t="e">
        <f>_xll.qlVanillaSwapFromSwapIndex(,S234,O234)</f>
        <v>#VALUE!</v>
      </c>
      <c r="U234" s="110" t="e">
        <f>_xll.qlVanillaSwapFairRate(T234)</f>
        <v>#VALUE!</v>
      </c>
      <c r="V234" s="206" t="e">
        <f t="shared" si="23"/>
        <v>#VALUE!</v>
      </c>
      <c r="Y234" s="105" t="str">
        <f t="shared" si="24"/>
        <v>1D</v>
      </c>
      <c r="Z234" s="93">
        <f>_xll.qlCalendarAdvance(Calendar,Z233,Y234,"f",FALSE)</f>
        <v>42492</v>
      </c>
      <c r="AA234" s="117">
        <f>_xll.qlCalendarAdvance(Calendar,Z234,NDays&amp;"D")</f>
        <v>42494</v>
      </c>
      <c r="AB234" s="92">
        <v>1.1635881258059942E-3</v>
      </c>
      <c r="AC234" s="101">
        <v>9.5111690811222616E-4</v>
      </c>
    </row>
    <row r="235" spans="13:29" x14ac:dyDescent="0.2">
      <c r="M235" s="209">
        <f>RateHelpers!B224</f>
        <v>0</v>
      </c>
      <c r="N235" s="105" t="e">
        <f>_xll.qlRateHelperQuoteName(M235)</f>
        <v>#NUM!</v>
      </c>
      <c r="O235" s="93" t="e">
        <f>_xll.qlInterestRateIndexFixingDate(S235,_xll.qlRateHelperEarliestDate(M235,Trigger),)</f>
        <v>#VALUE!</v>
      </c>
      <c r="P235" s="120" t="e">
        <f>_xll.qlRateHelperQuoteValue(M235,_xll.ohTrigger(RecalcTrigger,YieldCurve))</f>
        <v>#NUM!</v>
      </c>
      <c r="Q235" s="123" t="e">
        <f t="shared" si="25"/>
        <v>#NUM!</v>
      </c>
      <c r="R235" s="123">
        <v>2</v>
      </c>
      <c r="S235" s="123" t="e">
        <f>_xll.qlSwapIndex(,"Euribor",Q235,NDays,Currency,Calendar,"1Y","mf","30/360 (Bond Basis)",IborIndex,Discounting,,_xll.ohTrigger(Trigger,RecalcTrigger))</f>
        <v>#VALUE!</v>
      </c>
      <c r="T235" s="123" t="e">
        <f>_xll.qlVanillaSwapFromSwapIndex(,S235,O235)</f>
        <v>#VALUE!</v>
      </c>
      <c r="U235" s="110" t="e">
        <f>_xll.qlVanillaSwapFairRate(T235)</f>
        <v>#VALUE!</v>
      </c>
      <c r="V235" s="206" t="e">
        <f t="shared" si="23"/>
        <v>#VALUE!</v>
      </c>
      <c r="Y235" s="105" t="str">
        <f t="shared" si="24"/>
        <v>1D</v>
      </c>
      <c r="Z235" s="93">
        <f>_xll.qlCalendarAdvance(Calendar,Z234,Y235,"f",FALSE)</f>
        <v>42493</v>
      </c>
      <c r="AA235" s="117">
        <f>_xll.qlCalendarAdvance(Calendar,Z235,NDays&amp;"D")</f>
        <v>42495</v>
      </c>
      <c r="AB235" s="92">
        <v>1.1664552139071856E-3</v>
      </c>
      <c r="AC235" s="101">
        <v>9.5811594897909913E-4</v>
      </c>
    </row>
    <row r="236" spans="13:29" x14ac:dyDescent="0.2">
      <c r="M236" s="209">
        <f>RateHelpers!B225</f>
        <v>0</v>
      </c>
      <c r="N236" s="105" t="e">
        <f>_xll.qlRateHelperQuoteName(M236)</f>
        <v>#NUM!</v>
      </c>
      <c r="O236" s="93" t="e">
        <f>_xll.qlInterestRateIndexFixingDate(S236,_xll.qlRateHelperEarliestDate(M236,Trigger),)</f>
        <v>#VALUE!</v>
      </c>
      <c r="P236" s="120" t="e">
        <f>_xll.qlRateHelperQuoteValue(M236,_xll.ohTrigger(RecalcTrigger,YieldCurve))</f>
        <v>#NUM!</v>
      </c>
      <c r="Q236" s="123" t="e">
        <f t="shared" si="25"/>
        <v>#NUM!</v>
      </c>
      <c r="R236" s="123">
        <v>2</v>
      </c>
      <c r="S236" s="123" t="e">
        <f>_xll.qlSwapIndex(,"Euribor",Q236,NDays,Currency,Calendar,"1Y","mf","30/360 (Bond Basis)",IborIndex,Discounting,,_xll.ohTrigger(Trigger,RecalcTrigger))</f>
        <v>#VALUE!</v>
      </c>
      <c r="T236" s="123" t="e">
        <f>_xll.qlVanillaSwapFromSwapIndex(,S236,O236)</f>
        <v>#VALUE!</v>
      </c>
      <c r="U236" s="110" t="e">
        <f>_xll.qlVanillaSwapFairRate(T236)</f>
        <v>#VALUE!</v>
      </c>
      <c r="V236" s="206" t="e">
        <f t="shared" si="23"/>
        <v>#VALUE!</v>
      </c>
      <c r="Y236" s="105" t="str">
        <f t="shared" si="24"/>
        <v>1D</v>
      </c>
      <c r="Z236" s="93">
        <f>_xll.qlCalendarAdvance(Calendar,Z235,Y236,"f",FALSE)</f>
        <v>42494</v>
      </c>
      <c r="AA236" s="117">
        <f>_xll.qlCalendarAdvance(Calendar,Z236,NDays&amp;"D")</f>
        <v>42496</v>
      </c>
      <c r="AB236" s="92">
        <v>1.167578264664701E-3</v>
      </c>
      <c r="AC236" s="101">
        <v>9.7081291634992795E-4</v>
      </c>
    </row>
    <row r="237" spans="13:29" x14ac:dyDescent="0.2">
      <c r="M237" s="209">
        <f>RateHelpers!B226</f>
        <v>0</v>
      </c>
      <c r="N237" s="105" t="e">
        <f>_xll.qlRateHelperQuoteName(M237)</f>
        <v>#NUM!</v>
      </c>
      <c r="O237" s="93" t="e">
        <f>_xll.qlInterestRateIndexFixingDate(S237,_xll.qlRateHelperEarliestDate(M237,Trigger),)</f>
        <v>#VALUE!</v>
      </c>
      <c r="P237" s="120" t="e">
        <f>_xll.qlRateHelperQuoteValue(M237,_xll.ohTrigger(RecalcTrigger,YieldCurve))</f>
        <v>#NUM!</v>
      </c>
      <c r="Q237" s="123" t="e">
        <f t="shared" si="25"/>
        <v>#NUM!</v>
      </c>
      <c r="R237" s="123">
        <v>2</v>
      </c>
      <c r="S237" s="123" t="e">
        <f>_xll.qlSwapIndex(,"Euribor",Q237,NDays,Currency,Calendar,"1Y","mf","30/360 (Bond Basis)",IborIndex,Discounting,,_xll.ohTrigger(Trigger,RecalcTrigger))</f>
        <v>#VALUE!</v>
      </c>
      <c r="T237" s="123" t="e">
        <f>_xll.qlVanillaSwapFromSwapIndex(,S237,O237)</f>
        <v>#VALUE!</v>
      </c>
      <c r="U237" s="110" t="e">
        <f>_xll.qlVanillaSwapFairRate(T237)</f>
        <v>#VALUE!</v>
      </c>
      <c r="V237" s="206" t="e">
        <f t="shared" si="23"/>
        <v>#VALUE!</v>
      </c>
      <c r="Y237" s="105" t="str">
        <f t="shared" si="24"/>
        <v>1D</v>
      </c>
      <c r="Z237" s="93">
        <f>_xll.qlCalendarAdvance(Calendar,Z236,Y237,"f",FALSE)</f>
        <v>42495</v>
      </c>
      <c r="AA237" s="117">
        <f>_xll.qlCalendarAdvance(Calendar,Z237,NDays&amp;"D")</f>
        <v>42499</v>
      </c>
      <c r="AB237" s="92">
        <v>1.1719135377162993E-3</v>
      </c>
      <c r="AC237" s="101">
        <v>9.8220091564016343E-4</v>
      </c>
    </row>
    <row r="238" spans="13:29" x14ac:dyDescent="0.2">
      <c r="M238" s="209">
        <f>RateHelpers!B227</f>
        <v>0</v>
      </c>
      <c r="N238" s="105" t="e">
        <f>_xll.qlRateHelperQuoteName(M238)</f>
        <v>#NUM!</v>
      </c>
      <c r="O238" s="93" t="e">
        <f>_xll.qlInterestRateIndexFixingDate(S238,_xll.qlRateHelperEarliestDate(M238,Trigger),)</f>
        <v>#VALUE!</v>
      </c>
      <c r="P238" s="120" t="e">
        <f>_xll.qlRateHelperQuoteValue(M238,_xll.ohTrigger(RecalcTrigger,YieldCurve))</f>
        <v>#NUM!</v>
      </c>
      <c r="Q238" s="123" t="e">
        <f t="shared" si="25"/>
        <v>#NUM!</v>
      </c>
      <c r="R238" s="123">
        <v>2</v>
      </c>
      <c r="S238" s="123" t="e">
        <f>_xll.qlSwapIndex(,"Euribor",Q238,NDays,Currency,Calendar,"1Y","mf","30/360 (Bond Basis)",IborIndex,Discounting,,_xll.ohTrigger(Trigger,RecalcTrigger))</f>
        <v>#VALUE!</v>
      </c>
      <c r="T238" s="123" t="e">
        <f>_xll.qlVanillaSwapFromSwapIndex(,S238,O238)</f>
        <v>#VALUE!</v>
      </c>
      <c r="U238" s="110" t="e">
        <f>_xll.qlVanillaSwapFairRate(T238)</f>
        <v>#VALUE!</v>
      </c>
      <c r="V238" s="206" t="e">
        <f t="shared" si="23"/>
        <v>#VALUE!</v>
      </c>
      <c r="Y238" s="105" t="str">
        <f t="shared" si="24"/>
        <v>1D</v>
      </c>
      <c r="Z238" s="93">
        <f>_xll.qlCalendarAdvance(Calendar,Z237,Y238,"f",FALSE)</f>
        <v>42496</v>
      </c>
      <c r="AA238" s="117">
        <f>_xll.qlCalendarAdvance(Calendar,Z238,NDays&amp;"D")</f>
        <v>42500</v>
      </c>
      <c r="AB238" s="92">
        <v>1.1734941859103713E-3</v>
      </c>
      <c r="AC238" s="101">
        <v>9.8724435810382261E-4</v>
      </c>
    </row>
    <row r="239" spans="13:29" ht="12" thickBot="1" x14ac:dyDescent="0.25">
      <c r="M239" s="210">
        <f>RateHelpers!B228</f>
        <v>0</v>
      </c>
      <c r="N239" s="106" t="e">
        <f>_xll.qlRateHelperQuoteName(M239)</f>
        <v>#NUM!</v>
      </c>
      <c r="O239" s="103" t="e">
        <f>_xll.qlInterestRateIndexFixingDate(S239,_xll.qlRateHelperEarliestDate(M239,Trigger),)</f>
        <v>#VALUE!</v>
      </c>
      <c r="P239" s="121" t="e">
        <f>_xll.qlRateHelperQuoteValue(M239,_xll.ohTrigger(RecalcTrigger,YieldCurve))</f>
        <v>#NUM!</v>
      </c>
      <c r="Q239" s="124" t="e">
        <f t="shared" si="25"/>
        <v>#NUM!</v>
      </c>
      <c r="R239" s="124">
        <v>2</v>
      </c>
      <c r="S239" s="124" t="e">
        <f>_xll.qlSwapIndex(,"Euribor",Q239,NDays,Currency,Calendar,"1Y","mf","30/360 (Bond Basis)",IborIndex,Discounting,,_xll.ohTrigger(Trigger,RecalcTrigger))</f>
        <v>#VALUE!</v>
      </c>
      <c r="T239" s="124" t="e">
        <f>_xll.qlVanillaSwapFromSwapIndex(,S239,O239)</f>
        <v>#VALUE!</v>
      </c>
      <c r="U239" s="112" t="e">
        <f>_xll.qlVanillaSwapFairRate(T239)</f>
        <v>#VALUE!</v>
      </c>
      <c r="V239" s="207" t="e">
        <f t="shared" si="23"/>
        <v>#VALUE!</v>
      </c>
      <c r="Y239" s="105" t="str">
        <f t="shared" si="24"/>
        <v>1D</v>
      </c>
      <c r="Z239" s="93">
        <f>_xll.qlCalendarAdvance(Calendar,Z238,Y239,"f",FALSE)</f>
        <v>42499</v>
      </c>
      <c r="AA239" s="117">
        <f>_xll.qlCalendarAdvance(Calendar,Z239,NDays&amp;"D")</f>
        <v>42501</v>
      </c>
      <c r="AB239" s="92">
        <v>1.1750543079323769E-3</v>
      </c>
      <c r="AC239" s="101">
        <v>9.9189668079091575E-4</v>
      </c>
    </row>
    <row r="240" spans="13:29" x14ac:dyDescent="0.2">
      <c r="M240" s="211">
        <f>RateHelpers!B229</f>
        <v>0</v>
      </c>
      <c r="N240" s="195" t="e">
        <f>_xll.qlRateHelperQuoteName(M240)</f>
        <v>#NUM!</v>
      </c>
      <c r="O240" s="192" t="e">
        <f>_xll.qlInterestRateIndexFixingDate(S240,_xll.qlRateHelperEarliestDate(M240,Trigger),)</f>
        <v>#VALUE!</v>
      </c>
      <c r="P240" s="193" t="e">
        <f>_xll.qlRateHelperQuoteValue(M240,_xll.ohTrigger(RecalcTrigger,YieldCurve))</f>
        <v>#NUM!</v>
      </c>
      <c r="Q240" s="191" t="e">
        <f t="shared" ref="Q240:Q257" si="26">SUBSTITUTE(SUBSTITUTE(N240,"_Quote",""),"EUR10F","")</f>
        <v>#NUM!</v>
      </c>
      <c r="R240" s="191">
        <v>2</v>
      </c>
      <c r="S240" s="191" t="e">
        <f>_xll.qlSwapIndex(,"Euribor",Q240,NDays,Currency,Calendar,"1Y","mf","30/360 (Bond Basis)",IborIndex,Discounting,,_xll.ohTrigger(Trigger,RecalcTrigger))</f>
        <v>#VALUE!</v>
      </c>
      <c r="T240" s="191" t="e">
        <f>_xll.qlVanillaSwapFromSwapIndex(,S240,O240)</f>
        <v>#VALUE!</v>
      </c>
      <c r="U240" s="194" t="e">
        <f>_xll.qlVanillaSwapFairRate(T240)</f>
        <v>#VALUE!</v>
      </c>
      <c r="V240" s="208" t="e">
        <f t="shared" si="23"/>
        <v>#VALUE!</v>
      </c>
      <c r="Y240" s="105" t="str">
        <f t="shared" si="24"/>
        <v>1D</v>
      </c>
      <c r="Z240" s="93">
        <f>_xll.qlCalendarAdvance(Calendar,Z239,Y240,"f",FALSE)</f>
        <v>42500</v>
      </c>
      <c r="AA240" s="117">
        <f>_xll.qlCalendarAdvance(Calendar,Z240,NDays&amp;"D")</f>
        <v>42502</v>
      </c>
      <c r="AB240" s="92">
        <v>1.1776984899386678E-3</v>
      </c>
      <c r="AC240" s="101">
        <v>9.9615788370144287E-4</v>
      </c>
    </row>
    <row r="241" spans="13:29" x14ac:dyDescent="0.2">
      <c r="M241" s="209">
        <f>RateHelpers!B230</f>
        <v>0</v>
      </c>
      <c r="N241" s="105" t="e">
        <f>_xll.qlRateHelperQuoteName(M241)</f>
        <v>#NUM!</v>
      </c>
      <c r="O241" s="93" t="e">
        <f>_xll.qlInterestRateIndexFixingDate(S241,_xll.qlRateHelperEarliestDate(M241,Trigger),)</f>
        <v>#VALUE!</v>
      </c>
      <c r="P241" s="120" t="e">
        <f>_xll.qlRateHelperQuoteValue(M241,_xll.ohTrigger(RecalcTrigger,YieldCurve))</f>
        <v>#NUM!</v>
      </c>
      <c r="Q241" s="123" t="e">
        <f t="shared" si="26"/>
        <v>#NUM!</v>
      </c>
      <c r="R241" s="123">
        <v>2</v>
      </c>
      <c r="S241" s="123" t="e">
        <f>_xll.qlSwapIndex(,"Euribor",Q241,NDays,Currency,Calendar,"1Y","mf","30/360 (Bond Basis)",IborIndex,Discounting,,_xll.ohTrigger(Trigger,RecalcTrigger))</f>
        <v>#VALUE!</v>
      </c>
      <c r="T241" s="123" t="e">
        <f>_xll.qlVanillaSwapFromSwapIndex(,S241,O241)</f>
        <v>#VALUE!</v>
      </c>
      <c r="U241" s="110" t="e">
        <f>_xll.qlVanillaSwapFairRate(T241)</f>
        <v>#VALUE!</v>
      </c>
      <c r="V241" s="206" t="e">
        <f t="shared" si="23"/>
        <v>#VALUE!</v>
      </c>
      <c r="Y241" s="105" t="str">
        <f t="shared" si="24"/>
        <v>1D</v>
      </c>
      <c r="Z241" s="93">
        <f>_xll.qlCalendarAdvance(Calendar,Z240,Y241,"f",FALSE)</f>
        <v>42501</v>
      </c>
      <c r="AA241" s="117">
        <f>_xll.qlCalendarAdvance(Calendar,Z241,NDays&amp;"D")</f>
        <v>42503</v>
      </c>
      <c r="AB241" s="92">
        <v>1.1786765289908438E-3</v>
      </c>
      <c r="AC241" s="101">
        <v>1.0033793536834423E-3</v>
      </c>
    </row>
    <row r="242" spans="13:29" x14ac:dyDescent="0.2">
      <c r="M242" s="209">
        <f>RateHelpers!B231</f>
        <v>0</v>
      </c>
      <c r="N242" s="105" t="e">
        <f>_xll.qlRateHelperQuoteName(M242)</f>
        <v>#NUM!</v>
      </c>
      <c r="O242" s="93" t="e">
        <f>_xll.qlInterestRateIndexFixingDate(S242,_xll.qlRateHelperEarliestDate(M242,Trigger),)</f>
        <v>#VALUE!</v>
      </c>
      <c r="P242" s="120" t="e">
        <f>_xll.qlRateHelperQuoteValue(M242,_xll.ohTrigger(RecalcTrigger,YieldCurve))</f>
        <v>#NUM!</v>
      </c>
      <c r="Q242" s="123" t="e">
        <f t="shared" si="26"/>
        <v>#NUM!</v>
      </c>
      <c r="R242" s="123">
        <v>2</v>
      </c>
      <c r="S242" s="123" t="e">
        <f>_xll.qlSwapIndex(,"Euribor",Q242,NDays,Currency,Calendar,"1Y","mf","30/360 (Bond Basis)",IborIndex,Discounting,,_xll.ohTrigger(Trigger,RecalcTrigger))</f>
        <v>#VALUE!</v>
      </c>
      <c r="T242" s="123" t="e">
        <f>_xll.qlVanillaSwapFromSwapIndex(,S242,O242)</f>
        <v>#VALUE!</v>
      </c>
      <c r="U242" s="110" t="e">
        <f>_xll.qlVanillaSwapFairRate(T242)</f>
        <v>#VALUE!</v>
      </c>
      <c r="V242" s="206" t="e">
        <f t="shared" si="23"/>
        <v>#VALUE!</v>
      </c>
      <c r="Y242" s="105" t="str">
        <f t="shared" si="24"/>
        <v>1D</v>
      </c>
      <c r="Z242" s="93">
        <f>_xll.qlCalendarAdvance(Calendar,Z241,Y242,"f",FALSE)</f>
        <v>42502</v>
      </c>
      <c r="AA242" s="117">
        <f>_xll.qlCalendarAdvance(Calendar,Z242,NDays&amp;"D")</f>
        <v>42506</v>
      </c>
      <c r="AB242" s="92">
        <v>1.1826613049911608E-3</v>
      </c>
      <c r="AC242" s="101">
        <v>1.0092914978976353E-3</v>
      </c>
    </row>
    <row r="243" spans="13:29" x14ac:dyDescent="0.2">
      <c r="M243" s="209">
        <f>RateHelpers!B232</f>
        <v>0</v>
      </c>
      <c r="N243" s="105" t="e">
        <f>_xll.qlRateHelperQuoteName(M243)</f>
        <v>#NUM!</v>
      </c>
      <c r="O243" s="93" t="e">
        <f>_xll.qlInterestRateIndexFixingDate(S243,_xll.qlRateHelperEarliestDate(M243,Trigger),)</f>
        <v>#VALUE!</v>
      </c>
      <c r="P243" s="120" t="e">
        <f>_xll.qlRateHelperQuoteValue(M243,_xll.ohTrigger(RecalcTrigger,YieldCurve))</f>
        <v>#NUM!</v>
      </c>
      <c r="Q243" s="123" t="e">
        <f t="shared" si="26"/>
        <v>#NUM!</v>
      </c>
      <c r="R243" s="123">
        <v>2</v>
      </c>
      <c r="S243" s="123" t="e">
        <f>_xll.qlSwapIndex(,"Euribor",Q243,NDays,Currency,Calendar,"1Y","mf","30/360 (Bond Basis)",IborIndex,Discounting,,_xll.ohTrigger(Trigger,RecalcTrigger))</f>
        <v>#VALUE!</v>
      </c>
      <c r="T243" s="123" t="e">
        <f>_xll.qlVanillaSwapFromSwapIndex(,S243,O243)</f>
        <v>#VALUE!</v>
      </c>
      <c r="U243" s="110" t="e">
        <f>_xll.qlVanillaSwapFairRate(T243)</f>
        <v>#VALUE!</v>
      </c>
      <c r="V243" s="206" t="e">
        <f t="shared" si="23"/>
        <v>#VALUE!</v>
      </c>
      <c r="Y243" s="105" t="str">
        <f t="shared" si="24"/>
        <v>1D</v>
      </c>
      <c r="Z243" s="93">
        <f>_xll.qlCalendarAdvance(Calendar,Z242,Y243,"f",FALSE)</f>
        <v>42503</v>
      </c>
      <c r="AA243" s="117">
        <f>_xll.qlCalendarAdvance(Calendar,Z243,NDays&amp;"D")</f>
        <v>42507</v>
      </c>
      <c r="AB243" s="92">
        <v>1.1841668378447634E-3</v>
      </c>
      <c r="AC243" s="101">
        <v>1.0115971019253323E-3</v>
      </c>
    </row>
    <row r="244" spans="13:29" x14ac:dyDescent="0.2">
      <c r="M244" s="209">
        <f>RateHelpers!B233</f>
        <v>0</v>
      </c>
      <c r="N244" s="105" t="e">
        <f>_xll.qlRateHelperQuoteName(M244)</f>
        <v>#NUM!</v>
      </c>
      <c r="O244" s="93" t="e">
        <f>_xll.qlInterestRateIndexFixingDate(S244,_xll.qlRateHelperEarliestDate(M244,Trigger),)</f>
        <v>#VALUE!</v>
      </c>
      <c r="P244" s="120" t="e">
        <f>_xll.qlRateHelperQuoteValue(M244,_xll.ohTrigger(RecalcTrigger,YieldCurve))</f>
        <v>#NUM!</v>
      </c>
      <c r="Q244" s="123" t="e">
        <f t="shared" si="26"/>
        <v>#NUM!</v>
      </c>
      <c r="R244" s="123">
        <v>2</v>
      </c>
      <c r="S244" s="123" t="e">
        <f>_xll.qlSwapIndex(,"Euribor",Q244,NDays,Currency,Calendar,"1Y","mf","30/360 (Bond Basis)",IborIndex,Discounting,,_xll.ohTrigger(Trigger,RecalcTrigger))</f>
        <v>#VALUE!</v>
      </c>
      <c r="T244" s="123" t="e">
        <f>_xll.qlVanillaSwapFromSwapIndex(,S244,O244)</f>
        <v>#VALUE!</v>
      </c>
      <c r="U244" s="110" t="e">
        <f>_xll.qlVanillaSwapFairRate(T244)</f>
        <v>#VALUE!</v>
      </c>
      <c r="V244" s="206" t="e">
        <f t="shared" si="23"/>
        <v>#VALUE!</v>
      </c>
      <c r="Y244" s="105" t="str">
        <f t="shared" si="24"/>
        <v>1D</v>
      </c>
      <c r="Z244" s="93">
        <f>_xll.qlCalendarAdvance(Calendar,Z243,Y244,"f",FALSE)</f>
        <v>42506</v>
      </c>
      <c r="AA244" s="117">
        <f>_xll.qlCalendarAdvance(Calendar,Z244,NDays&amp;"D")</f>
        <v>42508</v>
      </c>
      <c r="AB244" s="92">
        <v>1.1856747005768299E-3</v>
      </c>
      <c r="AC244" s="101">
        <v>1.0135115862563993E-3</v>
      </c>
    </row>
    <row r="245" spans="13:29" x14ac:dyDescent="0.2">
      <c r="M245" s="209">
        <f>RateHelpers!B234</f>
        <v>0</v>
      </c>
      <c r="N245" s="105" t="e">
        <f>_xll.qlRateHelperQuoteName(M245)</f>
        <v>#NUM!</v>
      </c>
      <c r="O245" s="93" t="e">
        <f>_xll.qlInterestRateIndexFixingDate(S245,_xll.qlRateHelperEarliestDate(M245,Trigger),)</f>
        <v>#VALUE!</v>
      </c>
      <c r="P245" s="120" t="e">
        <f>_xll.qlRateHelperQuoteValue(M245,_xll.ohTrigger(RecalcTrigger,YieldCurve))</f>
        <v>#NUM!</v>
      </c>
      <c r="Q245" s="123" t="e">
        <f t="shared" si="26"/>
        <v>#NUM!</v>
      </c>
      <c r="R245" s="123">
        <v>2</v>
      </c>
      <c r="S245" s="123" t="e">
        <f>_xll.qlSwapIndex(,"Euribor",Q245,NDays,Currency,Calendar,"1Y","mf","30/360 (Bond Basis)",IborIndex,Discounting,,_xll.ohTrigger(Trigger,RecalcTrigger))</f>
        <v>#VALUE!</v>
      </c>
      <c r="T245" s="123" t="e">
        <f>_xll.qlVanillaSwapFromSwapIndex(,S245,O245)</f>
        <v>#VALUE!</v>
      </c>
      <c r="U245" s="110" t="e">
        <f>_xll.qlVanillaSwapFairRate(T245)</f>
        <v>#VALUE!</v>
      </c>
      <c r="V245" s="206" t="e">
        <f t="shared" si="23"/>
        <v>#VALUE!</v>
      </c>
      <c r="Y245" s="105" t="str">
        <f t="shared" si="24"/>
        <v>1D</v>
      </c>
      <c r="Z245" s="93">
        <f>_xll.qlCalendarAdvance(Calendar,Z244,Y245,"f",FALSE)</f>
        <v>42507</v>
      </c>
      <c r="AA245" s="117">
        <f>_xll.qlCalendarAdvance(Calendar,Z245,NDays&amp;"D")</f>
        <v>42509</v>
      </c>
      <c r="AB245" s="92">
        <v>1.1883736880147209E-3</v>
      </c>
      <c r="AC245" s="101">
        <v>1.0150349506510281E-3</v>
      </c>
    </row>
    <row r="246" spans="13:29" x14ac:dyDescent="0.2">
      <c r="M246" s="209">
        <f>RateHelpers!B235</f>
        <v>0</v>
      </c>
      <c r="N246" s="105" t="e">
        <f>_xll.qlRateHelperQuoteName(M246)</f>
        <v>#NUM!</v>
      </c>
      <c r="O246" s="93" t="e">
        <f>_xll.qlInterestRateIndexFixingDate(S246,_xll.qlRateHelperEarliestDate(M246,Trigger),)</f>
        <v>#VALUE!</v>
      </c>
      <c r="P246" s="120" t="e">
        <f>_xll.qlRateHelperQuoteValue(M246,_xll.ohTrigger(RecalcTrigger,YieldCurve))</f>
        <v>#NUM!</v>
      </c>
      <c r="Q246" s="123" t="e">
        <f t="shared" si="26"/>
        <v>#NUM!</v>
      </c>
      <c r="R246" s="123">
        <v>2</v>
      </c>
      <c r="S246" s="123" t="e">
        <f>_xll.qlSwapIndex(,"Euribor",Q246,NDays,Currency,Calendar,"1Y","mf","30/360 (Bond Basis)",IborIndex,Discounting,,_xll.ohTrigger(Trigger,RecalcTrigger))</f>
        <v>#VALUE!</v>
      </c>
      <c r="T246" s="123" t="e">
        <f>_xll.qlVanillaSwapFromSwapIndex(,S246,O246)</f>
        <v>#VALUE!</v>
      </c>
      <c r="U246" s="110" t="e">
        <f>_xll.qlVanillaSwapFairRate(T246)</f>
        <v>#VALUE!</v>
      </c>
      <c r="V246" s="206" t="e">
        <f t="shared" si="23"/>
        <v>#VALUE!</v>
      </c>
      <c r="Y246" s="105" t="str">
        <f t="shared" si="24"/>
        <v>1D</v>
      </c>
      <c r="Z246" s="93">
        <f>_xll.qlCalendarAdvance(Calendar,Z245,Y246,"f",FALSE)</f>
        <v>42508</v>
      </c>
      <c r="AA246" s="117">
        <f>_xll.qlCalendarAdvance(Calendar,Z246,NDays&amp;"D")</f>
        <v>42510</v>
      </c>
      <c r="AB246" s="92">
        <v>1.1893073008614288E-3</v>
      </c>
      <c r="AC246" s="101">
        <v>1.0167808185279625E-3</v>
      </c>
    </row>
    <row r="247" spans="13:29" x14ac:dyDescent="0.2">
      <c r="M247" s="209">
        <f>RateHelpers!B236</f>
        <v>0</v>
      </c>
      <c r="N247" s="105" t="e">
        <f>_xll.qlRateHelperQuoteName(M247)</f>
        <v>#NUM!</v>
      </c>
      <c r="O247" s="93" t="e">
        <f>_xll.qlInterestRateIndexFixingDate(S247,_xll.qlRateHelperEarliestDate(M247,Trigger),)</f>
        <v>#VALUE!</v>
      </c>
      <c r="P247" s="120" t="e">
        <f>_xll.qlRateHelperQuoteValue(M247,_xll.ohTrigger(RecalcTrigger,YieldCurve))</f>
        <v>#NUM!</v>
      </c>
      <c r="Q247" s="123" t="e">
        <f t="shared" si="26"/>
        <v>#NUM!</v>
      </c>
      <c r="R247" s="123">
        <v>2</v>
      </c>
      <c r="S247" s="123" t="e">
        <f>_xll.qlSwapIndex(,"Euribor",Q247,NDays,Currency,Calendar,"1Y","mf","30/360 (Bond Basis)",IborIndex,Discounting,,_xll.ohTrigger(Trigger,RecalcTrigger))</f>
        <v>#VALUE!</v>
      </c>
      <c r="T247" s="123" t="e">
        <f>_xll.qlVanillaSwapFromSwapIndex(,S247,O247)</f>
        <v>#VALUE!</v>
      </c>
      <c r="U247" s="110" t="e">
        <f>_xll.qlVanillaSwapFairRate(T247)</f>
        <v>#VALUE!</v>
      </c>
      <c r="V247" s="206" t="e">
        <f t="shared" si="23"/>
        <v>#VALUE!</v>
      </c>
      <c r="Y247" s="105" t="str">
        <f t="shared" si="24"/>
        <v>1D</v>
      </c>
      <c r="Z247" s="93">
        <f>_xll.qlCalendarAdvance(Calendar,Z246,Y247,"f",FALSE)</f>
        <v>42509</v>
      </c>
      <c r="AA247" s="117">
        <f>_xll.qlCalendarAdvance(Calendar,Z247,NDays&amp;"D")</f>
        <v>42513</v>
      </c>
      <c r="AB247" s="92">
        <v>1.1933632444618618E-3</v>
      </c>
      <c r="AC247" s="101">
        <v>1.017217210064203E-3</v>
      </c>
    </row>
    <row r="248" spans="13:29" x14ac:dyDescent="0.2">
      <c r="M248" s="209">
        <f>RateHelpers!B237</f>
        <v>0</v>
      </c>
      <c r="N248" s="105" t="e">
        <f>_xll.qlRateHelperQuoteName(M248)</f>
        <v>#NUM!</v>
      </c>
      <c r="O248" s="93" t="e">
        <f>_xll.qlInterestRateIndexFixingDate(S248,_xll.qlRateHelperEarliestDate(M248,Trigger),)</f>
        <v>#VALUE!</v>
      </c>
      <c r="P248" s="120" t="e">
        <f>_xll.qlRateHelperQuoteValue(M248,_xll.ohTrigger(RecalcTrigger,YieldCurve))</f>
        <v>#NUM!</v>
      </c>
      <c r="Q248" s="123" t="e">
        <f t="shared" si="26"/>
        <v>#NUM!</v>
      </c>
      <c r="R248" s="123">
        <v>2</v>
      </c>
      <c r="S248" s="123" t="e">
        <f>_xll.qlSwapIndex(,"Euribor",Q248,NDays,Currency,Calendar,"1Y","mf","30/360 (Bond Basis)",IborIndex,Discounting,,_xll.ohTrigger(Trigger,RecalcTrigger))</f>
        <v>#VALUE!</v>
      </c>
      <c r="T248" s="123" t="e">
        <f>_xll.qlVanillaSwapFromSwapIndex(,S248,O248)</f>
        <v>#VALUE!</v>
      </c>
      <c r="U248" s="110" t="e">
        <f>_xll.qlVanillaSwapFairRate(T248)</f>
        <v>#VALUE!</v>
      </c>
      <c r="V248" s="206" t="e">
        <f t="shared" si="23"/>
        <v>#VALUE!</v>
      </c>
      <c r="Y248" s="105" t="str">
        <f t="shared" si="24"/>
        <v>1D</v>
      </c>
      <c r="Z248" s="93">
        <f>_xll.qlCalendarAdvance(Calendar,Z247,Y248,"f",FALSE)</f>
        <v>42510</v>
      </c>
      <c r="AA248" s="117">
        <f>_xll.qlCalendarAdvance(Calendar,Z248,NDays&amp;"D")</f>
        <v>42514</v>
      </c>
      <c r="AB248" s="92">
        <v>1.1949536558366325E-3</v>
      </c>
      <c r="AC248" s="101">
        <v>1.0167849754161296E-3</v>
      </c>
    </row>
    <row r="249" spans="13:29" x14ac:dyDescent="0.2">
      <c r="M249" s="209">
        <f>RateHelpers!B238</f>
        <v>0</v>
      </c>
      <c r="N249" s="105" t="e">
        <f>_xll.qlRateHelperQuoteName(M249)</f>
        <v>#NUM!</v>
      </c>
      <c r="O249" s="93" t="e">
        <f>_xll.qlInterestRateIndexFixingDate(S249,_xll.qlRateHelperEarliestDate(M249,Trigger),)</f>
        <v>#VALUE!</v>
      </c>
      <c r="P249" s="120" t="e">
        <f>_xll.qlRateHelperQuoteValue(M249,_xll.ohTrigger(RecalcTrigger,YieldCurve))</f>
        <v>#NUM!</v>
      </c>
      <c r="Q249" s="123" t="e">
        <f t="shared" si="26"/>
        <v>#NUM!</v>
      </c>
      <c r="R249" s="123">
        <v>2</v>
      </c>
      <c r="S249" s="123" t="e">
        <f>_xll.qlSwapIndex(,"Euribor",Q249,NDays,Currency,Calendar,"1Y","mf","30/360 (Bond Basis)",IborIndex,Discounting,,_xll.ohTrigger(Trigger,RecalcTrigger))</f>
        <v>#VALUE!</v>
      </c>
      <c r="T249" s="123" t="e">
        <f>_xll.qlVanillaSwapFromSwapIndex(,S249,O249)</f>
        <v>#VALUE!</v>
      </c>
      <c r="U249" s="110" t="e">
        <f>_xll.qlVanillaSwapFairRate(T249)</f>
        <v>#VALUE!</v>
      </c>
      <c r="V249" s="206" t="e">
        <f t="shared" si="23"/>
        <v>#VALUE!</v>
      </c>
      <c r="Y249" s="105" t="str">
        <f t="shared" si="24"/>
        <v>1D</v>
      </c>
      <c r="Z249" s="93">
        <f>_xll.qlCalendarAdvance(Calendar,Z248,Y249,"f",FALSE)</f>
        <v>42513</v>
      </c>
      <c r="AA249" s="117">
        <f>_xll.qlCalendarAdvance(Calendar,Z249,NDays&amp;"D")</f>
        <v>42515</v>
      </c>
      <c r="AB249" s="92">
        <v>1.1965692536452111E-3</v>
      </c>
      <c r="AC249" s="101">
        <v>1.015961620831618E-3</v>
      </c>
    </row>
    <row r="250" spans="13:29" x14ac:dyDescent="0.2">
      <c r="M250" s="209">
        <f>RateHelpers!B239</f>
        <v>0</v>
      </c>
      <c r="N250" s="105" t="e">
        <f>_xll.qlRateHelperQuoteName(M250)</f>
        <v>#NUM!</v>
      </c>
      <c r="O250" s="93" t="e">
        <f>_xll.qlInterestRateIndexFixingDate(S250,_xll.qlRateHelperEarliestDate(M250,Trigger),)</f>
        <v>#VALUE!</v>
      </c>
      <c r="P250" s="120" t="e">
        <f>_xll.qlRateHelperQuoteValue(M250,_xll.ohTrigger(RecalcTrigger,YieldCurve))</f>
        <v>#NUM!</v>
      </c>
      <c r="Q250" s="123" t="e">
        <f t="shared" si="26"/>
        <v>#NUM!</v>
      </c>
      <c r="R250" s="123">
        <v>2</v>
      </c>
      <c r="S250" s="123" t="e">
        <f>_xll.qlSwapIndex(,"Euribor",Q250,NDays,Currency,Calendar,"1Y","mf","30/360 (Bond Basis)",IborIndex,Discounting,,_xll.ohTrigger(Trigger,RecalcTrigger))</f>
        <v>#VALUE!</v>
      </c>
      <c r="T250" s="123" t="e">
        <f>_xll.qlVanillaSwapFromSwapIndex(,S250,O250)</f>
        <v>#VALUE!</v>
      </c>
      <c r="U250" s="110" t="e">
        <f>_xll.qlVanillaSwapFairRate(T250)</f>
        <v>#VALUE!</v>
      </c>
      <c r="V250" s="206" t="e">
        <f t="shared" si="23"/>
        <v>#VALUE!</v>
      </c>
      <c r="Y250" s="105" t="str">
        <f t="shared" si="24"/>
        <v>1D</v>
      </c>
      <c r="Z250" s="93">
        <f>_xll.qlCalendarAdvance(Calendar,Z249,Y250,"f",FALSE)</f>
        <v>42514</v>
      </c>
      <c r="AA250" s="117">
        <f>_xll.qlCalendarAdvance(Calendar,Z250,NDays&amp;"D")</f>
        <v>42516</v>
      </c>
      <c r="AB250" s="92">
        <v>1.1995887288801699E-3</v>
      </c>
      <c r="AC250" s="101">
        <v>1.0147471465504765E-3</v>
      </c>
    </row>
    <row r="251" spans="13:29" x14ac:dyDescent="0.2">
      <c r="M251" s="209">
        <f>RateHelpers!B240</f>
        <v>0</v>
      </c>
      <c r="N251" s="105" t="e">
        <f>_xll.qlRateHelperQuoteName(M251)</f>
        <v>#NUM!</v>
      </c>
      <c r="O251" s="93" t="e">
        <f>_xll.qlInterestRateIndexFixingDate(S251,_xll.qlRateHelperEarliestDate(M251,Trigger),)</f>
        <v>#VALUE!</v>
      </c>
      <c r="P251" s="120" t="e">
        <f>_xll.qlRateHelperQuoteValue(M251,_xll.ohTrigger(RecalcTrigger,YieldCurve))</f>
        <v>#NUM!</v>
      </c>
      <c r="Q251" s="123" t="e">
        <f t="shared" si="26"/>
        <v>#NUM!</v>
      </c>
      <c r="R251" s="123">
        <v>2</v>
      </c>
      <c r="S251" s="123" t="e">
        <f>_xll.qlSwapIndex(,"Euribor",Q251,NDays,Currency,Calendar,"1Y","mf","30/360 (Bond Basis)",IborIndex,Discounting,,_xll.ohTrigger(Trigger,RecalcTrigger))</f>
        <v>#VALUE!</v>
      </c>
      <c r="T251" s="123" t="e">
        <f>_xll.qlVanillaSwapFromSwapIndex(,S251,O251)</f>
        <v>#VALUE!</v>
      </c>
      <c r="U251" s="110" t="e">
        <f>_xll.qlVanillaSwapFairRate(T251)</f>
        <v>#VALUE!</v>
      </c>
      <c r="V251" s="206" t="e">
        <f t="shared" si="23"/>
        <v>#VALUE!</v>
      </c>
      <c r="Y251" s="105" t="str">
        <f t="shared" si="24"/>
        <v>1D</v>
      </c>
      <c r="Z251" s="93">
        <f>_xll.qlCalendarAdvance(Calendar,Z250,Y251,"f",FALSE)</f>
        <v>42515</v>
      </c>
      <c r="AA251" s="117">
        <f>_xll.qlCalendarAdvance(Calendar,Z251,NDays&amp;"D")</f>
        <v>42517</v>
      </c>
      <c r="AB251" s="92">
        <v>1.2005844884304959E-3</v>
      </c>
      <c r="AC251" s="101">
        <v>1.0110173044086679E-3</v>
      </c>
    </row>
    <row r="252" spans="13:29" x14ac:dyDescent="0.2">
      <c r="M252" s="209">
        <f>RateHelpers!B241</f>
        <v>0</v>
      </c>
      <c r="N252" s="105" t="e">
        <f>_xll.qlRateHelperQuoteName(M252)</f>
        <v>#NUM!</v>
      </c>
      <c r="O252" s="93" t="e">
        <f>_xll.qlInterestRateIndexFixingDate(S252,_xll.qlRateHelperEarliestDate(M252,Trigger),)</f>
        <v>#VALUE!</v>
      </c>
      <c r="P252" s="120" t="e">
        <f>_xll.qlRateHelperQuoteValue(M252,_xll.ohTrigger(RecalcTrigger,YieldCurve))</f>
        <v>#NUM!</v>
      </c>
      <c r="Q252" s="123" t="e">
        <f t="shared" si="26"/>
        <v>#NUM!</v>
      </c>
      <c r="R252" s="123">
        <v>2</v>
      </c>
      <c r="S252" s="123" t="e">
        <f>_xll.qlSwapIndex(,"Euribor",Q252,NDays,Currency,Calendar,"1Y","mf","30/360 (Bond Basis)",IborIndex,Discounting,,_xll.ohTrigger(Trigger,RecalcTrigger))</f>
        <v>#VALUE!</v>
      </c>
      <c r="T252" s="123" t="e">
        <f>_xll.qlVanillaSwapFromSwapIndex(,S252,O252)</f>
        <v>#VALUE!</v>
      </c>
      <c r="U252" s="110" t="e">
        <f>_xll.qlVanillaSwapFairRate(T252)</f>
        <v>#VALUE!</v>
      </c>
      <c r="V252" s="206" t="e">
        <f t="shared" si="23"/>
        <v>#VALUE!</v>
      </c>
      <c r="Y252" s="105" t="str">
        <f t="shared" si="24"/>
        <v>1D</v>
      </c>
      <c r="Z252" s="93">
        <f>_xll.qlCalendarAdvance(Calendar,Z251,Y252,"f",FALSE)</f>
        <v>42516</v>
      </c>
      <c r="AA252" s="117">
        <f>_xll.qlCalendarAdvance(Calendar,Z252,NDays&amp;"D")</f>
        <v>42520</v>
      </c>
      <c r="AB252" s="92">
        <v>1.2051393239516676E-3</v>
      </c>
      <c r="AC252" s="101">
        <v>1.0059780510207617E-3</v>
      </c>
    </row>
    <row r="253" spans="13:29" x14ac:dyDescent="0.2">
      <c r="M253" s="209">
        <f>RateHelpers!B242</f>
        <v>0</v>
      </c>
      <c r="N253" s="105" t="e">
        <f>_xll.qlRateHelperQuoteName(M253)</f>
        <v>#NUM!</v>
      </c>
      <c r="O253" s="93" t="e">
        <f>_xll.qlInterestRateIndexFixingDate(S253,_xll.qlRateHelperEarliestDate(M253,Trigger),)</f>
        <v>#VALUE!</v>
      </c>
      <c r="P253" s="120" t="e">
        <f>_xll.qlRateHelperQuoteValue(M253,_xll.ohTrigger(RecalcTrigger,YieldCurve))</f>
        <v>#NUM!</v>
      </c>
      <c r="Q253" s="123" t="e">
        <f t="shared" si="26"/>
        <v>#NUM!</v>
      </c>
      <c r="R253" s="123">
        <v>2</v>
      </c>
      <c r="S253" s="123" t="e">
        <f>_xll.qlSwapIndex(,"Euribor",Q253,NDays,Currency,Calendar,"1Y","mf","30/360 (Bond Basis)",IborIndex,Discounting,,_xll.ohTrigger(Trigger,RecalcTrigger))</f>
        <v>#VALUE!</v>
      </c>
      <c r="T253" s="123" t="e">
        <f>_xll.qlVanillaSwapFromSwapIndex(,S253,O253)</f>
        <v>#VALUE!</v>
      </c>
      <c r="U253" s="110" t="e">
        <f>_xll.qlVanillaSwapFairRate(T253)</f>
        <v>#VALUE!</v>
      </c>
      <c r="V253" s="206" t="e">
        <f t="shared" si="23"/>
        <v>#VALUE!</v>
      </c>
      <c r="Y253" s="105" t="str">
        <f t="shared" si="24"/>
        <v>1D</v>
      </c>
      <c r="Z253" s="93">
        <f>_xll.qlCalendarAdvance(Calendar,Z252,Y253,"f",FALSE)</f>
        <v>42517</v>
      </c>
      <c r="AA253" s="117">
        <f>_xll.qlCalendarAdvance(Calendar,Z253,NDays&amp;"D")</f>
        <v>42521</v>
      </c>
      <c r="AB253" s="92">
        <v>1.2062242662652383E-3</v>
      </c>
      <c r="AC253" s="101">
        <v>1.0028079776169818E-3</v>
      </c>
    </row>
    <row r="254" spans="13:29" x14ac:dyDescent="0.2">
      <c r="M254" s="209">
        <f>RateHelpers!B243</f>
        <v>0</v>
      </c>
      <c r="N254" s="105" t="e">
        <f>_xll.qlRateHelperQuoteName(M254)</f>
        <v>#NUM!</v>
      </c>
      <c r="O254" s="93" t="e">
        <f>_xll.qlInterestRateIndexFixingDate(S254,_xll.qlRateHelperEarliestDate(M254,Trigger),)</f>
        <v>#VALUE!</v>
      </c>
      <c r="P254" s="120" t="e">
        <f>_xll.qlRateHelperQuoteValue(M254,_xll.ohTrigger(RecalcTrigger,YieldCurve))</f>
        <v>#NUM!</v>
      </c>
      <c r="Q254" s="123" t="e">
        <f t="shared" si="26"/>
        <v>#NUM!</v>
      </c>
      <c r="R254" s="123">
        <v>2</v>
      </c>
      <c r="S254" s="123" t="e">
        <f>_xll.qlSwapIndex(,"Euribor",Q254,NDays,Currency,Calendar,"1Y","mf","30/360 (Bond Basis)",IborIndex,Discounting,,_xll.ohTrigger(Trigger,RecalcTrigger))</f>
        <v>#VALUE!</v>
      </c>
      <c r="T254" s="123" t="e">
        <f>_xll.qlVanillaSwapFromSwapIndex(,S254,O254)</f>
        <v>#VALUE!</v>
      </c>
      <c r="U254" s="110" t="e">
        <f>_xll.qlVanillaSwapFairRate(T254)</f>
        <v>#VALUE!</v>
      </c>
      <c r="V254" s="206" t="e">
        <f t="shared" si="23"/>
        <v>#VALUE!</v>
      </c>
      <c r="Y254" s="105" t="str">
        <f t="shared" si="24"/>
        <v>1D</v>
      </c>
      <c r="Z254" s="93">
        <f>_xll.qlCalendarAdvance(Calendar,Z253,Y254,"f",FALSE)</f>
        <v>42520</v>
      </c>
      <c r="AA254" s="117">
        <f>_xll.qlCalendarAdvance(Calendar,Z254,NDays&amp;"D")</f>
        <v>42522</v>
      </c>
      <c r="AB254" s="92">
        <v>1.2080869108432686E-3</v>
      </c>
      <c r="AC254" s="101">
        <v>9.9924678451657201E-4</v>
      </c>
    </row>
    <row r="255" spans="13:29" x14ac:dyDescent="0.2">
      <c r="M255" s="209">
        <f>RateHelpers!B244</f>
        <v>0</v>
      </c>
      <c r="N255" s="105" t="e">
        <f>_xll.qlRateHelperQuoteName(M255)</f>
        <v>#NUM!</v>
      </c>
      <c r="O255" s="93" t="e">
        <f>_xll.qlInterestRateIndexFixingDate(S255,_xll.qlRateHelperEarliestDate(M255,Trigger),)</f>
        <v>#VALUE!</v>
      </c>
      <c r="P255" s="120" t="e">
        <f>_xll.qlRateHelperQuoteValue(M255,_xll.ohTrigger(RecalcTrigger,YieldCurve))</f>
        <v>#NUM!</v>
      </c>
      <c r="Q255" s="123" t="e">
        <f t="shared" si="26"/>
        <v>#NUM!</v>
      </c>
      <c r="R255" s="123">
        <v>2</v>
      </c>
      <c r="S255" s="123" t="e">
        <f>_xll.qlSwapIndex(,"Euribor",Q255,NDays,Currency,Calendar,"1Y","mf","30/360 (Bond Basis)",IborIndex,Discounting,,_xll.ohTrigger(Trigger,RecalcTrigger))</f>
        <v>#VALUE!</v>
      </c>
      <c r="T255" s="123" t="e">
        <f>_xll.qlVanillaSwapFromSwapIndex(,S255,O255)</f>
        <v>#VALUE!</v>
      </c>
      <c r="U255" s="110" t="e">
        <f>_xll.qlVanillaSwapFairRate(T255)</f>
        <v>#VALUE!</v>
      </c>
      <c r="V255" s="206" t="e">
        <f t="shared" si="23"/>
        <v>#VALUE!</v>
      </c>
      <c r="Y255" s="105" t="str">
        <f t="shared" si="24"/>
        <v>1D</v>
      </c>
      <c r="Z255" s="93">
        <f>_xll.qlCalendarAdvance(Calendar,Z254,Y255,"f",FALSE)</f>
        <v>42521</v>
      </c>
      <c r="AA255" s="117">
        <f>_xll.qlCalendarAdvance(Calendar,Z255,NDays&amp;"D")</f>
        <v>42523</v>
      </c>
      <c r="AB255" s="92">
        <v>1.2099999999996495E-3</v>
      </c>
      <c r="AC255" s="101">
        <v>9.9552249396062109E-4</v>
      </c>
    </row>
    <row r="256" spans="13:29" x14ac:dyDescent="0.2">
      <c r="M256" s="209">
        <f>RateHelpers!B245</f>
        <v>0</v>
      </c>
      <c r="N256" s="105" t="e">
        <f>_xll.qlRateHelperQuoteName(M256)</f>
        <v>#NUM!</v>
      </c>
      <c r="O256" s="93" t="e">
        <f>_xll.qlInterestRateIndexFixingDate(S256,_xll.qlRateHelperEarliestDate(M256,Trigger),)</f>
        <v>#VALUE!</v>
      </c>
      <c r="P256" s="120" t="e">
        <f>_xll.qlRateHelperQuoteValue(M256,_xll.ohTrigger(RecalcTrigger,YieldCurve))</f>
        <v>#NUM!</v>
      </c>
      <c r="Q256" s="123" t="e">
        <f t="shared" si="26"/>
        <v>#NUM!</v>
      </c>
      <c r="R256" s="123">
        <v>2</v>
      </c>
      <c r="S256" s="123" t="e">
        <f>_xll.qlSwapIndex(,"Euribor",Q256,NDays,Currency,Calendar,"1Y","mf","30/360 (Bond Basis)",IborIndex,Discounting,,_xll.ohTrigger(Trigger,RecalcTrigger))</f>
        <v>#VALUE!</v>
      </c>
      <c r="T256" s="123" t="e">
        <f>_xll.qlVanillaSwapFromSwapIndex(,S256,O256)</f>
        <v>#VALUE!</v>
      </c>
      <c r="U256" s="110" t="e">
        <f>_xll.qlVanillaSwapFairRate(T256)</f>
        <v>#VALUE!</v>
      </c>
      <c r="V256" s="206" t="e">
        <f t="shared" si="23"/>
        <v>#VALUE!</v>
      </c>
      <c r="Y256" s="105" t="str">
        <f t="shared" si="24"/>
        <v>1D</v>
      </c>
      <c r="Z256" s="93">
        <f>_xll.qlCalendarAdvance(Calendar,Z255,Y256,"f",FALSE)</f>
        <v>42522</v>
      </c>
      <c r="AA256" s="117">
        <f>_xll.qlCalendarAdvance(Calendar,Z256,NDays&amp;"D")</f>
        <v>42524</v>
      </c>
      <c r="AB256" s="92">
        <v>1.2136380376890897E-3</v>
      </c>
      <c r="AC256" s="101">
        <v>9.9087731166846993E-4</v>
      </c>
    </row>
    <row r="257" spans="13:29" ht="12" thickBot="1" x14ac:dyDescent="0.25">
      <c r="M257" s="210">
        <f>RateHelpers!B246</f>
        <v>0</v>
      </c>
      <c r="N257" s="106" t="e">
        <f>_xll.qlRateHelperQuoteName(M257)</f>
        <v>#NUM!</v>
      </c>
      <c r="O257" s="103" t="e">
        <f>_xll.qlInterestRateIndexFixingDate(S257,_xll.qlRateHelperEarliestDate(M257,Trigger),)</f>
        <v>#VALUE!</v>
      </c>
      <c r="P257" s="121" t="e">
        <f>_xll.qlRateHelperQuoteValue(M257,_xll.ohTrigger(RecalcTrigger,YieldCurve))</f>
        <v>#NUM!</v>
      </c>
      <c r="Q257" s="124" t="e">
        <f t="shared" si="26"/>
        <v>#NUM!</v>
      </c>
      <c r="R257" s="124">
        <v>2</v>
      </c>
      <c r="S257" s="124" t="e">
        <f>_xll.qlSwapIndex(,"Euribor",Q257,NDays,Currency,Calendar,"1Y","mf","30/360 (Bond Basis)",IborIndex,Discounting,,_xll.ohTrigger(Trigger,RecalcTrigger))</f>
        <v>#VALUE!</v>
      </c>
      <c r="T257" s="124" t="e">
        <f>_xll.qlVanillaSwapFromSwapIndex(,S257,O257)</f>
        <v>#VALUE!</v>
      </c>
      <c r="U257" s="112" t="e">
        <f>_xll.qlVanillaSwapFairRate(T257)</f>
        <v>#VALUE!</v>
      </c>
      <c r="V257" s="207" t="e">
        <f t="shared" si="23"/>
        <v>#VALUE!</v>
      </c>
      <c r="Y257" s="105" t="str">
        <f t="shared" si="24"/>
        <v>1D</v>
      </c>
      <c r="Z257" s="93">
        <f>_xll.qlCalendarAdvance(Calendar,Z256,Y257,"f",FALSE)</f>
        <v>42523</v>
      </c>
      <c r="AA257" s="117">
        <f>_xll.qlCalendarAdvance(Calendar,Z257,NDays&amp;"D")</f>
        <v>42527</v>
      </c>
      <c r="AB257" s="92">
        <v>1.2181839952188675E-3</v>
      </c>
      <c r="AC257" s="101">
        <v>9.8948339090298987E-4</v>
      </c>
    </row>
    <row r="258" spans="13:29" x14ac:dyDescent="0.2">
      <c r="M258" s="211">
        <f>RateHelpers!B247</f>
        <v>0</v>
      </c>
      <c r="N258" s="195" t="e">
        <f>_xll.qlRateHelperQuoteName(M258)</f>
        <v>#NUM!</v>
      </c>
      <c r="O258" s="192" t="e">
        <f>_xll.qlInterestRateIndexFixingDate(S258,_xll.qlRateHelperEarliestDate(M258,Trigger),)</f>
        <v>#VALUE!</v>
      </c>
      <c r="P258" s="193" t="e">
        <f>_xll.qlRateHelperQuoteValue(M258,_xll.ohTrigger(RecalcTrigger,YieldCurve))</f>
        <v>#NUM!</v>
      </c>
      <c r="Q258" s="191" t="e">
        <f t="shared" ref="Q258:Q275" si="27">SUBSTITUTE(SUBSTITUTE(N258,"_Quote",""),"EUR11F","")</f>
        <v>#NUM!</v>
      </c>
      <c r="R258" s="191">
        <v>2</v>
      </c>
      <c r="S258" s="191" t="e">
        <f>_xll.qlSwapIndex(,"Euribor",Q258,NDays,Currency,Calendar,"1Y","mf","30/360 (Bond Basis)",IborIndex,Discounting,,_xll.ohTrigger(Trigger,RecalcTrigger))</f>
        <v>#VALUE!</v>
      </c>
      <c r="T258" s="191" t="e">
        <f>_xll.qlVanillaSwapFromSwapIndex(,S258,O258)</f>
        <v>#VALUE!</v>
      </c>
      <c r="U258" s="194" t="e">
        <f>_xll.qlVanillaSwapFairRate(T258)</f>
        <v>#VALUE!</v>
      </c>
      <c r="V258" s="208" t="e">
        <f t="shared" si="23"/>
        <v>#VALUE!</v>
      </c>
      <c r="Y258" s="105" t="str">
        <f t="shared" si="24"/>
        <v>1D</v>
      </c>
      <c r="Z258" s="93">
        <f>_xll.qlCalendarAdvance(Calendar,Z257,Y258,"f",FALSE)</f>
        <v>42524</v>
      </c>
      <c r="AA258" s="117">
        <f>_xll.qlCalendarAdvance(Calendar,Z258,NDays&amp;"D")</f>
        <v>42528</v>
      </c>
      <c r="AB258" s="92">
        <v>1.2203618874124509E-3</v>
      </c>
      <c r="AC258" s="101">
        <v>9.9041615221118207E-4</v>
      </c>
    </row>
    <row r="259" spans="13:29" x14ac:dyDescent="0.2">
      <c r="M259" s="209">
        <f>RateHelpers!B248</f>
        <v>0</v>
      </c>
      <c r="N259" s="105" t="e">
        <f>_xll.qlRateHelperQuoteName(M259)</f>
        <v>#NUM!</v>
      </c>
      <c r="O259" s="93" t="e">
        <f>_xll.qlInterestRateIndexFixingDate(S259,_xll.qlRateHelperEarliestDate(M259,Trigger),)</f>
        <v>#VALUE!</v>
      </c>
      <c r="P259" s="120" t="e">
        <f>_xll.qlRateHelperQuoteValue(M259,_xll.ohTrigger(RecalcTrigger,YieldCurve))</f>
        <v>#NUM!</v>
      </c>
      <c r="Q259" s="123" t="e">
        <f t="shared" si="27"/>
        <v>#NUM!</v>
      </c>
      <c r="R259" s="123">
        <v>2</v>
      </c>
      <c r="S259" s="123" t="e">
        <f>_xll.qlSwapIndex(,"Euribor",Q259,NDays,Currency,Calendar,"1Y","mf","30/360 (Bond Basis)",IborIndex,Discounting,,_xll.ohTrigger(Trigger,RecalcTrigger))</f>
        <v>#VALUE!</v>
      </c>
      <c r="T259" s="123" t="e">
        <f>_xll.qlVanillaSwapFromSwapIndex(,S259,O259)</f>
        <v>#VALUE!</v>
      </c>
      <c r="U259" s="110" t="e">
        <f>_xll.qlVanillaSwapFairRate(T259)</f>
        <v>#VALUE!</v>
      </c>
      <c r="V259" s="206" t="e">
        <f t="shared" si="23"/>
        <v>#VALUE!</v>
      </c>
      <c r="Y259" s="105" t="str">
        <f t="shared" si="24"/>
        <v>1D</v>
      </c>
      <c r="Z259" s="93">
        <f>_xll.qlCalendarAdvance(Calendar,Z258,Y259,"f",FALSE)</f>
        <v>42527</v>
      </c>
      <c r="AA259" s="117">
        <f>_xll.qlCalendarAdvance(Calendar,Z259,NDays&amp;"D")</f>
        <v>42529</v>
      </c>
      <c r="AB259" s="92">
        <v>1.2225918900221257E-3</v>
      </c>
      <c r="AC259" s="101">
        <v>9.9232592838838229E-4</v>
      </c>
    </row>
    <row r="260" spans="13:29" x14ac:dyDescent="0.2">
      <c r="M260" s="209">
        <f>RateHelpers!B249</f>
        <v>0</v>
      </c>
      <c r="N260" s="105" t="e">
        <f>_xll.qlRateHelperQuoteName(M260)</f>
        <v>#NUM!</v>
      </c>
      <c r="O260" s="93" t="e">
        <f>_xll.qlInterestRateIndexFixingDate(S260,_xll.qlRateHelperEarliestDate(M260,Trigger),)</f>
        <v>#VALUE!</v>
      </c>
      <c r="P260" s="120" t="e">
        <f>_xll.qlRateHelperQuoteValue(M260,_xll.ohTrigger(RecalcTrigger,YieldCurve))</f>
        <v>#NUM!</v>
      </c>
      <c r="Q260" s="123" t="e">
        <f t="shared" si="27"/>
        <v>#NUM!</v>
      </c>
      <c r="R260" s="123">
        <v>2</v>
      </c>
      <c r="S260" s="123" t="e">
        <f>_xll.qlSwapIndex(,"Euribor",Q260,NDays,Currency,Calendar,"1Y","mf","30/360 (Bond Basis)",IborIndex,Discounting,,_xll.ohTrigger(Trigger,RecalcTrigger))</f>
        <v>#VALUE!</v>
      </c>
      <c r="T260" s="123" t="e">
        <f>_xll.qlVanillaSwapFromSwapIndex(,S260,O260)</f>
        <v>#VALUE!</v>
      </c>
      <c r="U260" s="110" t="e">
        <f>_xll.qlVanillaSwapFairRate(T260)</f>
        <v>#VALUE!</v>
      </c>
      <c r="V260" s="206" t="e">
        <f t="shared" si="23"/>
        <v>#VALUE!</v>
      </c>
      <c r="Y260" s="105" t="str">
        <f t="shared" si="24"/>
        <v>1D</v>
      </c>
      <c r="Z260" s="93">
        <f>_xll.qlCalendarAdvance(Calendar,Z259,Y260,"f",FALSE)</f>
        <v>42528</v>
      </c>
      <c r="AA260" s="117">
        <f>_xll.qlCalendarAdvance(Calendar,Z260,NDays&amp;"D")</f>
        <v>42530</v>
      </c>
      <c r="AB260" s="92">
        <v>1.2248736795829216E-3</v>
      </c>
      <c r="AC260" s="101">
        <v>9.9521271951452661E-4</v>
      </c>
    </row>
    <row r="261" spans="13:29" x14ac:dyDescent="0.2">
      <c r="M261" s="209">
        <f>RateHelpers!B250</f>
        <v>0</v>
      </c>
      <c r="N261" s="105" t="e">
        <f>_xll.qlRateHelperQuoteName(M261)</f>
        <v>#NUM!</v>
      </c>
      <c r="O261" s="93" t="e">
        <f>_xll.qlInterestRateIndexFixingDate(S261,_xll.qlRateHelperEarliestDate(M261,Trigger),)</f>
        <v>#VALUE!</v>
      </c>
      <c r="P261" s="120" t="e">
        <f>_xll.qlRateHelperQuoteValue(M261,_xll.ohTrigger(RecalcTrigger,YieldCurve))</f>
        <v>#NUM!</v>
      </c>
      <c r="Q261" s="123" t="e">
        <f t="shared" si="27"/>
        <v>#NUM!</v>
      </c>
      <c r="R261" s="123">
        <v>2</v>
      </c>
      <c r="S261" s="123" t="e">
        <f>_xll.qlSwapIndex(,"Euribor",Q261,NDays,Currency,Calendar,"1Y","mf","30/360 (Bond Basis)",IborIndex,Discounting,,_xll.ohTrigger(Trigger,RecalcTrigger))</f>
        <v>#VALUE!</v>
      </c>
      <c r="T261" s="123" t="e">
        <f>_xll.qlVanillaSwapFromSwapIndex(,S261,O261)</f>
        <v>#VALUE!</v>
      </c>
      <c r="U261" s="110" t="e">
        <f>_xll.qlVanillaSwapFairRate(T261)</f>
        <v>#VALUE!</v>
      </c>
      <c r="V261" s="206" t="e">
        <f t="shared" si="23"/>
        <v>#VALUE!</v>
      </c>
      <c r="Y261" s="105" t="str">
        <f t="shared" si="24"/>
        <v>1D</v>
      </c>
      <c r="Z261" s="93">
        <f>_xll.qlCalendarAdvance(Calendar,Z260,Y261,"f",FALSE)</f>
        <v>42529</v>
      </c>
      <c r="AA261" s="117">
        <f>_xll.qlCalendarAdvance(Calendar,Z261,NDays&amp;"D")</f>
        <v>42531</v>
      </c>
      <c r="AB261" s="92">
        <v>1.2295411192736743E-3</v>
      </c>
      <c r="AC261" s="101">
        <v>1.004245819302696E-3</v>
      </c>
    </row>
    <row r="262" spans="13:29" x14ac:dyDescent="0.2">
      <c r="M262" s="209">
        <f>RateHelpers!B251</f>
        <v>0</v>
      </c>
      <c r="N262" s="105" t="e">
        <f>_xll.qlRateHelperQuoteName(M262)</f>
        <v>#NUM!</v>
      </c>
      <c r="O262" s="93" t="e">
        <f>_xll.qlInterestRateIndexFixingDate(S262,_xll.qlRateHelperEarliestDate(M262,Trigger),)</f>
        <v>#VALUE!</v>
      </c>
      <c r="P262" s="120" t="e">
        <f>_xll.qlRateHelperQuoteValue(M262,_xll.ohTrigger(RecalcTrigger,YieldCurve))</f>
        <v>#NUM!</v>
      </c>
      <c r="Q262" s="123" t="e">
        <f t="shared" si="27"/>
        <v>#NUM!</v>
      </c>
      <c r="R262" s="123">
        <v>2</v>
      </c>
      <c r="S262" s="123" t="e">
        <f>_xll.qlSwapIndex(,"Euribor",Q262,NDays,Currency,Calendar,"1Y","mf","30/360 (Bond Basis)",IborIndex,Discounting,,_xll.ohTrigger(Trigger,RecalcTrigger))</f>
        <v>#VALUE!</v>
      </c>
      <c r="T262" s="123" t="e">
        <f>_xll.qlVanillaSwapFromSwapIndex(,S262,O262)</f>
        <v>#VALUE!</v>
      </c>
      <c r="U262" s="110" t="e">
        <f>_xll.qlVanillaSwapFairRate(T262)</f>
        <v>#VALUE!</v>
      </c>
      <c r="V262" s="206" t="e">
        <f t="shared" si="23"/>
        <v>#VALUE!</v>
      </c>
      <c r="Y262" s="105" t="str">
        <f t="shared" si="24"/>
        <v>1D</v>
      </c>
      <c r="Z262" s="93">
        <f>_xll.qlCalendarAdvance(Calendar,Z261,Y262,"f",FALSE)</f>
        <v>42530</v>
      </c>
      <c r="AA262" s="117">
        <f>_xll.qlCalendarAdvance(Calendar,Z262,NDays&amp;"D")</f>
        <v>42534</v>
      </c>
      <c r="AB262" s="92">
        <v>1.2345122381248251E-3</v>
      </c>
      <c r="AC262" s="101">
        <v>1.0165300328690563E-3</v>
      </c>
    </row>
    <row r="263" spans="13:29" x14ac:dyDescent="0.2">
      <c r="M263" s="209">
        <f>RateHelpers!B252</f>
        <v>0</v>
      </c>
      <c r="N263" s="105" t="e">
        <f>_xll.qlRateHelperQuoteName(M263)</f>
        <v>#NUM!</v>
      </c>
      <c r="O263" s="93" t="e">
        <f>_xll.qlInterestRateIndexFixingDate(S263,_xll.qlRateHelperEarliestDate(M263,Trigger),)</f>
        <v>#VALUE!</v>
      </c>
      <c r="P263" s="120" t="e">
        <f>_xll.qlRateHelperQuoteValue(M263,_xll.ohTrigger(RecalcTrigger,YieldCurve))</f>
        <v>#NUM!</v>
      </c>
      <c r="Q263" s="123" t="e">
        <f t="shared" si="27"/>
        <v>#NUM!</v>
      </c>
      <c r="R263" s="123">
        <v>2</v>
      </c>
      <c r="S263" s="123" t="e">
        <f>_xll.qlSwapIndex(,"Euribor",Q263,NDays,Currency,Calendar,"1Y","mf","30/360 (Bond Basis)",IborIndex,Discounting,,_xll.ohTrigger(Trigger,RecalcTrigger))</f>
        <v>#VALUE!</v>
      </c>
      <c r="T263" s="123" t="e">
        <f>_xll.qlVanillaSwapFromSwapIndex(,S263,O263)</f>
        <v>#VALUE!</v>
      </c>
      <c r="U263" s="110" t="e">
        <f>_xll.qlVanillaSwapFairRate(T263)</f>
        <v>#VALUE!</v>
      </c>
      <c r="V263" s="206" t="e">
        <f t="shared" si="23"/>
        <v>#VALUE!</v>
      </c>
      <c r="Y263" s="105" t="str">
        <f t="shared" si="24"/>
        <v>1D</v>
      </c>
      <c r="Z263" s="93">
        <f>_xll.qlCalendarAdvance(Calendar,Z262,Y263,"f",FALSE)</f>
        <v>42531</v>
      </c>
      <c r="AA263" s="117">
        <f>_xll.qlCalendarAdvance(Calendar,Z263,NDays&amp;"D")</f>
        <v>42535</v>
      </c>
      <c r="AB263" s="92">
        <v>1.2370481105535903E-3</v>
      </c>
      <c r="AC263" s="101">
        <v>1.0243018987399211E-3</v>
      </c>
    </row>
    <row r="264" spans="13:29" x14ac:dyDescent="0.2">
      <c r="M264" s="209">
        <f>RateHelpers!B253</f>
        <v>0</v>
      </c>
      <c r="N264" s="105" t="e">
        <f>_xll.qlRateHelperQuoteName(M264)</f>
        <v>#NUM!</v>
      </c>
      <c r="O264" s="93" t="e">
        <f>_xll.qlInterestRateIndexFixingDate(S264,_xll.qlRateHelperEarliestDate(M264,Trigger),)</f>
        <v>#VALUE!</v>
      </c>
      <c r="P264" s="120" t="e">
        <f>_xll.qlRateHelperQuoteValue(M264,_xll.ohTrigger(RecalcTrigger,YieldCurve))</f>
        <v>#NUM!</v>
      </c>
      <c r="Q264" s="123" t="e">
        <f t="shared" si="27"/>
        <v>#NUM!</v>
      </c>
      <c r="R264" s="123">
        <v>2</v>
      </c>
      <c r="S264" s="123" t="e">
        <f>_xll.qlSwapIndex(,"Euribor",Q264,NDays,Currency,Calendar,"1Y","mf","30/360 (Bond Basis)",IborIndex,Discounting,,_xll.ohTrigger(Trigger,RecalcTrigger))</f>
        <v>#VALUE!</v>
      </c>
      <c r="T264" s="123" t="e">
        <f>_xll.qlVanillaSwapFromSwapIndex(,S264,O264)</f>
        <v>#VALUE!</v>
      </c>
      <c r="U264" s="110" t="e">
        <f>_xll.qlVanillaSwapFairRate(T264)</f>
        <v>#VALUE!</v>
      </c>
      <c r="V264" s="206" t="e">
        <f t="shared" si="23"/>
        <v>#VALUE!</v>
      </c>
      <c r="Y264" s="105" t="str">
        <f t="shared" si="24"/>
        <v>1D</v>
      </c>
      <c r="Z264" s="93">
        <f>_xll.qlCalendarAdvance(Calendar,Z263,Y264,"f",FALSE)</f>
        <v>42534</v>
      </c>
      <c r="AA264" s="117">
        <f>_xll.qlCalendarAdvance(Calendar,Z264,NDays&amp;"D")</f>
        <v>42536</v>
      </c>
      <c r="AB264" s="92">
        <v>1.2396338291947588E-3</v>
      </c>
      <c r="AC264" s="101">
        <v>1.0330507797995381E-3</v>
      </c>
    </row>
    <row r="265" spans="13:29" x14ac:dyDescent="0.2">
      <c r="M265" s="209">
        <f>RateHelpers!B254</f>
        <v>0</v>
      </c>
      <c r="N265" s="105" t="e">
        <f>_xll.qlRateHelperQuoteName(M265)</f>
        <v>#NUM!</v>
      </c>
      <c r="O265" s="93" t="e">
        <f>_xll.qlInterestRateIndexFixingDate(S265,_xll.qlRateHelperEarliestDate(M265,Trigger),)</f>
        <v>#VALUE!</v>
      </c>
      <c r="P265" s="120" t="e">
        <f>_xll.qlRateHelperQuoteValue(M265,_xll.ohTrigger(RecalcTrigger,YieldCurve))</f>
        <v>#NUM!</v>
      </c>
      <c r="Q265" s="123" t="e">
        <f t="shared" si="27"/>
        <v>#NUM!</v>
      </c>
      <c r="R265" s="123">
        <v>2</v>
      </c>
      <c r="S265" s="123" t="e">
        <f>_xll.qlSwapIndex(,"Euribor",Q265,NDays,Currency,Calendar,"1Y","mf","30/360 (Bond Basis)",IborIndex,Discounting,,_xll.ohTrigger(Trigger,RecalcTrigger))</f>
        <v>#VALUE!</v>
      </c>
      <c r="T265" s="123" t="e">
        <f>_xll.qlVanillaSwapFromSwapIndex(,S265,O265)</f>
        <v>#VALUE!</v>
      </c>
      <c r="U265" s="110" t="e">
        <f>_xll.qlVanillaSwapFairRate(T265)</f>
        <v>#VALUE!</v>
      </c>
      <c r="V265" s="206" t="e">
        <f t="shared" si="23"/>
        <v>#VALUE!</v>
      </c>
      <c r="Y265" s="105" t="str">
        <f t="shared" si="24"/>
        <v>1D</v>
      </c>
      <c r="Z265" s="93">
        <f>_xll.qlCalendarAdvance(Calendar,Z264,Y265,"f",FALSE)</f>
        <v>42535</v>
      </c>
      <c r="AA265" s="117">
        <f>_xll.qlCalendarAdvance(Calendar,Z265,NDays&amp;"D")</f>
        <v>42537</v>
      </c>
      <c r="AB265" s="92">
        <v>1.242269070600396E-3</v>
      </c>
      <c r="AC265" s="101">
        <v>1.0427766759679713E-3</v>
      </c>
    </row>
    <row r="266" spans="13:29" x14ac:dyDescent="0.2">
      <c r="M266" s="209">
        <f>RateHelpers!B255</f>
        <v>0</v>
      </c>
      <c r="N266" s="105" t="e">
        <f>_xll.qlRateHelperQuoteName(M266)</f>
        <v>#NUM!</v>
      </c>
      <c r="O266" s="93" t="e">
        <f>_xll.qlInterestRateIndexFixingDate(S266,_xll.qlRateHelperEarliestDate(M266,Trigger),)</f>
        <v>#VALUE!</v>
      </c>
      <c r="P266" s="120" t="e">
        <f>_xll.qlRateHelperQuoteValue(M266,_xll.ohTrigger(RecalcTrigger,YieldCurve))</f>
        <v>#NUM!</v>
      </c>
      <c r="Q266" s="123" t="e">
        <f t="shared" si="27"/>
        <v>#NUM!</v>
      </c>
      <c r="R266" s="123">
        <v>2</v>
      </c>
      <c r="S266" s="123" t="e">
        <f>_xll.qlSwapIndex(,"Euribor",Q266,NDays,Currency,Calendar,"1Y","mf","30/360 (Bond Basis)",IborIndex,Discounting,,_xll.ohTrigger(Trigger,RecalcTrigger))</f>
        <v>#VALUE!</v>
      </c>
      <c r="T266" s="123" t="e">
        <f>_xll.qlVanillaSwapFromSwapIndex(,S266,O266)</f>
        <v>#VALUE!</v>
      </c>
      <c r="U266" s="110" t="e">
        <f>_xll.qlVanillaSwapFairRate(T266)</f>
        <v>#VALUE!</v>
      </c>
      <c r="V266" s="206" t="e">
        <f t="shared" si="23"/>
        <v>#VALUE!</v>
      </c>
      <c r="Y266" s="105" t="str">
        <f t="shared" si="24"/>
        <v>1D</v>
      </c>
      <c r="Z266" s="93">
        <f>_xll.qlCalendarAdvance(Calendar,Z265,Y266,"f",FALSE)</f>
        <v>42536</v>
      </c>
      <c r="AA266" s="117">
        <f>_xll.qlCalendarAdvance(Calendar,Z266,NDays&amp;"D")</f>
        <v>42538</v>
      </c>
      <c r="AB266" s="92">
        <v>1.2484095161350447E-3</v>
      </c>
      <c r="AC266" s="101">
        <v>1.0654883394245473E-3</v>
      </c>
    </row>
    <row r="267" spans="13:29" x14ac:dyDescent="0.2">
      <c r="M267" s="209">
        <f>RateHelpers!B256</f>
        <v>0</v>
      </c>
      <c r="N267" s="105" t="e">
        <f>_xll.qlRateHelperQuoteName(M267)</f>
        <v>#NUM!</v>
      </c>
      <c r="O267" s="93" t="e">
        <f>_xll.qlInterestRateIndexFixingDate(S267,_xll.qlRateHelperEarliestDate(M267,Trigger),)</f>
        <v>#VALUE!</v>
      </c>
      <c r="P267" s="120" t="e">
        <f>_xll.qlRateHelperQuoteValue(M267,_xll.ohTrigger(RecalcTrigger,YieldCurve))</f>
        <v>#NUM!</v>
      </c>
      <c r="Q267" s="123" t="e">
        <f t="shared" si="27"/>
        <v>#NUM!</v>
      </c>
      <c r="R267" s="123">
        <v>2</v>
      </c>
      <c r="S267" s="123" t="e">
        <f>_xll.qlSwapIndex(,"Euribor",Q267,NDays,Currency,Calendar,"1Y","mf","30/360 (Bond Basis)",IborIndex,Discounting,,_xll.ohTrigger(Trigger,RecalcTrigger))</f>
        <v>#VALUE!</v>
      </c>
      <c r="T267" s="123" t="e">
        <f>_xll.qlVanillaSwapFromSwapIndex(,S267,O267)</f>
        <v>#VALUE!</v>
      </c>
      <c r="U267" s="110" t="e">
        <f>_xll.qlVanillaSwapFairRate(T267)</f>
        <v>#VALUE!</v>
      </c>
      <c r="V267" s="206" t="e">
        <f t="shared" si="23"/>
        <v>#VALUE!</v>
      </c>
      <c r="Y267" s="105" t="str">
        <f t="shared" si="24"/>
        <v>1D</v>
      </c>
      <c r="Z267" s="93">
        <f>_xll.qlCalendarAdvance(Calendar,Z266,Y267,"f",FALSE)</f>
        <v>42537</v>
      </c>
      <c r="AA267" s="117">
        <f>_xll.qlCalendarAdvance(Calendar,Z267,NDays&amp;"D")</f>
        <v>42541</v>
      </c>
      <c r="AB267" s="92">
        <v>1.2532987949604711E-3</v>
      </c>
      <c r="AC267" s="101">
        <v>1.0914504142878201E-3</v>
      </c>
    </row>
    <row r="268" spans="13:29" x14ac:dyDescent="0.2">
      <c r="M268" s="209">
        <f>RateHelpers!B257</f>
        <v>0</v>
      </c>
      <c r="N268" s="105" t="e">
        <f>_xll.qlRateHelperQuoteName(M268)</f>
        <v>#NUM!</v>
      </c>
      <c r="O268" s="93" t="e">
        <f>_xll.qlInterestRateIndexFixingDate(S268,_xll.qlRateHelperEarliestDate(M268,Trigger),)</f>
        <v>#VALUE!</v>
      </c>
      <c r="P268" s="120" t="e">
        <f>_xll.qlRateHelperQuoteValue(M268,_xll.ohTrigger(RecalcTrigger,YieldCurve))</f>
        <v>#NUM!</v>
      </c>
      <c r="Q268" s="123" t="e">
        <f t="shared" si="27"/>
        <v>#NUM!</v>
      </c>
      <c r="R268" s="123">
        <v>2</v>
      </c>
      <c r="S268" s="123" t="e">
        <f>_xll.qlSwapIndex(,"Euribor",Q268,NDays,Currency,Calendar,"1Y","mf","30/360 (Bond Basis)",IborIndex,Discounting,,_xll.ohTrigger(Trigger,RecalcTrigger))</f>
        <v>#VALUE!</v>
      </c>
      <c r="T268" s="123" t="e">
        <f>_xll.qlVanillaSwapFromSwapIndex(,S268,O268)</f>
        <v>#VALUE!</v>
      </c>
      <c r="U268" s="110" t="e">
        <f>_xll.qlVanillaSwapFairRate(T268)</f>
        <v>#VALUE!</v>
      </c>
      <c r="V268" s="206" t="e">
        <f t="shared" si="23"/>
        <v>#VALUE!</v>
      </c>
      <c r="Y268" s="105" t="str">
        <f t="shared" si="24"/>
        <v>1D</v>
      </c>
      <c r="Z268" s="93">
        <f>_xll.qlCalendarAdvance(Calendar,Z267,Y268,"f",FALSE)</f>
        <v>42538</v>
      </c>
      <c r="AA268" s="117">
        <f>_xll.qlCalendarAdvance(Calendar,Z268,NDays&amp;"D")</f>
        <v>42542</v>
      </c>
      <c r="AB268" s="92">
        <v>1.2561767985262093E-3</v>
      </c>
      <c r="AC268" s="101">
        <v>1.1060613878388637E-3</v>
      </c>
    </row>
    <row r="269" spans="13:29" x14ac:dyDescent="0.2">
      <c r="M269" s="209">
        <f>RateHelpers!B258</f>
        <v>0</v>
      </c>
      <c r="N269" s="105" t="e">
        <f>_xll.qlRateHelperQuoteName(M269)</f>
        <v>#NUM!</v>
      </c>
      <c r="O269" s="93" t="e">
        <f>_xll.qlInterestRateIndexFixingDate(S269,_xll.qlRateHelperEarliestDate(M269,Trigger),)</f>
        <v>#VALUE!</v>
      </c>
      <c r="P269" s="120" t="e">
        <f>_xll.qlRateHelperQuoteValue(M269,_xll.ohTrigger(RecalcTrigger,YieldCurve))</f>
        <v>#NUM!</v>
      </c>
      <c r="Q269" s="123" t="e">
        <f t="shared" si="27"/>
        <v>#NUM!</v>
      </c>
      <c r="R269" s="123">
        <v>2</v>
      </c>
      <c r="S269" s="123" t="e">
        <f>_xll.qlSwapIndex(,"Euribor",Q269,NDays,Currency,Calendar,"1Y","mf","30/360 (Bond Basis)",IborIndex,Discounting,,_xll.ohTrigger(Trigger,RecalcTrigger))</f>
        <v>#VALUE!</v>
      </c>
      <c r="T269" s="123" t="e">
        <f>_xll.qlVanillaSwapFromSwapIndex(,S269,O269)</f>
        <v>#VALUE!</v>
      </c>
      <c r="U269" s="110" t="e">
        <f>_xll.qlVanillaSwapFairRate(T269)</f>
        <v>#VALUE!</v>
      </c>
      <c r="V269" s="206" t="e">
        <f t="shared" si="23"/>
        <v>#VALUE!</v>
      </c>
      <c r="Y269" s="105" t="str">
        <f t="shared" si="24"/>
        <v>1D</v>
      </c>
      <c r="Z269" s="93">
        <f>_xll.qlCalendarAdvance(Calendar,Z268,Y269,"f",FALSE)</f>
        <v>42541</v>
      </c>
      <c r="AA269" s="117">
        <f>_xll.qlCalendarAdvance(Calendar,Z269,NDays&amp;"D")</f>
        <v>42543</v>
      </c>
      <c r="AB269" s="92">
        <v>1.2591023842041869E-3</v>
      </c>
      <c r="AC269" s="101">
        <v>1.1216493771382119E-3</v>
      </c>
    </row>
    <row r="270" spans="13:29" x14ac:dyDescent="0.2">
      <c r="M270" s="209">
        <f>RateHelpers!B259</f>
        <v>0</v>
      </c>
      <c r="N270" s="105" t="e">
        <f>_xll.qlRateHelperQuoteName(M270)</f>
        <v>#NUM!</v>
      </c>
      <c r="O270" s="93" t="e">
        <f>_xll.qlInterestRateIndexFixingDate(S270,_xll.qlRateHelperEarliestDate(M270,Trigger),)</f>
        <v>#VALUE!</v>
      </c>
      <c r="P270" s="120" t="e">
        <f>_xll.qlRateHelperQuoteValue(M270,_xll.ohTrigger(RecalcTrigger,YieldCurve))</f>
        <v>#NUM!</v>
      </c>
      <c r="Q270" s="123" t="e">
        <f t="shared" si="27"/>
        <v>#NUM!</v>
      </c>
      <c r="R270" s="123">
        <v>2</v>
      </c>
      <c r="S270" s="123" t="e">
        <f>_xll.qlSwapIndex(,"Euribor",Q270,NDays,Currency,Calendar,"1Y","mf","30/360 (Bond Basis)",IborIndex,Discounting,,_xll.ohTrigger(Trigger,RecalcTrigger))</f>
        <v>#VALUE!</v>
      </c>
      <c r="T270" s="123" t="e">
        <f>_xll.qlVanillaSwapFromSwapIndex(,S270,O270)</f>
        <v>#VALUE!</v>
      </c>
      <c r="U270" s="110" t="e">
        <f>_xll.qlVanillaSwapFairRate(T270)</f>
        <v>#VALUE!</v>
      </c>
      <c r="V270" s="206" t="e">
        <f t="shared" ref="V270:V333" si="28">U270-P270</f>
        <v>#VALUE!</v>
      </c>
      <c r="Y270" s="105" t="str">
        <f t="shared" si="24"/>
        <v>1D</v>
      </c>
      <c r="Z270" s="93">
        <f>_xll.qlCalendarAdvance(Calendar,Z269,Y270,"f",FALSE)</f>
        <v>42542</v>
      </c>
      <c r="AA270" s="117">
        <f>_xll.qlCalendarAdvance(Calendar,Z270,NDays&amp;"D")</f>
        <v>42544</v>
      </c>
      <c r="AB270" s="92">
        <v>1.2620752285582627E-3</v>
      </c>
      <c r="AC270" s="101">
        <v>1.1382143823457369E-3</v>
      </c>
    </row>
    <row r="271" spans="13:29" x14ac:dyDescent="0.2">
      <c r="M271" s="209">
        <f>RateHelpers!B260</f>
        <v>0</v>
      </c>
      <c r="N271" s="105" t="e">
        <f>_xll.qlRateHelperQuoteName(M271)</f>
        <v>#NUM!</v>
      </c>
      <c r="O271" s="93" t="e">
        <f>_xll.qlInterestRateIndexFixingDate(S271,_xll.qlRateHelperEarliestDate(M271,Trigger),)</f>
        <v>#VALUE!</v>
      </c>
      <c r="P271" s="120" t="e">
        <f>_xll.qlRateHelperQuoteValue(M271,_xll.ohTrigger(RecalcTrigger,YieldCurve))</f>
        <v>#NUM!</v>
      </c>
      <c r="Q271" s="123" t="e">
        <f t="shared" si="27"/>
        <v>#NUM!</v>
      </c>
      <c r="R271" s="123">
        <v>2</v>
      </c>
      <c r="S271" s="123" t="e">
        <f>_xll.qlSwapIndex(,"Euribor",Q271,NDays,Currency,Calendar,"1Y","mf","30/360 (Bond Basis)",IborIndex,Discounting,,_xll.ohTrigger(Trigger,RecalcTrigger))</f>
        <v>#VALUE!</v>
      </c>
      <c r="T271" s="123" t="e">
        <f>_xll.qlVanillaSwapFromSwapIndex(,S271,O271)</f>
        <v>#VALUE!</v>
      </c>
      <c r="U271" s="110" t="e">
        <f>_xll.qlVanillaSwapFairRate(T271)</f>
        <v>#VALUE!</v>
      </c>
      <c r="V271" s="206" t="e">
        <f t="shared" si="28"/>
        <v>#VALUE!</v>
      </c>
      <c r="Y271" s="105" t="str">
        <f t="shared" si="24"/>
        <v>1D</v>
      </c>
      <c r="Z271" s="93">
        <f>_xll.qlCalendarAdvance(Calendar,Z270,Y271,"f",FALSE)</f>
        <v>42543</v>
      </c>
      <c r="AA271" s="117">
        <f>_xll.qlCalendarAdvance(Calendar,Z271,NDays&amp;"D")</f>
        <v>42545</v>
      </c>
      <c r="AB271" s="92">
        <v>1.2728348720248935E-3</v>
      </c>
      <c r="AC271" s="101">
        <v>1.1746049453353891E-3</v>
      </c>
    </row>
    <row r="272" spans="13:29" x14ac:dyDescent="0.2">
      <c r="M272" s="209">
        <f>RateHelpers!B261</f>
        <v>0</v>
      </c>
      <c r="N272" s="105" t="e">
        <f>_xll.qlRateHelperQuoteName(M272)</f>
        <v>#NUM!</v>
      </c>
      <c r="O272" s="93" t="e">
        <f>_xll.qlInterestRateIndexFixingDate(S272,_xll.qlRateHelperEarliestDate(M272,Trigger),)</f>
        <v>#VALUE!</v>
      </c>
      <c r="P272" s="120" t="e">
        <f>_xll.qlRateHelperQuoteValue(M272,_xll.ohTrigger(RecalcTrigger,YieldCurve))</f>
        <v>#NUM!</v>
      </c>
      <c r="Q272" s="123" t="e">
        <f t="shared" si="27"/>
        <v>#NUM!</v>
      </c>
      <c r="R272" s="123">
        <v>2</v>
      </c>
      <c r="S272" s="123" t="e">
        <f>_xll.qlSwapIndex(,"Euribor",Q272,NDays,Currency,Calendar,"1Y","mf","30/360 (Bond Basis)",IborIndex,Discounting,,_xll.ohTrigger(Trigger,RecalcTrigger))</f>
        <v>#VALUE!</v>
      </c>
      <c r="T272" s="123" t="e">
        <f>_xll.qlVanillaSwapFromSwapIndex(,S272,O272)</f>
        <v>#VALUE!</v>
      </c>
      <c r="U272" s="110" t="e">
        <f>_xll.qlVanillaSwapFairRate(T272)</f>
        <v>#VALUE!</v>
      </c>
      <c r="V272" s="206" t="e">
        <f t="shared" si="28"/>
        <v>#VALUE!</v>
      </c>
      <c r="Y272" s="105" t="str">
        <f t="shared" si="24"/>
        <v>1D</v>
      </c>
      <c r="Z272" s="93">
        <f>_xll.qlCalendarAdvance(Calendar,Z271,Y272,"f",FALSE)</f>
        <v>42544</v>
      </c>
      <c r="AA272" s="117">
        <f>_xll.qlCalendarAdvance(Calendar,Z272,NDays&amp;"D")</f>
        <v>42548</v>
      </c>
      <c r="AB272" s="92">
        <v>1.2744327240673228E-3</v>
      </c>
      <c r="AC272" s="101">
        <v>1.2142445651353029E-3</v>
      </c>
    </row>
    <row r="273" spans="13:29" x14ac:dyDescent="0.2">
      <c r="M273" s="209">
        <f>RateHelpers!B262</f>
        <v>0</v>
      </c>
      <c r="N273" s="105" t="e">
        <f>_xll.qlRateHelperQuoteName(M273)</f>
        <v>#NUM!</v>
      </c>
      <c r="O273" s="93" t="e">
        <f>_xll.qlInterestRateIndexFixingDate(S273,_xll.qlRateHelperEarliestDate(M273,Trigger),)</f>
        <v>#VALUE!</v>
      </c>
      <c r="P273" s="120" t="e">
        <f>_xll.qlRateHelperQuoteValue(M273,_xll.ohTrigger(RecalcTrigger,YieldCurve))</f>
        <v>#NUM!</v>
      </c>
      <c r="Q273" s="123" t="e">
        <f t="shared" si="27"/>
        <v>#NUM!</v>
      </c>
      <c r="R273" s="123">
        <v>2</v>
      </c>
      <c r="S273" s="123" t="e">
        <f>_xll.qlSwapIndex(,"Euribor",Q273,NDays,Currency,Calendar,"1Y","mf","30/360 (Bond Basis)",IborIndex,Discounting,,_xll.ohTrigger(Trigger,RecalcTrigger))</f>
        <v>#VALUE!</v>
      </c>
      <c r="T273" s="123" t="e">
        <f>_xll.qlVanillaSwapFromSwapIndex(,S273,O273)</f>
        <v>#VALUE!</v>
      </c>
      <c r="U273" s="110" t="e">
        <f>_xll.qlVanillaSwapFairRate(T273)</f>
        <v>#VALUE!</v>
      </c>
      <c r="V273" s="206" t="e">
        <f t="shared" si="28"/>
        <v>#VALUE!</v>
      </c>
      <c r="Y273" s="105" t="str">
        <f t="shared" si="24"/>
        <v>1D</v>
      </c>
      <c r="Z273" s="93">
        <f>_xll.qlCalendarAdvance(Calendar,Z272,Y273,"f",FALSE)</f>
        <v>42545</v>
      </c>
      <c r="AA273" s="117">
        <f>_xll.qlCalendarAdvance(Calendar,Z273,NDays&amp;"D")</f>
        <v>42549</v>
      </c>
      <c r="AB273" s="92">
        <v>1.2776370103104401E-3</v>
      </c>
      <c r="AC273" s="101">
        <v>1.2356946521219214E-3</v>
      </c>
    </row>
    <row r="274" spans="13:29" x14ac:dyDescent="0.2">
      <c r="M274" s="209">
        <f>RateHelpers!B263</f>
        <v>0</v>
      </c>
      <c r="N274" s="105" t="e">
        <f>_xll.qlRateHelperQuoteName(M274)</f>
        <v>#NUM!</v>
      </c>
      <c r="O274" s="93" t="e">
        <f>_xll.qlInterestRateIndexFixingDate(S274,_xll.qlRateHelperEarliestDate(M274,Trigger),)</f>
        <v>#VALUE!</v>
      </c>
      <c r="P274" s="120" t="e">
        <f>_xll.qlRateHelperQuoteValue(M274,_xll.ohTrigger(RecalcTrigger,YieldCurve))</f>
        <v>#NUM!</v>
      </c>
      <c r="Q274" s="123" t="e">
        <f t="shared" si="27"/>
        <v>#NUM!</v>
      </c>
      <c r="R274" s="123">
        <v>2</v>
      </c>
      <c r="S274" s="123" t="e">
        <f>_xll.qlSwapIndex(,"Euribor",Q274,NDays,Currency,Calendar,"1Y","mf","30/360 (Bond Basis)",IborIndex,Discounting,,_xll.ohTrigger(Trigger,RecalcTrigger))</f>
        <v>#VALUE!</v>
      </c>
      <c r="T274" s="123" t="e">
        <f>_xll.qlVanillaSwapFromSwapIndex(,S274,O274)</f>
        <v>#VALUE!</v>
      </c>
      <c r="U274" s="110" t="e">
        <f>_xll.qlVanillaSwapFairRate(T274)</f>
        <v>#VALUE!</v>
      </c>
      <c r="V274" s="206" t="e">
        <f t="shared" si="28"/>
        <v>#VALUE!</v>
      </c>
      <c r="Y274" s="105" t="str">
        <f t="shared" si="24"/>
        <v>1D</v>
      </c>
      <c r="Z274" s="93">
        <f>_xll.qlCalendarAdvance(Calendar,Z273,Y274,"f",FALSE)</f>
        <v>42548</v>
      </c>
      <c r="AA274" s="117">
        <f>_xll.qlCalendarAdvance(Calendar,Z274,NDays&amp;"D")</f>
        <v>42550</v>
      </c>
      <c r="AB274" s="92">
        <v>1.2808866146416375E-3</v>
      </c>
      <c r="AC274" s="101">
        <v>1.2581217559759494E-3</v>
      </c>
    </row>
    <row r="275" spans="13:29" ht="12" thickBot="1" x14ac:dyDescent="0.25">
      <c r="M275" s="210">
        <f>RateHelpers!B264</f>
        <v>0</v>
      </c>
      <c r="N275" s="106" t="e">
        <f>_xll.qlRateHelperQuoteName(M275)</f>
        <v>#NUM!</v>
      </c>
      <c r="O275" s="103" t="e">
        <f>_xll.qlInterestRateIndexFixingDate(S275,_xll.qlRateHelperEarliestDate(M275,Trigger),)</f>
        <v>#VALUE!</v>
      </c>
      <c r="P275" s="121" t="e">
        <f>_xll.qlRateHelperQuoteValue(M275,_xll.ohTrigger(RecalcTrigger,YieldCurve))</f>
        <v>#NUM!</v>
      </c>
      <c r="Q275" s="124" t="e">
        <f t="shared" si="27"/>
        <v>#NUM!</v>
      </c>
      <c r="R275" s="124">
        <v>2</v>
      </c>
      <c r="S275" s="124" t="e">
        <f>_xll.qlSwapIndex(,"Euribor",Q275,NDays,Currency,Calendar,"1Y","mf","30/360 (Bond Basis)",IborIndex,Discounting,,_xll.ohTrigger(Trigger,RecalcTrigger))</f>
        <v>#VALUE!</v>
      </c>
      <c r="T275" s="124" t="e">
        <f>_xll.qlVanillaSwapFromSwapIndex(,S275,O275)</f>
        <v>#VALUE!</v>
      </c>
      <c r="U275" s="112" t="e">
        <f>_xll.qlVanillaSwapFairRate(T275)</f>
        <v>#VALUE!</v>
      </c>
      <c r="V275" s="207" t="e">
        <f t="shared" si="28"/>
        <v>#VALUE!</v>
      </c>
      <c r="Y275" s="105" t="str">
        <f t="shared" si="24"/>
        <v>1D</v>
      </c>
      <c r="Z275" s="93">
        <f>_xll.qlCalendarAdvance(Calendar,Z274,Y275,"f",FALSE)</f>
        <v>42549</v>
      </c>
      <c r="AA275" s="117">
        <f>_xll.qlCalendarAdvance(Calendar,Z275,NDays&amp;"D")</f>
        <v>42551</v>
      </c>
      <c r="AB275" s="92">
        <v>1.2841812136330729E-3</v>
      </c>
      <c r="AC275" s="101">
        <v>1.281525876777323E-3</v>
      </c>
    </row>
    <row r="276" spans="13:29" x14ac:dyDescent="0.2">
      <c r="M276" s="211">
        <f>RateHelpers!B265</f>
        <v>0</v>
      </c>
      <c r="N276" s="195" t="e">
        <f>_xll.qlRateHelperQuoteName(M276)</f>
        <v>#NUM!</v>
      </c>
      <c r="O276" s="192" t="e">
        <f>_xll.qlInterestRateIndexFixingDate(S276,_xll.qlRateHelperEarliestDate(M276,Trigger),)</f>
        <v>#VALUE!</v>
      </c>
      <c r="P276" s="193" t="e">
        <f>_xll.qlRateHelperQuoteValue(M276,_xll.ohTrigger(RecalcTrigger,YieldCurve))</f>
        <v>#NUM!</v>
      </c>
      <c r="Q276" s="191" t="e">
        <f t="shared" ref="Q276:Q293" si="29">SUBSTITUTE(SUBSTITUTE(N276,"_Quote",""),"EUR12F","")</f>
        <v>#NUM!</v>
      </c>
      <c r="R276" s="191">
        <v>2</v>
      </c>
      <c r="S276" s="191" t="e">
        <f>_xll.qlSwapIndex(,"Euribor",Q276,NDays,Currency,Calendar,"1Y","mf","30/360 (Bond Basis)",IborIndex,Discounting,,_xll.ohTrigger(Trigger,RecalcTrigger))</f>
        <v>#VALUE!</v>
      </c>
      <c r="T276" s="191" t="e">
        <f>_xll.qlVanillaSwapFromSwapIndex(,S276,O276)</f>
        <v>#VALUE!</v>
      </c>
      <c r="U276" s="194" t="e">
        <f>_xll.qlVanillaSwapFairRate(T276)</f>
        <v>#VALUE!</v>
      </c>
      <c r="V276" s="208" t="e">
        <f t="shared" si="28"/>
        <v>#VALUE!</v>
      </c>
      <c r="Y276" s="105" t="str">
        <f t="shared" si="24"/>
        <v>1D</v>
      </c>
      <c r="Z276" s="93">
        <f>_xll.qlCalendarAdvance(Calendar,Z275,Y276,"f",FALSE)</f>
        <v>42550</v>
      </c>
      <c r="AA276" s="117">
        <f>_xll.qlCalendarAdvance(Calendar,Z276,NDays&amp;"D")</f>
        <v>42552</v>
      </c>
      <c r="AB276" s="92">
        <v>1.3027818033525174E-3</v>
      </c>
      <c r="AC276" s="101">
        <v>1.3315957675974488E-3</v>
      </c>
    </row>
    <row r="277" spans="13:29" x14ac:dyDescent="0.2">
      <c r="M277" s="209">
        <f>RateHelpers!B266</f>
        <v>0</v>
      </c>
      <c r="N277" s="105" t="e">
        <f>_xll.qlRateHelperQuoteName(M277)</f>
        <v>#NUM!</v>
      </c>
      <c r="O277" s="93" t="e">
        <f>_xll.qlInterestRateIndexFixingDate(S277,_xll.qlRateHelperEarliestDate(M277,Trigger),)</f>
        <v>#VALUE!</v>
      </c>
      <c r="P277" s="120" t="e">
        <f>_xll.qlRateHelperQuoteValue(M277,_xll.ohTrigger(RecalcTrigger,YieldCurve))</f>
        <v>#NUM!</v>
      </c>
      <c r="Q277" s="123" t="e">
        <f t="shared" si="29"/>
        <v>#NUM!</v>
      </c>
      <c r="R277" s="123">
        <v>2</v>
      </c>
      <c r="S277" s="123" t="e">
        <f>_xll.qlSwapIndex(,"Euribor",Q277,NDays,Currency,Calendar,"1Y","mf","30/360 (Bond Basis)",IborIndex,Discounting,,_xll.ohTrigger(Trigger,RecalcTrigger))</f>
        <v>#VALUE!</v>
      </c>
      <c r="T277" s="123" t="e">
        <f>_xll.qlVanillaSwapFromSwapIndex(,S277,O277)</f>
        <v>#VALUE!</v>
      </c>
      <c r="U277" s="110" t="e">
        <f>_xll.qlVanillaSwapFairRate(T277)</f>
        <v>#VALUE!</v>
      </c>
      <c r="V277" s="206" t="e">
        <f t="shared" si="28"/>
        <v>#VALUE!</v>
      </c>
      <c r="Y277" s="105" t="str">
        <f t="shared" ref="Y277:Y340" si="30">Y276</f>
        <v>1D</v>
      </c>
      <c r="Z277" s="93">
        <f>_xll.qlCalendarAdvance(Calendar,Z276,Y277,"f",FALSE)</f>
        <v>42551</v>
      </c>
      <c r="AA277" s="117">
        <f>_xll.qlCalendarAdvance(Calendar,Z277,NDays&amp;"D")</f>
        <v>42555</v>
      </c>
      <c r="AB277" s="92">
        <v>1.3099999999991983E-3</v>
      </c>
      <c r="AC277" s="101">
        <v>1.384384632370228E-3</v>
      </c>
    </row>
    <row r="278" spans="13:29" x14ac:dyDescent="0.2">
      <c r="M278" s="209">
        <f>RateHelpers!B267</f>
        <v>0</v>
      </c>
      <c r="N278" s="105" t="e">
        <f>_xll.qlRateHelperQuoteName(M278)</f>
        <v>#NUM!</v>
      </c>
      <c r="O278" s="93" t="e">
        <f>_xll.qlInterestRateIndexFixingDate(S278,_xll.qlRateHelperEarliestDate(M278,Trigger),)</f>
        <v>#VALUE!</v>
      </c>
      <c r="P278" s="120" t="e">
        <f>_xll.qlRateHelperQuoteValue(M278,_xll.ohTrigger(RecalcTrigger,YieldCurve))</f>
        <v>#NUM!</v>
      </c>
      <c r="Q278" s="123" t="e">
        <f t="shared" si="29"/>
        <v>#NUM!</v>
      </c>
      <c r="R278" s="123">
        <v>2</v>
      </c>
      <c r="S278" s="123" t="e">
        <f>_xll.qlSwapIndex(,"Euribor",Q278,NDays,Currency,Calendar,"1Y","mf","30/360 (Bond Basis)",IborIndex,Discounting,,_xll.ohTrigger(Trigger,RecalcTrigger))</f>
        <v>#VALUE!</v>
      </c>
      <c r="T278" s="123" t="e">
        <f>_xll.qlVanillaSwapFromSwapIndex(,S278,O278)</f>
        <v>#VALUE!</v>
      </c>
      <c r="U278" s="110" t="e">
        <f>_xll.qlVanillaSwapFairRate(T278)</f>
        <v>#VALUE!</v>
      </c>
      <c r="V278" s="206" t="e">
        <f t="shared" si="28"/>
        <v>#VALUE!</v>
      </c>
      <c r="Y278" s="105" t="str">
        <f t="shared" si="30"/>
        <v>1D</v>
      </c>
      <c r="Z278" s="93">
        <f>_xll.qlCalendarAdvance(Calendar,Z277,Y278,"f",FALSE)</f>
        <v>42552</v>
      </c>
      <c r="AA278" s="117">
        <f>_xll.qlCalendarAdvance(Calendar,Z278,NDays&amp;"D")</f>
        <v>42556</v>
      </c>
      <c r="AB278" s="92">
        <v>1.3136916882251831E-3</v>
      </c>
      <c r="AC278" s="101">
        <v>1.4095064294927795E-3</v>
      </c>
    </row>
    <row r="279" spans="13:29" x14ac:dyDescent="0.2">
      <c r="M279" s="209">
        <f>RateHelpers!B268</f>
        <v>0</v>
      </c>
      <c r="N279" s="105" t="e">
        <f>_xll.qlRateHelperQuoteName(M279)</f>
        <v>#NUM!</v>
      </c>
      <c r="O279" s="93" t="e">
        <f>_xll.qlInterestRateIndexFixingDate(S279,_xll.qlRateHelperEarliestDate(M279,Trigger),)</f>
        <v>#VALUE!</v>
      </c>
      <c r="P279" s="120" t="e">
        <f>_xll.qlRateHelperQuoteValue(M279,_xll.ohTrigger(RecalcTrigger,YieldCurve))</f>
        <v>#NUM!</v>
      </c>
      <c r="Q279" s="123" t="e">
        <f t="shared" si="29"/>
        <v>#NUM!</v>
      </c>
      <c r="R279" s="123">
        <v>2</v>
      </c>
      <c r="S279" s="123" t="e">
        <f>_xll.qlSwapIndex(,"Euribor",Q279,NDays,Currency,Calendar,"1Y","mf","30/360 (Bond Basis)",IborIndex,Discounting,,_xll.ohTrigger(Trigger,RecalcTrigger))</f>
        <v>#VALUE!</v>
      </c>
      <c r="T279" s="123" t="e">
        <f>_xll.qlVanillaSwapFromSwapIndex(,S279,O279)</f>
        <v>#VALUE!</v>
      </c>
      <c r="U279" s="110" t="e">
        <f>_xll.qlVanillaSwapFairRate(T279)</f>
        <v>#VALUE!</v>
      </c>
      <c r="V279" s="206" t="e">
        <f t="shared" si="28"/>
        <v>#VALUE!</v>
      </c>
      <c r="Y279" s="105" t="str">
        <f t="shared" si="30"/>
        <v>1D</v>
      </c>
      <c r="Z279" s="93">
        <f>_xll.qlCalendarAdvance(Calendar,Z278,Y279,"f",FALSE)</f>
        <v>42555</v>
      </c>
      <c r="AA279" s="117">
        <f>_xll.qlCalendarAdvance(Calendar,Z279,NDays&amp;"D")</f>
        <v>42557</v>
      </c>
      <c r="AB279" s="92">
        <v>1.3174274220348699E-3</v>
      </c>
      <c r="AC279" s="101">
        <v>1.4324378324293008E-3</v>
      </c>
    </row>
    <row r="280" spans="13:29" x14ac:dyDescent="0.2">
      <c r="M280" s="209">
        <f>RateHelpers!B269</f>
        <v>0</v>
      </c>
      <c r="N280" s="105" t="e">
        <f>_xll.qlRateHelperQuoteName(M280)</f>
        <v>#NUM!</v>
      </c>
      <c r="O280" s="93" t="e">
        <f>_xll.qlInterestRateIndexFixingDate(S280,_xll.qlRateHelperEarliestDate(M280,Trigger),)</f>
        <v>#VALUE!</v>
      </c>
      <c r="P280" s="120" t="e">
        <f>_xll.qlRateHelperQuoteValue(M280,_xll.ohTrigger(RecalcTrigger,YieldCurve))</f>
        <v>#NUM!</v>
      </c>
      <c r="Q280" s="123" t="e">
        <f t="shared" si="29"/>
        <v>#NUM!</v>
      </c>
      <c r="R280" s="123">
        <v>2</v>
      </c>
      <c r="S280" s="123" t="e">
        <f>_xll.qlSwapIndex(,"Euribor",Q280,NDays,Currency,Calendar,"1Y","mf","30/360 (Bond Basis)",IborIndex,Discounting,,_xll.ohTrigger(Trigger,RecalcTrigger))</f>
        <v>#VALUE!</v>
      </c>
      <c r="T280" s="123" t="e">
        <f>_xll.qlVanillaSwapFromSwapIndex(,S280,O280)</f>
        <v>#VALUE!</v>
      </c>
      <c r="U280" s="110" t="e">
        <f>_xll.qlVanillaSwapFairRate(T280)</f>
        <v>#VALUE!</v>
      </c>
      <c r="V280" s="206" t="e">
        <f t="shared" si="28"/>
        <v>#VALUE!</v>
      </c>
      <c r="Y280" s="105" t="str">
        <f t="shared" si="30"/>
        <v>1D</v>
      </c>
      <c r="Z280" s="93">
        <f>_xll.qlCalendarAdvance(Calendar,Z279,Y280,"f",FALSE)</f>
        <v>42556</v>
      </c>
      <c r="AA280" s="117">
        <f>_xll.qlCalendarAdvance(Calendar,Z280,NDays&amp;"D")</f>
        <v>42558</v>
      </c>
      <c r="AB280" s="92">
        <v>1.330305238263299E-3</v>
      </c>
      <c r="AC280" s="101">
        <v>1.4531788406202395E-3</v>
      </c>
    </row>
    <row r="281" spans="13:29" x14ac:dyDescent="0.2">
      <c r="M281" s="209">
        <f>RateHelpers!B270</f>
        <v>0</v>
      </c>
      <c r="N281" s="105" t="e">
        <f>_xll.qlRateHelperQuoteName(M281)</f>
        <v>#NUM!</v>
      </c>
      <c r="O281" s="93" t="e">
        <f>_xll.qlInterestRateIndexFixingDate(S281,_xll.qlRateHelperEarliestDate(M281,Trigger),)</f>
        <v>#VALUE!</v>
      </c>
      <c r="P281" s="120" t="e">
        <f>_xll.qlRateHelperQuoteValue(M281,_xll.ohTrigger(RecalcTrigger,YieldCurve))</f>
        <v>#NUM!</v>
      </c>
      <c r="Q281" s="123" t="e">
        <f t="shared" si="29"/>
        <v>#NUM!</v>
      </c>
      <c r="R281" s="123">
        <v>2</v>
      </c>
      <c r="S281" s="123" t="e">
        <f>_xll.qlSwapIndex(,"Euribor",Q281,NDays,Currency,Calendar,"1Y","mf","30/360 (Bond Basis)",IborIndex,Discounting,,_xll.ohTrigger(Trigger,RecalcTrigger))</f>
        <v>#VALUE!</v>
      </c>
      <c r="T281" s="123" t="e">
        <f>_xll.qlVanillaSwapFromSwapIndex(,S281,O281)</f>
        <v>#VALUE!</v>
      </c>
      <c r="U281" s="110" t="e">
        <f>_xll.qlVanillaSwapFairRate(T281)</f>
        <v>#VALUE!</v>
      </c>
      <c r="V281" s="206" t="e">
        <f t="shared" si="28"/>
        <v>#VALUE!</v>
      </c>
      <c r="Y281" s="105" t="str">
        <f t="shared" si="30"/>
        <v>1D</v>
      </c>
      <c r="Z281" s="93">
        <f>_xll.qlCalendarAdvance(Calendar,Z280,Y281,"f",FALSE)</f>
        <v>42557</v>
      </c>
      <c r="AA281" s="117">
        <f>_xll.qlCalendarAdvance(Calendar,Z281,NDays&amp;"D")</f>
        <v>42559</v>
      </c>
      <c r="AB281" s="92">
        <v>1.329635689410916E-3</v>
      </c>
      <c r="AC281" s="101">
        <v>1.4873656848024552E-3</v>
      </c>
    </row>
    <row r="282" spans="13:29" x14ac:dyDescent="0.2">
      <c r="M282" s="209">
        <f>RateHelpers!B271</f>
        <v>0</v>
      </c>
      <c r="N282" s="105" t="e">
        <f>_xll.qlRateHelperQuoteName(M282)</f>
        <v>#NUM!</v>
      </c>
      <c r="O282" s="93" t="e">
        <f>_xll.qlInterestRateIndexFixingDate(S282,_xll.qlRateHelperEarliestDate(M282,Trigger),)</f>
        <v>#VALUE!</v>
      </c>
      <c r="P282" s="120" t="e">
        <f>_xll.qlRateHelperQuoteValue(M282,_xll.ohTrigger(RecalcTrigger,YieldCurve))</f>
        <v>#NUM!</v>
      </c>
      <c r="Q282" s="123" t="e">
        <f t="shared" si="29"/>
        <v>#NUM!</v>
      </c>
      <c r="R282" s="123">
        <v>2</v>
      </c>
      <c r="S282" s="123" t="e">
        <f>_xll.qlSwapIndex(,"Euribor",Q282,NDays,Currency,Calendar,"1Y","mf","30/360 (Bond Basis)",IborIndex,Discounting,,_xll.ohTrigger(Trigger,RecalcTrigger))</f>
        <v>#VALUE!</v>
      </c>
      <c r="T282" s="123" t="e">
        <f>_xll.qlVanillaSwapFromSwapIndex(,S282,O282)</f>
        <v>#VALUE!</v>
      </c>
      <c r="U282" s="110" t="e">
        <f>_xll.qlVanillaSwapFairRate(T282)</f>
        <v>#VALUE!</v>
      </c>
      <c r="V282" s="206" t="e">
        <f t="shared" si="28"/>
        <v>#VALUE!</v>
      </c>
      <c r="Y282" s="105" t="str">
        <f t="shared" si="30"/>
        <v>1D</v>
      </c>
      <c r="Z282" s="93">
        <f>_xll.qlCalendarAdvance(Calendar,Z281,Y282,"f",FALSE)</f>
        <v>42558</v>
      </c>
      <c r="AA282" s="117">
        <f>_xll.qlCalendarAdvance(Calendar,Z282,NDays&amp;"D")</f>
        <v>42562</v>
      </c>
      <c r="AB282" s="92">
        <v>1.3366236634165566E-3</v>
      </c>
      <c r="AC282" s="101">
        <v>1.5142389203326445E-3</v>
      </c>
    </row>
    <row r="283" spans="13:29" x14ac:dyDescent="0.2">
      <c r="M283" s="209">
        <f>RateHelpers!B272</f>
        <v>0</v>
      </c>
      <c r="N283" s="105" t="e">
        <f>_xll.qlRateHelperQuoteName(M283)</f>
        <v>#NUM!</v>
      </c>
      <c r="O283" s="93" t="e">
        <f>_xll.qlInterestRateIndexFixingDate(S283,_xll.qlRateHelperEarliestDate(M283,Trigger),)</f>
        <v>#VALUE!</v>
      </c>
      <c r="P283" s="120" t="e">
        <f>_xll.qlRateHelperQuoteValue(M283,_xll.ohTrigger(RecalcTrigger,YieldCurve))</f>
        <v>#NUM!</v>
      </c>
      <c r="Q283" s="123" t="e">
        <f t="shared" si="29"/>
        <v>#NUM!</v>
      </c>
      <c r="R283" s="123">
        <v>2</v>
      </c>
      <c r="S283" s="123" t="e">
        <f>_xll.qlSwapIndex(,"Euribor",Q283,NDays,Currency,Calendar,"1Y","mf","30/360 (Bond Basis)",IborIndex,Discounting,,_xll.ohTrigger(Trigger,RecalcTrigger))</f>
        <v>#VALUE!</v>
      </c>
      <c r="T283" s="123" t="e">
        <f>_xll.qlVanillaSwapFromSwapIndex(,S283,O283)</f>
        <v>#VALUE!</v>
      </c>
      <c r="U283" s="110" t="e">
        <f>_xll.qlVanillaSwapFairRate(T283)</f>
        <v>#VALUE!</v>
      </c>
      <c r="V283" s="206" t="e">
        <f t="shared" si="28"/>
        <v>#VALUE!</v>
      </c>
      <c r="Y283" s="105" t="str">
        <f t="shared" si="30"/>
        <v>1D</v>
      </c>
      <c r="Z283" s="93">
        <f>_xll.qlCalendarAdvance(Calendar,Z282,Y283,"f",FALSE)</f>
        <v>42559</v>
      </c>
      <c r="AA283" s="117">
        <f>_xll.qlCalendarAdvance(Calendar,Z283,NDays&amp;"D")</f>
        <v>42563</v>
      </c>
      <c r="AB283" s="92">
        <v>1.3405378034538607E-3</v>
      </c>
      <c r="AC283" s="101">
        <v>1.5240279504791232E-3</v>
      </c>
    </row>
    <row r="284" spans="13:29" x14ac:dyDescent="0.2">
      <c r="M284" s="209">
        <f>RateHelpers!B273</f>
        <v>0</v>
      </c>
      <c r="N284" s="105" t="e">
        <f>_xll.qlRateHelperQuoteName(M284)</f>
        <v>#NUM!</v>
      </c>
      <c r="O284" s="93" t="e">
        <f>_xll.qlInterestRateIndexFixingDate(S284,_xll.qlRateHelperEarliestDate(M284,Trigger),)</f>
        <v>#VALUE!</v>
      </c>
      <c r="P284" s="120" t="e">
        <f>_xll.qlRateHelperQuoteValue(M284,_xll.ohTrigger(RecalcTrigger,YieldCurve))</f>
        <v>#NUM!</v>
      </c>
      <c r="Q284" s="123" t="e">
        <f t="shared" si="29"/>
        <v>#NUM!</v>
      </c>
      <c r="R284" s="123">
        <v>2</v>
      </c>
      <c r="S284" s="123" t="e">
        <f>_xll.qlSwapIndex(,"Euribor",Q284,NDays,Currency,Calendar,"1Y","mf","30/360 (Bond Basis)",IborIndex,Discounting,,_xll.ohTrigger(Trigger,RecalcTrigger))</f>
        <v>#VALUE!</v>
      </c>
      <c r="T284" s="123" t="e">
        <f>_xll.qlVanillaSwapFromSwapIndex(,S284,O284)</f>
        <v>#VALUE!</v>
      </c>
      <c r="U284" s="110" t="e">
        <f>_xll.qlVanillaSwapFairRate(T284)</f>
        <v>#VALUE!</v>
      </c>
      <c r="V284" s="206" t="e">
        <f t="shared" si="28"/>
        <v>#VALUE!</v>
      </c>
      <c r="Y284" s="105" t="str">
        <f t="shared" si="30"/>
        <v>1D</v>
      </c>
      <c r="Z284" s="93">
        <f>_xll.qlCalendarAdvance(Calendar,Z283,Y284,"f",FALSE)</f>
        <v>42562</v>
      </c>
      <c r="AA284" s="117">
        <f>_xll.qlCalendarAdvance(Calendar,Z284,NDays&amp;"D")</f>
        <v>42564</v>
      </c>
      <c r="AB284" s="92">
        <v>1.3444673663641435E-3</v>
      </c>
      <c r="AC284" s="101">
        <v>1.5316265842812982E-3</v>
      </c>
    </row>
    <row r="285" spans="13:29" x14ac:dyDescent="0.2">
      <c r="M285" s="209">
        <f>RateHelpers!B274</f>
        <v>0</v>
      </c>
      <c r="N285" s="105" t="e">
        <f>_xll.qlRateHelperQuoteName(M285)</f>
        <v>#NUM!</v>
      </c>
      <c r="O285" s="93" t="e">
        <f>_xll.qlInterestRateIndexFixingDate(S285,_xll.qlRateHelperEarliestDate(M285,Trigger),)</f>
        <v>#VALUE!</v>
      </c>
      <c r="P285" s="120" t="e">
        <f>_xll.qlRateHelperQuoteValue(M285,_xll.ohTrigger(RecalcTrigger,YieldCurve))</f>
        <v>#NUM!</v>
      </c>
      <c r="Q285" s="123" t="e">
        <f t="shared" si="29"/>
        <v>#NUM!</v>
      </c>
      <c r="R285" s="123">
        <v>2</v>
      </c>
      <c r="S285" s="123" t="e">
        <f>_xll.qlSwapIndex(,"Euribor",Q285,NDays,Currency,Calendar,"1Y","mf","30/360 (Bond Basis)",IborIndex,Discounting,,_xll.ohTrigger(Trigger,RecalcTrigger))</f>
        <v>#VALUE!</v>
      </c>
      <c r="T285" s="123" t="e">
        <f>_xll.qlVanillaSwapFromSwapIndex(,S285,O285)</f>
        <v>#VALUE!</v>
      </c>
      <c r="U285" s="110" t="e">
        <f>_xll.qlVanillaSwapFairRate(T285)</f>
        <v>#VALUE!</v>
      </c>
      <c r="V285" s="206" t="e">
        <f t="shared" si="28"/>
        <v>#VALUE!</v>
      </c>
      <c r="Y285" s="105" t="str">
        <f t="shared" si="30"/>
        <v>1D</v>
      </c>
      <c r="Z285" s="93">
        <f>_xll.qlCalendarAdvance(Calendar,Z284,Y285,"f",FALSE)</f>
        <v>42563</v>
      </c>
      <c r="AA285" s="117">
        <f>_xll.qlCalendarAdvance(Calendar,Z285,NDays&amp;"D")</f>
        <v>42565</v>
      </c>
      <c r="AB285" s="92">
        <v>1.3582798083753001E-3</v>
      </c>
      <c r="AC285" s="101">
        <v>1.5370348217391694E-3</v>
      </c>
    </row>
    <row r="286" spans="13:29" x14ac:dyDescent="0.2">
      <c r="M286" s="209">
        <f>RateHelpers!B275</f>
        <v>0</v>
      </c>
      <c r="N286" s="105" t="e">
        <f>_xll.qlRateHelperQuoteName(M286)</f>
        <v>#NUM!</v>
      </c>
      <c r="O286" s="93" t="e">
        <f>_xll.qlInterestRateIndexFixingDate(S286,_xll.qlRateHelperEarliestDate(M286,Trigger),)</f>
        <v>#VALUE!</v>
      </c>
      <c r="P286" s="120" t="e">
        <f>_xll.qlRateHelperQuoteValue(M286,_xll.ohTrigger(RecalcTrigger,YieldCurve))</f>
        <v>#NUM!</v>
      </c>
      <c r="Q286" s="123" t="e">
        <f t="shared" si="29"/>
        <v>#NUM!</v>
      </c>
      <c r="R286" s="123">
        <v>2</v>
      </c>
      <c r="S286" s="123" t="e">
        <f>_xll.qlSwapIndex(,"Euribor",Q286,NDays,Currency,Calendar,"1Y","mf","30/360 (Bond Basis)",IborIndex,Discounting,,_xll.ohTrigger(Trigger,RecalcTrigger))</f>
        <v>#VALUE!</v>
      </c>
      <c r="T286" s="123" t="e">
        <f>_xll.qlVanillaSwapFromSwapIndex(,S286,O286)</f>
        <v>#VALUE!</v>
      </c>
      <c r="U286" s="110" t="e">
        <f>_xll.qlVanillaSwapFairRate(T286)</f>
        <v>#VALUE!</v>
      </c>
      <c r="V286" s="206" t="e">
        <f t="shared" si="28"/>
        <v>#VALUE!</v>
      </c>
      <c r="Y286" s="105" t="str">
        <f t="shared" si="30"/>
        <v>1D</v>
      </c>
      <c r="Z286" s="93">
        <f>_xll.qlCalendarAdvance(Calendar,Z285,Y286,"f",FALSE)</f>
        <v>42564</v>
      </c>
      <c r="AA286" s="117">
        <f>_xll.qlCalendarAdvance(Calendar,Z286,NDays&amp;"D")</f>
        <v>42566</v>
      </c>
      <c r="AB286" s="92">
        <v>1.3573077699782163E-3</v>
      </c>
      <c r="AC286" s="101">
        <v>1.5405565671144927E-3</v>
      </c>
    </row>
    <row r="287" spans="13:29" x14ac:dyDescent="0.2">
      <c r="M287" s="209">
        <f>RateHelpers!B276</f>
        <v>0</v>
      </c>
      <c r="N287" s="105" t="e">
        <f>_xll.qlRateHelperQuoteName(M287)</f>
        <v>#NUM!</v>
      </c>
      <c r="O287" s="93" t="e">
        <f>_xll.qlInterestRateIndexFixingDate(S287,_xll.qlRateHelperEarliestDate(M287,Trigger),)</f>
        <v>#VALUE!</v>
      </c>
      <c r="P287" s="120" t="e">
        <f>_xll.qlRateHelperQuoteValue(M287,_xll.ohTrigger(RecalcTrigger,YieldCurve))</f>
        <v>#NUM!</v>
      </c>
      <c r="Q287" s="123" t="e">
        <f t="shared" si="29"/>
        <v>#NUM!</v>
      </c>
      <c r="R287" s="123">
        <v>2</v>
      </c>
      <c r="S287" s="123" t="e">
        <f>_xll.qlSwapIndex(,"Euribor",Q287,NDays,Currency,Calendar,"1Y","mf","30/360 (Bond Basis)",IborIndex,Discounting,,_xll.ohTrigger(Trigger,RecalcTrigger))</f>
        <v>#VALUE!</v>
      </c>
      <c r="T287" s="123" t="e">
        <f>_xll.qlVanillaSwapFromSwapIndex(,S287,O287)</f>
        <v>#VALUE!</v>
      </c>
      <c r="U287" s="110" t="e">
        <f>_xll.qlVanillaSwapFairRate(T287)</f>
        <v>#VALUE!</v>
      </c>
      <c r="V287" s="206" t="e">
        <f t="shared" si="28"/>
        <v>#VALUE!</v>
      </c>
      <c r="Y287" s="105" t="str">
        <f t="shared" si="30"/>
        <v>1D</v>
      </c>
      <c r="Z287" s="93">
        <f>_xll.qlCalendarAdvance(Calendar,Z286,Y287,"f",FALSE)</f>
        <v>42565</v>
      </c>
      <c r="AA287" s="117">
        <f>_xll.qlCalendarAdvance(Calendar,Z287,NDays&amp;"D")</f>
        <v>42569</v>
      </c>
      <c r="AB287" s="92">
        <v>1.3642034049023688E-3</v>
      </c>
      <c r="AC287" s="101">
        <v>1.536763805489727E-3</v>
      </c>
    </row>
    <row r="288" spans="13:29" x14ac:dyDescent="0.2">
      <c r="M288" s="209">
        <f>RateHelpers!B277</f>
        <v>0</v>
      </c>
      <c r="N288" s="105" t="e">
        <f>_xll.qlRateHelperQuoteName(M288)</f>
        <v>#NUM!</v>
      </c>
      <c r="O288" s="93" t="e">
        <f>_xll.qlInterestRateIndexFixingDate(S288,_xll.qlRateHelperEarliestDate(M288,Trigger),)</f>
        <v>#VALUE!</v>
      </c>
      <c r="P288" s="120" t="e">
        <f>_xll.qlRateHelperQuoteValue(M288,_xll.ohTrigger(RecalcTrigger,YieldCurve))</f>
        <v>#NUM!</v>
      </c>
      <c r="Q288" s="123" t="e">
        <f t="shared" si="29"/>
        <v>#NUM!</v>
      </c>
      <c r="R288" s="123">
        <v>2</v>
      </c>
      <c r="S288" s="123" t="e">
        <f>_xll.qlSwapIndex(,"Euribor",Q288,NDays,Currency,Calendar,"1Y","mf","30/360 (Bond Basis)",IborIndex,Discounting,,_xll.ohTrigger(Trigger,RecalcTrigger))</f>
        <v>#VALUE!</v>
      </c>
      <c r="T288" s="123" t="e">
        <f>_xll.qlVanillaSwapFromSwapIndex(,S288,O288)</f>
        <v>#VALUE!</v>
      </c>
      <c r="U288" s="110" t="e">
        <f>_xll.qlVanillaSwapFairRate(T288)</f>
        <v>#VALUE!</v>
      </c>
      <c r="V288" s="206" t="e">
        <f t="shared" si="28"/>
        <v>#VALUE!</v>
      </c>
      <c r="Y288" s="105" t="str">
        <f t="shared" si="30"/>
        <v>1D</v>
      </c>
      <c r="Z288" s="93">
        <f>_xll.qlCalendarAdvance(Calendar,Z287,Y288,"f",FALSE)</f>
        <v>42566</v>
      </c>
      <c r="AA288" s="117">
        <f>_xll.qlCalendarAdvance(Calendar,Z288,NDays&amp;"D")</f>
        <v>42570</v>
      </c>
      <c r="AB288" s="92">
        <v>1.36813963312617E-3</v>
      </c>
      <c r="AC288" s="101">
        <v>1.5312200597872305E-3</v>
      </c>
    </row>
    <row r="289" spans="13:29" x14ac:dyDescent="0.2">
      <c r="M289" s="209">
        <f>RateHelpers!B278</f>
        <v>0</v>
      </c>
      <c r="N289" s="105" t="e">
        <f>_xll.qlRateHelperQuoteName(M289)</f>
        <v>#NUM!</v>
      </c>
      <c r="O289" s="93" t="e">
        <f>_xll.qlInterestRateIndexFixingDate(S289,_xll.qlRateHelperEarliestDate(M289,Trigger),)</f>
        <v>#VALUE!</v>
      </c>
      <c r="P289" s="120" t="e">
        <f>_xll.qlRateHelperQuoteValue(M289,_xll.ohTrigger(RecalcTrigger,YieldCurve))</f>
        <v>#NUM!</v>
      </c>
      <c r="Q289" s="123" t="e">
        <f t="shared" si="29"/>
        <v>#NUM!</v>
      </c>
      <c r="R289" s="123">
        <v>2</v>
      </c>
      <c r="S289" s="123" t="e">
        <f>_xll.qlSwapIndex(,"Euribor",Q289,NDays,Currency,Calendar,"1Y","mf","30/360 (Bond Basis)",IborIndex,Discounting,,_xll.ohTrigger(Trigger,RecalcTrigger))</f>
        <v>#VALUE!</v>
      </c>
      <c r="T289" s="123" t="e">
        <f>_xll.qlVanillaSwapFromSwapIndex(,S289,O289)</f>
        <v>#VALUE!</v>
      </c>
      <c r="U289" s="110" t="e">
        <f>_xll.qlVanillaSwapFairRate(T289)</f>
        <v>#VALUE!</v>
      </c>
      <c r="V289" s="206" t="e">
        <f t="shared" si="28"/>
        <v>#VALUE!</v>
      </c>
      <c r="Y289" s="105" t="str">
        <f t="shared" si="30"/>
        <v>1D</v>
      </c>
      <c r="Z289" s="93">
        <f>_xll.qlCalendarAdvance(Calendar,Z288,Y289,"f",FALSE)</f>
        <v>42569</v>
      </c>
      <c r="AA289" s="117">
        <f>_xll.qlCalendarAdvance(Calendar,Z289,NDays&amp;"D")</f>
        <v>42571</v>
      </c>
      <c r="AB289" s="92">
        <v>1.3720626599417439E-3</v>
      </c>
      <c r="AC289" s="101">
        <v>1.5234859179802385E-3</v>
      </c>
    </row>
    <row r="290" spans="13:29" x14ac:dyDescent="0.2">
      <c r="M290" s="209">
        <f>RateHelpers!B279</f>
        <v>0</v>
      </c>
      <c r="N290" s="105" t="e">
        <f>_xll.qlRateHelperQuoteName(M290)</f>
        <v>#NUM!</v>
      </c>
      <c r="O290" s="93" t="e">
        <f>_xll.qlInterestRateIndexFixingDate(S290,_xll.qlRateHelperEarliestDate(M290,Trigger),)</f>
        <v>#VALUE!</v>
      </c>
      <c r="P290" s="120" t="e">
        <f>_xll.qlRateHelperQuoteValue(M290,_xll.ohTrigger(RecalcTrigger,YieldCurve))</f>
        <v>#NUM!</v>
      </c>
      <c r="Q290" s="123" t="e">
        <f t="shared" si="29"/>
        <v>#NUM!</v>
      </c>
      <c r="R290" s="123">
        <v>2</v>
      </c>
      <c r="S290" s="123" t="e">
        <f>_xll.qlSwapIndex(,"Euribor",Q290,NDays,Currency,Calendar,"1Y","mf","30/360 (Bond Basis)",IborIndex,Discounting,,_xll.ohTrigger(Trigger,RecalcTrigger))</f>
        <v>#VALUE!</v>
      </c>
      <c r="T290" s="123" t="e">
        <f>_xll.qlVanillaSwapFromSwapIndex(,S290,O290)</f>
        <v>#VALUE!</v>
      </c>
      <c r="U290" s="110" t="e">
        <f>_xll.qlVanillaSwapFairRate(T290)</f>
        <v>#VALUE!</v>
      </c>
      <c r="V290" s="206" t="e">
        <f t="shared" si="28"/>
        <v>#VALUE!</v>
      </c>
      <c r="Y290" s="105" t="str">
        <f t="shared" si="30"/>
        <v>1D</v>
      </c>
      <c r="Z290" s="93">
        <f>_xll.qlCalendarAdvance(Calendar,Z289,Y290,"f",FALSE)</f>
        <v>42570</v>
      </c>
      <c r="AA290" s="117">
        <f>_xll.qlCalendarAdvance(Calendar,Z290,NDays&amp;"D")</f>
        <v>42572</v>
      </c>
      <c r="AB290" s="92">
        <v>1.3850542363192905E-3</v>
      </c>
      <c r="AC290" s="101">
        <v>1.5135613795891345E-3</v>
      </c>
    </row>
    <row r="291" spans="13:29" x14ac:dyDescent="0.2">
      <c r="M291" s="209">
        <f>RateHelpers!B280</f>
        <v>0</v>
      </c>
      <c r="N291" s="105" t="e">
        <f>_xll.qlRateHelperQuoteName(M291)</f>
        <v>#NUM!</v>
      </c>
      <c r="O291" s="93" t="e">
        <f>_xll.qlInterestRateIndexFixingDate(S291,_xll.qlRateHelperEarliestDate(M291,Trigger),)</f>
        <v>#VALUE!</v>
      </c>
      <c r="P291" s="120" t="e">
        <f>_xll.qlRateHelperQuoteValue(M291,_xll.ohTrigger(RecalcTrigger,YieldCurve))</f>
        <v>#NUM!</v>
      </c>
      <c r="Q291" s="123" t="e">
        <f t="shared" si="29"/>
        <v>#NUM!</v>
      </c>
      <c r="R291" s="123">
        <v>2</v>
      </c>
      <c r="S291" s="123" t="e">
        <f>_xll.qlSwapIndex(,"Euribor",Q291,NDays,Currency,Calendar,"1Y","mf","30/360 (Bond Basis)",IborIndex,Discounting,,_xll.ohTrigger(Trigger,RecalcTrigger))</f>
        <v>#VALUE!</v>
      </c>
      <c r="T291" s="123" t="e">
        <f>_xll.qlVanillaSwapFromSwapIndex(,S291,O291)</f>
        <v>#VALUE!</v>
      </c>
      <c r="U291" s="110" t="e">
        <f>_xll.qlVanillaSwapFairRate(T291)</f>
        <v>#VALUE!</v>
      </c>
      <c r="V291" s="206" t="e">
        <f t="shared" si="28"/>
        <v>#VALUE!</v>
      </c>
      <c r="Y291" s="105" t="str">
        <f t="shared" si="30"/>
        <v>1D</v>
      </c>
      <c r="Z291" s="93">
        <f>_xll.qlCalendarAdvance(Calendar,Z290,Y291,"f",FALSE)</f>
        <v>42571</v>
      </c>
      <c r="AA291" s="117">
        <f>_xll.qlCalendarAdvance(Calendar,Z291,NDays&amp;"D")</f>
        <v>42573</v>
      </c>
      <c r="AB291" s="92">
        <v>1.3843537828224469E-3</v>
      </c>
      <c r="AC291" s="101">
        <v>1.4864171200557053E-3</v>
      </c>
    </row>
    <row r="292" spans="13:29" x14ac:dyDescent="0.2">
      <c r="M292" s="209">
        <f>RateHelpers!B281</f>
        <v>0</v>
      </c>
      <c r="N292" s="105" t="e">
        <f>_xll.qlRateHelperQuoteName(M292)</f>
        <v>#NUM!</v>
      </c>
      <c r="O292" s="93" t="e">
        <f>_xll.qlInterestRateIndexFixingDate(S292,_xll.qlRateHelperEarliestDate(M292,Trigger),)</f>
        <v>#VALUE!</v>
      </c>
      <c r="P292" s="120" t="e">
        <f>_xll.qlRateHelperQuoteValue(M292,_xll.ohTrigger(RecalcTrigger,YieldCurve))</f>
        <v>#NUM!</v>
      </c>
      <c r="Q292" s="123" t="e">
        <f t="shared" si="29"/>
        <v>#NUM!</v>
      </c>
      <c r="R292" s="123">
        <v>2</v>
      </c>
      <c r="S292" s="123" t="e">
        <f>_xll.qlSwapIndex(,"Euribor",Q292,NDays,Currency,Calendar,"1Y","mf","30/360 (Bond Basis)",IborIndex,Discounting,,_xll.ohTrigger(Trigger,RecalcTrigger))</f>
        <v>#VALUE!</v>
      </c>
      <c r="T292" s="123" t="e">
        <f>_xll.qlVanillaSwapFromSwapIndex(,S292,O292)</f>
        <v>#VALUE!</v>
      </c>
      <c r="U292" s="110" t="e">
        <f>_xll.qlVanillaSwapFairRate(T292)</f>
        <v>#VALUE!</v>
      </c>
      <c r="V292" s="206" t="e">
        <f t="shared" si="28"/>
        <v>#VALUE!</v>
      </c>
      <c r="Y292" s="105" t="str">
        <f t="shared" si="30"/>
        <v>1D</v>
      </c>
      <c r="Z292" s="93">
        <f>_xll.qlCalendarAdvance(Calendar,Z291,Y292,"f",FALSE)</f>
        <v>42572</v>
      </c>
      <c r="AA292" s="117">
        <f>_xll.qlCalendarAdvance(Calendar,Z292,NDays&amp;"D")</f>
        <v>42576</v>
      </c>
      <c r="AB292" s="92">
        <v>1.3913366457708322E-3</v>
      </c>
      <c r="AC292" s="101">
        <v>1.4519592676176529E-3</v>
      </c>
    </row>
    <row r="293" spans="13:29" ht="12" thickBot="1" x14ac:dyDescent="0.25">
      <c r="M293" s="210">
        <f>RateHelpers!B282</f>
        <v>0</v>
      </c>
      <c r="N293" s="106" t="e">
        <f>_xll.qlRateHelperQuoteName(M293)</f>
        <v>#NUM!</v>
      </c>
      <c r="O293" s="103" t="e">
        <f>_xll.qlInterestRateIndexFixingDate(S293,_xll.qlRateHelperEarliestDate(M293,Trigger),)</f>
        <v>#VALUE!</v>
      </c>
      <c r="P293" s="121" t="e">
        <f>_xll.qlRateHelperQuoteValue(M293,_xll.ohTrigger(RecalcTrigger,YieldCurve))</f>
        <v>#NUM!</v>
      </c>
      <c r="Q293" s="124" t="e">
        <f t="shared" si="29"/>
        <v>#NUM!</v>
      </c>
      <c r="R293" s="124">
        <v>2</v>
      </c>
      <c r="S293" s="124" t="e">
        <f>_xll.qlSwapIndex(,"Euribor",Q293,NDays,Currency,Calendar,"1Y","mf","30/360 (Bond Basis)",IborIndex,Discounting,,_xll.ohTrigger(Trigger,RecalcTrigger))</f>
        <v>#VALUE!</v>
      </c>
      <c r="T293" s="124" t="e">
        <f>_xll.qlVanillaSwapFromSwapIndex(,S293,O293)</f>
        <v>#VALUE!</v>
      </c>
      <c r="U293" s="112" t="e">
        <f>_xll.qlVanillaSwapFairRate(T293)</f>
        <v>#VALUE!</v>
      </c>
      <c r="V293" s="207" t="e">
        <f t="shared" si="28"/>
        <v>#VALUE!</v>
      </c>
      <c r="Y293" s="105" t="str">
        <f t="shared" si="30"/>
        <v>1D</v>
      </c>
      <c r="Z293" s="93">
        <f>_xll.qlCalendarAdvance(Calendar,Z292,Y293,"f",FALSE)</f>
        <v>42573</v>
      </c>
      <c r="AA293" s="117">
        <f>_xll.qlCalendarAdvance(Calendar,Z293,NDays&amp;"D")</f>
        <v>42577</v>
      </c>
      <c r="AB293" s="92">
        <v>1.3950945874221716E-3</v>
      </c>
      <c r="AC293" s="101">
        <v>1.4310827513419611E-3</v>
      </c>
    </row>
    <row r="294" spans="13:29" x14ac:dyDescent="0.2">
      <c r="M294" s="211">
        <f>RateHelpers!B283</f>
        <v>0</v>
      </c>
      <c r="N294" s="195" t="e">
        <f>_xll.qlRateHelperQuoteName(M294)</f>
        <v>#NUM!</v>
      </c>
      <c r="O294" s="192" t="e">
        <f>_xll.qlInterestRateIndexFixingDate(S294,_xll.qlRateHelperEarliestDate(M294,Trigger),)</f>
        <v>#VALUE!</v>
      </c>
      <c r="P294" s="193" t="e">
        <f>_xll.qlRateHelperQuoteValue(M294,_xll.ohTrigger(RecalcTrigger,YieldCurve))</f>
        <v>#NUM!</v>
      </c>
      <c r="Q294" s="191" t="e">
        <f t="shared" ref="Q294:Q311" si="31">SUBSTITUTE(SUBSTITUTE(N294,"_Quote",""),"EUR13F","")</f>
        <v>#NUM!</v>
      </c>
      <c r="R294" s="191">
        <v>2</v>
      </c>
      <c r="S294" s="191" t="e">
        <f>_xll.qlSwapIndex(,"Euribor",Q294,NDays,Currency,Calendar,"1Y","mf","30/360 (Bond Basis)",IborIndex,Discounting,,_xll.ohTrigger(Trigger,RecalcTrigger))</f>
        <v>#VALUE!</v>
      </c>
      <c r="T294" s="191" t="e">
        <f>_xll.qlVanillaSwapFromSwapIndex(,S294,O294)</f>
        <v>#VALUE!</v>
      </c>
      <c r="U294" s="194" t="e">
        <f>_xll.qlVanillaSwapFairRate(T294)</f>
        <v>#VALUE!</v>
      </c>
      <c r="V294" s="208" t="e">
        <f t="shared" si="28"/>
        <v>#VALUE!</v>
      </c>
      <c r="Y294" s="105" t="str">
        <f t="shared" si="30"/>
        <v>1D</v>
      </c>
      <c r="Z294" s="93">
        <f>_xll.qlCalendarAdvance(Calendar,Z293,Y294,"f",FALSE)</f>
        <v>42576</v>
      </c>
      <c r="AA294" s="117">
        <f>_xll.qlCalendarAdvance(Calendar,Z294,NDays&amp;"D")</f>
        <v>42578</v>
      </c>
      <c r="AB294" s="92">
        <v>1.3988107018053401E-3</v>
      </c>
      <c r="AC294" s="101">
        <v>1.4080158404006227E-3</v>
      </c>
    </row>
    <row r="295" spans="13:29" x14ac:dyDescent="0.2">
      <c r="M295" s="209">
        <f>RateHelpers!B284</f>
        <v>0</v>
      </c>
      <c r="N295" s="105" t="e">
        <f>_xll.qlRateHelperQuoteName(M295)</f>
        <v>#NUM!</v>
      </c>
      <c r="O295" s="93" t="e">
        <f>_xll.qlInterestRateIndexFixingDate(S295,_xll.qlRateHelperEarliestDate(M295,Trigger),)</f>
        <v>#VALUE!</v>
      </c>
      <c r="P295" s="120" t="e">
        <f>_xll.qlRateHelperQuoteValue(M295,_xll.ohTrigger(RecalcTrigger,YieldCurve))</f>
        <v>#NUM!</v>
      </c>
      <c r="Q295" s="123" t="e">
        <f t="shared" si="31"/>
        <v>#NUM!</v>
      </c>
      <c r="R295" s="123">
        <v>2</v>
      </c>
      <c r="S295" s="123" t="e">
        <f>_xll.qlSwapIndex(,"Euribor",Q295,NDays,Currency,Calendar,"1Y","mf","30/360 (Bond Basis)",IborIndex,Discounting,,_xll.ohTrigger(Trigger,RecalcTrigger))</f>
        <v>#VALUE!</v>
      </c>
      <c r="T295" s="123" t="e">
        <f>_xll.qlVanillaSwapFromSwapIndex(,S295,O295)</f>
        <v>#VALUE!</v>
      </c>
      <c r="U295" s="110" t="e">
        <f>_xll.qlVanillaSwapFairRate(T295)</f>
        <v>#VALUE!</v>
      </c>
      <c r="V295" s="206" t="e">
        <f t="shared" si="28"/>
        <v>#VALUE!</v>
      </c>
      <c r="Y295" s="105" t="str">
        <f t="shared" si="30"/>
        <v>1D</v>
      </c>
      <c r="Z295" s="93">
        <f>_xll.qlCalendarAdvance(Calendar,Z294,Y295,"f",FALSE)</f>
        <v>42577</v>
      </c>
      <c r="AA295" s="117">
        <f>_xll.qlCalendarAdvance(Calendar,Z295,NDays&amp;"D")</f>
        <v>42579</v>
      </c>
      <c r="AB295" s="92">
        <v>1.4092409116162768E-3</v>
      </c>
      <c r="AC295" s="101">
        <v>1.3827585353531902E-3</v>
      </c>
    </row>
    <row r="296" spans="13:29" x14ac:dyDescent="0.2">
      <c r="M296" s="209">
        <f>RateHelpers!B285</f>
        <v>0</v>
      </c>
      <c r="N296" s="105" t="e">
        <f>_xll.qlRateHelperQuoteName(M296)</f>
        <v>#NUM!</v>
      </c>
      <c r="O296" s="93" t="e">
        <f>_xll.qlInterestRateIndexFixingDate(S296,_xll.qlRateHelperEarliestDate(M296,Trigger),)</f>
        <v>#VALUE!</v>
      </c>
      <c r="P296" s="120" t="e">
        <f>_xll.qlRateHelperQuoteValue(M296,_xll.ohTrigger(RecalcTrigger,YieldCurve))</f>
        <v>#NUM!</v>
      </c>
      <c r="Q296" s="123" t="e">
        <f t="shared" si="31"/>
        <v>#NUM!</v>
      </c>
      <c r="R296" s="123">
        <v>2</v>
      </c>
      <c r="S296" s="123" t="e">
        <f>_xll.qlSwapIndex(,"Euribor",Q296,NDays,Currency,Calendar,"1Y","mf","30/360 (Bond Basis)",IborIndex,Discounting,,_xll.ohTrigger(Trigger,RecalcTrigger))</f>
        <v>#VALUE!</v>
      </c>
      <c r="T296" s="123" t="e">
        <f>_xll.qlVanillaSwapFromSwapIndex(,S296,O296)</f>
        <v>#VALUE!</v>
      </c>
      <c r="U296" s="110" t="e">
        <f>_xll.qlVanillaSwapFairRate(T296)</f>
        <v>#VALUE!</v>
      </c>
      <c r="V296" s="206" t="e">
        <f t="shared" si="28"/>
        <v>#VALUE!</v>
      </c>
      <c r="Y296" s="105" t="str">
        <f t="shared" si="30"/>
        <v>1D</v>
      </c>
      <c r="Z296" s="93">
        <f>_xll.qlCalendarAdvance(Calendar,Z295,Y296,"f",FALSE)</f>
        <v>42578</v>
      </c>
      <c r="AA296" s="117">
        <f>_xll.qlCalendarAdvance(Calendar,Z296,NDays&amp;"D")</f>
        <v>42580</v>
      </c>
      <c r="AB296" s="92">
        <v>1.4124039926134029E-3</v>
      </c>
      <c r="AC296" s="101">
        <v>1.3249474889232005E-3</v>
      </c>
    </row>
    <row r="297" spans="13:29" x14ac:dyDescent="0.2">
      <c r="M297" s="209">
        <f>RateHelpers!B286</f>
        <v>0</v>
      </c>
      <c r="N297" s="105" t="e">
        <f>_xll.qlRateHelperQuoteName(M297)</f>
        <v>#NUM!</v>
      </c>
      <c r="O297" s="93" t="e">
        <f>_xll.qlInterestRateIndexFixingDate(S297,_xll.qlRateHelperEarliestDate(M297,Trigger),)</f>
        <v>#VALUE!</v>
      </c>
      <c r="P297" s="120" t="e">
        <f>_xll.qlRateHelperQuoteValue(M297,_xll.ohTrigger(RecalcTrigger,YieldCurve))</f>
        <v>#NUM!</v>
      </c>
      <c r="Q297" s="123" t="e">
        <f t="shared" si="31"/>
        <v>#NUM!</v>
      </c>
      <c r="R297" s="123">
        <v>2</v>
      </c>
      <c r="S297" s="123" t="e">
        <f>_xll.qlSwapIndex(,"Euribor",Q297,NDays,Currency,Calendar,"1Y","mf","30/360 (Bond Basis)",IborIndex,Discounting,,_xll.ohTrigger(Trigger,RecalcTrigger))</f>
        <v>#VALUE!</v>
      </c>
      <c r="T297" s="123" t="e">
        <f>_xll.qlVanillaSwapFromSwapIndex(,S297,O297)</f>
        <v>#VALUE!</v>
      </c>
      <c r="U297" s="110" t="e">
        <f>_xll.qlVanillaSwapFairRate(T297)</f>
        <v>#VALUE!</v>
      </c>
      <c r="V297" s="206" t="e">
        <f t="shared" si="28"/>
        <v>#VALUE!</v>
      </c>
      <c r="Y297" s="105" t="str">
        <f t="shared" si="30"/>
        <v>1D</v>
      </c>
      <c r="Z297" s="93">
        <f>_xll.qlCalendarAdvance(Calendar,Z296,Y297,"f",FALSE)</f>
        <v>42579</v>
      </c>
      <c r="AA297" s="117">
        <f>_xll.qlCalendarAdvance(Calendar,Z297,NDays&amp;"D")</f>
        <v>42583</v>
      </c>
      <c r="AB297" s="92">
        <v>1.416620730254759E-3</v>
      </c>
      <c r="AC297" s="101">
        <v>1.2598253827356132E-3</v>
      </c>
    </row>
    <row r="298" spans="13:29" x14ac:dyDescent="0.2">
      <c r="M298" s="209">
        <f>RateHelpers!B287</f>
        <v>0</v>
      </c>
      <c r="N298" s="105" t="e">
        <f>_xll.qlRateHelperQuoteName(M298)</f>
        <v>#NUM!</v>
      </c>
      <c r="O298" s="93" t="e">
        <f>_xll.qlInterestRateIndexFixingDate(S298,_xll.qlRateHelperEarliestDate(M298,Trigger),)</f>
        <v>#VALUE!</v>
      </c>
      <c r="P298" s="120" t="e">
        <f>_xll.qlRateHelperQuoteValue(M298,_xll.ohTrigger(RecalcTrigger,YieldCurve))</f>
        <v>#NUM!</v>
      </c>
      <c r="Q298" s="123" t="e">
        <f t="shared" si="31"/>
        <v>#NUM!</v>
      </c>
      <c r="R298" s="123">
        <v>2</v>
      </c>
      <c r="S298" s="123" t="e">
        <f>_xll.qlSwapIndex(,"Euribor",Q298,NDays,Currency,Calendar,"1Y","mf","30/360 (Bond Basis)",IborIndex,Discounting,,_xll.ohTrigger(Trigger,RecalcTrigger))</f>
        <v>#VALUE!</v>
      </c>
      <c r="T298" s="123" t="e">
        <f>_xll.qlVanillaSwapFromSwapIndex(,S298,O298)</f>
        <v>#VALUE!</v>
      </c>
      <c r="U298" s="110" t="e">
        <f>_xll.qlVanillaSwapFairRate(T298)</f>
        <v>#VALUE!</v>
      </c>
      <c r="V298" s="206" t="e">
        <f t="shared" si="28"/>
        <v>#VALUE!</v>
      </c>
      <c r="Y298" s="105" t="str">
        <f t="shared" si="30"/>
        <v>1D</v>
      </c>
      <c r="Z298" s="93">
        <f>_xll.qlCalendarAdvance(Calendar,Z297,Y298,"f",FALSE)</f>
        <v>42580</v>
      </c>
      <c r="AA298" s="117">
        <f>_xll.qlCalendarAdvance(Calendar,Z298,NDays&amp;"D")</f>
        <v>42584</v>
      </c>
      <c r="AB298" s="92">
        <v>1.4200000000000928E-3</v>
      </c>
      <c r="AC298" s="101">
        <v>1.224279934710637E-3</v>
      </c>
    </row>
    <row r="299" spans="13:29" x14ac:dyDescent="0.2">
      <c r="M299" s="209">
        <f>RateHelpers!B288</f>
        <v>0</v>
      </c>
      <c r="N299" s="105" t="e">
        <f>_xll.qlRateHelperQuoteName(M299)</f>
        <v>#NUM!</v>
      </c>
      <c r="O299" s="93" t="e">
        <f>_xll.qlInterestRateIndexFixingDate(S299,_xll.qlRateHelperEarliestDate(M299,Trigger),)</f>
        <v>#VALUE!</v>
      </c>
      <c r="P299" s="120" t="e">
        <f>_xll.qlRateHelperQuoteValue(M299,_xll.ohTrigger(RecalcTrigger,YieldCurve))</f>
        <v>#NUM!</v>
      </c>
      <c r="Q299" s="123" t="e">
        <f t="shared" si="31"/>
        <v>#NUM!</v>
      </c>
      <c r="R299" s="123">
        <v>2</v>
      </c>
      <c r="S299" s="123" t="e">
        <f>_xll.qlSwapIndex(,"Euribor",Q299,NDays,Currency,Calendar,"1Y","mf","30/360 (Bond Basis)",IborIndex,Discounting,,_xll.ohTrigger(Trigger,RecalcTrigger))</f>
        <v>#VALUE!</v>
      </c>
      <c r="T299" s="123" t="e">
        <f>_xll.qlVanillaSwapFromSwapIndex(,S299,O299)</f>
        <v>#VALUE!</v>
      </c>
      <c r="U299" s="110" t="e">
        <f>_xll.qlVanillaSwapFairRate(T299)</f>
        <v>#VALUE!</v>
      </c>
      <c r="V299" s="206" t="e">
        <f t="shared" si="28"/>
        <v>#VALUE!</v>
      </c>
      <c r="Y299" s="105" t="str">
        <f t="shared" si="30"/>
        <v>1D</v>
      </c>
      <c r="Z299" s="93">
        <f>_xll.qlCalendarAdvance(Calendar,Z298,Y299,"f",FALSE)</f>
        <v>42583</v>
      </c>
      <c r="AA299" s="117">
        <f>_xll.qlCalendarAdvance(Calendar,Z299,NDays&amp;"D")</f>
        <v>42585</v>
      </c>
      <c r="AB299" s="92">
        <v>1.4233106246545107E-3</v>
      </c>
      <c r="AC299" s="101">
        <v>1.1898631970108653E-3</v>
      </c>
    </row>
    <row r="300" spans="13:29" x14ac:dyDescent="0.2">
      <c r="M300" s="209">
        <f>RateHelpers!B289</f>
        <v>0</v>
      </c>
      <c r="N300" s="105" t="e">
        <f>_xll.qlRateHelperQuoteName(M300)</f>
        <v>#NUM!</v>
      </c>
      <c r="O300" s="93" t="e">
        <f>_xll.qlInterestRateIndexFixingDate(S300,_xll.qlRateHelperEarliestDate(M300,Trigger),)</f>
        <v>#VALUE!</v>
      </c>
      <c r="P300" s="120" t="e">
        <f>_xll.qlRateHelperQuoteValue(M300,_xll.ohTrigger(RecalcTrigger,YieldCurve))</f>
        <v>#NUM!</v>
      </c>
      <c r="Q300" s="123" t="e">
        <f t="shared" si="31"/>
        <v>#NUM!</v>
      </c>
      <c r="R300" s="123">
        <v>2</v>
      </c>
      <c r="S300" s="123" t="e">
        <f>_xll.qlSwapIndex(,"Euribor",Q300,NDays,Currency,Calendar,"1Y","mf","30/360 (Bond Basis)",IborIndex,Discounting,,_xll.ohTrigger(Trigger,RecalcTrigger))</f>
        <v>#VALUE!</v>
      </c>
      <c r="T300" s="123" t="e">
        <f>_xll.qlVanillaSwapFromSwapIndex(,S300,O300)</f>
        <v>#VALUE!</v>
      </c>
      <c r="U300" s="110" t="e">
        <f>_xll.qlVanillaSwapFairRate(T300)</f>
        <v>#VALUE!</v>
      </c>
      <c r="V300" s="206" t="e">
        <f t="shared" si="28"/>
        <v>#VALUE!</v>
      </c>
      <c r="Y300" s="105" t="str">
        <f t="shared" si="30"/>
        <v>1D</v>
      </c>
      <c r="Z300" s="93">
        <f>_xll.qlCalendarAdvance(Calendar,Z299,Y300,"f",FALSE)</f>
        <v>42584</v>
      </c>
      <c r="AA300" s="117">
        <f>_xll.qlCalendarAdvance(Calendar,Z300,NDays&amp;"D")</f>
        <v>42586</v>
      </c>
      <c r="AB300" s="92">
        <v>1.4297667278320085E-3</v>
      </c>
      <c r="AC300" s="101">
        <v>1.1572389897551716E-3</v>
      </c>
    </row>
    <row r="301" spans="13:29" x14ac:dyDescent="0.2">
      <c r="M301" s="209">
        <f>RateHelpers!B290</f>
        <v>0</v>
      </c>
      <c r="N301" s="105" t="e">
        <f>_xll.qlRateHelperQuoteName(M301)</f>
        <v>#NUM!</v>
      </c>
      <c r="O301" s="93" t="e">
        <f>_xll.qlInterestRateIndexFixingDate(S301,_xll.qlRateHelperEarliestDate(M301,Trigger),)</f>
        <v>#VALUE!</v>
      </c>
      <c r="P301" s="120" t="e">
        <f>_xll.qlRateHelperQuoteValue(M301,_xll.ohTrigger(RecalcTrigger,YieldCurve))</f>
        <v>#NUM!</v>
      </c>
      <c r="Q301" s="123" t="e">
        <f t="shared" si="31"/>
        <v>#NUM!</v>
      </c>
      <c r="R301" s="123">
        <v>2</v>
      </c>
      <c r="S301" s="123" t="e">
        <f>_xll.qlSwapIndex(,"Euribor",Q301,NDays,Currency,Calendar,"1Y","mf","30/360 (Bond Basis)",IborIndex,Discounting,,_xll.ohTrigger(Trigger,RecalcTrigger))</f>
        <v>#VALUE!</v>
      </c>
      <c r="T301" s="123" t="e">
        <f>_xll.qlVanillaSwapFromSwapIndex(,S301,O301)</f>
        <v>#VALUE!</v>
      </c>
      <c r="U301" s="110" t="e">
        <f>_xll.qlVanillaSwapFairRate(T301)</f>
        <v>#VALUE!</v>
      </c>
      <c r="V301" s="206" t="e">
        <f t="shared" si="28"/>
        <v>#VALUE!</v>
      </c>
      <c r="Y301" s="105" t="str">
        <f t="shared" si="30"/>
        <v>1D</v>
      </c>
      <c r="Z301" s="93">
        <f>_xll.qlCalendarAdvance(Calendar,Z300,Y301,"f",FALSE)</f>
        <v>42585</v>
      </c>
      <c r="AA301" s="117">
        <f>_xll.qlCalendarAdvance(Calendar,Z301,NDays&amp;"D")</f>
        <v>42587</v>
      </c>
      <c r="AB301" s="92">
        <v>1.4312352499593708E-3</v>
      </c>
      <c r="AC301" s="101">
        <v>1.0979690214618643E-3</v>
      </c>
    </row>
    <row r="302" spans="13:29" x14ac:dyDescent="0.2">
      <c r="M302" s="209">
        <f>RateHelpers!B291</f>
        <v>0</v>
      </c>
      <c r="N302" s="105" t="e">
        <f>_xll.qlRateHelperQuoteName(M302)</f>
        <v>#NUM!</v>
      </c>
      <c r="O302" s="93" t="e">
        <f>_xll.qlInterestRateIndexFixingDate(S302,_xll.qlRateHelperEarliestDate(M302,Trigger),)</f>
        <v>#VALUE!</v>
      </c>
      <c r="P302" s="120" t="e">
        <f>_xll.qlRateHelperQuoteValue(M302,_xll.ohTrigger(RecalcTrigger,YieldCurve))</f>
        <v>#NUM!</v>
      </c>
      <c r="Q302" s="123" t="e">
        <f t="shared" si="31"/>
        <v>#NUM!</v>
      </c>
      <c r="R302" s="123">
        <v>2</v>
      </c>
      <c r="S302" s="123" t="e">
        <f>_xll.qlSwapIndex(,"Euribor",Q302,NDays,Currency,Calendar,"1Y","mf","30/360 (Bond Basis)",IborIndex,Discounting,,_xll.ohTrigger(Trigger,RecalcTrigger))</f>
        <v>#VALUE!</v>
      </c>
      <c r="T302" s="123" t="e">
        <f>_xll.qlVanillaSwapFromSwapIndex(,S302,O302)</f>
        <v>#VALUE!</v>
      </c>
      <c r="U302" s="110" t="e">
        <f>_xll.qlVanillaSwapFairRate(T302)</f>
        <v>#VALUE!</v>
      </c>
      <c r="V302" s="206" t="e">
        <f t="shared" si="28"/>
        <v>#VALUE!</v>
      </c>
      <c r="Y302" s="105" t="str">
        <f t="shared" si="30"/>
        <v>1D</v>
      </c>
      <c r="Z302" s="93">
        <f>_xll.qlCalendarAdvance(Calendar,Z301,Y302,"f",FALSE)</f>
        <v>42586</v>
      </c>
      <c r="AA302" s="117">
        <f>_xll.qlCalendarAdvance(Calendar,Z302,NDays&amp;"D")</f>
        <v>42590</v>
      </c>
      <c r="AB302" s="92">
        <v>1.4390437712113772E-3</v>
      </c>
      <c r="AC302" s="101">
        <v>1.0446674536623846E-3</v>
      </c>
    </row>
    <row r="303" spans="13:29" x14ac:dyDescent="0.2">
      <c r="M303" s="209">
        <f>RateHelpers!B292</f>
        <v>0</v>
      </c>
      <c r="N303" s="105" t="e">
        <f>_xll.qlRateHelperQuoteName(M303)</f>
        <v>#NUM!</v>
      </c>
      <c r="O303" s="93" t="e">
        <f>_xll.qlInterestRateIndexFixingDate(S303,_xll.qlRateHelperEarliestDate(M303,Trigger),)</f>
        <v>#VALUE!</v>
      </c>
      <c r="P303" s="120" t="e">
        <f>_xll.qlRateHelperQuoteValue(M303,_xll.ohTrigger(RecalcTrigger,YieldCurve))</f>
        <v>#NUM!</v>
      </c>
      <c r="Q303" s="123" t="e">
        <f t="shared" si="31"/>
        <v>#NUM!</v>
      </c>
      <c r="R303" s="123">
        <v>2</v>
      </c>
      <c r="S303" s="123" t="e">
        <f>_xll.qlSwapIndex(,"Euribor",Q303,NDays,Currency,Calendar,"1Y","mf","30/360 (Bond Basis)",IborIndex,Discounting,,_xll.ohTrigger(Trigger,RecalcTrigger))</f>
        <v>#VALUE!</v>
      </c>
      <c r="T303" s="123" t="e">
        <f>_xll.qlVanillaSwapFromSwapIndex(,S303,O303)</f>
        <v>#VALUE!</v>
      </c>
      <c r="U303" s="110" t="e">
        <f>_xll.qlVanillaSwapFairRate(T303)</f>
        <v>#VALUE!</v>
      </c>
      <c r="V303" s="206" t="e">
        <f t="shared" si="28"/>
        <v>#VALUE!</v>
      </c>
      <c r="Y303" s="105" t="str">
        <f t="shared" si="30"/>
        <v>1D</v>
      </c>
      <c r="Z303" s="93">
        <f>_xll.qlCalendarAdvance(Calendar,Z302,Y303,"f",FALSE)</f>
        <v>42587</v>
      </c>
      <c r="AA303" s="117">
        <f>_xll.qlCalendarAdvance(Calendar,Z303,NDays&amp;"D")</f>
        <v>42591</v>
      </c>
      <c r="AB303" s="92">
        <v>1.442073774025682E-3</v>
      </c>
      <c r="AC303" s="101">
        <v>1.0210058909532194E-3</v>
      </c>
    </row>
    <row r="304" spans="13:29" x14ac:dyDescent="0.2">
      <c r="M304" s="209">
        <f>RateHelpers!B293</f>
        <v>0</v>
      </c>
      <c r="N304" s="105" t="e">
        <f>_xll.qlRateHelperQuoteName(M304)</f>
        <v>#NUM!</v>
      </c>
      <c r="O304" s="93" t="e">
        <f>_xll.qlInterestRateIndexFixingDate(S304,_xll.qlRateHelperEarliestDate(M304,Trigger),)</f>
        <v>#VALUE!</v>
      </c>
      <c r="P304" s="120" t="e">
        <f>_xll.qlRateHelperQuoteValue(M304,_xll.ohTrigger(RecalcTrigger,YieldCurve))</f>
        <v>#NUM!</v>
      </c>
      <c r="Q304" s="123" t="e">
        <f t="shared" si="31"/>
        <v>#NUM!</v>
      </c>
      <c r="R304" s="123">
        <v>2</v>
      </c>
      <c r="S304" s="123" t="e">
        <f>_xll.qlSwapIndex(,"Euribor",Q304,NDays,Currency,Calendar,"1Y","mf","30/360 (Bond Basis)",IborIndex,Discounting,,_xll.ohTrigger(Trigger,RecalcTrigger))</f>
        <v>#VALUE!</v>
      </c>
      <c r="T304" s="123" t="e">
        <f>_xll.qlVanillaSwapFromSwapIndex(,S304,O304)</f>
        <v>#VALUE!</v>
      </c>
      <c r="U304" s="110" t="e">
        <f>_xll.qlVanillaSwapFairRate(T304)</f>
        <v>#VALUE!</v>
      </c>
      <c r="V304" s="206" t="e">
        <f t="shared" si="28"/>
        <v>#VALUE!</v>
      </c>
      <c r="Y304" s="105" t="str">
        <f t="shared" si="30"/>
        <v>1D</v>
      </c>
      <c r="Z304" s="93">
        <f>_xll.qlCalendarAdvance(Calendar,Z303,Y304,"f",FALSE)</f>
        <v>42590</v>
      </c>
      <c r="AA304" s="117">
        <f>_xll.qlCalendarAdvance(Calendar,Z304,NDays&amp;"D")</f>
        <v>42592</v>
      </c>
      <c r="AB304" s="92">
        <v>1.4450806911692207E-3</v>
      </c>
      <c r="AC304" s="101">
        <v>9.9913685597030621E-4</v>
      </c>
    </row>
    <row r="305" spans="13:29" x14ac:dyDescent="0.2">
      <c r="M305" s="209">
        <f>RateHelpers!B294</f>
        <v>0</v>
      </c>
      <c r="N305" s="105" t="e">
        <f>_xll.qlRateHelperQuoteName(M305)</f>
        <v>#NUM!</v>
      </c>
      <c r="O305" s="93" t="e">
        <f>_xll.qlInterestRateIndexFixingDate(S305,_xll.qlRateHelperEarliestDate(M305,Trigger),)</f>
        <v>#VALUE!</v>
      </c>
      <c r="P305" s="120" t="e">
        <f>_xll.qlRateHelperQuoteValue(M305,_xll.ohTrigger(RecalcTrigger,YieldCurve))</f>
        <v>#NUM!</v>
      </c>
      <c r="Q305" s="123" t="e">
        <f t="shared" si="31"/>
        <v>#NUM!</v>
      </c>
      <c r="R305" s="123">
        <v>2</v>
      </c>
      <c r="S305" s="123" t="e">
        <f>_xll.qlSwapIndex(,"Euribor",Q305,NDays,Currency,Calendar,"1Y","mf","30/360 (Bond Basis)",IborIndex,Discounting,,_xll.ohTrigger(Trigger,RecalcTrigger))</f>
        <v>#VALUE!</v>
      </c>
      <c r="T305" s="123" t="e">
        <f>_xll.qlVanillaSwapFromSwapIndex(,S305,O305)</f>
        <v>#VALUE!</v>
      </c>
      <c r="U305" s="110" t="e">
        <f>_xll.qlVanillaSwapFairRate(T305)</f>
        <v>#VALUE!</v>
      </c>
      <c r="V305" s="206" t="e">
        <f t="shared" si="28"/>
        <v>#VALUE!</v>
      </c>
      <c r="Y305" s="105" t="str">
        <f t="shared" si="30"/>
        <v>1D</v>
      </c>
      <c r="Z305" s="93">
        <f>_xll.qlCalendarAdvance(Calendar,Z304,Y305,"f",FALSE)</f>
        <v>42591</v>
      </c>
      <c r="AA305" s="117">
        <f>_xll.qlCalendarAdvance(Calendar,Z305,NDays&amp;"D")</f>
        <v>42593</v>
      </c>
      <c r="AB305" s="92">
        <v>1.4488328571241496E-3</v>
      </c>
      <c r="AC305" s="101">
        <v>9.7906034847383694E-4</v>
      </c>
    </row>
    <row r="306" spans="13:29" x14ac:dyDescent="0.2">
      <c r="M306" s="209">
        <f>RateHelpers!B295</f>
        <v>0</v>
      </c>
      <c r="N306" s="105" t="e">
        <f>_xll.qlRateHelperQuoteName(M306)</f>
        <v>#NUM!</v>
      </c>
      <c r="O306" s="93" t="e">
        <f>_xll.qlInterestRateIndexFixingDate(S306,_xll.qlRateHelperEarliestDate(M306,Trigger),)</f>
        <v>#VALUE!</v>
      </c>
      <c r="P306" s="120" t="e">
        <f>_xll.qlRateHelperQuoteValue(M306,_xll.ohTrigger(RecalcTrigger,YieldCurve))</f>
        <v>#NUM!</v>
      </c>
      <c r="Q306" s="123" t="e">
        <f t="shared" si="31"/>
        <v>#NUM!</v>
      </c>
      <c r="R306" s="123">
        <v>2</v>
      </c>
      <c r="S306" s="123" t="e">
        <f>_xll.qlSwapIndex(,"Euribor",Q306,NDays,Currency,Calendar,"1Y","mf","30/360 (Bond Basis)",IborIndex,Discounting,,_xll.ohTrigger(Trigger,RecalcTrigger))</f>
        <v>#VALUE!</v>
      </c>
      <c r="T306" s="123" t="e">
        <f>_xll.qlVanillaSwapFromSwapIndex(,S306,O306)</f>
        <v>#VALUE!</v>
      </c>
      <c r="U306" s="110" t="e">
        <f>_xll.qlVanillaSwapFairRate(T306)</f>
        <v>#VALUE!</v>
      </c>
      <c r="V306" s="206" t="e">
        <f t="shared" si="28"/>
        <v>#VALUE!</v>
      </c>
      <c r="Y306" s="105" t="str">
        <f t="shared" si="30"/>
        <v>1D</v>
      </c>
      <c r="Z306" s="93">
        <f>_xll.qlCalendarAdvance(Calendar,Z305,Y306,"f",FALSE)</f>
        <v>42592</v>
      </c>
      <c r="AA306" s="117">
        <f>_xll.qlCalendarAdvance(Calendar,Z306,NDays&amp;"D")</f>
        <v>42594</v>
      </c>
      <c r="AB306" s="92">
        <v>1.4513682208230111E-3</v>
      </c>
      <c r="AC306" s="101">
        <v>9.4488490312016893E-4</v>
      </c>
    </row>
    <row r="307" spans="13:29" x14ac:dyDescent="0.2">
      <c r="M307" s="209">
        <f>RateHelpers!B296</f>
        <v>0</v>
      </c>
      <c r="N307" s="105" t="e">
        <f>_xll.qlRateHelperQuoteName(M307)</f>
        <v>#NUM!</v>
      </c>
      <c r="O307" s="93" t="e">
        <f>_xll.qlInterestRateIndexFixingDate(S307,_xll.qlRateHelperEarliestDate(M307,Trigger),)</f>
        <v>#VALUE!</v>
      </c>
      <c r="P307" s="120" t="e">
        <f>_xll.qlRateHelperQuoteValue(M307,_xll.ohTrigger(RecalcTrigger,YieldCurve))</f>
        <v>#NUM!</v>
      </c>
      <c r="Q307" s="123" t="e">
        <f t="shared" si="31"/>
        <v>#NUM!</v>
      </c>
      <c r="R307" s="123">
        <v>2</v>
      </c>
      <c r="S307" s="123" t="e">
        <f>_xll.qlSwapIndex(,"Euribor",Q307,NDays,Currency,Calendar,"1Y","mf","30/360 (Bond Basis)",IborIndex,Discounting,,_xll.ohTrigger(Trigger,RecalcTrigger))</f>
        <v>#VALUE!</v>
      </c>
      <c r="T307" s="123" t="e">
        <f>_xll.qlVanillaSwapFromSwapIndex(,S307,O307)</f>
        <v>#VALUE!</v>
      </c>
      <c r="U307" s="110" t="e">
        <f>_xll.qlVanillaSwapFairRate(T307)</f>
        <v>#VALUE!</v>
      </c>
      <c r="V307" s="206" t="e">
        <f t="shared" si="28"/>
        <v>#VALUE!</v>
      </c>
      <c r="Y307" s="105" t="str">
        <f t="shared" si="30"/>
        <v>1D</v>
      </c>
      <c r="Z307" s="93">
        <f>_xll.qlCalendarAdvance(Calendar,Z306,Y307,"f",FALSE)</f>
        <v>42593</v>
      </c>
      <c r="AA307" s="117">
        <f>_xll.qlCalendarAdvance(Calendar,Z307,NDays&amp;"D")</f>
        <v>42597</v>
      </c>
      <c r="AB307" s="92">
        <v>1.4600058437395866E-3</v>
      </c>
      <c r="AC307" s="101">
        <v>9.1667958695751395E-4</v>
      </c>
    </row>
    <row r="308" spans="13:29" x14ac:dyDescent="0.2">
      <c r="M308" s="209">
        <f>RateHelpers!B297</f>
        <v>0</v>
      </c>
      <c r="N308" s="105" t="e">
        <f>_xll.qlRateHelperQuoteName(M308)</f>
        <v>#NUM!</v>
      </c>
      <c r="O308" s="93" t="e">
        <f>_xll.qlInterestRateIndexFixingDate(S308,_xll.qlRateHelperEarliestDate(M308,Trigger),)</f>
        <v>#VALUE!</v>
      </c>
      <c r="P308" s="120" t="e">
        <f>_xll.qlRateHelperQuoteValue(M308,_xll.ohTrigger(RecalcTrigger,YieldCurve))</f>
        <v>#NUM!</v>
      </c>
      <c r="Q308" s="123" t="e">
        <f t="shared" si="31"/>
        <v>#NUM!</v>
      </c>
      <c r="R308" s="123">
        <v>2</v>
      </c>
      <c r="S308" s="123" t="e">
        <f>_xll.qlSwapIndex(,"Euribor",Q308,NDays,Currency,Calendar,"1Y","mf","30/360 (Bond Basis)",IborIndex,Discounting,,_xll.ohTrigger(Trigger,RecalcTrigger))</f>
        <v>#VALUE!</v>
      </c>
      <c r="T308" s="123" t="e">
        <f>_xll.qlVanillaSwapFromSwapIndex(,S308,O308)</f>
        <v>#VALUE!</v>
      </c>
      <c r="U308" s="110" t="e">
        <f>_xll.qlVanillaSwapFairRate(T308)</f>
        <v>#VALUE!</v>
      </c>
      <c r="V308" s="206" t="e">
        <f t="shared" si="28"/>
        <v>#VALUE!</v>
      </c>
      <c r="Y308" s="105" t="str">
        <f t="shared" si="30"/>
        <v>1D</v>
      </c>
      <c r="Z308" s="93">
        <f>_xll.qlCalendarAdvance(Calendar,Z307,Y308,"f",FALSE)</f>
        <v>42594</v>
      </c>
      <c r="AA308" s="117">
        <f>_xll.qlCalendarAdvance(Calendar,Z308,NDays&amp;"D")</f>
        <v>42598</v>
      </c>
      <c r="AB308" s="92">
        <v>1.4630163585883022E-3</v>
      </c>
      <c r="AC308" s="101">
        <v>9.0556571265665298E-4</v>
      </c>
    </row>
    <row r="309" spans="13:29" x14ac:dyDescent="0.2">
      <c r="M309" s="209">
        <f>RateHelpers!B298</f>
        <v>0</v>
      </c>
      <c r="N309" s="105" t="e">
        <f>_xll.qlRateHelperQuoteName(M309)</f>
        <v>#NUM!</v>
      </c>
      <c r="O309" s="93" t="e">
        <f>_xll.qlInterestRateIndexFixingDate(S309,_xll.qlRateHelperEarliestDate(M309,Trigger),)</f>
        <v>#VALUE!</v>
      </c>
      <c r="P309" s="120" t="e">
        <f>_xll.qlRateHelperQuoteValue(M309,_xll.ohTrigger(RecalcTrigger,YieldCurve))</f>
        <v>#NUM!</v>
      </c>
      <c r="Q309" s="123" t="e">
        <f t="shared" si="31"/>
        <v>#NUM!</v>
      </c>
      <c r="R309" s="123">
        <v>2</v>
      </c>
      <c r="S309" s="123" t="e">
        <f>_xll.qlSwapIndex(,"Euribor",Q309,NDays,Currency,Calendar,"1Y","mf","30/360 (Bond Basis)",IborIndex,Discounting,,_xll.ohTrigger(Trigger,RecalcTrigger))</f>
        <v>#VALUE!</v>
      </c>
      <c r="T309" s="123" t="e">
        <f>_xll.qlVanillaSwapFromSwapIndex(,S309,O309)</f>
        <v>#VALUE!</v>
      </c>
      <c r="U309" s="110" t="e">
        <f>_xll.qlVanillaSwapFairRate(T309)</f>
        <v>#VALUE!</v>
      </c>
      <c r="V309" s="206" t="e">
        <f t="shared" si="28"/>
        <v>#VALUE!</v>
      </c>
      <c r="Y309" s="105" t="str">
        <f t="shared" si="30"/>
        <v>1D</v>
      </c>
      <c r="Z309" s="93">
        <f>_xll.qlCalendarAdvance(Calendar,Z308,Y309,"f",FALSE)</f>
        <v>42597</v>
      </c>
      <c r="AA309" s="117">
        <f>_xll.qlCalendarAdvance(Calendar,Z309,NDays&amp;"D")</f>
        <v>42599</v>
      </c>
      <c r="AB309" s="92">
        <v>1.466051158730794E-3</v>
      </c>
      <c r="AC309" s="101">
        <v>8.9624436432345078E-4</v>
      </c>
    </row>
    <row r="310" spans="13:29" x14ac:dyDescent="0.2">
      <c r="M310" s="209">
        <f>RateHelpers!B299</f>
        <v>0</v>
      </c>
      <c r="N310" s="105" t="e">
        <f>_xll.qlRateHelperQuoteName(M310)</f>
        <v>#NUM!</v>
      </c>
      <c r="O310" s="93" t="e">
        <f>_xll.qlInterestRateIndexFixingDate(S310,_xll.qlRateHelperEarliestDate(M310,Trigger),)</f>
        <v>#VALUE!</v>
      </c>
      <c r="P310" s="120" t="e">
        <f>_xll.qlRateHelperQuoteValue(M310,_xll.ohTrigger(RecalcTrigger,YieldCurve))</f>
        <v>#NUM!</v>
      </c>
      <c r="Q310" s="123" t="e">
        <f t="shared" si="31"/>
        <v>#NUM!</v>
      </c>
      <c r="R310" s="123">
        <v>2</v>
      </c>
      <c r="S310" s="123" t="e">
        <f>_xll.qlSwapIndex(,"Euribor",Q310,NDays,Currency,Calendar,"1Y","mf","30/360 (Bond Basis)",IborIndex,Discounting,,_xll.ohTrigger(Trigger,RecalcTrigger))</f>
        <v>#VALUE!</v>
      </c>
      <c r="T310" s="123" t="e">
        <f>_xll.qlVanillaSwapFromSwapIndex(,S310,O310)</f>
        <v>#VALUE!</v>
      </c>
      <c r="U310" s="110" t="e">
        <f>_xll.qlVanillaSwapFairRate(T310)</f>
        <v>#VALUE!</v>
      </c>
      <c r="V310" s="206" t="e">
        <f t="shared" si="28"/>
        <v>#VALUE!</v>
      </c>
      <c r="Y310" s="105" t="str">
        <f t="shared" si="30"/>
        <v>1D</v>
      </c>
      <c r="Z310" s="93">
        <f>_xll.qlCalendarAdvance(Calendar,Z309,Y310,"f",FALSE)</f>
        <v>42598</v>
      </c>
      <c r="AA310" s="117">
        <f>_xll.qlCalendarAdvance(Calendar,Z310,NDays&amp;"D")</f>
        <v>42600</v>
      </c>
      <c r="AB310" s="92">
        <v>1.4690371986938382E-3</v>
      </c>
      <c r="AC310" s="101">
        <v>8.8871554195790736E-4</v>
      </c>
    </row>
    <row r="311" spans="13:29" ht="12" thickBot="1" x14ac:dyDescent="0.25">
      <c r="M311" s="210">
        <f>RateHelpers!B300</f>
        <v>0</v>
      </c>
      <c r="N311" s="106" t="e">
        <f>_xll.qlRateHelperQuoteName(M311)</f>
        <v>#NUM!</v>
      </c>
      <c r="O311" s="103" t="e">
        <f>_xll.qlInterestRateIndexFixingDate(S311,_xll.qlRateHelperEarliestDate(M311,Trigger),)</f>
        <v>#VALUE!</v>
      </c>
      <c r="P311" s="121" t="e">
        <f>_xll.qlRateHelperQuoteValue(M311,_xll.ohTrigger(RecalcTrigger,YieldCurve))</f>
        <v>#NUM!</v>
      </c>
      <c r="Q311" s="124" t="e">
        <f t="shared" si="31"/>
        <v>#NUM!</v>
      </c>
      <c r="R311" s="124">
        <v>2</v>
      </c>
      <c r="S311" s="124" t="e">
        <f>_xll.qlSwapIndex(,"Euribor",Q311,NDays,Currency,Calendar,"1Y","mf","30/360 (Bond Basis)",IborIndex,Discounting,,_xll.ohTrigger(Trigger,RecalcTrigger))</f>
        <v>#VALUE!</v>
      </c>
      <c r="T311" s="124" t="e">
        <f>_xll.qlVanillaSwapFromSwapIndex(,S311,O311)</f>
        <v>#VALUE!</v>
      </c>
      <c r="U311" s="112" t="e">
        <f>_xll.qlVanillaSwapFairRate(T311)</f>
        <v>#VALUE!</v>
      </c>
      <c r="V311" s="207" t="e">
        <f t="shared" si="28"/>
        <v>#VALUE!</v>
      </c>
      <c r="Y311" s="105" t="str">
        <f t="shared" si="30"/>
        <v>1D</v>
      </c>
      <c r="Z311" s="93">
        <f>_xll.qlCalendarAdvance(Calendar,Z310,Y311,"f",FALSE)</f>
        <v>42599</v>
      </c>
      <c r="AA311" s="117">
        <f>_xll.qlCalendarAdvance(Calendar,Z311,NDays&amp;"D")</f>
        <v>42601</v>
      </c>
      <c r="AB311" s="92">
        <v>1.4721704382341287E-3</v>
      </c>
      <c r="AC311" s="101">
        <v>8.7963513214717182E-4</v>
      </c>
    </row>
    <row r="312" spans="13:29" x14ac:dyDescent="0.2">
      <c r="M312" s="211">
        <f>RateHelpers!B301</f>
        <v>0</v>
      </c>
      <c r="N312" s="195" t="e">
        <f>_xll.qlRateHelperQuoteName(M312)</f>
        <v>#NUM!</v>
      </c>
      <c r="O312" s="192" t="e">
        <f>_xll.qlInterestRateIndexFixingDate(S312,_xll.qlRateHelperEarliestDate(M312,Trigger),)</f>
        <v>#VALUE!</v>
      </c>
      <c r="P312" s="193" t="e">
        <f>_xll.qlRateHelperQuoteValue(M312,_xll.ohTrigger(RecalcTrigger,YieldCurve))</f>
        <v>#NUM!</v>
      </c>
      <c r="Q312" s="191" t="e">
        <f t="shared" ref="Q312:Q329" si="32">SUBSTITUTE(SUBSTITUTE(N312,"_Quote",""),"EUR14F","")</f>
        <v>#NUM!</v>
      </c>
      <c r="R312" s="191">
        <v>2</v>
      </c>
      <c r="S312" s="191" t="e">
        <f>_xll.qlSwapIndex(,"Euribor",Q312,NDays,Currency,Calendar,"1Y","mf","30/360 (Bond Basis)",IborIndex,Discounting,,_xll.ohTrigger(Trigger,RecalcTrigger))</f>
        <v>#VALUE!</v>
      </c>
      <c r="T312" s="191" t="e">
        <f>_xll.qlVanillaSwapFromSwapIndex(,S312,O312)</f>
        <v>#VALUE!</v>
      </c>
      <c r="U312" s="194" t="e">
        <f>_xll.qlVanillaSwapFairRate(T312)</f>
        <v>#VALUE!</v>
      </c>
      <c r="V312" s="208" t="e">
        <f t="shared" si="28"/>
        <v>#VALUE!</v>
      </c>
      <c r="Y312" s="105" t="str">
        <f t="shared" si="30"/>
        <v>1D</v>
      </c>
      <c r="Z312" s="93">
        <f>_xll.qlCalendarAdvance(Calendar,Z311,Y312,"f",FALSE)</f>
        <v>42600</v>
      </c>
      <c r="AA312" s="117">
        <f>_xll.qlCalendarAdvance(Calendar,Z312,NDays&amp;"D")</f>
        <v>42604</v>
      </c>
      <c r="AB312" s="92">
        <v>1.4818263010753774E-3</v>
      </c>
      <c r="AC312" s="101">
        <v>8.7652550929462336E-4</v>
      </c>
    </row>
    <row r="313" spans="13:29" x14ac:dyDescent="0.2">
      <c r="M313" s="209">
        <f>RateHelpers!B302</f>
        <v>0</v>
      </c>
      <c r="N313" s="105" t="e">
        <f>_xll.qlRateHelperQuoteName(M313)</f>
        <v>#NUM!</v>
      </c>
      <c r="O313" s="93" t="e">
        <f>_xll.qlInterestRateIndexFixingDate(S313,_xll.qlRateHelperEarliestDate(M313,Trigger),)</f>
        <v>#VALUE!</v>
      </c>
      <c r="P313" s="120" t="e">
        <f>_xll.qlRateHelperQuoteValue(M313,_xll.ohTrigger(RecalcTrigger,YieldCurve))</f>
        <v>#NUM!</v>
      </c>
      <c r="Q313" s="123" t="e">
        <f t="shared" si="32"/>
        <v>#NUM!</v>
      </c>
      <c r="R313" s="123">
        <v>2</v>
      </c>
      <c r="S313" s="123" t="e">
        <f>_xll.qlSwapIndex(,"Euribor",Q313,NDays,Currency,Calendar,"1Y","mf","30/360 (Bond Basis)",IborIndex,Discounting,,_xll.ohTrigger(Trigger,RecalcTrigger))</f>
        <v>#VALUE!</v>
      </c>
      <c r="T313" s="123" t="e">
        <f>_xll.qlVanillaSwapFromSwapIndex(,S313,O313)</f>
        <v>#VALUE!</v>
      </c>
      <c r="U313" s="110" t="e">
        <f>_xll.qlVanillaSwapFairRate(T313)</f>
        <v>#VALUE!</v>
      </c>
      <c r="V313" s="206" t="e">
        <f t="shared" si="28"/>
        <v>#VALUE!</v>
      </c>
      <c r="Y313" s="105" t="str">
        <f t="shared" si="30"/>
        <v>1D</v>
      </c>
      <c r="Z313" s="93">
        <f>_xll.qlCalendarAdvance(Calendar,Z312,Y313,"f",FALSE)</f>
        <v>42601</v>
      </c>
      <c r="AA313" s="117">
        <f>_xll.qlCalendarAdvance(Calendar,Z313,NDays&amp;"D")</f>
        <v>42605</v>
      </c>
      <c r="AB313" s="92">
        <v>1.4851489309605178E-3</v>
      </c>
      <c r="AC313" s="101">
        <v>8.7795931524858872E-4</v>
      </c>
    </row>
    <row r="314" spans="13:29" x14ac:dyDescent="0.2">
      <c r="M314" s="209">
        <f>RateHelpers!B303</f>
        <v>0</v>
      </c>
      <c r="N314" s="105" t="e">
        <f>_xll.qlRateHelperQuoteName(M314)</f>
        <v>#NUM!</v>
      </c>
      <c r="O314" s="93" t="e">
        <f>_xll.qlInterestRateIndexFixingDate(S314,_xll.qlRateHelperEarliestDate(M314,Trigger),)</f>
        <v>#VALUE!</v>
      </c>
      <c r="P314" s="120" t="e">
        <f>_xll.qlRateHelperQuoteValue(M314,_xll.ohTrigger(RecalcTrigger,YieldCurve))</f>
        <v>#NUM!</v>
      </c>
      <c r="Q314" s="123" t="e">
        <f t="shared" si="32"/>
        <v>#NUM!</v>
      </c>
      <c r="R314" s="123">
        <v>2</v>
      </c>
      <c r="S314" s="123" t="e">
        <f>_xll.qlSwapIndex(,"Euribor",Q314,NDays,Currency,Calendar,"1Y","mf","30/360 (Bond Basis)",IborIndex,Discounting,,_xll.ohTrigger(Trigger,RecalcTrigger))</f>
        <v>#VALUE!</v>
      </c>
      <c r="T314" s="123" t="e">
        <f>_xll.qlVanillaSwapFromSwapIndex(,S314,O314)</f>
        <v>#VALUE!</v>
      </c>
      <c r="U314" s="110" t="e">
        <f>_xll.qlVanillaSwapFairRate(T314)</f>
        <v>#VALUE!</v>
      </c>
      <c r="V314" s="206" t="e">
        <f t="shared" si="28"/>
        <v>#VALUE!</v>
      </c>
      <c r="Y314" s="105" t="str">
        <f t="shared" si="30"/>
        <v>1D</v>
      </c>
      <c r="Z314" s="93">
        <f>_xll.qlCalendarAdvance(Calendar,Z313,Y314,"f",FALSE)</f>
        <v>42604</v>
      </c>
      <c r="AA314" s="117">
        <f>_xll.qlCalendarAdvance(Calendar,Z314,NDays&amp;"D")</f>
        <v>42606</v>
      </c>
      <c r="AB314" s="92">
        <v>1.4885432192409628E-3</v>
      </c>
      <c r="AC314" s="101">
        <v>8.8118564669059651E-4</v>
      </c>
    </row>
    <row r="315" spans="13:29" x14ac:dyDescent="0.2">
      <c r="M315" s="209">
        <f>RateHelpers!B304</f>
        <v>0</v>
      </c>
      <c r="N315" s="105" t="e">
        <f>_xll.qlRateHelperQuoteName(M315)</f>
        <v>#NUM!</v>
      </c>
      <c r="O315" s="93" t="e">
        <f>_xll.qlInterestRateIndexFixingDate(S315,_xll.qlRateHelperEarliestDate(M315,Trigger),)</f>
        <v>#VALUE!</v>
      </c>
      <c r="P315" s="120" t="e">
        <f>_xll.qlRateHelperQuoteValue(M315,_xll.ohTrigger(RecalcTrigger,YieldCurve))</f>
        <v>#NUM!</v>
      </c>
      <c r="Q315" s="123" t="e">
        <f t="shared" si="32"/>
        <v>#NUM!</v>
      </c>
      <c r="R315" s="123">
        <v>2</v>
      </c>
      <c r="S315" s="123" t="e">
        <f>_xll.qlSwapIndex(,"Euribor",Q315,NDays,Currency,Calendar,"1Y","mf","30/360 (Bond Basis)",IborIndex,Discounting,,_xll.ohTrigger(Trigger,RecalcTrigger))</f>
        <v>#VALUE!</v>
      </c>
      <c r="T315" s="123" t="e">
        <f>_xll.qlVanillaSwapFromSwapIndex(,S315,O315)</f>
        <v>#VALUE!</v>
      </c>
      <c r="U315" s="110" t="e">
        <f>_xll.qlVanillaSwapFairRate(T315)</f>
        <v>#VALUE!</v>
      </c>
      <c r="V315" s="206" t="e">
        <f t="shared" si="28"/>
        <v>#VALUE!</v>
      </c>
      <c r="Y315" s="105" t="str">
        <f t="shared" si="30"/>
        <v>1D</v>
      </c>
      <c r="Z315" s="93">
        <f>_xll.qlCalendarAdvance(Calendar,Z314,Y315,"f",FALSE)</f>
        <v>42605</v>
      </c>
      <c r="AA315" s="117">
        <f>_xll.qlCalendarAdvance(Calendar,Z315,NDays&amp;"D")</f>
        <v>42607</v>
      </c>
      <c r="AB315" s="92">
        <v>1.4926760702993836E-3</v>
      </c>
      <c r="AC315" s="101">
        <v>8.8620450394039096E-4</v>
      </c>
    </row>
    <row r="316" spans="13:29" x14ac:dyDescent="0.2">
      <c r="M316" s="209">
        <f>RateHelpers!B305</f>
        <v>0</v>
      </c>
      <c r="N316" s="105" t="e">
        <f>_xll.qlRateHelperQuoteName(M316)</f>
        <v>#NUM!</v>
      </c>
      <c r="O316" s="93" t="e">
        <f>_xll.qlInterestRateIndexFixingDate(S316,_xll.qlRateHelperEarliestDate(M316,Trigger),)</f>
        <v>#VALUE!</v>
      </c>
      <c r="P316" s="120" t="e">
        <f>_xll.qlRateHelperQuoteValue(M316,_xll.ohTrigger(RecalcTrigger,YieldCurve))</f>
        <v>#NUM!</v>
      </c>
      <c r="Q316" s="123" t="e">
        <f t="shared" si="32"/>
        <v>#NUM!</v>
      </c>
      <c r="R316" s="123">
        <v>2</v>
      </c>
      <c r="S316" s="123" t="e">
        <f>_xll.qlSwapIndex(,"Euribor",Q316,NDays,Currency,Calendar,"1Y","mf","30/360 (Bond Basis)",IborIndex,Discounting,,_xll.ohTrigger(Trigger,RecalcTrigger))</f>
        <v>#VALUE!</v>
      </c>
      <c r="T316" s="123" t="e">
        <f>_xll.qlVanillaSwapFromSwapIndex(,S316,O316)</f>
        <v>#VALUE!</v>
      </c>
      <c r="U316" s="110" t="e">
        <f>_xll.qlVanillaSwapFairRate(T316)</f>
        <v>#VALUE!</v>
      </c>
      <c r="V316" s="206" t="e">
        <f t="shared" si="28"/>
        <v>#VALUE!</v>
      </c>
      <c r="Y316" s="105" t="str">
        <f t="shared" si="30"/>
        <v>1D</v>
      </c>
      <c r="Z316" s="93">
        <f>_xll.qlCalendarAdvance(Calendar,Z315,Y316,"f",FALSE)</f>
        <v>42606</v>
      </c>
      <c r="AA316" s="117">
        <f>_xll.qlCalendarAdvance(Calendar,Z316,NDays&amp;"D")</f>
        <v>42608</v>
      </c>
      <c r="AB316" s="92">
        <v>1.4959506124319248E-3</v>
      </c>
      <c r="AC316" s="101">
        <v>9.022195653507481E-4</v>
      </c>
    </row>
    <row r="317" spans="13:29" x14ac:dyDescent="0.2">
      <c r="M317" s="209">
        <f>RateHelpers!B306</f>
        <v>0</v>
      </c>
      <c r="N317" s="105" t="e">
        <f>_xll.qlRateHelperQuoteName(M317)</f>
        <v>#NUM!</v>
      </c>
      <c r="O317" s="93" t="e">
        <f>_xll.qlInterestRateIndexFixingDate(S317,_xll.qlRateHelperEarliestDate(M317,Trigger),)</f>
        <v>#VALUE!</v>
      </c>
      <c r="P317" s="120" t="e">
        <f>_xll.qlRateHelperQuoteValue(M317,_xll.ohTrigger(RecalcTrigger,YieldCurve))</f>
        <v>#NUM!</v>
      </c>
      <c r="Q317" s="123" t="e">
        <f t="shared" si="32"/>
        <v>#NUM!</v>
      </c>
      <c r="R317" s="123">
        <v>2</v>
      </c>
      <c r="S317" s="123" t="e">
        <f>_xll.qlSwapIndex(,"Euribor",Q317,NDays,Currency,Calendar,"1Y","mf","30/360 (Bond Basis)",IborIndex,Discounting,,_xll.ohTrigger(Trigger,RecalcTrigger))</f>
        <v>#VALUE!</v>
      </c>
      <c r="T317" s="123" t="e">
        <f>_xll.qlVanillaSwapFromSwapIndex(,S317,O317)</f>
        <v>#VALUE!</v>
      </c>
      <c r="U317" s="110" t="e">
        <f>_xll.qlVanillaSwapFairRate(T317)</f>
        <v>#VALUE!</v>
      </c>
      <c r="V317" s="206" t="e">
        <f t="shared" si="28"/>
        <v>#VALUE!</v>
      </c>
      <c r="Y317" s="105" t="str">
        <f t="shared" si="30"/>
        <v>1D</v>
      </c>
      <c r="Z317" s="93">
        <f>_xll.qlCalendarAdvance(Calendar,Z316,Y317,"f",FALSE)</f>
        <v>42607</v>
      </c>
      <c r="AA317" s="117">
        <f>_xll.qlCalendarAdvance(Calendar,Z317,NDays&amp;"D")</f>
        <v>42611</v>
      </c>
      <c r="AB317" s="92">
        <v>1.506197765378944E-3</v>
      </c>
      <c r="AC317" s="101">
        <v>9.242051913371796E-4</v>
      </c>
    </row>
    <row r="318" spans="13:29" x14ac:dyDescent="0.2">
      <c r="M318" s="209">
        <f>RateHelpers!B307</f>
        <v>0</v>
      </c>
      <c r="N318" s="105" t="e">
        <f>_xll.qlRateHelperQuoteName(M318)</f>
        <v>#NUM!</v>
      </c>
      <c r="O318" s="93" t="e">
        <f>_xll.qlInterestRateIndexFixingDate(S318,_xll.qlRateHelperEarliestDate(M318,Trigger),)</f>
        <v>#VALUE!</v>
      </c>
      <c r="P318" s="120" t="e">
        <f>_xll.qlRateHelperQuoteValue(M318,_xll.ohTrigger(RecalcTrigger,YieldCurve))</f>
        <v>#NUM!</v>
      </c>
      <c r="Q318" s="123" t="e">
        <f t="shared" si="32"/>
        <v>#NUM!</v>
      </c>
      <c r="R318" s="123">
        <v>2</v>
      </c>
      <c r="S318" s="123" t="e">
        <f>_xll.qlSwapIndex(,"Euribor",Q318,NDays,Currency,Calendar,"1Y","mf","30/360 (Bond Basis)",IborIndex,Discounting,,_xll.ohTrigger(Trigger,RecalcTrigger))</f>
        <v>#VALUE!</v>
      </c>
      <c r="T318" s="123" t="e">
        <f>_xll.qlVanillaSwapFromSwapIndex(,S318,O318)</f>
        <v>#VALUE!</v>
      </c>
      <c r="U318" s="110" t="e">
        <f>_xll.qlVanillaSwapFairRate(T318)</f>
        <v>#VALUE!</v>
      </c>
      <c r="V318" s="206" t="e">
        <f t="shared" si="28"/>
        <v>#VALUE!</v>
      </c>
      <c r="Y318" s="105" t="str">
        <f t="shared" si="30"/>
        <v>1D</v>
      </c>
      <c r="Z318" s="93">
        <f>_xll.qlCalendarAdvance(Calendar,Z317,Y318,"f",FALSE)</f>
        <v>42608</v>
      </c>
      <c r="AA318" s="117">
        <f>_xll.qlCalendarAdvance(Calendar,Z318,NDays&amp;"D")</f>
        <v>42612</v>
      </c>
      <c r="AB318" s="92">
        <v>1.5093916518089351E-3</v>
      </c>
      <c r="AC318" s="101">
        <v>9.3818667850520399E-4</v>
      </c>
    </row>
    <row r="319" spans="13:29" x14ac:dyDescent="0.2">
      <c r="M319" s="209">
        <f>RateHelpers!B308</f>
        <v>0</v>
      </c>
      <c r="N319" s="105" t="e">
        <f>_xll.qlRateHelperQuoteName(M319)</f>
        <v>#NUM!</v>
      </c>
      <c r="O319" s="93" t="e">
        <f>_xll.qlInterestRateIndexFixingDate(S319,_xll.qlRateHelperEarliestDate(M319,Trigger),)</f>
        <v>#VALUE!</v>
      </c>
      <c r="P319" s="120" t="e">
        <f>_xll.qlRateHelperQuoteValue(M319,_xll.ohTrigger(RecalcTrigger,YieldCurve))</f>
        <v>#NUM!</v>
      </c>
      <c r="Q319" s="123" t="e">
        <f t="shared" si="32"/>
        <v>#NUM!</v>
      </c>
      <c r="R319" s="123">
        <v>2</v>
      </c>
      <c r="S319" s="123" t="e">
        <f>_xll.qlSwapIndex(,"Euribor",Q319,NDays,Currency,Calendar,"1Y","mf","30/360 (Bond Basis)",IborIndex,Discounting,,_xll.ohTrigger(Trigger,RecalcTrigger))</f>
        <v>#VALUE!</v>
      </c>
      <c r="T319" s="123" t="e">
        <f>_xll.qlVanillaSwapFromSwapIndex(,S319,O319)</f>
        <v>#VALUE!</v>
      </c>
      <c r="U319" s="110" t="e">
        <f>_xll.qlVanillaSwapFairRate(T319)</f>
        <v>#VALUE!</v>
      </c>
      <c r="V319" s="206" t="e">
        <f t="shared" si="28"/>
        <v>#VALUE!</v>
      </c>
      <c r="Y319" s="105" t="str">
        <f t="shared" si="30"/>
        <v>1D</v>
      </c>
      <c r="Z319" s="93">
        <f>_xll.qlCalendarAdvance(Calendar,Z318,Y319,"f",FALSE)</f>
        <v>42611</v>
      </c>
      <c r="AA319" s="117">
        <f>_xll.qlCalendarAdvance(Calendar,Z319,NDays&amp;"D")</f>
        <v>42613</v>
      </c>
      <c r="AB319" s="92">
        <v>1.5125435385904672E-3</v>
      </c>
      <c r="AC319" s="101">
        <v>9.5396069228037561E-4</v>
      </c>
    </row>
    <row r="320" spans="13:29" x14ac:dyDescent="0.2">
      <c r="M320" s="209">
        <f>RateHelpers!B309</f>
        <v>0</v>
      </c>
      <c r="N320" s="105" t="e">
        <f>_xll.qlRateHelperQuoteName(M320)</f>
        <v>#NUM!</v>
      </c>
      <c r="O320" s="93" t="e">
        <f>_xll.qlInterestRateIndexFixingDate(S320,_xll.qlRateHelperEarliestDate(M320,Trigger),)</f>
        <v>#VALUE!</v>
      </c>
      <c r="P320" s="120" t="e">
        <f>_xll.qlRateHelperQuoteValue(M320,_xll.ohTrigger(RecalcTrigger,YieldCurve))</f>
        <v>#NUM!</v>
      </c>
      <c r="Q320" s="123" t="e">
        <f t="shared" si="32"/>
        <v>#NUM!</v>
      </c>
      <c r="R320" s="123">
        <v>2</v>
      </c>
      <c r="S320" s="123" t="e">
        <f>_xll.qlSwapIndex(,"Euribor",Q320,NDays,Currency,Calendar,"1Y","mf","30/360 (Bond Basis)",IborIndex,Discounting,,_xll.ohTrigger(Trigger,RecalcTrigger))</f>
        <v>#VALUE!</v>
      </c>
      <c r="T320" s="123" t="e">
        <f>_xll.qlVanillaSwapFromSwapIndex(,S320,O320)</f>
        <v>#VALUE!</v>
      </c>
      <c r="U320" s="110" t="e">
        <f>_xll.qlVanillaSwapFairRate(T320)</f>
        <v>#VALUE!</v>
      </c>
      <c r="V320" s="206" t="e">
        <f t="shared" si="28"/>
        <v>#VALUE!</v>
      </c>
      <c r="Y320" s="105" t="str">
        <f t="shared" si="30"/>
        <v>1D</v>
      </c>
      <c r="Z320" s="93">
        <f>_xll.qlCalendarAdvance(Calendar,Z319,Y320,"f",FALSE)</f>
        <v>42612</v>
      </c>
      <c r="AA320" s="117">
        <f>_xll.qlCalendarAdvance(Calendar,Z320,NDays&amp;"D")</f>
        <v>42614</v>
      </c>
      <c r="AB320" s="92">
        <v>1.5162295732953344E-3</v>
      </c>
      <c r="AC320" s="101">
        <v>9.7152723282256659E-4</v>
      </c>
    </row>
    <row r="321" spans="13:29" x14ac:dyDescent="0.2">
      <c r="M321" s="209">
        <f>RateHelpers!B310</f>
        <v>0</v>
      </c>
      <c r="N321" s="105" t="e">
        <f>_xll.qlRateHelperQuoteName(M321)</f>
        <v>#NUM!</v>
      </c>
      <c r="O321" s="93" t="e">
        <f>_xll.qlInterestRateIndexFixingDate(S321,_xll.qlRateHelperEarliestDate(M321,Trigger),)</f>
        <v>#VALUE!</v>
      </c>
      <c r="P321" s="120" t="e">
        <f>_xll.qlRateHelperQuoteValue(M321,_xll.ohTrigger(RecalcTrigger,YieldCurve))</f>
        <v>#NUM!</v>
      </c>
      <c r="Q321" s="123" t="e">
        <f t="shared" si="32"/>
        <v>#NUM!</v>
      </c>
      <c r="R321" s="123">
        <v>2</v>
      </c>
      <c r="S321" s="123" t="e">
        <f>_xll.qlSwapIndex(,"Euribor",Q321,NDays,Currency,Calendar,"1Y","mf","30/360 (Bond Basis)",IborIndex,Discounting,,_xll.ohTrigger(Trigger,RecalcTrigger))</f>
        <v>#VALUE!</v>
      </c>
      <c r="T321" s="123" t="e">
        <f>_xll.qlVanillaSwapFromSwapIndex(,S321,O321)</f>
        <v>#VALUE!</v>
      </c>
      <c r="U321" s="110" t="e">
        <f>_xll.qlVanillaSwapFairRate(T321)</f>
        <v>#VALUE!</v>
      </c>
      <c r="V321" s="206" t="e">
        <f t="shared" si="28"/>
        <v>#VALUE!</v>
      </c>
      <c r="Y321" s="105" t="str">
        <f t="shared" si="30"/>
        <v>1D</v>
      </c>
      <c r="Z321" s="93">
        <f>_xll.qlCalendarAdvance(Calendar,Z320,Y321,"f",FALSE)</f>
        <v>42613</v>
      </c>
      <c r="AA321" s="117">
        <f>_xll.qlCalendarAdvance(Calendar,Z321,NDays&amp;"D")</f>
        <v>42615</v>
      </c>
      <c r="AB321" s="92">
        <v>1.5199999999998886E-3</v>
      </c>
      <c r="AC321" s="101">
        <v>1.0090193119172142E-3</v>
      </c>
    </row>
    <row r="322" spans="13:29" x14ac:dyDescent="0.2">
      <c r="M322" s="209">
        <f>RateHelpers!B311</f>
        <v>0</v>
      </c>
      <c r="N322" s="105" t="e">
        <f>_xll.qlRateHelperQuoteName(M322)</f>
        <v>#NUM!</v>
      </c>
      <c r="O322" s="93" t="e">
        <f>_xll.qlInterestRateIndexFixingDate(S322,_xll.qlRateHelperEarliestDate(M322,Trigger),)</f>
        <v>#VALUE!</v>
      </c>
      <c r="P322" s="120" t="e">
        <f>_xll.qlRateHelperQuoteValue(M322,_xll.ohTrigger(RecalcTrigger,YieldCurve))</f>
        <v>#NUM!</v>
      </c>
      <c r="Q322" s="123" t="e">
        <f t="shared" si="32"/>
        <v>#NUM!</v>
      </c>
      <c r="R322" s="123">
        <v>2</v>
      </c>
      <c r="S322" s="123" t="e">
        <f>_xll.qlSwapIndex(,"Euribor",Q322,NDays,Currency,Calendar,"1Y","mf","30/360 (Bond Basis)",IborIndex,Discounting,,_xll.ohTrigger(Trigger,RecalcTrigger))</f>
        <v>#VALUE!</v>
      </c>
      <c r="T322" s="123" t="e">
        <f>_xll.qlVanillaSwapFromSwapIndex(,S322,O322)</f>
        <v>#VALUE!</v>
      </c>
      <c r="U322" s="110" t="e">
        <f>_xll.qlVanillaSwapFairRate(T322)</f>
        <v>#VALUE!</v>
      </c>
      <c r="V322" s="206" t="e">
        <f t="shared" si="28"/>
        <v>#VALUE!</v>
      </c>
      <c r="Y322" s="105" t="str">
        <f t="shared" si="30"/>
        <v>1D</v>
      </c>
      <c r="Z322" s="93">
        <f>_xll.qlCalendarAdvance(Calendar,Z321,Y322,"f",FALSE)</f>
        <v>42614</v>
      </c>
      <c r="AA322" s="117">
        <f>_xll.qlCalendarAdvance(Calendar,Z322,NDays&amp;"D")</f>
        <v>42618</v>
      </c>
      <c r="AB322" s="92">
        <v>1.5332632622322674E-3</v>
      </c>
      <c r="AC322" s="101">
        <v>1.0448408839724976E-3</v>
      </c>
    </row>
    <row r="323" spans="13:29" x14ac:dyDescent="0.2">
      <c r="M323" s="209">
        <f>RateHelpers!B312</f>
        <v>0</v>
      </c>
      <c r="N323" s="105" t="e">
        <f>_xll.qlRateHelperQuoteName(M323)</f>
        <v>#NUM!</v>
      </c>
      <c r="O323" s="93" t="e">
        <f>_xll.qlInterestRateIndexFixingDate(S323,_xll.qlRateHelperEarliestDate(M323,Trigger),)</f>
        <v>#VALUE!</v>
      </c>
      <c r="P323" s="120" t="e">
        <f>_xll.qlRateHelperQuoteValue(M323,_xll.ohTrigger(RecalcTrigger,YieldCurve))</f>
        <v>#NUM!</v>
      </c>
      <c r="Q323" s="123" t="e">
        <f t="shared" si="32"/>
        <v>#NUM!</v>
      </c>
      <c r="R323" s="123">
        <v>2</v>
      </c>
      <c r="S323" s="123" t="e">
        <f>_xll.qlSwapIndex(,"Euribor",Q323,NDays,Currency,Calendar,"1Y","mf","30/360 (Bond Basis)",IborIndex,Discounting,,_xll.ohTrigger(Trigger,RecalcTrigger))</f>
        <v>#VALUE!</v>
      </c>
      <c r="T323" s="123" t="e">
        <f>_xll.qlVanillaSwapFromSwapIndex(,S323,O323)</f>
        <v>#VALUE!</v>
      </c>
      <c r="U323" s="110" t="e">
        <f>_xll.qlVanillaSwapFairRate(T323)</f>
        <v>#VALUE!</v>
      </c>
      <c r="V323" s="206" t="e">
        <f t="shared" si="28"/>
        <v>#VALUE!</v>
      </c>
      <c r="Y323" s="105" t="str">
        <f t="shared" si="30"/>
        <v>1D</v>
      </c>
      <c r="Z323" s="93">
        <f>_xll.qlCalendarAdvance(Calendar,Z322,Y323,"f",FALSE)</f>
        <v>42615</v>
      </c>
      <c r="AA323" s="117">
        <f>_xll.qlCalendarAdvance(Calendar,Z323,NDays&amp;"D")</f>
        <v>42619</v>
      </c>
      <c r="AB323" s="92">
        <v>1.5359572705465857E-3</v>
      </c>
      <c r="AC323" s="101">
        <v>1.061719606791911E-3</v>
      </c>
    </row>
    <row r="324" spans="13:29" x14ac:dyDescent="0.2">
      <c r="M324" s="209">
        <f>RateHelpers!B313</f>
        <v>0</v>
      </c>
      <c r="N324" s="105" t="e">
        <f>_xll.qlRateHelperQuoteName(M324)</f>
        <v>#NUM!</v>
      </c>
      <c r="O324" s="93" t="e">
        <f>_xll.qlInterestRateIndexFixingDate(S324,_xll.qlRateHelperEarliestDate(M324,Trigger),)</f>
        <v>#VALUE!</v>
      </c>
      <c r="P324" s="120" t="e">
        <f>_xll.qlRateHelperQuoteValue(M324,_xll.ohTrigger(RecalcTrigger,YieldCurve))</f>
        <v>#NUM!</v>
      </c>
      <c r="Q324" s="123" t="e">
        <f t="shared" si="32"/>
        <v>#NUM!</v>
      </c>
      <c r="R324" s="123">
        <v>2</v>
      </c>
      <c r="S324" s="123" t="e">
        <f>_xll.qlSwapIndex(,"Euribor",Q324,NDays,Currency,Calendar,"1Y","mf","30/360 (Bond Basis)",IborIndex,Discounting,,_xll.ohTrigger(Trigger,RecalcTrigger))</f>
        <v>#VALUE!</v>
      </c>
      <c r="T324" s="123" t="e">
        <f>_xll.qlVanillaSwapFromSwapIndex(,S324,O324)</f>
        <v>#VALUE!</v>
      </c>
      <c r="U324" s="110" t="e">
        <f>_xll.qlVanillaSwapFairRate(T324)</f>
        <v>#VALUE!</v>
      </c>
      <c r="V324" s="206" t="e">
        <f t="shared" si="28"/>
        <v>#VALUE!</v>
      </c>
      <c r="Y324" s="105" t="str">
        <f t="shared" si="30"/>
        <v>1D</v>
      </c>
      <c r="Z324" s="93">
        <f>_xll.qlCalendarAdvance(Calendar,Z323,Y324,"f",FALSE)</f>
        <v>42618</v>
      </c>
      <c r="AA324" s="117">
        <f>_xll.qlCalendarAdvance(Calendar,Z324,NDays&amp;"D")</f>
        <v>42620</v>
      </c>
      <c r="AB324" s="92">
        <v>1.5401518672925512E-3</v>
      </c>
      <c r="AC324" s="101">
        <v>1.077978243229083E-3</v>
      </c>
    </row>
    <row r="325" spans="13:29" x14ac:dyDescent="0.2">
      <c r="M325" s="209">
        <f>RateHelpers!B314</f>
        <v>0</v>
      </c>
      <c r="N325" s="105" t="e">
        <f>_xll.qlRateHelperQuoteName(M325)</f>
        <v>#NUM!</v>
      </c>
      <c r="O325" s="93" t="e">
        <f>_xll.qlInterestRateIndexFixingDate(S325,_xll.qlRateHelperEarliestDate(M325,Trigger),)</f>
        <v>#VALUE!</v>
      </c>
      <c r="P325" s="120" t="e">
        <f>_xll.qlRateHelperQuoteValue(M325,_xll.ohTrigger(RecalcTrigger,YieldCurve))</f>
        <v>#NUM!</v>
      </c>
      <c r="Q325" s="123" t="e">
        <f t="shared" si="32"/>
        <v>#NUM!</v>
      </c>
      <c r="R325" s="123">
        <v>2</v>
      </c>
      <c r="S325" s="123" t="e">
        <f>_xll.qlSwapIndex(,"Euribor",Q325,NDays,Currency,Calendar,"1Y","mf","30/360 (Bond Basis)",IborIndex,Discounting,,_xll.ohTrigger(Trigger,RecalcTrigger))</f>
        <v>#VALUE!</v>
      </c>
      <c r="T325" s="123" t="e">
        <f>_xll.qlVanillaSwapFromSwapIndex(,S325,O325)</f>
        <v>#VALUE!</v>
      </c>
      <c r="U325" s="110" t="e">
        <f>_xll.qlVanillaSwapFairRate(T325)</f>
        <v>#VALUE!</v>
      </c>
      <c r="V325" s="206" t="e">
        <f t="shared" si="28"/>
        <v>#VALUE!</v>
      </c>
      <c r="Y325" s="105" t="str">
        <f t="shared" si="30"/>
        <v>1D</v>
      </c>
      <c r="Z325" s="93">
        <f>_xll.qlCalendarAdvance(Calendar,Z324,Y325,"f",FALSE)</f>
        <v>42619</v>
      </c>
      <c r="AA325" s="117">
        <f>_xll.qlCalendarAdvance(Calendar,Z325,NDays&amp;"D")</f>
        <v>42621</v>
      </c>
      <c r="AB325" s="92">
        <v>1.5444224686665224E-3</v>
      </c>
      <c r="AC325" s="101">
        <v>1.0936167932040775E-3</v>
      </c>
    </row>
    <row r="326" spans="13:29" x14ac:dyDescent="0.2">
      <c r="M326" s="209">
        <f>RateHelpers!B315</f>
        <v>0</v>
      </c>
      <c r="N326" s="105" t="e">
        <f>_xll.qlRateHelperQuoteName(M326)</f>
        <v>#NUM!</v>
      </c>
      <c r="O326" s="93" t="e">
        <f>_xll.qlInterestRateIndexFixingDate(S326,_xll.qlRateHelperEarliestDate(M326,Trigger),)</f>
        <v>#VALUE!</v>
      </c>
      <c r="P326" s="120" t="e">
        <f>_xll.qlRateHelperQuoteValue(M326,_xll.ohTrigger(RecalcTrigger,YieldCurve))</f>
        <v>#NUM!</v>
      </c>
      <c r="Q326" s="123" t="e">
        <f t="shared" si="32"/>
        <v>#NUM!</v>
      </c>
      <c r="R326" s="123">
        <v>2</v>
      </c>
      <c r="S326" s="123" t="e">
        <f>_xll.qlSwapIndex(,"Euribor",Q326,NDays,Currency,Calendar,"1Y","mf","30/360 (Bond Basis)",IborIndex,Discounting,,_xll.ohTrigger(Trigger,RecalcTrigger))</f>
        <v>#VALUE!</v>
      </c>
      <c r="T326" s="123" t="e">
        <f>_xll.qlVanillaSwapFromSwapIndex(,S326,O326)</f>
        <v>#VALUE!</v>
      </c>
      <c r="U326" s="110" t="e">
        <f>_xll.qlVanillaSwapFairRate(T326)</f>
        <v>#VALUE!</v>
      </c>
      <c r="V326" s="206" t="e">
        <f t="shared" si="28"/>
        <v>#VALUE!</v>
      </c>
      <c r="Y326" s="105" t="str">
        <f t="shared" si="30"/>
        <v>1D</v>
      </c>
      <c r="Z326" s="93">
        <f>_xll.qlCalendarAdvance(Calendar,Z325,Y326,"f",FALSE)</f>
        <v>42620</v>
      </c>
      <c r="AA326" s="117">
        <f>_xll.qlCalendarAdvance(Calendar,Z326,NDays&amp;"D")</f>
        <v>42622</v>
      </c>
      <c r="AB326" s="92">
        <v>1.5487660211296408E-3</v>
      </c>
      <c r="AC326" s="101">
        <v>1.122830439639344E-3</v>
      </c>
    </row>
    <row r="327" spans="13:29" x14ac:dyDescent="0.2">
      <c r="M327" s="209">
        <f>RateHelpers!B316</f>
        <v>0</v>
      </c>
      <c r="N327" s="105" t="e">
        <f>_xll.qlRateHelperQuoteName(M327)</f>
        <v>#NUM!</v>
      </c>
      <c r="O327" s="93" t="e">
        <f>_xll.qlInterestRateIndexFixingDate(S327,_xll.qlRateHelperEarliestDate(M327,Trigger),)</f>
        <v>#VALUE!</v>
      </c>
      <c r="P327" s="120" t="e">
        <f>_xll.qlRateHelperQuoteValue(M327,_xll.ohTrigger(RecalcTrigger,YieldCurve))</f>
        <v>#NUM!</v>
      </c>
      <c r="Q327" s="123" t="e">
        <f t="shared" si="32"/>
        <v>#NUM!</v>
      </c>
      <c r="R327" s="123">
        <v>2</v>
      </c>
      <c r="S327" s="123" t="e">
        <f>_xll.qlSwapIndex(,"Euribor",Q327,NDays,Currency,Calendar,"1Y","mf","30/360 (Bond Basis)",IborIndex,Discounting,,_xll.ohTrigger(Trigger,RecalcTrigger))</f>
        <v>#VALUE!</v>
      </c>
      <c r="T327" s="123" t="e">
        <f>_xll.qlVanillaSwapFromSwapIndex(,S327,O327)</f>
        <v>#VALUE!</v>
      </c>
      <c r="U327" s="110" t="e">
        <f>_xll.qlVanillaSwapFairRate(T327)</f>
        <v>#VALUE!</v>
      </c>
      <c r="V327" s="206" t="e">
        <f t="shared" si="28"/>
        <v>#VALUE!</v>
      </c>
      <c r="Y327" s="105" t="str">
        <f t="shared" si="30"/>
        <v>1D</v>
      </c>
      <c r="Z327" s="93">
        <f>_xll.qlCalendarAdvance(Calendar,Z326,Y327,"f",FALSE)</f>
        <v>42621</v>
      </c>
      <c r="AA327" s="117">
        <f>_xll.qlCalendarAdvance(Calendar,Z327,NDays&amp;"D")</f>
        <v>42625</v>
      </c>
      <c r="AB327" s="92">
        <v>1.564523326252227E-3</v>
      </c>
      <c r="AC327" s="101">
        <v>1.1499701266437512E-3</v>
      </c>
    </row>
    <row r="328" spans="13:29" x14ac:dyDescent="0.2">
      <c r="M328" s="209">
        <f>RateHelpers!B317</f>
        <v>0</v>
      </c>
      <c r="N328" s="105" t="e">
        <f>_xll.qlRateHelperQuoteName(M328)</f>
        <v>#NUM!</v>
      </c>
      <c r="O328" s="93" t="e">
        <f>_xll.qlInterestRateIndexFixingDate(S328,_xll.qlRateHelperEarliestDate(M328,Trigger),)</f>
        <v>#VALUE!</v>
      </c>
      <c r="P328" s="120" t="e">
        <f>_xll.qlRateHelperQuoteValue(M328,_xll.ohTrigger(RecalcTrigger,YieldCurve))</f>
        <v>#NUM!</v>
      </c>
      <c r="Q328" s="123" t="e">
        <f t="shared" si="32"/>
        <v>#NUM!</v>
      </c>
      <c r="R328" s="123">
        <v>2</v>
      </c>
      <c r="S328" s="123" t="e">
        <f>_xll.qlSwapIndex(,"Euribor",Q328,NDays,Currency,Calendar,"1Y","mf","30/360 (Bond Basis)",IborIndex,Discounting,,_xll.ohTrigger(Trigger,RecalcTrigger))</f>
        <v>#VALUE!</v>
      </c>
      <c r="T328" s="123" t="e">
        <f>_xll.qlVanillaSwapFromSwapIndex(,S328,O328)</f>
        <v>#VALUE!</v>
      </c>
      <c r="U328" s="110" t="e">
        <f>_xll.qlVanillaSwapFairRate(T328)</f>
        <v>#VALUE!</v>
      </c>
      <c r="V328" s="206" t="e">
        <f t="shared" si="28"/>
        <v>#VALUE!</v>
      </c>
      <c r="Y328" s="105" t="str">
        <f t="shared" si="30"/>
        <v>1D</v>
      </c>
      <c r="Z328" s="93">
        <f>_xll.qlCalendarAdvance(Calendar,Z327,Y328,"f",FALSE)</f>
        <v>42622</v>
      </c>
      <c r="AA328" s="117">
        <f>_xll.qlCalendarAdvance(Calendar,Z328,NDays&amp;"D")</f>
        <v>42626</v>
      </c>
      <c r="AB328" s="92">
        <v>1.5668086704679768E-3</v>
      </c>
      <c r="AC328" s="101">
        <v>1.1625082431088174E-3</v>
      </c>
    </row>
    <row r="329" spans="13:29" ht="12" thickBot="1" x14ac:dyDescent="0.25">
      <c r="M329" s="210">
        <f>RateHelpers!B318</f>
        <v>0</v>
      </c>
      <c r="N329" s="106" t="e">
        <f>_xll.qlRateHelperQuoteName(M329)</f>
        <v>#NUM!</v>
      </c>
      <c r="O329" s="103" t="e">
        <f>_xll.qlInterestRateIndexFixingDate(S329,_xll.qlRateHelperEarliestDate(M329,Trigger),)</f>
        <v>#VALUE!</v>
      </c>
      <c r="P329" s="121" t="e">
        <f>_xll.qlRateHelperQuoteValue(M329,_xll.ohTrigger(RecalcTrigger,YieldCurve))</f>
        <v>#NUM!</v>
      </c>
      <c r="Q329" s="124" t="e">
        <f t="shared" si="32"/>
        <v>#NUM!</v>
      </c>
      <c r="R329" s="124">
        <v>2</v>
      </c>
      <c r="S329" s="124" t="e">
        <f>_xll.qlSwapIndex(,"Euribor",Q329,NDays,Currency,Calendar,"1Y","mf","30/360 (Bond Basis)",IborIndex,Discounting,,_xll.ohTrigger(Trigger,RecalcTrigger))</f>
        <v>#VALUE!</v>
      </c>
      <c r="T329" s="124" t="e">
        <f>_xll.qlVanillaSwapFromSwapIndex(,S329,O329)</f>
        <v>#VALUE!</v>
      </c>
      <c r="U329" s="112" t="e">
        <f>_xll.qlVanillaSwapFairRate(T329)</f>
        <v>#VALUE!</v>
      </c>
      <c r="V329" s="207" t="e">
        <f t="shared" si="28"/>
        <v>#VALUE!</v>
      </c>
      <c r="Y329" s="105" t="str">
        <f t="shared" si="30"/>
        <v>1D</v>
      </c>
      <c r="Z329" s="93">
        <f>_xll.qlCalendarAdvance(Calendar,Z328,Y329,"f",FALSE)</f>
        <v>42625</v>
      </c>
      <c r="AA329" s="117">
        <f>_xll.qlCalendarAdvance(Calendar,Z329,NDays&amp;"D")</f>
        <v>42627</v>
      </c>
      <c r="AB329" s="92">
        <v>1.5714711746390132E-3</v>
      </c>
      <c r="AC329" s="101">
        <v>1.1744262725521537E-3</v>
      </c>
    </row>
    <row r="330" spans="13:29" x14ac:dyDescent="0.2">
      <c r="M330" s="211">
        <f>RateHelpers!B319</f>
        <v>0</v>
      </c>
      <c r="N330" s="195" t="e">
        <f>_xll.qlRateHelperQuoteName(M330)</f>
        <v>#NUM!</v>
      </c>
      <c r="O330" s="192" t="e">
        <f>_xll.qlInterestRateIndexFixingDate(S330,_xll.qlRateHelperEarliestDate(M330,Trigger),)</f>
        <v>#VALUE!</v>
      </c>
      <c r="P330" s="193" t="e">
        <f>_xll.qlRateHelperQuoteValue(M330,_xll.ohTrigger(RecalcTrigger,YieldCurve))</f>
        <v>#NUM!</v>
      </c>
      <c r="Q330" s="191" t="e">
        <f t="shared" ref="Q330:Q347" si="33">SUBSTITUTE(SUBSTITUTE(N330,"_Quote",""),"EUR15F","")</f>
        <v>#NUM!</v>
      </c>
      <c r="R330" s="191">
        <v>2</v>
      </c>
      <c r="S330" s="191" t="e">
        <f>_xll.qlSwapIndex(,"Euribor",Q330,NDays,Currency,Calendar,"1Y","mf","30/360 (Bond Basis)",IborIndex,Discounting,,_xll.ohTrigger(Trigger,RecalcTrigger))</f>
        <v>#VALUE!</v>
      </c>
      <c r="T330" s="191" t="e">
        <f>_xll.qlVanillaSwapFromSwapIndex(,S330,O330)</f>
        <v>#VALUE!</v>
      </c>
      <c r="U330" s="194" t="e">
        <f>_xll.qlVanillaSwapFairRate(T330)</f>
        <v>#VALUE!</v>
      </c>
      <c r="V330" s="208" t="e">
        <f t="shared" si="28"/>
        <v>#VALUE!</v>
      </c>
      <c r="Y330" s="105" t="str">
        <f t="shared" si="30"/>
        <v>1D</v>
      </c>
      <c r="Z330" s="93">
        <f>_xll.qlCalendarAdvance(Calendar,Z329,Y330,"f",FALSE)</f>
        <v>42626</v>
      </c>
      <c r="AA330" s="117">
        <f>_xll.qlCalendarAdvance(Calendar,Z330,NDays&amp;"D")</f>
        <v>42628</v>
      </c>
      <c r="AB330" s="92">
        <v>1.5761883082526765E-3</v>
      </c>
      <c r="AC330" s="101">
        <v>1.1857242151336322E-3</v>
      </c>
    </row>
    <row r="331" spans="13:29" x14ac:dyDescent="0.2">
      <c r="M331" s="209">
        <f>RateHelpers!B320</f>
        <v>0</v>
      </c>
      <c r="N331" s="105" t="e">
        <f>_xll.qlRateHelperQuoteName(M331)</f>
        <v>#NUM!</v>
      </c>
      <c r="O331" s="93" t="e">
        <f>_xll.qlInterestRateIndexFixingDate(S331,_xll.qlRateHelperEarliestDate(M331,Trigger),)</f>
        <v>#VALUE!</v>
      </c>
      <c r="P331" s="120" t="e">
        <f>_xll.qlRateHelperQuoteValue(M331,_xll.ohTrigger(RecalcTrigger,YieldCurve))</f>
        <v>#NUM!</v>
      </c>
      <c r="Q331" s="123" t="e">
        <f t="shared" si="33"/>
        <v>#NUM!</v>
      </c>
      <c r="R331" s="123">
        <v>2</v>
      </c>
      <c r="S331" s="123" t="e">
        <f>_xll.qlSwapIndex(,"Euribor",Q331,NDays,Currency,Calendar,"1Y","mf","30/360 (Bond Basis)",IborIndex,Discounting,,_xll.ohTrigger(Trigger,RecalcTrigger))</f>
        <v>#VALUE!</v>
      </c>
      <c r="T331" s="123" t="e">
        <f>_xll.qlVanillaSwapFromSwapIndex(,S331,O331)</f>
        <v>#VALUE!</v>
      </c>
      <c r="U331" s="110" t="e">
        <f>_xll.qlVanillaSwapFairRate(T331)</f>
        <v>#VALUE!</v>
      </c>
      <c r="V331" s="206" t="e">
        <f t="shared" si="28"/>
        <v>#VALUE!</v>
      </c>
      <c r="Y331" s="105" t="str">
        <f t="shared" si="30"/>
        <v>1D</v>
      </c>
      <c r="Z331" s="93">
        <f>_xll.qlCalendarAdvance(Calendar,Z330,Y331,"f",FALSE)</f>
        <v>42627</v>
      </c>
      <c r="AA331" s="117">
        <f>_xll.qlCalendarAdvance(Calendar,Z331,NDays&amp;"D")</f>
        <v>42629</v>
      </c>
      <c r="AB331" s="92">
        <v>1.5809570176217192E-3</v>
      </c>
      <c r="AC331" s="101">
        <v>1.20625718507128E-3</v>
      </c>
    </row>
    <row r="332" spans="13:29" x14ac:dyDescent="0.2">
      <c r="M332" s="209">
        <f>RateHelpers!B321</f>
        <v>0</v>
      </c>
      <c r="N332" s="105" t="e">
        <f>_xll.qlRateHelperQuoteName(M332)</f>
        <v>#NUM!</v>
      </c>
      <c r="O332" s="93" t="e">
        <f>_xll.qlInterestRateIndexFixingDate(S332,_xll.qlRateHelperEarliestDate(M332,Trigger),)</f>
        <v>#VALUE!</v>
      </c>
      <c r="P332" s="120" t="e">
        <f>_xll.qlRateHelperQuoteValue(M332,_xll.ohTrigger(RecalcTrigger,YieldCurve))</f>
        <v>#NUM!</v>
      </c>
      <c r="Q332" s="123" t="e">
        <f t="shared" si="33"/>
        <v>#NUM!</v>
      </c>
      <c r="R332" s="123">
        <v>2</v>
      </c>
      <c r="S332" s="123" t="e">
        <f>_xll.qlSwapIndex(,"Euribor",Q332,NDays,Currency,Calendar,"1Y","mf","30/360 (Bond Basis)",IborIndex,Discounting,,_xll.ohTrigger(Trigger,RecalcTrigger))</f>
        <v>#VALUE!</v>
      </c>
      <c r="T332" s="123" t="e">
        <f>_xll.qlVanillaSwapFromSwapIndex(,S332,O332)</f>
        <v>#VALUE!</v>
      </c>
      <c r="U332" s="110" t="e">
        <f>_xll.qlVanillaSwapFairRate(T332)</f>
        <v>#VALUE!</v>
      </c>
      <c r="V332" s="206" t="e">
        <f t="shared" si="28"/>
        <v>#VALUE!</v>
      </c>
      <c r="Y332" s="105" t="str">
        <f t="shared" si="30"/>
        <v>1D</v>
      </c>
      <c r="Z332" s="93">
        <f>_xll.qlCalendarAdvance(Calendar,Z331,Y332,"f",FALSE)</f>
        <v>42628</v>
      </c>
      <c r="AA332" s="117">
        <f>_xll.qlCalendarAdvance(Calendar,Z332,NDays&amp;"D")</f>
        <v>42632</v>
      </c>
      <c r="AB332" s="92">
        <v>1.598427274767697E-3</v>
      </c>
      <c r="AC332" s="101">
        <v>1.2247151144428869E-3</v>
      </c>
    </row>
    <row r="333" spans="13:29" x14ac:dyDescent="0.2">
      <c r="M333" s="209">
        <f>RateHelpers!B322</f>
        <v>0</v>
      </c>
      <c r="N333" s="105" t="e">
        <f>_xll.qlRateHelperQuoteName(M333)</f>
        <v>#NUM!</v>
      </c>
      <c r="O333" s="93" t="e">
        <f>_xll.qlInterestRateIndexFixingDate(S333,_xll.qlRateHelperEarliestDate(M333,Trigger),)</f>
        <v>#VALUE!</v>
      </c>
      <c r="P333" s="120" t="e">
        <f>_xll.qlRateHelperQuoteValue(M333,_xll.ohTrigger(RecalcTrigger,YieldCurve))</f>
        <v>#NUM!</v>
      </c>
      <c r="Q333" s="123" t="e">
        <f t="shared" si="33"/>
        <v>#NUM!</v>
      </c>
      <c r="R333" s="123">
        <v>2</v>
      </c>
      <c r="S333" s="123" t="e">
        <f>_xll.qlSwapIndex(,"Euribor",Q333,NDays,Currency,Calendar,"1Y","mf","30/360 (Bond Basis)",IborIndex,Discounting,,_xll.ohTrigger(Trigger,RecalcTrigger))</f>
        <v>#VALUE!</v>
      </c>
      <c r="T333" s="123" t="e">
        <f>_xll.qlVanillaSwapFromSwapIndex(,S333,O333)</f>
        <v>#VALUE!</v>
      </c>
      <c r="U333" s="110" t="e">
        <f>_xll.qlVanillaSwapFairRate(T333)</f>
        <v>#VALUE!</v>
      </c>
      <c r="V333" s="206" t="e">
        <f t="shared" si="28"/>
        <v>#VALUE!</v>
      </c>
      <c r="Y333" s="105" t="str">
        <f t="shared" si="30"/>
        <v>1D</v>
      </c>
      <c r="Z333" s="93">
        <f>_xll.qlCalendarAdvance(Calendar,Z332,Y333,"f",FALSE)</f>
        <v>42629</v>
      </c>
      <c r="AA333" s="117">
        <f>_xll.qlCalendarAdvance(Calendar,Z333,NDays&amp;"D")</f>
        <v>42633</v>
      </c>
      <c r="AB333" s="92">
        <v>1.6004865380022555E-3</v>
      </c>
      <c r="AC333" s="101">
        <v>1.2329126211962915E-3</v>
      </c>
    </row>
    <row r="334" spans="13:29" x14ac:dyDescent="0.2">
      <c r="M334" s="209">
        <f>RateHelpers!B323</f>
        <v>0</v>
      </c>
      <c r="N334" s="105" t="e">
        <f>_xll.qlRateHelperQuoteName(M334)</f>
        <v>#NUM!</v>
      </c>
      <c r="O334" s="93" t="e">
        <f>_xll.qlInterestRateIndexFixingDate(S334,_xll.qlRateHelperEarliestDate(M334,Trigger),)</f>
        <v>#VALUE!</v>
      </c>
      <c r="P334" s="120" t="e">
        <f>_xll.qlRateHelperQuoteValue(M334,_xll.ohTrigger(RecalcTrigger,YieldCurve))</f>
        <v>#NUM!</v>
      </c>
      <c r="Q334" s="123" t="e">
        <f t="shared" si="33"/>
        <v>#NUM!</v>
      </c>
      <c r="R334" s="123">
        <v>2</v>
      </c>
      <c r="S334" s="123" t="e">
        <f>_xll.qlSwapIndex(,"Euribor",Q334,NDays,Currency,Calendar,"1Y","mf","30/360 (Bond Basis)",IborIndex,Discounting,,_xll.ohTrigger(Trigger,RecalcTrigger))</f>
        <v>#VALUE!</v>
      </c>
      <c r="T334" s="123" t="e">
        <f>_xll.qlVanillaSwapFromSwapIndex(,S334,O334)</f>
        <v>#VALUE!</v>
      </c>
      <c r="U334" s="110" t="e">
        <f>_xll.qlVanillaSwapFairRate(T334)</f>
        <v>#VALUE!</v>
      </c>
      <c r="V334" s="206" t="e">
        <f t="shared" ref="V334:V397" si="34">U334-P334</f>
        <v>#VALUE!</v>
      </c>
      <c r="Y334" s="105" t="str">
        <f t="shared" si="30"/>
        <v>1D</v>
      </c>
      <c r="Z334" s="93">
        <f>_xll.qlCalendarAdvance(Calendar,Z333,Y334,"f",FALSE)</f>
        <v>42632</v>
      </c>
      <c r="AA334" s="117">
        <f>_xll.qlCalendarAdvance(Calendar,Z334,NDays&amp;"D")</f>
        <v>42634</v>
      </c>
      <c r="AB334" s="92">
        <v>1.6054673199292658E-3</v>
      </c>
      <c r="AC334" s="101">
        <v>1.2404900408480302E-3</v>
      </c>
    </row>
    <row r="335" spans="13:29" x14ac:dyDescent="0.2">
      <c r="M335" s="209">
        <f>RateHelpers!B324</f>
        <v>0</v>
      </c>
      <c r="N335" s="105" t="e">
        <f>_xll.qlRateHelperQuoteName(M335)</f>
        <v>#NUM!</v>
      </c>
      <c r="O335" s="93" t="e">
        <f>_xll.qlInterestRateIndexFixingDate(S335,_xll.qlRateHelperEarliestDate(M335,Trigger),)</f>
        <v>#VALUE!</v>
      </c>
      <c r="P335" s="120" t="e">
        <f>_xll.qlRateHelperQuoteValue(M335,_xll.ohTrigger(RecalcTrigger,YieldCurve))</f>
        <v>#NUM!</v>
      </c>
      <c r="Q335" s="123" t="e">
        <f t="shared" si="33"/>
        <v>#NUM!</v>
      </c>
      <c r="R335" s="123">
        <v>2</v>
      </c>
      <c r="S335" s="123" t="e">
        <f>_xll.qlSwapIndex(,"Euribor",Q335,NDays,Currency,Calendar,"1Y","mf","30/360 (Bond Basis)",IborIndex,Discounting,,_xll.ohTrigger(Trigger,RecalcTrigger))</f>
        <v>#VALUE!</v>
      </c>
      <c r="T335" s="123" t="e">
        <f>_xll.qlVanillaSwapFromSwapIndex(,S335,O335)</f>
        <v>#VALUE!</v>
      </c>
      <c r="U335" s="110" t="e">
        <f>_xll.qlVanillaSwapFairRate(T335)</f>
        <v>#VALUE!</v>
      </c>
      <c r="V335" s="206" t="e">
        <f t="shared" si="34"/>
        <v>#VALUE!</v>
      </c>
      <c r="Y335" s="105" t="str">
        <f t="shared" si="30"/>
        <v>1D</v>
      </c>
      <c r="Z335" s="93">
        <f>_xll.qlCalendarAdvance(Calendar,Z334,Y335,"f",FALSE)</f>
        <v>42633</v>
      </c>
      <c r="AA335" s="117">
        <f>_xll.qlCalendarAdvance(Calendar,Z335,NDays&amp;"D")</f>
        <v>42635</v>
      </c>
      <c r="AB335" s="92">
        <v>1.6104813549339156E-3</v>
      </c>
      <c r="AC335" s="101">
        <v>1.2474473731582947E-3</v>
      </c>
    </row>
    <row r="336" spans="13:29" x14ac:dyDescent="0.2">
      <c r="M336" s="209">
        <f>RateHelpers!B325</f>
        <v>0</v>
      </c>
      <c r="N336" s="105" t="e">
        <f>_xll.qlRateHelperQuoteName(M336)</f>
        <v>#NUM!</v>
      </c>
      <c r="O336" s="93" t="e">
        <f>_xll.qlInterestRateIndexFixingDate(S336,_xll.qlRateHelperEarliestDate(M336,Trigger),)</f>
        <v>#VALUE!</v>
      </c>
      <c r="P336" s="120" t="e">
        <f>_xll.qlRateHelperQuoteValue(M336,_xll.ohTrigger(RecalcTrigger,YieldCurve))</f>
        <v>#NUM!</v>
      </c>
      <c r="Q336" s="123" t="e">
        <f t="shared" si="33"/>
        <v>#NUM!</v>
      </c>
      <c r="R336" s="123">
        <v>2</v>
      </c>
      <c r="S336" s="123" t="e">
        <f>_xll.qlSwapIndex(,"Euribor",Q336,NDays,Currency,Calendar,"1Y","mf","30/360 (Bond Basis)",IborIndex,Discounting,,_xll.ohTrigger(Trigger,RecalcTrigger))</f>
        <v>#VALUE!</v>
      </c>
      <c r="T336" s="123" t="e">
        <f>_xll.qlVanillaSwapFromSwapIndex(,S336,O336)</f>
        <v>#VALUE!</v>
      </c>
      <c r="U336" s="110" t="e">
        <f>_xll.qlVanillaSwapFairRate(T336)</f>
        <v>#VALUE!</v>
      </c>
      <c r="V336" s="206" t="e">
        <f t="shared" si="34"/>
        <v>#VALUE!</v>
      </c>
      <c r="Y336" s="105" t="str">
        <f t="shared" si="30"/>
        <v>1D</v>
      </c>
      <c r="Z336" s="93">
        <f>_xll.qlCalendarAdvance(Calendar,Z335,Y336,"f",FALSE)</f>
        <v>42634</v>
      </c>
      <c r="AA336" s="117">
        <f>_xll.qlCalendarAdvance(Calendar,Z336,NDays&amp;"D")</f>
        <v>42636</v>
      </c>
      <c r="AB336" s="92">
        <v>1.6155255891377289E-3</v>
      </c>
      <c r="AC336" s="101">
        <v>1.2592994848237282E-3</v>
      </c>
    </row>
    <row r="337" spans="13:29" x14ac:dyDescent="0.2">
      <c r="M337" s="209">
        <f>RateHelpers!B326</f>
        <v>0</v>
      </c>
      <c r="N337" s="105" t="e">
        <f>_xll.qlRateHelperQuoteName(M337)</f>
        <v>#NUM!</v>
      </c>
      <c r="O337" s="93" t="e">
        <f>_xll.qlInterestRateIndexFixingDate(S337,_xll.qlRateHelperEarliestDate(M337,Trigger),)</f>
        <v>#VALUE!</v>
      </c>
      <c r="P337" s="120" t="e">
        <f>_xll.qlRateHelperQuoteValue(M337,_xll.ohTrigger(RecalcTrigger,YieldCurve))</f>
        <v>#NUM!</v>
      </c>
      <c r="Q337" s="123" t="e">
        <f t="shared" si="33"/>
        <v>#NUM!</v>
      </c>
      <c r="R337" s="123">
        <v>2</v>
      </c>
      <c r="S337" s="123" t="e">
        <f>_xll.qlSwapIndex(,"Euribor",Q337,NDays,Currency,Calendar,"1Y","mf","30/360 (Bond Basis)",IborIndex,Discounting,,_xll.ohTrigger(Trigger,RecalcTrigger))</f>
        <v>#VALUE!</v>
      </c>
      <c r="T337" s="123" t="e">
        <f>_xll.qlVanillaSwapFromSwapIndex(,S337,O337)</f>
        <v>#VALUE!</v>
      </c>
      <c r="U337" s="110" t="e">
        <f>_xll.qlVanillaSwapFairRate(T337)</f>
        <v>#VALUE!</v>
      </c>
      <c r="V337" s="206" t="e">
        <f t="shared" si="34"/>
        <v>#VALUE!</v>
      </c>
      <c r="Y337" s="105" t="str">
        <f t="shared" si="30"/>
        <v>1D</v>
      </c>
      <c r="Z337" s="93">
        <f>_xll.qlCalendarAdvance(Calendar,Z336,Y337,"f",FALSE)</f>
        <v>42635</v>
      </c>
      <c r="AA337" s="117">
        <f>_xll.qlCalendarAdvance(Calendar,Z337,NDays&amp;"D")</f>
        <v>42639</v>
      </c>
      <c r="AB337" s="92">
        <v>1.6339334186116644E-3</v>
      </c>
      <c r="AC337" s="101">
        <v>1.2690758283451231E-3</v>
      </c>
    </row>
    <row r="338" spans="13:29" x14ac:dyDescent="0.2">
      <c r="M338" s="209">
        <f>RateHelpers!B327</f>
        <v>0</v>
      </c>
      <c r="N338" s="105" t="e">
        <f>_xll.qlRateHelperQuoteName(M338)</f>
        <v>#NUM!</v>
      </c>
      <c r="O338" s="93" t="e">
        <f>_xll.qlInterestRateIndexFixingDate(S338,_xll.qlRateHelperEarliestDate(M338,Trigger),)</f>
        <v>#VALUE!</v>
      </c>
      <c r="P338" s="120" t="e">
        <f>_xll.qlRateHelperQuoteValue(M338,_xll.ohTrigger(RecalcTrigger,YieldCurve))</f>
        <v>#NUM!</v>
      </c>
      <c r="Q338" s="123" t="e">
        <f t="shared" si="33"/>
        <v>#NUM!</v>
      </c>
      <c r="R338" s="123">
        <v>2</v>
      </c>
      <c r="S338" s="123" t="e">
        <f>_xll.qlSwapIndex(,"Euribor",Q338,NDays,Currency,Calendar,"1Y","mf","30/360 (Bond Basis)",IborIndex,Discounting,,_xll.ohTrigger(Trigger,RecalcTrigger))</f>
        <v>#VALUE!</v>
      </c>
      <c r="T338" s="123" t="e">
        <f>_xll.qlVanillaSwapFromSwapIndex(,S338,O338)</f>
        <v>#VALUE!</v>
      </c>
      <c r="U338" s="110" t="e">
        <f>_xll.qlVanillaSwapFairRate(T338)</f>
        <v>#VALUE!</v>
      </c>
      <c r="V338" s="206" t="e">
        <f t="shared" si="34"/>
        <v>#VALUE!</v>
      </c>
      <c r="Y338" s="105" t="str">
        <f t="shared" si="30"/>
        <v>1D</v>
      </c>
      <c r="Z338" s="93">
        <f>_xll.qlCalendarAdvance(Calendar,Z337,Y338,"f",FALSE)</f>
        <v>42636</v>
      </c>
      <c r="AA338" s="117">
        <f>_xll.qlCalendarAdvance(Calendar,Z338,NDays&amp;"D")</f>
        <v>42640</v>
      </c>
      <c r="AB338" s="92">
        <v>1.6359434393580083E-3</v>
      </c>
      <c r="AC338" s="101">
        <v>1.2729327236282728E-3</v>
      </c>
    </row>
    <row r="339" spans="13:29" x14ac:dyDescent="0.2">
      <c r="M339" s="209">
        <f>RateHelpers!B328</f>
        <v>0</v>
      </c>
      <c r="N339" s="105" t="e">
        <f>_xll.qlRateHelperQuoteName(M339)</f>
        <v>#NUM!</v>
      </c>
      <c r="O339" s="93" t="e">
        <f>_xll.qlInterestRateIndexFixingDate(S339,_xll.qlRateHelperEarliestDate(M339,Trigger),)</f>
        <v>#VALUE!</v>
      </c>
      <c r="P339" s="120" t="e">
        <f>_xll.qlRateHelperQuoteValue(M339,_xll.ohTrigger(RecalcTrigger,YieldCurve))</f>
        <v>#NUM!</v>
      </c>
      <c r="Q339" s="123" t="e">
        <f t="shared" si="33"/>
        <v>#NUM!</v>
      </c>
      <c r="R339" s="123">
        <v>2</v>
      </c>
      <c r="S339" s="123" t="e">
        <f>_xll.qlSwapIndex(,"Euribor",Q339,NDays,Currency,Calendar,"1Y","mf","30/360 (Bond Basis)",IborIndex,Discounting,,_xll.ohTrigger(Trigger,RecalcTrigger))</f>
        <v>#VALUE!</v>
      </c>
      <c r="T339" s="123" t="e">
        <f>_xll.qlVanillaSwapFromSwapIndex(,S339,O339)</f>
        <v>#VALUE!</v>
      </c>
      <c r="U339" s="110" t="e">
        <f>_xll.qlVanillaSwapFairRate(T339)</f>
        <v>#VALUE!</v>
      </c>
      <c r="V339" s="206" t="e">
        <f t="shared" si="34"/>
        <v>#VALUE!</v>
      </c>
      <c r="Y339" s="105" t="str">
        <f t="shared" si="30"/>
        <v>1D</v>
      </c>
      <c r="Z339" s="93">
        <f>_xll.qlCalendarAdvance(Calendar,Z338,Y339,"f",FALSE)</f>
        <v>42639</v>
      </c>
      <c r="AA339" s="117">
        <f>_xll.qlCalendarAdvance(Calendar,Z339,NDays&amp;"D")</f>
        <v>42641</v>
      </c>
      <c r="AB339" s="92">
        <v>1.6410928603497203E-3</v>
      </c>
      <c r="AC339" s="101">
        <v>1.2761695313301402E-3</v>
      </c>
    </row>
    <row r="340" spans="13:29" x14ac:dyDescent="0.2">
      <c r="M340" s="209">
        <f>RateHelpers!B329</f>
        <v>0</v>
      </c>
      <c r="N340" s="105" t="e">
        <f>_xll.qlRateHelperQuoteName(M340)</f>
        <v>#NUM!</v>
      </c>
      <c r="O340" s="93" t="e">
        <f>_xll.qlInterestRateIndexFixingDate(S340,_xll.qlRateHelperEarliestDate(M340,Trigger),)</f>
        <v>#VALUE!</v>
      </c>
      <c r="P340" s="120" t="e">
        <f>_xll.qlRateHelperQuoteValue(M340,_xll.ohTrigger(RecalcTrigger,YieldCurve))</f>
        <v>#NUM!</v>
      </c>
      <c r="Q340" s="123" t="e">
        <f t="shared" si="33"/>
        <v>#NUM!</v>
      </c>
      <c r="R340" s="123">
        <v>2</v>
      </c>
      <c r="S340" s="123" t="e">
        <f>_xll.qlSwapIndex(,"Euribor",Q340,NDays,Currency,Calendar,"1Y","mf","30/360 (Bond Basis)",IborIndex,Discounting,,_xll.ohTrigger(Trigger,RecalcTrigger))</f>
        <v>#VALUE!</v>
      </c>
      <c r="T340" s="123" t="e">
        <f>_xll.qlVanillaSwapFromSwapIndex(,S340,O340)</f>
        <v>#VALUE!</v>
      </c>
      <c r="U340" s="110" t="e">
        <f>_xll.qlVanillaSwapFairRate(T340)</f>
        <v>#VALUE!</v>
      </c>
      <c r="V340" s="206" t="e">
        <f t="shared" si="34"/>
        <v>#VALUE!</v>
      </c>
      <c r="Y340" s="105" t="str">
        <f t="shared" si="30"/>
        <v>1D</v>
      </c>
      <c r="Z340" s="93">
        <f>_xll.qlCalendarAdvance(Calendar,Z339,Y340,"f",FALSE)</f>
        <v>42640</v>
      </c>
      <c r="AA340" s="117">
        <f>_xll.qlCalendarAdvance(Calendar,Z340,NDays&amp;"D")</f>
        <v>42642</v>
      </c>
      <c r="AB340" s="92">
        <v>1.6462541566421749E-3</v>
      </c>
      <c r="AC340" s="101">
        <v>1.2787862515306614E-3</v>
      </c>
    </row>
    <row r="341" spans="13:29" x14ac:dyDescent="0.2">
      <c r="M341" s="209">
        <f>RateHelpers!B330</f>
        <v>0</v>
      </c>
      <c r="N341" s="105" t="e">
        <f>_xll.qlRateHelperQuoteName(M341)</f>
        <v>#NUM!</v>
      </c>
      <c r="O341" s="93" t="e">
        <f>_xll.qlInterestRateIndexFixingDate(S341,_xll.qlRateHelperEarliestDate(M341,Trigger),)</f>
        <v>#VALUE!</v>
      </c>
      <c r="P341" s="120" t="e">
        <f>_xll.qlRateHelperQuoteValue(M341,_xll.ohTrigger(RecalcTrigger,YieldCurve))</f>
        <v>#NUM!</v>
      </c>
      <c r="Q341" s="123" t="e">
        <f t="shared" si="33"/>
        <v>#NUM!</v>
      </c>
      <c r="R341" s="123">
        <v>2</v>
      </c>
      <c r="S341" s="123" t="e">
        <f>_xll.qlSwapIndex(,"Euribor",Q341,NDays,Currency,Calendar,"1Y","mf","30/360 (Bond Basis)",IborIndex,Discounting,,_xll.ohTrigger(Trigger,RecalcTrigger))</f>
        <v>#VALUE!</v>
      </c>
      <c r="T341" s="123" t="e">
        <f>_xll.qlVanillaSwapFromSwapIndex(,S341,O341)</f>
        <v>#VALUE!</v>
      </c>
      <c r="U341" s="110" t="e">
        <f>_xll.qlVanillaSwapFairRate(T341)</f>
        <v>#VALUE!</v>
      </c>
      <c r="V341" s="206" t="e">
        <f t="shared" si="34"/>
        <v>#VALUE!</v>
      </c>
      <c r="Y341" s="105" t="str">
        <f t="shared" ref="Y341:Y404" si="35">Y340</f>
        <v>1D</v>
      </c>
      <c r="Z341" s="93">
        <f>_xll.qlCalendarAdvance(Calendar,Z340,Y341,"f",FALSE)</f>
        <v>42641</v>
      </c>
      <c r="AA341" s="117">
        <f>_xll.qlCalendarAdvance(Calendar,Z341,NDays&amp;"D")</f>
        <v>42643</v>
      </c>
      <c r="AB341" s="92">
        <v>1.6545410900042972E-3</v>
      </c>
      <c r="AC341" s="101">
        <v>1.2819572986622063E-3</v>
      </c>
    </row>
    <row r="342" spans="13:29" x14ac:dyDescent="0.2">
      <c r="M342" s="209">
        <f>RateHelpers!B331</f>
        <v>0</v>
      </c>
      <c r="N342" s="105" t="e">
        <f>_xll.qlRateHelperQuoteName(M342)</f>
        <v>#NUM!</v>
      </c>
      <c r="O342" s="93" t="e">
        <f>_xll.qlInterestRateIndexFixingDate(S342,_xll.qlRateHelperEarliestDate(M342,Trigger),)</f>
        <v>#VALUE!</v>
      </c>
      <c r="P342" s="120" t="e">
        <f>_xll.qlRateHelperQuoteValue(M342,_xll.ohTrigger(RecalcTrigger,YieldCurve))</f>
        <v>#NUM!</v>
      </c>
      <c r="Q342" s="123" t="e">
        <f t="shared" si="33"/>
        <v>#NUM!</v>
      </c>
      <c r="R342" s="123">
        <v>2</v>
      </c>
      <c r="S342" s="123" t="e">
        <f>_xll.qlSwapIndex(,"Euribor",Q342,NDays,Currency,Calendar,"1Y","mf","30/360 (Bond Basis)",IborIndex,Discounting,,_xll.ohTrigger(Trigger,RecalcTrigger))</f>
        <v>#VALUE!</v>
      </c>
      <c r="T342" s="123" t="e">
        <f>_xll.qlVanillaSwapFromSwapIndex(,S342,O342)</f>
        <v>#VALUE!</v>
      </c>
      <c r="U342" s="110" t="e">
        <f>_xll.qlVanillaSwapFairRate(T342)</f>
        <v>#VALUE!</v>
      </c>
      <c r="V342" s="206" t="e">
        <f t="shared" si="34"/>
        <v>#VALUE!</v>
      </c>
      <c r="Y342" s="105" t="str">
        <f t="shared" si="35"/>
        <v>1D</v>
      </c>
      <c r="Z342" s="93">
        <f>_xll.qlCalendarAdvance(Calendar,Z341,Y342,"f",FALSE)</f>
        <v>42642</v>
      </c>
      <c r="AA342" s="117">
        <f>_xll.qlCalendarAdvance(Calendar,Z342,NDays&amp;"D")</f>
        <v>42646</v>
      </c>
      <c r="AB342" s="92">
        <v>1.6699999999999163E-3</v>
      </c>
      <c r="AC342" s="101">
        <v>1.2830522572393477E-3</v>
      </c>
    </row>
    <row r="343" spans="13:29" x14ac:dyDescent="0.2">
      <c r="M343" s="209">
        <f>RateHelpers!B332</f>
        <v>0</v>
      </c>
      <c r="N343" s="105" t="e">
        <f>_xll.qlRateHelperQuoteName(M343)</f>
        <v>#NUM!</v>
      </c>
      <c r="O343" s="93" t="e">
        <f>_xll.qlInterestRateIndexFixingDate(S343,_xll.qlRateHelperEarliestDate(M343,Trigger),)</f>
        <v>#VALUE!</v>
      </c>
      <c r="P343" s="120" t="e">
        <f>_xll.qlRateHelperQuoteValue(M343,_xll.ohTrigger(RecalcTrigger,YieldCurve))</f>
        <v>#NUM!</v>
      </c>
      <c r="Q343" s="123" t="e">
        <f t="shared" si="33"/>
        <v>#NUM!</v>
      </c>
      <c r="R343" s="123">
        <v>2</v>
      </c>
      <c r="S343" s="123" t="e">
        <f>_xll.qlSwapIndex(,"Euribor",Q343,NDays,Currency,Calendar,"1Y","mf","30/360 (Bond Basis)",IborIndex,Discounting,,_xll.ohTrigger(Trigger,RecalcTrigger))</f>
        <v>#VALUE!</v>
      </c>
      <c r="T343" s="123" t="e">
        <f>_xll.qlVanillaSwapFromSwapIndex(,S343,O343)</f>
        <v>#VALUE!</v>
      </c>
      <c r="U343" s="110" t="e">
        <f>_xll.qlVanillaSwapFairRate(T343)</f>
        <v>#VALUE!</v>
      </c>
      <c r="V343" s="206" t="e">
        <f t="shared" si="34"/>
        <v>#VALUE!</v>
      </c>
      <c r="Y343" s="105" t="str">
        <f t="shared" si="35"/>
        <v>1D</v>
      </c>
      <c r="Z343" s="93">
        <f>_xll.qlCalendarAdvance(Calendar,Z342,Y343,"f",FALSE)</f>
        <v>42643</v>
      </c>
      <c r="AA343" s="117">
        <f>_xll.qlCalendarAdvance(Calendar,Z343,NDays&amp;"D")</f>
        <v>42647</v>
      </c>
      <c r="AB343" s="92">
        <v>1.6751384725019196E-3</v>
      </c>
      <c r="AC343" s="101">
        <v>1.2826723353054348E-3</v>
      </c>
    </row>
    <row r="344" spans="13:29" x14ac:dyDescent="0.2">
      <c r="M344" s="209">
        <f>RateHelpers!B333</f>
        <v>0</v>
      </c>
      <c r="N344" s="105" t="e">
        <f>_xll.qlRateHelperQuoteName(M344)</f>
        <v>#NUM!</v>
      </c>
      <c r="O344" s="93" t="e">
        <f>_xll.qlInterestRateIndexFixingDate(S344,_xll.qlRateHelperEarliestDate(M344,Trigger),)</f>
        <v>#VALUE!</v>
      </c>
      <c r="P344" s="120" t="e">
        <f>_xll.qlRateHelperQuoteValue(M344,_xll.ohTrigger(RecalcTrigger,YieldCurve))</f>
        <v>#NUM!</v>
      </c>
      <c r="Q344" s="123" t="e">
        <f t="shared" si="33"/>
        <v>#NUM!</v>
      </c>
      <c r="R344" s="123">
        <v>2</v>
      </c>
      <c r="S344" s="123" t="e">
        <f>_xll.qlSwapIndex(,"Euribor",Q344,NDays,Currency,Calendar,"1Y","mf","30/360 (Bond Basis)",IborIndex,Discounting,,_xll.ohTrigger(Trigger,RecalcTrigger))</f>
        <v>#VALUE!</v>
      </c>
      <c r="T344" s="123" t="e">
        <f>_xll.qlVanillaSwapFromSwapIndex(,S344,O344)</f>
        <v>#VALUE!</v>
      </c>
      <c r="U344" s="110" t="e">
        <f>_xll.qlVanillaSwapFairRate(T344)</f>
        <v>#VALUE!</v>
      </c>
      <c r="V344" s="206" t="e">
        <f t="shared" si="34"/>
        <v>#VALUE!</v>
      </c>
      <c r="Y344" s="105" t="str">
        <f t="shared" si="35"/>
        <v>1D</v>
      </c>
      <c r="Z344" s="93">
        <f>_xll.qlCalendarAdvance(Calendar,Z343,Y344,"f",FALSE)</f>
        <v>42646</v>
      </c>
      <c r="AA344" s="117">
        <f>_xll.qlCalendarAdvance(Calendar,Z344,NDays&amp;"D")</f>
        <v>42648</v>
      </c>
      <c r="AB344" s="92">
        <v>1.6802701185247605E-3</v>
      </c>
      <c r="AC344" s="101">
        <v>1.2821913032112775E-3</v>
      </c>
    </row>
    <row r="345" spans="13:29" x14ac:dyDescent="0.2">
      <c r="M345" s="209">
        <f>RateHelpers!B334</f>
        <v>0</v>
      </c>
      <c r="N345" s="105" t="e">
        <f>_xll.qlRateHelperQuoteName(M345)</f>
        <v>#NUM!</v>
      </c>
      <c r="O345" s="93" t="e">
        <f>_xll.qlInterestRateIndexFixingDate(S345,_xll.qlRateHelperEarliestDate(M345,Trigger),)</f>
        <v>#VALUE!</v>
      </c>
      <c r="P345" s="120" t="e">
        <f>_xll.qlRateHelperQuoteValue(M345,_xll.ohTrigger(RecalcTrigger,YieldCurve))</f>
        <v>#NUM!</v>
      </c>
      <c r="Q345" s="123" t="e">
        <f t="shared" si="33"/>
        <v>#NUM!</v>
      </c>
      <c r="R345" s="123">
        <v>2</v>
      </c>
      <c r="S345" s="123" t="e">
        <f>_xll.qlSwapIndex(,"Euribor",Q345,NDays,Currency,Calendar,"1Y","mf","30/360 (Bond Basis)",IborIndex,Discounting,,_xll.ohTrigger(Trigger,RecalcTrigger))</f>
        <v>#VALUE!</v>
      </c>
      <c r="T345" s="123" t="e">
        <f>_xll.qlVanillaSwapFromSwapIndex(,S345,O345)</f>
        <v>#VALUE!</v>
      </c>
      <c r="U345" s="110" t="e">
        <f>_xll.qlVanillaSwapFairRate(T345)</f>
        <v>#VALUE!</v>
      </c>
      <c r="V345" s="206" t="e">
        <f t="shared" si="34"/>
        <v>#VALUE!</v>
      </c>
      <c r="Y345" s="105" t="str">
        <f t="shared" si="35"/>
        <v>1D</v>
      </c>
      <c r="Z345" s="93">
        <f>_xll.qlCalendarAdvance(Calendar,Z344,Y345,"f",FALSE)</f>
        <v>42647</v>
      </c>
      <c r="AA345" s="117">
        <f>_xll.qlCalendarAdvance(Calendar,Z345,NDays&amp;"D")</f>
        <v>42649</v>
      </c>
      <c r="AB345" s="92">
        <v>1.6853956527112897E-3</v>
      </c>
      <c r="AC345" s="101">
        <v>1.2817129562492369E-3</v>
      </c>
    </row>
    <row r="346" spans="13:29" x14ac:dyDescent="0.2">
      <c r="M346" s="209">
        <f>RateHelpers!B335</f>
        <v>0</v>
      </c>
      <c r="N346" s="105" t="e">
        <f>_xll.qlRateHelperQuoteName(M346)</f>
        <v>#NUM!</v>
      </c>
      <c r="O346" s="93" t="e">
        <f>_xll.qlInterestRateIndexFixingDate(S346,_xll.qlRateHelperEarliestDate(M346,Trigger),)</f>
        <v>#VALUE!</v>
      </c>
      <c r="P346" s="120" t="e">
        <f>_xll.qlRateHelperQuoteValue(M346,_xll.ohTrigger(RecalcTrigger,YieldCurve))</f>
        <v>#NUM!</v>
      </c>
      <c r="Q346" s="123" t="e">
        <f t="shared" si="33"/>
        <v>#NUM!</v>
      </c>
      <c r="R346" s="123">
        <v>2</v>
      </c>
      <c r="S346" s="123" t="e">
        <f>_xll.qlSwapIndex(,"Euribor",Q346,NDays,Currency,Calendar,"1Y","mf","30/360 (Bond Basis)",IborIndex,Discounting,,_xll.ohTrigger(Trigger,RecalcTrigger))</f>
        <v>#VALUE!</v>
      </c>
      <c r="T346" s="123" t="e">
        <f>_xll.qlVanillaSwapFromSwapIndex(,S346,O346)</f>
        <v>#VALUE!</v>
      </c>
      <c r="U346" s="110" t="e">
        <f>_xll.qlVanillaSwapFairRate(T346)</f>
        <v>#VALUE!</v>
      </c>
      <c r="V346" s="206" t="e">
        <f t="shared" si="34"/>
        <v>#VALUE!</v>
      </c>
      <c r="Y346" s="105" t="str">
        <f t="shared" si="35"/>
        <v>1D</v>
      </c>
      <c r="Z346" s="93">
        <f>_xll.qlCalendarAdvance(Calendar,Z345,Y346,"f",FALSE)</f>
        <v>42648</v>
      </c>
      <c r="AA346" s="117">
        <f>_xll.qlCalendarAdvance(Calendar,Z346,NDays&amp;"D")</f>
        <v>42650</v>
      </c>
      <c r="AB346" s="92">
        <v>1.6905152189240114E-3</v>
      </c>
      <c r="AC346" s="101">
        <v>1.2807697699734888E-3</v>
      </c>
    </row>
    <row r="347" spans="13:29" ht="12" thickBot="1" x14ac:dyDescent="0.25">
      <c r="M347" s="210" t="str">
        <f>RateHelpers!B336</f>
        <v>obj_00774#0003</v>
      </c>
      <c r="N347" s="106" t="str">
        <f>_xll.qlRateHelperQuoteName(M347)</f>
        <v>EUR15F30Y_Quote</v>
      </c>
      <c r="O347" s="103">
        <f>_xll.qlInterestRateIndexFixingDate(S347,_xll.qlRateHelperEarliestDate(M347,Trigger),)</f>
        <v>47662</v>
      </c>
      <c r="P347" s="121">
        <f>_xll.qlRateHelperQuoteValue(M347,_xll.ohTrigger(RecalcTrigger,YieldCurve))</f>
        <v>1.8500000000000003E-2</v>
      </c>
      <c r="Q347" s="124" t="str">
        <f t="shared" si="33"/>
        <v>30Y</v>
      </c>
      <c r="R347" s="124">
        <v>2</v>
      </c>
      <c r="S347" s="124" t="str">
        <f>_xll.qlSwapIndex(,"Euribor",Q347,NDays,Currency,Calendar,"1Y","mf","30/360 (Bond Basis)",IborIndex,Discounting,,_xll.ohTrigger(Trigger,RecalcTrigger))</f>
        <v>obj_007de#0007</v>
      </c>
      <c r="T347" s="124" t="str">
        <f>_xll.qlVanillaSwapFromSwapIndex(,S347,O347)</f>
        <v>obj_007e1#0007</v>
      </c>
      <c r="U347" s="112">
        <f>_xll.qlVanillaSwapFairRate(T347)</f>
        <v>1.850000000005908E-2</v>
      </c>
      <c r="V347" s="207">
        <f t="shared" si="34"/>
        <v>5.9077742697866142E-14</v>
      </c>
      <c r="Y347" s="105" t="str">
        <f t="shared" si="35"/>
        <v>1D</v>
      </c>
      <c r="Z347" s="93">
        <f>_xll.qlCalendarAdvance(Calendar,Z346,Y347,"f",FALSE)</f>
        <v>42649</v>
      </c>
      <c r="AA347" s="117">
        <f>_xll.qlCalendarAdvance(Calendar,Z347,NDays&amp;"D")</f>
        <v>42653</v>
      </c>
      <c r="AB347" s="92">
        <v>1.7058395483544769E-3</v>
      </c>
      <c r="AC347" s="101">
        <v>1.279826421320962E-3</v>
      </c>
    </row>
    <row r="348" spans="13:29" x14ac:dyDescent="0.2">
      <c r="M348" s="211">
        <f>RateHelpers!B337</f>
        <v>0</v>
      </c>
      <c r="N348" s="195" t="e">
        <f>_xll.qlRateHelperQuoteName(M348)</f>
        <v>#NUM!</v>
      </c>
      <c r="O348" s="192" t="e">
        <f>_xll.qlInterestRateIndexFixingDate(S348,_xll.qlRateHelperEarliestDate(M348,Trigger),)</f>
        <v>#VALUE!</v>
      </c>
      <c r="P348" s="193" t="e">
        <f>_xll.qlRateHelperQuoteValue(M348,_xll.ohTrigger(RecalcTrigger,YieldCurve))</f>
        <v>#NUM!</v>
      </c>
      <c r="Q348" s="191" t="e">
        <f t="shared" ref="Q348:Q365" si="36">SUBSTITUTE(SUBSTITUTE(N348,"_Quote",""),"EUR20F","")</f>
        <v>#NUM!</v>
      </c>
      <c r="R348" s="191">
        <v>2</v>
      </c>
      <c r="S348" s="191" t="e">
        <f>_xll.qlSwapIndex(,"Euribor",Q348,NDays,Currency,Calendar,"1Y","mf","30/360 (Bond Basis)",IborIndex,Discounting,,_xll.ohTrigger(Trigger,RecalcTrigger))</f>
        <v>#VALUE!</v>
      </c>
      <c r="T348" s="191" t="e">
        <f>_xll.qlVanillaSwapFromSwapIndex(,S348,O348)</f>
        <v>#VALUE!</v>
      </c>
      <c r="U348" s="194" t="e">
        <f>_xll.qlVanillaSwapFairRate(T348)</f>
        <v>#VALUE!</v>
      </c>
      <c r="V348" s="208" t="e">
        <f t="shared" si="34"/>
        <v>#VALUE!</v>
      </c>
      <c r="Y348" s="105" t="str">
        <f t="shared" si="35"/>
        <v>1D</v>
      </c>
      <c r="Z348" s="93">
        <f>_xll.qlCalendarAdvance(Calendar,Z347,Y348,"f",FALSE)</f>
        <v>42650</v>
      </c>
      <c r="AA348" s="117">
        <f>_xll.qlCalendarAdvance(Calendar,Z348,NDays&amp;"D")</f>
        <v>42654</v>
      </c>
      <c r="AB348" s="92">
        <v>1.7109366813167764E-3</v>
      </c>
      <c r="AC348" s="101">
        <v>1.2793615008188652E-3</v>
      </c>
    </row>
    <row r="349" spans="13:29" x14ac:dyDescent="0.2">
      <c r="M349" s="209">
        <f>RateHelpers!B338</f>
        <v>0</v>
      </c>
      <c r="N349" s="105" t="e">
        <f>_xll.qlRateHelperQuoteName(M349)</f>
        <v>#NUM!</v>
      </c>
      <c r="O349" s="93" t="e">
        <f>_xll.qlInterestRateIndexFixingDate(S349,_xll.qlRateHelperEarliestDate(M349,Trigger),)</f>
        <v>#VALUE!</v>
      </c>
      <c r="P349" s="120" t="e">
        <f>_xll.qlRateHelperQuoteValue(M349,_xll.ohTrigger(RecalcTrigger,YieldCurve))</f>
        <v>#NUM!</v>
      </c>
      <c r="Q349" s="123" t="e">
        <f t="shared" si="36"/>
        <v>#NUM!</v>
      </c>
      <c r="R349" s="123">
        <v>2</v>
      </c>
      <c r="S349" s="123" t="e">
        <f>_xll.qlSwapIndex(,"Euribor",Q349,NDays,Currency,Calendar,"1Y","mf","30/360 (Bond Basis)",IborIndex,Discounting,,_xll.ohTrigger(Trigger,RecalcTrigger))</f>
        <v>#VALUE!</v>
      </c>
      <c r="T349" s="123" t="e">
        <f>_xll.qlVanillaSwapFromSwapIndex(,S349,O349)</f>
        <v>#VALUE!</v>
      </c>
      <c r="U349" s="110" t="e">
        <f>_xll.qlVanillaSwapFairRate(T349)</f>
        <v>#VALUE!</v>
      </c>
      <c r="V349" s="206" t="e">
        <f t="shared" si="34"/>
        <v>#VALUE!</v>
      </c>
      <c r="Y349" s="105" t="str">
        <f t="shared" si="35"/>
        <v>1D</v>
      </c>
      <c r="Z349" s="93">
        <f>_xll.qlCalendarAdvance(Calendar,Z348,Y349,"f",FALSE)</f>
        <v>42653</v>
      </c>
      <c r="AA349" s="117">
        <f>_xll.qlCalendarAdvance(Calendar,Z349,NDays&amp;"D")</f>
        <v>42655</v>
      </c>
      <c r="AB349" s="92">
        <v>1.716028565634041E-3</v>
      </c>
      <c r="AC349" s="101">
        <v>1.2788992655288212E-3</v>
      </c>
    </row>
    <row r="350" spans="13:29" x14ac:dyDescent="0.2">
      <c r="M350" s="209">
        <f>RateHelpers!B339</f>
        <v>0</v>
      </c>
      <c r="N350" s="105" t="e">
        <f>_xll.qlRateHelperQuoteName(M350)</f>
        <v>#NUM!</v>
      </c>
      <c r="O350" s="93" t="e">
        <f>_xll.qlInterestRateIndexFixingDate(S350,_xll.qlRateHelperEarliestDate(M350,Trigger),)</f>
        <v>#VALUE!</v>
      </c>
      <c r="P350" s="120" t="e">
        <f>_xll.qlRateHelperQuoteValue(M350,_xll.ohTrigger(RecalcTrigger,YieldCurve))</f>
        <v>#NUM!</v>
      </c>
      <c r="Q350" s="123" t="e">
        <f t="shared" si="36"/>
        <v>#NUM!</v>
      </c>
      <c r="R350" s="123">
        <v>2</v>
      </c>
      <c r="S350" s="123" t="e">
        <f>_xll.qlSwapIndex(,"Euribor",Q350,NDays,Currency,Calendar,"1Y","mf","30/360 (Bond Basis)",IborIndex,Discounting,,_xll.ohTrigger(Trigger,RecalcTrigger))</f>
        <v>#VALUE!</v>
      </c>
      <c r="T350" s="123" t="e">
        <f>_xll.qlVanillaSwapFromSwapIndex(,S350,O350)</f>
        <v>#VALUE!</v>
      </c>
      <c r="U350" s="110" t="e">
        <f>_xll.qlVanillaSwapFairRate(T350)</f>
        <v>#VALUE!</v>
      </c>
      <c r="V350" s="206" t="e">
        <f t="shared" si="34"/>
        <v>#VALUE!</v>
      </c>
      <c r="Y350" s="105" t="str">
        <f t="shared" si="35"/>
        <v>1D</v>
      </c>
      <c r="Z350" s="93">
        <f>_xll.qlCalendarAdvance(Calendar,Z349,Y350,"f",FALSE)</f>
        <v>42654</v>
      </c>
      <c r="AA350" s="117">
        <f>_xll.qlCalendarAdvance(Calendar,Z350,NDays&amp;"D")</f>
        <v>42656</v>
      </c>
      <c r="AB350" s="92">
        <v>1.7211153451788766E-3</v>
      </c>
      <c r="AC350" s="101">
        <v>1.2784397154508298E-3</v>
      </c>
    </row>
    <row r="351" spans="13:29" x14ac:dyDescent="0.2">
      <c r="M351" s="209">
        <f>RateHelpers!B340</f>
        <v>0</v>
      </c>
      <c r="N351" s="105" t="e">
        <f>_xll.qlRateHelperQuoteName(M351)</f>
        <v>#NUM!</v>
      </c>
      <c r="O351" s="93" t="e">
        <f>_xll.qlInterestRateIndexFixingDate(S351,_xll.qlRateHelperEarliestDate(M351,Trigger),)</f>
        <v>#VALUE!</v>
      </c>
      <c r="P351" s="120" t="e">
        <f>_xll.qlRateHelperQuoteValue(M351,_xll.ohTrigger(RecalcTrigger,YieldCurve))</f>
        <v>#NUM!</v>
      </c>
      <c r="Q351" s="123" t="e">
        <f t="shared" si="36"/>
        <v>#NUM!</v>
      </c>
      <c r="R351" s="123">
        <v>2</v>
      </c>
      <c r="S351" s="123" t="e">
        <f>_xll.qlSwapIndex(,"Euribor",Q351,NDays,Currency,Calendar,"1Y","mf","30/360 (Bond Basis)",IborIndex,Discounting,,_xll.ohTrigger(Trigger,RecalcTrigger))</f>
        <v>#VALUE!</v>
      </c>
      <c r="T351" s="123" t="e">
        <f>_xll.qlVanillaSwapFromSwapIndex(,S351,O351)</f>
        <v>#VALUE!</v>
      </c>
      <c r="U351" s="110" t="e">
        <f>_xll.qlVanillaSwapFairRate(T351)</f>
        <v>#VALUE!</v>
      </c>
      <c r="V351" s="206" t="e">
        <f t="shared" si="34"/>
        <v>#VALUE!</v>
      </c>
      <c r="Y351" s="105" t="str">
        <f t="shared" si="35"/>
        <v>1D</v>
      </c>
      <c r="Z351" s="93">
        <f>_xll.qlCalendarAdvance(Calendar,Z350,Y351,"f",FALSE)</f>
        <v>42655</v>
      </c>
      <c r="AA351" s="117">
        <f>_xll.qlCalendarAdvance(Calendar,Z351,NDays&amp;"D")</f>
        <v>42657</v>
      </c>
      <c r="AB351" s="92">
        <v>1.7364123552479356E-3</v>
      </c>
      <c r="AC351" s="101">
        <v>1.2775340998150142E-3</v>
      </c>
    </row>
    <row r="352" spans="13:29" x14ac:dyDescent="0.2">
      <c r="M352" s="209">
        <f>RateHelpers!B341</f>
        <v>0</v>
      </c>
      <c r="N352" s="105" t="e">
        <f>_xll.qlRateHelperQuoteName(M352)</f>
        <v>#NUM!</v>
      </c>
      <c r="O352" s="93" t="e">
        <f>_xll.qlInterestRateIndexFixingDate(S352,_xll.qlRateHelperEarliestDate(M352,Trigger),)</f>
        <v>#VALUE!</v>
      </c>
      <c r="P352" s="120" t="e">
        <f>_xll.qlRateHelperQuoteValue(M352,_xll.ohTrigger(RecalcTrigger,YieldCurve))</f>
        <v>#NUM!</v>
      </c>
      <c r="Q352" s="123" t="e">
        <f t="shared" si="36"/>
        <v>#NUM!</v>
      </c>
      <c r="R352" s="123">
        <v>2</v>
      </c>
      <c r="S352" s="123" t="e">
        <f>_xll.qlSwapIndex(,"Euribor",Q352,NDays,Currency,Calendar,"1Y","mf","30/360 (Bond Basis)",IborIndex,Discounting,,_xll.ohTrigger(Trigger,RecalcTrigger))</f>
        <v>#VALUE!</v>
      </c>
      <c r="T352" s="123" t="e">
        <f>_xll.qlVanillaSwapFromSwapIndex(,S352,O352)</f>
        <v>#VALUE!</v>
      </c>
      <c r="U352" s="110" t="e">
        <f>_xll.qlVanillaSwapFairRate(T352)</f>
        <v>#VALUE!</v>
      </c>
      <c r="V352" s="206" t="e">
        <f t="shared" si="34"/>
        <v>#VALUE!</v>
      </c>
      <c r="Y352" s="105" t="str">
        <f t="shared" si="35"/>
        <v>1D</v>
      </c>
      <c r="Z352" s="93">
        <f>_xll.qlCalendarAdvance(Calendar,Z351,Y352,"f",FALSE)</f>
        <v>42656</v>
      </c>
      <c r="AA352" s="117">
        <f>_xll.qlCalendarAdvance(Calendar,Z352,NDays&amp;"D")</f>
        <v>42660</v>
      </c>
      <c r="AB352" s="92">
        <v>1.7439163836605635E-3</v>
      </c>
      <c r="AC352" s="101">
        <v>1.2766283678988799E-3</v>
      </c>
    </row>
    <row r="353" spans="13:29" x14ac:dyDescent="0.2">
      <c r="M353" s="209">
        <f>RateHelpers!B342</f>
        <v>0</v>
      </c>
      <c r="N353" s="105" t="e">
        <f>_xll.qlRateHelperQuoteName(M353)</f>
        <v>#NUM!</v>
      </c>
      <c r="O353" s="93" t="e">
        <f>_xll.qlInterestRateIndexFixingDate(S353,_xll.qlRateHelperEarliestDate(M353,Trigger),)</f>
        <v>#VALUE!</v>
      </c>
      <c r="P353" s="120" t="e">
        <f>_xll.qlRateHelperQuoteValue(M353,_xll.ohTrigger(RecalcTrigger,YieldCurve))</f>
        <v>#NUM!</v>
      </c>
      <c r="Q353" s="123" t="e">
        <f t="shared" si="36"/>
        <v>#NUM!</v>
      </c>
      <c r="R353" s="123">
        <v>2</v>
      </c>
      <c r="S353" s="123" t="e">
        <f>_xll.qlSwapIndex(,"Euribor",Q353,NDays,Currency,Calendar,"1Y","mf","30/360 (Bond Basis)",IborIndex,Discounting,,_xll.ohTrigger(Trigger,RecalcTrigger))</f>
        <v>#VALUE!</v>
      </c>
      <c r="T353" s="123" t="e">
        <f>_xll.qlVanillaSwapFromSwapIndex(,S353,O353)</f>
        <v>#VALUE!</v>
      </c>
      <c r="U353" s="110" t="e">
        <f>_xll.qlVanillaSwapFairRate(T353)</f>
        <v>#VALUE!</v>
      </c>
      <c r="V353" s="206" t="e">
        <f t="shared" si="34"/>
        <v>#VALUE!</v>
      </c>
      <c r="Y353" s="105" t="str">
        <f t="shared" si="35"/>
        <v>1D</v>
      </c>
      <c r="Z353" s="93">
        <f>_xll.qlCalendarAdvance(Calendar,Z352,Y353,"f",FALSE)</f>
        <v>42657</v>
      </c>
      <c r="AA353" s="117">
        <f>_xll.qlCalendarAdvance(Calendar,Z353,NDays&amp;"D")</f>
        <v>42661</v>
      </c>
      <c r="AB353" s="92">
        <v>1.7464777068890189E-3</v>
      </c>
      <c r="AC353" s="101">
        <v>1.2761822441209603E-3</v>
      </c>
    </row>
    <row r="354" spans="13:29" x14ac:dyDescent="0.2">
      <c r="M354" s="209">
        <f>RateHelpers!B343</f>
        <v>0</v>
      </c>
      <c r="N354" s="105" t="e">
        <f>_xll.qlRateHelperQuoteName(M354)</f>
        <v>#NUM!</v>
      </c>
      <c r="O354" s="93" t="e">
        <f>_xll.qlInterestRateIndexFixingDate(S354,_xll.qlRateHelperEarliestDate(M354,Trigger),)</f>
        <v>#VALUE!</v>
      </c>
      <c r="P354" s="120" t="e">
        <f>_xll.qlRateHelperQuoteValue(M354,_xll.ohTrigger(RecalcTrigger,YieldCurve))</f>
        <v>#NUM!</v>
      </c>
      <c r="Q354" s="123" t="e">
        <f t="shared" si="36"/>
        <v>#NUM!</v>
      </c>
      <c r="R354" s="123">
        <v>2</v>
      </c>
      <c r="S354" s="123" t="e">
        <f>_xll.qlSwapIndex(,"Euribor",Q354,NDays,Currency,Calendar,"1Y","mf","30/360 (Bond Basis)",IborIndex,Discounting,,_xll.ohTrigger(Trigger,RecalcTrigger))</f>
        <v>#VALUE!</v>
      </c>
      <c r="T354" s="123" t="e">
        <f>_xll.qlVanillaSwapFromSwapIndex(,S354,O354)</f>
        <v>#VALUE!</v>
      </c>
      <c r="U354" s="110" t="e">
        <f>_xll.qlVanillaSwapFairRate(T354)</f>
        <v>#VALUE!</v>
      </c>
      <c r="V354" s="206" t="e">
        <f t="shared" si="34"/>
        <v>#VALUE!</v>
      </c>
      <c r="Y354" s="105" t="str">
        <f t="shared" si="35"/>
        <v>1D</v>
      </c>
      <c r="Z354" s="93">
        <f>_xll.qlCalendarAdvance(Calendar,Z353,Y354,"f",FALSE)</f>
        <v>42660</v>
      </c>
      <c r="AA354" s="117">
        <f>_xll.qlCalendarAdvance(Calendar,Z354,NDays&amp;"D")</f>
        <v>42662</v>
      </c>
      <c r="AB354" s="92">
        <v>1.7515368791652954E-3</v>
      </c>
      <c r="AC354" s="101">
        <v>1.2757388057149655E-3</v>
      </c>
    </row>
    <row r="355" spans="13:29" x14ac:dyDescent="0.2">
      <c r="M355" s="209">
        <f>RateHelpers!B344</f>
        <v>0</v>
      </c>
      <c r="N355" s="105" t="e">
        <f>_xll.qlRateHelperQuoteName(M355)</f>
        <v>#NUM!</v>
      </c>
      <c r="O355" s="93" t="e">
        <f>_xll.qlInterestRateIndexFixingDate(S355,_xll.qlRateHelperEarliestDate(M355,Trigger),)</f>
        <v>#VALUE!</v>
      </c>
      <c r="P355" s="120" t="e">
        <f>_xll.qlRateHelperQuoteValue(M355,_xll.ohTrigger(RecalcTrigger,YieldCurve))</f>
        <v>#NUM!</v>
      </c>
      <c r="Q355" s="123" t="e">
        <f t="shared" si="36"/>
        <v>#NUM!</v>
      </c>
      <c r="R355" s="123">
        <v>2</v>
      </c>
      <c r="S355" s="123" t="e">
        <f>_xll.qlSwapIndex(,"Euribor",Q355,NDays,Currency,Calendar,"1Y","mf","30/360 (Bond Basis)",IborIndex,Discounting,,_xll.ohTrigger(Trigger,RecalcTrigger))</f>
        <v>#VALUE!</v>
      </c>
      <c r="T355" s="123" t="e">
        <f>_xll.qlVanillaSwapFromSwapIndex(,S355,O355)</f>
        <v>#VALUE!</v>
      </c>
      <c r="U355" s="110" t="e">
        <f>_xll.qlVanillaSwapFairRate(T355)</f>
        <v>#VALUE!</v>
      </c>
      <c r="V355" s="206" t="e">
        <f t="shared" si="34"/>
        <v>#VALUE!</v>
      </c>
      <c r="Y355" s="105" t="str">
        <f t="shared" si="35"/>
        <v>1D</v>
      </c>
      <c r="Z355" s="93">
        <f>_xll.qlCalendarAdvance(Calendar,Z354,Y355,"f",FALSE)</f>
        <v>42661</v>
      </c>
      <c r="AA355" s="117">
        <f>_xll.qlCalendarAdvance(Calendar,Z355,NDays&amp;"D")</f>
        <v>42663</v>
      </c>
      <c r="AB355" s="92">
        <v>1.7565919538054951E-3</v>
      </c>
      <c r="AC355" s="101">
        <v>1.2752980524410873E-3</v>
      </c>
    </row>
    <row r="356" spans="13:29" x14ac:dyDescent="0.2">
      <c r="M356" s="209">
        <f>RateHelpers!B345</f>
        <v>0</v>
      </c>
      <c r="N356" s="105" t="e">
        <f>_xll.qlRateHelperQuoteName(M356)</f>
        <v>#NUM!</v>
      </c>
      <c r="O356" s="93" t="e">
        <f>_xll.qlInterestRateIndexFixingDate(S356,_xll.qlRateHelperEarliestDate(M356,Trigger),)</f>
        <v>#VALUE!</v>
      </c>
      <c r="P356" s="120" t="e">
        <f>_xll.qlRateHelperQuoteValue(M356,_xll.ohTrigger(RecalcTrigger,YieldCurve))</f>
        <v>#NUM!</v>
      </c>
      <c r="Q356" s="123" t="e">
        <f t="shared" si="36"/>
        <v>#NUM!</v>
      </c>
      <c r="R356" s="123">
        <v>2</v>
      </c>
      <c r="S356" s="123" t="e">
        <f>_xll.qlSwapIndex(,"Euribor",Q356,NDays,Currency,Calendar,"1Y","mf","30/360 (Bond Basis)",IborIndex,Discounting,,_xll.ohTrigger(Trigger,RecalcTrigger))</f>
        <v>#VALUE!</v>
      </c>
      <c r="T356" s="123" t="e">
        <f>_xll.qlVanillaSwapFromSwapIndex(,S356,O356)</f>
        <v>#VALUE!</v>
      </c>
      <c r="U356" s="110" t="e">
        <f>_xll.qlVanillaSwapFairRate(T356)</f>
        <v>#VALUE!</v>
      </c>
      <c r="V356" s="206" t="e">
        <f t="shared" si="34"/>
        <v>#VALUE!</v>
      </c>
      <c r="Y356" s="105" t="str">
        <f t="shared" si="35"/>
        <v>1D</v>
      </c>
      <c r="Z356" s="93">
        <f>_xll.qlCalendarAdvance(Calendar,Z355,Y356,"f",FALSE)</f>
        <v>42662</v>
      </c>
      <c r="AA356" s="117">
        <f>_xll.qlCalendarAdvance(Calendar,Z356,NDays&amp;"D")</f>
        <v>42664</v>
      </c>
      <c r="AB356" s="92">
        <v>1.7616430746932048E-3</v>
      </c>
      <c r="AC356" s="101">
        <v>1.2744300084843729E-3</v>
      </c>
    </row>
    <row r="357" spans="13:29" x14ac:dyDescent="0.2">
      <c r="M357" s="209">
        <f>RateHelpers!B346</f>
        <v>0</v>
      </c>
      <c r="N357" s="105" t="e">
        <f>_xll.qlRateHelperQuoteName(M357)</f>
        <v>#NUM!</v>
      </c>
      <c r="O357" s="93" t="e">
        <f>_xll.qlInterestRateIndexFixingDate(S357,_xll.qlRateHelperEarliestDate(M357,Trigger),)</f>
        <v>#VALUE!</v>
      </c>
      <c r="P357" s="120" t="e">
        <f>_xll.qlRateHelperQuoteValue(M357,_xll.ohTrigger(RecalcTrigger,YieldCurve))</f>
        <v>#NUM!</v>
      </c>
      <c r="Q357" s="123" t="e">
        <f t="shared" si="36"/>
        <v>#NUM!</v>
      </c>
      <c r="R357" s="123">
        <v>2</v>
      </c>
      <c r="S357" s="123" t="e">
        <f>_xll.qlSwapIndex(,"Euribor",Q357,NDays,Currency,Calendar,"1Y","mf","30/360 (Bond Basis)",IborIndex,Discounting,,_xll.ohTrigger(Trigger,RecalcTrigger))</f>
        <v>#VALUE!</v>
      </c>
      <c r="T357" s="123" t="e">
        <f>_xll.qlVanillaSwapFromSwapIndex(,S357,O357)</f>
        <v>#VALUE!</v>
      </c>
      <c r="U357" s="110" t="e">
        <f>_xll.qlVanillaSwapFairRate(T357)</f>
        <v>#VALUE!</v>
      </c>
      <c r="V357" s="206" t="e">
        <f t="shared" si="34"/>
        <v>#VALUE!</v>
      </c>
      <c r="Y357" s="105" t="str">
        <f t="shared" si="35"/>
        <v>1D</v>
      </c>
      <c r="Z357" s="93">
        <f>_xll.qlCalendarAdvance(Calendar,Z356,Y357,"f",FALSE)</f>
        <v>42663</v>
      </c>
      <c r="AA357" s="117">
        <f>_xll.qlCalendarAdvance(Calendar,Z357,NDays&amp;"D")</f>
        <v>42667</v>
      </c>
      <c r="AB357" s="92">
        <v>1.7767741536864792E-3</v>
      </c>
      <c r="AC357" s="101">
        <v>1.2735618921855263E-3</v>
      </c>
    </row>
    <row r="358" spans="13:29" x14ac:dyDescent="0.2">
      <c r="M358" s="209">
        <f>RateHelpers!B347</f>
        <v>0</v>
      </c>
      <c r="N358" s="105" t="e">
        <f>_xll.qlRateHelperQuoteName(M358)</f>
        <v>#NUM!</v>
      </c>
      <c r="O358" s="93" t="e">
        <f>_xll.qlInterestRateIndexFixingDate(S358,_xll.qlRateHelperEarliestDate(M358,Trigger),)</f>
        <v>#VALUE!</v>
      </c>
      <c r="P358" s="120" t="e">
        <f>_xll.qlRateHelperQuoteValue(M358,_xll.ohTrigger(RecalcTrigger,YieldCurve))</f>
        <v>#NUM!</v>
      </c>
      <c r="Q358" s="123" t="e">
        <f t="shared" si="36"/>
        <v>#NUM!</v>
      </c>
      <c r="R358" s="123">
        <v>2</v>
      </c>
      <c r="S358" s="123" t="e">
        <f>_xll.qlSwapIndex(,"Euribor",Q358,NDays,Currency,Calendar,"1Y","mf","30/360 (Bond Basis)",IborIndex,Discounting,,_xll.ohTrigger(Trigger,RecalcTrigger))</f>
        <v>#VALUE!</v>
      </c>
      <c r="T358" s="123" t="e">
        <f>_xll.qlVanillaSwapFromSwapIndex(,S358,O358)</f>
        <v>#VALUE!</v>
      </c>
      <c r="U358" s="110" t="e">
        <f>_xll.qlVanillaSwapFairRate(T358)</f>
        <v>#VALUE!</v>
      </c>
      <c r="V358" s="206" t="e">
        <f t="shared" si="34"/>
        <v>#VALUE!</v>
      </c>
      <c r="Y358" s="105" t="str">
        <f t="shared" si="35"/>
        <v>1D</v>
      </c>
      <c r="Z358" s="93">
        <f>_xll.qlCalendarAdvance(Calendar,Z357,Y358,"f",FALSE)</f>
        <v>42664</v>
      </c>
      <c r="AA358" s="117">
        <f>_xll.qlCalendarAdvance(Calendar,Z358,NDays&amp;"D")</f>
        <v>42668</v>
      </c>
      <c r="AB358" s="92">
        <v>1.7818108984189774E-3</v>
      </c>
      <c r="AC358" s="101">
        <v>1.2731345652916559E-3</v>
      </c>
    </row>
    <row r="359" spans="13:29" x14ac:dyDescent="0.2">
      <c r="M359" s="209">
        <f>RateHelpers!B348</f>
        <v>0</v>
      </c>
      <c r="N359" s="105" t="e">
        <f>_xll.qlRateHelperQuoteName(M359)</f>
        <v>#NUM!</v>
      </c>
      <c r="O359" s="93" t="e">
        <f>_xll.qlInterestRateIndexFixingDate(S359,_xll.qlRateHelperEarliestDate(M359,Trigger),)</f>
        <v>#VALUE!</v>
      </c>
      <c r="P359" s="120" t="e">
        <f>_xll.qlRateHelperQuoteValue(M359,_xll.ohTrigger(RecalcTrigger,YieldCurve))</f>
        <v>#NUM!</v>
      </c>
      <c r="Q359" s="123" t="e">
        <f t="shared" si="36"/>
        <v>#NUM!</v>
      </c>
      <c r="R359" s="123">
        <v>2</v>
      </c>
      <c r="S359" s="123" t="e">
        <f>_xll.qlSwapIndex(,"Euribor",Q359,NDays,Currency,Calendar,"1Y","mf","30/360 (Bond Basis)",IborIndex,Discounting,,_xll.ohTrigger(Trigger,RecalcTrigger))</f>
        <v>#VALUE!</v>
      </c>
      <c r="T359" s="123" t="e">
        <f>_xll.qlVanillaSwapFromSwapIndex(,S359,O359)</f>
        <v>#VALUE!</v>
      </c>
      <c r="U359" s="110" t="e">
        <f>_xll.qlVanillaSwapFairRate(T359)</f>
        <v>#VALUE!</v>
      </c>
      <c r="V359" s="206" t="e">
        <f t="shared" si="34"/>
        <v>#VALUE!</v>
      </c>
      <c r="Y359" s="105" t="str">
        <f t="shared" si="35"/>
        <v>1D</v>
      </c>
      <c r="Z359" s="93">
        <f>_xll.qlCalendarAdvance(Calendar,Z358,Y359,"f",FALSE)</f>
        <v>42667</v>
      </c>
      <c r="AA359" s="117">
        <f>_xll.qlCalendarAdvance(Calendar,Z359,NDays&amp;"D")</f>
        <v>42669</v>
      </c>
      <c r="AB359" s="92">
        <v>1.786844408834925E-3</v>
      </c>
      <c r="AC359" s="101">
        <v>1.2727099236897743E-3</v>
      </c>
    </row>
    <row r="360" spans="13:29" x14ac:dyDescent="0.2">
      <c r="M360" s="209">
        <f>RateHelpers!B349</f>
        <v>0</v>
      </c>
      <c r="N360" s="105" t="e">
        <f>_xll.qlRateHelperQuoteName(M360)</f>
        <v>#NUM!</v>
      </c>
      <c r="O360" s="93" t="e">
        <f>_xll.qlInterestRateIndexFixingDate(S360,_xll.qlRateHelperEarliestDate(M360,Trigger),)</f>
        <v>#VALUE!</v>
      </c>
      <c r="P360" s="120" t="e">
        <f>_xll.qlRateHelperQuoteValue(M360,_xll.ohTrigger(RecalcTrigger,YieldCurve))</f>
        <v>#NUM!</v>
      </c>
      <c r="Q360" s="123" t="e">
        <f t="shared" si="36"/>
        <v>#NUM!</v>
      </c>
      <c r="R360" s="123">
        <v>2</v>
      </c>
      <c r="S360" s="123" t="e">
        <f>_xll.qlSwapIndex(,"Euribor",Q360,NDays,Currency,Calendar,"1Y","mf","30/360 (Bond Basis)",IborIndex,Discounting,,_xll.ohTrigger(Trigger,RecalcTrigger))</f>
        <v>#VALUE!</v>
      </c>
      <c r="T360" s="123" t="e">
        <f>_xll.qlVanillaSwapFromSwapIndex(,S360,O360)</f>
        <v>#VALUE!</v>
      </c>
      <c r="U360" s="110" t="e">
        <f>_xll.qlVanillaSwapFairRate(T360)</f>
        <v>#VALUE!</v>
      </c>
      <c r="V360" s="206" t="e">
        <f t="shared" si="34"/>
        <v>#VALUE!</v>
      </c>
      <c r="Y360" s="105" t="str">
        <f t="shared" si="35"/>
        <v>1D</v>
      </c>
      <c r="Z360" s="93">
        <f>_xll.qlCalendarAdvance(Calendar,Z359,Y360,"f",FALSE)</f>
        <v>42668</v>
      </c>
      <c r="AA360" s="117">
        <f>_xll.qlCalendarAdvance(Calendar,Z360,NDays&amp;"D")</f>
        <v>42670</v>
      </c>
      <c r="AB360" s="92">
        <v>1.791874828824496E-3</v>
      </c>
      <c r="AC360" s="101">
        <v>1.2722879672999454E-3</v>
      </c>
    </row>
    <row r="361" spans="13:29" x14ac:dyDescent="0.2">
      <c r="M361" s="209">
        <f>RateHelpers!B350</f>
        <v>0</v>
      </c>
      <c r="N361" s="105" t="e">
        <f>_xll.qlRateHelperQuoteName(M361)</f>
        <v>#NUM!</v>
      </c>
      <c r="O361" s="93" t="e">
        <f>_xll.qlInterestRateIndexFixingDate(S361,_xll.qlRateHelperEarliestDate(M361,Trigger),)</f>
        <v>#VALUE!</v>
      </c>
      <c r="P361" s="120" t="e">
        <f>_xll.qlRateHelperQuoteValue(M361,_xll.ohTrigger(RecalcTrigger,YieldCurve))</f>
        <v>#NUM!</v>
      </c>
      <c r="Q361" s="123" t="e">
        <f t="shared" si="36"/>
        <v>#NUM!</v>
      </c>
      <c r="R361" s="123">
        <v>2</v>
      </c>
      <c r="S361" s="123" t="e">
        <f>_xll.qlSwapIndex(,"Euribor",Q361,NDays,Currency,Calendar,"1Y","mf","30/360 (Bond Basis)",IborIndex,Discounting,,_xll.ohTrigger(Trigger,RecalcTrigger))</f>
        <v>#VALUE!</v>
      </c>
      <c r="T361" s="123" t="e">
        <f>_xll.qlVanillaSwapFromSwapIndex(,S361,O361)</f>
        <v>#VALUE!</v>
      </c>
      <c r="U361" s="110" t="e">
        <f>_xll.qlVanillaSwapFairRate(T361)</f>
        <v>#VALUE!</v>
      </c>
      <c r="V361" s="206" t="e">
        <f t="shared" si="34"/>
        <v>#VALUE!</v>
      </c>
      <c r="Y361" s="105" t="str">
        <f t="shared" si="35"/>
        <v>1D</v>
      </c>
      <c r="Z361" s="93">
        <f>_xll.qlCalendarAdvance(Calendar,Z360,Y361,"f",FALSE)</f>
        <v>42669</v>
      </c>
      <c r="AA361" s="117">
        <f>_xll.qlCalendarAdvance(Calendar,Z361,NDays&amp;"D")</f>
        <v>42671</v>
      </c>
      <c r="AB361" s="92">
        <v>1.7969023022826967E-3</v>
      </c>
      <c r="AC361" s="101">
        <v>1.2714574959282743E-3</v>
      </c>
    </row>
    <row r="362" spans="13:29" x14ac:dyDescent="0.2">
      <c r="M362" s="209">
        <f>RateHelpers!B351</f>
        <v>0</v>
      </c>
      <c r="N362" s="105" t="e">
        <f>_xll.qlRateHelperQuoteName(M362)</f>
        <v>#NUM!</v>
      </c>
      <c r="O362" s="93" t="e">
        <f>_xll.qlInterestRateIndexFixingDate(S362,_xll.qlRateHelperEarliestDate(M362,Trigger),)</f>
        <v>#VALUE!</v>
      </c>
      <c r="P362" s="120" t="e">
        <f>_xll.qlRateHelperQuoteValue(M362,_xll.ohTrigger(RecalcTrigger,YieldCurve))</f>
        <v>#NUM!</v>
      </c>
      <c r="Q362" s="123" t="e">
        <f t="shared" si="36"/>
        <v>#NUM!</v>
      </c>
      <c r="R362" s="123">
        <v>2</v>
      </c>
      <c r="S362" s="123" t="e">
        <f>_xll.qlSwapIndex(,"Euribor",Q362,NDays,Currency,Calendar,"1Y","mf","30/360 (Bond Basis)",IborIndex,Discounting,,_xll.ohTrigger(Trigger,RecalcTrigger))</f>
        <v>#VALUE!</v>
      </c>
      <c r="T362" s="123" t="e">
        <f>_xll.qlVanillaSwapFromSwapIndex(,S362,O362)</f>
        <v>#VALUE!</v>
      </c>
      <c r="U362" s="110" t="e">
        <f>_xll.qlVanillaSwapFairRate(T362)</f>
        <v>#VALUE!</v>
      </c>
      <c r="V362" s="206" t="e">
        <f t="shared" si="34"/>
        <v>#VALUE!</v>
      </c>
      <c r="Y362" s="105" t="str">
        <f t="shared" si="35"/>
        <v>1D</v>
      </c>
      <c r="Z362" s="93">
        <f>_xll.qlCalendarAdvance(Calendar,Z361,Y362,"f",FALSE)</f>
        <v>42670</v>
      </c>
      <c r="AA362" s="117">
        <f>_xll.qlCalendarAdvance(Calendar,Z362,NDays&amp;"D")</f>
        <v>42674</v>
      </c>
      <c r="AB362" s="92">
        <v>1.8056895076736627E-3</v>
      </c>
      <c r="AC362" s="101">
        <v>1.2706269944207094E-3</v>
      </c>
    </row>
    <row r="363" spans="13:29" x14ac:dyDescent="0.2">
      <c r="M363" s="209">
        <f>RateHelpers!B352</f>
        <v>0</v>
      </c>
      <c r="N363" s="105" t="e">
        <f>_xll.qlRateHelperQuoteName(M363)</f>
        <v>#NUM!</v>
      </c>
      <c r="O363" s="93" t="e">
        <f>_xll.qlInterestRateIndexFixingDate(S363,_xll.qlRateHelperEarliestDate(M363,Trigger),)</f>
        <v>#VALUE!</v>
      </c>
      <c r="P363" s="120" t="e">
        <f>_xll.qlRateHelperQuoteValue(M363,_xll.ohTrigger(RecalcTrigger,YieldCurve))</f>
        <v>#NUM!</v>
      </c>
      <c r="Q363" s="123" t="e">
        <f t="shared" si="36"/>
        <v>#NUM!</v>
      </c>
      <c r="R363" s="123">
        <v>2</v>
      </c>
      <c r="S363" s="123" t="e">
        <f>_xll.qlSwapIndex(,"Euribor",Q363,NDays,Currency,Calendar,"1Y","mf","30/360 (Bond Basis)",IborIndex,Discounting,,_xll.ohTrigger(Trigger,RecalcTrigger))</f>
        <v>#VALUE!</v>
      </c>
      <c r="T363" s="123" t="e">
        <f>_xll.qlVanillaSwapFromSwapIndex(,S363,O363)</f>
        <v>#VALUE!</v>
      </c>
      <c r="U363" s="110" t="e">
        <f>_xll.qlVanillaSwapFairRate(T363)</f>
        <v>#VALUE!</v>
      </c>
      <c r="V363" s="206" t="e">
        <f t="shared" si="34"/>
        <v>#VALUE!</v>
      </c>
      <c r="Y363" s="105" t="str">
        <f t="shared" si="35"/>
        <v>1D</v>
      </c>
      <c r="Z363" s="93">
        <f>_xll.qlCalendarAdvance(Calendar,Z362,Y363,"f",FALSE)</f>
        <v>42671</v>
      </c>
      <c r="AA363" s="117">
        <f>_xll.qlCalendarAdvance(Calendar,Z363,NDays&amp;"D")</f>
        <v>42675</v>
      </c>
      <c r="AB363" s="92">
        <v>1.8169856087071798E-3</v>
      </c>
      <c r="AC363" s="101">
        <v>1.2702184643309522E-3</v>
      </c>
    </row>
    <row r="364" spans="13:29" x14ac:dyDescent="0.2">
      <c r="M364" s="209">
        <f>RateHelpers!B353</f>
        <v>0</v>
      </c>
      <c r="N364" s="105" t="e">
        <f>_xll.qlRateHelperQuoteName(M364)</f>
        <v>#NUM!</v>
      </c>
      <c r="O364" s="93" t="e">
        <f>_xll.qlInterestRateIndexFixingDate(S364,_xll.qlRateHelperEarliestDate(M364,Trigger),)</f>
        <v>#VALUE!</v>
      </c>
      <c r="P364" s="120" t="e">
        <f>_xll.qlRateHelperQuoteValue(M364,_xll.ohTrigger(RecalcTrigger,YieldCurve))</f>
        <v>#NUM!</v>
      </c>
      <c r="Q364" s="123" t="e">
        <f t="shared" si="36"/>
        <v>#NUM!</v>
      </c>
      <c r="R364" s="123">
        <v>2</v>
      </c>
      <c r="S364" s="123" t="e">
        <f>_xll.qlSwapIndex(,"Euribor",Q364,NDays,Currency,Calendar,"1Y","mf","30/360 (Bond Basis)",IborIndex,Discounting,,_xll.ohTrigger(Trigger,RecalcTrigger))</f>
        <v>#VALUE!</v>
      </c>
      <c r="T364" s="123" t="e">
        <f>_xll.qlVanillaSwapFromSwapIndex(,S364,O364)</f>
        <v>#VALUE!</v>
      </c>
      <c r="U364" s="110" t="e">
        <f>_xll.qlVanillaSwapFairRate(T364)</f>
        <v>#VALUE!</v>
      </c>
      <c r="V364" s="206" t="e">
        <f t="shared" si="34"/>
        <v>#VALUE!</v>
      </c>
      <c r="Y364" s="105" t="str">
        <f t="shared" si="35"/>
        <v>1D</v>
      </c>
      <c r="Z364" s="93">
        <f>_xll.qlCalendarAdvance(Calendar,Z363,Y364,"f",FALSE)</f>
        <v>42674</v>
      </c>
      <c r="AA364" s="117">
        <f>_xll.qlCalendarAdvance(Calendar,Z364,NDays&amp;"D")</f>
        <v>42676</v>
      </c>
      <c r="AB364" s="92">
        <v>1.8199999999994249E-3</v>
      </c>
      <c r="AC364" s="101">
        <v>1.2698470572658493E-3</v>
      </c>
    </row>
    <row r="365" spans="13:29" ht="12" thickBot="1" x14ac:dyDescent="0.25">
      <c r="M365" s="210">
        <f>RateHelpers!B354</f>
        <v>0</v>
      </c>
      <c r="N365" s="106" t="e">
        <f>_xll.qlRateHelperQuoteName(M365)</f>
        <v>#NUM!</v>
      </c>
      <c r="O365" s="103" t="e">
        <f>_xll.qlInterestRateIndexFixingDate(S365,_xll.qlRateHelperEarliestDate(M365,Trigger),)</f>
        <v>#VALUE!</v>
      </c>
      <c r="P365" s="121" t="e">
        <f>_xll.qlRateHelperQuoteValue(M365,_xll.ohTrigger(RecalcTrigger,YieldCurve))</f>
        <v>#NUM!</v>
      </c>
      <c r="Q365" s="124" t="e">
        <f t="shared" si="36"/>
        <v>#NUM!</v>
      </c>
      <c r="R365" s="124">
        <v>2</v>
      </c>
      <c r="S365" s="124" t="e">
        <f>_xll.qlSwapIndex(,"Euribor",Q365,NDays,Currency,Calendar,"1Y","mf","30/360 (Bond Basis)",IborIndex,Discounting,,_xll.ohTrigger(Trigger,RecalcTrigger))</f>
        <v>#VALUE!</v>
      </c>
      <c r="T365" s="124" t="e">
        <f>_xll.qlVanillaSwapFromSwapIndex(,S365,O365)</f>
        <v>#VALUE!</v>
      </c>
      <c r="U365" s="112" t="e">
        <f>_xll.qlVanillaSwapFairRate(T365)</f>
        <v>#VALUE!</v>
      </c>
      <c r="V365" s="207" t="e">
        <f t="shared" si="34"/>
        <v>#VALUE!</v>
      </c>
      <c r="Y365" s="105" t="str">
        <f t="shared" si="35"/>
        <v>1D</v>
      </c>
      <c r="Z365" s="93">
        <f>_xll.qlCalendarAdvance(Calendar,Z364,Y365,"f",FALSE)</f>
        <v>42675</v>
      </c>
      <c r="AA365" s="117">
        <f>_xll.qlCalendarAdvance(Calendar,Z365,NDays&amp;"D")</f>
        <v>42677</v>
      </c>
      <c r="AB365" s="92">
        <v>1.8250454177766984E-3</v>
      </c>
      <c r="AC365" s="101">
        <v>1.269650524235999E-3</v>
      </c>
    </row>
    <row r="366" spans="13:29" x14ac:dyDescent="0.2">
      <c r="M366" s="211">
        <f>RateHelpers!B355</f>
        <v>0</v>
      </c>
      <c r="N366" s="195" t="e">
        <f>_xll.qlRateHelperQuoteName(M366)</f>
        <v>#NUM!</v>
      </c>
      <c r="O366" s="192" t="e">
        <f>_xll.qlInterestRateIndexFixingDate(S366,_xll.qlRateHelperEarliestDate(M366,Trigger),)</f>
        <v>#VALUE!</v>
      </c>
      <c r="P366" s="193" t="e">
        <f>_xll.qlRateHelperQuoteValue(M366,_xll.ohTrigger(RecalcTrigger,YieldCurve))</f>
        <v>#NUM!</v>
      </c>
      <c r="Q366" s="191" t="e">
        <f t="shared" ref="Q366:Q383" si="37">SUBSTITUTE(SUBSTITUTE(N366,"_Quote",""),"EUR25F","")</f>
        <v>#NUM!</v>
      </c>
      <c r="R366" s="191">
        <v>2</v>
      </c>
      <c r="S366" s="191" t="e">
        <f>_xll.qlSwapIndex(,"Euribor",Q366,NDays,Currency,Calendar,"1Y","mf","30/360 (Bond Basis)",IborIndex,Discounting,,_xll.ohTrigger(Trigger,RecalcTrigger))</f>
        <v>#VALUE!</v>
      </c>
      <c r="T366" s="191" t="e">
        <f>_xll.qlVanillaSwapFromSwapIndex(,S366,O366)</f>
        <v>#VALUE!</v>
      </c>
      <c r="U366" s="194" t="e">
        <f>_xll.qlVanillaSwapFairRate(T366)</f>
        <v>#VALUE!</v>
      </c>
      <c r="V366" s="208" t="e">
        <f t="shared" si="34"/>
        <v>#VALUE!</v>
      </c>
      <c r="Y366" s="105" t="str">
        <f t="shared" si="35"/>
        <v>1D</v>
      </c>
      <c r="Z366" s="93">
        <f>_xll.qlCalendarAdvance(Calendar,Z365,Y366,"f",FALSE)</f>
        <v>42676</v>
      </c>
      <c r="AA366" s="117">
        <f>_xll.qlCalendarAdvance(Calendar,Z366,NDays&amp;"D")</f>
        <v>42678</v>
      </c>
      <c r="AB366" s="92">
        <v>1.8300922385585353E-3</v>
      </c>
      <c r="AC366" s="101">
        <v>1.2699596442722338E-3</v>
      </c>
    </row>
    <row r="367" spans="13:29" x14ac:dyDescent="0.2">
      <c r="M367" s="209">
        <f>RateHelpers!B356</f>
        <v>0</v>
      </c>
      <c r="N367" s="105" t="e">
        <f>_xll.qlRateHelperQuoteName(M367)</f>
        <v>#NUM!</v>
      </c>
      <c r="O367" s="93" t="e">
        <f>_xll.qlInterestRateIndexFixingDate(S367,_xll.qlRateHelperEarliestDate(M367,Trigger),)</f>
        <v>#VALUE!</v>
      </c>
      <c r="P367" s="120" t="e">
        <f>_xll.qlRateHelperQuoteValue(M367,_xll.ohTrigger(RecalcTrigger,YieldCurve))</f>
        <v>#NUM!</v>
      </c>
      <c r="Q367" s="123" t="e">
        <f t="shared" si="37"/>
        <v>#NUM!</v>
      </c>
      <c r="R367" s="123">
        <v>2</v>
      </c>
      <c r="S367" s="123" t="e">
        <f>_xll.qlSwapIndex(,"Euribor",Q367,NDays,Currency,Calendar,"1Y","mf","30/360 (Bond Basis)",IborIndex,Discounting,,_xll.ohTrigger(Trigger,RecalcTrigger))</f>
        <v>#VALUE!</v>
      </c>
      <c r="T367" s="123" t="e">
        <f>_xll.qlVanillaSwapFromSwapIndex(,S367,O367)</f>
        <v>#VALUE!</v>
      </c>
      <c r="U367" s="110" t="e">
        <f>_xll.qlVanillaSwapFairRate(T367)</f>
        <v>#VALUE!</v>
      </c>
      <c r="V367" s="206" t="e">
        <f t="shared" si="34"/>
        <v>#VALUE!</v>
      </c>
      <c r="Y367" s="105" t="str">
        <f t="shared" si="35"/>
        <v>1D</v>
      </c>
      <c r="Z367" s="93">
        <f>_xll.qlCalendarAdvance(Calendar,Z366,Y367,"f",FALSE)</f>
        <v>42677</v>
      </c>
      <c r="AA367" s="117">
        <f>_xll.qlCalendarAdvance(Calendar,Z367,NDays&amp;"D")</f>
        <v>42681</v>
      </c>
      <c r="AB367" s="92">
        <v>1.8471896263554707E-3</v>
      </c>
      <c r="AC367" s="101">
        <v>1.2709575104352666E-3</v>
      </c>
    </row>
    <row r="368" spans="13:29" x14ac:dyDescent="0.2">
      <c r="M368" s="209">
        <f>RateHelpers!B357</f>
        <v>0</v>
      </c>
      <c r="N368" s="105" t="e">
        <f>_xll.qlRateHelperQuoteName(M368)</f>
        <v>#NUM!</v>
      </c>
      <c r="O368" s="93" t="e">
        <f>_xll.qlInterestRateIndexFixingDate(S368,_xll.qlRateHelperEarliestDate(M368,Trigger),)</f>
        <v>#VALUE!</v>
      </c>
      <c r="P368" s="120" t="e">
        <f>_xll.qlRateHelperQuoteValue(M368,_xll.ohTrigger(RecalcTrigger,YieldCurve))</f>
        <v>#NUM!</v>
      </c>
      <c r="Q368" s="123" t="e">
        <f t="shared" si="37"/>
        <v>#NUM!</v>
      </c>
      <c r="R368" s="123">
        <v>2</v>
      </c>
      <c r="S368" s="123" t="e">
        <f>_xll.qlSwapIndex(,"Euribor",Q368,NDays,Currency,Calendar,"1Y","mf","30/360 (Bond Basis)",IborIndex,Discounting,,_xll.ohTrigger(Trigger,RecalcTrigger))</f>
        <v>#VALUE!</v>
      </c>
      <c r="T368" s="123" t="e">
        <f>_xll.qlVanillaSwapFromSwapIndex(,S368,O368)</f>
        <v>#VALUE!</v>
      </c>
      <c r="U368" s="110" t="e">
        <f>_xll.qlVanillaSwapFairRate(T368)</f>
        <v>#VALUE!</v>
      </c>
      <c r="V368" s="206" t="e">
        <f t="shared" si="34"/>
        <v>#VALUE!</v>
      </c>
      <c r="Y368" s="105" t="str">
        <f t="shared" si="35"/>
        <v>1D</v>
      </c>
      <c r="Z368" s="93">
        <f>_xll.qlCalendarAdvance(Calendar,Z367,Y368,"f",FALSE)</f>
        <v>42678</v>
      </c>
      <c r="AA368" s="117">
        <f>_xll.qlCalendarAdvance(Calendar,Z368,NDays&amp;"D")</f>
        <v>42682</v>
      </c>
      <c r="AB368" s="92">
        <v>1.8503666966020083E-3</v>
      </c>
      <c r="AC368" s="101">
        <v>1.2718075365647508E-3</v>
      </c>
    </row>
    <row r="369" spans="13:29" x14ac:dyDescent="0.2">
      <c r="M369" s="209">
        <f>RateHelpers!B358</f>
        <v>0</v>
      </c>
      <c r="N369" s="105" t="e">
        <f>_xll.qlRateHelperQuoteName(M369)</f>
        <v>#NUM!</v>
      </c>
      <c r="O369" s="93" t="e">
        <f>_xll.qlInterestRateIndexFixingDate(S369,_xll.qlRateHelperEarliestDate(M369,Trigger),)</f>
        <v>#VALUE!</v>
      </c>
      <c r="P369" s="120" t="e">
        <f>_xll.qlRateHelperQuoteValue(M369,_xll.ohTrigger(RecalcTrigger,YieldCurve))</f>
        <v>#NUM!</v>
      </c>
      <c r="Q369" s="123" t="e">
        <f t="shared" si="37"/>
        <v>#NUM!</v>
      </c>
      <c r="R369" s="123">
        <v>2</v>
      </c>
      <c r="S369" s="123" t="e">
        <f>_xll.qlSwapIndex(,"Euribor",Q369,NDays,Currency,Calendar,"1Y","mf","30/360 (Bond Basis)",IborIndex,Discounting,,_xll.ohTrigger(Trigger,RecalcTrigger))</f>
        <v>#VALUE!</v>
      </c>
      <c r="T369" s="123" t="e">
        <f>_xll.qlVanillaSwapFromSwapIndex(,S369,O369)</f>
        <v>#VALUE!</v>
      </c>
      <c r="U369" s="110" t="e">
        <f>_xll.qlVanillaSwapFairRate(T369)</f>
        <v>#VALUE!</v>
      </c>
      <c r="V369" s="206" t="e">
        <f t="shared" si="34"/>
        <v>#VALUE!</v>
      </c>
      <c r="Y369" s="105" t="str">
        <f t="shared" si="35"/>
        <v>1D</v>
      </c>
      <c r="Z369" s="93">
        <f>_xll.qlCalendarAdvance(Calendar,Z368,Y369,"f",FALSE)</f>
        <v>42681</v>
      </c>
      <c r="AA369" s="117">
        <f>_xll.qlCalendarAdvance(Calendar,Z369,NDays&amp;"D")</f>
        <v>42683</v>
      </c>
      <c r="AB369" s="92">
        <v>1.8554753913894329E-3</v>
      </c>
      <c r="AC369" s="101">
        <v>1.2728668743822169E-3</v>
      </c>
    </row>
    <row r="370" spans="13:29" x14ac:dyDescent="0.2">
      <c r="M370" s="209">
        <f>RateHelpers!B359</f>
        <v>0</v>
      </c>
      <c r="N370" s="105" t="e">
        <f>_xll.qlRateHelperQuoteName(M370)</f>
        <v>#NUM!</v>
      </c>
      <c r="O370" s="93" t="e">
        <f>_xll.qlInterestRateIndexFixingDate(S370,_xll.qlRateHelperEarliestDate(M370,Trigger),)</f>
        <v>#VALUE!</v>
      </c>
      <c r="P370" s="120" t="e">
        <f>_xll.qlRateHelperQuoteValue(M370,_xll.ohTrigger(RecalcTrigger,YieldCurve))</f>
        <v>#NUM!</v>
      </c>
      <c r="Q370" s="123" t="e">
        <f t="shared" si="37"/>
        <v>#NUM!</v>
      </c>
      <c r="R370" s="123">
        <v>2</v>
      </c>
      <c r="S370" s="123" t="e">
        <f>_xll.qlSwapIndex(,"Euribor",Q370,NDays,Currency,Calendar,"1Y","mf","30/360 (Bond Basis)",IborIndex,Discounting,,_xll.ohTrigger(Trigger,RecalcTrigger))</f>
        <v>#VALUE!</v>
      </c>
      <c r="T370" s="123" t="e">
        <f>_xll.qlVanillaSwapFromSwapIndex(,S370,O370)</f>
        <v>#VALUE!</v>
      </c>
      <c r="U370" s="110" t="e">
        <f>_xll.qlVanillaSwapFairRate(T370)</f>
        <v>#VALUE!</v>
      </c>
      <c r="V370" s="206" t="e">
        <f t="shared" si="34"/>
        <v>#VALUE!</v>
      </c>
      <c r="Y370" s="105" t="str">
        <f t="shared" si="35"/>
        <v>1D</v>
      </c>
      <c r="Z370" s="93">
        <f>_xll.qlCalendarAdvance(Calendar,Z369,Y370,"f",FALSE)</f>
        <v>42682</v>
      </c>
      <c r="AA370" s="117">
        <f>_xll.qlCalendarAdvance(Calendar,Z370,NDays&amp;"D")</f>
        <v>42684</v>
      </c>
      <c r="AB370" s="92">
        <v>1.8606074330389803E-3</v>
      </c>
      <c r="AC370" s="101">
        <v>1.2741355241274732E-3</v>
      </c>
    </row>
    <row r="371" spans="13:29" x14ac:dyDescent="0.2">
      <c r="M371" s="209">
        <f>RateHelpers!B360</f>
        <v>0</v>
      </c>
      <c r="N371" s="105" t="e">
        <f>_xll.qlRateHelperQuoteName(M371)</f>
        <v>#NUM!</v>
      </c>
      <c r="O371" s="93" t="e">
        <f>_xll.qlInterestRateIndexFixingDate(S371,_xll.qlRateHelperEarliestDate(M371,Trigger),)</f>
        <v>#VALUE!</v>
      </c>
      <c r="P371" s="120" t="e">
        <f>_xll.qlRateHelperQuoteValue(M371,_xll.ohTrigger(RecalcTrigger,YieldCurve))</f>
        <v>#NUM!</v>
      </c>
      <c r="Q371" s="123" t="e">
        <f t="shared" si="37"/>
        <v>#NUM!</v>
      </c>
      <c r="R371" s="123">
        <v>2</v>
      </c>
      <c r="S371" s="123" t="e">
        <f>_xll.qlSwapIndex(,"Euribor",Q371,NDays,Currency,Calendar,"1Y","mf","30/360 (Bond Basis)",IborIndex,Discounting,,_xll.ohTrigger(Trigger,RecalcTrigger))</f>
        <v>#VALUE!</v>
      </c>
      <c r="T371" s="123" t="e">
        <f>_xll.qlVanillaSwapFromSwapIndex(,S371,O371)</f>
        <v>#VALUE!</v>
      </c>
      <c r="U371" s="110" t="e">
        <f>_xll.qlVanillaSwapFairRate(T371)</f>
        <v>#VALUE!</v>
      </c>
      <c r="V371" s="206" t="e">
        <f t="shared" si="34"/>
        <v>#VALUE!</v>
      </c>
      <c r="Y371" s="105" t="str">
        <f t="shared" si="35"/>
        <v>1D</v>
      </c>
      <c r="Z371" s="93">
        <f>_xll.qlCalendarAdvance(Calendar,Z370,Y371,"f",FALSE)</f>
        <v>42683</v>
      </c>
      <c r="AA371" s="117">
        <f>_xll.qlCalendarAdvance(Calendar,Z371,NDays&amp;"D")</f>
        <v>42685</v>
      </c>
      <c r="AB371" s="92">
        <v>1.8657664789927351E-3</v>
      </c>
      <c r="AC371" s="101">
        <v>1.2773750620720392E-3</v>
      </c>
    </row>
    <row r="372" spans="13:29" x14ac:dyDescent="0.2">
      <c r="M372" s="209">
        <f>RateHelpers!B361</f>
        <v>0</v>
      </c>
      <c r="N372" s="105" t="e">
        <f>_xll.qlRateHelperQuoteName(M372)</f>
        <v>#NUM!</v>
      </c>
      <c r="O372" s="93" t="e">
        <f>_xll.qlInterestRateIndexFixingDate(S372,_xll.qlRateHelperEarliestDate(M372,Trigger),)</f>
        <v>#VALUE!</v>
      </c>
      <c r="P372" s="120" t="e">
        <f>_xll.qlRateHelperQuoteValue(M372,_xll.ohTrigger(RecalcTrigger,YieldCurve))</f>
        <v>#NUM!</v>
      </c>
      <c r="Q372" s="123" t="e">
        <f t="shared" si="37"/>
        <v>#NUM!</v>
      </c>
      <c r="R372" s="123">
        <v>2</v>
      </c>
      <c r="S372" s="123" t="e">
        <f>_xll.qlSwapIndex(,"Euribor",Q372,NDays,Currency,Calendar,"1Y","mf","30/360 (Bond Basis)",IborIndex,Discounting,,_xll.ohTrigger(Trigger,RecalcTrigger))</f>
        <v>#VALUE!</v>
      </c>
      <c r="T372" s="123" t="e">
        <f>_xll.qlVanillaSwapFromSwapIndex(,S372,O372)</f>
        <v>#VALUE!</v>
      </c>
      <c r="U372" s="110" t="e">
        <f>_xll.qlVanillaSwapFairRate(T372)</f>
        <v>#VALUE!</v>
      </c>
      <c r="V372" s="206" t="e">
        <f t="shared" si="34"/>
        <v>#VALUE!</v>
      </c>
      <c r="Y372" s="105" t="str">
        <f t="shared" si="35"/>
        <v>1D</v>
      </c>
      <c r="Z372" s="93">
        <f>_xll.qlCalendarAdvance(Calendar,Z371,Y372,"f",FALSE)</f>
        <v>42684</v>
      </c>
      <c r="AA372" s="117">
        <f>_xll.qlCalendarAdvance(Calendar,Z372,NDays&amp;"D")</f>
        <v>42688</v>
      </c>
      <c r="AB372" s="92">
        <v>1.8834259266551747E-3</v>
      </c>
      <c r="AC372" s="101">
        <v>1.2813032412672953E-3</v>
      </c>
    </row>
    <row r="373" spans="13:29" x14ac:dyDescent="0.2">
      <c r="M373" s="209">
        <f>RateHelpers!B362</f>
        <v>0</v>
      </c>
      <c r="N373" s="105" t="e">
        <f>_xll.qlRateHelperQuoteName(M373)</f>
        <v>#NUM!</v>
      </c>
      <c r="O373" s="93" t="e">
        <f>_xll.qlInterestRateIndexFixingDate(S373,_xll.qlRateHelperEarliestDate(M373,Trigger),)</f>
        <v>#VALUE!</v>
      </c>
      <c r="P373" s="120" t="e">
        <f>_xll.qlRateHelperQuoteValue(M373,_xll.ohTrigger(RecalcTrigger,YieldCurve))</f>
        <v>#NUM!</v>
      </c>
      <c r="Q373" s="123" t="e">
        <f t="shared" si="37"/>
        <v>#NUM!</v>
      </c>
      <c r="R373" s="123">
        <v>2</v>
      </c>
      <c r="S373" s="123" t="e">
        <f>_xll.qlSwapIndex(,"Euribor",Q373,NDays,Currency,Calendar,"1Y","mf","30/360 (Bond Basis)",IborIndex,Discounting,,_xll.ohTrigger(Trigger,RecalcTrigger))</f>
        <v>#VALUE!</v>
      </c>
      <c r="T373" s="123" t="e">
        <f>_xll.qlVanillaSwapFromSwapIndex(,S373,O373)</f>
        <v>#VALUE!</v>
      </c>
      <c r="U373" s="110" t="e">
        <f>_xll.qlVanillaSwapFairRate(T373)</f>
        <v>#VALUE!</v>
      </c>
      <c r="V373" s="206" t="e">
        <f t="shared" si="34"/>
        <v>#VALUE!</v>
      </c>
      <c r="Y373" s="105" t="str">
        <f t="shared" si="35"/>
        <v>1D</v>
      </c>
      <c r="Z373" s="93">
        <f>_xll.qlCalendarAdvance(Calendar,Z372,Y373,"f",FALSE)</f>
        <v>42685</v>
      </c>
      <c r="AA373" s="117">
        <f>_xll.qlCalendarAdvance(Calendar,Z373,NDays&amp;"D")</f>
        <v>42689</v>
      </c>
      <c r="AB373" s="92">
        <v>1.8867458560658757E-3</v>
      </c>
      <c r="AC373" s="101">
        <v>1.2836184500919501E-3</v>
      </c>
    </row>
    <row r="374" spans="13:29" x14ac:dyDescent="0.2">
      <c r="M374" s="209">
        <f>RateHelpers!B363</f>
        <v>0</v>
      </c>
      <c r="N374" s="105" t="e">
        <f>_xll.qlRateHelperQuoteName(M374)</f>
        <v>#NUM!</v>
      </c>
      <c r="O374" s="93" t="e">
        <f>_xll.qlInterestRateIndexFixingDate(S374,_xll.qlRateHelperEarliestDate(M374,Trigger),)</f>
        <v>#VALUE!</v>
      </c>
      <c r="P374" s="120" t="e">
        <f>_xll.qlRateHelperQuoteValue(M374,_xll.ohTrigger(RecalcTrigger,YieldCurve))</f>
        <v>#NUM!</v>
      </c>
      <c r="Q374" s="123" t="e">
        <f t="shared" si="37"/>
        <v>#NUM!</v>
      </c>
      <c r="R374" s="123">
        <v>2</v>
      </c>
      <c r="S374" s="123" t="e">
        <f>_xll.qlSwapIndex(,"Euribor",Q374,NDays,Currency,Calendar,"1Y","mf","30/360 (Bond Basis)",IborIndex,Discounting,,_xll.ohTrigger(Trigger,RecalcTrigger))</f>
        <v>#VALUE!</v>
      </c>
      <c r="T374" s="123" t="e">
        <f>_xll.qlVanillaSwapFromSwapIndex(,S374,O374)</f>
        <v>#VALUE!</v>
      </c>
      <c r="U374" s="110" t="e">
        <f>_xll.qlVanillaSwapFairRate(T374)</f>
        <v>#VALUE!</v>
      </c>
      <c r="V374" s="206" t="e">
        <f t="shared" si="34"/>
        <v>#VALUE!</v>
      </c>
      <c r="Y374" s="105" t="str">
        <f t="shared" si="35"/>
        <v>1D</v>
      </c>
      <c r="Z374" s="93">
        <f>_xll.qlCalendarAdvance(Calendar,Z373,Y374,"f",FALSE)</f>
        <v>42688</v>
      </c>
      <c r="AA374" s="117">
        <f>_xll.qlCalendarAdvance(Calendar,Z374,NDays&amp;"D")</f>
        <v>42690</v>
      </c>
      <c r="AB374" s="92">
        <v>1.8920947865555707E-3</v>
      </c>
      <c r="AC374" s="101">
        <v>1.286142970844395E-3</v>
      </c>
    </row>
    <row r="375" spans="13:29" x14ac:dyDescent="0.2">
      <c r="M375" s="209">
        <f>RateHelpers!B364</f>
        <v>0</v>
      </c>
      <c r="N375" s="105" t="e">
        <f>_xll.qlRateHelperQuoteName(M375)</f>
        <v>#NUM!</v>
      </c>
      <c r="O375" s="93" t="e">
        <f>_xll.qlInterestRateIndexFixingDate(S375,_xll.qlRateHelperEarliestDate(M375,Trigger),)</f>
        <v>#VALUE!</v>
      </c>
      <c r="P375" s="120" t="e">
        <f>_xll.qlRateHelperQuoteValue(M375,_xll.ohTrigger(RecalcTrigger,YieldCurve))</f>
        <v>#NUM!</v>
      </c>
      <c r="Q375" s="123" t="e">
        <f t="shared" si="37"/>
        <v>#NUM!</v>
      </c>
      <c r="R375" s="123">
        <v>2</v>
      </c>
      <c r="S375" s="123" t="e">
        <f>_xll.qlSwapIndex(,"Euribor",Q375,NDays,Currency,Calendar,"1Y","mf","30/360 (Bond Basis)",IborIndex,Discounting,,_xll.ohTrigger(Trigger,RecalcTrigger))</f>
        <v>#VALUE!</v>
      </c>
      <c r="T375" s="123" t="e">
        <f>_xll.qlVanillaSwapFromSwapIndex(,S375,O375)</f>
        <v>#VALUE!</v>
      </c>
      <c r="U375" s="110" t="e">
        <f>_xll.qlVanillaSwapFairRate(T375)</f>
        <v>#VALUE!</v>
      </c>
      <c r="V375" s="206" t="e">
        <f t="shared" si="34"/>
        <v>#VALUE!</v>
      </c>
      <c r="Y375" s="105" t="str">
        <f t="shared" si="35"/>
        <v>1D</v>
      </c>
      <c r="Z375" s="93">
        <f>_xll.qlCalendarAdvance(Calendar,Z374,Y375,"f",FALSE)</f>
        <v>42689</v>
      </c>
      <c r="AA375" s="117">
        <f>_xll.qlCalendarAdvance(Calendar,Z375,NDays&amp;"D")</f>
        <v>42691</v>
      </c>
      <c r="AB375" s="92">
        <v>1.8974926668415262E-3</v>
      </c>
      <c r="AC375" s="101">
        <v>1.288876803364758E-3</v>
      </c>
    </row>
    <row r="376" spans="13:29" x14ac:dyDescent="0.2">
      <c r="M376" s="209">
        <f>RateHelpers!B365</f>
        <v>0</v>
      </c>
      <c r="N376" s="105" t="e">
        <f>_xll.qlRateHelperQuoteName(M376)</f>
        <v>#NUM!</v>
      </c>
      <c r="O376" s="93" t="e">
        <f>_xll.qlInterestRateIndexFixingDate(S376,_xll.qlRateHelperEarliestDate(M376,Trigger),)</f>
        <v>#VALUE!</v>
      </c>
      <c r="P376" s="120" t="e">
        <f>_xll.qlRateHelperQuoteValue(M376,_xll.ohTrigger(RecalcTrigger,YieldCurve))</f>
        <v>#NUM!</v>
      </c>
      <c r="Q376" s="123" t="e">
        <f t="shared" si="37"/>
        <v>#NUM!</v>
      </c>
      <c r="R376" s="123">
        <v>2</v>
      </c>
      <c r="S376" s="123" t="e">
        <f>_xll.qlSwapIndex(,"Euribor",Q376,NDays,Currency,Calendar,"1Y","mf","30/360 (Bond Basis)",IborIndex,Discounting,,_xll.ohTrigger(Trigger,RecalcTrigger))</f>
        <v>#VALUE!</v>
      </c>
      <c r="T376" s="123" t="e">
        <f>_xll.qlVanillaSwapFromSwapIndex(,S376,O376)</f>
        <v>#VALUE!</v>
      </c>
      <c r="U376" s="110" t="e">
        <f>_xll.qlVanillaSwapFairRate(T376)</f>
        <v>#VALUE!</v>
      </c>
      <c r="V376" s="206" t="e">
        <f t="shared" si="34"/>
        <v>#VALUE!</v>
      </c>
      <c r="Y376" s="105" t="str">
        <f t="shared" si="35"/>
        <v>1D</v>
      </c>
      <c r="Z376" s="93">
        <f>_xll.qlCalendarAdvance(Calendar,Z375,Y376,"f",FALSE)</f>
        <v>42690</v>
      </c>
      <c r="AA376" s="117">
        <f>_xll.qlCalendarAdvance(Calendar,Z376,NDays&amp;"D")</f>
        <v>42692</v>
      </c>
      <c r="AB376" s="92">
        <v>1.9029431546524478E-3</v>
      </c>
      <c r="AC376" s="101">
        <v>1.295046833345026E-3</v>
      </c>
    </row>
    <row r="377" spans="13:29" x14ac:dyDescent="0.2">
      <c r="M377" s="209">
        <f>RateHelpers!B366</f>
        <v>0</v>
      </c>
      <c r="N377" s="105" t="e">
        <f>_xll.qlRateHelperQuoteName(M377)</f>
        <v>#NUM!</v>
      </c>
      <c r="O377" s="93" t="e">
        <f>_xll.qlInterestRateIndexFixingDate(S377,_xll.qlRateHelperEarliestDate(M377,Trigger),)</f>
        <v>#VALUE!</v>
      </c>
      <c r="P377" s="120" t="e">
        <f>_xll.qlRateHelperQuoteValue(M377,_xll.ohTrigger(RecalcTrigger,YieldCurve))</f>
        <v>#NUM!</v>
      </c>
      <c r="Q377" s="123" t="e">
        <f t="shared" si="37"/>
        <v>#NUM!</v>
      </c>
      <c r="R377" s="123">
        <v>2</v>
      </c>
      <c r="S377" s="123" t="e">
        <f>_xll.qlSwapIndex(,"Euribor",Q377,NDays,Currency,Calendar,"1Y","mf","30/360 (Bond Basis)",IborIndex,Discounting,,_xll.ohTrigger(Trigger,RecalcTrigger))</f>
        <v>#VALUE!</v>
      </c>
      <c r="T377" s="123" t="e">
        <f>_xll.qlVanillaSwapFromSwapIndex(,S377,O377)</f>
        <v>#VALUE!</v>
      </c>
      <c r="U377" s="110" t="e">
        <f>_xll.qlVanillaSwapFairRate(T377)</f>
        <v>#VALUE!</v>
      </c>
      <c r="V377" s="206" t="e">
        <f t="shared" si="34"/>
        <v>#VALUE!</v>
      </c>
      <c r="Y377" s="105" t="str">
        <f t="shared" si="35"/>
        <v>1D</v>
      </c>
      <c r="Z377" s="93">
        <f>_xll.qlCalendarAdvance(Calendar,Z376,Y377,"f",FALSE)</f>
        <v>42691</v>
      </c>
      <c r="AA377" s="117">
        <f>_xll.qlCalendarAdvance(Calendar,Z377,NDays&amp;"D")</f>
        <v>42695</v>
      </c>
      <c r="AB377" s="92">
        <v>1.9219257723499554E-3</v>
      </c>
      <c r="AC377" s="101">
        <v>1.301905252084623E-3</v>
      </c>
    </row>
    <row r="378" spans="13:29" x14ac:dyDescent="0.2">
      <c r="M378" s="209">
        <f>RateHelpers!B367</f>
        <v>0</v>
      </c>
      <c r="N378" s="105" t="e">
        <f>_xll.qlRateHelperQuoteName(M378)</f>
        <v>#NUM!</v>
      </c>
      <c r="O378" s="93" t="e">
        <f>_xll.qlInterestRateIndexFixingDate(S378,_xll.qlRateHelperEarliestDate(M378,Trigger),)</f>
        <v>#VALUE!</v>
      </c>
      <c r="P378" s="120" t="e">
        <f>_xll.qlRateHelperQuoteValue(M378,_xll.ohTrigger(RecalcTrigger,YieldCurve))</f>
        <v>#NUM!</v>
      </c>
      <c r="Q378" s="123" t="e">
        <f t="shared" si="37"/>
        <v>#NUM!</v>
      </c>
      <c r="R378" s="123">
        <v>2</v>
      </c>
      <c r="S378" s="123" t="e">
        <f>_xll.qlSwapIndex(,"Euribor",Q378,NDays,Currency,Calendar,"1Y","mf","30/360 (Bond Basis)",IborIndex,Discounting,,_xll.ohTrigger(Trigger,RecalcTrigger))</f>
        <v>#VALUE!</v>
      </c>
      <c r="T378" s="123" t="e">
        <f>_xll.qlVanillaSwapFromSwapIndex(,S378,O378)</f>
        <v>#VALUE!</v>
      </c>
      <c r="U378" s="110" t="e">
        <f>_xll.qlVanillaSwapFairRate(T378)</f>
        <v>#VALUE!</v>
      </c>
      <c r="V378" s="206" t="e">
        <f t="shared" si="34"/>
        <v>#VALUE!</v>
      </c>
      <c r="Y378" s="105" t="str">
        <f t="shared" si="35"/>
        <v>1D</v>
      </c>
      <c r="Z378" s="93">
        <f>_xll.qlCalendarAdvance(Calendar,Z377,Y378,"f",FALSE)</f>
        <v>42692</v>
      </c>
      <c r="AA378" s="117">
        <f>_xll.qlCalendarAdvance(Calendar,Z378,NDays&amp;"D")</f>
        <v>42696</v>
      </c>
      <c r="AB378" s="92">
        <v>1.9253443372647481E-3</v>
      </c>
      <c r="AC378" s="101">
        <v>1.3056856439241926E-3</v>
      </c>
    </row>
    <row r="379" spans="13:29" x14ac:dyDescent="0.2">
      <c r="M379" s="209">
        <f>RateHelpers!B368</f>
        <v>0</v>
      </c>
      <c r="N379" s="105" t="e">
        <f>_xll.qlRateHelperQuoteName(M379)</f>
        <v>#NUM!</v>
      </c>
      <c r="O379" s="93" t="e">
        <f>_xll.qlInterestRateIndexFixingDate(S379,_xll.qlRateHelperEarliestDate(M379,Trigger),)</f>
        <v>#VALUE!</v>
      </c>
      <c r="P379" s="120" t="e">
        <f>_xll.qlRateHelperQuoteValue(M379,_xll.ohTrigger(RecalcTrigger,YieldCurve))</f>
        <v>#NUM!</v>
      </c>
      <c r="Q379" s="123" t="e">
        <f t="shared" si="37"/>
        <v>#NUM!</v>
      </c>
      <c r="R379" s="123">
        <v>2</v>
      </c>
      <c r="S379" s="123" t="e">
        <f>_xll.qlSwapIndex(,"Euribor",Q379,NDays,Currency,Calendar,"1Y","mf","30/360 (Bond Basis)",IborIndex,Discounting,,_xll.ohTrigger(Trigger,RecalcTrigger))</f>
        <v>#VALUE!</v>
      </c>
      <c r="T379" s="123" t="e">
        <f>_xll.qlVanillaSwapFromSwapIndex(,S379,O379)</f>
        <v>#VALUE!</v>
      </c>
      <c r="U379" s="110" t="e">
        <f>_xll.qlVanillaSwapFairRate(T379)</f>
        <v>#VALUE!</v>
      </c>
      <c r="V379" s="206" t="e">
        <f t="shared" si="34"/>
        <v>#VALUE!</v>
      </c>
      <c r="Y379" s="105" t="str">
        <f t="shared" si="35"/>
        <v>1D</v>
      </c>
      <c r="Z379" s="93">
        <f>_xll.qlCalendarAdvance(Calendar,Z378,Y379,"f",FALSE)</f>
        <v>42695</v>
      </c>
      <c r="AA379" s="117">
        <f>_xll.qlCalendarAdvance(Calendar,Z379,NDays&amp;"D")</f>
        <v>42697</v>
      </c>
      <c r="AB379" s="92">
        <v>1.9311127301971239E-3</v>
      </c>
      <c r="AC379" s="101">
        <v>1.3096753476116163E-3</v>
      </c>
    </row>
    <row r="380" spans="13:29" x14ac:dyDescent="0.2">
      <c r="M380" s="209">
        <f>RateHelpers!B369</f>
        <v>0</v>
      </c>
      <c r="N380" s="105" t="e">
        <f>_xll.qlRateHelperQuoteName(M380)</f>
        <v>#NUM!</v>
      </c>
      <c r="O380" s="93" t="e">
        <f>_xll.qlInterestRateIndexFixingDate(S380,_xll.qlRateHelperEarliestDate(M380,Trigger),)</f>
        <v>#VALUE!</v>
      </c>
      <c r="P380" s="120" t="e">
        <f>_xll.qlRateHelperQuoteValue(M380,_xll.ohTrigger(RecalcTrigger,YieldCurve))</f>
        <v>#NUM!</v>
      </c>
      <c r="Q380" s="123" t="e">
        <f t="shared" si="37"/>
        <v>#NUM!</v>
      </c>
      <c r="R380" s="123">
        <v>2</v>
      </c>
      <c r="S380" s="123" t="e">
        <f>_xll.qlSwapIndex(,"Euribor",Q380,NDays,Currency,Calendar,"1Y","mf","30/360 (Bond Basis)",IborIndex,Discounting,,_xll.ohTrigger(Trigger,RecalcTrigger))</f>
        <v>#VALUE!</v>
      </c>
      <c r="T380" s="123" t="e">
        <f>_xll.qlVanillaSwapFromSwapIndex(,S380,O380)</f>
        <v>#VALUE!</v>
      </c>
      <c r="U380" s="110" t="e">
        <f>_xll.qlVanillaSwapFairRate(T380)</f>
        <v>#VALUE!</v>
      </c>
      <c r="V380" s="206" t="e">
        <f t="shared" si="34"/>
        <v>#VALUE!</v>
      </c>
      <c r="Y380" s="105" t="str">
        <f t="shared" si="35"/>
        <v>1D</v>
      </c>
      <c r="Z380" s="93">
        <f>_xll.qlCalendarAdvance(Calendar,Z379,Y380,"f",FALSE)</f>
        <v>42696</v>
      </c>
      <c r="AA380" s="117">
        <f>_xll.qlCalendarAdvance(Calendar,Z380,NDays&amp;"D")</f>
        <v>42698</v>
      </c>
      <c r="AB380" s="92">
        <v>1.9369556779859315E-3</v>
      </c>
      <c r="AC380" s="101">
        <v>1.3138743632268302E-3</v>
      </c>
    </row>
    <row r="381" spans="13:29" x14ac:dyDescent="0.2">
      <c r="M381" s="209">
        <f>RateHelpers!B370</f>
        <v>0</v>
      </c>
      <c r="N381" s="105" t="e">
        <f>_xll.qlRateHelperQuoteName(M381)</f>
        <v>#NUM!</v>
      </c>
      <c r="O381" s="93" t="e">
        <f>_xll.qlInterestRateIndexFixingDate(S381,_xll.qlRateHelperEarliestDate(M381,Trigger),)</f>
        <v>#VALUE!</v>
      </c>
      <c r="P381" s="120" t="e">
        <f>_xll.qlRateHelperQuoteValue(M381,_xll.ohTrigger(RecalcTrigger,YieldCurve))</f>
        <v>#NUM!</v>
      </c>
      <c r="Q381" s="123" t="e">
        <f t="shared" si="37"/>
        <v>#NUM!</v>
      </c>
      <c r="R381" s="123">
        <v>2</v>
      </c>
      <c r="S381" s="123" t="e">
        <f>_xll.qlSwapIndex(,"Euribor",Q381,NDays,Currency,Calendar,"1Y","mf","30/360 (Bond Basis)",IborIndex,Discounting,,_xll.ohTrigger(Trigger,RecalcTrigger))</f>
        <v>#VALUE!</v>
      </c>
      <c r="T381" s="123" t="e">
        <f>_xll.qlVanillaSwapFromSwapIndex(,S381,O381)</f>
        <v>#VALUE!</v>
      </c>
      <c r="U381" s="110" t="e">
        <f>_xll.qlVanillaSwapFairRate(T381)</f>
        <v>#VALUE!</v>
      </c>
      <c r="V381" s="206" t="e">
        <f t="shared" si="34"/>
        <v>#VALUE!</v>
      </c>
      <c r="Y381" s="105" t="str">
        <f t="shared" si="35"/>
        <v>1D</v>
      </c>
      <c r="Z381" s="93">
        <f>_xll.qlCalendarAdvance(Calendar,Z380,Y381,"f",FALSE)</f>
        <v>42697</v>
      </c>
      <c r="AA381" s="117">
        <f>_xll.qlCalendarAdvance(Calendar,Z381,NDays&amp;"D")</f>
        <v>42699</v>
      </c>
      <c r="AB381" s="92">
        <v>1.9428768386902204E-3</v>
      </c>
      <c r="AC381" s="101">
        <v>1.3229749625942588E-3</v>
      </c>
    </row>
    <row r="382" spans="13:29" x14ac:dyDescent="0.2">
      <c r="M382" s="209">
        <f>RateHelpers!B371</f>
        <v>0</v>
      </c>
      <c r="N382" s="105" t="e">
        <f>_xll.qlRateHelperQuoteName(M382)</f>
        <v>#NUM!</v>
      </c>
      <c r="O382" s="93" t="e">
        <f>_xll.qlInterestRateIndexFixingDate(S382,_xll.qlRateHelperEarliestDate(M382,Trigger),)</f>
        <v>#VALUE!</v>
      </c>
      <c r="P382" s="120" t="e">
        <f>_xll.qlRateHelperQuoteValue(M382,_xll.ohTrigger(RecalcTrigger,YieldCurve))</f>
        <v>#NUM!</v>
      </c>
      <c r="Q382" s="123" t="e">
        <f t="shared" si="37"/>
        <v>#NUM!</v>
      </c>
      <c r="R382" s="123">
        <v>2</v>
      </c>
      <c r="S382" s="123" t="e">
        <f>_xll.qlSwapIndex(,"Euribor",Q382,NDays,Currency,Calendar,"1Y","mf","30/360 (Bond Basis)",IborIndex,Discounting,,_xll.ohTrigger(Trigger,RecalcTrigger))</f>
        <v>#VALUE!</v>
      </c>
      <c r="T382" s="123" t="e">
        <f>_xll.qlVanillaSwapFromSwapIndex(,S382,O382)</f>
        <v>#VALUE!</v>
      </c>
      <c r="U382" s="110" t="e">
        <f>_xll.qlVanillaSwapFairRate(T382)</f>
        <v>#VALUE!</v>
      </c>
      <c r="V382" s="206" t="e">
        <f t="shared" si="34"/>
        <v>#VALUE!</v>
      </c>
      <c r="Y382" s="105" t="str">
        <f t="shared" si="35"/>
        <v>1D</v>
      </c>
      <c r="Z382" s="93">
        <f>_xll.qlCalendarAdvance(Calendar,Z381,Y382,"f",FALSE)</f>
        <v>42698</v>
      </c>
      <c r="AA382" s="117">
        <f>_xll.qlCalendarAdvance(Calendar,Z382,NDays&amp;"D")</f>
        <v>42702</v>
      </c>
      <c r="AB382" s="92">
        <v>1.9639369116667502E-3</v>
      </c>
      <c r="AC382" s="101">
        <v>1.332763544645843E-3</v>
      </c>
    </row>
    <row r="383" spans="13:29" ht="12" thickBot="1" x14ac:dyDescent="0.25">
      <c r="M383" s="210" t="str">
        <f>RateHelpers!B372</f>
        <v>obj_00773#0003</v>
      </c>
      <c r="N383" s="106" t="str">
        <f>_xll.qlRateHelperQuoteName(M383)</f>
        <v>EUR25F30Y_Quote</v>
      </c>
      <c r="O383" s="103">
        <f>_xll.qlInterestRateIndexFixingDate(S383,_xll.qlRateHelperEarliestDate(M383,Trigger),)</f>
        <v>51315</v>
      </c>
      <c r="P383" s="121">
        <f>_xll.qlRateHelperQuoteValue(M383,_xll.ohTrigger(RecalcTrigger,YieldCurve))</f>
        <v>1.6209999999999999E-2</v>
      </c>
      <c r="Q383" s="124" t="str">
        <f t="shared" si="37"/>
        <v>30Y</v>
      </c>
      <c r="R383" s="124">
        <v>2</v>
      </c>
      <c r="S383" s="124" t="str">
        <f>_xll.qlSwapIndex(,"Euribor",Q383,NDays,Currency,Calendar,"1Y","mf","30/360 (Bond Basis)",IborIndex,Discounting,,_xll.ohTrigger(Trigger,RecalcTrigger))</f>
        <v>obj_007df#0007</v>
      </c>
      <c r="T383" s="124" t="str">
        <f>_xll.qlVanillaSwapFromSwapIndex(,S383,O383)</f>
        <v>obj_007e0#0007</v>
      </c>
      <c r="U383" s="112">
        <f>_xll.qlVanillaSwapFairRate(T383)</f>
        <v>1.6210000000057533E-2</v>
      </c>
      <c r="V383" s="207">
        <f t="shared" si="34"/>
        <v>5.7533838804246784E-14</v>
      </c>
      <c r="Y383" s="105" t="str">
        <f t="shared" si="35"/>
        <v>1D</v>
      </c>
      <c r="Z383" s="93">
        <f>_xll.qlCalendarAdvance(Calendar,Z382,Y383,"f",FALSE)</f>
        <v>42699</v>
      </c>
      <c r="AA383" s="117">
        <f>_xll.qlCalendarAdvance(Calendar,Z383,NDays&amp;"D")</f>
        <v>42703</v>
      </c>
      <c r="AB383" s="92">
        <v>1.9674167737258616E-3</v>
      </c>
      <c r="AC383" s="101">
        <v>1.3380091198200716E-3</v>
      </c>
    </row>
    <row r="384" spans="13:29" x14ac:dyDescent="0.2">
      <c r="M384" s="211">
        <f>RateHelpers!B373</f>
        <v>0</v>
      </c>
      <c r="N384" s="195" t="e">
        <f>_xll.qlRateHelperQuoteName(M384)</f>
        <v>#NUM!</v>
      </c>
      <c r="O384" s="192" t="e">
        <f>_xll.qlInterestRateIndexFixingDate(S384,_xll.qlRateHelperEarliestDate(M384,Trigger),)</f>
        <v>#VALUE!</v>
      </c>
      <c r="P384" s="193" t="e">
        <f>_xll.qlRateHelperQuoteValue(M384,_xll.ohTrigger(RecalcTrigger,YieldCurve))</f>
        <v>#NUM!</v>
      </c>
      <c r="Q384" s="191" t="e">
        <f t="shared" ref="Q384:Q401" si="38">SUBSTITUTE(SUBSTITUTE(N384,"_Quote",""),"EUR30F","")</f>
        <v>#NUM!</v>
      </c>
      <c r="R384" s="191">
        <v>2</v>
      </c>
      <c r="S384" s="191" t="e">
        <f>_xll.qlSwapIndex(,"Euribor",Q384,NDays,Currency,Calendar,"1Y","mf","30/360 (Bond Basis)",IborIndex,Discounting,,_xll.ohTrigger(Trigger,RecalcTrigger))</f>
        <v>#VALUE!</v>
      </c>
      <c r="T384" s="191" t="e">
        <f>_xll.qlVanillaSwapFromSwapIndex(,S384,O384)</f>
        <v>#VALUE!</v>
      </c>
      <c r="U384" s="194" t="e">
        <f>_xll.qlVanillaSwapFairRate(T384)</f>
        <v>#VALUE!</v>
      </c>
      <c r="V384" s="208" t="e">
        <f t="shared" si="34"/>
        <v>#VALUE!</v>
      </c>
      <c r="Y384" s="105" t="str">
        <f t="shared" si="35"/>
        <v>1D</v>
      </c>
      <c r="Z384" s="93">
        <f>_xll.qlCalendarAdvance(Calendar,Z383,Y384,"f",FALSE)</f>
        <v>42702</v>
      </c>
      <c r="AA384" s="117">
        <f>_xll.qlCalendarAdvance(Calendar,Z384,NDays&amp;"D")</f>
        <v>42704</v>
      </c>
      <c r="AB384" s="92">
        <v>1.9767596513174958E-3</v>
      </c>
      <c r="AC384" s="101">
        <v>1.3434640068421544E-3</v>
      </c>
    </row>
    <row r="385" spans="13:29" x14ac:dyDescent="0.2">
      <c r="M385" s="209">
        <f>RateHelpers!B374</f>
        <v>0</v>
      </c>
      <c r="N385" s="105" t="e">
        <f>_xll.qlRateHelperQuoteName(M385)</f>
        <v>#NUM!</v>
      </c>
      <c r="O385" s="93" t="e">
        <f>_xll.qlInterestRateIndexFixingDate(S385,_xll.qlRateHelperEarliestDate(M385,Trigger),)</f>
        <v>#VALUE!</v>
      </c>
      <c r="P385" s="120" t="e">
        <f>_xll.qlRateHelperQuoteValue(M385,_xll.ohTrigger(RecalcTrigger,YieldCurve))</f>
        <v>#NUM!</v>
      </c>
      <c r="Q385" s="123" t="e">
        <f t="shared" si="38"/>
        <v>#NUM!</v>
      </c>
      <c r="R385" s="123">
        <v>2</v>
      </c>
      <c r="S385" s="123" t="e">
        <f>_xll.qlSwapIndex(,"Euribor",Q385,NDays,Currency,Calendar,"1Y","mf","30/360 (Bond Basis)",IborIndex,Discounting,,_xll.ohTrigger(Trigger,RecalcTrigger))</f>
        <v>#VALUE!</v>
      </c>
      <c r="T385" s="123" t="e">
        <f>_xll.qlVanillaSwapFromSwapIndex(,S385,O385)</f>
        <v>#VALUE!</v>
      </c>
      <c r="U385" s="110" t="e">
        <f>_xll.qlVanillaSwapFairRate(T385)</f>
        <v>#VALUE!</v>
      </c>
      <c r="V385" s="206" t="e">
        <f t="shared" si="34"/>
        <v>#VALUE!</v>
      </c>
      <c r="Y385" s="105" t="str">
        <f t="shared" si="35"/>
        <v>1D</v>
      </c>
      <c r="Z385" s="93">
        <f>_xll.qlCalendarAdvance(Calendar,Z384,Y385,"f",FALSE)</f>
        <v>42703</v>
      </c>
      <c r="AA385" s="117">
        <f>_xll.qlCalendarAdvance(Calendar,Z385,NDays&amp;"D")</f>
        <v>42705</v>
      </c>
      <c r="AB385" s="92">
        <v>1.9833258053112081E-3</v>
      </c>
      <c r="AC385" s="101">
        <v>1.3491282059518994E-3</v>
      </c>
    </row>
    <row r="386" spans="13:29" x14ac:dyDescent="0.2">
      <c r="M386" s="209">
        <f>RateHelpers!B375</f>
        <v>0</v>
      </c>
      <c r="N386" s="105" t="e">
        <f>_xll.qlRateHelperQuoteName(M386)</f>
        <v>#NUM!</v>
      </c>
      <c r="O386" s="93" t="e">
        <f>_xll.qlInterestRateIndexFixingDate(S386,_xll.qlRateHelperEarliestDate(M386,Trigger),)</f>
        <v>#VALUE!</v>
      </c>
      <c r="P386" s="120" t="e">
        <f>_xll.qlRateHelperQuoteValue(M386,_xll.ohTrigger(RecalcTrigger,YieldCurve))</f>
        <v>#NUM!</v>
      </c>
      <c r="Q386" s="123" t="e">
        <f t="shared" si="38"/>
        <v>#NUM!</v>
      </c>
      <c r="R386" s="123">
        <v>2</v>
      </c>
      <c r="S386" s="123" t="e">
        <f>_xll.qlSwapIndex(,"Euribor",Q386,NDays,Currency,Calendar,"1Y","mf","30/360 (Bond Basis)",IborIndex,Discounting,,_xll.ohTrigger(Trigger,RecalcTrigger))</f>
        <v>#VALUE!</v>
      </c>
      <c r="T386" s="123" t="e">
        <f>_xll.qlVanillaSwapFromSwapIndex(,S386,O386)</f>
        <v>#VALUE!</v>
      </c>
      <c r="U386" s="110" t="e">
        <f>_xll.qlVanillaSwapFairRate(T386)</f>
        <v>#VALUE!</v>
      </c>
      <c r="V386" s="206" t="e">
        <f t="shared" si="34"/>
        <v>#VALUE!</v>
      </c>
      <c r="Y386" s="105" t="str">
        <f t="shared" si="35"/>
        <v>1D</v>
      </c>
      <c r="Z386" s="93">
        <f>_xll.qlCalendarAdvance(Calendar,Z385,Y386,"f",FALSE)</f>
        <v>42704</v>
      </c>
      <c r="AA386" s="117">
        <f>_xll.qlCalendarAdvance(Calendar,Z386,NDays&amp;"D")</f>
        <v>42706</v>
      </c>
      <c r="AB386" s="92">
        <v>1.989999999999114E-3</v>
      </c>
      <c r="AC386" s="101">
        <v>1.3622222361586722E-3</v>
      </c>
    </row>
    <row r="387" spans="13:29" x14ac:dyDescent="0.2">
      <c r="M387" s="209">
        <f>RateHelpers!B376</f>
        <v>0</v>
      </c>
      <c r="N387" s="105" t="e">
        <f>_xll.qlRateHelperQuoteName(M387)</f>
        <v>#NUM!</v>
      </c>
      <c r="O387" s="93" t="e">
        <f>_xll.qlInterestRateIndexFixingDate(S387,_xll.qlRateHelperEarliestDate(M387,Trigger),)</f>
        <v>#VALUE!</v>
      </c>
      <c r="P387" s="120" t="e">
        <f>_xll.qlRateHelperQuoteValue(M387,_xll.ohTrigger(RecalcTrigger,YieldCurve))</f>
        <v>#NUM!</v>
      </c>
      <c r="Q387" s="123" t="e">
        <f t="shared" si="38"/>
        <v>#NUM!</v>
      </c>
      <c r="R387" s="123">
        <v>2</v>
      </c>
      <c r="S387" s="123" t="e">
        <f>_xll.qlSwapIndex(,"Euribor",Q387,NDays,Currency,Calendar,"1Y","mf","30/360 (Bond Basis)",IborIndex,Discounting,,_xll.ohTrigger(Trigger,RecalcTrigger))</f>
        <v>#VALUE!</v>
      </c>
      <c r="T387" s="123" t="e">
        <f>_xll.qlVanillaSwapFromSwapIndex(,S387,O387)</f>
        <v>#VALUE!</v>
      </c>
      <c r="U387" s="110" t="e">
        <f>_xll.qlVanillaSwapFairRate(T387)</f>
        <v>#VALUE!</v>
      </c>
      <c r="V387" s="206" t="e">
        <f t="shared" si="34"/>
        <v>#VALUE!</v>
      </c>
      <c r="Y387" s="105" t="str">
        <f t="shared" si="35"/>
        <v>1D</v>
      </c>
      <c r="Z387" s="93">
        <f>_xll.qlCalendarAdvance(Calendar,Z386,Y387,"f",FALSE)</f>
        <v>42705</v>
      </c>
      <c r="AA387" s="117">
        <f>_xll.qlCalendarAdvance(Calendar,Z387,NDays&amp;"D")</f>
        <v>42709</v>
      </c>
      <c r="AB387" s="92">
        <v>2.0106492451752835E-3</v>
      </c>
      <c r="AC387" s="101">
        <v>1.3782472921342048E-3</v>
      </c>
    </row>
    <row r="388" spans="13:29" x14ac:dyDescent="0.2">
      <c r="M388" s="209">
        <f>RateHelpers!B377</f>
        <v>0</v>
      </c>
      <c r="N388" s="105" t="e">
        <f>_xll.qlRateHelperQuoteName(M388)</f>
        <v>#NUM!</v>
      </c>
      <c r="O388" s="93" t="e">
        <f>_xll.qlInterestRateIndexFixingDate(S388,_xll.qlRateHelperEarliestDate(M388,Trigger),)</f>
        <v>#VALUE!</v>
      </c>
      <c r="P388" s="120" t="e">
        <f>_xll.qlRateHelperQuoteValue(M388,_xll.ohTrigger(RecalcTrigger,YieldCurve))</f>
        <v>#NUM!</v>
      </c>
      <c r="Q388" s="123" t="e">
        <f t="shared" si="38"/>
        <v>#NUM!</v>
      </c>
      <c r="R388" s="123">
        <v>2</v>
      </c>
      <c r="S388" s="123" t="e">
        <f>_xll.qlSwapIndex(,"Euribor",Q388,NDays,Currency,Calendar,"1Y","mf","30/360 (Bond Basis)",IborIndex,Discounting,,_xll.ohTrigger(Trigger,RecalcTrigger))</f>
        <v>#VALUE!</v>
      </c>
      <c r="T388" s="123" t="e">
        <f>_xll.qlVanillaSwapFromSwapIndex(,S388,O388)</f>
        <v>#VALUE!</v>
      </c>
      <c r="U388" s="110" t="e">
        <f>_xll.qlVanillaSwapFairRate(T388)</f>
        <v>#VALUE!</v>
      </c>
      <c r="V388" s="206" t="e">
        <f t="shared" si="34"/>
        <v>#VALUE!</v>
      </c>
      <c r="Y388" s="105" t="str">
        <f t="shared" si="35"/>
        <v>1D</v>
      </c>
      <c r="Z388" s="93">
        <f>_xll.qlCalendarAdvance(Calendar,Z387,Y388,"f",FALSE)</f>
        <v>42706</v>
      </c>
      <c r="AA388" s="117">
        <f>_xll.qlCalendarAdvance(Calendar,Z388,NDays&amp;"D")</f>
        <v>42710</v>
      </c>
      <c r="AB388" s="92">
        <v>2.0177125495979518E-3</v>
      </c>
      <c r="AC388" s="101">
        <v>1.3877921077121158E-3</v>
      </c>
    </row>
    <row r="389" spans="13:29" x14ac:dyDescent="0.2">
      <c r="M389" s="209">
        <f>RateHelpers!B378</f>
        <v>0</v>
      </c>
      <c r="N389" s="105" t="e">
        <f>_xll.qlRateHelperQuoteName(M389)</f>
        <v>#NUM!</v>
      </c>
      <c r="O389" s="93" t="e">
        <f>_xll.qlInterestRateIndexFixingDate(S389,_xll.qlRateHelperEarliestDate(M389,Trigger),)</f>
        <v>#VALUE!</v>
      </c>
      <c r="P389" s="120" t="e">
        <f>_xll.qlRateHelperQuoteValue(M389,_xll.ohTrigger(RecalcTrigger,YieldCurve))</f>
        <v>#NUM!</v>
      </c>
      <c r="Q389" s="123" t="e">
        <f t="shared" si="38"/>
        <v>#NUM!</v>
      </c>
      <c r="R389" s="123">
        <v>2</v>
      </c>
      <c r="S389" s="123" t="e">
        <f>_xll.qlSwapIndex(,"Euribor",Q389,NDays,Currency,Calendar,"1Y","mf","30/360 (Bond Basis)",IborIndex,Discounting,,_xll.ohTrigger(Trigger,RecalcTrigger))</f>
        <v>#VALUE!</v>
      </c>
      <c r="T389" s="123" t="e">
        <f>_xll.qlVanillaSwapFromSwapIndex(,S389,O389)</f>
        <v>#VALUE!</v>
      </c>
      <c r="U389" s="110" t="e">
        <f>_xll.qlVanillaSwapFairRate(T389)</f>
        <v>#VALUE!</v>
      </c>
      <c r="V389" s="206" t="e">
        <f t="shared" si="34"/>
        <v>#VALUE!</v>
      </c>
      <c r="Y389" s="105" t="str">
        <f t="shared" si="35"/>
        <v>1D</v>
      </c>
      <c r="Z389" s="93">
        <f>_xll.qlCalendarAdvance(Calendar,Z388,Y389,"f",FALSE)</f>
        <v>42709</v>
      </c>
      <c r="AA389" s="117">
        <f>_xll.qlCalendarAdvance(Calendar,Z389,NDays&amp;"D")</f>
        <v>42711</v>
      </c>
      <c r="AB389" s="92">
        <v>2.024850559428634E-3</v>
      </c>
      <c r="AC389" s="101">
        <v>1.3982547495849929E-3</v>
      </c>
    </row>
    <row r="390" spans="13:29" x14ac:dyDescent="0.2">
      <c r="M390" s="209">
        <f>RateHelpers!B379</f>
        <v>0</v>
      </c>
      <c r="N390" s="105" t="e">
        <f>_xll.qlRateHelperQuoteName(M390)</f>
        <v>#NUM!</v>
      </c>
      <c r="O390" s="93" t="e">
        <f>_xll.qlInterestRateIndexFixingDate(S390,_xll.qlRateHelperEarliestDate(M390,Trigger),)</f>
        <v>#VALUE!</v>
      </c>
      <c r="P390" s="120" t="e">
        <f>_xll.qlRateHelperQuoteValue(M390,_xll.ohTrigger(RecalcTrigger,YieldCurve))</f>
        <v>#NUM!</v>
      </c>
      <c r="Q390" s="123" t="e">
        <f t="shared" si="38"/>
        <v>#NUM!</v>
      </c>
      <c r="R390" s="123">
        <v>2</v>
      </c>
      <c r="S390" s="123" t="e">
        <f>_xll.qlSwapIndex(,"Euribor",Q390,NDays,Currency,Calendar,"1Y","mf","30/360 (Bond Basis)",IborIndex,Discounting,,_xll.ohTrigger(Trigger,RecalcTrigger))</f>
        <v>#VALUE!</v>
      </c>
      <c r="T390" s="123" t="e">
        <f>_xll.qlVanillaSwapFromSwapIndex(,S390,O390)</f>
        <v>#VALUE!</v>
      </c>
      <c r="U390" s="110" t="e">
        <f>_xll.qlVanillaSwapFairRate(T390)</f>
        <v>#VALUE!</v>
      </c>
      <c r="V390" s="206" t="e">
        <f t="shared" si="34"/>
        <v>#VALUE!</v>
      </c>
      <c r="Y390" s="105" t="str">
        <f t="shared" si="35"/>
        <v>1D</v>
      </c>
      <c r="Z390" s="93">
        <f>_xll.qlCalendarAdvance(Calendar,Z389,Y390,"f",FALSE)</f>
        <v>42710</v>
      </c>
      <c r="AA390" s="117">
        <f>_xll.qlCalendarAdvance(Calendar,Z390,NDays&amp;"D")</f>
        <v>42712</v>
      </c>
      <c r="AB390" s="92">
        <v>2.032054030919145E-3</v>
      </c>
      <c r="AC390" s="101">
        <v>1.4096352179127081E-3</v>
      </c>
    </row>
    <row r="391" spans="13:29" x14ac:dyDescent="0.2">
      <c r="M391" s="209">
        <f>RateHelpers!B380</f>
        <v>0</v>
      </c>
      <c r="N391" s="105" t="e">
        <f>_xll.qlRateHelperQuoteName(M391)</f>
        <v>#NUM!</v>
      </c>
      <c r="O391" s="93" t="e">
        <f>_xll.qlInterestRateIndexFixingDate(S391,_xll.qlRateHelperEarliestDate(M391,Trigger),)</f>
        <v>#VALUE!</v>
      </c>
      <c r="P391" s="120" t="e">
        <f>_xll.qlRateHelperQuoteValue(M391,_xll.ohTrigger(RecalcTrigger,YieldCurve))</f>
        <v>#NUM!</v>
      </c>
      <c r="Q391" s="123" t="e">
        <f t="shared" si="38"/>
        <v>#NUM!</v>
      </c>
      <c r="R391" s="123">
        <v>2</v>
      </c>
      <c r="S391" s="123" t="e">
        <f>_xll.qlSwapIndex(,"Euribor",Q391,NDays,Currency,Calendar,"1Y","mf","30/360 (Bond Basis)",IborIndex,Discounting,,_xll.ohTrigger(Trigger,RecalcTrigger))</f>
        <v>#VALUE!</v>
      </c>
      <c r="T391" s="123" t="e">
        <f>_xll.qlVanillaSwapFromSwapIndex(,S391,O391)</f>
        <v>#VALUE!</v>
      </c>
      <c r="U391" s="110" t="e">
        <f>_xll.qlVanillaSwapFairRate(T391)</f>
        <v>#VALUE!</v>
      </c>
      <c r="V391" s="206" t="e">
        <f t="shared" si="34"/>
        <v>#VALUE!</v>
      </c>
      <c r="Y391" s="105" t="str">
        <f t="shared" si="35"/>
        <v>1D</v>
      </c>
      <c r="Z391" s="93">
        <f>_xll.qlCalendarAdvance(Calendar,Z390,Y391,"f",FALSE)</f>
        <v>42711</v>
      </c>
      <c r="AA391" s="117">
        <f>_xll.qlCalendarAdvance(Calendar,Z391,NDays&amp;"D")</f>
        <v>42713</v>
      </c>
      <c r="AB391" s="92">
        <v>2.0393137201943695E-3</v>
      </c>
      <c r="AC391" s="101">
        <v>1.4354612998257466E-3</v>
      </c>
    </row>
    <row r="392" spans="13:29" x14ac:dyDescent="0.2">
      <c r="M392" s="209">
        <f>RateHelpers!B381</f>
        <v>0</v>
      </c>
      <c r="N392" s="105" t="e">
        <f>_xll.qlRateHelperQuoteName(M392)</f>
        <v>#NUM!</v>
      </c>
      <c r="O392" s="93" t="e">
        <f>_xll.qlInterestRateIndexFixingDate(S392,_xll.qlRateHelperEarliestDate(M392,Trigger),)</f>
        <v>#VALUE!</v>
      </c>
      <c r="P392" s="120" t="e">
        <f>_xll.qlRateHelperQuoteValue(M392,_xll.ohTrigger(RecalcTrigger,YieldCurve))</f>
        <v>#NUM!</v>
      </c>
      <c r="Q392" s="123" t="e">
        <f t="shared" si="38"/>
        <v>#NUM!</v>
      </c>
      <c r="R392" s="123">
        <v>2</v>
      </c>
      <c r="S392" s="123" t="e">
        <f>_xll.qlSwapIndex(,"Euribor",Q392,NDays,Currency,Calendar,"1Y","mf","30/360 (Bond Basis)",IborIndex,Discounting,,_xll.ohTrigger(Trigger,RecalcTrigger))</f>
        <v>#VALUE!</v>
      </c>
      <c r="T392" s="123" t="e">
        <f>_xll.qlVanillaSwapFromSwapIndex(,S392,O392)</f>
        <v>#VALUE!</v>
      </c>
      <c r="U392" s="110" t="e">
        <f>_xll.qlVanillaSwapFairRate(T392)</f>
        <v>#VALUE!</v>
      </c>
      <c r="V392" s="206" t="e">
        <f t="shared" si="34"/>
        <v>#VALUE!</v>
      </c>
      <c r="Y392" s="105" t="str">
        <f t="shared" si="35"/>
        <v>1D</v>
      </c>
      <c r="Z392" s="93">
        <f>_xll.qlCalendarAdvance(Calendar,Z391,Y392,"f",FALSE)</f>
        <v>42712</v>
      </c>
      <c r="AA392" s="117">
        <f>_xll.qlCalendarAdvance(Calendar,Z392,NDays&amp;"D")</f>
        <v>42716</v>
      </c>
      <c r="AB392" s="92">
        <v>2.0613376540064305E-3</v>
      </c>
      <c r="AC392" s="101">
        <v>1.4643353569709916E-3</v>
      </c>
    </row>
    <row r="393" spans="13:29" x14ac:dyDescent="0.2">
      <c r="M393" s="209">
        <f>RateHelpers!B382</f>
        <v>0</v>
      </c>
      <c r="N393" s="105" t="e">
        <f>_xll.qlRateHelperQuoteName(M393)</f>
        <v>#NUM!</v>
      </c>
      <c r="O393" s="93" t="e">
        <f>_xll.qlInterestRateIndexFixingDate(S393,_xll.qlRateHelperEarliestDate(M393,Trigger),)</f>
        <v>#VALUE!</v>
      </c>
      <c r="P393" s="120" t="e">
        <f>_xll.qlRateHelperQuoteValue(M393,_xll.ohTrigger(RecalcTrigger,YieldCurve))</f>
        <v>#NUM!</v>
      </c>
      <c r="Q393" s="123" t="e">
        <f t="shared" si="38"/>
        <v>#NUM!</v>
      </c>
      <c r="R393" s="123">
        <v>2</v>
      </c>
      <c r="S393" s="123" t="e">
        <f>_xll.qlSwapIndex(,"Euribor",Q393,NDays,Currency,Calendar,"1Y","mf","30/360 (Bond Basis)",IborIndex,Discounting,,_xll.ohTrigger(Trigger,RecalcTrigger))</f>
        <v>#VALUE!</v>
      </c>
      <c r="T393" s="123" t="e">
        <f>_xll.qlVanillaSwapFromSwapIndex(,S393,O393)</f>
        <v>#VALUE!</v>
      </c>
      <c r="U393" s="110" t="e">
        <f>_xll.qlVanillaSwapFairRate(T393)</f>
        <v>#VALUE!</v>
      </c>
      <c r="V393" s="206" t="e">
        <f t="shared" si="34"/>
        <v>#VALUE!</v>
      </c>
      <c r="Y393" s="105" t="str">
        <f t="shared" si="35"/>
        <v>1D</v>
      </c>
      <c r="Z393" s="93">
        <f>_xll.qlCalendarAdvance(Calendar,Z392,Y393,"f",FALSE)</f>
        <v>42713</v>
      </c>
      <c r="AA393" s="117">
        <f>_xll.qlCalendarAdvance(Calendar,Z393,NDays&amp;"D")</f>
        <v>42717</v>
      </c>
      <c r="AB393" s="92">
        <v>2.068729773027066E-3</v>
      </c>
      <c r="AC393" s="101">
        <v>1.4803049586920025E-3</v>
      </c>
    </row>
    <row r="394" spans="13:29" x14ac:dyDescent="0.2">
      <c r="M394" s="209">
        <f>RateHelpers!B383</f>
        <v>0</v>
      </c>
      <c r="N394" s="105" t="e">
        <f>_xll.qlRateHelperQuoteName(M394)</f>
        <v>#NUM!</v>
      </c>
      <c r="O394" s="93" t="e">
        <f>_xll.qlInterestRateIndexFixingDate(S394,_xll.qlRateHelperEarliestDate(M394,Trigger),)</f>
        <v>#VALUE!</v>
      </c>
      <c r="P394" s="120" t="e">
        <f>_xll.qlRateHelperQuoteValue(M394,_xll.ohTrigger(RecalcTrigger,YieldCurve))</f>
        <v>#NUM!</v>
      </c>
      <c r="Q394" s="123" t="e">
        <f t="shared" si="38"/>
        <v>#NUM!</v>
      </c>
      <c r="R394" s="123">
        <v>2</v>
      </c>
      <c r="S394" s="123" t="e">
        <f>_xll.qlSwapIndex(,"Euribor",Q394,NDays,Currency,Calendar,"1Y","mf","30/360 (Bond Basis)",IborIndex,Discounting,,_xll.ohTrigger(Trigger,RecalcTrigger))</f>
        <v>#VALUE!</v>
      </c>
      <c r="T394" s="123" t="e">
        <f>_xll.qlVanillaSwapFromSwapIndex(,S394,O394)</f>
        <v>#VALUE!</v>
      </c>
      <c r="U394" s="110" t="e">
        <f>_xll.qlVanillaSwapFairRate(T394)</f>
        <v>#VALUE!</v>
      </c>
      <c r="V394" s="206" t="e">
        <f t="shared" si="34"/>
        <v>#VALUE!</v>
      </c>
      <c r="Y394" s="105" t="str">
        <f t="shared" si="35"/>
        <v>1D</v>
      </c>
      <c r="Z394" s="93">
        <f>_xll.qlCalendarAdvance(Calendar,Z393,Y394,"f",FALSE)</f>
        <v>42716</v>
      </c>
      <c r="AA394" s="117">
        <f>_xll.qlCalendarAdvance(Calendar,Z394,NDays&amp;"D")</f>
        <v>42718</v>
      </c>
      <c r="AB394" s="92">
        <v>2.0761318884606299E-3</v>
      </c>
      <c r="AC394" s="101">
        <v>1.497192387427404E-3</v>
      </c>
    </row>
    <row r="395" spans="13:29" x14ac:dyDescent="0.2">
      <c r="M395" s="209">
        <f>RateHelpers!B384</f>
        <v>0</v>
      </c>
      <c r="N395" s="105" t="e">
        <f>_xll.qlRateHelperQuoteName(M395)</f>
        <v>#NUM!</v>
      </c>
      <c r="O395" s="93" t="e">
        <f>_xll.qlInterestRateIndexFixingDate(S395,_xll.qlRateHelperEarliestDate(M395,Trigger),)</f>
        <v>#VALUE!</v>
      </c>
      <c r="P395" s="120" t="e">
        <f>_xll.qlRateHelperQuoteValue(M395,_xll.ohTrigger(RecalcTrigger,YieldCurve))</f>
        <v>#NUM!</v>
      </c>
      <c r="Q395" s="123" t="e">
        <f t="shared" si="38"/>
        <v>#NUM!</v>
      </c>
      <c r="R395" s="123">
        <v>2</v>
      </c>
      <c r="S395" s="123" t="e">
        <f>_xll.qlSwapIndex(,"Euribor",Q395,NDays,Currency,Calendar,"1Y","mf","30/360 (Bond Basis)",IborIndex,Discounting,,_xll.ohTrigger(Trigger,RecalcTrigger))</f>
        <v>#VALUE!</v>
      </c>
      <c r="T395" s="123" t="e">
        <f>_xll.qlVanillaSwapFromSwapIndex(,S395,O395)</f>
        <v>#VALUE!</v>
      </c>
      <c r="U395" s="110" t="e">
        <f>_xll.qlVanillaSwapFairRate(T395)</f>
        <v>#VALUE!</v>
      </c>
      <c r="V395" s="206" t="e">
        <f t="shared" si="34"/>
        <v>#VALUE!</v>
      </c>
      <c r="Y395" s="105" t="str">
        <f t="shared" si="35"/>
        <v>1D</v>
      </c>
      <c r="Z395" s="93">
        <f>_xll.qlCalendarAdvance(Calendar,Z394,Y395,"f",FALSE)</f>
        <v>42717</v>
      </c>
      <c r="AA395" s="117">
        <f>_xll.qlCalendarAdvance(Calendar,Z395,NDays&amp;"D")</f>
        <v>42719</v>
      </c>
      <c r="AB395" s="92">
        <v>2.0835347556221046E-3</v>
      </c>
      <c r="AC395" s="101">
        <v>1.5149976433370682E-3</v>
      </c>
    </row>
    <row r="396" spans="13:29" x14ac:dyDescent="0.2">
      <c r="M396" s="209">
        <f>RateHelpers!B385</f>
        <v>0</v>
      </c>
      <c r="N396" s="105" t="e">
        <f>_xll.qlRateHelperQuoteName(M396)</f>
        <v>#NUM!</v>
      </c>
      <c r="O396" s="93" t="e">
        <f>_xll.qlInterestRateIndexFixingDate(S396,_xll.qlRateHelperEarliestDate(M396,Trigger),)</f>
        <v>#VALUE!</v>
      </c>
      <c r="P396" s="120" t="e">
        <f>_xll.qlRateHelperQuoteValue(M396,_xll.ohTrigger(RecalcTrigger,YieldCurve))</f>
        <v>#NUM!</v>
      </c>
      <c r="Q396" s="123" t="e">
        <f t="shared" si="38"/>
        <v>#NUM!</v>
      </c>
      <c r="R396" s="123">
        <v>2</v>
      </c>
      <c r="S396" s="123" t="e">
        <f>_xll.qlSwapIndex(,"Euribor",Q396,NDays,Currency,Calendar,"1Y","mf","30/360 (Bond Basis)",IborIndex,Discounting,,_xll.ohTrigger(Trigger,RecalcTrigger))</f>
        <v>#VALUE!</v>
      </c>
      <c r="T396" s="123" t="e">
        <f>_xll.qlVanillaSwapFromSwapIndex(,S396,O396)</f>
        <v>#VALUE!</v>
      </c>
      <c r="U396" s="110" t="e">
        <f>_xll.qlVanillaSwapFairRate(T396)</f>
        <v>#VALUE!</v>
      </c>
      <c r="V396" s="206" t="e">
        <f t="shared" si="34"/>
        <v>#VALUE!</v>
      </c>
      <c r="Y396" s="105" t="str">
        <f t="shared" si="35"/>
        <v>1D</v>
      </c>
      <c r="Z396" s="93">
        <f>_xll.qlCalendarAdvance(Calendar,Z395,Y396,"f",FALSE)</f>
        <v>42718</v>
      </c>
      <c r="AA396" s="117">
        <f>_xll.qlCalendarAdvance(Calendar,Z396,NDays&amp;"D")</f>
        <v>42720</v>
      </c>
      <c r="AB396" s="92">
        <v>2.0909291296885607E-3</v>
      </c>
      <c r="AC396" s="101">
        <v>1.5536742845601026E-3</v>
      </c>
    </row>
    <row r="397" spans="13:29" x14ac:dyDescent="0.2">
      <c r="M397" s="209">
        <f>RateHelpers!B386</f>
        <v>0</v>
      </c>
      <c r="N397" s="105" t="e">
        <f>_xll.qlRateHelperQuoteName(M397)</f>
        <v>#NUM!</v>
      </c>
      <c r="O397" s="93" t="e">
        <f>_xll.qlInterestRateIndexFixingDate(S397,_xll.qlRateHelperEarliestDate(M397,Trigger),)</f>
        <v>#VALUE!</v>
      </c>
      <c r="P397" s="120" t="e">
        <f>_xll.qlRateHelperQuoteValue(M397,_xll.ohTrigger(RecalcTrigger,YieldCurve))</f>
        <v>#NUM!</v>
      </c>
      <c r="Q397" s="123" t="e">
        <f t="shared" si="38"/>
        <v>#NUM!</v>
      </c>
      <c r="R397" s="123">
        <v>2</v>
      </c>
      <c r="S397" s="123" t="e">
        <f>_xll.qlSwapIndex(,"Euribor",Q397,NDays,Currency,Calendar,"1Y","mf","30/360 (Bond Basis)",IborIndex,Discounting,,_xll.ohTrigger(Trigger,RecalcTrigger))</f>
        <v>#VALUE!</v>
      </c>
      <c r="T397" s="123" t="e">
        <f>_xll.qlVanillaSwapFromSwapIndex(,S397,O397)</f>
        <v>#VALUE!</v>
      </c>
      <c r="U397" s="110" t="e">
        <f>_xll.qlVanillaSwapFairRate(T397)</f>
        <v>#VALUE!</v>
      </c>
      <c r="V397" s="206" t="e">
        <f t="shared" si="34"/>
        <v>#VALUE!</v>
      </c>
      <c r="Y397" s="105" t="str">
        <f t="shared" si="35"/>
        <v>1D</v>
      </c>
      <c r="Z397" s="93">
        <f>_xll.qlCalendarAdvance(Calendar,Z396,Y397,"f",FALSE)</f>
        <v>42719</v>
      </c>
      <c r="AA397" s="117">
        <f>_xll.qlCalendarAdvance(Calendar,Z397,NDays&amp;"D")</f>
        <v>42723</v>
      </c>
      <c r="AB397" s="92">
        <v>2.1129688430308316E-3</v>
      </c>
      <c r="AC397" s="101">
        <v>1.5953969413562419E-3</v>
      </c>
    </row>
    <row r="398" spans="13:29" x14ac:dyDescent="0.2">
      <c r="M398" s="209">
        <f>RateHelpers!B387</f>
        <v>0</v>
      </c>
      <c r="N398" s="105" t="e">
        <f>_xll.qlRateHelperQuoteName(M398)</f>
        <v>#NUM!</v>
      </c>
      <c r="O398" s="93" t="e">
        <f>_xll.qlInterestRateIndexFixingDate(S398,_xll.qlRateHelperEarliestDate(M398,Trigger),)</f>
        <v>#VALUE!</v>
      </c>
      <c r="P398" s="120" t="e">
        <f>_xll.qlRateHelperQuoteValue(M398,_xll.ohTrigger(RecalcTrigger,YieldCurve))</f>
        <v>#NUM!</v>
      </c>
      <c r="Q398" s="123" t="e">
        <f t="shared" si="38"/>
        <v>#NUM!</v>
      </c>
      <c r="R398" s="123">
        <v>2</v>
      </c>
      <c r="S398" s="123" t="e">
        <f>_xll.qlSwapIndex(,"Euribor",Q398,NDays,Currency,Calendar,"1Y","mf","30/360 (Bond Basis)",IborIndex,Discounting,,_xll.ohTrigger(Trigger,RecalcTrigger))</f>
        <v>#VALUE!</v>
      </c>
      <c r="T398" s="123" t="e">
        <f>_xll.qlVanillaSwapFromSwapIndex(,S398,O398)</f>
        <v>#VALUE!</v>
      </c>
      <c r="U398" s="110" t="e">
        <f>_xll.qlVanillaSwapFairRate(T398)</f>
        <v>#VALUE!</v>
      </c>
      <c r="V398" s="206" t="e">
        <f t="shared" ref="V398:V401" si="39">U398-P398</f>
        <v>#VALUE!</v>
      </c>
      <c r="Y398" s="105" t="str">
        <f t="shared" si="35"/>
        <v>1D</v>
      </c>
      <c r="Z398" s="93">
        <f>_xll.qlCalendarAdvance(Calendar,Z397,Y398,"f",FALSE)</f>
        <v>42720</v>
      </c>
      <c r="AA398" s="117">
        <f>_xll.qlCalendarAdvance(Calendar,Z398,NDays&amp;"D")</f>
        <v>42724</v>
      </c>
      <c r="AB398" s="92">
        <v>2.1202367937459398E-3</v>
      </c>
      <c r="AC398" s="101">
        <v>1.6177913352155571E-3</v>
      </c>
    </row>
    <row r="399" spans="13:29" x14ac:dyDescent="0.2">
      <c r="M399" s="209">
        <f>RateHelpers!B388</f>
        <v>0</v>
      </c>
      <c r="N399" s="105" t="e">
        <f>_xll.qlRateHelperQuoteName(M399)</f>
        <v>#NUM!</v>
      </c>
      <c r="O399" s="93" t="e">
        <f>_xll.qlInterestRateIndexFixingDate(S399,_xll.qlRateHelperEarliestDate(M399,Trigger),)</f>
        <v>#VALUE!</v>
      </c>
      <c r="P399" s="120" t="e">
        <f>_xll.qlRateHelperQuoteValue(M399,_xll.ohTrigger(RecalcTrigger,YieldCurve))</f>
        <v>#NUM!</v>
      </c>
      <c r="Q399" s="123" t="e">
        <f t="shared" si="38"/>
        <v>#NUM!</v>
      </c>
      <c r="R399" s="123">
        <v>2</v>
      </c>
      <c r="S399" s="123" t="e">
        <f>_xll.qlSwapIndex(,"Euribor",Q399,NDays,Currency,Calendar,"1Y","mf","30/360 (Bond Basis)",IborIndex,Discounting,,_xll.ohTrigger(Trigger,RecalcTrigger))</f>
        <v>#VALUE!</v>
      </c>
      <c r="T399" s="123" t="e">
        <f>_xll.qlVanillaSwapFromSwapIndex(,S399,O399)</f>
        <v>#VALUE!</v>
      </c>
      <c r="U399" s="110" t="e">
        <f>_xll.qlVanillaSwapFairRate(T399)</f>
        <v>#VALUE!</v>
      </c>
      <c r="V399" s="206" t="e">
        <f t="shared" si="39"/>
        <v>#VALUE!</v>
      </c>
      <c r="Y399" s="105" t="str">
        <f t="shared" si="35"/>
        <v>1D</v>
      </c>
      <c r="Z399" s="93">
        <f>_xll.qlCalendarAdvance(Calendar,Z398,Y399,"f",FALSE)</f>
        <v>42723</v>
      </c>
      <c r="AA399" s="117">
        <f>_xll.qlCalendarAdvance(Calendar,Z399,NDays&amp;"D")</f>
        <v>42725</v>
      </c>
      <c r="AB399" s="92">
        <v>2.1274500252024728E-3</v>
      </c>
      <c r="AC399" s="101">
        <v>1.6411035572083676E-3</v>
      </c>
    </row>
    <row r="400" spans="13:29" x14ac:dyDescent="0.2">
      <c r="M400" s="209">
        <f>RateHelpers!B389</f>
        <v>0</v>
      </c>
      <c r="N400" s="105" t="e">
        <f>_xll.qlRateHelperQuoteName(M400)</f>
        <v>#NUM!</v>
      </c>
      <c r="O400" s="93" t="e">
        <f>_xll.qlInterestRateIndexFixingDate(S400,_xll.qlRateHelperEarliestDate(M400,Trigger),)</f>
        <v>#VALUE!</v>
      </c>
      <c r="P400" s="120" t="e">
        <f>_xll.qlRateHelperQuoteValue(M400,_xll.ohTrigger(RecalcTrigger,YieldCurve))</f>
        <v>#NUM!</v>
      </c>
      <c r="Q400" s="123" t="e">
        <f t="shared" si="38"/>
        <v>#NUM!</v>
      </c>
      <c r="R400" s="123">
        <v>2</v>
      </c>
      <c r="S400" s="123" t="e">
        <f>_xll.qlSwapIndex(,"Euribor",Q400,NDays,Currency,Calendar,"1Y","mf","30/360 (Bond Basis)",IborIndex,Discounting,,_xll.ohTrigger(Trigger,RecalcTrigger))</f>
        <v>#VALUE!</v>
      </c>
      <c r="T400" s="123" t="e">
        <f>_xll.qlVanillaSwapFromSwapIndex(,S400,O400)</f>
        <v>#VALUE!</v>
      </c>
      <c r="U400" s="110" t="e">
        <f>_xll.qlVanillaSwapFairRate(T400)</f>
        <v>#VALUE!</v>
      </c>
      <c r="V400" s="206" t="e">
        <f t="shared" si="39"/>
        <v>#VALUE!</v>
      </c>
      <c r="Y400" s="105" t="str">
        <f t="shared" si="35"/>
        <v>1D</v>
      </c>
      <c r="Z400" s="93">
        <f>_xll.qlCalendarAdvance(Calendar,Z399,Y400,"f",FALSE)</f>
        <v>42724</v>
      </c>
      <c r="AA400" s="117">
        <f>_xll.qlCalendarAdvance(Calendar,Z400,NDays&amp;"D")</f>
        <v>42726</v>
      </c>
      <c r="AB400" s="92">
        <v>2.1345992917676006E-3</v>
      </c>
      <c r="AC400" s="101">
        <v>1.6653336073346736E-3</v>
      </c>
    </row>
    <row r="401" spans="13:29" ht="12" thickBot="1" x14ac:dyDescent="0.25">
      <c r="M401" s="210">
        <f>RateHelpers!B390</f>
        <v>0</v>
      </c>
      <c r="N401" s="106" t="e">
        <f>_xll.qlRateHelperQuoteName(M401)</f>
        <v>#NUM!</v>
      </c>
      <c r="O401" s="103" t="e">
        <f>_xll.qlInterestRateIndexFixingDate(S401,_xll.qlRateHelperEarliestDate(M401,Trigger),)</f>
        <v>#VALUE!</v>
      </c>
      <c r="P401" s="121" t="e">
        <f>_xll.qlRateHelperQuoteValue(M401,_xll.ohTrigger(RecalcTrigger,YieldCurve))</f>
        <v>#NUM!</v>
      </c>
      <c r="Q401" s="124" t="e">
        <f t="shared" si="38"/>
        <v>#NUM!</v>
      </c>
      <c r="R401" s="124">
        <v>2</v>
      </c>
      <c r="S401" s="124" t="e">
        <f>_xll.qlSwapIndex(,"Euribor",Q401,NDays,Currency,Calendar,"1Y","mf","30/360 (Bond Basis)",IborIndex,Discounting,,_xll.ohTrigger(Trigger,RecalcTrigger))</f>
        <v>#VALUE!</v>
      </c>
      <c r="T401" s="124" t="e">
        <f>_xll.qlVanillaSwapFromSwapIndex(,S401,O401)</f>
        <v>#VALUE!</v>
      </c>
      <c r="U401" s="112" t="e">
        <f>_xll.qlVanillaSwapFairRate(T401)</f>
        <v>#VALUE!</v>
      </c>
      <c r="V401" s="207" t="e">
        <f t="shared" si="39"/>
        <v>#VALUE!</v>
      </c>
      <c r="Y401" s="105" t="str">
        <f t="shared" si="35"/>
        <v>1D</v>
      </c>
      <c r="Z401" s="93">
        <f>_xll.qlCalendarAdvance(Calendar,Z400,Y401,"f",FALSE)</f>
        <v>42725</v>
      </c>
      <c r="AA401" s="117">
        <f>_xll.qlCalendarAdvance(Calendar,Z401,NDays&amp;"D")</f>
        <v>42727</v>
      </c>
      <c r="AB401" s="92">
        <v>2.141675347680682E-3</v>
      </c>
      <c r="AC401" s="101">
        <v>1.7305103521558785E-3</v>
      </c>
    </row>
    <row r="402" spans="13:29" x14ac:dyDescent="0.2">
      <c r="Y402" s="105" t="str">
        <f t="shared" si="35"/>
        <v>1D</v>
      </c>
      <c r="Z402" s="93">
        <f>_xll.qlCalendarAdvance(Calendar,Z401,Y402,"f",FALSE)</f>
        <v>42726</v>
      </c>
      <c r="AA402" s="117">
        <f>_xll.qlCalendarAdvance(Calendar,Z402,NDays&amp;"D")</f>
        <v>42731</v>
      </c>
      <c r="AB402" s="92">
        <v>2.16906254531481E-3</v>
      </c>
      <c r="AC402" s="101">
        <v>1.8002512888415367E-3</v>
      </c>
    </row>
    <row r="403" spans="13:29" x14ac:dyDescent="0.2">
      <c r="Y403" s="105" t="str">
        <f t="shared" si="35"/>
        <v>1D</v>
      </c>
      <c r="Z403" s="93">
        <f>_xll.qlCalendarAdvance(Calendar,Z402,Y403,"f",FALSE)</f>
        <v>42727</v>
      </c>
      <c r="AA403" s="117">
        <f>_xll.qlCalendarAdvance(Calendar,Z403,NDays&amp;"D")</f>
        <v>42732</v>
      </c>
      <c r="AB403" s="92">
        <v>2.1756338573306637E-3</v>
      </c>
      <c r="AC403" s="101">
        <v>1.8299883127248506E-3</v>
      </c>
    </row>
    <row r="404" spans="13:29" x14ac:dyDescent="0.2">
      <c r="Y404" s="105" t="str">
        <f t="shared" si="35"/>
        <v>1D</v>
      </c>
      <c r="Z404" s="93">
        <f>_xll.qlCalendarAdvance(Calendar,Z403,Y404,"f",FALSE)</f>
        <v>42731</v>
      </c>
      <c r="AA404" s="117">
        <f>_xll.qlCalendarAdvance(Calendar,Z404,NDays&amp;"D")</f>
        <v>42733</v>
      </c>
      <c r="AB404" s="92">
        <v>2.1820764816548057E-3</v>
      </c>
      <c r="AC404" s="101">
        <v>1.860643166260445E-3</v>
      </c>
    </row>
    <row r="405" spans="13:29" x14ac:dyDescent="0.2">
      <c r="Y405" s="105" t="str">
        <f t="shared" ref="Y405:Y468" si="40">Y404</f>
        <v>1D</v>
      </c>
      <c r="Z405" s="93">
        <f>_xll.qlCalendarAdvance(Calendar,Z404,Y405,"f",FALSE)</f>
        <v>42732</v>
      </c>
      <c r="AA405" s="117">
        <f>_xll.qlCalendarAdvance(Calendar,Z405,NDays&amp;"D")</f>
        <v>42734</v>
      </c>
      <c r="AB405" s="92">
        <v>2.1883811717448034E-3</v>
      </c>
      <c r="AC405" s="101">
        <v>2.4290328014320295E-3</v>
      </c>
    </row>
    <row r="406" spans="13:29" x14ac:dyDescent="0.2">
      <c r="Y406" s="105" t="str">
        <f t="shared" si="40"/>
        <v>1D</v>
      </c>
      <c r="Z406" s="93">
        <f>_xll.qlCalendarAdvance(Calendar,Z405,Y406,"f",FALSE)</f>
        <v>42733</v>
      </c>
      <c r="AA406" s="117">
        <f>_xll.qlCalendarAdvance(Calendar,Z406,NDays&amp;"D")</f>
        <v>42737</v>
      </c>
      <c r="AB406" s="92">
        <v>2.1980582107988386E-3</v>
      </c>
      <c r="AC406" s="101">
        <v>1.9924408822813433E-3</v>
      </c>
    </row>
    <row r="407" spans="13:29" x14ac:dyDescent="0.2">
      <c r="Y407" s="105" t="str">
        <f t="shared" si="40"/>
        <v>1D</v>
      </c>
      <c r="Z407" s="93">
        <f>_xll.qlCalendarAdvance(Calendar,Z406,Y407,"f",FALSE)</f>
        <v>42734</v>
      </c>
      <c r="AA407" s="117">
        <f>_xll.qlCalendarAdvance(Calendar,Z407,NDays&amp;"D")</f>
        <v>42738</v>
      </c>
      <c r="AB407" s="92">
        <v>2.1991820466382215E-3</v>
      </c>
      <c r="AC407" s="101">
        <v>2.027684888075143E-3</v>
      </c>
    </row>
    <row r="408" spans="13:29" x14ac:dyDescent="0.2">
      <c r="Y408" s="105" t="str">
        <f t="shared" si="40"/>
        <v>1D</v>
      </c>
      <c r="Z408" s="93">
        <f>_xll.qlCalendarAdvance(Calendar,Z407,Y408,"f",FALSE)</f>
        <v>42737</v>
      </c>
      <c r="AA408" s="117">
        <f>_xll.qlCalendarAdvance(Calendar,Z408,NDays&amp;"D")</f>
        <v>42739</v>
      </c>
      <c r="AB408" s="92">
        <v>2.2046795426060683E-3</v>
      </c>
      <c r="AC408" s="101">
        <v>2.0632033712697506E-3</v>
      </c>
    </row>
    <row r="409" spans="13:29" x14ac:dyDescent="0.2">
      <c r="Y409" s="105" t="str">
        <f t="shared" si="40"/>
        <v>1D</v>
      </c>
      <c r="Z409" s="93">
        <f>_xll.qlCalendarAdvance(Calendar,Z408,Y409,"f",FALSE)</f>
        <v>42738</v>
      </c>
      <c r="AA409" s="117">
        <f>_xll.qlCalendarAdvance(Calendar,Z409,NDays&amp;"D")</f>
        <v>42740</v>
      </c>
      <c r="AB409" s="92">
        <v>2.2099946853152341E-3</v>
      </c>
      <c r="AC409" s="101">
        <v>2.0964229168640713E-3</v>
      </c>
    </row>
    <row r="410" spans="13:29" x14ac:dyDescent="0.2">
      <c r="Y410" s="105" t="str">
        <f t="shared" si="40"/>
        <v>1D</v>
      </c>
      <c r="Z410" s="93">
        <f>_xll.qlCalendarAdvance(Calendar,Z409,Y410,"f",FALSE)</f>
        <v>42739</v>
      </c>
      <c r="AA410" s="117">
        <f>_xll.qlCalendarAdvance(Calendar,Z410,NDays&amp;"D")</f>
        <v>42741</v>
      </c>
      <c r="AB410" s="92">
        <v>2.2151403185386147E-3</v>
      </c>
      <c r="AC410" s="101">
        <v>2.1530672431335773E-3</v>
      </c>
    </row>
    <row r="411" spans="13:29" x14ac:dyDescent="0.2">
      <c r="Y411" s="105" t="str">
        <f t="shared" si="40"/>
        <v>1D</v>
      </c>
      <c r="Z411" s="93">
        <f>_xll.qlCalendarAdvance(Calendar,Z410,Y411,"f",FALSE)</f>
        <v>42740</v>
      </c>
      <c r="AA411" s="117">
        <f>_xll.qlCalendarAdvance(Calendar,Z411,NDays&amp;"D")</f>
        <v>42744</v>
      </c>
      <c r="AB411" s="92">
        <v>2.2341799473664151E-3</v>
      </c>
      <c r="AC411" s="101">
        <v>2.1998781722665228E-3</v>
      </c>
    </row>
    <row r="412" spans="13:29" x14ac:dyDescent="0.2">
      <c r="Y412" s="105" t="str">
        <f t="shared" si="40"/>
        <v>1D</v>
      </c>
      <c r="Z412" s="93">
        <f>_xll.qlCalendarAdvance(Calendar,Z411,Y412,"f",FALSE)</f>
        <v>42741</v>
      </c>
      <c r="AA412" s="117">
        <f>_xll.qlCalendarAdvance(Calendar,Z412,NDays&amp;"D")</f>
        <v>42745</v>
      </c>
      <c r="AB412" s="92">
        <v>2.2343558062955997E-3</v>
      </c>
      <c r="AC412" s="101">
        <v>2.2183862510960495E-3</v>
      </c>
    </row>
    <row r="413" spans="13:29" x14ac:dyDescent="0.2">
      <c r="Y413" s="105" t="str">
        <f t="shared" si="40"/>
        <v>1D</v>
      </c>
      <c r="Z413" s="93">
        <f>_xll.qlCalendarAdvance(Calendar,Z412,Y413,"f",FALSE)</f>
        <v>42744</v>
      </c>
      <c r="AA413" s="117">
        <f>_xll.qlCalendarAdvance(Calendar,Z413,NDays&amp;"D")</f>
        <v>42746</v>
      </c>
      <c r="AB413" s="92">
        <v>2.238899931037504E-3</v>
      </c>
      <c r="AC413" s="101">
        <v>2.2339520349579089E-3</v>
      </c>
    </row>
    <row r="414" spans="13:29" x14ac:dyDescent="0.2">
      <c r="Y414" s="105" t="str">
        <f t="shared" si="40"/>
        <v>1D</v>
      </c>
      <c r="Z414" s="93">
        <f>_xll.qlCalendarAdvance(Calendar,Z413,Y414,"f",FALSE)</f>
        <v>42745</v>
      </c>
      <c r="AA414" s="117">
        <f>_xll.qlCalendarAdvance(Calendar,Z414,NDays&amp;"D")</f>
        <v>42747</v>
      </c>
      <c r="AB414" s="92">
        <v>2.2433729631404498E-3</v>
      </c>
      <c r="AC414" s="101">
        <v>2.246575523452421E-3</v>
      </c>
    </row>
    <row r="415" spans="13:29" x14ac:dyDescent="0.2">
      <c r="Y415" s="105" t="str">
        <f t="shared" si="40"/>
        <v>1D</v>
      </c>
      <c r="Z415" s="93">
        <f>_xll.qlCalendarAdvance(Calendar,Z414,Y415,"f",FALSE)</f>
        <v>42746</v>
      </c>
      <c r="AA415" s="117">
        <f>_xll.qlCalendarAdvance(Calendar,Z415,NDays&amp;"D")</f>
        <v>42748</v>
      </c>
      <c r="AB415" s="92">
        <v>2.2477913060063898E-3</v>
      </c>
      <c r="AC415" s="101">
        <v>2.262029060755566E-3</v>
      </c>
    </row>
    <row r="416" spans="13:29" x14ac:dyDescent="0.2">
      <c r="Y416" s="105" t="str">
        <f t="shared" si="40"/>
        <v>1D</v>
      </c>
      <c r="Z416" s="93">
        <f>_xll.qlCalendarAdvance(Calendar,Z415,Y416,"f",FALSE)</f>
        <v>42747</v>
      </c>
      <c r="AA416" s="117">
        <f>_xll.qlCalendarAdvance(Calendar,Z416,NDays&amp;"D")</f>
        <v>42751</v>
      </c>
      <c r="AB416" s="92">
        <v>2.2652732391999844E-3</v>
      </c>
      <c r="AC416" s="101">
        <v>2.2676465183213423E-3</v>
      </c>
    </row>
    <row r="417" spans="25:29" x14ac:dyDescent="0.2">
      <c r="Y417" s="105" t="str">
        <f t="shared" si="40"/>
        <v>1D</v>
      </c>
      <c r="Z417" s="93">
        <f>_xll.qlCalendarAdvance(Calendar,Z416,Y417,"f",FALSE)</f>
        <v>42748</v>
      </c>
      <c r="AA417" s="117">
        <f>_xll.qlCalendarAdvance(Calendar,Z417,NDays&amp;"D")</f>
        <v>42752</v>
      </c>
      <c r="AB417" s="92">
        <v>2.2652458583362861E-3</v>
      </c>
      <c r="AC417" s="101">
        <v>2.2655585265418665E-3</v>
      </c>
    </row>
    <row r="418" spans="25:29" x14ac:dyDescent="0.2">
      <c r="Y418" s="105" t="str">
        <f t="shared" si="40"/>
        <v>1D</v>
      </c>
      <c r="Z418" s="93">
        <f>_xll.qlCalendarAdvance(Calendar,Z417,Y418,"f",FALSE)</f>
        <v>42751</v>
      </c>
      <c r="AA418" s="117">
        <f>_xll.qlCalendarAdvance(Calendar,Z418,NDays&amp;"D")</f>
        <v>42753</v>
      </c>
      <c r="AB418" s="92">
        <v>2.2696368112158139E-3</v>
      </c>
      <c r="AC418" s="101">
        <v>2.2605282386756187E-3</v>
      </c>
    </row>
    <row r="419" spans="25:29" x14ac:dyDescent="0.2">
      <c r="Y419" s="105" t="str">
        <f t="shared" si="40"/>
        <v>1D</v>
      </c>
      <c r="Z419" s="93">
        <f>_xll.qlCalendarAdvance(Calendar,Z418,Y419,"f",FALSE)</f>
        <v>42752</v>
      </c>
      <c r="AA419" s="117">
        <f>_xll.qlCalendarAdvance(Calendar,Z419,NDays&amp;"D")</f>
        <v>42754</v>
      </c>
      <c r="AB419" s="92">
        <v>2.274071498351338E-3</v>
      </c>
      <c r="AC419" s="101">
        <v>2.252555654882471E-3</v>
      </c>
    </row>
    <row r="420" spans="25:29" x14ac:dyDescent="0.2">
      <c r="Y420" s="105" t="str">
        <f t="shared" si="40"/>
        <v>1D</v>
      </c>
      <c r="Z420" s="93">
        <f>_xll.qlCalendarAdvance(Calendar,Z419,Y420,"f",FALSE)</f>
        <v>42753</v>
      </c>
      <c r="AA420" s="117">
        <f>_xll.qlCalendarAdvance(Calendar,Z420,NDays&amp;"D")</f>
        <v>42755</v>
      </c>
      <c r="AB420" s="92">
        <v>2.2785663241694037E-3</v>
      </c>
      <c r="AC420" s="101">
        <v>2.2268166085215313E-3</v>
      </c>
    </row>
    <row r="421" spans="25:29" x14ac:dyDescent="0.2">
      <c r="Y421" s="105" t="str">
        <f t="shared" si="40"/>
        <v>1D</v>
      </c>
      <c r="Z421" s="93">
        <f>_xll.qlCalendarAdvance(Calendar,Z420,Y421,"f",FALSE)</f>
        <v>42754</v>
      </c>
      <c r="AA421" s="117">
        <f>_xll.qlCalendarAdvance(Calendar,Z421,NDays&amp;"D")</f>
        <v>42758</v>
      </c>
      <c r="AB421" s="92">
        <v>2.2969053192572605E-3</v>
      </c>
      <c r="AC421" s="101">
        <v>2.191242363878132E-3</v>
      </c>
    </row>
    <row r="422" spans="25:29" x14ac:dyDescent="0.2">
      <c r="Y422" s="105" t="str">
        <f t="shared" si="40"/>
        <v>1D</v>
      </c>
      <c r="Z422" s="93">
        <f>_xll.qlCalendarAdvance(Calendar,Z421,Y422,"f",FALSE)</f>
        <v>42755</v>
      </c>
      <c r="AA422" s="117">
        <f>_xll.qlCalendarAdvance(Calendar,Z422,NDays&amp;"D")</f>
        <v>42759</v>
      </c>
      <c r="AB422" s="92">
        <v>2.2974751082561929E-3</v>
      </c>
      <c r="AC422" s="101">
        <v>2.1685583040476075E-3</v>
      </c>
    </row>
    <row r="423" spans="25:29" x14ac:dyDescent="0.2">
      <c r="Y423" s="105" t="str">
        <f t="shared" si="40"/>
        <v>1D</v>
      </c>
      <c r="Z423" s="93">
        <f>_xll.qlCalendarAdvance(Calendar,Z422,Y423,"f",FALSE)</f>
        <v>42758</v>
      </c>
      <c r="AA423" s="117">
        <f>_xll.qlCalendarAdvance(Calendar,Z423,NDays&amp;"D")</f>
        <v>42760</v>
      </c>
      <c r="AB423" s="92">
        <v>2.3025166994449175E-3</v>
      </c>
      <c r="AC423" s="101">
        <v>2.1429319505283928E-3</v>
      </c>
    </row>
    <row r="424" spans="25:29" x14ac:dyDescent="0.2">
      <c r="Y424" s="105" t="str">
        <f t="shared" si="40"/>
        <v>1D</v>
      </c>
      <c r="Z424" s="93">
        <f>_xll.qlCalendarAdvance(Calendar,Z423,Y424,"f",FALSE)</f>
        <v>42759</v>
      </c>
      <c r="AA424" s="117">
        <f>_xll.qlCalendarAdvance(Calendar,Z424,NDays&amp;"D")</f>
        <v>42761</v>
      </c>
      <c r="AB424" s="92">
        <v>2.307716859323313E-3</v>
      </c>
      <c r="AC424" s="101">
        <v>2.1143633038800402E-3</v>
      </c>
    </row>
    <row r="425" spans="25:29" x14ac:dyDescent="0.2">
      <c r="Y425" s="105" t="str">
        <f t="shared" si="40"/>
        <v>1D</v>
      </c>
      <c r="Z425" s="93">
        <f>_xll.qlCalendarAdvance(Calendar,Z424,Y425,"f",FALSE)</f>
        <v>42760</v>
      </c>
      <c r="AA425" s="117">
        <f>_xll.qlCalendarAdvance(Calendar,Z425,NDays&amp;"D")</f>
        <v>42762</v>
      </c>
      <c r="AB425" s="92">
        <v>2.3130919935514136E-3</v>
      </c>
      <c r="AC425" s="101">
        <v>2.047430013369933E-3</v>
      </c>
    </row>
    <row r="426" spans="25:29" x14ac:dyDescent="0.2">
      <c r="Y426" s="105" t="str">
        <f t="shared" si="40"/>
        <v>1D</v>
      </c>
      <c r="Z426" s="93">
        <f>_xll.qlCalendarAdvance(Calendar,Z425,Y426,"f",FALSE)</f>
        <v>42761</v>
      </c>
      <c r="AA426" s="117">
        <f>_xll.qlCalendarAdvance(Calendar,Z426,NDays&amp;"D")</f>
        <v>42765</v>
      </c>
      <c r="AB426" s="92">
        <v>2.3346721017792394E-3</v>
      </c>
      <c r="AC426" s="101">
        <v>1.9706658007034861E-3</v>
      </c>
    </row>
    <row r="427" spans="25:29" x14ac:dyDescent="0.2">
      <c r="Y427" s="105" t="str">
        <f t="shared" si="40"/>
        <v>1D</v>
      </c>
      <c r="Z427" s="93">
        <f>_xll.qlCalendarAdvance(Calendar,Z426,Y427,"f",FALSE)</f>
        <v>42762</v>
      </c>
      <c r="AA427" s="117">
        <f>_xll.qlCalendarAdvance(Calendar,Z427,NDays&amp;"D")</f>
        <v>42766</v>
      </c>
      <c r="AB427" s="92">
        <v>2.3366703952143525E-3</v>
      </c>
      <c r="AC427" s="101">
        <v>1.9273857001600447E-3</v>
      </c>
    </row>
    <row r="428" spans="25:29" x14ac:dyDescent="0.2">
      <c r="Y428" s="105" t="str">
        <f t="shared" si="40"/>
        <v>1D</v>
      </c>
      <c r="Z428" s="93">
        <f>_xll.qlCalendarAdvance(Calendar,Z427,Y428,"f",FALSE)</f>
        <v>42765</v>
      </c>
      <c r="AA428" s="117">
        <f>_xll.qlCalendarAdvance(Calendar,Z428,NDays&amp;"D")</f>
        <v>42767</v>
      </c>
      <c r="AB428" s="92">
        <v>2.3431664943721724E-3</v>
      </c>
      <c r="AC428" s="101">
        <v>1.8811633117632454E-3</v>
      </c>
    </row>
    <row r="429" spans="25:29" x14ac:dyDescent="0.2">
      <c r="Y429" s="105" t="str">
        <f t="shared" si="40"/>
        <v>1D</v>
      </c>
      <c r="Z429" s="93">
        <f>_xll.qlCalendarAdvance(Calendar,Z428,Y429,"f",FALSE)</f>
        <v>42766</v>
      </c>
      <c r="AA429" s="117">
        <f>_xll.qlCalendarAdvance(Calendar,Z429,NDays&amp;"D")</f>
        <v>42768</v>
      </c>
      <c r="AB429" s="92">
        <v>2.3499360070485583E-3</v>
      </c>
      <c r="AC429" s="101">
        <v>1.8329951507833897E-3</v>
      </c>
    </row>
    <row r="430" spans="25:29" x14ac:dyDescent="0.2">
      <c r="Y430" s="105" t="str">
        <f t="shared" si="40"/>
        <v>1D</v>
      </c>
      <c r="Z430" s="93">
        <f>_xll.qlCalendarAdvance(Calendar,Z429,Y430,"f",FALSE)</f>
        <v>42767</v>
      </c>
      <c r="AA430" s="117">
        <f>_xll.qlCalendarAdvance(Calendar,Z430,NDays&amp;"D")</f>
        <v>42769</v>
      </c>
      <c r="AB430" s="92">
        <v>2.3569898287123464E-3</v>
      </c>
      <c r="AC430" s="101">
        <v>1.7447969143091768E-3</v>
      </c>
    </row>
    <row r="431" spans="25:29" x14ac:dyDescent="0.2">
      <c r="Y431" s="105" t="str">
        <f t="shared" si="40"/>
        <v>1D</v>
      </c>
      <c r="Z431" s="93">
        <f>_xll.qlCalendarAdvance(Calendar,Z430,Y431,"f",FALSE)</f>
        <v>42768</v>
      </c>
      <c r="AA431" s="117">
        <f>_xll.qlCalendarAdvance(Calendar,Z431,NDays&amp;"D")</f>
        <v>42772</v>
      </c>
      <c r="AB431" s="92">
        <v>2.3838191229291579E-3</v>
      </c>
      <c r="AC431" s="101">
        <v>1.6667044221563287E-3</v>
      </c>
    </row>
    <row r="432" spans="25:29" x14ac:dyDescent="0.2">
      <c r="Y432" s="105" t="str">
        <f t="shared" si="40"/>
        <v>1D</v>
      </c>
      <c r="Z432" s="93">
        <f>_xll.qlCalendarAdvance(Calendar,Z431,Y432,"f",FALSE)</f>
        <v>42769</v>
      </c>
      <c r="AA432" s="117">
        <f>_xll.qlCalendarAdvance(Calendar,Z432,NDays&amp;"D")</f>
        <v>42773</v>
      </c>
      <c r="AB432" s="92">
        <v>2.3877700278602835E-3</v>
      </c>
      <c r="AC432" s="101">
        <v>1.6327237278979112E-3</v>
      </c>
    </row>
    <row r="433" spans="25:29" x14ac:dyDescent="0.2">
      <c r="Y433" s="105" t="str">
        <f t="shared" si="40"/>
        <v>1D</v>
      </c>
      <c r="Z433" s="93">
        <f>_xll.qlCalendarAdvance(Calendar,Z432,Y433,"f",FALSE)</f>
        <v>42772</v>
      </c>
      <c r="AA433" s="117">
        <f>_xll.qlCalendarAdvance(Calendar,Z433,NDays&amp;"D")</f>
        <v>42774</v>
      </c>
      <c r="AB433" s="92">
        <v>2.396022979925676E-3</v>
      </c>
      <c r="AC433" s="101">
        <v>1.6017798269363226E-3</v>
      </c>
    </row>
    <row r="434" spans="25:29" x14ac:dyDescent="0.2">
      <c r="Y434" s="105" t="str">
        <f t="shared" si="40"/>
        <v>1D</v>
      </c>
      <c r="Z434" s="93">
        <f>_xll.qlCalendarAdvance(Calendar,Z433,Y434,"f",FALSE)</f>
        <v>42773</v>
      </c>
      <c r="AA434" s="117">
        <f>_xll.qlCalendarAdvance(Calendar,Z434,NDays&amp;"D")</f>
        <v>42775</v>
      </c>
      <c r="AB434" s="92">
        <v>2.4044657619121329E-3</v>
      </c>
      <c r="AC434" s="101">
        <v>1.5738727185521384E-3</v>
      </c>
    </row>
    <row r="435" spans="25:29" x14ac:dyDescent="0.2">
      <c r="Y435" s="105" t="str">
        <f t="shared" si="40"/>
        <v>1D</v>
      </c>
      <c r="Z435" s="93">
        <f>_xll.qlCalendarAdvance(Calendar,Z434,Y435,"f",FALSE)</f>
        <v>42774</v>
      </c>
      <c r="AA435" s="117">
        <f>_xll.qlCalendarAdvance(Calendar,Z435,NDays&amp;"D")</f>
        <v>42776</v>
      </c>
      <c r="AB435" s="92">
        <v>2.4130817079500854E-3</v>
      </c>
      <c r="AC435" s="101">
        <v>1.5281876266559635E-3</v>
      </c>
    </row>
    <row r="436" spans="25:29" x14ac:dyDescent="0.2">
      <c r="Y436" s="105" t="str">
        <f t="shared" si="40"/>
        <v>1D</v>
      </c>
      <c r="Z436" s="93">
        <f>_xll.qlCalendarAdvance(Calendar,Z435,Y436,"f",FALSE)</f>
        <v>42775</v>
      </c>
      <c r="AA436" s="117">
        <f>_xll.qlCalendarAdvance(Calendar,Z436,NDays&amp;"D")</f>
        <v>42779</v>
      </c>
      <c r="AB436" s="92">
        <v>2.4436993351165635E-3</v>
      </c>
      <c r="AC436" s="101">
        <v>1.4926121970404438E-3</v>
      </c>
    </row>
    <row r="437" spans="25:29" x14ac:dyDescent="0.2">
      <c r="Y437" s="105" t="str">
        <f t="shared" si="40"/>
        <v>1D</v>
      </c>
      <c r="Z437" s="93">
        <f>_xll.qlCalendarAdvance(Calendar,Z436,Y437,"f",FALSE)</f>
        <v>42776</v>
      </c>
      <c r="AA437" s="117">
        <f>_xll.qlCalendarAdvance(Calendar,Z437,NDays&amp;"D")</f>
        <v>42780</v>
      </c>
      <c r="AB437" s="92">
        <v>2.4489438065128958E-3</v>
      </c>
      <c r="AC437" s="101">
        <v>1.479889042270699E-3</v>
      </c>
    </row>
    <row r="438" spans="25:29" x14ac:dyDescent="0.2">
      <c r="Y438" s="105" t="str">
        <f t="shared" si="40"/>
        <v>1D</v>
      </c>
      <c r="Z438" s="93">
        <f>_xll.qlCalendarAdvance(Calendar,Z437,Y438,"f",FALSE)</f>
        <v>42779</v>
      </c>
      <c r="AA438" s="117">
        <f>_xll.qlCalendarAdvance(Calendar,Z438,NDays&amp;"D")</f>
        <v>42781</v>
      </c>
      <c r="AB438" s="92">
        <v>2.4581755758843913E-3</v>
      </c>
      <c r="AC438" s="101">
        <v>1.4702026768009802E-3</v>
      </c>
    </row>
    <row r="439" spans="25:29" x14ac:dyDescent="0.2">
      <c r="Y439" s="105" t="str">
        <f t="shared" si="40"/>
        <v>1D</v>
      </c>
      <c r="Z439" s="93">
        <f>_xll.qlCalendarAdvance(Calendar,Z438,Y439,"f",FALSE)</f>
        <v>42780</v>
      </c>
      <c r="AA439" s="117">
        <f>_xll.qlCalendarAdvance(Calendar,Z439,NDays&amp;"D")</f>
        <v>42782</v>
      </c>
      <c r="AB439" s="92">
        <v>2.4674805086044153E-3</v>
      </c>
      <c r="AC439" s="101">
        <v>1.4635531005513513E-3</v>
      </c>
    </row>
    <row r="440" spans="25:29" x14ac:dyDescent="0.2">
      <c r="Y440" s="105" t="str">
        <f t="shared" si="40"/>
        <v>1D</v>
      </c>
      <c r="Z440" s="93">
        <f>_xll.qlCalendarAdvance(Calendar,Z439,Y440,"f",FALSE)</f>
        <v>42781</v>
      </c>
      <c r="AA440" s="117">
        <f>_xll.qlCalendarAdvance(Calendar,Z440,NDays&amp;"D")</f>
        <v>42783</v>
      </c>
      <c r="AB440" s="92">
        <v>2.4768419368787513E-3</v>
      </c>
      <c r="AC440" s="101">
        <v>1.4603825023140615E-3</v>
      </c>
    </row>
    <row r="441" spans="25:29" x14ac:dyDescent="0.2">
      <c r="Y441" s="105" t="str">
        <f t="shared" si="40"/>
        <v>1D</v>
      </c>
      <c r="Z441" s="93">
        <f>_xll.qlCalendarAdvance(Calendar,Z440,Y441,"f",FALSE)</f>
        <v>42782</v>
      </c>
      <c r="AA441" s="117">
        <f>_xll.qlCalendarAdvance(Calendar,Z441,NDays&amp;"D")</f>
        <v>42786</v>
      </c>
      <c r="AB441" s="92">
        <v>2.5087756042078344E-3</v>
      </c>
      <c r="AC441" s="101">
        <v>1.4673226855155264E-3</v>
      </c>
    </row>
    <row r="442" spans="25:29" x14ac:dyDescent="0.2">
      <c r="Y442" s="105" t="str">
        <f t="shared" si="40"/>
        <v>1D</v>
      </c>
      <c r="Z442" s="93">
        <f>_xll.qlCalendarAdvance(Calendar,Z441,Y442,"f",FALSE)</f>
        <v>42783</v>
      </c>
      <c r="AA442" s="117">
        <f>_xll.qlCalendarAdvance(Calendar,Z442,NDays&amp;"D")</f>
        <v>42787</v>
      </c>
      <c r="AB442" s="92">
        <v>2.5145192388165765E-3</v>
      </c>
      <c r="AC442" s="101">
        <v>1.4758570543271787E-3</v>
      </c>
    </row>
    <row r="443" spans="25:29" x14ac:dyDescent="0.2">
      <c r="Y443" s="105" t="str">
        <f t="shared" si="40"/>
        <v>1D</v>
      </c>
      <c r="Z443" s="93">
        <f>_xll.qlCalendarAdvance(Calendar,Z442,Y443,"f",FALSE)</f>
        <v>42786</v>
      </c>
      <c r="AA443" s="117">
        <f>_xll.qlCalendarAdvance(Calendar,Z443,NDays&amp;"D")</f>
        <v>42788</v>
      </c>
      <c r="AB443" s="92">
        <v>2.5239131170880771E-3</v>
      </c>
      <c r="AC443" s="101">
        <v>1.4874282125187932E-3</v>
      </c>
    </row>
    <row r="444" spans="25:29" x14ac:dyDescent="0.2">
      <c r="Y444" s="105" t="str">
        <f t="shared" si="40"/>
        <v>1D</v>
      </c>
      <c r="Z444" s="93">
        <f>_xll.qlCalendarAdvance(Calendar,Z443,Y444,"f",FALSE)</f>
        <v>42787</v>
      </c>
      <c r="AA444" s="117">
        <f>_xll.qlCalendarAdvance(Calendar,Z444,NDays&amp;"D")</f>
        <v>42789</v>
      </c>
      <c r="AB444" s="92">
        <v>2.5332634776035492E-3</v>
      </c>
      <c r="AC444" s="101">
        <v>1.5020361602502419E-3</v>
      </c>
    </row>
    <row r="445" spans="25:29" x14ac:dyDescent="0.2">
      <c r="Y445" s="105" t="str">
        <f t="shared" si="40"/>
        <v>1D</v>
      </c>
      <c r="Z445" s="93">
        <f>_xll.qlCalendarAdvance(Calendar,Z444,Y445,"f",FALSE)</f>
        <v>42788</v>
      </c>
      <c r="AA445" s="117">
        <f>_xll.qlCalendarAdvance(Calendar,Z445,NDays&amp;"D")</f>
        <v>42790</v>
      </c>
      <c r="AB445" s="92">
        <v>2.5425536503809127E-3</v>
      </c>
      <c r="AC445" s="101">
        <v>1.5413812890319178E-3</v>
      </c>
    </row>
    <row r="446" spans="25:29" x14ac:dyDescent="0.2">
      <c r="Y446" s="105" t="str">
        <f t="shared" si="40"/>
        <v>1D</v>
      </c>
      <c r="Z446" s="93">
        <f>_xll.qlCalendarAdvance(Calendar,Z445,Y446,"f",FALSE)</f>
        <v>42789</v>
      </c>
      <c r="AA446" s="117">
        <f>_xll.qlCalendarAdvance(Calendar,Z446,NDays&amp;"D")</f>
        <v>42793</v>
      </c>
      <c r="AB446" s="92">
        <v>2.5733621275316485E-3</v>
      </c>
      <c r="AC446" s="101">
        <v>1.5908358562466418E-3</v>
      </c>
    </row>
    <row r="447" spans="25:29" x14ac:dyDescent="0.2">
      <c r="Y447" s="105" t="str">
        <f t="shared" si="40"/>
        <v>1D</v>
      </c>
      <c r="Z447" s="93">
        <f>_xll.qlCalendarAdvance(Calendar,Z446,Y447,"f",FALSE)</f>
        <v>42790</v>
      </c>
      <c r="AA447" s="117">
        <f>_xll.qlCalendarAdvance(Calendar,Z447,NDays&amp;"D")</f>
        <v>42794</v>
      </c>
      <c r="AB447" s="92">
        <v>2.5890450811567214E-3</v>
      </c>
      <c r="AC447" s="101">
        <v>1.6206277592711871E-3</v>
      </c>
    </row>
    <row r="448" spans="25:29" x14ac:dyDescent="0.2">
      <c r="Y448" s="105" t="str">
        <f t="shared" si="40"/>
        <v>1D</v>
      </c>
      <c r="Z448" s="93">
        <f>_xll.qlCalendarAdvance(Calendar,Z447,Y448,"f",FALSE)</f>
        <v>42793</v>
      </c>
      <c r="AA448" s="117">
        <f>_xll.qlCalendarAdvance(Calendar,Z448,NDays&amp;"D")</f>
        <v>42795</v>
      </c>
      <c r="AB448" s="92">
        <v>2.5977054113010428E-3</v>
      </c>
      <c r="AC448" s="101">
        <v>1.6534564553527531E-3</v>
      </c>
    </row>
    <row r="449" spans="25:29" x14ac:dyDescent="0.2">
      <c r="Y449" s="105" t="str">
        <f t="shared" si="40"/>
        <v>1D</v>
      </c>
      <c r="Z449" s="93">
        <f>_xll.qlCalendarAdvance(Calendar,Z448,Y449,"f",FALSE)</f>
        <v>42794</v>
      </c>
      <c r="AA449" s="117">
        <f>_xll.qlCalendarAdvance(Calendar,Z449,NDays&amp;"D")</f>
        <v>42796</v>
      </c>
      <c r="AB449" s="92">
        <v>2.6128752114258857E-3</v>
      </c>
      <c r="AC449" s="101">
        <v>1.6886204067834143E-3</v>
      </c>
    </row>
    <row r="450" spans="25:29" x14ac:dyDescent="0.2">
      <c r="Y450" s="105" t="str">
        <f t="shared" si="40"/>
        <v>1D</v>
      </c>
      <c r="Z450" s="93">
        <f>_xll.qlCalendarAdvance(Calendar,Z449,Y450,"f",FALSE)</f>
        <v>42795</v>
      </c>
      <c r="AA450" s="117">
        <f>_xll.qlCalendarAdvance(Calendar,Z450,NDays&amp;"D")</f>
        <v>42797</v>
      </c>
      <c r="AB450" s="92">
        <v>2.6178589039817768E-3</v>
      </c>
      <c r="AC450" s="101">
        <v>1.7564518343782254E-3</v>
      </c>
    </row>
    <row r="451" spans="25:29" x14ac:dyDescent="0.2">
      <c r="Y451" s="105" t="str">
        <f t="shared" si="40"/>
        <v>1D</v>
      </c>
      <c r="Z451" s="93">
        <f>_xll.qlCalendarAdvance(Calendar,Z450,Y451,"f",FALSE)</f>
        <v>42796</v>
      </c>
      <c r="AA451" s="117">
        <f>_xll.qlCalendarAdvance(Calendar,Z451,NDays&amp;"D")</f>
        <v>42800</v>
      </c>
      <c r="AB451" s="92">
        <v>2.6385650571117535E-3</v>
      </c>
      <c r="AC451" s="101">
        <v>1.820358002175837E-3</v>
      </c>
    </row>
    <row r="452" spans="25:29" x14ac:dyDescent="0.2">
      <c r="Y452" s="105" t="str">
        <f t="shared" si="40"/>
        <v>1D</v>
      </c>
      <c r="Z452" s="93">
        <f>_xll.qlCalendarAdvance(Calendar,Z451,Y452,"f",FALSE)</f>
        <v>42797</v>
      </c>
      <c r="AA452" s="117">
        <f>_xll.qlCalendarAdvance(Calendar,Z452,NDays&amp;"D")</f>
        <v>42801</v>
      </c>
      <c r="AB452" s="92">
        <v>2.6462689312299558E-3</v>
      </c>
      <c r="AC452" s="101">
        <v>1.8503613084153159E-3</v>
      </c>
    </row>
    <row r="453" spans="25:29" x14ac:dyDescent="0.2">
      <c r="Y453" s="105" t="str">
        <f t="shared" si="40"/>
        <v>1D</v>
      </c>
      <c r="Z453" s="93">
        <f>_xll.qlCalendarAdvance(Calendar,Z452,Y453,"f",FALSE)</f>
        <v>42800</v>
      </c>
      <c r="AA453" s="117">
        <f>_xll.qlCalendarAdvance(Calendar,Z453,NDays&amp;"D")</f>
        <v>42802</v>
      </c>
      <c r="AB453" s="92">
        <v>2.6538317141516056E-3</v>
      </c>
      <c r="AC453" s="101">
        <v>1.8791921769878428E-3</v>
      </c>
    </row>
    <row r="454" spans="25:29" x14ac:dyDescent="0.2">
      <c r="Y454" s="105" t="str">
        <f t="shared" si="40"/>
        <v>1D</v>
      </c>
      <c r="Z454" s="93">
        <f>_xll.qlCalendarAdvance(Calendar,Z453,Y454,"f",FALSE)</f>
        <v>42801</v>
      </c>
      <c r="AA454" s="117">
        <f>_xll.qlCalendarAdvance(Calendar,Z454,NDays&amp;"D")</f>
        <v>42803</v>
      </c>
      <c r="AB454" s="92">
        <v>2.6676416593672848E-3</v>
      </c>
      <c r="AC454" s="101">
        <v>1.9068506077335456E-3</v>
      </c>
    </row>
    <row r="455" spans="25:29" x14ac:dyDescent="0.2">
      <c r="Y455" s="105" t="str">
        <f t="shared" si="40"/>
        <v>1D</v>
      </c>
      <c r="Z455" s="93">
        <f>_xll.qlCalendarAdvance(Calendar,Z454,Y455,"f",FALSE)</f>
        <v>42802</v>
      </c>
      <c r="AA455" s="117">
        <f>_xll.qlCalendarAdvance(Calendar,Z455,NDays&amp;"D")</f>
        <v>42804</v>
      </c>
      <c r="AB455" s="92">
        <v>2.6717398917388922E-3</v>
      </c>
      <c r="AC455" s="101">
        <v>1.9582699930165148E-3</v>
      </c>
    </row>
    <row r="456" spans="25:29" x14ac:dyDescent="0.2">
      <c r="Y456" s="105" t="str">
        <f t="shared" si="40"/>
        <v>1D</v>
      </c>
      <c r="Z456" s="93">
        <f>_xll.qlCalendarAdvance(Calendar,Z455,Y456,"f",FALSE)</f>
        <v>42803</v>
      </c>
      <c r="AA456" s="117">
        <f>_xll.qlCalendarAdvance(Calendar,Z456,NDays&amp;"D")</f>
        <v>42807</v>
      </c>
      <c r="AB456" s="92">
        <v>2.6897569996980177E-3</v>
      </c>
      <c r="AC456" s="101">
        <v>2.0057599461331677E-3</v>
      </c>
    </row>
    <row r="457" spans="25:29" x14ac:dyDescent="0.2">
      <c r="Y457" s="105" t="str">
        <f t="shared" si="40"/>
        <v>1D</v>
      </c>
      <c r="Z457" s="93">
        <f>_xll.qlCalendarAdvance(Calendar,Z456,Y457,"f",FALSE)</f>
        <v>42804</v>
      </c>
      <c r="AA457" s="117">
        <f>_xll.qlCalendarAdvance(Calendar,Z457,NDays&amp;"D")</f>
        <v>42808</v>
      </c>
      <c r="AB457" s="92">
        <v>2.6966098804626082E-3</v>
      </c>
      <c r="AC457" s="101">
        <v>2.0275561833482669E-3</v>
      </c>
    </row>
    <row r="458" spans="25:29" x14ac:dyDescent="0.2">
      <c r="Y458" s="105" t="str">
        <f t="shared" si="40"/>
        <v>1D</v>
      </c>
      <c r="Z458" s="93">
        <f>_xll.qlCalendarAdvance(Calendar,Z457,Y458,"f",FALSE)</f>
        <v>42807</v>
      </c>
      <c r="AA458" s="117">
        <f>_xll.qlCalendarAdvance(Calendar,Z458,NDays&amp;"D")</f>
        <v>42809</v>
      </c>
      <c r="AB458" s="92">
        <v>2.7033672194648715E-3</v>
      </c>
      <c r="AC458" s="101">
        <v>2.0481799813776291E-3</v>
      </c>
    </row>
    <row r="459" spans="25:29" x14ac:dyDescent="0.2">
      <c r="Y459" s="105" t="str">
        <f t="shared" si="40"/>
        <v>1D</v>
      </c>
      <c r="Z459" s="93">
        <f>_xll.qlCalendarAdvance(Calendar,Z458,Y459,"f",FALSE)</f>
        <v>42808</v>
      </c>
      <c r="AA459" s="117">
        <f>_xll.qlCalendarAdvance(Calendar,Z459,NDays&amp;"D")</f>
        <v>42810</v>
      </c>
      <c r="AB459" s="92">
        <v>2.7162120962397375E-3</v>
      </c>
      <c r="AC459" s="101">
        <v>2.0676313397416379E-3</v>
      </c>
    </row>
    <row r="460" spans="25:29" x14ac:dyDescent="0.2">
      <c r="Y460" s="105" t="str">
        <f t="shared" si="40"/>
        <v>1D</v>
      </c>
      <c r="Z460" s="93">
        <f>_xll.qlCalendarAdvance(Calendar,Z459,Y460,"f",FALSE)</f>
        <v>42809</v>
      </c>
      <c r="AA460" s="117">
        <f>_xll.qlCalendarAdvance(Calendar,Z460,NDays&amp;"D")</f>
        <v>42811</v>
      </c>
      <c r="AB460" s="92">
        <v>2.7197023177735597E-3</v>
      </c>
      <c r="AC460" s="101">
        <v>2.1026382040023606E-3</v>
      </c>
    </row>
    <row r="461" spans="25:29" x14ac:dyDescent="0.2">
      <c r="Y461" s="105" t="str">
        <f t="shared" si="40"/>
        <v>1D</v>
      </c>
      <c r="Z461" s="93">
        <f>_xll.qlCalendarAdvance(Calendar,Z460,Y461,"f",FALSE)</f>
        <v>42810</v>
      </c>
      <c r="AA461" s="117">
        <f>_xll.qlCalendarAdvance(Calendar,Z461,NDays&amp;"D")</f>
        <v>42814</v>
      </c>
      <c r="AB461" s="92">
        <v>2.7359485543158087E-3</v>
      </c>
      <c r="AC461" s="101">
        <v>2.1337123738263131E-3</v>
      </c>
    </row>
    <row r="462" spans="25:29" x14ac:dyDescent="0.2">
      <c r="Y462" s="105" t="str">
        <f t="shared" si="40"/>
        <v>1D</v>
      </c>
      <c r="Z462" s="93">
        <f>_xll.qlCalendarAdvance(Calendar,Z461,Y462,"f",FALSE)</f>
        <v>42811</v>
      </c>
      <c r="AA462" s="117">
        <f>_xll.qlCalendarAdvance(Calendar,Z462,NDays&amp;"D")</f>
        <v>42815</v>
      </c>
      <c r="AB462" s="92">
        <v>2.7422693038678275E-3</v>
      </c>
      <c r="AC462" s="101">
        <v>2.1473015317052813E-3</v>
      </c>
    </row>
    <row r="463" spans="25:29" x14ac:dyDescent="0.2">
      <c r="Y463" s="105" t="str">
        <f t="shared" si="40"/>
        <v>1D</v>
      </c>
      <c r="Z463" s="93">
        <f>_xll.qlCalendarAdvance(Calendar,Z462,Y463,"f",FALSE)</f>
        <v>42814</v>
      </c>
      <c r="AA463" s="117">
        <f>_xll.qlCalendarAdvance(Calendar,Z463,NDays&amp;"D")</f>
        <v>42816</v>
      </c>
      <c r="AB463" s="92">
        <v>2.7485400662515284E-3</v>
      </c>
      <c r="AC463" s="101">
        <v>2.1597182490395994E-3</v>
      </c>
    </row>
    <row r="464" spans="25:29" x14ac:dyDescent="0.2">
      <c r="Y464" s="105" t="str">
        <f t="shared" si="40"/>
        <v>1D</v>
      </c>
      <c r="Z464" s="93">
        <f>_xll.qlCalendarAdvance(Calendar,Z463,Y464,"f",FALSE)</f>
        <v>42815</v>
      </c>
      <c r="AA464" s="117">
        <f>_xll.qlCalendarAdvance(Calendar,Z464,NDays&amp;"D")</f>
        <v>42817</v>
      </c>
      <c r="AB464" s="92">
        <v>2.7607945559271481E-3</v>
      </c>
      <c r="AC464" s="101">
        <v>2.1709625257493315E-3</v>
      </c>
    </row>
    <row r="465" spans="25:29" x14ac:dyDescent="0.2">
      <c r="Y465" s="105" t="str">
        <f t="shared" si="40"/>
        <v>1D</v>
      </c>
      <c r="Z465" s="93">
        <f>_xll.qlCalendarAdvance(Calendar,Z464,Y465,"f",FALSE)</f>
        <v>42816</v>
      </c>
      <c r="AA465" s="117">
        <f>_xll.qlCalendarAdvance(Calendar,Z465,NDays&amp;"D")</f>
        <v>42818</v>
      </c>
      <c r="AB465" s="92">
        <v>2.7639661692074793E-3</v>
      </c>
      <c r="AC465" s="101">
        <v>2.1895562600082741E-3</v>
      </c>
    </row>
    <row r="466" spans="25:29" x14ac:dyDescent="0.2">
      <c r="Y466" s="105" t="str">
        <f t="shared" si="40"/>
        <v>1D</v>
      </c>
      <c r="Z466" s="93">
        <f>_xll.qlCalendarAdvance(Calendar,Z465,Y466,"f",FALSE)</f>
        <v>42817</v>
      </c>
      <c r="AA466" s="117">
        <f>_xll.qlCalendarAdvance(Calendar,Z466,NDays&amp;"D")</f>
        <v>42821</v>
      </c>
      <c r="AB466" s="92">
        <v>2.7793718594105107E-3</v>
      </c>
      <c r="AC466" s="101">
        <v>2.204215224024253E-3</v>
      </c>
    </row>
    <row r="467" spans="25:29" x14ac:dyDescent="0.2">
      <c r="Y467" s="105" t="str">
        <f t="shared" si="40"/>
        <v>1D</v>
      </c>
      <c r="Z467" s="93">
        <f>_xll.qlCalendarAdvance(Calendar,Z466,Y467,"f",FALSE)</f>
        <v>42818</v>
      </c>
      <c r="AA467" s="117">
        <f>_xll.qlCalendarAdvance(Calendar,Z467,NDays&amp;"D")</f>
        <v>42822</v>
      </c>
      <c r="AB467" s="92">
        <v>2.7854793732217257E-3</v>
      </c>
      <c r="AC467" s="101">
        <v>2.2095972959323973E-3</v>
      </c>
    </row>
    <row r="468" spans="25:29" x14ac:dyDescent="0.2">
      <c r="Y468" s="105" t="str">
        <f t="shared" si="40"/>
        <v>1D</v>
      </c>
      <c r="Z468" s="93">
        <f>_xll.qlCalendarAdvance(Calendar,Z467,Y468,"f",FALSE)</f>
        <v>42821</v>
      </c>
      <c r="AA468" s="117">
        <f>_xll.qlCalendarAdvance(Calendar,Z468,NDays&amp;"D")</f>
        <v>42823</v>
      </c>
      <c r="AB468" s="92">
        <v>2.7915824587886476E-3</v>
      </c>
      <c r="AC468" s="101">
        <v>2.2138069268162752E-3</v>
      </c>
    </row>
    <row r="469" spans="25:29" x14ac:dyDescent="0.2">
      <c r="Y469" s="105" t="str">
        <f t="shared" ref="Y469:Y532" si="41">Y468</f>
        <v>1D</v>
      </c>
      <c r="Z469" s="93">
        <f>_xll.qlCalendarAdvance(Calendar,Z468,Y469,"f",FALSE)</f>
        <v>42822</v>
      </c>
      <c r="AA469" s="117">
        <f>_xll.qlCalendarAdvance(Calendar,Z469,NDays&amp;"D")</f>
        <v>42824</v>
      </c>
      <c r="AB469" s="92">
        <v>2.7947225160878221E-3</v>
      </c>
      <c r="AC469" s="101">
        <v>2.2168441164360786E-3</v>
      </c>
    </row>
    <row r="470" spans="25:29" x14ac:dyDescent="0.2">
      <c r="Y470" s="105" t="str">
        <f t="shared" si="41"/>
        <v>1D</v>
      </c>
      <c r="Z470" s="93">
        <f>_xll.qlCalendarAdvance(Calendar,Z469,Y470,"f",FALSE)</f>
        <v>42823</v>
      </c>
      <c r="AA470" s="117">
        <f>_xll.qlCalendarAdvance(Calendar,Z470,NDays&amp;"D")</f>
        <v>42825</v>
      </c>
      <c r="AB470" s="92">
        <v>2.7978804430611433E-3</v>
      </c>
      <c r="AC470" s="101">
        <v>2.2190240361741331E-3</v>
      </c>
    </row>
    <row r="471" spans="25:29" x14ac:dyDescent="0.2">
      <c r="Y471" s="105" t="str">
        <f t="shared" si="41"/>
        <v>1D</v>
      </c>
      <c r="Z471" s="93">
        <f>_xll.qlCalendarAdvance(Calendar,Z470,Y471,"f",FALSE)</f>
        <v>42824</v>
      </c>
      <c r="AA471" s="117">
        <f>_xll.qlCalendarAdvance(Calendar,Z471,NDays&amp;"D")</f>
        <v>42828</v>
      </c>
      <c r="AB471" s="92">
        <v>2.8193264848828336E-3</v>
      </c>
      <c r="AC471" s="101">
        <v>2.217468678757939E-3</v>
      </c>
    </row>
    <row r="472" spans="25:29" x14ac:dyDescent="0.2">
      <c r="Y472" s="105" t="str">
        <f t="shared" si="41"/>
        <v>1D</v>
      </c>
      <c r="Z472" s="93">
        <f>_xll.qlCalendarAdvance(Calendar,Z471,Y472,"f",FALSE)</f>
        <v>42825</v>
      </c>
      <c r="AA472" s="117">
        <f>_xll.qlCalendarAdvance(Calendar,Z472,NDays&amp;"D")</f>
        <v>42829</v>
      </c>
      <c r="AB472" s="92">
        <v>2.8255467342170226E-3</v>
      </c>
      <c r="AC472" s="101">
        <v>2.2158449580000905E-3</v>
      </c>
    </row>
    <row r="473" spans="25:29" x14ac:dyDescent="0.2">
      <c r="Y473" s="105" t="str">
        <f t="shared" si="41"/>
        <v>1D</v>
      </c>
      <c r="Z473" s="93">
        <f>_xll.qlCalendarAdvance(Calendar,Z472,Y473,"f",FALSE)</f>
        <v>42828</v>
      </c>
      <c r="AA473" s="117">
        <f>_xll.qlCalendarAdvance(Calendar,Z473,NDays&amp;"D")</f>
        <v>42830</v>
      </c>
      <c r="AB473" s="92">
        <v>2.8318016401549192E-3</v>
      </c>
      <c r="AC473" s="101">
        <v>2.2142500917610164E-3</v>
      </c>
    </row>
    <row r="474" spans="25:29" x14ac:dyDescent="0.2">
      <c r="Y474" s="105" t="str">
        <f t="shared" si="41"/>
        <v>1D</v>
      </c>
      <c r="Z474" s="93">
        <f>_xll.qlCalendarAdvance(Calendar,Z473,Y474,"f",FALSE)</f>
        <v>42829</v>
      </c>
      <c r="AA474" s="117">
        <f>_xll.qlCalendarAdvance(Calendar,Z474,NDays&amp;"D")</f>
        <v>42831</v>
      </c>
      <c r="AB474" s="92">
        <v>2.83809117357752E-3</v>
      </c>
      <c r="AC474" s="101">
        <v>2.2126840800407166E-3</v>
      </c>
    </row>
    <row r="475" spans="25:29" x14ac:dyDescent="0.2">
      <c r="Y475" s="105" t="str">
        <f t="shared" si="41"/>
        <v>1D</v>
      </c>
      <c r="Z475" s="93">
        <f>_xll.qlCalendarAdvance(Calendar,Z474,Y475,"f",FALSE)</f>
        <v>42830</v>
      </c>
      <c r="AA475" s="117">
        <f>_xll.qlCalendarAdvance(Calendar,Z475,NDays&amp;"D")</f>
        <v>42832</v>
      </c>
      <c r="AB475" s="92">
        <v>2.8502098711470393E-3</v>
      </c>
      <c r="AC475" s="101">
        <v>2.2096618009470603E-3</v>
      </c>
    </row>
    <row r="476" spans="25:29" x14ac:dyDescent="0.2">
      <c r="Y476" s="105" t="str">
        <f t="shared" si="41"/>
        <v>1D</v>
      </c>
      <c r="Z476" s="93">
        <f>_xll.qlCalendarAdvance(Calendar,Z475,Y476,"f",FALSE)</f>
        <v>42831</v>
      </c>
      <c r="AA476" s="117">
        <f>_xll.qlCalendarAdvance(Calendar,Z476,NDays&amp;"D")</f>
        <v>42835</v>
      </c>
      <c r="AB476" s="92">
        <v>2.8635949997869066E-3</v>
      </c>
      <c r="AC476" s="101">
        <v>2.2067085783472606E-3</v>
      </c>
    </row>
    <row r="477" spans="25:29" x14ac:dyDescent="0.2">
      <c r="Y477" s="105" t="str">
        <f t="shared" si="41"/>
        <v>1D</v>
      </c>
      <c r="Z477" s="93">
        <f>_xll.qlCalendarAdvance(Calendar,Z476,Y477,"f",FALSE)</f>
        <v>42832</v>
      </c>
      <c r="AA477" s="117">
        <f>_xll.qlCalendarAdvance(Calendar,Z477,NDays&amp;"D")</f>
        <v>42836</v>
      </c>
      <c r="AB477" s="92">
        <v>2.8700572338995409E-3</v>
      </c>
      <c r="AC477" s="101">
        <v>2.2052868391408964E-3</v>
      </c>
    </row>
    <row r="478" spans="25:29" x14ac:dyDescent="0.2">
      <c r="Y478" s="105" t="str">
        <f t="shared" si="41"/>
        <v>1D</v>
      </c>
      <c r="Z478" s="93">
        <f>_xll.qlCalendarAdvance(Calendar,Z477,Y478,"f",FALSE)</f>
        <v>42835</v>
      </c>
      <c r="AA478" s="117">
        <f>_xll.qlCalendarAdvance(Calendar,Z478,NDays&amp;"D")</f>
        <v>42837</v>
      </c>
      <c r="AB478" s="92">
        <v>2.8765539208134424E-3</v>
      </c>
      <c r="AC478" s="101">
        <v>2.2038939544533065E-3</v>
      </c>
    </row>
    <row r="479" spans="25:29" x14ac:dyDescent="0.2">
      <c r="Y479" s="105" t="str">
        <f t="shared" si="41"/>
        <v>1D</v>
      </c>
      <c r="Z479" s="93">
        <f>_xll.qlCalendarAdvance(Calendar,Z478,Y479,"f",FALSE)</f>
        <v>42836</v>
      </c>
      <c r="AA479" s="117">
        <f>_xll.qlCalendarAdvance(Calendar,Z479,NDays&amp;"D")</f>
        <v>42838</v>
      </c>
      <c r="AB479" s="92">
        <v>2.883085031419656E-3</v>
      </c>
      <c r="AC479" s="101">
        <v>2.1999441691544774E-3</v>
      </c>
    </row>
    <row r="480" spans="25:29" x14ac:dyDescent="0.2">
      <c r="Y480" s="105" t="str">
        <f t="shared" si="41"/>
        <v>1D</v>
      </c>
      <c r="Z480" s="93">
        <f>_xll.qlCalendarAdvance(Calendar,Z479,Y480,"f",FALSE)</f>
        <v>42837</v>
      </c>
      <c r="AA480" s="117">
        <f>_xll.qlCalendarAdvance(Calendar,Z480,NDays&amp;"D")</f>
        <v>42843</v>
      </c>
      <c r="AB480" s="92">
        <v>2.9162559211228572E-3</v>
      </c>
      <c r="AC480" s="101">
        <v>2.1961425913019639E-3</v>
      </c>
    </row>
    <row r="481" spans="25:29" x14ac:dyDescent="0.2">
      <c r="Y481" s="105" t="str">
        <f t="shared" si="41"/>
        <v>1D</v>
      </c>
      <c r="Z481" s="93">
        <f>_xll.qlCalendarAdvance(Calendar,Z480,Y481,"f",FALSE)</f>
        <v>42838</v>
      </c>
      <c r="AA481" s="117">
        <f>_xll.qlCalendarAdvance(Calendar,Z481,NDays&amp;"D")</f>
        <v>42844</v>
      </c>
      <c r="AB481" s="92">
        <v>2.9229929626748094E-3</v>
      </c>
      <c r="AC481" s="101">
        <v>2.1949516882457942E-3</v>
      </c>
    </row>
    <row r="482" spans="25:29" x14ac:dyDescent="0.2">
      <c r="Y482" s="105" t="str">
        <f t="shared" si="41"/>
        <v>1D</v>
      </c>
      <c r="Z482" s="93">
        <f>_xll.qlCalendarAdvance(Calendar,Z481,Y482,"f",FALSE)</f>
        <v>42843</v>
      </c>
      <c r="AA482" s="117">
        <f>_xll.qlCalendarAdvance(Calendar,Z482,NDays&amp;"D")</f>
        <v>42845</v>
      </c>
      <c r="AB482" s="92">
        <v>2.9297642241961331E-3</v>
      </c>
      <c r="AC482" s="101">
        <v>2.1937896397083989E-3</v>
      </c>
    </row>
    <row r="483" spans="25:29" x14ac:dyDescent="0.2">
      <c r="Y483" s="105" t="str">
        <f t="shared" si="41"/>
        <v>1D</v>
      </c>
      <c r="Z483" s="93">
        <f>_xll.qlCalendarAdvance(Calendar,Z482,Y483,"f",FALSE)</f>
        <v>42844</v>
      </c>
      <c r="AA483" s="117">
        <f>_xll.qlCalendarAdvance(Calendar,Z483,NDays&amp;"D")</f>
        <v>42846</v>
      </c>
      <c r="AB483" s="92">
        <v>2.942122123883787E-3</v>
      </c>
      <c r="AC483" s="101">
        <v>2.1915750658241251E-3</v>
      </c>
    </row>
    <row r="484" spans="25:29" x14ac:dyDescent="0.2">
      <c r="Y484" s="105" t="str">
        <f t="shared" si="41"/>
        <v>1D</v>
      </c>
      <c r="Z484" s="93">
        <f>_xll.qlCalendarAdvance(Calendar,Z483,Y484,"f",FALSE)</f>
        <v>42845</v>
      </c>
      <c r="AA484" s="117">
        <f>_xll.qlCalendarAdvance(Calendar,Z484,NDays&amp;"D")</f>
        <v>42849</v>
      </c>
      <c r="AB484" s="92">
        <v>2.9571908880397725E-3</v>
      </c>
      <c r="AC484" s="101">
        <v>2.1894299905866887E-3</v>
      </c>
    </row>
    <row r="485" spans="25:29" x14ac:dyDescent="0.2">
      <c r="Y485" s="105" t="str">
        <f t="shared" si="41"/>
        <v>1D</v>
      </c>
      <c r="Z485" s="93">
        <f>_xll.qlCalendarAdvance(Calendar,Z484,Y485,"f",FALSE)</f>
        <v>42846</v>
      </c>
      <c r="AA485" s="117">
        <f>_xll.qlCalendarAdvance(Calendar,Z485,NDays&amp;"D")</f>
        <v>42850</v>
      </c>
      <c r="AB485" s="92">
        <v>2.9641328129688736E-3</v>
      </c>
      <c r="AC485" s="101">
        <v>2.188412214563229E-3</v>
      </c>
    </row>
    <row r="486" spans="25:29" x14ac:dyDescent="0.2">
      <c r="Y486" s="105" t="str">
        <f t="shared" si="41"/>
        <v>1D</v>
      </c>
      <c r="Z486" s="93">
        <f>_xll.qlCalendarAdvance(Calendar,Z485,Y486,"f",FALSE)</f>
        <v>42849</v>
      </c>
      <c r="AA486" s="117">
        <f>_xll.qlCalendarAdvance(Calendar,Z486,NDays&amp;"D")</f>
        <v>42851</v>
      </c>
      <c r="AB486" s="92">
        <v>2.9711087833009745E-3</v>
      </c>
      <c r="AC486" s="101">
        <v>2.1874232930585435E-3</v>
      </c>
    </row>
    <row r="487" spans="25:29" x14ac:dyDescent="0.2">
      <c r="Y487" s="105" t="str">
        <f t="shared" si="41"/>
        <v>1D</v>
      </c>
      <c r="Z487" s="93">
        <f>_xll.qlCalendarAdvance(Calendar,Z486,Y487,"f",FALSE)</f>
        <v>42850</v>
      </c>
      <c r="AA487" s="117">
        <f>_xll.qlCalendarAdvance(Calendar,Z487,NDays&amp;"D")</f>
        <v>42852</v>
      </c>
      <c r="AB487" s="92">
        <v>2.9781187699467753E-3</v>
      </c>
      <c r="AC487" s="101">
        <v>2.1864632260726324E-3</v>
      </c>
    </row>
    <row r="488" spans="25:29" x14ac:dyDescent="0.2">
      <c r="Y488" s="105" t="str">
        <f t="shared" si="41"/>
        <v>1D</v>
      </c>
      <c r="Z488" s="93">
        <f>_xll.qlCalendarAdvance(Calendar,Z487,Y488,"f",FALSE)</f>
        <v>42851</v>
      </c>
      <c r="AA488" s="117">
        <f>_xll.qlCalendarAdvance(Calendar,Z488,NDays&amp;"D")</f>
        <v>42853</v>
      </c>
      <c r="AB488" s="92">
        <v>2.9932965728420068E-3</v>
      </c>
      <c r="AC488" s="101">
        <v>2.184227209360845E-3</v>
      </c>
    </row>
    <row r="489" spans="25:29" x14ac:dyDescent="0.2">
      <c r="Y489" s="105" t="str">
        <f t="shared" si="41"/>
        <v>1D</v>
      </c>
      <c r="Z489" s="93">
        <f>_xll.qlCalendarAdvance(Calendar,Z488,Y489,"f",FALSE)</f>
        <v>42852</v>
      </c>
      <c r="AA489" s="117">
        <f>_xll.qlCalendarAdvance(Calendar,Z489,NDays&amp;"D")</f>
        <v>42857</v>
      </c>
      <c r="AB489" s="92">
        <v>3.016350942557415E-3</v>
      </c>
      <c r="AC489" s="101">
        <v>2.1822360096557247E-3</v>
      </c>
    </row>
    <row r="490" spans="25:29" x14ac:dyDescent="0.2">
      <c r="Y490" s="105" t="str">
        <f t="shared" si="41"/>
        <v>1D</v>
      </c>
      <c r="Z490" s="93">
        <f>_xll.qlCalendarAdvance(Calendar,Z489,Y490,"f",FALSE)</f>
        <v>42853</v>
      </c>
      <c r="AA490" s="117">
        <f>_xll.qlCalendarAdvance(Calendar,Z490,NDays&amp;"D")</f>
        <v>42858</v>
      </c>
      <c r="AB490" s="92">
        <v>3.0235538381578166E-3</v>
      </c>
      <c r="AC490" s="101">
        <v>2.1822908756075066E-3</v>
      </c>
    </row>
    <row r="491" spans="25:29" x14ac:dyDescent="0.2">
      <c r="Y491" s="105" t="str">
        <f t="shared" si="41"/>
        <v>1D</v>
      </c>
      <c r="Z491" s="93">
        <f>_xll.qlCalendarAdvance(Calendar,Z490,Y491,"f",FALSE)</f>
        <v>42857</v>
      </c>
      <c r="AA491" s="117">
        <f>_xll.qlCalendarAdvance(Calendar,Z491,NDays&amp;"D")</f>
        <v>42859</v>
      </c>
      <c r="AB491" s="92">
        <v>3.0360954925457585E-3</v>
      </c>
      <c r="AC491" s="101">
        <v>2.1832164018231737E-3</v>
      </c>
    </row>
    <row r="492" spans="25:29" x14ac:dyDescent="0.2">
      <c r="Y492" s="105" t="str">
        <f t="shared" si="41"/>
        <v>1D</v>
      </c>
      <c r="Z492" s="93">
        <f>_xll.qlCalendarAdvance(Calendar,Z491,Y492,"f",FALSE)</f>
        <v>42858</v>
      </c>
      <c r="AA492" s="117">
        <f>_xll.qlCalendarAdvance(Calendar,Z492,NDays&amp;"D")</f>
        <v>42860</v>
      </c>
      <c r="AB492" s="92">
        <v>3.0406872095757715E-3</v>
      </c>
      <c r="AC492" s="101">
        <v>2.1879829534565687E-3</v>
      </c>
    </row>
    <row r="493" spans="25:29" x14ac:dyDescent="0.2">
      <c r="Y493" s="105" t="str">
        <f t="shared" si="41"/>
        <v>1D</v>
      </c>
      <c r="Z493" s="93">
        <f>_xll.qlCalendarAdvance(Calendar,Z492,Y493,"f",FALSE)</f>
        <v>42859</v>
      </c>
      <c r="AA493" s="117">
        <f>_xll.qlCalendarAdvance(Calendar,Z493,NDays&amp;"D")</f>
        <v>42863</v>
      </c>
      <c r="AB493" s="92">
        <v>3.0599137212039555E-3</v>
      </c>
      <c r="AC493" s="101">
        <v>2.1956251108434799E-3</v>
      </c>
    </row>
    <row r="494" spans="25:29" x14ac:dyDescent="0.2">
      <c r="Y494" s="105" t="str">
        <f t="shared" si="41"/>
        <v>1D</v>
      </c>
      <c r="Z494" s="93">
        <f>_xll.qlCalendarAdvance(Calendar,Z493,Y494,"f",FALSE)</f>
        <v>42860</v>
      </c>
      <c r="AA494" s="117">
        <f>_xll.qlCalendarAdvance(Calendar,Z494,NDays&amp;"D")</f>
        <v>42864</v>
      </c>
      <c r="AB494" s="92">
        <v>3.067222500333258E-3</v>
      </c>
      <c r="AC494" s="101">
        <v>2.2009039390979979E-3</v>
      </c>
    </row>
    <row r="495" spans="25:29" x14ac:dyDescent="0.2">
      <c r="Y495" s="105" t="str">
        <f t="shared" si="41"/>
        <v>1D</v>
      </c>
      <c r="Z495" s="93">
        <f>_xll.qlCalendarAdvance(Calendar,Z494,Y495,"f",FALSE)</f>
        <v>42863</v>
      </c>
      <c r="AA495" s="117">
        <f>_xll.qlCalendarAdvance(Calendar,Z495,NDays&amp;"D")</f>
        <v>42865</v>
      </c>
      <c r="AB495" s="92">
        <v>3.0745327871543582E-3</v>
      </c>
      <c r="AC495" s="101">
        <v>2.2070534280160814E-3</v>
      </c>
    </row>
    <row r="496" spans="25:29" x14ac:dyDescent="0.2">
      <c r="Y496" s="105" t="str">
        <f t="shared" si="41"/>
        <v>1D</v>
      </c>
      <c r="Z496" s="93">
        <f>_xll.qlCalendarAdvance(Calendar,Z495,Y496,"f",FALSE)</f>
        <v>42864</v>
      </c>
      <c r="AA496" s="117">
        <f>_xll.qlCalendarAdvance(Calendar,Z496,NDays&amp;"D")</f>
        <v>42866</v>
      </c>
      <c r="AB496" s="92">
        <v>3.087019154085813E-3</v>
      </c>
      <c r="AC496" s="101">
        <v>2.2140735772779863E-3</v>
      </c>
    </row>
    <row r="497" spans="25:29" x14ac:dyDescent="0.2">
      <c r="Y497" s="105" t="str">
        <f t="shared" si="41"/>
        <v>1D</v>
      </c>
      <c r="Z497" s="93">
        <f>_xll.qlCalendarAdvance(Calendar,Z496,Y497,"f",FALSE)</f>
        <v>42865</v>
      </c>
      <c r="AA497" s="117">
        <f>_xll.qlCalendarAdvance(Calendar,Z497,NDays&amp;"D")</f>
        <v>42867</v>
      </c>
      <c r="AB497" s="92">
        <v>3.0917187641228538E-3</v>
      </c>
      <c r="AC497" s="101">
        <v>2.2310299043404314E-3</v>
      </c>
    </row>
    <row r="498" spans="25:29" x14ac:dyDescent="0.2">
      <c r="Y498" s="105" t="str">
        <f t="shared" si="41"/>
        <v>1D</v>
      </c>
      <c r="Z498" s="93">
        <f>_xll.qlCalendarAdvance(Calendar,Z497,Y498,"f",FALSE)</f>
        <v>42866</v>
      </c>
      <c r="AA498" s="117">
        <f>_xll.qlCalendarAdvance(Calendar,Z498,NDays&amp;"D")</f>
        <v>42870</v>
      </c>
      <c r="AB498" s="92">
        <v>3.1109454321996146E-3</v>
      </c>
      <c r="AC498" s="101">
        <v>2.2508607813609416E-3</v>
      </c>
    </row>
    <row r="499" spans="25:29" x14ac:dyDescent="0.2">
      <c r="Y499" s="105" t="str">
        <f t="shared" si="41"/>
        <v>1D</v>
      </c>
      <c r="Z499" s="93">
        <f>_xll.qlCalendarAdvance(Calendar,Z498,Y499,"f",FALSE)</f>
        <v>42867</v>
      </c>
      <c r="AA499" s="117">
        <f>_xll.qlCalendarAdvance(Calendar,Z499,NDays&amp;"D")</f>
        <v>42871</v>
      </c>
      <c r="AB499" s="92">
        <v>3.1181679215522892E-3</v>
      </c>
      <c r="AC499" s="101">
        <v>2.2622342343403545E-3</v>
      </c>
    </row>
    <row r="500" spans="25:29" x14ac:dyDescent="0.2">
      <c r="Y500" s="105" t="str">
        <f t="shared" si="41"/>
        <v>1D</v>
      </c>
      <c r="Z500" s="93">
        <f>_xll.qlCalendarAdvance(Calendar,Z499,Y500,"f",FALSE)</f>
        <v>42870</v>
      </c>
      <c r="AA500" s="117">
        <f>_xll.qlCalendarAdvance(Calendar,Z500,NDays&amp;"D")</f>
        <v>42872</v>
      </c>
      <c r="AB500" s="92">
        <v>3.1253596367539099E-3</v>
      </c>
      <c r="AC500" s="101">
        <v>2.2744783483830133E-3</v>
      </c>
    </row>
    <row r="501" spans="25:29" x14ac:dyDescent="0.2">
      <c r="Y501" s="105" t="str">
        <f t="shared" si="41"/>
        <v>1D</v>
      </c>
      <c r="Z501" s="93">
        <f>_xll.qlCalendarAdvance(Calendar,Z500,Y501,"f",FALSE)</f>
        <v>42871</v>
      </c>
      <c r="AA501" s="117">
        <f>_xll.qlCalendarAdvance(Calendar,Z501,NDays&amp;"D")</f>
        <v>42873</v>
      </c>
      <c r="AB501" s="92">
        <v>3.1375812171482546E-3</v>
      </c>
      <c r="AC501" s="101">
        <v>2.2875931232491098E-3</v>
      </c>
    </row>
    <row r="502" spans="25:29" x14ac:dyDescent="0.2">
      <c r="Y502" s="105" t="str">
        <f t="shared" si="41"/>
        <v>1D</v>
      </c>
      <c r="Z502" s="93">
        <f>_xll.qlCalendarAdvance(Calendar,Z501,Y502,"f",FALSE)</f>
        <v>42872</v>
      </c>
      <c r="AA502" s="117">
        <f>_xll.qlCalendarAdvance(Calendar,Z502,NDays&amp;"D")</f>
        <v>42874</v>
      </c>
      <c r="AB502" s="92">
        <v>3.142155780791116E-3</v>
      </c>
      <c r="AC502" s="101">
        <v>2.3167397859058525E-3</v>
      </c>
    </row>
    <row r="503" spans="25:29" x14ac:dyDescent="0.2">
      <c r="Y503" s="105" t="str">
        <f t="shared" si="41"/>
        <v>1D</v>
      </c>
      <c r="Z503" s="93">
        <f>_xll.qlCalendarAdvance(Calendar,Z502,Y503,"f",FALSE)</f>
        <v>42873</v>
      </c>
      <c r="AA503" s="117">
        <f>_xll.qlCalendarAdvance(Calendar,Z503,NDays&amp;"D")</f>
        <v>42877</v>
      </c>
      <c r="AB503" s="92">
        <v>3.1606951795774049E-3</v>
      </c>
      <c r="AC503" s="101">
        <v>2.3487588354242916E-3</v>
      </c>
    </row>
    <row r="504" spans="25:29" x14ac:dyDescent="0.2">
      <c r="Y504" s="105" t="str">
        <f t="shared" si="41"/>
        <v>1D</v>
      </c>
      <c r="Z504" s="93">
        <f>_xll.qlCalendarAdvance(Calendar,Z503,Y504,"f",FALSE)</f>
        <v>42874</v>
      </c>
      <c r="AA504" s="117">
        <f>_xll.qlCalendarAdvance(Calendar,Z504,NDays&amp;"D")</f>
        <v>42878</v>
      </c>
      <c r="AB504" s="92">
        <v>3.1676053964222271E-3</v>
      </c>
      <c r="AC504" s="101">
        <v>2.3662269172053385E-3</v>
      </c>
    </row>
    <row r="505" spans="25:29" x14ac:dyDescent="0.2">
      <c r="Y505" s="105" t="str">
        <f t="shared" si="41"/>
        <v>1D</v>
      </c>
      <c r="Z505" s="93">
        <f>_xll.qlCalendarAdvance(Calendar,Z504,Y505,"f",FALSE)</f>
        <v>42877</v>
      </c>
      <c r="AA505" s="117">
        <f>_xll.qlCalendarAdvance(Calendar,Z505,NDays&amp;"D")</f>
        <v>42879</v>
      </c>
      <c r="AB505" s="92">
        <v>3.1744525540426853E-3</v>
      </c>
      <c r="AC505" s="101">
        <v>2.3845656606091836E-3</v>
      </c>
    </row>
    <row r="506" spans="25:29" x14ac:dyDescent="0.2">
      <c r="Y506" s="105" t="str">
        <f t="shared" si="41"/>
        <v>1D</v>
      </c>
      <c r="Z506" s="93">
        <f>_xll.qlCalendarAdvance(Calendar,Z505,Y506,"f",FALSE)</f>
        <v>42878</v>
      </c>
      <c r="AA506" s="117">
        <f>_xll.qlCalendarAdvance(Calendar,Z506,NDays&amp;"D")</f>
        <v>42880</v>
      </c>
      <c r="AB506" s="92">
        <v>3.1862168041391259E-3</v>
      </c>
      <c r="AC506" s="101">
        <v>2.4037750658756352E-3</v>
      </c>
    </row>
    <row r="507" spans="25:29" x14ac:dyDescent="0.2">
      <c r="Y507" s="105" t="str">
        <f t="shared" si="41"/>
        <v>1D</v>
      </c>
      <c r="Z507" s="93">
        <f>_xll.qlCalendarAdvance(Calendar,Z506,Y507,"f",FALSE)</f>
        <v>42879</v>
      </c>
      <c r="AA507" s="117">
        <f>_xll.qlCalendarAdvance(Calendar,Z507,NDays&amp;"D")</f>
        <v>42881</v>
      </c>
      <c r="AB507" s="92">
        <v>3.1904249159854748E-3</v>
      </c>
      <c r="AC507" s="101">
        <v>2.4451126896263276E-3</v>
      </c>
    </row>
    <row r="508" spans="25:29" x14ac:dyDescent="0.2">
      <c r="Y508" s="105" t="str">
        <f t="shared" si="41"/>
        <v>1D</v>
      </c>
      <c r="Z508" s="93">
        <f>_xll.qlCalendarAdvance(Calendar,Z507,Y508,"f",FALSE)</f>
        <v>42880</v>
      </c>
      <c r="AA508" s="117">
        <f>_xll.qlCalendarAdvance(Calendar,Z508,NDays&amp;"D")</f>
        <v>42884</v>
      </c>
      <c r="AB508" s="92">
        <v>3.2075810178831279E-3</v>
      </c>
      <c r="AC508" s="101">
        <v>2.4893193078856513E-3</v>
      </c>
    </row>
    <row r="509" spans="25:29" x14ac:dyDescent="0.2">
      <c r="Y509" s="105" t="str">
        <f t="shared" si="41"/>
        <v>1D</v>
      </c>
      <c r="Z509" s="93">
        <f>_xll.qlCalendarAdvance(Calendar,Z508,Y509,"f",FALSE)</f>
        <v>42881</v>
      </c>
      <c r="AA509" s="117">
        <f>_xll.qlCalendarAdvance(Calendar,Z509,NDays&amp;"D")</f>
        <v>42885</v>
      </c>
      <c r="AB509" s="92">
        <v>3.2139529578566139E-3</v>
      </c>
      <c r="AC509" s="101">
        <v>2.5128820245434724E-3</v>
      </c>
    </row>
    <row r="510" spans="25:29" x14ac:dyDescent="0.2">
      <c r="Y510" s="105" t="str">
        <f t="shared" si="41"/>
        <v>1D</v>
      </c>
      <c r="Z510" s="93">
        <f>_xll.qlCalendarAdvance(Calendar,Z509,Y510,"f",FALSE)</f>
        <v>42884</v>
      </c>
      <c r="AA510" s="117">
        <f>_xll.qlCalendarAdvance(Calendar,Z510,NDays&amp;"D")</f>
        <v>42886</v>
      </c>
      <c r="AB510" s="92">
        <v>3.2177614858549769E-3</v>
      </c>
      <c r="AC510" s="101">
        <v>2.5373154039431967E-3</v>
      </c>
    </row>
    <row r="511" spans="25:29" x14ac:dyDescent="0.2">
      <c r="Y511" s="105" t="str">
        <f t="shared" si="41"/>
        <v>1D</v>
      </c>
      <c r="Z511" s="93">
        <f>_xll.qlCalendarAdvance(Calendar,Z510,Y511,"f",FALSE)</f>
        <v>42885</v>
      </c>
      <c r="AA511" s="117">
        <f>_xll.qlCalendarAdvance(Calendar,Z511,NDays&amp;"D")</f>
        <v>42887</v>
      </c>
      <c r="AB511" s="92">
        <v>3.2239385993371172E-3</v>
      </c>
      <c r="AC511" s="101">
        <v>2.5626194462446961E-3</v>
      </c>
    </row>
    <row r="512" spans="25:29" x14ac:dyDescent="0.2">
      <c r="Y512" s="105" t="str">
        <f t="shared" si="41"/>
        <v>1D</v>
      </c>
      <c r="Z512" s="93">
        <f>_xll.qlCalendarAdvance(Calendar,Z511,Y512,"f",FALSE)</f>
        <v>42886</v>
      </c>
      <c r="AA512" s="117">
        <f>_xll.qlCalendarAdvance(Calendar,Z512,NDays&amp;"D")</f>
        <v>42888</v>
      </c>
      <c r="AB512" s="92">
        <v>3.2349526752689143E-3</v>
      </c>
      <c r="AC512" s="101">
        <v>2.6136982764768391E-3</v>
      </c>
    </row>
    <row r="513" spans="25:29" x14ac:dyDescent="0.2">
      <c r="Y513" s="105" t="str">
        <f t="shared" si="41"/>
        <v>1D</v>
      </c>
      <c r="Z513" s="93">
        <f>_xll.qlCalendarAdvance(Calendar,Z512,Y513,"f",FALSE)</f>
        <v>42887</v>
      </c>
      <c r="AA513" s="117">
        <f>_xll.qlCalendarAdvance(Calendar,Z513,NDays&amp;"D")</f>
        <v>42891</v>
      </c>
      <c r="AB513" s="92">
        <v>3.2475881926559949E-3</v>
      </c>
      <c r="AC513" s="101">
        <v>2.66246821461813E-3</v>
      </c>
    </row>
    <row r="514" spans="25:29" x14ac:dyDescent="0.2">
      <c r="Y514" s="105" t="str">
        <f t="shared" si="41"/>
        <v>1D</v>
      </c>
      <c r="Z514" s="93">
        <f>_xll.qlCalendarAdvance(Calendar,Z513,Y514,"f",FALSE)</f>
        <v>42888</v>
      </c>
      <c r="AA514" s="117">
        <f>_xll.qlCalendarAdvance(Calendar,Z514,NDays&amp;"D")</f>
        <v>42892</v>
      </c>
      <c r="AB514" s="92">
        <v>3.2532477070820608E-3</v>
      </c>
      <c r="AC514" s="101">
        <v>2.6855910646528258E-3</v>
      </c>
    </row>
    <row r="515" spans="25:29" x14ac:dyDescent="0.2">
      <c r="Y515" s="105" t="str">
        <f t="shared" si="41"/>
        <v>1D</v>
      </c>
      <c r="Z515" s="93">
        <f>_xll.qlCalendarAdvance(Calendar,Z514,Y515,"f",FALSE)</f>
        <v>42891</v>
      </c>
      <c r="AA515" s="117">
        <f>_xll.qlCalendarAdvance(Calendar,Z515,NDays&amp;"D")</f>
        <v>42893</v>
      </c>
      <c r="AB515" s="92">
        <v>3.2588145262857E-3</v>
      </c>
      <c r="AC515" s="101">
        <v>2.7079509504357446E-3</v>
      </c>
    </row>
    <row r="516" spans="25:29" x14ac:dyDescent="0.2">
      <c r="Y516" s="105" t="str">
        <f t="shared" si="41"/>
        <v>1D</v>
      </c>
      <c r="Z516" s="93">
        <f>_xll.qlCalendarAdvance(Calendar,Z515,Y516,"f",FALSE)</f>
        <v>42892</v>
      </c>
      <c r="AA516" s="117">
        <f>_xll.qlCalendarAdvance(Calendar,Z516,NDays&amp;"D")</f>
        <v>42894</v>
      </c>
      <c r="AB516" s="92">
        <v>3.2642929540600807E-3</v>
      </c>
      <c r="AC516" s="101">
        <v>2.7295478720468225E-3</v>
      </c>
    </row>
    <row r="517" spans="25:29" x14ac:dyDescent="0.2">
      <c r="Y517" s="105" t="str">
        <f t="shared" si="41"/>
        <v>1D</v>
      </c>
      <c r="Z517" s="93">
        <f>_xll.qlCalendarAdvance(Calendar,Z516,Y517,"f",FALSE)</f>
        <v>42893</v>
      </c>
      <c r="AA517" s="117">
        <f>_xll.qlCalendarAdvance(Calendar,Z517,NDays&amp;"D")</f>
        <v>42895</v>
      </c>
      <c r="AB517" s="92">
        <v>3.2746710884033517E-3</v>
      </c>
      <c r="AC517" s="101">
        <v>2.770219816099484E-3</v>
      </c>
    </row>
    <row r="518" spans="25:29" x14ac:dyDescent="0.2">
      <c r="Y518" s="105" t="str">
        <f t="shared" si="41"/>
        <v>1D</v>
      </c>
      <c r="Z518" s="93">
        <f>_xll.qlCalendarAdvance(Calendar,Z517,Y518,"f",FALSE)</f>
        <v>42894</v>
      </c>
      <c r="AA518" s="117">
        <f>_xll.qlCalendarAdvance(Calendar,Z518,NDays&amp;"D")</f>
        <v>42898</v>
      </c>
      <c r="AB518" s="92">
        <v>3.2854088287822786E-3</v>
      </c>
      <c r="AC518" s="101">
        <v>2.8083059116568165E-3</v>
      </c>
    </row>
    <row r="519" spans="25:29" x14ac:dyDescent="0.2">
      <c r="Y519" s="105" t="str">
        <f t="shared" si="41"/>
        <v>1D</v>
      </c>
      <c r="Z519" s="93">
        <f>_xll.qlCalendarAdvance(Calendar,Z518,Y519,"f",FALSE)</f>
        <v>42895</v>
      </c>
      <c r="AA519" s="117">
        <f>_xll.qlCalendarAdvance(Calendar,Z519,NDays&amp;"D")</f>
        <v>42899</v>
      </c>
      <c r="AB519" s="92">
        <v>3.2905098583421223E-3</v>
      </c>
      <c r="AC519" s="101">
        <v>2.8260880093711194E-3</v>
      </c>
    </row>
    <row r="520" spans="25:29" x14ac:dyDescent="0.2">
      <c r="Y520" s="105" t="str">
        <f t="shared" si="41"/>
        <v>1D</v>
      </c>
      <c r="Z520" s="93">
        <f>_xll.qlCalendarAdvance(Calendar,Z519,Y520,"f",FALSE)</f>
        <v>42898</v>
      </c>
      <c r="AA520" s="117">
        <f>_xll.qlCalendarAdvance(Calendar,Z520,NDays&amp;"D")</f>
        <v>42900</v>
      </c>
      <c r="AB520" s="92">
        <v>3.2955483204290146E-3</v>
      </c>
      <c r="AC520" s="101">
        <v>2.8431071420342846E-3</v>
      </c>
    </row>
    <row r="521" spans="25:29" x14ac:dyDescent="0.2">
      <c r="Y521" s="105" t="str">
        <f t="shared" si="41"/>
        <v>1D</v>
      </c>
      <c r="Z521" s="93">
        <f>_xll.qlCalendarAdvance(Calendar,Z520,Y521,"f",FALSE)</f>
        <v>42899</v>
      </c>
      <c r="AA521" s="117">
        <f>_xll.qlCalendarAdvance(Calendar,Z521,NDays&amp;"D")</f>
        <v>42901</v>
      </c>
      <c r="AB521" s="92">
        <v>3.3005285192213903E-3</v>
      </c>
      <c r="AC521" s="101">
        <v>2.8593633094065041E-3</v>
      </c>
    </row>
    <row r="522" spans="25:29" x14ac:dyDescent="0.2">
      <c r="Y522" s="105" t="str">
        <f t="shared" si="41"/>
        <v>1D</v>
      </c>
      <c r="Z522" s="93">
        <f>_xll.qlCalendarAdvance(Calendar,Z521,Y522,"f",FALSE)</f>
        <v>42900</v>
      </c>
      <c r="AA522" s="117">
        <f>_xll.qlCalendarAdvance(Calendar,Z522,NDays&amp;"D")</f>
        <v>42902</v>
      </c>
      <c r="AB522" s="92">
        <v>3.3105347702330414E-3</v>
      </c>
      <c r="AC522" s="101">
        <v>2.8893556156717182E-3</v>
      </c>
    </row>
    <row r="523" spans="25:29" x14ac:dyDescent="0.2">
      <c r="Y523" s="105" t="str">
        <f t="shared" si="41"/>
        <v>1D</v>
      </c>
      <c r="Z523" s="93">
        <f>_xll.qlCalendarAdvance(Calendar,Z522,Y523,"f",FALSE)</f>
        <v>42901</v>
      </c>
      <c r="AA523" s="117">
        <f>_xll.qlCalendarAdvance(Calendar,Z523,NDays&amp;"D")</f>
        <v>42905</v>
      </c>
      <c r="AB523" s="92">
        <v>3.3199527666878284E-3</v>
      </c>
      <c r="AC523" s="101">
        <v>2.9167583247069473E-3</v>
      </c>
    </row>
    <row r="524" spans="25:29" x14ac:dyDescent="0.2">
      <c r="Y524" s="105" t="str">
        <f t="shared" si="41"/>
        <v>1D</v>
      </c>
      <c r="Z524" s="93">
        <f>_xll.qlCalendarAdvance(Calendar,Z523,Y524,"f",FALSE)</f>
        <v>42902</v>
      </c>
      <c r="AA524" s="117">
        <f>_xll.qlCalendarAdvance(Calendar,Z524,NDays&amp;"D")</f>
        <v>42906</v>
      </c>
      <c r="AB524" s="92">
        <v>3.3247062133448845E-3</v>
      </c>
      <c r="AC524" s="101">
        <v>2.9291996645852691E-3</v>
      </c>
    </row>
    <row r="525" spans="25:29" x14ac:dyDescent="0.2">
      <c r="Y525" s="105" t="str">
        <f t="shared" si="41"/>
        <v>1D</v>
      </c>
      <c r="Z525" s="93">
        <f>_xll.qlCalendarAdvance(Calendar,Z524,Y525,"f",FALSE)</f>
        <v>42905</v>
      </c>
      <c r="AA525" s="117">
        <f>_xll.qlCalendarAdvance(Calendar,Z525,NDays&amp;"D")</f>
        <v>42907</v>
      </c>
      <c r="AB525" s="92">
        <v>3.3294272227612871E-3</v>
      </c>
      <c r="AC525" s="101">
        <v>2.9408780386930289E-3</v>
      </c>
    </row>
    <row r="526" spans="25:29" x14ac:dyDescent="0.2">
      <c r="Y526" s="105" t="str">
        <f t="shared" si="41"/>
        <v>1D</v>
      </c>
      <c r="Z526" s="93">
        <f>_xll.qlCalendarAdvance(Calendar,Z525,Y526,"f",FALSE)</f>
        <v>42906</v>
      </c>
      <c r="AA526" s="117">
        <f>_xll.qlCalendarAdvance(Calendar,Z526,NDays&amp;"D")</f>
        <v>42908</v>
      </c>
      <c r="AB526" s="92">
        <v>3.3341200994356527E-3</v>
      </c>
      <c r="AC526" s="101">
        <v>2.9517934468703544E-3</v>
      </c>
    </row>
    <row r="527" spans="25:29" x14ac:dyDescent="0.2">
      <c r="Y527" s="105" t="str">
        <f t="shared" si="41"/>
        <v>1D</v>
      </c>
      <c r="Z527" s="93">
        <f>_xll.qlCalendarAdvance(Calendar,Z526,Y527,"f",FALSE)</f>
        <v>42907</v>
      </c>
      <c r="AA527" s="117">
        <f>_xll.qlCalendarAdvance(Calendar,Z527,NDays&amp;"D")</f>
        <v>42909</v>
      </c>
      <c r="AB527" s="92">
        <v>3.349250448831526E-3</v>
      </c>
      <c r="AC527" s="101">
        <v>2.9711055638692585E-3</v>
      </c>
    </row>
    <row r="528" spans="25:29" x14ac:dyDescent="0.2">
      <c r="Y528" s="105" t="str">
        <f t="shared" si="41"/>
        <v>1D</v>
      </c>
      <c r="Z528" s="93">
        <f>_xll.qlCalendarAdvance(Calendar,Z527,Y528,"f",FALSE)</f>
        <v>42908</v>
      </c>
      <c r="AA528" s="117">
        <f>_xll.qlCalendarAdvance(Calendar,Z528,NDays&amp;"D")</f>
        <v>42912</v>
      </c>
      <c r="AB528" s="92">
        <v>3.3553327791654383E-3</v>
      </c>
      <c r="AC528" s="101">
        <v>2.9878254200355059E-3</v>
      </c>
    </row>
    <row r="529" spans="25:29" x14ac:dyDescent="0.2">
      <c r="Y529" s="105" t="str">
        <f t="shared" si="41"/>
        <v>1D</v>
      </c>
      <c r="Z529" s="93">
        <f>_xll.qlCalendarAdvance(Calendar,Z528,Y529,"f",FALSE)</f>
        <v>42909</v>
      </c>
      <c r="AA529" s="117">
        <f>_xll.qlCalendarAdvance(Calendar,Z529,NDays&amp;"D")</f>
        <v>42913</v>
      </c>
      <c r="AB529" s="92">
        <v>3.3573131520293056E-3</v>
      </c>
      <c r="AC529" s="101">
        <v>2.9949259980810439E-3</v>
      </c>
    </row>
    <row r="530" spans="25:29" x14ac:dyDescent="0.2">
      <c r="Y530" s="105" t="str">
        <f t="shared" si="41"/>
        <v>1D</v>
      </c>
      <c r="Z530" s="93">
        <f>_xll.qlCalendarAdvance(Calendar,Z529,Y530,"f",FALSE)</f>
        <v>42912</v>
      </c>
      <c r="AA530" s="117">
        <f>_xll.qlCalendarAdvance(Calendar,Z530,NDays&amp;"D")</f>
        <v>42914</v>
      </c>
      <c r="AB530" s="92">
        <v>3.3619276290409528E-3</v>
      </c>
      <c r="AC530" s="101">
        <v>3.0012636100362755E-3</v>
      </c>
    </row>
    <row r="531" spans="25:29" x14ac:dyDescent="0.2">
      <c r="Y531" s="105" t="str">
        <f t="shared" si="41"/>
        <v>1D</v>
      </c>
      <c r="Z531" s="93">
        <f>_xll.qlCalendarAdvance(Calendar,Z530,Y531,"f",FALSE)</f>
        <v>42913</v>
      </c>
      <c r="AA531" s="117">
        <f>_xll.qlCalendarAdvance(Calendar,Z531,NDays&amp;"D")</f>
        <v>42915</v>
      </c>
      <c r="AB531" s="92">
        <v>3.3665441059549201E-3</v>
      </c>
      <c r="AC531" s="101">
        <v>3.0068382556613926E-3</v>
      </c>
    </row>
    <row r="532" spans="25:29" x14ac:dyDescent="0.2">
      <c r="Y532" s="105" t="str">
        <f t="shared" si="41"/>
        <v>1D</v>
      </c>
      <c r="Z532" s="93">
        <f>_xll.qlCalendarAdvance(Calendar,Z531,Y532,"f",FALSE)</f>
        <v>42914</v>
      </c>
      <c r="AA532" s="117">
        <f>_xll.qlCalendarAdvance(Calendar,Z532,NDays&amp;"D")</f>
        <v>42916</v>
      </c>
      <c r="AB532" s="92">
        <v>3.3684923769705787E-3</v>
      </c>
      <c r="AC532" s="101">
        <v>3.0154695842465884E-3</v>
      </c>
    </row>
    <row r="533" spans="25:29" x14ac:dyDescent="0.2">
      <c r="Y533" s="105" t="str">
        <f t="shared" ref="Y533:Y596" si="42">Y532</f>
        <v>1D</v>
      </c>
      <c r="Z533" s="93">
        <f>_xll.qlCalendarAdvance(Calendar,Z532,Y533,"f",FALSE)</f>
        <v>42915</v>
      </c>
      <c r="AA533" s="117">
        <f>_xll.qlCalendarAdvance(Calendar,Z533,NDays&amp;"D")</f>
        <v>42919</v>
      </c>
      <c r="AB533" s="92">
        <v>3.3878338253341511E-3</v>
      </c>
      <c r="AC533" s="101">
        <v>3.0216382487324722E-3</v>
      </c>
    </row>
    <row r="534" spans="25:29" x14ac:dyDescent="0.2">
      <c r="Y534" s="105" t="str">
        <f t="shared" si="42"/>
        <v>1D</v>
      </c>
      <c r="Z534" s="93">
        <f>_xll.qlCalendarAdvance(Calendar,Z533,Y534,"f",FALSE)</f>
        <v>42916</v>
      </c>
      <c r="AA534" s="117">
        <f>_xll.qlCalendarAdvance(Calendar,Z534,NDays&amp;"D")</f>
        <v>42920</v>
      </c>
      <c r="AB534" s="92">
        <v>3.3925359648705857E-3</v>
      </c>
      <c r="AC534" s="101">
        <v>3.0241845023404323E-3</v>
      </c>
    </row>
    <row r="535" spans="25:29" x14ac:dyDescent="0.2">
      <c r="Y535" s="105" t="str">
        <f t="shared" si="42"/>
        <v>1D</v>
      </c>
      <c r="Z535" s="93">
        <f>_xll.qlCalendarAdvance(Calendar,Z534,Y535,"f",FALSE)</f>
        <v>42919</v>
      </c>
      <c r="AA535" s="117">
        <f>_xll.qlCalendarAdvance(Calendar,Z535,NDays&amp;"D")</f>
        <v>42921</v>
      </c>
      <c r="AB535" s="92">
        <v>3.3972616293829003E-3</v>
      </c>
      <c r="AC535" s="101">
        <v>3.0267542290918215E-3</v>
      </c>
    </row>
    <row r="536" spans="25:29" x14ac:dyDescent="0.2">
      <c r="Y536" s="105" t="str">
        <f t="shared" si="42"/>
        <v>1D</v>
      </c>
      <c r="Z536" s="93">
        <f>_xll.qlCalendarAdvance(Calendar,Z535,Y536,"f",FALSE)</f>
        <v>42920</v>
      </c>
      <c r="AA536" s="117">
        <f>_xll.qlCalendarAdvance(Calendar,Z536,NDays&amp;"D")</f>
        <v>42922</v>
      </c>
      <c r="AB536" s="92">
        <v>3.4075407778489542E-3</v>
      </c>
      <c r="AC536" s="101">
        <v>3.0293474290665756E-3</v>
      </c>
    </row>
    <row r="537" spans="25:29" x14ac:dyDescent="0.2">
      <c r="Y537" s="105" t="s">
        <v>140</v>
      </c>
      <c r="Z537" s="93">
        <f>_xll.qlCalendarAdvance(Calendar,Z536,Y537,"f",FALSE)</f>
        <v>42927</v>
      </c>
      <c r="AA537" s="117">
        <f>_xll.qlCalendarAdvance(Calendar,Z537,NDays&amp;"D")</f>
        <v>42929</v>
      </c>
      <c r="AB537" s="92">
        <v>3.4416091662698412E-3</v>
      </c>
      <c r="AC537" s="101">
        <v>3.0481570767459942E-3</v>
      </c>
    </row>
    <row r="538" spans="25:29" x14ac:dyDescent="0.2">
      <c r="Y538" s="105" t="str">
        <f t="shared" si="42"/>
        <v>1w</v>
      </c>
      <c r="Z538" s="93">
        <f>_xll.qlCalendarAdvance(Calendar,Z537,Y538,"f",FALSE)</f>
        <v>42934</v>
      </c>
      <c r="AA538" s="117">
        <f>_xll.qlCalendarAdvance(Calendar,Z538,NDays&amp;"D")</f>
        <v>42936</v>
      </c>
      <c r="AB538" s="92">
        <v>3.4768303929981256E-3</v>
      </c>
      <c r="AC538" s="101">
        <v>3.0681169091728577E-3</v>
      </c>
    </row>
    <row r="539" spans="25:29" x14ac:dyDescent="0.2">
      <c r="Y539" s="105" t="str">
        <f t="shared" si="42"/>
        <v>1w</v>
      </c>
      <c r="Z539" s="93">
        <f>_xll.qlCalendarAdvance(Calendar,Z538,Y539,"f",FALSE)</f>
        <v>42941</v>
      </c>
      <c r="AA539" s="117">
        <f>_xll.qlCalendarAdvance(Calendar,Z539,NDays&amp;"D")</f>
        <v>42943</v>
      </c>
      <c r="AB539" s="92">
        <v>3.5132045208360434E-3</v>
      </c>
      <c r="AC539" s="101">
        <v>3.0892269264271022E-3</v>
      </c>
    </row>
    <row r="540" spans="25:29" x14ac:dyDescent="0.2">
      <c r="Y540" s="105" t="str">
        <f t="shared" si="42"/>
        <v>1w</v>
      </c>
      <c r="Z540" s="93">
        <f>_xll.qlCalendarAdvance(Calendar,Z539,Y540,"f",FALSE)</f>
        <v>42948</v>
      </c>
      <c r="AA540" s="117">
        <f>_xll.qlCalendarAdvance(Calendar,Z540,NDays&amp;"D")</f>
        <v>42950</v>
      </c>
      <c r="AB540" s="92">
        <v>3.5507316146435406E-3</v>
      </c>
      <c r="AC540" s="101">
        <v>3.1114871288284718E-3</v>
      </c>
    </row>
    <row r="541" spans="25:29" x14ac:dyDescent="0.2">
      <c r="Y541" s="105" t="str">
        <f t="shared" si="42"/>
        <v>1w</v>
      </c>
      <c r="Z541" s="93">
        <f>_xll.qlCalendarAdvance(Calendar,Z540,Y541,"f",FALSE)</f>
        <v>42955</v>
      </c>
      <c r="AA541" s="117">
        <f>_xll.qlCalendarAdvance(Calendar,Z541,NDays&amp;"D")</f>
        <v>42957</v>
      </c>
      <c r="AB541" s="92">
        <v>3.5894117413361221E-3</v>
      </c>
      <c r="AC541" s="101">
        <v>3.1348975164569026E-3</v>
      </c>
    </row>
    <row r="542" spans="25:29" x14ac:dyDescent="0.2">
      <c r="Y542" s="105" t="str">
        <f t="shared" si="42"/>
        <v>1w</v>
      </c>
      <c r="Z542" s="93">
        <f>_xll.qlCalendarAdvance(Calendar,Z541,Y542,"f",FALSE)</f>
        <v>42962</v>
      </c>
      <c r="AA542" s="117">
        <f>_xll.qlCalendarAdvance(Calendar,Z542,NDays&amp;"D")</f>
        <v>42964</v>
      </c>
      <c r="AB542" s="92">
        <v>3.6292449698878625E-3</v>
      </c>
      <c r="AC542" s="101">
        <v>3.1594580896321389E-3</v>
      </c>
    </row>
    <row r="543" spans="25:29" x14ac:dyDescent="0.2">
      <c r="Y543" s="105" t="str">
        <f t="shared" si="42"/>
        <v>1w</v>
      </c>
      <c r="Z543" s="93">
        <f>_xll.qlCalendarAdvance(Calendar,Z542,Y543,"f",FALSE)</f>
        <v>42969</v>
      </c>
      <c r="AA543" s="117">
        <f>_xll.qlCalendarAdvance(Calendar,Z543,NDays&amp;"D")</f>
        <v>42971</v>
      </c>
      <c r="AB543" s="92">
        <v>3.6702313713292542E-3</v>
      </c>
      <c r="AC543" s="101">
        <v>3.1851688485939889E-3</v>
      </c>
    </row>
    <row r="544" spans="25:29" x14ac:dyDescent="0.2">
      <c r="Y544" s="105" t="str">
        <f t="shared" si="42"/>
        <v>1w</v>
      </c>
      <c r="Z544" s="93">
        <f>_xll.qlCalendarAdvance(Calendar,Z543,Y544,"f",FALSE)</f>
        <v>42976</v>
      </c>
      <c r="AA544" s="117">
        <f>_xll.qlCalendarAdvance(Calendar,Z544,NDays&amp;"D")</f>
        <v>42978</v>
      </c>
      <c r="AB544" s="92">
        <v>3.6952958521973868E-3</v>
      </c>
      <c r="AC544" s="101">
        <v>3.2120297935023245E-3</v>
      </c>
    </row>
    <row r="545" spans="25:29" x14ac:dyDescent="0.2">
      <c r="Y545" s="105" t="str">
        <f t="shared" si="42"/>
        <v>1w</v>
      </c>
      <c r="Z545" s="93">
        <f>_xll.qlCalendarAdvance(Calendar,Z544,Y545,"f",FALSE)</f>
        <v>42983</v>
      </c>
      <c r="AA545" s="117">
        <f>_xll.qlCalendarAdvance(Calendar,Z545,NDays&amp;"D")</f>
        <v>42985</v>
      </c>
      <c r="AB545" s="92">
        <v>3.7381746603664702E-3</v>
      </c>
      <c r="AC545" s="101">
        <v>3.2400409246768902E-3</v>
      </c>
    </row>
    <row r="546" spans="25:29" x14ac:dyDescent="0.2">
      <c r="Y546" s="105" t="str">
        <f t="shared" si="42"/>
        <v>1w</v>
      </c>
      <c r="Z546" s="93">
        <f>_xll.qlCalendarAdvance(Calendar,Z545,Y546,"f",FALSE)</f>
        <v>42990</v>
      </c>
      <c r="AA546" s="117">
        <f>_xll.qlCalendarAdvance(Calendar,Z546,NDays&amp;"D")</f>
        <v>42992</v>
      </c>
      <c r="AB546" s="92">
        <v>3.7822067519751304E-3</v>
      </c>
      <c r="AC546" s="101">
        <v>3.269202242357494E-3</v>
      </c>
    </row>
    <row r="547" spans="25:29" x14ac:dyDescent="0.2">
      <c r="Y547" s="105" t="str">
        <f t="shared" si="42"/>
        <v>1w</v>
      </c>
      <c r="Z547" s="93">
        <f>_xll.qlCalendarAdvance(Calendar,Z546,Y547,"f",FALSE)</f>
        <v>42997</v>
      </c>
      <c r="AA547" s="117">
        <f>_xll.qlCalendarAdvance(Calendar,Z547,NDays&amp;"D")</f>
        <v>42999</v>
      </c>
      <c r="AB547" s="92">
        <v>3.8273922034338468E-3</v>
      </c>
      <c r="AC547" s="101">
        <v>3.2995137468638802E-3</v>
      </c>
    </row>
    <row r="548" spans="25:29" x14ac:dyDescent="0.2">
      <c r="Y548" s="105" t="str">
        <f t="shared" si="42"/>
        <v>1w</v>
      </c>
      <c r="Z548" s="93">
        <f>_xll.qlCalendarAdvance(Calendar,Z547,Y548,"f",FALSE)</f>
        <v>43004</v>
      </c>
      <c r="AA548" s="117">
        <f>_xll.qlCalendarAdvance(Calendar,Z548,NDays&amp;"D")</f>
        <v>43006</v>
      </c>
      <c r="AB548" s="92">
        <v>3.8737310931554764E-3</v>
      </c>
      <c r="AC548" s="101">
        <v>3.330975438435857E-3</v>
      </c>
    </row>
    <row r="549" spans="25:29" x14ac:dyDescent="0.2">
      <c r="Y549" s="105" t="str">
        <f t="shared" si="42"/>
        <v>1w</v>
      </c>
      <c r="Z549" s="93">
        <f>_xll.qlCalendarAdvance(Calendar,Z548,Y549,"f",FALSE)</f>
        <v>43011</v>
      </c>
      <c r="AA549" s="117">
        <f>_xll.qlCalendarAdvance(Calendar,Z549,NDays&amp;"D")</f>
        <v>43013</v>
      </c>
      <c r="AB549" s="92">
        <v>3.9250370699953352E-3</v>
      </c>
      <c r="AC549" s="101">
        <v>3.3635873174731046E-3</v>
      </c>
    </row>
    <row r="550" spans="25:29" x14ac:dyDescent="0.2">
      <c r="Y550" s="105" t="str">
        <f t="shared" si="42"/>
        <v>1w</v>
      </c>
      <c r="Z550" s="93">
        <f>_xll.qlCalendarAdvance(Calendar,Z549,Y550,"f",FALSE)</f>
        <v>43018</v>
      </c>
      <c r="AA550" s="117">
        <f>_xll.qlCalendarAdvance(Calendar,Z550,NDays&amp;"D")</f>
        <v>43020</v>
      </c>
      <c r="AB550" s="92">
        <v>3.9737660255257682E-3</v>
      </c>
      <c r="AC550" s="101">
        <v>3.3973493842154312E-3</v>
      </c>
    </row>
    <row r="551" spans="25:29" x14ac:dyDescent="0.2">
      <c r="Y551" s="105" t="str">
        <f t="shared" si="42"/>
        <v>1w</v>
      </c>
      <c r="Z551" s="93">
        <f>_xll.qlCalendarAdvance(Calendar,Z550,Y551,"f",FALSE)</f>
        <v>43025</v>
      </c>
      <c r="AA551" s="117">
        <f>_xll.qlCalendarAdvance(Calendar,Z551,NDays&amp;"D")</f>
        <v>43027</v>
      </c>
      <c r="AB551" s="92">
        <v>4.0236486923514907E-3</v>
      </c>
      <c r="AC551" s="101">
        <v>3.4322616389825811E-3</v>
      </c>
    </row>
    <row r="552" spans="25:29" x14ac:dyDescent="0.2">
      <c r="Y552" s="105" t="str">
        <f t="shared" si="42"/>
        <v>1w</v>
      </c>
      <c r="Z552" s="93">
        <f>_xll.qlCalendarAdvance(Calendar,Z551,Y552,"f",FALSE)</f>
        <v>43032</v>
      </c>
      <c r="AA552" s="117">
        <f>_xll.qlCalendarAdvance(Calendar,Z552,NDays&amp;"D")</f>
        <v>43034</v>
      </c>
      <c r="AB552" s="92">
        <v>4.0746851575211131E-3</v>
      </c>
      <c r="AC552" s="101">
        <v>3.4683240820143624E-3</v>
      </c>
    </row>
    <row r="553" spans="25:29" x14ac:dyDescent="0.2">
      <c r="Y553" s="105" t="str">
        <f t="shared" si="42"/>
        <v>1w</v>
      </c>
      <c r="Z553" s="93">
        <f>_xll.qlCalendarAdvance(Calendar,Z552,Y553,"f",FALSE)</f>
        <v>43039</v>
      </c>
      <c r="AA553" s="117">
        <f>_xll.qlCalendarAdvance(Calendar,Z553,NDays&amp;"D")</f>
        <v>43041</v>
      </c>
      <c r="AB553" s="92">
        <v>4.1227300003823597E-3</v>
      </c>
      <c r="AC553" s="101">
        <v>3.5055367138703275E-3</v>
      </c>
    </row>
    <row r="554" spans="25:29" x14ac:dyDescent="0.2">
      <c r="Y554" s="105" t="str">
        <f t="shared" si="42"/>
        <v>1w</v>
      </c>
      <c r="Z554" s="93">
        <f>_xll.qlCalendarAdvance(Calendar,Z553,Y554,"f",FALSE)</f>
        <v>43046</v>
      </c>
      <c r="AA554" s="117">
        <f>_xll.qlCalendarAdvance(Calendar,Z554,NDays&amp;"D")</f>
        <v>43048</v>
      </c>
      <c r="AB554" s="92">
        <v>4.1759912785335369E-3</v>
      </c>
      <c r="AC554" s="101">
        <v>3.5438995347103486E-3</v>
      </c>
    </row>
    <row r="555" spans="25:29" x14ac:dyDescent="0.2">
      <c r="Y555" s="105" t="str">
        <f t="shared" si="42"/>
        <v>1w</v>
      </c>
      <c r="Z555" s="93">
        <f>_xll.qlCalendarAdvance(Calendar,Z554,Y555,"f",FALSE)</f>
        <v>43053</v>
      </c>
      <c r="AA555" s="117">
        <f>_xll.qlCalendarAdvance(Calendar,Z555,NDays&amp;"D")</f>
        <v>43055</v>
      </c>
      <c r="AB555" s="92">
        <v>4.2304065999333017E-3</v>
      </c>
      <c r="AC555" s="101">
        <v>3.583412545093978E-3</v>
      </c>
    </row>
    <row r="556" spans="25:29" x14ac:dyDescent="0.2">
      <c r="Y556" s="105" t="str">
        <f t="shared" si="42"/>
        <v>1w</v>
      </c>
      <c r="Z556" s="93">
        <f>_xll.qlCalendarAdvance(Calendar,Z555,Y556,"f",FALSE)</f>
        <v>43060</v>
      </c>
      <c r="AA556" s="117">
        <f>_xll.qlCalendarAdvance(Calendar,Z556,NDays&amp;"D")</f>
        <v>43062</v>
      </c>
      <c r="AB556" s="92">
        <v>4.2859760590232355E-3</v>
      </c>
      <c r="AC556" s="101">
        <v>3.6240757452610239E-3</v>
      </c>
    </row>
    <row r="557" spans="25:29" x14ac:dyDescent="0.2">
      <c r="Y557" s="105" t="str">
        <f t="shared" si="42"/>
        <v>1w</v>
      </c>
      <c r="Z557" s="93">
        <f>_xll.qlCalendarAdvance(Calendar,Z556,Y557,"f",FALSE)</f>
        <v>43067</v>
      </c>
      <c r="AA557" s="117">
        <f>_xll.qlCalendarAdvance(Calendar,Z557,NDays&amp;"D")</f>
        <v>43069</v>
      </c>
      <c r="AB557" s="92">
        <v>4.347177646286793E-3</v>
      </c>
      <c r="AC557" s="101">
        <v>3.6658891356111667E-3</v>
      </c>
    </row>
    <row r="558" spans="25:29" x14ac:dyDescent="0.2">
      <c r="Y558" s="105" t="str">
        <f t="shared" si="42"/>
        <v>1w</v>
      </c>
      <c r="Z558" s="93">
        <f>_xll.qlCalendarAdvance(Calendar,Z557,Y558,"f",FALSE)</f>
        <v>43074</v>
      </c>
      <c r="AA558" s="117">
        <f>_xll.qlCalendarAdvance(Calendar,Z558,NDays&amp;"D")</f>
        <v>43076</v>
      </c>
      <c r="AB558" s="92">
        <v>4.4051388423949683E-3</v>
      </c>
      <c r="AC558" s="101">
        <v>3.7088527165440865E-3</v>
      </c>
    </row>
    <row r="559" spans="25:29" x14ac:dyDescent="0.2">
      <c r="Y559" s="105" t="str">
        <f t="shared" si="42"/>
        <v>1w</v>
      </c>
      <c r="Z559" s="93">
        <f>_xll.qlCalendarAdvance(Calendar,Z558,Y559,"f",FALSE)</f>
        <v>43081</v>
      </c>
      <c r="AA559" s="117">
        <f>_xll.qlCalendarAdvance(Calendar,Z559,NDays&amp;"D")</f>
        <v>43083</v>
      </c>
      <c r="AB559" s="92">
        <v>4.4642545026190956E-3</v>
      </c>
      <c r="AC559" s="101">
        <v>3.7529664885393998E-3</v>
      </c>
    </row>
    <row r="560" spans="25:29" x14ac:dyDescent="0.2">
      <c r="Y560" s="105" t="str">
        <f t="shared" si="42"/>
        <v>1w</v>
      </c>
      <c r="Z560" s="93">
        <f>_xll.qlCalendarAdvance(Calendar,Z559,Y560,"f",FALSE)</f>
        <v>43088</v>
      </c>
      <c r="AA560" s="117">
        <f>_xll.qlCalendarAdvance(Calendar,Z560,NDays&amp;"D")</f>
        <v>43090</v>
      </c>
      <c r="AB560" s="92">
        <v>4.5245247301368627E-3</v>
      </c>
      <c r="AC560" s="101">
        <v>3.7982304519967869E-3</v>
      </c>
    </row>
    <row r="561" spans="25:29" x14ac:dyDescent="0.2">
      <c r="Y561" s="105" t="str">
        <f t="shared" si="42"/>
        <v>1w</v>
      </c>
      <c r="Z561" s="93">
        <f>_xll.qlCalendarAdvance(Calendar,Z560,Y561,"f",FALSE)</f>
        <v>43096</v>
      </c>
      <c r="AA561" s="117">
        <f>_xll.qlCalendarAdvance(Calendar,Z561,NDays&amp;"D")</f>
        <v>43098</v>
      </c>
      <c r="AB561" s="92">
        <v>4.5948188810597977E-3</v>
      </c>
      <c r="AC561" s="101">
        <v>3.8615766384331174E-3</v>
      </c>
    </row>
    <row r="562" spans="25:29" x14ac:dyDescent="0.2">
      <c r="Y562" s="105" t="str">
        <f t="shared" si="42"/>
        <v>1w</v>
      </c>
      <c r="Z562" s="93">
        <f>_xll.qlCalendarAdvance(Calendar,Z561,Y562,"f",FALSE)</f>
        <v>43103</v>
      </c>
      <c r="AA562" s="117">
        <f>_xll.qlCalendarAdvance(Calendar,Z562,NDays&amp;"D")</f>
        <v>43105</v>
      </c>
      <c r="AB562" s="92">
        <v>4.6526569098610613E-3</v>
      </c>
      <c r="AC562" s="101">
        <v>3.9060602333940153E-3</v>
      </c>
    </row>
    <row r="563" spans="25:29" x14ac:dyDescent="0.2">
      <c r="Y563" s="105" t="str">
        <f t="shared" si="42"/>
        <v>1w</v>
      </c>
      <c r="Z563" s="93">
        <f>_xll.qlCalendarAdvance(Calendar,Z562,Y563,"f",FALSE)</f>
        <v>43110</v>
      </c>
      <c r="AA563" s="117">
        <f>_xll.qlCalendarAdvance(Calendar,Z563,NDays&amp;"D")</f>
        <v>43112</v>
      </c>
      <c r="AB563" s="92">
        <v>4.7164492629847444E-3</v>
      </c>
      <c r="AC563" s="101">
        <v>3.9551044712915484E-3</v>
      </c>
    </row>
    <row r="564" spans="25:29" x14ac:dyDescent="0.2">
      <c r="Y564" s="105" t="str">
        <f t="shared" si="42"/>
        <v>1w</v>
      </c>
      <c r="Z564" s="93">
        <f>_xll.qlCalendarAdvance(Calendar,Z563,Y564,"f",FALSE)</f>
        <v>43117</v>
      </c>
      <c r="AA564" s="117">
        <f>_xll.qlCalendarAdvance(Calendar,Z564,NDays&amp;"D")</f>
        <v>43119</v>
      </c>
      <c r="AB564" s="92">
        <v>4.7813244657632327E-3</v>
      </c>
      <c r="AC564" s="101">
        <v>4.0052989415251261E-3</v>
      </c>
    </row>
    <row r="565" spans="25:29" x14ac:dyDescent="0.2">
      <c r="Y565" s="105" t="str">
        <f t="shared" si="42"/>
        <v>1w</v>
      </c>
      <c r="Z565" s="93">
        <f>_xll.qlCalendarAdvance(Calendar,Z564,Y565,"f",FALSE)</f>
        <v>43124</v>
      </c>
      <c r="AA565" s="117">
        <f>_xll.qlCalendarAdvance(Calendar,Z565,NDays&amp;"D")</f>
        <v>43126</v>
      </c>
      <c r="AB565" s="92">
        <v>4.8472321309843327E-3</v>
      </c>
      <c r="AC565" s="101">
        <v>4.0566436455602428E-3</v>
      </c>
    </row>
    <row r="566" spans="25:29" x14ac:dyDescent="0.2">
      <c r="Y566" s="105" t="str">
        <f t="shared" si="42"/>
        <v>1w</v>
      </c>
      <c r="Z566" s="93">
        <f>_xll.qlCalendarAdvance(Calendar,Z565,Y566,"f",FALSE)</f>
        <v>43131</v>
      </c>
      <c r="AA566" s="117">
        <f>_xll.qlCalendarAdvance(Calendar,Z566,NDays&amp;"D")</f>
        <v>43133</v>
      </c>
      <c r="AB566" s="92">
        <v>4.9141218664166637E-3</v>
      </c>
      <c r="AC566" s="101">
        <v>4.1091385848357476E-3</v>
      </c>
    </row>
    <row r="567" spans="25:29" x14ac:dyDescent="0.2">
      <c r="Y567" s="105" t="str">
        <f t="shared" si="42"/>
        <v>1w</v>
      </c>
      <c r="Z567" s="93">
        <f>_xll.qlCalendarAdvance(Calendar,Z566,Y567,"f",FALSE)</f>
        <v>43138</v>
      </c>
      <c r="AA567" s="117">
        <f>_xll.qlCalendarAdvance(Calendar,Z567,NDays&amp;"D")</f>
        <v>43140</v>
      </c>
      <c r="AB567" s="92">
        <v>4.9819432745552708E-3</v>
      </c>
      <c r="AC567" s="101">
        <v>4.1627837608437801E-3</v>
      </c>
    </row>
    <row r="568" spans="25:29" x14ac:dyDescent="0.2">
      <c r="Y568" s="105" t="str">
        <f t="shared" si="42"/>
        <v>1w</v>
      </c>
      <c r="Z568" s="93">
        <f>_xll.qlCalendarAdvance(Calendar,Z567,Y568,"f",FALSE)</f>
        <v>43145</v>
      </c>
      <c r="AA568" s="117">
        <f>_xll.qlCalendarAdvance(Calendar,Z568,NDays&amp;"D")</f>
        <v>43147</v>
      </c>
      <c r="AB568" s="92">
        <v>5.050645952379613E-3</v>
      </c>
      <c r="AC568" s="101">
        <v>4.2175791751830616E-3</v>
      </c>
    </row>
    <row r="569" spans="25:29" x14ac:dyDescent="0.2">
      <c r="Y569" s="105" t="str">
        <f t="shared" si="42"/>
        <v>1w</v>
      </c>
      <c r="Z569" s="93">
        <f>_xll.qlCalendarAdvance(Calendar,Z568,Y569,"f",FALSE)</f>
        <v>43152</v>
      </c>
      <c r="AA569" s="117">
        <f>_xll.qlCalendarAdvance(Calendar,Z569,NDays&amp;"D")</f>
        <v>43154</v>
      </c>
      <c r="AB569" s="92">
        <v>5.1201794911243503E-3</v>
      </c>
      <c r="AC569" s="101">
        <v>4.2735248293990225E-3</v>
      </c>
    </row>
    <row r="570" spans="25:29" x14ac:dyDescent="0.2">
      <c r="Y570" s="105" t="str">
        <f t="shared" si="42"/>
        <v>1w</v>
      </c>
      <c r="Z570" s="93">
        <f>_xll.qlCalendarAdvance(Calendar,Z569,Y570,"f",FALSE)</f>
        <v>43159</v>
      </c>
      <c r="AA570" s="117">
        <f>_xll.qlCalendarAdvance(Calendar,Z570,NDays&amp;"D")</f>
        <v>43161</v>
      </c>
      <c r="AB570" s="92">
        <v>5.2118724949300269E-3</v>
      </c>
      <c r="AC570" s="101">
        <v>4.3306207250637385E-3</v>
      </c>
    </row>
    <row r="571" spans="25:29" x14ac:dyDescent="0.2">
      <c r="Y571" s="105" t="str">
        <f t="shared" si="42"/>
        <v>1w</v>
      </c>
      <c r="Z571" s="93">
        <f>_xll.qlCalendarAdvance(Calendar,Z570,Y571,"f",FALSE)</f>
        <v>43166</v>
      </c>
      <c r="AA571" s="117">
        <f>_xll.qlCalendarAdvance(Calendar,Z571,NDays&amp;"D")</f>
        <v>43168</v>
      </c>
      <c r="AB571" s="92">
        <v>5.2830343015793178E-3</v>
      </c>
      <c r="AC571" s="101">
        <v>4.3888668638825123E-3</v>
      </c>
    </row>
    <row r="572" spans="25:29" x14ac:dyDescent="0.2">
      <c r="Y572" s="105" t="str">
        <f t="shared" si="42"/>
        <v>1w</v>
      </c>
      <c r="Z572" s="93">
        <f>_xll.qlCalendarAdvance(Calendar,Z571,Y572,"f",FALSE)</f>
        <v>43173</v>
      </c>
      <c r="AA572" s="117">
        <f>_xll.qlCalendarAdvance(Calendar,Z572,NDays&amp;"D")</f>
        <v>43175</v>
      </c>
      <c r="AB572" s="92">
        <v>5.3548578768412743E-3</v>
      </c>
      <c r="AC572" s="101">
        <v>4.4482632475340012E-3</v>
      </c>
    </row>
    <row r="573" spans="25:29" x14ac:dyDescent="0.2">
      <c r="Y573" s="105" t="str">
        <f t="shared" si="42"/>
        <v>1w</v>
      </c>
      <c r="Z573" s="93">
        <f>_xll.qlCalendarAdvance(Calendar,Z572,Y573,"f",FALSE)</f>
        <v>43180</v>
      </c>
      <c r="AA573" s="117">
        <f>_xll.qlCalendarAdvance(Calendar,Z573,NDays&amp;"D")</f>
        <v>43182</v>
      </c>
      <c r="AB573" s="92">
        <v>5.4272938752035708E-3</v>
      </c>
      <c r="AC573" s="101">
        <v>4.5088098776435714E-3</v>
      </c>
    </row>
    <row r="574" spans="25:29" x14ac:dyDescent="0.2">
      <c r="Y574" s="105" t="str">
        <f t="shared" si="42"/>
        <v>1w</v>
      </c>
      <c r="Z574" s="93">
        <f>_xll.qlCalendarAdvance(Calendar,Z573,Y574,"f",FALSE)</f>
        <v>43187</v>
      </c>
      <c r="AA574" s="117">
        <f>_xll.qlCalendarAdvance(Calendar,Z574,NDays&amp;"D")</f>
        <v>43193</v>
      </c>
      <c r="AB574" s="92">
        <v>5.5313503192560122E-3</v>
      </c>
      <c r="AC574" s="101">
        <v>4.5972338606325991E-3</v>
      </c>
    </row>
    <row r="575" spans="25:29" x14ac:dyDescent="0.2">
      <c r="Y575" s="105" t="str">
        <f t="shared" si="42"/>
        <v>1w</v>
      </c>
      <c r="Z575" s="93">
        <f>_xll.qlCalendarAdvance(Calendar,Z574,Y575,"f",FALSE)</f>
        <v>43194</v>
      </c>
      <c r="AA575" s="117">
        <f>_xll.qlCalendarAdvance(Calendar,Z575,NDays&amp;"D")</f>
        <v>43196</v>
      </c>
      <c r="AB575" s="92">
        <v>5.5738057253980431E-3</v>
      </c>
      <c r="AC575" s="101">
        <v>4.6333538844312017E-3</v>
      </c>
    </row>
    <row r="576" spans="25:29" x14ac:dyDescent="0.2">
      <c r="Y576" s="105" t="str">
        <f t="shared" si="42"/>
        <v>1w</v>
      </c>
      <c r="Z576" s="93">
        <f>_xll.qlCalendarAdvance(Calendar,Z575,Y576,"f",FALSE)</f>
        <v>43201</v>
      </c>
      <c r="AA576" s="117">
        <f>_xll.qlCalendarAdvance(Calendar,Z576,NDays&amp;"D")</f>
        <v>43203</v>
      </c>
      <c r="AB576" s="92">
        <v>5.6477828519825666E-3</v>
      </c>
      <c r="AC576" s="101">
        <v>4.6973512647063842E-3</v>
      </c>
    </row>
    <row r="577" spans="25:29" x14ac:dyDescent="0.2">
      <c r="Y577" s="105" t="str">
        <f t="shared" si="42"/>
        <v>1w</v>
      </c>
      <c r="Z577" s="93">
        <f>_xll.qlCalendarAdvance(Calendar,Z576,Y577,"f",FALSE)</f>
        <v>43208</v>
      </c>
      <c r="AA577" s="117">
        <f>_xll.qlCalendarAdvance(Calendar,Z577,NDays&amp;"D")</f>
        <v>43210</v>
      </c>
      <c r="AB577" s="92">
        <v>5.7221749509124408E-3</v>
      </c>
      <c r="AC577" s="101">
        <v>4.7624988986072481E-3</v>
      </c>
    </row>
    <row r="578" spans="25:29" x14ac:dyDescent="0.2">
      <c r="Y578" s="105" t="str">
        <f t="shared" si="42"/>
        <v>1w</v>
      </c>
      <c r="Z578" s="93">
        <f>_xll.qlCalendarAdvance(Calendar,Z577,Y578,"f",FALSE)</f>
        <v>43215</v>
      </c>
      <c r="AA578" s="117">
        <f>_xll.qlCalendarAdvance(Calendar,Z578,NDays&amp;"D")</f>
        <v>43217</v>
      </c>
      <c r="AB578" s="92">
        <v>5.7969326416711263E-3</v>
      </c>
      <c r="AC578" s="101">
        <v>4.8287967881055494E-3</v>
      </c>
    </row>
    <row r="579" spans="25:29" x14ac:dyDescent="0.2">
      <c r="Y579" s="105" t="str">
        <f t="shared" si="42"/>
        <v>1w</v>
      </c>
      <c r="Z579" s="93">
        <f>_xll.qlCalendarAdvance(Calendar,Z578,Y579,"f",FALSE)</f>
        <v>43222</v>
      </c>
      <c r="AA579" s="117">
        <f>_xll.qlCalendarAdvance(Calendar,Z579,NDays&amp;"D")</f>
        <v>43224</v>
      </c>
      <c r="AB579" s="92">
        <v>5.8720065363940125E-3</v>
      </c>
      <c r="AC579" s="101">
        <v>4.896244935013172E-3</v>
      </c>
    </row>
    <row r="580" spans="25:29" x14ac:dyDescent="0.2">
      <c r="Y580" s="105" t="str">
        <f t="shared" si="42"/>
        <v>1w</v>
      </c>
      <c r="Z580" s="93">
        <f>_xll.qlCalendarAdvance(Calendar,Z579,Y580,"f",FALSE)</f>
        <v>43229</v>
      </c>
      <c r="AA580" s="117">
        <f>_xll.qlCalendarAdvance(Calendar,Z580,NDays&amp;"D")</f>
        <v>43231</v>
      </c>
      <c r="AB580" s="92">
        <v>5.9473472397802776E-3</v>
      </c>
      <c r="AC580" s="101">
        <v>4.9648433413018722E-3</v>
      </c>
    </row>
    <row r="581" spans="25:29" x14ac:dyDescent="0.2">
      <c r="Y581" s="105" t="str">
        <f t="shared" si="42"/>
        <v>1w</v>
      </c>
      <c r="Z581" s="93">
        <f>_xll.qlCalendarAdvance(Calendar,Z580,Y581,"f",FALSE)</f>
        <v>43236</v>
      </c>
      <c r="AA581" s="117">
        <f>_xll.qlCalendarAdvance(Calendar,Z581,NDays&amp;"D")</f>
        <v>43238</v>
      </c>
      <c r="AB581" s="92">
        <v>6.0229053490250487E-3</v>
      </c>
      <c r="AC581" s="101">
        <v>5.0345920089700513E-3</v>
      </c>
    </row>
    <row r="582" spans="25:29" x14ac:dyDescent="0.2">
      <c r="Y582" s="105" t="str">
        <f t="shared" si="42"/>
        <v>1w</v>
      </c>
      <c r="Z582" s="93">
        <f>_xll.qlCalendarAdvance(Calendar,Z581,Y582,"f",FALSE)</f>
        <v>43243</v>
      </c>
      <c r="AA582" s="117">
        <f>_xll.qlCalendarAdvance(Calendar,Z582,NDays&amp;"D")</f>
        <v>43245</v>
      </c>
      <c r="AB582" s="92">
        <v>6.0986314537511289E-3</v>
      </c>
      <c r="AC582" s="101">
        <v>5.1054909400161108E-3</v>
      </c>
    </row>
    <row r="583" spans="25:29" x14ac:dyDescent="0.2">
      <c r="Y583" s="105" t="str">
        <f t="shared" si="42"/>
        <v>1w</v>
      </c>
      <c r="Z583" s="93">
        <f>_xll.qlCalendarAdvance(Calendar,Z582,Y583,"f",FALSE)</f>
        <v>43250</v>
      </c>
      <c r="AA583" s="117">
        <f>_xll.qlCalendarAdvance(Calendar,Z583,NDays&amp;"D")</f>
        <v>43252</v>
      </c>
      <c r="AB583" s="92">
        <v>6.1744761359649302E-3</v>
      </c>
      <c r="AC583" s="101">
        <v>5.1775401364917428E-3</v>
      </c>
    </row>
    <row r="584" spans="25:29" x14ac:dyDescent="0.2">
      <c r="Y584" s="105" t="str">
        <f t="shared" si="42"/>
        <v>1w</v>
      </c>
      <c r="Z584" s="93">
        <f>_xll.qlCalendarAdvance(Calendar,Z583,Y584,"f",FALSE)</f>
        <v>43257</v>
      </c>
      <c r="AA584" s="117">
        <f>_xll.qlCalendarAdvance(Calendar,Z584,NDays&amp;"D")</f>
        <v>43259</v>
      </c>
      <c r="AB584" s="92">
        <v>6.2503899700180124E-3</v>
      </c>
      <c r="AC584" s="101">
        <v>5.2507396004219942E-3</v>
      </c>
    </row>
    <row r="585" spans="25:29" x14ac:dyDescent="0.2">
      <c r="Y585" s="105" t="str">
        <f t="shared" si="42"/>
        <v>1w</v>
      </c>
      <c r="Z585" s="93">
        <f>_xll.qlCalendarAdvance(Calendar,Z584,Y585,"f",FALSE)</f>
        <v>43264</v>
      </c>
      <c r="AA585" s="117">
        <f>_xll.qlCalendarAdvance(Calendar,Z585,NDays&amp;"D")</f>
        <v>43266</v>
      </c>
      <c r="AB585" s="92">
        <v>6.3263235225850525E-3</v>
      </c>
      <c r="AC585" s="101">
        <v>5.3250893339651384E-3</v>
      </c>
    </row>
    <row r="586" spans="25:29" x14ac:dyDescent="0.2">
      <c r="Y586" s="105" t="str">
        <f t="shared" si="42"/>
        <v>1w</v>
      </c>
      <c r="Z586" s="93">
        <f>_xll.qlCalendarAdvance(Calendar,Z585,Y586,"f",FALSE)</f>
        <v>43271</v>
      </c>
      <c r="AA586" s="117">
        <f>_xll.qlCalendarAdvance(Calendar,Z586,NDays&amp;"D")</f>
        <v>43273</v>
      </c>
      <c r="AB586" s="92">
        <v>6.4022273526504435E-3</v>
      </c>
      <c r="AC586" s="101">
        <v>5.400589339199513E-3</v>
      </c>
    </row>
    <row r="587" spans="25:29" x14ac:dyDescent="0.2">
      <c r="Y587" s="105" t="str">
        <f t="shared" si="42"/>
        <v>1w</v>
      </c>
      <c r="Z587" s="93">
        <f>_xll.qlCalendarAdvance(Calendar,Z586,Y587,"f",FALSE)</f>
        <v>43278</v>
      </c>
      <c r="AA587" s="117">
        <f>_xll.qlCalendarAdvance(Calendar,Z587,NDays&amp;"D")</f>
        <v>43280</v>
      </c>
      <c r="AB587" s="92">
        <v>6.4780520115104582E-3</v>
      </c>
      <c r="AC587" s="101">
        <v>5.4772396183366823E-3</v>
      </c>
    </row>
    <row r="588" spans="25:29" x14ac:dyDescent="0.2">
      <c r="Y588" s="105" t="str">
        <f t="shared" si="42"/>
        <v>1w</v>
      </c>
      <c r="Z588" s="93">
        <f>_xll.qlCalendarAdvance(Calendar,Z587,Y588,"f",FALSE)</f>
        <v>43285</v>
      </c>
      <c r="AA588" s="117">
        <f>_xll.qlCalendarAdvance(Calendar,Z588,NDays&amp;"D")</f>
        <v>43287</v>
      </c>
      <c r="AB588" s="92">
        <v>6.5537495804962815E-3</v>
      </c>
      <c r="AC588" s="101">
        <v>5.5546281628959804E-3</v>
      </c>
    </row>
    <row r="589" spans="25:29" x14ac:dyDescent="0.2">
      <c r="Y589" s="105" t="str">
        <f t="shared" si="42"/>
        <v>1w</v>
      </c>
      <c r="Z589" s="93">
        <f>_xll.qlCalendarAdvance(Calendar,Z588,Y589,"f",FALSE)</f>
        <v>43292</v>
      </c>
      <c r="AA589" s="117">
        <f>_xll.qlCalendarAdvance(Calendar,Z589,NDays&amp;"D")</f>
        <v>43294</v>
      </c>
      <c r="AB589" s="92">
        <v>6.6292979632170332E-3</v>
      </c>
      <c r="AC589" s="101">
        <v>5.6319043710484351E-3</v>
      </c>
    </row>
    <row r="590" spans="25:29" x14ac:dyDescent="0.2">
      <c r="Y590" s="105" t="str">
        <f t="shared" si="42"/>
        <v>1w</v>
      </c>
      <c r="Z590" s="93">
        <f>_xll.qlCalendarAdvance(Calendar,Z589,Y590,"f",FALSE)</f>
        <v>43299</v>
      </c>
      <c r="AA590" s="117">
        <f>_xll.qlCalendarAdvance(Calendar,Z590,NDays&amp;"D")</f>
        <v>43301</v>
      </c>
      <c r="AB590" s="92">
        <v>6.7046964933572782E-3</v>
      </c>
      <c r="AC590" s="101">
        <v>5.7090283705019118E-3</v>
      </c>
    </row>
    <row r="591" spans="25:29" x14ac:dyDescent="0.2">
      <c r="Y591" s="105" t="str">
        <f t="shared" si="42"/>
        <v>1w</v>
      </c>
      <c r="Z591" s="93">
        <f>_xll.qlCalendarAdvance(Calendar,Z590,Y591,"f",FALSE)</f>
        <v>43306</v>
      </c>
      <c r="AA591" s="117">
        <f>_xll.qlCalendarAdvance(Calendar,Z591,NDays&amp;"D")</f>
        <v>43308</v>
      </c>
      <c r="AB591" s="92">
        <v>6.7799451533323805E-3</v>
      </c>
      <c r="AC591" s="101">
        <v>5.786000160989957E-3</v>
      </c>
    </row>
    <row r="592" spans="25:29" x14ac:dyDescent="0.2">
      <c r="Y592" s="105" t="str">
        <f t="shared" si="42"/>
        <v>1w</v>
      </c>
      <c r="Z592" s="93">
        <f>_xll.qlCalendarAdvance(Calendar,Z591,Y592,"f",FALSE)</f>
        <v>43313</v>
      </c>
      <c r="AA592" s="117">
        <f>_xll.qlCalendarAdvance(Calendar,Z592,NDays&amp;"D")</f>
        <v>43315</v>
      </c>
      <c r="AB592" s="92">
        <v>6.8550439255909744E-3</v>
      </c>
      <c r="AC592" s="101">
        <v>5.862819742166181E-3</v>
      </c>
    </row>
    <row r="593" spans="25:29" x14ac:dyDescent="0.2">
      <c r="Y593" s="105" t="str">
        <f t="shared" si="42"/>
        <v>1w</v>
      </c>
      <c r="Z593" s="93">
        <f>_xll.qlCalendarAdvance(Calendar,Z592,Y593,"f",FALSE)</f>
        <v>43320</v>
      </c>
      <c r="AA593" s="117">
        <f>_xll.qlCalendarAdvance(Calendar,Z593,NDays&amp;"D")</f>
        <v>43322</v>
      </c>
      <c r="AB593" s="92">
        <v>6.9299927926175569E-3</v>
      </c>
      <c r="AC593" s="101">
        <v>5.939487113817421E-3</v>
      </c>
    </row>
    <row r="594" spans="25:29" x14ac:dyDescent="0.2">
      <c r="Y594" s="105" t="str">
        <f t="shared" si="42"/>
        <v>1w</v>
      </c>
      <c r="Z594" s="93">
        <f>_xll.qlCalendarAdvance(Calendar,Z593,Y594,"f",FALSE)</f>
        <v>43327</v>
      </c>
      <c r="AA594" s="117">
        <f>_xll.qlCalendarAdvance(Calendar,Z594,NDays&amp;"D")</f>
        <v>43329</v>
      </c>
      <c r="AB594" s="92">
        <v>7.0047917369303282E-3</v>
      </c>
      <c r="AC594" s="101">
        <v>6.0160022755972875E-3</v>
      </c>
    </row>
    <row r="595" spans="25:29" x14ac:dyDescent="0.2">
      <c r="Y595" s="105" t="str">
        <f t="shared" si="42"/>
        <v>1w</v>
      </c>
      <c r="Z595" s="93">
        <f>_xll.qlCalendarAdvance(Calendar,Z594,Y595,"f",FALSE)</f>
        <v>43334</v>
      </c>
      <c r="AA595" s="117">
        <f>_xll.qlCalendarAdvance(Calendar,Z595,NDays&amp;"D")</f>
        <v>43336</v>
      </c>
      <c r="AB595" s="92">
        <v>7.0794407410820553E-3</v>
      </c>
      <c r="AC595" s="101">
        <v>6.0923652272393269E-3</v>
      </c>
    </row>
    <row r="596" spans="25:29" x14ac:dyDescent="0.2">
      <c r="Y596" s="105" t="str">
        <f t="shared" si="42"/>
        <v>1w</v>
      </c>
      <c r="Z596" s="93">
        <f>_xll.qlCalendarAdvance(Calendar,Z595,Y596,"f",FALSE)</f>
        <v>43341</v>
      </c>
      <c r="AA596" s="117">
        <f>_xll.qlCalendarAdvance(Calendar,Z596,NDays&amp;"D")</f>
        <v>43343</v>
      </c>
      <c r="AB596" s="92">
        <v>7.1325775788757834E-3</v>
      </c>
      <c r="AC596" s="101">
        <v>6.1685759684504404E-3</v>
      </c>
    </row>
    <row r="597" spans="25:29" x14ac:dyDescent="0.2">
      <c r="Y597" s="105" t="str">
        <f t="shared" ref="Y597:Y660" si="43">Y596</f>
        <v>1w</v>
      </c>
      <c r="Z597" s="93">
        <f>_xll.qlCalendarAdvance(Calendar,Z596,Y597,"f",FALSE)</f>
        <v>43348</v>
      </c>
      <c r="AA597" s="117">
        <f>_xll.qlCalendarAdvance(Calendar,Z597,NDays&amp;"D")</f>
        <v>43350</v>
      </c>
      <c r="AB597" s="92">
        <v>7.2069635940297189E-3</v>
      </c>
      <c r="AC597" s="101">
        <v>6.2446344989108837E-3</v>
      </c>
    </row>
    <row r="598" spans="25:29" x14ac:dyDescent="0.2">
      <c r="Y598" s="105" t="str">
        <f t="shared" si="43"/>
        <v>1w</v>
      </c>
      <c r="Z598" s="93">
        <f>_xll.qlCalendarAdvance(Calendar,Z597,Y598,"f",FALSE)</f>
        <v>43355</v>
      </c>
      <c r="AA598" s="117">
        <f>_xll.qlCalendarAdvance(Calendar,Z598,NDays&amp;"D")</f>
        <v>43357</v>
      </c>
      <c r="AB598" s="92">
        <v>7.2811995726784458E-3</v>
      </c>
      <c r="AC598" s="101">
        <v>6.3205408183808487E-3</v>
      </c>
    </row>
    <row r="599" spans="25:29" x14ac:dyDescent="0.2">
      <c r="Y599" s="105" t="str">
        <f t="shared" si="43"/>
        <v>1w</v>
      </c>
      <c r="Z599" s="93">
        <f>_xll.qlCalendarAdvance(Calendar,Z598,Y599,"f",FALSE)</f>
        <v>43362</v>
      </c>
      <c r="AA599" s="117">
        <f>_xll.qlCalendarAdvance(Calendar,Z599,NDays&amp;"D")</f>
        <v>43364</v>
      </c>
      <c r="AB599" s="92">
        <v>7.3552854978768444E-3</v>
      </c>
      <c r="AC599" s="101">
        <v>6.3962949265139457E-3</v>
      </c>
    </row>
    <row r="600" spans="25:29" x14ac:dyDescent="0.2">
      <c r="Y600" s="105" t="str">
        <f t="shared" si="43"/>
        <v>1w</v>
      </c>
      <c r="Z600" s="93">
        <f>_xll.qlCalendarAdvance(Calendar,Z599,Y600,"f",FALSE)</f>
        <v>43369</v>
      </c>
      <c r="AA600" s="117">
        <f>_xll.qlCalendarAdvance(Calendar,Z600,NDays&amp;"D")</f>
        <v>43371</v>
      </c>
      <c r="AB600" s="92">
        <v>7.4345262410869554E-3</v>
      </c>
      <c r="AC600" s="101">
        <v>6.4718968230437213E-3</v>
      </c>
    </row>
    <row r="601" spans="25:29" x14ac:dyDescent="0.2">
      <c r="Y601" s="105" t="str">
        <f t="shared" si="43"/>
        <v>1w</v>
      </c>
      <c r="Z601" s="93">
        <f>_xll.qlCalendarAdvance(Calendar,Z600,Y601,"f",FALSE)</f>
        <v>43376</v>
      </c>
      <c r="AA601" s="117">
        <f>_xll.qlCalendarAdvance(Calendar,Z601,NDays&amp;"D")</f>
        <v>43378</v>
      </c>
      <c r="AB601" s="92">
        <v>7.5083028140322883E-3</v>
      </c>
      <c r="AC601" s="101">
        <v>6.5473465077303672E-3</v>
      </c>
    </row>
    <row r="602" spans="25:29" x14ac:dyDescent="0.2">
      <c r="Y602" s="105" t="str">
        <f t="shared" si="43"/>
        <v>1w</v>
      </c>
      <c r="Z602" s="93">
        <f>_xll.qlCalendarAdvance(Calendar,Z601,Y602,"f",FALSE)</f>
        <v>43383</v>
      </c>
      <c r="AA602" s="117">
        <f>_xll.qlCalendarAdvance(Calendar,Z602,NDays&amp;"D")</f>
        <v>43385</v>
      </c>
      <c r="AB602" s="92">
        <v>7.5819292936025306E-3</v>
      </c>
      <c r="AC602" s="101">
        <v>6.6226439802274939E-3</v>
      </c>
    </row>
    <row r="603" spans="25:29" x14ac:dyDescent="0.2">
      <c r="Y603" s="105" t="str">
        <f t="shared" si="43"/>
        <v>1w</v>
      </c>
      <c r="Z603" s="93">
        <f>_xll.qlCalendarAdvance(Calendar,Z602,Y603,"f",FALSE)</f>
        <v>43390</v>
      </c>
      <c r="AA603" s="117">
        <f>_xll.qlCalendarAdvance(Calendar,Z603,NDays&amp;"D")</f>
        <v>43392</v>
      </c>
      <c r="AB603" s="92">
        <v>7.6765069658769215E-3</v>
      </c>
      <c r="AC603" s="101">
        <v>6.6977892402686479E-3</v>
      </c>
    </row>
    <row r="604" spans="25:29" x14ac:dyDescent="0.2">
      <c r="Y604" s="105" t="str">
        <f t="shared" si="43"/>
        <v>1w</v>
      </c>
      <c r="Z604" s="93">
        <f>_xll.qlCalendarAdvance(Calendar,Z603,Y604,"f",FALSE)</f>
        <v>43397</v>
      </c>
      <c r="AA604" s="117">
        <f>_xll.qlCalendarAdvance(Calendar,Z604,NDays&amp;"D")</f>
        <v>43399</v>
      </c>
      <c r="AB604" s="92">
        <v>7.7287319050533248E-3</v>
      </c>
      <c r="AC604" s="101">
        <v>6.7727822875873755E-3</v>
      </c>
    </row>
    <row r="605" spans="25:29" x14ac:dyDescent="0.2">
      <c r="Y605" s="105" t="str">
        <f t="shared" si="43"/>
        <v>1w</v>
      </c>
      <c r="Z605" s="93">
        <f>_xll.qlCalendarAdvance(Calendar,Z604,Y605,"f",FALSE)</f>
        <v>43404</v>
      </c>
      <c r="AA605" s="117">
        <f>_xll.qlCalendarAdvance(Calendar,Z605,NDays&amp;"D")</f>
        <v>43406</v>
      </c>
      <c r="AB605" s="92">
        <v>7.7966489819352881E-3</v>
      </c>
      <c r="AC605" s="101">
        <v>6.8476231218639327E-3</v>
      </c>
    </row>
    <row r="606" spans="25:29" x14ac:dyDescent="0.2">
      <c r="Y606" s="105" t="str">
        <f t="shared" si="43"/>
        <v>1w</v>
      </c>
      <c r="Z606" s="93">
        <f>_xll.qlCalendarAdvance(Calendar,Z605,Y606,"f",FALSE)</f>
        <v>43411</v>
      </c>
      <c r="AA606" s="117">
        <f>_xll.qlCalendarAdvance(Calendar,Z606,NDays&amp;"D")</f>
        <v>43413</v>
      </c>
      <c r="AB606" s="92">
        <v>7.8696840613551155E-3</v>
      </c>
      <c r="AC606" s="101">
        <v>6.9223117428052205E-3</v>
      </c>
    </row>
    <row r="607" spans="25:29" x14ac:dyDescent="0.2">
      <c r="Y607" s="105" t="str">
        <f t="shared" si="43"/>
        <v>1w</v>
      </c>
      <c r="Z607" s="93">
        <f>_xll.qlCalendarAdvance(Calendar,Z606,Y607,"f",FALSE)</f>
        <v>43418</v>
      </c>
      <c r="AA607" s="117">
        <f>_xll.qlCalendarAdvance(Calendar,Z607,NDays&amp;"D")</f>
        <v>43420</v>
      </c>
      <c r="AB607" s="92">
        <v>7.9425689529808094E-3</v>
      </c>
      <c r="AC607" s="101">
        <v>6.9968481501980762E-3</v>
      </c>
    </row>
    <row r="608" spans="25:29" x14ac:dyDescent="0.2">
      <c r="Y608" s="105" t="str">
        <f t="shared" si="43"/>
        <v>1w</v>
      </c>
      <c r="Z608" s="93">
        <f>_xll.qlCalendarAdvance(Calendar,Z607,Y608,"f",FALSE)</f>
        <v>43425</v>
      </c>
      <c r="AA608" s="117">
        <f>_xll.qlCalendarAdvance(Calendar,Z608,NDays&amp;"D")</f>
        <v>43427</v>
      </c>
      <c r="AB608" s="92">
        <v>8.0153036401715335E-3</v>
      </c>
      <c r="AC608" s="101">
        <v>7.0712323436694646E-3</v>
      </c>
    </row>
    <row r="609" spans="25:29" x14ac:dyDescent="0.2">
      <c r="Y609" s="105" t="str">
        <f t="shared" si="43"/>
        <v>1w</v>
      </c>
      <c r="Z609" s="93">
        <f>_xll.qlCalendarAdvance(Calendar,Z608,Y609,"f",FALSE)</f>
        <v>43432</v>
      </c>
      <c r="AA609" s="117">
        <f>_xll.qlCalendarAdvance(Calendar,Z609,NDays&amp;"D")</f>
        <v>43434</v>
      </c>
      <c r="AB609" s="92">
        <v>8.0931106207794042E-3</v>
      </c>
      <c r="AC609" s="101">
        <v>7.1454643229795778E-3</v>
      </c>
    </row>
    <row r="610" spans="25:29" x14ac:dyDescent="0.2">
      <c r="Y610" s="105" t="str">
        <f t="shared" si="43"/>
        <v>1w</v>
      </c>
      <c r="Z610" s="93">
        <f>_xll.qlCalendarAdvance(Calendar,Z609,Y610,"f",FALSE)</f>
        <v>43439</v>
      </c>
      <c r="AA610" s="117">
        <f>_xll.qlCalendarAdvance(Calendar,Z610,NDays&amp;"D")</f>
        <v>43441</v>
      </c>
      <c r="AB610" s="92">
        <v>8.1655357478060478E-3</v>
      </c>
      <c r="AC610" s="101">
        <v>7.2195440878619621E-3</v>
      </c>
    </row>
    <row r="611" spans="25:29" x14ac:dyDescent="0.2">
      <c r="Y611" s="105" t="str">
        <f t="shared" si="43"/>
        <v>1w</v>
      </c>
      <c r="Z611" s="93">
        <f>_xll.qlCalendarAdvance(Calendar,Z610,Y611,"f",FALSE)</f>
        <v>43446</v>
      </c>
      <c r="AA611" s="117">
        <f>_xll.qlCalendarAdvance(Calendar,Z611,NDays&amp;"D")</f>
        <v>43448</v>
      </c>
      <c r="AB611" s="92">
        <v>8.2378106305822443E-3</v>
      </c>
      <c r="AC611" s="101">
        <v>7.2934716379968734E-3</v>
      </c>
    </row>
    <row r="612" spans="25:29" x14ac:dyDescent="0.2">
      <c r="Y612" s="105" t="str">
        <f t="shared" si="43"/>
        <v>1w</v>
      </c>
      <c r="Z612" s="93">
        <f>_xll.qlCalendarAdvance(Calendar,Z611,Y612,"f",FALSE)</f>
        <v>43453</v>
      </c>
      <c r="AA612" s="117">
        <f>_xll.qlCalendarAdvance(Calendar,Z612,NDays&amp;"D")</f>
        <v>43455</v>
      </c>
      <c r="AB612" s="92">
        <v>8.3099352525146716E-3</v>
      </c>
      <c r="AC612" s="101">
        <v>7.3672469731711487E-3</v>
      </c>
    </row>
    <row r="613" spans="25:29" x14ac:dyDescent="0.2">
      <c r="Y613" s="105" t="str">
        <f t="shared" si="43"/>
        <v>1w</v>
      </c>
      <c r="Z613" s="93">
        <f>_xll.qlCalendarAdvance(Calendar,Z612,Y613,"f",FALSE)</f>
        <v>43461</v>
      </c>
      <c r="AA613" s="117">
        <f>_xll.qlCalendarAdvance(Calendar,Z613,NDays&amp;"D")</f>
        <v>43465</v>
      </c>
      <c r="AB613" s="92">
        <v>8.3971605240045419E-3</v>
      </c>
      <c r="AC613" s="101">
        <v>7.4670503832541257E-3</v>
      </c>
    </row>
    <row r="614" spans="25:29" x14ac:dyDescent="0.2">
      <c r="Y614" s="105" t="str">
        <f t="shared" si="43"/>
        <v>1w</v>
      </c>
      <c r="Z614" s="93">
        <f>_xll.qlCalendarAdvance(Calendar,Z613,Y614,"f",FALSE)</f>
        <v>43468</v>
      </c>
      <c r="AA614" s="117">
        <f>_xll.qlCalendarAdvance(Calendar,Z614,NDays&amp;"D")</f>
        <v>43472</v>
      </c>
      <c r="AB614" s="92">
        <v>8.4844688671467019E-3</v>
      </c>
      <c r="AC614" s="101">
        <v>7.5351480429652895E-3</v>
      </c>
    </row>
    <row r="615" spans="25:29" x14ac:dyDescent="0.2">
      <c r="Y615" s="105" t="str">
        <f t="shared" si="43"/>
        <v>1w</v>
      </c>
      <c r="Z615" s="93">
        <f>_xll.qlCalendarAdvance(Calendar,Z614,Y615,"f",FALSE)</f>
        <v>43475</v>
      </c>
      <c r="AA615" s="117">
        <f>_xll.qlCalendarAdvance(Calendar,Z615,NDays&amp;"D")</f>
        <v>43479</v>
      </c>
      <c r="AB615" s="92">
        <v>8.5560735607000983E-3</v>
      </c>
      <c r="AC615" s="101">
        <v>7.6084201588599853E-3</v>
      </c>
    </row>
    <row r="616" spans="25:29" x14ac:dyDescent="0.2">
      <c r="Y616" s="105" t="str">
        <f t="shared" si="43"/>
        <v>1w</v>
      </c>
      <c r="Z616" s="93">
        <f>_xll.qlCalendarAdvance(Calendar,Z615,Y616,"f",FALSE)</f>
        <v>43482</v>
      </c>
      <c r="AA616" s="117">
        <f>_xll.qlCalendarAdvance(Calendar,Z616,NDays&amp;"D")</f>
        <v>43486</v>
      </c>
      <c r="AB616" s="92">
        <v>8.6275190007477284E-3</v>
      </c>
      <c r="AC616" s="101">
        <v>7.6815400352536756E-3</v>
      </c>
    </row>
    <row r="617" spans="25:29" x14ac:dyDescent="0.2">
      <c r="Y617" s="105" t="str">
        <f t="shared" si="43"/>
        <v>1w</v>
      </c>
      <c r="Z617" s="93">
        <f>_xll.qlCalendarAdvance(Calendar,Z616,Y617,"f",FALSE)</f>
        <v>43489</v>
      </c>
      <c r="AA617" s="117">
        <f>_xll.qlCalendarAdvance(Calendar,Z617,NDays&amp;"D")</f>
        <v>43493</v>
      </c>
      <c r="AB617" s="92">
        <v>8.6988003670741536E-3</v>
      </c>
      <c r="AC617" s="101">
        <v>7.7545076718266159E-3</v>
      </c>
    </row>
    <row r="618" spans="25:29" x14ac:dyDescent="0.2">
      <c r="Y618" s="105" t="str">
        <f t="shared" si="43"/>
        <v>1w</v>
      </c>
      <c r="Z618" s="93">
        <f>_xll.qlCalendarAdvance(Calendar,Z617,Y618,"f",FALSE)</f>
        <v>43496</v>
      </c>
      <c r="AA618" s="117">
        <f>_xll.qlCalendarAdvance(Calendar,Z618,NDays&amp;"D")</f>
        <v>43500</v>
      </c>
      <c r="AB618" s="92">
        <v>8.7699128388161098E-3</v>
      </c>
      <c r="AC618" s="101">
        <v>7.8273230688985507E-3</v>
      </c>
    </row>
    <row r="619" spans="25:29" x14ac:dyDescent="0.2">
      <c r="Y619" s="105" t="str">
        <f t="shared" si="43"/>
        <v>1w</v>
      </c>
      <c r="Z619" s="93">
        <f>_xll.qlCalendarAdvance(Calendar,Z618,Y619,"f",FALSE)</f>
        <v>43503</v>
      </c>
      <c r="AA619" s="117">
        <f>_xll.qlCalendarAdvance(Calendar,Z619,NDays&amp;"D")</f>
        <v>43507</v>
      </c>
      <c r="AB619" s="92">
        <v>8.8408515944629288E-3</v>
      </c>
      <c r="AC619" s="101">
        <v>7.8999862260697995E-3</v>
      </c>
    </row>
    <row r="620" spans="25:29" x14ac:dyDescent="0.2">
      <c r="Y620" s="105" t="str">
        <f t="shared" si="43"/>
        <v>1w</v>
      </c>
      <c r="Z620" s="93">
        <f>_xll.qlCalendarAdvance(Calendar,Z619,Y620,"f",FALSE)</f>
        <v>43510</v>
      </c>
      <c r="AA620" s="117">
        <f>_xll.qlCalendarAdvance(Calendar,Z620,NDays&amp;"D")</f>
        <v>43514</v>
      </c>
      <c r="AB620" s="92">
        <v>8.911611811864022E-3</v>
      </c>
      <c r="AC620" s="101">
        <v>7.9724971433403624E-3</v>
      </c>
    </row>
    <row r="621" spans="25:29" x14ac:dyDescent="0.2">
      <c r="Y621" s="105" t="str">
        <f t="shared" si="43"/>
        <v>1w</v>
      </c>
      <c r="Z621" s="93">
        <f>_xll.qlCalendarAdvance(Calendar,Z620,Y621,"f",FALSE)</f>
        <v>43517</v>
      </c>
      <c r="AA621" s="117">
        <f>_xll.qlCalendarAdvance(Calendar,Z621,NDays&amp;"D")</f>
        <v>43521</v>
      </c>
      <c r="AB621" s="92">
        <v>8.9821886682319458E-3</v>
      </c>
      <c r="AC621" s="101">
        <v>8.0448558205503673E-3</v>
      </c>
    </row>
    <row r="622" spans="25:29" x14ac:dyDescent="0.2">
      <c r="Y622" s="105" t="str">
        <f t="shared" si="43"/>
        <v>1w</v>
      </c>
      <c r="Z622" s="93">
        <f>_xll.qlCalendarAdvance(Calendar,Z621,Y622,"f",FALSE)</f>
        <v>43524</v>
      </c>
      <c r="AA622" s="117">
        <f>_xll.qlCalendarAdvance(Calendar,Z622,NDays&amp;"D")</f>
        <v>43528</v>
      </c>
      <c r="AB622" s="92">
        <v>9.0627282251927281E-3</v>
      </c>
      <c r="AC622" s="101">
        <v>8.1170622576998142E-3</v>
      </c>
    </row>
    <row r="623" spans="25:29" x14ac:dyDescent="0.2">
      <c r="Y623" s="105" t="str">
        <f t="shared" si="43"/>
        <v>1w</v>
      </c>
      <c r="Z623" s="93">
        <f>_xll.qlCalendarAdvance(Calendar,Z622,Y623,"f",FALSE)</f>
        <v>43531</v>
      </c>
      <c r="AA623" s="117">
        <f>_xll.qlCalendarAdvance(Calendar,Z623,NDays&amp;"D")</f>
        <v>43535</v>
      </c>
      <c r="AB623" s="92">
        <v>9.1328953174140293E-3</v>
      </c>
      <c r="AC623" s="101">
        <v>8.1891164547087669E-3</v>
      </c>
    </row>
    <row r="624" spans="25:29" x14ac:dyDescent="0.2">
      <c r="Y624" s="105" t="str">
        <f t="shared" si="43"/>
        <v>1w</v>
      </c>
      <c r="Z624" s="93">
        <f>_xll.qlCalendarAdvance(Calendar,Z623,Y624,"f",FALSE)</f>
        <v>43538</v>
      </c>
      <c r="AA624" s="117">
        <f>_xll.qlCalendarAdvance(Calendar,Z624,NDays&amp;"D")</f>
        <v>43542</v>
      </c>
      <c r="AB624" s="92">
        <v>9.2028637473278562E-3</v>
      </c>
      <c r="AC624" s="101">
        <v>8.2610184114173535E-3</v>
      </c>
    </row>
    <row r="625" spans="25:29" x14ac:dyDescent="0.2">
      <c r="Y625" s="105" t="str">
        <f t="shared" si="43"/>
        <v>1w</v>
      </c>
      <c r="Z625" s="93">
        <f>_xll.qlCalendarAdvance(Calendar,Z624,Y625,"f",FALSE)</f>
        <v>43545</v>
      </c>
      <c r="AA625" s="117">
        <f>_xll.qlCalendarAdvance(Calendar,Z625,NDays&amp;"D")</f>
        <v>43549</v>
      </c>
      <c r="AB625" s="92">
        <v>9.2726287412840374E-3</v>
      </c>
      <c r="AC625" s="101">
        <v>8.3327681277456378E-3</v>
      </c>
    </row>
    <row r="626" spans="25:29" x14ac:dyDescent="0.2">
      <c r="Y626" s="105" t="str">
        <f t="shared" si="43"/>
        <v>1w</v>
      </c>
      <c r="Z626" s="93">
        <f>_xll.qlCalendarAdvance(Calendar,Z625,Y626,"f",FALSE)</f>
        <v>43552</v>
      </c>
      <c r="AA626" s="117">
        <f>_xll.qlCalendarAdvance(Calendar,Z626,NDays&amp;"D")</f>
        <v>43556</v>
      </c>
      <c r="AB626" s="92">
        <v>9.3371703664477338E-3</v>
      </c>
      <c r="AC626" s="101">
        <v>8.4043656036136838E-3</v>
      </c>
    </row>
    <row r="627" spans="25:29" x14ac:dyDescent="0.2">
      <c r="Y627" s="105" t="str">
        <f t="shared" si="43"/>
        <v>1w</v>
      </c>
      <c r="Z627" s="93">
        <f>_xll.qlCalendarAdvance(Calendar,Z626,Y627,"f",FALSE)</f>
        <v>43559</v>
      </c>
      <c r="AA627" s="117">
        <f>_xll.qlCalendarAdvance(Calendar,Z627,NDays&amp;"D")</f>
        <v>43563</v>
      </c>
      <c r="AB627" s="92">
        <v>9.4065299650093644E-3</v>
      </c>
      <c r="AC627" s="101">
        <v>8.4758108390214915E-3</v>
      </c>
    </row>
    <row r="628" spans="25:29" x14ac:dyDescent="0.2">
      <c r="Y628" s="105" t="str">
        <f t="shared" si="43"/>
        <v>1w</v>
      </c>
      <c r="Z628" s="93">
        <f>_xll.qlCalendarAdvance(Calendar,Z627,Y628,"f",FALSE)</f>
        <v>43566</v>
      </c>
      <c r="AA628" s="117">
        <f>_xll.qlCalendarAdvance(Calendar,Z628,NDays&amp;"D")</f>
        <v>43570</v>
      </c>
      <c r="AB628" s="92">
        <v>9.4756721125747682E-3</v>
      </c>
      <c r="AC628" s="101">
        <v>8.5471038336493166E-3</v>
      </c>
    </row>
    <row r="629" spans="25:29" x14ac:dyDescent="0.2">
      <c r="Y629" s="105" t="str">
        <f t="shared" si="43"/>
        <v>1w</v>
      </c>
      <c r="Z629" s="93">
        <f>_xll.qlCalendarAdvance(Calendar,Z628,Y629,"f",FALSE)</f>
        <v>43573</v>
      </c>
      <c r="AA629" s="117">
        <f>_xll.qlCalendarAdvance(Calendar,Z629,NDays&amp;"D")</f>
        <v>43579</v>
      </c>
      <c r="AB629" s="92">
        <v>9.5642419119457145E-3</v>
      </c>
      <c r="AC629" s="101">
        <v>8.6385425547241823E-3</v>
      </c>
    </row>
    <row r="630" spans="25:29" x14ac:dyDescent="0.2">
      <c r="Y630" s="105" t="str">
        <f t="shared" si="43"/>
        <v>1w</v>
      </c>
      <c r="Z630" s="93">
        <f>_xll.qlCalendarAdvance(Calendar,Z629,Y630,"f",FALSE)</f>
        <v>43580</v>
      </c>
      <c r="AA630" s="117">
        <f>_xll.qlCalendarAdvance(Calendar,Z630,NDays&amp;"D")</f>
        <v>43584</v>
      </c>
      <c r="AB630" s="92">
        <v>9.6132848471196363E-3</v>
      </c>
      <c r="AC630" s="101">
        <v>8.6892331008048274E-3</v>
      </c>
    </row>
    <row r="631" spans="25:29" x14ac:dyDescent="0.2">
      <c r="Y631" s="105" t="str">
        <f t="shared" si="43"/>
        <v>1w</v>
      </c>
      <c r="Z631" s="93">
        <f>_xll.qlCalendarAdvance(Calendar,Z630,Y631,"f",FALSE)</f>
        <v>43587</v>
      </c>
      <c r="AA631" s="117">
        <f>_xll.qlCalendarAdvance(Calendar,Z631,NDays&amp;"D")</f>
        <v>43591</v>
      </c>
      <c r="AB631" s="92">
        <v>9.6866791489357441E-3</v>
      </c>
      <c r="AC631" s="101">
        <v>8.7600693730127688E-3</v>
      </c>
    </row>
    <row r="632" spans="25:29" x14ac:dyDescent="0.2">
      <c r="Y632" s="105" t="str">
        <f t="shared" si="43"/>
        <v>1w</v>
      </c>
      <c r="Z632" s="93">
        <f>_xll.qlCalendarAdvance(Calendar,Z631,Y632,"f",FALSE)</f>
        <v>43594</v>
      </c>
      <c r="AA632" s="117">
        <f>_xll.qlCalendarAdvance(Calendar,Z632,NDays&amp;"D")</f>
        <v>43598</v>
      </c>
      <c r="AB632" s="92">
        <v>9.754886378165583E-3</v>
      </c>
      <c r="AC632" s="101">
        <v>8.8307534042808555E-3</v>
      </c>
    </row>
    <row r="633" spans="25:29" x14ac:dyDescent="0.2">
      <c r="Y633" s="105" t="str">
        <f t="shared" si="43"/>
        <v>1w</v>
      </c>
      <c r="Z633" s="93">
        <f>_xll.qlCalendarAdvance(Calendar,Z632,Y633,"f",FALSE)</f>
        <v>43601</v>
      </c>
      <c r="AA633" s="117">
        <f>_xll.qlCalendarAdvance(Calendar,Z633,NDays&amp;"D")</f>
        <v>43605</v>
      </c>
      <c r="AB633" s="92">
        <v>9.8228519606184863E-3</v>
      </c>
      <c r="AC633" s="101">
        <v>8.9012851943692795E-3</v>
      </c>
    </row>
    <row r="634" spans="25:29" x14ac:dyDescent="0.2">
      <c r="Y634" s="105" t="str">
        <f t="shared" si="43"/>
        <v>1w</v>
      </c>
      <c r="Z634" s="93">
        <f>_xll.qlCalendarAdvance(Calendar,Z633,Y634,"f",FALSE)</f>
        <v>43608</v>
      </c>
      <c r="AA634" s="117">
        <f>_xll.qlCalendarAdvance(Calendar,Z634,NDays&amp;"D")</f>
        <v>43612</v>
      </c>
      <c r="AB634" s="92">
        <v>9.8905711173207147E-3</v>
      </c>
      <c r="AC634" s="101">
        <v>8.9716647433579766E-3</v>
      </c>
    </row>
    <row r="635" spans="25:29" x14ac:dyDescent="0.2">
      <c r="Y635" s="105" t="str">
        <f t="shared" si="43"/>
        <v>1w</v>
      </c>
      <c r="Z635" s="93">
        <f>_xll.qlCalendarAdvance(Calendar,Z634,Y635,"f",FALSE)</f>
        <v>43615</v>
      </c>
      <c r="AA635" s="117">
        <f>_xll.qlCalendarAdvance(Calendar,Z635,NDays&amp;"D")</f>
        <v>43619</v>
      </c>
      <c r="AB635" s="92">
        <v>9.9531750965812741E-3</v>
      </c>
      <c r="AC635" s="101">
        <v>9.0418920510870748E-3</v>
      </c>
    </row>
    <row r="636" spans="25:29" x14ac:dyDescent="0.2">
      <c r="Y636" s="105" t="str">
        <f t="shared" si="43"/>
        <v>1w</v>
      </c>
      <c r="Z636" s="93">
        <f>_xll.qlCalendarAdvance(Calendar,Z635,Y636,"f",FALSE)</f>
        <v>43622</v>
      </c>
      <c r="AA636" s="117">
        <f>_xll.qlCalendarAdvance(Calendar,Z636,NDays&amp;"D")</f>
        <v>43626</v>
      </c>
      <c r="AB636" s="92">
        <v>1.0020404724065138E-2</v>
      </c>
      <c r="AC636" s="101">
        <v>9.1119671173967021E-3</v>
      </c>
    </row>
    <row r="637" spans="25:29" x14ac:dyDescent="0.2">
      <c r="Y637" s="105" t="str">
        <f t="shared" si="43"/>
        <v>1w</v>
      </c>
      <c r="Z637" s="93">
        <f>_xll.qlCalendarAdvance(Calendar,Z636,Y637,"f",FALSE)</f>
        <v>43629</v>
      </c>
      <c r="AA637" s="117">
        <f>_xll.qlCalendarAdvance(Calendar,Z637,NDays&amp;"D")</f>
        <v>43633</v>
      </c>
      <c r="AB637" s="92">
        <v>1.0087373663933247E-2</v>
      </c>
      <c r="AC637" s="101">
        <v>9.1818899422868583E-3</v>
      </c>
    </row>
    <row r="638" spans="25:29" x14ac:dyDescent="0.2">
      <c r="Y638" s="105" t="str">
        <f t="shared" si="43"/>
        <v>1w</v>
      </c>
      <c r="Z638" s="93">
        <f>_xll.qlCalendarAdvance(Calendar,Z637,Y638,"f",FALSE)</f>
        <v>43636</v>
      </c>
      <c r="AA638" s="117">
        <f>_xll.qlCalendarAdvance(Calendar,Z638,NDays&amp;"D")</f>
        <v>43640</v>
      </c>
      <c r="AB638" s="92">
        <v>1.0154077109306769E-2</v>
      </c>
      <c r="AC638" s="101">
        <v>9.2516605256776074E-3</v>
      </c>
    </row>
    <row r="639" spans="25:29" x14ac:dyDescent="0.2">
      <c r="Y639" s="105" t="str">
        <f t="shared" si="43"/>
        <v>1w</v>
      </c>
      <c r="Z639" s="93">
        <f>_xll.qlCalendarAdvance(Calendar,Z638,Y639,"f",FALSE)</f>
        <v>43643</v>
      </c>
      <c r="AA639" s="117">
        <f>_xll.qlCalendarAdvance(Calendar,Z639,NDays&amp;"D")</f>
        <v>43647</v>
      </c>
      <c r="AB639" s="92">
        <v>1.0230094555757109E-2</v>
      </c>
      <c r="AC639" s="101">
        <v>9.3212788674090774E-3</v>
      </c>
    </row>
    <row r="640" spans="25:29" x14ac:dyDescent="0.2">
      <c r="Y640" s="105" t="str">
        <f t="shared" si="43"/>
        <v>1w</v>
      </c>
      <c r="Z640" s="93">
        <f>_xll.qlCalendarAdvance(Calendar,Z639,Y640,"f",FALSE)</f>
        <v>43650</v>
      </c>
      <c r="AA640" s="117">
        <f>_xll.qlCalendarAdvance(Calendar,Z640,NDays&amp;"D")</f>
        <v>43654</v>
      </c>
      <c r="AB640" s="92">
        <v>1.0291443923086216E-2</v>
      </c>
      <c r="AC640" s="101">
        <v>9.3906912599628356E-3</v>
      </c>
    </row>
    <row r="641" spans="25:29" x14ac:dyDescent="0.2">
      <c r="Y641" s="105" t="str">
        <f t="shared" si="43"/>
        <v>1w</v>
      </c>
      <c r="Z641" s="93">
        <f>_xll.qlCalendarAdvance(Calendar,Z640,Y641,"f",FALSE)</f>
        <v>43657</v>
      </c>
      <c r="AA641" s="117">
        <f>_xll.qlCalendarAdvance(Calendar,Z641,NDays&amp;"D")</f>
        <v>43661</v>
      </c>
      <c r="AB641" s="92">
        <v>1.0357308818725489E-2</v>
      </c>
      <c r="AC641" s="101">
        <v>9.4598275030932655E-3</v>
      </c>
    </row>
    <row r="642" spans="25:29" x14ac:dyDescent="0.2">
      <c r="Y642" s="105" t="str">
        <f t="shared" si="43"/>
        <v>1w</v>
      </c>
      <c r="Z642" s="93">
        <f>_xll.qlCalendarAdvance(Calendar,Z641,Y642,"f",FALSE)</f>
        <v>43664</v>
      </c>
      <c r="AA642" s="117">
        <f>_xll.qlCalendarAdvance(Calendar,Z642,NDays&amp;"D")</f>
        <v>43668</v>
      </c>
      <c r="AB642" s="92">
        <v>1.0422897868159753E-2</v>
      </c>
      <c r="AC642" s="101">
        <v>9.5286871737787493E-3</v>
      </c>
    </row>
    <row r="643" spans="25:29" x14ac:dyDescent="0.2">
      <c r="Y643" s="105" t="str">
        <f t="shared" si="43"/>
        <v>1w</v>
      </c>
      <c r="Z643" s="93">
        <f>_xll.qlCalendarAdvance(Calendar,Z642,Y643,"f",FALSE)</f>
        <v>43671</v>
      </c>
      <c r="AA643" s="117">
        <f>_xll.qlCalendarAdvance(Calendar,Z643,NDays&amp;"D")</f>
        <v>43675</v>
      </c>
      <c r="AB643" s="92">
        <v>1.0488211043645116E-2</v>
      </c>
      <c r="AC643" s="101">
        <v>9.5972702717794789E-3</v>
      </c>
    </row>
    <row r="644" spans="25:29" x14ac:dyDescent="0.2">
      <c r="Y644" s="105" t="str">
        <f t="shared" si="43"/>
        <v>1w</v>
      </c>
      <c r="Z644" s="93">
        <f>_xll.qlCalendarAdvance(Calendar,Z643,Y644,"f",FALSE)</f>
        <v>43678</v>
      </c>
      <c r="AA644" s="117">
        <f>_xll.qlCalendarAdvance(Calendar,Z644,NDays&amp;"D")</f>
        <v>43682</v>
      </c>
      <c r="AB644" s="92">
        <v>1.0553248317556283E-2</v>
      </c>
      <c r="AC644" s="101">
        <v>9.6655767968556461E-3</v>
      </c>
    </row>
    <row r="645" spans="25:29" x14ac:dyDescent="0.2">
      <c r="Y645" s="105" t="str">
        <f t="shared" si="43"/>
        <v>1w</v>
      </c>
      <c r="Z645" s="93">
        <f>_xll.qlCalendarAdvance(Calendar,Z644,Y645,"f",FALSE)</f>
        <v>43685</v>
      </c>
      <c r="AA645" s="117">
        <f>_xll.qlCalendarAdvance(Calendar,Z645,NDays&amp;"D")</f>
        <v>43689</v>
      </c>
      <c r="AB645" s="92">
        <v>1.0618009662382216E-2</v>
      </c>
      <c r="AC645" s="101">
        <v>9.7336067490871869E-3</v>
      </c>
    </row>
    <row r="646" spans="25:29" x14ac:dyDescent="0.2">
      <c r="Y646" s="105" t="str">
        <f t="shared" si="43"/>
        <v>1w</v>
      </c>
      <c r="Z646" s="93">
        <f>_xll.qlCalendarAdvance(Calendar,Z645,Y646,"f",FALSE)</f>
        <v>43692</v>
      </c>
      <c r="AA646" s="117">
        <f>_xll.qlCalendarAdvance(Calendar,Z646,NDays&amp;"D")</f>
        <v>43696</v>
      </c>
      <c r="AB646" s="92">
        <v>1.0682495050728743E-2</v>
      </c>
      <c r="AC646" s="101">
        <v>9.8013601280744211E-3</v>
      </c>
    </row>
    <row r="647" spans="25:29" x14ac:dyDescent="0.2">
      <c r="Y647" s="105" t="str">
        <f t="shared" si="43"/>
        <v>1w</v>
      </c>
      <c r="Z647" s="93">
        <f>_xll.qlCalendarAdvance(Calendar,Z646,Y647,"f",FALSE)</f>
        <v>43699</v>
      </c>
      <c r="AA647" s="117">
        <f>_xll.qlCalendarAdvance(Calendar,Z647,NDays&amp;"D")</f>
        <v>43703</v>
      </c>
      <c r="AB647" s="92">
        <v>1.0746704455318118E-2</v>
      </c>
      <c r="AC647" s="101">
        <v>9.8688369336574766E-3</v>
      </c>
    </row>
    <row r="648" spans="25:29" x14ac:dyDescent="0.2">
      <c r="Y648" s="105" t="str">
        <f t="shared" si="43"/>
        <v>1w</v>
      </c>
      <c r="Z648" s="93">
        <f>_xll.qlCalendarAdvance(Calendar,Z647,Y648,"f",FALSE)</f>
        <v>43706</v>
      </c>
      <c r="AA648" s="117">
        <f>_xll.qlCalendarAdvance(Calendar,Z648,NDays&amp;"D")</f>
        <v>43710</v>
      </c>
      <c r="AB648" s="92">
        <v>1.0801371012697698E-2</v>
      </c>
      <c r="AC648" s="101">
        <v>9.9360371659162894E-3</v>
      </c>
    </row>
    <row r="649" spans="25:29" x14ac:dyDescent="0.2">
      <c r="Y649" s="105" t="str">
        <f t="shared" si="43"/>
        <v>1w</v>
      </c>
      <c r="Z649" s="93">
        <f>_xll.qlCalendarAdvance(Calendar,Z648,Y649,"f",FALSE)</f>
        <v>43713</v>
      </c>
      <c r="AA649" s="117">
        <f>_xll.qlCalendarAdvance(Calendar,Z649,NDays&amp;"D")</f>
        <v>43717</v>
      </c>
      <c r="AB649" s="92">
        <v>1.0865063986665247E-2</v>
      </c>
      <c r="AC649" s="101">
        <v>1.0002960824531115E-2</v>
      </c>
    </row>
    <row r="650" spans="25:29" x14ac:dyDescent="0.2">
      <c r="Y650" s="105" t="str">
        <f t="shared" si="43"/>
        <v>1w</v>
      </c>
      <c r="Z650" s="93">
        <f>_xll.qlCalendarAdvance(Calendar,Z649,Y650,"f",FALSE)</f>
        <v>43720</v>
      </c>
      <c r="AA650" s="117">
        <f>_xll.qlCalendarAdvance(Calendar,Z650,NDays&amp;"D")</f>
        <v>43724</v>
      </c>
      <c r="AB650" s="92">
        <v>1.0928480893853688E-2</v>
      </c>
      <c r="AC650" s="101">
        <v>1.0069607909422018E-2</v>
      </c>
    </row>
    <row r="651" spans="25:29" x14ac:dyDescent="0.2">
      <c r="Y651" s="105" t="str">
        <f t="shared" si="43"/>
        <v>1w</v>
      </c>
      <c r="Z651" s="93">
        <f>_xll.qlCalendarAdvance(Calendar,Z650,Y651,"f",FALSE)</f>
        <v>43727</v>
      </c>
      <c r="AA651" s="117">
        <f>_xll.qlCalendarAdvance(Calendar,Z651,NDays&amp;"D")</f>
        <v>43731</v>
      </c>
      <c r="AB651" s="92">
        <v>1.0991621707725569E-2</v>
      </c>
      <c r="AC651" s="101">
        <v>1.0135978420269254E-2</v>
      </c>
    </row>
    <row r="652" spans="25:29" x14ac:dyDescent="0.2">
      <c r="Y652" s="105" t="str">
        <f t="shared" si="43"/>
        <v>1w</v>
      </c>
      <c r="Z652" s="93">
        <f>_xll.qlCalendarAdvance(Calendar,Z651,Y652,"f",FALSE)</f>
        <v>43734</v>
      </c>
      <c r="AA652" s="117">
        <f>_xll.qlCalendarAdvance(Calendar,Z652,NDays&amp;"D")</f>
        <v>43738</v>
      </c>
      <c r="AB652" s="92">
        <v>1.1059049393440925E-2</v>
      </c>
      <c r="AC652" s="101">
        <v>1.0202072357152758E-2</v>
      </c>
    </row>
    <row r="653" spans="25:29" x14ac:dyDescent="0.2">
      <c r="Y653" s="105" t="str">
        <f t="shared" si="43"/>
        <v>1w</v>
      </c>
      <c r="Z653" s="93">
        <f>_xll.qlCalendarAdvance(Calendar,Z652,Y653,"f",FALSE)</f>
        <v>43741</v>
      </c>
      <c r="AA653" s="117">
        <f>_xll.qlCalendarAdvance(Calendar,Z653,NDays&amp;"D")</f>
        <v>43745</v>
      </c>
      <c r="AB653" s="92">
        <v>1.1121620135231384E-2</v>
      </c>
      <c r="AC653" s="101">
        <v>1.0267889719832723E-2</v>
      </c>
    </row>
    <row r="654" spans="25:29" x14ac:dyDescent="0.2">
      <c r="Y654" s="105" t="str">
        <f t="shared" si="43"/>
        <v>1w</v>
      </c>
      <c r="Z654" s="93">
        <f>_xll.qlCalendarAdvance(Calendar,Z653,Y654,"f",FALSE)</f>
        <v>43748</v>
      </c>
      <c r="AA654" s="117">
        <f>_xll.qlCalendarAdvance(Calendar,Z654,NDays&amp;"D")</f>
        <v>43752</v>
      </c>
      <c r="AB654" s="92">
        <v>1.1183914705186714E-2</v>
      </c>
      <c r="AC654" s="101">
        <v>1.0333430508069341E-2</v>
      </c>
    </row>
    <row r="655" spans="25:29" x14ac:dyDescent="0.2">
      <c r="Y655" s="105" t="str">
        <f t="shared" si="43"/>
        <v>1w</v>
      </c>
      <c r="Z655" s="93">
        <f>_xll.qlCalendarAdvance(Calendar,Z654,Y655,"f",FALSE)</f>
        <v>43755</v>
      </c>
      <c r="AA655" s="117">
        <f>_xll.qlCalendarAdvance(Calendar,Z655,NDays&amp;"D")</f>
        <v>43759</v>
      </c>
      <c r="AB655" s="92">
        <v>1.1245933077093569E-2</v>
      </c>
      <c r="AC655" s="101">
        <v>1.0398694721782675E-2</v>
      </c>
    </row>
    <row r="656" spans="25:29" x14ac:dyDescent="0.2">
      <c r="Y656" s="105" t="str">
        <f t="shared" si="43"/>
        <v>1w</v>
      </c>
      <c r="Z656" s="93">
        <f>_xll.qlCalendarAdvance(Calendar,Z655,Y656,"f",FALSE)</f>
        <v>43762</v>
      </c>
      <c r="AA656" s="117">
        <f>_xll.qlCalendarAdvance(Calendar,Z656,NDays&amp;"D")</f>
        <v>43766</v>
      </c>
      <c r="AB656" s="92">
        <v>1.1307675224854791E-2</v>
      </c>
      <c r="AC656" s="101">
        <v>1.0463682360812854E-2</v>
      </c>
    </row>
    <row r="657" spans="25:29" x14ac:dyDescent="0.2">
      <c r="Y657" s="105" t="str">
        <f t="shared" si="43"/>
        <v>1w</v>
      </c>
      <c r="Z657" s="93">
        <f>_xll.qlCalendarAdvance(Calendar,Z656,Y657,"f",FALSE)</f>
        <v>43769</v>
      </c>
      <c r="AA657" s="117">
        <f>_xll.qlCalendarAdvance(Calendar,Z657,NDays&amp;"D")</f>
        <v>43773</v>
      </c>
      <c r="AB657" s="92">
        <v>1.136466715969109E-2</v>
      </c>
      <c r="AC657" s="101">
        <v>1.0528393425000004E-2</v>
      </c>
    </row>
    <row r="658" spans="25:29" x14ac:dyDescent="0.2">
      <c r="Y658" s="105" t="str">
        <f t="shared" si="43"/>
        <v>1w</v>
      </c>
      <c r="Z658" s="93">
        <f>_xll.qlCalendarAdvance(Calendar,Z657,Y658,"f",FALSE)</f>
        <v>43776</v>
      </c>
      <c r="AA658" s="117">
        <f>_xll.qlCalendarAdvance(Calendar,Z658,NDays&amp;"D")</f>
        <v>43780</v>
      </c>
      <c r="AB658" s="92">
        <v>1.1425874586955678E-2</v>
      </c>
      <c r="AC658" s="101">
        <v>1.0592827914264191E-2</v>
      </c>
    </row>
    <row r="659" spans="25:29" x14ac:dyDescent="0.2">
      <c r="Y659" s="105" t="str">
        <f t="shared" si="43"/>
        <v>1w</v>
      </c>
      <c r="Z659" s="93">
        <f>_xll.qlCalendarAdvance(Calendar,Z658,Y659,"f",FALSE)</f>
        <v>43783</v>
      </c>
      <c r="AA659" s="117">
        <f>_xll.qlCalendarAdvance(Calendar,Z659,NDays&amp;"D")</f>
        <v>43787</v>
      </c>
      <c r="AB659" s="92">
        <v>1.1486805712743181E-2</v>
      </c>
      <c r="AC659" s="101">
        <v>1.065698582828567E-2</v>
      </c>
    </row>
    <row r="660" spans="25:29" x14ac:dyDescent="0.2">
      <c r="Y660" s="105" t="str">
        <f t="shared" si="43"/>
        <v>1w</v>
      </c>
      <c r="Z660" s="93">
        <f>_xll.qlCalendarAdvance(Calendar,Z659,Y660,"f",FALSE)</f>
        <v>43790</v>
      </c>
      <c r="AA660" s="117">
        <f>_xll.qlCalendarAdvance(Calendar,Z660,NDays&amp;"D")</f>
        <v>43794</v>
      </c>
      <c r="AB660" s="92">
        <v>1.1547460511553122E-2</v>
      </c>
      <c r="AC660" s="101">
        <v>1.0720867167144377E-2</v>
      </c>
    </row>
    <row r="661" spans="25:29" x14ac:dyDescent="0.2">
      <c r="Y661" s="105" t="str">
        <f t="shared" ref="Y661:Y724" si="44">Y660</f>
        <v>1w</v>
      </c>
      <c r="Z661" s="93">
        <f>_xll.qlCalendarAdvance(Calendar,Z660,Y661,"f",FALSE)</f>
        <v>43797</v>
      </c>
      <c r="AA661" s="117">
        <f>_xll.qlCalendarAdvance(Calendar,Z661,NDays&amp;"D")</f>
        <v>43801</v>
      </c>
      <c r="AB661" s="92">
        <v>1.1612241696168223E-2</v>
      </c>
      <c r="AC661" s="101">
        <v>1.0784471930440631E-2</v>
      </c>
    </row>
    <row r="662" spans="25:29" x14ac:dyDescent="0.2">
      <c r="Y662" s="105" t="str">
        <f t="shared" si="44"/>
        <v>1w</v>
      </c>
      <c r="Z662" s="93">
        <f>_xll.qlCalendarAdvance(Calendar,Z661,Y662,"f",FALSE)</f>
        <v>43804</v>
      </c>
      <c r="AA662" s="117">
        <f>_xll.qlCalendarAdvance(Calendar,Z662,NDays&amp;"D")</f>
        <v>43808</v>
      </c>
      <c r="AB662" s="92">
        <v>1.1672325957491913E-2</v>
      </c>
      <c r="AC662" s="101">
        <v>1.0847800118334305E-2</v>
      </c>
    </row>
    <row r="663" spans="25:29" x14ac:dyDescent="0.2">
      <c r="Y663" s="105" t="str">
        <f t="shared" si="44"/>
        <v>1w</v>
      </c>
      <c r="Z663" s="93">
        <f>_xll.qlCalendarAdvance(Calendar,Z662,Y663,"f",FALSE)</f>
        <v>43811</v>
      </c>
      <c r="AA663" s="117">
        <f>_xll.qlCalendarAdvance(Calendar,Z663,NDays&amp;"D")</f>
        <v>43815</v>
      </c>
      <c r="AB663" s="92">
        <v>1.173213381522837E-2</v>
      </c>
      <c r="AC663" s="101">
        <v>1.0910851730425719E-2</v>
      </c>
    </row>
    <row r="664" spans="25:29" x14ac:dyDescent="0.2">
      <c r="Y664" s="105" t="str">
        <f t="shared" si="44"/>
        <v>1w</v>
      </c>
      <c r="Z664" s="93">
        <f>_xll.qlCalendarAdvance(Calendar,Z663,Y664,"f",FALSE)</f>
        <v>43818</v>
      </c>
      <c r="AA664" s="117">
        <f>_xll.qlCalendarAdvance(Calendar,Z664,NDays&amp;"D")</f>
        <v>43822</v>
      </c>
      <c r="AB664" s="92">
        <v>1.1791665244207784E-2</v>
      </c>
      <c r="AC664" s="101">
        <v>1.0973626766714872E-2</v>
      </c>
    </row>
    <row r="665" spans="25:29" x14ac:dyDescent="0.2">
      <c r="Y665" s="105" t="str">
        <f t="shared" si="44"/>
        <v>1w</v>
      </c>
      <c r="Z665" s="93">
        <f>_xll.qlCalendarAdvance(Calendar,Z664,Y665,"f",FALSE)</f>
        <v>43826</v>
      </c>
      <c r="AA665" s="117">
        <f>_xll.qlCalendarAdvance(Calendar,Z665,NDays&amp;"D")</f>
        <v>43830</v>
      </c>
      <c r="AB665" s="92">
        <v>1.1855033688169257E-2</v>
      </c>
      <c r="AC665" s="101">
        <v>1.1049650636314468E-2</v>
      </c>
    </row>
    <row r="666" spans="25:29" x14ac:dyDescent="0.2">
      <c r="Y666" s="105" t="str">
        <f t="shared" si="44"/>
        <v>1w</v>
      </c>
      <c r="Z666" s="93">
        <f>_xll.qlCalendarAdvance(Calendar,Z665,Y666,"f",FALSE)</f>
        <v>43833</v>
      </c>
      <c r="AA666" s="117">
        <f>_xll.qlCalendarAdvance(Calendar,Z666,NDays&amp;"D")</f>
        <v>43837</v>
      </c>
      <c r="AB666" s="92">
        <v>1.1913991044015425E-2</v>
      </c>
      <c r="AC666" s="101">
        <v>1.1107213373930946E-2</v>
      </c>
    </row>
    <row r="667" spans="25:29" x14ac:dyDescent="0.2">
      <c r="Y667" s="105" t="str">
        <f t="shared" si="44"/>
        <v>1w</v>
      </c>
      <c r="Z667" s="93">
        <f>_xll.qlCalendarAdvance(Calendar,Z666,Y667,"f",FALSE)</f>
        <v>43840</v>
      </c>
      <c r="AA667" s="117">
        <f>_xll.qlCalendarAdvance(Calendar,Z667,NDays&amp;"D")</f>
        <v>43844</v>
      </c>
      <c r="AB667" s="92">
        <v>1.1972678359840044E-2</v>
      </c>
      <c r="AC667" s="101">
        <v>1.1169119170819641E-2</v>
      </c>
    </row>
    <row r="668" spans="25:29" x14ac:dyDescent="0.2">
      <c r="Y668" s="105" t="str">
        <f t="shared" si="44"/>
        <v>1w</v>
      </c>
      <c r="Z668" s="93">
        <f>_xll.qlCalendarAdvance(Calendar,Z667,Y668,"f",FALSE)</f>
        <v>43847</v>
      </c>
      <c r="AA668" s="117">
        <f>_xll.qlCalendarAdvance(Calendar,Z668,NDays&amp;"D")</f>
        <v>43851</v>
      </c>
      <c r="AB668" s="92">
        <v>1.2031104579945549E-2</v>
      </c>
      <c r="AC668" s="101">
        <v>1.1230748391346523E-2</v>
      </c>
    </row>
    <row r="669" spans="25:29" x14ac:dyDescent="0.2">
      <c r="Y669" s="105" t="str">
        <f t="shared" si="44"/>
        <v>1w</v>
      </c>
      <c r="Z669" s="93">
        <f>_xll.qlCalendarAdvance(Calendar,Z668,Y669,"f",FALSE)</f>
        <v>43854</v>
      </c>
      <c r="AA669" s="117">
        <f>_xll.qlCalendarAdvance(Calendar,Z669,NDays&amp;"D")</f>
        <v>43858</v>
      </c>
      <c r="AB669" s="92">
        <v>1.2089278684790958E-2</v>
      </c>
      <c r="AC669" s="101">
        <v>1.1292101035111912E-2</v>
      </c>
    </row>
    <row r="670" spans="25:29" x14ac:dyDescent="0.2">
      <c r="Y670" s="105" t="str">
        <f t="shared" si="44"/>
        <v>1w</v>
      </c>
      <c r="Z670" s="93">
        <f>_xll.qlCalendarAdvance(Calendar,Z669,Y670,"f",FALSE)</f>
        <v>43861</v>
      </c>
      <c r="AA670" s="117">
        <f>_xll.qlCalendarAdvance(Calendar,Z670,NDays&amp;"D")</f>
        <v>43865</v>
      </c>
      <c r="AB670" s="92">
        <v>1.214720965598645E-2</v>
      </c>
      <c r="AC670" s="101">
        <v>1.1353177102195744E-2</v>
      </c>
    </row>
    <row r="671" spans="25:29" x14ac:dyDescent="0.2">
      <c r="Y671" s="105" t="str">
        <f t="shared" si="44"/>
        <v>1w</v>
      </c>
      <c r="Z671" s="93">
        <f>_xll.qlCalendarAdvance(Calendar,Z670,Y671,"f",FALSE)</f>
        <v>43868</v>
      </c>
      <c r="AA671" s="117">
        <f>_xll.qlCalendarAdvance(Calendar,Z671,NDays&amp;"D")</f>
        <v>43872</v>
      </c>
      <c r="AB671" s="92">
        <v>1.2204906476281955E-2</v>
      </c>
      <c r="AC671" s="101">
        <v>1.1413976592438146E-2</v>
      </c>
    </row>
    <row r="672" spans="25:29" x14ac:dyDescent="0.2">
      <c r="Y672" s="105" t="str">
        <f t="shared" si="44"/>
        <v>1w</v>
      </c>
      <c r="Z672" s="93">
        <f>_xll.qlCalendarAdvance(Calendar,Z671,Y672,"f",FALSE)</f>
        <v>43875</v>
      </c>
      <c r="AA672" s="117">
        <f>_xll.qlCalendarAdvance(Calendar,Z672,NDays&amp;"D")</f>
        <v>43879</v>
      </c>
      <c r="AB672" s="92">
        <v>1.2262378129556167E-2</v>
      </c>
      <c r="AC672" s="101">
        <v>1.1474499505599312E-2</v>
      </c>
    </row>
    <row r="673" spans="25:29" x14ac:dyDescent="0.2">
      <c r="Y673" s="105" t="str">
        <f t="shared" si="44"/>
        <v>1w</v>
      </c>
      <c r="Z673" s="93">
        <f>_xll.qlCalendarAdvance(Calendar,Z672,Y673,"f",FALSE)</f>
        <v>43882</v>
      </c>
      <c r="AA673" s="117">
        <f>_xll.qlCalendarAdvance(Calendar,Z673,NDays&amp;"D")</f>
        <v>43886</v>
      </c>
      <c r="AB673" s="92">
        <v>1.231963360080645E-2</v>
      </c>
      <c r="AC673" s="101">
        <v>1.1534745841679239E-2</v>
      </c>
    </row>
    <row r="674" spans="25:29" x14ac:dyDescent="0.2">
      <c r="Y674" s="105" t="str">
        <f t="shared" si="44"/>
        <v>1w</v>
      </c>
      <c r="Z674" s="93">
        <f>_xll.qlCalendarAdvance(Calendar,Z673,Y674,"f",FALSE)</f>
        <v>43889</v>
      </c>
      <c r="AA674" s="117">
        <f>_xll.qlCalendarAdvance(Calendar,Z674,NDays&amp;"D")</f>
        <v>43893</v>
      </c>
      <c r="AB674" s="92">
        <v>1.2385106570528126E-2</v>
      </c>
      <c r="AC674" s="101">
        <v>1.1594715600358185E-2</v>
      </c>
    </row>
    <row r="675" spans="25:29" x14ac:dyDescent="0.2">
      <c r="Y675" s="105" t="str">
        <f t="shared" si="44"/>
        <v>1w</v>
      </c>
      <c r="Z675" s="93">
        <f>_xll.qlCalendarAdvance(Calendar,Z674,Y675,"f",FALSE)</f>
        <v>43896</v>
      </c>
      <c r="AA675" s="117">
        <f>_xll.qlCalendarAdvance(Calendar,Z675,NDays&amp;"D")</f>
        <v>43900</v>
      </c>
      <c r="AB675" s="92">
        <v>1.2441940666880759E-2</v>
      </c>
      <c r="AC675" s="101">
        <v>1.165440878163615E-2</v>
      </c>
    </row>
    <row r="676" spans="25:29" x14ac:dyDescent="0.2">
      <c r="Y676" s="105" t="str">
        <f t="shared" si="44"/>
        <v>1w</v>
      </c>
      <c r="Z676" s="93">
        <f>_xll.qlCalendarAdvance(Calendar,Z675,Y676,"f",FALSE)</f>
        <v>43903</v>
      </c>
      <c r="AA676" s="117">
        <f>_xll.qlCalendarAdvance(Calendar,Z676,NDays&amp;"D")</f>
        <v>43907</v>
      </c>
      <c r="AB676" s="92">
        <v>1.2498587139879147E-2</v>
      </c>
      <c r="AC676" s="101">
        <v>1.171382538535326E-2</v>
      </c>
    </row>
    <row r="677" spans="25:29" x14ac:dyDescent="0.2">
      <c r="Y677" s="105" t="str">
        <f t="shared" si="44"/>
        <v>1w</v>
      </c>
      <c r="Z677" s="93">
        <f>_xll.qlCalendarAdvance(Calendar,Z676,Y677,"f",FALSE)</f>
        <v>43910</v>
      </c>
      <c r="AA677" s="117">
        <f>_xll.qlCalendarAdvance(Calendar,Z677,NDays&amp;"D")</f>
        <v>43914</v>
      </c>
      <c r="AB677" s="92">
        <v>1.2555054881630339E-2</v>
      </c>
      <c r="AC677" s="101">
        <v>1.1772965411429581E-2</v>
      </c>
    </row>
    <row r="678" spans="25:29" x14ac:dyDescent="0.2">
      <c r="Y678" s="105" t="str">
        <f t="shared" si="44"/>
        <v>1w</v>
      </c>
      <c r="Z678" s="93">
        <f>_xll.qlCalendarAdvance(Calendar,Z677,Y678,"f",FALSE)</f>
        <v>43917</v>
      </c>
      <c r="AA678" s="117">
        <f>_xll.qlCalendarAdvance(Calendar,Z678,NDays&amp;"D")</f>
        <v>43921</v>
      </c>
      <c r="AB678" s="92">
        <v>1.2607167891903621E-2</v>
      </c>
      <c r="AC678" s="101">
        <v>1.1831828859465432E-2</v>
      </c>
    </row>
    <row r="679" spans="25:29" x14ac:dyDescent="0.2">
      <c r="Y679" s="105" t="str">
        <f t="shared" si="44"/>
        <v>1w</v>
      </c>
      <c r="Z679" s="93">
        <f>_xll.qlCalendarAdvance(Calendar,Z678,Y679,"f",FALSE)</f>
        <v>43924</v>
      </c>
      <c r="AA679" s="117">
        <f>_xll.qlCalendarAdvance(Calendar,Z679,NDays&amp;"D")</f>
        <v>43928</v>
      </c>
      <c r="AB679" s="92">
        <v>1.2663309912321133E-2</v>
      </c>
      <c r="AC679" s="101">
        <v>1.1890415729700621E-2</v>
      </c>
    </row>
    <row r="680" spans="25:29" x14ac:dyDescent="0.2">
      <c r="Y680" s="105" t="str">
        <f t="shared" si="44"/>
        <v>1w</v>
      </c>
      <c r="Z680" s="93">
        <f>_xll.qlCalendarAdvance(Calendar,Z679,Y680,"f",FALSE)</f>
        <v>43935</v>
      </c>
      <c r="AA680" s="117">
        <f>_xll.qlCalendarAdvance(Calendar,Z680,NDays&amp;"D")</f>
        <v>43937</v>
      </c>
      <c r="AB680" s="92">
        <v>1.2735269460773989E-2</v>
      </c>
      <c r="AC680" s="101">
        <v>1.1965335305124114E-2</v>
      </c>
    </row>
    <row r="681" spans="25:29" x14ac:dyDescent="0.2">
      <c r="Y681" s="105" t="str">
        <f t="shared" si="44"/>
        <v>1w</v>
      </c>
      <c r="Z681" s="93">
        <f>_xll.qlCalendarAdvance(Calendar,Z680,Y681,"f",FALSE)</f>
        <v>43942</v>
      </c>
      <c r="AA681" s="117">
        <f>_xll.qlCalendarAdvance(Calendar,Z681,NDays&amp;"D")</f>
        <v>43944</v>
      </c>
      <c r="AB681" s="92">
        <v>1.2791075712026024E-2</v>
      </c>
      <c r="AC681" s="101">
        <v>1.2023289996569986E-2</v>
      </c>
    </row>
    <row r="682" spans="25:29" x14ac:dyDescent="0.2">
      <c r="Y682" s="105" t="str">
        <f t="shared" si="44"/>
        <v>1w</v>
      </c>
      <c r="Z682" s="93">
        <f>_xll.qlCalendarAdvance(Calendar,Z681,Y682,"f",FALSE)</f>
        <v>43949</v>
      </c>
      <c r="AA682" s="117">
        <f>_xll.qlCalendarAdvance(Calendar,Z682,NDays&amp;"D")</f>
        <v>43951</v>
      </c>
      <c r="AB682" s="92">
        <v>1.2846749760633597E-2</v>
      </c>
      <c r="AC682" s="101">
        <v>1.2093897572595935E-2</v>
      </c>
    </row>
    <row r="683" spans="25:29" x14ac:dyDescent="0.2">
      <c r="Y683" s="105" t="str">
        <f t="shared" si="44"/>
        <v>1w</v>
      </c>
      <c r="Z683" s="93">
        <f>_xll.qlCalendarAdvance(Calendar,Z682,Y683,"f",FALSE)</f>
        <v>43956</v>
      </c>
      <c r="AA683" s="117">
        <f>_xll.qlCalendarAdvance(Calendar,Z683,NDays&amp;"D")</f>
        <v>43958</v>
      </c>
      <c r="AB683" s="92">
        <v>1.2914793447797784E-2</v>
      </c>
      <c r="AC683" s="101">
        <v>1.2138369644061342E-2</v>
      </c>
    </row>
    <row r="684" spans="25:29" x14ac:dyDescent="0.2">
      <c r="Y684" s="105" t="str">
        <f t="shared" si="44"/>
        <v>1w</v>
      </c>
      <c r="Z684" s="93">
        <f>_xll.qlCalendarAdvance(Calendar,Z683,Y684,"f",FALSE)</f>
        <v>43963</v>
      </c>
      <c r="AA684" s="117">
        <f>_xll.qlCalendarAdvance(Calendar,Z684,NDays&amp;"D")</f>
        <v>43965</v>
      </c>
      <c r="AB684" s="92">
        <v>1.2970222681024763E-2</v>
      </c>
      <c r="AC684" s="101">
        <v>1.2195494599787082E-2</v>
      </c>
    </row>
    <row r="685" spans="25:29" x14ac:dyDescent="0.2">
      <c r="Y685" s="105" t="str">
        <f t="shared" si="44"/>
        <v>1w</v>
      </c>
      <c r="Z685" s="93">
        <f>_xll.qlCalendarAdvance(Calendar,Z684,Y685,"f",FALSE)</f>
        <v>43970</v>
      </c>
      <c r="AA685" s="117">
        <f>_xll.qlCalendarAdvance(Calendar,Z685,NDays&amp;"D")</f>
        <v>43972</v>
      </c>
      <c r="AB685" s="92">
        <v>1.3025547580222584E-2</v>
      </c>
      <c r="AC685" s="101">
        <v>1.2252342976672992E-2</v>
      </c>
    </row>
    <row r="686" spans="25:29" x14ac:dyDescent="0.2">
      <c r="Y686" s="105" t="str">
        <f t="shared" si="44"/>
        <v>1w</v>
      </c>
      <c r="Z686" s="93">
        <f>_xll.qlCalendarAdvance(Calendar,Z685,Y686,"f",FALSE)</f>
        <v>43977</v>
      </c>
      <c r="AA686" s="117">
        <f>_xll.qlCalendarAdvance(Calendar,Z686,NDays&amp;"D")</f>
        <v>43979</v>
      </c>
      <c r="AB686" s="92">
        <v>1.3080776952008186E-2</v>
      </c>
      <c r="AC686" s="101">
        <v>1.2308914774639135E-2</v>
      </c>
    </row>
    <row r="687" spans="25:29" x14ac:dyDescent="0.2">
      <c r="Y687" s="105" t="str">
        <f t="shared" si="44"/>
        <v>1w</v>
      </c>
      <c r="Z687" s="93">
        <f>_xll.qlCalendarAdvance(Calendar,Z686,Y687,"f",FALSE)</f>
        <v>43984</v>
      </c>
      <c r="AA687" s="117">
        <f>_xll.qlCalendarAdvance(Calendar,Z687,NDays&amp;"D")</f>
        <v>43986</v>
      </c>
      <c r="AB687" s="92">
        <v>1.3123450148245076E-2</v>
      </c>
      <c r="AC687" s="101">
        <v>1.2365209993525639E-2</v>
      </c>
    </row>
    <row r="688" spans="25:29" x14ac:dyDescent="0.2">
      <c r="Y688" s="105" t="str">
        <f t="shared" si="44"/>
        <v>1w</v>
      </c>
      <c r="Z688" s="93">
        <f>_xll.qlCalendarAdvance(Calendar,Z687,Y688,"f",FALSE)</f>
        <v>43991</v>
      </c>
      <c r="AA688" s="117">
        <f>_xll.qlCalendarAdvance(Calendar,Z688,NDays&amp;"D")</f>
        <v>43993</v>
      </c>
      <c r="AB688" s="92">
        <v>1.3178518905830975E-2</v>
      </c>
      <c r="AC688" s="101">
        <v>1.2421228633172632E-2</v>
      </c>
    </row>
    <row r="689" spans="25:29" x14ac:dyDescent="0.2">
      <c r="Y689" s="105" t="str">
        <f t="shared" si="44"/>
        <v>1w</v>
      </c>
      <c r="Z689" s="93">
        <f>_xll.qlCalendarAdvance(Calendar,Z688,Y689,"f",FALSE)</f>
        <v>43998</v>
      </c>
      <c r="AA689" s="117">
        <f>_xll.qlCalendarAdvance(Calendar,Z689,NDays&amp;"D")</f>
        <v>44000</v>
      </c>
      <c r="AB689" s="92">
        <v>1.3233518111882505E-2</v>
      </c>
      <c r="AC689" s="101">
        <v>1.2476970693580114E-2</v>
      </c>
    </row>
    <row r="690" spans="25:29" x14ac:dyDescent="0.2">
      <c r="Y690" s="105" t="str">
        <f t="shared" si="44"/>
        <v>1w</v>
      </c>
      <c r="Z690" s="93">
        <f>_xll.qlCalendarAdvance(Calendar,Z689,Y690,"f",FALSE)</f>
        <v>44005</v>
      </c>
      <c r="AA690" s="117">
        <f>_xll.qlCalendarAdvance(Calendar,Z690,NDays&amp;"D")</f>
        <v>44007</v>
      </c>
      <c r="AB690" s="92">
        <v>1.3300915332812014E-2</v>
      </c>
      <c r="AC690" s="101">
        <v>1.2532436174428341E-2</v>
      </c>
    </row>
    <row r="691" spans="25:29" x14ac:dyDescent="0.2">
      <c r="Y691" s="105" t="str">
        <f t="shared" si="44"/>
        <v>1w</v>
      </c>
      <c r="Z691" s="93">
        <f>_xll.qlCalendarAdvance(Calendar,Z690,Y691,"f",FALSE)</f>
        <v>44012</v>
      </c>
      <c r="AA691" s="117">
        <f>_xll.qlCalendarAdvance(Calendar,Z691,NDays&amp;"D")</f>
        <v>44014</v>
      </c>
      <c r="AB691" s="92">
        <v>1.3355799202176966E-2</v>
      </c>
      <c r="AC691" s="101">
        <v>1.2587625867084284E-2</v>
      </c>
    </row>
    <row r="692" spans="25:29" x14ac:dyDescent="0.2">
      <c r="Y692" s="105" t="str">
        <f t="shared" si="44"/>
        <v>1w</v>
      </c>
      <c r="Z692" s="93">
        <f>_xll.qlCalendarAdvance(Calendar,Z691,Y692,"f",FALSE)</f>
        <v>44019</v>
      </c>
      <c r="AA692" s="117">
        <f>_xll.qlCalendarAdvance(Calendar,Z692,NDays&amp;"D")</f>
        <v>44021</v>
      </c>
      <c r="AB692" s="92">
        <v>1.3410638935496561E-2</v>
      </c>
      <c r="AC692" s="101">
        <v>1.2642671147817808E-2</v>
      </c>
    </row>
    <row r="693" spans="25:29" x14ac:dyDescent="0.2">
      <c r="Y693" s="105" t="str">
        <f t="shared" si="44"/>
        <v>1w</v>
      </c>
      <c r="Z693" s="93">
        <f>_xll.qlCalendarAdvance(Calendar,Z692,Y693,"f",FALSE)</f>
        <v>44026</v>
      </c>
      <c r="AA693" s="117">
        <f>_xll.qlCalendarAdvance(Calendar,Z693,NDays&amp;"D")</f>
        <v>44028</v>
      </c>
      <c r="AB693" s="92">
        <v>1.3465435998512736E-2</v>
      </c>
      <c r="AC693" s="101">
        <v>1.269767252750853E-2</v>
      </c>
    </row>
    <row r="694" spans="25:29" x14ac:dyDescent="0.2">
      <c r="Y694" s="105" t="str">
        <f t="shared" si="44"/>
        <v>1w</v>
      </c>
      <c r="Z694" s="93">
        <f>_xll.qlCalendarAdvance(Calendar,Z693,Y694,"f",FALSE)</f>
        <v>44033</v>
      </c>
      <c r="AA694" s="117">
        <f>_xll.qlCalendarAdvance(Calendar,Z694,NDays&amp;"D")</f>
        <v>44035</v>
      </c>
      <c r="AB694" s="92">
        <v>1.3520190387540267E-2</v>
      </c>
      <c r="AC694" s="101">
        <v>1.2752630005996579E-2</v>
      </c>
    </row>
    <row r="695" spans="25:29" x14ac:dyDescent="0.2">
      <c r="Y695" s="105" t="str">
        <f t="shared" si="44"/>
        <v>1w</v>
      </c>
      <c r="Z695" s="93">
        <f>_xll.qlCalendarAdvance(Calendar,Z694,Y695,"f",FALSE)</f>
        <v>44040</v>
      </c>
      <c r="AA695" s="117">
        <f>_xll.qlCalendarAdvance(Calendar,Z695,NDays&amp;"D")</f>
        <v>44042</v>
      </c>
      <c r="AB695" s="92">
        <v>1.3562458683764636E-2</v>
      </c>
      <c r="AC695" s="101">
        <v>1.2807543583281955E-2</v>
      </c>
    </row>
    <row r="696" spans="25:29" x14ac:dyDescent="0.2">
      <c r="Y696" s="105" t="str">
        <f t="shared" si="44"/>
        <v>1w</v>
      </c>
      <c r="Z696" s="93">
        <f>_xll.qlCalendarAdvance(Calendar,Z695,Y696,"f",FALSE)</f>
        <v>44047</v>
      </c>
      <c r="AA696" s="117">
        <f>_xll.qlCalendarAdvance(Calendar,Z696,NDays&amp;"D")</f>
        <v>44049</v>
      </c>
      <c r="AB696" s="92">
        <v>1.3629571128899247E-2</v>
      </c>
      <c r="AC696" s="101">
        <v>1.2862413259364658E-2</v>
      </c>
    </row>
    <row r="697" spans="25:29" x14ac:dyDescent="0.2">
      <c r="Y697" s="105" t="str">
        <f t="shared" si="44"/>
        <v>1w</v>
      </c>
      <c r="Z697" s="93">
        <f>_xll.qlCalendarAdvance(Calendar,Z696,Y697,"f",FALSE)</f>
        <v>44054</v>
      </c>
      <c r="AA697" s="117">
        <f>_xll.qlCalendarAdvance(Calendar,Z697,NDays&amp;"D")</f>
        <v>44056</v>
      </c>
      <c r="AB697" s="92">
        <v>1.3684197473872279E-2</v>
      </c>
      <c r="AC697" s="101">
        <v>1.2917239034244687E-2</v>
      </c>
    </row>
    <row r="698" spans="25:29" x14ac:dyDescent="0.2">
      <c r="Y698" s="105" t="str">
        <f t="shared" si="44"/>
        <v>1w</v>
      </c>
      <c r="Z698" s="93">
        <f>_xll.qlCalendarAdvance(Calendar,Z697,Y698,"f",FALSE)</f>
        <v>44061</v>
      </c>
      <c r="AA698" s="117">
        <f>_xll.qlCalendarAdvance(Calendar,Z698,NDays&amp;"D")</f>
        <v>44063</v>
      </c>
      <c r="AB698" s="92">
        <v>1.3738781130140267E-2</v>
      </c>
      <c r="AC698" s="101">
        <v>1.2972020907922044E-2</v>
      </c>
    </row>
    <row r="699" spans="25:29" x14ac:dyDescent="0.2">
      <c r="Y699" s="105" t="str">
        <f t="shared" si="44"/>
        <v>1w</v>
      </c>
      <c r="Z699" s="93">
        <f>_xll.qlCalendarAdvance(Calendar,Z698,Y699,"f",FALSE)</f>
        <v>44068</v>
      </c>
      <c r="AA699" s="117">
        <f>_xll.qlCalendarAdvance(Calendar,Z699,NDays&amp;"D")</f>
        <v>44070</v>
      </c>
      <c r="AB699" s="92">
        <v>1.378089047214698E-2</v>
      </c>
      <c r="AC699" s="101">
        <v>1.3026758880316791E-2</v>
      </c>
    </row>
    <row r="700" spans="25:29" x14ac:dyDescent="0.2">
      <c r="Y700" s="105" t="str">
        <f t="shared" si="44"/>
        <v>1w</v>
      </c>
      <c r="Z700" s="93">
        <f>_xll.qlCalendarAdvance(Calendar,Z699,Y700,"f",FALSE)</f>
        <v>44075</v>
      </c>
      <c r="AA700" s="117">
        <f>_xll.qlCalendarAdvance(Calendar,Z700,NDays&amp;"D")</f>
        <v>44077</v>
      </c>
      <c r="AB700" s="92">
        <v>1.3827105879869361E-2</v>
      </c>
      <c r="AC700" s="101">
        <v>1.3081452951428929E-2</v>
      </c>
    </row>
    <row r="701" spans="25:29" x14ac:dyDescent="0.2">
      <c r="Y701" s="105" t="str">
        <f t="shared" si="44"/>
        <v>1w</v>
      </c>
      <c r="Z701" s="93">
        <f>_xll.qlCalendarAdvance(Calendar,Z700,Y701,"f",FALSE)</f>
        <v>44082</v>
      </c>
      <c r="AA701" s="117">
        <f>_xll.qlCalendarAdvance(Calendar,Z701,NDays&amp;"D")</f>
        <v>44084</v>
      </c>
      <c r="AB701" s="92">
        <v>1.38815662562375E-2</v>
      </c>
      <c r="AC701" s="101">
        <v>1.3136103121258458E-2</v>
      </c>
    </row>
    <row r="702" spans="25:29" x14ac:dyDescent="0.2">
      <c r="Y702" s="105" t="str">
        <f t="shared" si="44"/>
        <v>1w</v>
      </c>
      <c r="Z702" s="93">
        <f>_xll.qlCalendarAdvance(Calendar,Z701,Y702,"f",FALSE)</f>
        <v>44089</v>
      </c>
      <c r="AA702" s="117">
        <f>_xll.qlCalendarAdvance(Calendar,Z702,NDays&amp;"D")</f>
        <v>44091</v>
      </c>
      <c r="AB702" s="92">
        <v>1.3935983897863928E-2</v>
      </c>
      <c r="AC702" s="101">
        <v>1.3190709389805377E-2</v>
      </c>
    </row>
    <row r="703" spans="25:29" x14ac:dyDescent="0.2">
      <c r="Y703" s="105" t="str">
        <f t="shared" si="44"/>
        <v>1w</v>
      </c>
      <c r="Z703" s="93">
        <f>_xll.qlCalendarAdvance(Calendar,Z702,Y703,"f",FALSE)</f>
        <v>44096</v>
      </c>
      <c r="AA703" s="117">
        <f>_xll.qlCalendarAdvance(Calendar,Z703,NDays&amp;"D")</f>
        <v>44098</v>
      </c>
      <c r="AB703" s="92">
        <v>1.3990358801184202E-2</v>
      </c>
      <c r="AC703" s="101">
        <v>1.3245271757069688E-2</v>
      </c>
    </row>
    <row r="704" spans="25:29" x14ac:dyDescent="0.2">
      <c r="Y704" s="105" t="str">
        <f t="shared" si="44"/>
        <v>1w</v>
      </c>
      <c r="Z704" s="93">
        <f>_xll.qlCalendarAdvance(Calendar,Z703,Y704,"f",FALSE)</f>
        <v>44103</v>
      </c>
      <c r="AA704" s="117">
        <f>_xll.qlCalendarAdvance(Calendar,Z704,NDays&amp;"D")</f>
        <v>44105</v>
      </c>
      <c r="AB704" s="92">
        <v>1.4048830020963741E-2</v>
      </c>
      <c r="AC704" s="101">
        <v>1.3299790222811581E-2</v>
      </c>
    </row>
    <row r="705" spans="25:29" x14ac:dyDescent="0.2">
      <c r="Y705" s="105" t="str">
        <f t="shared" si="44"/>
        <v>1w</v>
      </c>
      <c r="Z705" s="93">
        <f>_xll.qlCalendarAdvance(Calendar,Z704,Y705,"f",FALSE)</f>
        <v>44110</v>
      </c>
      <c r="AA705" s="117">
        <f>_xll.qlCalendarAdvance(Calendar,Z705,NDays&amp;"D")</f>
        <v>44112</v>
      </c>
      <c r="AB705" s="92">
        <v>1.4103118498359463E-2</v>
      </c>
      <c r="AC705" s="101">
        <v>1.33542647873508E-2</v>
      </c>
    </row>
    <row r="706" spans="25:29" x14ac:dyDescent="0.2">
      <c r="Y706" s="105" t="str">
        <f t="shared" si="44"/>
        <v>1w</v>
      </c>
      <c r="Z706" s="93">
        <f>_xll.qlCalendarAdvance(Calendar,Z705,Y706,"f",FALSE)</f>
        <v>44117</v>
      </c>
      <c r="AA706" s="117">
        <f>_xll.qlCalendarAdvance(Calendar,Z706,NDays&amp;"D")</f>
        <v>44119</v>
      </c>
      <c r="AB706" s="92">
        <v>1.4157364232973564E-2</v>
      </c>
      <c r="AC706" s="101">
        <v>1.3408695450447539E-2</v>
      </c>
    </row>
    <row r="707" spans="25:29" x14ac:dyDescent="0.2">
      <c r="Y707" s="105" t="str">
        <f t="shared" si="44"/>
        <v>1w</v>
      </c>
      <c r="Z707" s="93">
        <f>_xll.qlCalendarAdvance(Calendar,Z706,Y707,"f",FALSE)</f>
        <v>44124</v>
      </c>
      <c r="AA707" s="117">
        <f>_xll.qlCalendarAdvance(Calendar,Z707,NDays&amp;"D")</f>
        <v>44126</v>
      </c>
      <c r="AB707" s="92">
        <v>1.4211567221235274E-2</v>
      </c>
      <c r="AC707" s="101">
        <v>1.346308221202186E-2</v>
      </c>
    </row>
    <row r="708" spans="25:29" x14ac:dyDescent="0.2">
      <c r="Y708" s="105" t="str">
        <f t="shared" si="44"/>
        <v>1w</v>
      </c>
      <c r="Z708" s="93">
        <f>_xll.qlCalendarAdvance(Calendar,Z707,Y708,"f",FALSE)</f>
        <v>44131</v>
      </c>
      <c r="AA708" s="117">
        <f>_xll.qlCalendarAdvance(Calendar,Z708,NDays&amp;"D")</f>
        <v>44133</v>
      </c>
      <c r="AB708" s="92">
        <v>1.42657274595747E-2</v>
      </c>
      <c r="AC708" s="101">
        <v>1.3517425072313571E-2</v>
      </c>
    </row>
    <row r="709" spans="25:29" x14ac:dyDescent="0.2">
      <c r="Y709" s="105" t="str">
        <f t="shared" si="44"/>
        <v>1w</v>
      </c>
      <c r="Z709" s="93">
        <f>_xll.qlCalendarAdvance(Calendar,Z708,Y709,"f",FALSE)</f>
        <v>44138</v>
      </c>
      <c r="AA709" s="117">
        <f>_xll.qlCalendarAdvance(Calendar,Z709,NDays&amp;"D")</f>
        <v>44140</v>
      </c>
      <c r="AB709" s="92">
        <v>1.4315710517459177E-2</v>
      </c>
      <c r="AC709" s="101">
        <v>1.357172403100293E-2</v>
      </c>
    </row>
    <row r="710" spans="25:29" x14ac:dyDescent="0.2">
      <c r="Y710" s="105" t="str">
        <f t="shared" si="44"/>
        <v>1w</v>
      </c>
      <c r="Z710" s="93">
        <f>_xll.qlCalendarAdvance(Calendar,Z709,Y710,"f",FALSE)</f>
        <v>44145</v>
      </c>
      <c r="AA710" s="117">
        <f>_xll.qlCalendarAdvance(Calendar,Z710,NDays&amp;"D")</f>
        <v>44147</v>
      </c>
      <c r="AB710" s="92">
        <v>1.4369786153083302E-2</v>
      </c>
      <c r="AC710" s="101">
        <v>1.3625979088409679E-2</v>
      </c>
    </row>
    <row r="711" spans="25:29" x14ac:dyDescent="0.2">
      <c r="Y711" s="105" t="str">
        <f t="shared" si="44"/>
        <v>1w</v>
      </c>
      <c r="Z711" s="93">
        <f>_xll.qlCalendarAdvance(Calendar,Z710,Y711,"f",FALSE)</f>
        <v>44152</v>
      </c>
      <c r="AA711" s="117">
        <f>_xll.qlCalendarAdvance(Calendar,Z711,NDays&amp;"D")</f>
        <v>44154</v>
      </c>
      <c r="AB711" s="92">
        <v>1.4423819021989083E-2</v>
      </c>
      <c r="AC711" s="101">
        <v>1.3680190244134138E-2</v>
      </c>
    </row>
    <row r="712" spans="25:29" x14ac:dyDescent="0.2">
      <c r="Y712" s="105" t="str">
        <f t="shared" si="44"/>
        <v>1w</v>
      </c>
      <c r="Z712" s="93">
        <f>_xll.qlCalendarAdvance(Calendar,Z711,Y712,"f",FALSE)</f>
        <v>44159</v>
      </c>
      <c r="AA712" s="117">
        <f>_xll.qlCalendarAdvance(Calendar,Z712,NDays&amp;"D")</f>
        <v>44161</v>
      </c>
      <c r="AB712" s="92">
        <v>1.4477809120638577E-2</v>
      </c>
      <c r="AC712" s="101">
        <v>1.3734357498416117E-2</v>
      </c>
    </row>
    <row r="713" spans="25:29" x14ac:dyDescent="0.2">
      <c r="Y713" s="105" t="str">
        <f t="shared" si="44"/>
        <v>1w</v>
      </c>
      <c r="Z713" s="93">
        <f>_xll.qlCalendarAdvance(Calendar,Z712,Y713,"f",FALSE)</f>
        <v>44166</v>
      </c>
      <c r="AA713" s="117">
        <f>_xll.qlCalendarAdvance(Calendar,Z713,NDays&amp;"D")</f>
        <v>44168</v>
      </c>
      <c r="AB713" s="92">
        <v>1.45358872776978E-2</v>
      </c>
      <c r="AC713" s="101">
        <v>1.3788480851175677E-2</v>
      </c>
    </row>
    <row r="714" spans="25:29" x14ac:dyDescent="0.2">
      <c r="Y714" s="105" t="str">
        <f t="shared" si="44"/>
        <v>1w</v>
      </c>
      <c r="Z714" s="93">
        <f>_xll.qlCalendarAdvance(Calendar,Z713,Y714,"f",FALSE)</f>
        <v>44173</v>
      </c>
      <c r="AA714" s="117">
        <f>_xll.qlCalendarAdvance(Calendar,Z714,NDays&amp;"D")</f>
        <v>44175</v>
      </c>
      <c r="AB714" s="92">
        <v>1.4589790941698747E-2</v>
      </c>
      <c r="AC714" s="101">
        <v>1.3842560302412821E-2</v>
      </c>
    </row>
    <row r="715" spans="25:29" x14ac:dyDescent="0.2">
      <c r="Y715" s="105" t="str">
        <f t="shared" si="44"/>
        <v>1w</v>
      </c>
      <c r="Z715" s="93">
        <f>_xll.qlCalendarAdvance(Calendar,Z714,Y715,"f",FALSE)</f>
        <v>44180</v>
      </c>
      <c r="AA715" s="117">
        <f>_xll.qlCalendarAdvance(Calendar,Z715,NDays&amp;"D")</f>
        <v>44182</v>
      </c>
      <c r="AB715" s="92">
        <v>1.4643651830867667E-2</v>
      </c>
      <c r="AC715" s="101">
        <v>1.3896595852047611E-2</v>
      </c>
    </row>
    <row r="716" spans="25:29" x14ac:dyDescent="0.2">
      <c r="Y716" s="105" t="str">
        <f t="shared" si="44"/>
        <v>1w</v>
      </c>
      <c r="Z716" s="93">
        <f>_xll.qlCalendarAdvance(Calendar,Z715,Y716,"f",FALSE)</f>
        <v>44187</v>
      </c>
      <c r="AA716" s="117">
        <f>_xll.qlCalendarAdvance(Calendar,Z716,NDays&amp;"D")</f>
        <v>44189</v>
      </c>
      <c r="AB716" s="92">
        <v>1.4697469941658383E-2</v>
      </c>
      <c r="AC716" s="101">
        <v>1.3962963145108809E-2</v>
      </c>
    </row>
    <row r="717" spans="25:29" x14ac:dyDescent="0.2">
      <c r="Y717" s="105" t="str">
        <f t="shared" si="44"/>
        <v>1w</v>
      </c>
      <c r="Z717" s="93">
        <f>_xll.qlCalendarAdvance(Calendar,Z716,Y717,"f",FALSE)</f>
        <v>44194</v>
      </c>
      <c r="AA717" s="117">
        <f>_xll.qlCalendarAdvance(Calendar,Z717,NDays&amp;"D")</f>
        <v>44196</v>
      </c>
      <c r="AB717" s="92">
        <v>1.4747117936353723E-2</v>
      </c>
      <c r="AC717" s="101">
        <v>1.4016907772214093E-2</v>
      </c>
    </row>
    <row r="718" spans="25:29" x14ac:dyDescent="0.2">
      <c r="Y718" s="105" t="str">
        <f t="shared" si="44"/>
        <v>1w</v>
      </c>
      <c r="Z718" s="93">
        <f>_xll.qlCalendarAdvance(Calendar,Z717,Y718,"f",FALSE)</f>
        <v>44201</v>
      </c>
      <c r="AA718" s="117">
        <f>_xll.qlCalendarAdvance(Calendar,Z718,NDays&amp;"D")</f>
        <v>44203</v>
      </c>
      <c r="AB718" s="92">
        <v>1.4800850868555964E-2</v>
      </c>
      <c r="AC718" s="101">
        <v>1.405843909133786E-2</v>
      </c>
    </row>
    <row r="719" spans="25:29" x14ac:dyDescent="0.2">
      <c r="Y719" s="105" t="str">
        <f t="shared" si="44"/>
        <v>1w</v>
      </c>
      <c r="Z719" s="93">
        <f>_xll.qlCalendarAdvance(Calendar,Z718,Y719,"f",FALSE)</f>
        <v>44208</v>
      </c>
      <c r="AA719" s="117">
        <f>_xll.qlCalendarAdvance(Calendar,Z719,NDays&amp;"D")</f>
        <v>44210</v>
      </c>
      <c r="AB719" s="92">
        <v>1.4854535439640663E-2</v>
      </c>
      <c r="AC719" s="101">
        <v>1.41122990344833E-2</v>
      </c>
    </row>
    <row r="720" spans="25:29" x14ac:dyDescent="0.2">
      <c r="Y720" s="105" t="str">
        <f t="shared" si="44"/>
        <v>1w</v>
      </c>
      <c r="Z720" s="93">
        <f>_xll.qlCalendarAdvance(Calendar,Z719,Y720,"f",FALSE)</f>
        <v>44215</v>
      </c>
      <c r="AA720" s="117">
        <f>_xll.qlCalendarAdvance(Calendar,Z720,NDays&amp;"D")</f>
        <v>44217</v>
      </c>
      <c r="AB720" s="92">
        <v>1.4908163925150283E-2</v>
      </c>
      <c r="AC720" s="101">
        <v>1.416611507594645E-2</v>
      </c>
    </row>
    <row r="721" spans="25:29" x14ac:dyDescent="0.2">
      <c r="Y721" s="105" t="str">
        <f t="shared" si="44"/>
        <v>1w</v>
      </c>
      <c r="Z721" s="93">
        <f>_xll.qlCalendarAdvance(Calendar,Z720,Y721,"f",FALSE)</f>
        <v>44222</v>
      </c>
      <c r="AA721" s="117">
        <f>_xll.qlCalendarAdvance(Calendar,Z721,NDays&amp;"D")</f>
        <v>44224</v>
      </c>
      <c r="AB721" s="92">
        <v>1.4961728569676133E-2</v>
      </c>
      <c r="AC721" s="101">
        <v>1.4219887215727312E-2</v>
      </c>
    </row>
    <row r="722" spans="25:29" x14ac:dyDescent="0.2">
      <c r="Y722" s="105" t="str">
        <f t="shared" si="44"/>
        <v>1w</v>
      </c>
      <c r="Z722" s="93">
        <f>_xll.qlCalendarAdvance(Calendar,Z721,Y722,"f",FALSE)</f>
        <v>44229</v>
      </c>
      <c r="AA722" s="117">
        <f>_xll.qlCalendarAdvance(Calendar,Z722,NDays&amp;"D")</f>
        <v>44231</v>
      </c>
      <c r="AB722" s="92">
        <v>1.5015221616985871E-2</v>
      </c>
      <c r="AC722" s="101">
        <v>1.4273615453825883E-2</v>
      </c>
    </row>
    <row r="723" spans="25:29" x14ac:dyDescent="0.2">
      <c r="Y723" s="105" t="str">
        <f t="shared" si="44"/>
        <v>1w</v>
      </c>
      <c r="Z723" s="93">
        <f>_xll.qlCalendarAdvance(Calendar,Z722,Y723,"f",FALSE)</f>
        <v>44236</v>
      </c>
      <c r="AA723" s="117">
        <f>_xll.qlCalendarAdvance(Calendar,Z723,NDays&amp;"D")</f>
        <v>44238</v>
      </c>
      <c r="AB723" s="92">
        <v>1.5068635310026597E-2</v>
      </c>
      <c r="AC723" s="101">
        <v>1.4327299790162229E-2</v>
      </c>
    </row>
    <row r="724" spans="25:29" x14ac:dyDescent="0.2">
      <c r="Y724" s="105" t="str">
        <f t="shared" si="44"/>
        <v>1w</v>
      </c>
      <c r="Z724" s="93">
        <f>_xll.qlCalendarAdvance(Calendar,Z723,Y724,"f",FALSE)</f>
        <v>44243</v>
      </c>
      <c r="AA724" s="117">
        <f>_xll.qlCalendarAdvance(Calendar,Z724,NDays&amp;"D")</f>
        <v>44245</v>
      </c>
      <c r="AB724" s="92">
        <v>1.512196189092971E-2</v>
      </c>
      <c r="AC724" s="101">
        <v>1.4380940224736349E-2</v>
      </c>
    </row>
    <row r="725" spans="25:29" x14ac:dyDescent="0.2">
      <c r="Y725" s="105" t="str">
        <f t="shared" ref="Y725:Y788" si="45">Y724</f>
        <v>1w</v>
      </c>
      <c r="Z725" s="93">
        <f>_xll.qlCalendarAdvance(Calendar,Z724,Y725,"f",FALSE)</f>
        <v>44250</v>
      </c>
      <c r="AA725" s="117">
        <f>_xll.qlCalendarAdvance(Calendar,Z725,NDays&amp;"D")</f>
        <v>44252</v>
      </c>
      <c r="AB725" s="92">
        <v>1.5175193601009138E-2</v>
      </c>
      <c r="AC725" s="101">
        <v>1.443453675762818E-2</v>
      </c>
    </row>
    <row r="726" spans="25:29" x14ac:dyDescent="0.2">
      <c r="Y726" s="105" t="str">
        <f t="shared" si="45"/>
        <v>1w</v>
      </c>
      <c r="Z726" s="93">
        <f>_xll.qlCalendarAdvance(Calendar,Z725,Y726,"f",FALSE)</f>
        <v>44257</v>
      </c>
      <c r="AA726" s="117">
        <f>_xll.qlCalendarAdvance(Calendar,Z726,NDays&amp;"D")</f>
        <v>44259</v>
      </c>
      <c r="AB726" s="92">
        <v>1.5248723027920078E-2</v>
      </c>
      <c r="AC726" s="101">
        <v>1.4488089388597913E-2</v>
      </c>
    </row>
    <row r="727" spans="25:29" x14ac:dyDescent="0.2">
      <c r="Y727" s="105" t="str">
        <f t="shared" si="45"/>
        <v>1w</v>
      </c>
      <c r="Z727" s="93">
        <f>_xll.qlCalendarAdvance(Calendar,Z726,Y727,"f",FALSE)</f>
        <v>44264</v>
      </c>
      <c r="AA727" s="117">
        <f>_xll.qlCalendarAdvance(Calendar,Z727,NDays&amp;"D")</f>
        <v>44266</v>
      </c>
      <c r="AB727" s="92">
        <v>1.5301694885650419E-2</v>
      </c>
      <c r="AC727" s="101">
        <v>1.4541598117885357E-2</v>
      </c>
    </row>
    <row r="728" spans="25:29" x14ac:dyDescent="0.2">
      <c r="Y728" s="105" t="str">
        <f t="shared" si="45"/>
        <v>1w</v>
      </c>
      <c r="Z728" s="93">
        <f>_xll.qlCalendarAdvance(Calendar,Z727,Y728,"f",FALSE)</f>
        <v>44271</v>
      </c>
      <c r="AA728" s="117">
        <f>_xll.qlCalendarAdvance(Calendar,Z728,NDays&amp;"D")</f>
        <v>44273</v>
      </c>
      <c r="AB728" s="92">
        <v>1.5354545236199238E-2</v>
      </c>
      <c r="AC728" s="101">
        <v>1.4595062945250703E-2</v>
      </c>
    </row>
    <row r="729" spans="25:29" x14ac:dyDescent="0.2">
      <c r="Y729" s="105" t="str">
        <f t="shared" si="45"/>
        <v>1w</v>
      </c>
      <c r="Z729" s="93">
        <f>_xll.qlCalendarAdvance(Calendar,Z728,Y729,"f",FALSE)</f>
        <v>44278</v>
      </c>
      <c r="AA729" s="117">
        <f>_xll.qlCalendarAdvance(Calendar,Z729,NDays&amp;"D")</f>
        <v>44280</v>
      </c>
      <c r="AB729" s="92">
        <v>1.5407266523861658E-2</v>
      </c>
      <c r="AC729" s="101">
        <v>1.4648483870773887E-2</v>
      </c>
    </row>
    <row r="730" spans="25:29" x14ac:dyDescent="0.2">
      <c r="Y730" s="105" t="str">
        <f t="shared" si="45"/>
        <v>1w</v>
      </c>
      <c r="Z730" s="93">
        <f>_xll.qlCalendarAdvance(Calendar,Z729,Y730,"f",FALSE)</f>
        <v>44285</v>
      </c>
      <c r="AA730" s="117">
        <f>_xll.qlCalendarAdvance(Calendar,Z730,NDays&amp;"D")</f>
        <v>44287</v>
      </c>
      <c r="AB730" s="92">
        <v>1.5447738441262984E-2</v>
      </c>
      <c r="AC730" s="101">
        <v>1.4718305857190472E-2</v>
      </c>
    </row>
    <row r="731" spans="25:29" x14ac:dyDescent="0.2">
      <c r="Y731" s="105" t="str">
        <f t="shared" si="45"/>
        <v>1w</v>
      </c>
      <c r="Z731" s="93">
        <f>_xll.qlCalendarAdvance(Calendar,Z730,Y731,"f",FALSE)</f>
        <v>44292</v>
      </c>
      <c r="AA731" s="117">
        <f>_xll.qlCalendarAdvance(Calendar,Z731,NDays&amp;"D")</f>
        <v>44294</v>
      </c>
      <c r="AB731" s="92">
        <v>1.5500214452172728E-2</v>
      </c>
      <c r="AC731" s="101">
        <v>1.4755194016213835E-2</v>
      </c>
    </row>
    <row r="732" spans="25:29" x14ac:dyDescent="0.2">
      <c r="Y732" s="105" t="str">
        <f t="shared" si="45"/>
        <v>1w</v>
      </c>
      <c r="Z732" s="93">
        <f>_xll.qlCalendarAdvance(Calendar,Z731,Y732,"f",FALSE)</f>
        <v>44299</v>
      </c>
      <c r="AA732" s="117">
        <f>_xll.qlCalendarAdvance(Calendar,Z732,NDays&amp;"D")</f>
        <v>44301</v>
      </c>
      <c r="AB732" s="92">
        <v>1.5552540230320723E-2</v>
      </c>
      <c r="AC732" s="101">
        <v>1.4808483236210535E-2</v>
      </c>
    </row>
    <row r="733" spans="25:29" x14ac:dyDescent="0.2">
      <c r="Y733" s="105" t="str">
        <f t="shared" si="45"/>
        <v>1w</v>
      </c>
      <c r="Z733" s="93">
        <f>_xll.qlCalendarAdvance(Calendar,Z732,Y733,"f",FALSE)</f>
        <v>44306</v>
      </c>
      <c r="AA733" s="117">
        <f>_xll.qlCalendarAdvance(Calendar,Z733,NDays&amp;"D")</f>
        <v>44308</v>
      </c>
      <c r="AB733" s="92">
        <v>1.5604708094497856E-2</v>
      </c>
      <c r="AC733" s="101">
        <v>1.48617285542052E-2</v>
      </c>
    </row>
    <row r="734" spans="25:29" x14ac:dyDescent="0.2">
      <c r="Y734" s="105" t="str">
        <f t="shared" si="45"/>
        <v>1w</v>
      </c>
      <c r="Z734" s="93">
        <f>_xll.qlCalendarAdvance(Calendar,Z733,Y734,"f",FALSE)</f>
        <v>44313</v>
      </c>
      <c r="AA734" s="117">
        <f>_xll.qlCalendarAdvance(Calendar,Z734,NDays&amp;"D")</f>
        <v>44315</v>
      </c>
      <c r="AB734" s="92">
        <v>1.5656710362726669E-2</v>
      </c>
      <c r="AC734" s="101">
        <v>1.4914929970197832E-2</v>
      </c>
    </row>
    <row r="735" spans="25:29" x14ac:dyDescent="0.2">
      <c r="Y735" s="105" t="str">
        <f t="shared" si="45"/>
        <v>1w</v>
      </c>
      <c r="Z735" s="93">
        <f>_xll.qlCalendarAdvance(Calendar,Z734,Y735,"f",FALSE)</f>
        <v>44320</v>
      </c>
      <c r="AA735" s="117">
        <f>_xll.qlCalendarAdvance(Calendar,Z735,NDays&amp;"D")</f>
        <v>44322</v>
      </c>
      <c r="AB735" s="92">
        <v>1.572046071070736E-2</v>
      </c>
      <c r="AC735" s="101">
        <v>1.496808748418843E-2</v>
      </c>
    </row>
    <row r="736" spans="25:29" x14ac:dyDescent="0.2">
      <c r="Y736" s="105" t="str">
        <f t="shared" si="45"/>
        <v>1w</v>
      </c>
      <c r="Z736" s="93">
        <f>_xll.qlCalendarAdvance(Calendar,Z735,Y736,"f",FALSE)</f>
        <v>44327</v>
      </c>
      <c r="AA736" s="117">
        <f>_xll.qlCalendarAdvance(Calendar,Z736,NDays&amp;"D")</f>
        <v>44329</v>
      </c>
      <c r="AB736" s="92">
        <v>1.5772066932645292E-2</v>
      </c>
      <c r="AC736" s="101">
        <v>1.5021201096336867E-2</v>
      </c>
    </row>
    <row r="737" spans="25:29" x14ac:dyDescent="0.2">
      <c r="Y737" s="105" t="str">
        <f t="shared" si="45"/>
        <v>1w</v>
      </c>
      <c r="Z737" s="93">
        <f>_xll.qlCalendarAdvance(Calendar,Z736,Y737,"f",FALSE)</f>
        <v>44334</v>
      </c>
      <c r="AA737" s="117">
        <f>_xll.qlCalendarAdvance(Calendar,Z737,NDays&amp;"D")</f>
        <v>44336</v>
      </c>
      <c r="AB737" s="92">
        <v>1.5823483618043647E-2</v>
      </c>
      <c r="AC737" s="101">
        <v>1.5074270806403334E-2</v>
      </c>
    </row>
    <row r="738" spans="25:29" x14ac:dyDescent="0.2">
      <c r="Y738" s="105" t="str">
        <f t="shared" si="45"/>
        <v>1w</v>
      </c>
      <c r="Z738" s="93">
        <f>_xll.qlCalendarAdvance(Calendar,Z737,Y738,"f",FALSE)</f>
        <v>44341</v>
      </c>
      <c r="AA738" s="117">
        <f>_xll.qlCalendarAdvance(Calendar,Z738,NDays&amp;"D")</f>
        <v>44343</v>
      </c>
      <c r="AB738" s="92">
        <v>1.5874703204286935E-2</v>
      </c>
      <c r="AC738" s="101">
        <v>1.5127296614467767E-2</v>
      </c>
    </row>
    <row r="739" spans="25:29" x14ac:dyDescent="0.2">
      <c r="Y739" s="105" t="str">
        <f t="shared" si="45"/>
        <v>1w</v>
      </c>
      <c r="Z739" s="93">
        <f>_xll.qlCalendarAdvance(Calendar,Z738,Y739,"f",FALSE)</f>
        <v>44348</v>
      </c>
      <c r="AA739" s="117">
        <f>_xll.qlCalendarAdvance(Calendar,Z739,NDays&amp;"D")</f>
        <v>44350</v>
      </c>
      <c r="AB739" s="92">
        <v>1.5913968842294884E-2</v>
      </c>
      <c r="AC739" s="101">
        <v>1.518027852045023E-2</v>
      </c>
    </row>
    <row r="740" spans="25:29" x14ac:dyDescent="0.2">
      <c r="Y740" s="105" t="str">
        <f t="shared" si="45"/>
        <v>1w</v>
      </c>
      <c r="Z740" s="93">
        <f>_xll.qlCalendarAdvance(Calendar,Z739,Y740,"f",FALSE)</f>
        <v>44355</v>
      </c>
      <c r="AA740" s="117">
        <f>_xll.qlCalendarAdvance(Calendar,Z740,NDays&amp;"D")</f>
        <v>44357</v>
      </c>
      <c r="AB740" s="92">
        <v>1.5964816170972052E-2</v>
      </c>
      <c r="AC740" s="101">
        <v>1.5233216524430659E-2</v>
      </c>
    </row>
    <row r="741" spans="25:29" x14ac:dyDescent="0.2">
      <c r="Y741" s="105" t="str">
        <f t="shared" si="45"/>
        <v>1w</v>
      </c>
      <c r="Z741" s="93">
        <f>_xll.qlCalendarAdvance(Calendar,Z740,Y741,"f",FALSE)</f>
        <v>44362</v>
      </c>
      <c r="AA741" s="117">
        <f>_xll.qlCalendarAdvance(Calendar,Z741,NDays&amp;"D")</f>
        <v>44364</v>
      </c>
      <c r="AB741" s="92">
        <v>1.6015444108842931E-2</v>
      </c>
      <c r="AC741" s="101">
        <v>1.5286110626169247E-2</v>
      </c>
    </row>
    <row r="742" spans="25:29" x14ac:dyDescent="0.2">
      <c r="Y742" s="105" t="str">
        <f t="shared" si="45"/>
        <v>1w</v>
      </c>
      <c r="Z742" s="93">
        <f>_xll.qlCalendarAdvance(Calendar,Z741,Y742,"f",FALSE)</f>
        <v>44369</v>
      </c>
      <c r="AA742" s="117">
        <f>_xll.qlCalendarAdvance(Calendar,Z742,NDays&amp;"D")</f>
        <v>44371</v>
      </c>
      <c r="AB742" s="92">
        <v>1.6065844968015674E-2</v>
      </c>
      <c r="AC742" s="101">
        <v>1.5338960825985737E-2</v>
      </c>
    </row>
    <row r="743" spans="25:29" x14ac:dyDescent="0.2">
      <c r="Y743" s="105" t="str">
        <f t="shared" si="45"/>
        <v>1w</v>
      </c>
      <c r="Z743" s="93">
        <f>_xll.qlCalendarAdvance(Calendar,Z742,Y743,"f",FALSE)</f>
        <v>44376</v>
      </c>
      <c r="AA743" s="117">
        <f>_xll.qlCalendarAdvance(Calendar,Z743,NDays&amp;"D")</f>
        <v>44378</v>
      </c>
      <c r="AB743" s="92">
        <v>1.6127579905700063E-2</v>
      </c>
      <c r="AC743" s="101">
        <v>1.5391767123640321E-2</v>
      </c>
    </row>
    <row r="744" spans="25:29" x14ac:dyDescent="0.2">
      <c r="Y744" s="105" t="str">
        <f t="shared" si="45"/>
        <v>1w</v>
      </c>
      <c r="Z744" s="93">
        <f>_xll.qlCalendarAdvance(Calendar,Z743,Y744,"f",FALSE)</f>
        <v>44383</v>
      </c>
      <c r="AA744" s="117">
        <f>_xll.qlCalendarAdvance(Calendar,Z744,NDays&amp;"D")</f>
        <v>44385</v>
      </c>
      <c r="AB744" s="92">
        <v>1.6177458833828078E-2</v>
      </c>
      <c r="AC744" s="101">
        <v>1.5444443588270573E-2</v>
      </c>
    </row>
    <row r="745" spans="25:29" x14ac:dyDescent="0.2">
      <c r="Y745" s="105" t="str">
        <f t="shared" si="45"/>
        <v>1w</v>
      </c>
      <c r="Z745" s="93">
        <f>_xll.qlCalendarAdvance(Calendar,Z744,Y745,"f",FALSE)</f>
        <v>44390</v>
      </c>
      <c r="AA745" s="117">
        <f>_xll.qlCalendarAdvance(Calendar,Z745,NDays&amp;"D")</f>
        <v>44392</v>
      </c>
      <c r="AB745" s="92">
        <v>1.6227094178607331E-2</v>
      </c>
      <c r="AC745" s="101">
        <v>1.5496877900922357E-2</v>
      </c>
    </row>
    <row r="746" spans="25:29" x14ac:dyDescent="0.2">
      <c r="Y746" s="105" t="str">
        <f t="shared" si="45"/>
        <v>1w</v>
      </c>
      <c r="Z746" s="93">
        <f>_xll.qlCalendarAdvance(Calendar,Z745,Y746,"f",FALSE)</f>
        <v>44397</v>
      </c>
      <c r="AA746" s="117">
        <f>_xll.qlCalendarAdvance(Calendar,Z746,NDays&amp;"D")</f>
        <v>44399</v>
      </c>
      <c r="AB746" s="92">
        <v>1.6276485917720625E-2</v>
      </c>
      <c r="AC746" s="101">
        <v>1.5549069384697134E-2</v>
      </c>
    </row>
    <row r="747" spans="25:29" x14ac:dyDescent="0.2">
      <c r="Y747" s="105" t="str">
        <f t="shared" si="45"/>
        <v>1w</v>
      </c>
      <c r="Z747" s="93">
        <f>_xll.qlCalendarAdvance(Calendar,Z746,Y747,"f",FALSE)</f>
        <v>44404</v>
      </c>
      <c r="AA747" s="117">
        <f>_xll.qlCalendarAdvance(Calendar,Z747,NDays&amp;"D")</f>
        <v>44406</v>
      </c>
      <c r="AB747" s="92">
        <v>1.6325634032609039E-2</v>
      </c>
      <c r="AC747" s="101">
        <v>1.5601018039674841E-2</v>
      </c>
    </row>
    <row r="748" spans="25:29" x14ac:dyDescent="0.2">
      <c r="Y748" s="105" t="str">
        <f t="shared" si="45"/>
        <v>1w</v>
      </c>
      <c r="Z748" s="93">
        <f>_xll.qlCalendarAdvance(Calendar,Z747,Y748,"f",FALSE)</f>
        <v>44411</v>
      </c>
      <c r="AA748" s="117">
        <f>_xll.qlCalendarAdvance(Calendar,Z748,NDays&amp;"D")</f>
        <v>44413</v>
      </c>
      <c r="AB748" s="92">
        <v>1.6374538504804765E-2</v>
      </c>
      <c r="AC748" s="101">
        <v>1.5652723865535734E-2</v>
      </c>
    </row>
    <row r="749" spans="25:29" x14ac:dyDescent="0.2">
      <c r="Y749" s="105" t="str">
        <f t="shared" si="45"/>
        <v>1w</v>
      </c>
      <c r="Z749" s="93">
        <f>_xll.qlCalendarAdvance(Calendar,Z748,Y749,"f",FALSE)</f>
        <v>44418</v>
      </c>
      <c r="AA749" s="117">
        <f>_xll.qlCalendarAdvance(Calendar,Z749,NDays&amp;"D")</f>
        <v>44420</v>
      </c>
      <c r="AB749" s="92">
        <v>1.6423199315933681E-2</v>
      </c>
      <c r="AC749" s="101">
        <v>1.5704186862359748E-2</v>
      </c>
    </row>
    <row r="750" spans="25:29" x14ac:dyDescent="0.2">
      <c r="Y750" s="105" t="str">
        <f t="shared" si="45"/>
        <v>1w</v>
      </c>
      <c r="Z750" s="93">
        <f>_xll.qlCalendarAdvance(Calendar,Z749,Y750,"f",FALSE)</f>
        <v>44425</v>
      </c>
      <c r="AA750" s="117">
        <f>_xll.qlCalendarAdvance(Calendar,Z750,NDays&amp;"D")</f>
        <v>44427</v>
      </c>
      <c r="AB750" s="92">
        <v>1.6471616447709347E-2</v>
      </c>
      <c r="AC750" s="101">
        <v>1.5755407029987012E-2</v>
      </c>
    </row>
    <row r="751" spans="25:29" x14ac:dyDescent="0.2">
      <c r="Y751" s="105" t="str">
        <f t="shared" si="45"/>
        <v>1w</v>
      </c>
      <c r="Z751" s="93">
        <f>_xll.qlCalendarAdvance(Calendar,Z750,Y751,"f",FALSE)</f>
        <v>44432</v>
      </c>
      <c r="AA751" s="117">
        <f>_xll.qlCalendarAdvance(Calendar,Z751,NDays&amp;"D")</f>
        <v>44434</v>
      </c>
      <c r="AB751" s="92">
        <v>1.6519789881938564E-2</v>
      </c>
      <c r="AC751" s="101">
        <v>1.5806384368177717E-2</v>
      </c>
    </row>
    <row r="752" spans="25:29" x14ac:dyDescent="0.2">
      <c r="Y752" s="105" t="str">
        <f t="shared" si="45"/>
        <v>1w</v>
      </c>
      <c r="Z752" s="93">
        <f>_xll.qlCalendarAdvance(Calendar,Z751,Y752,"f",FALSE)</f>
        <v>44439</v>
      </c>
      <c r="AA752" s="117">
        <f>_xll.qlCalendarAdvance(Calendar,Z752,NDays&amp;"D")</f>
        <v>44441</v>
      </c>
      <c r="AB752" s="92">
        <v>1.654911517293391E-2</v>
      </c>
      <c r="AC752" s="101">
        <v>1.58571188770118E-2</v>
      </c>
    </row>
    <row r="753" spans="25:29" x14ac:dyDescent="0.2">
      <c r="Y753" s="105" t="str">
        <f t="shared" si="45"/>
        <v>1w</v>
      </c>
      <c r="Z753" s="93">
        <f>_xll.qlCalendarAdvance(Calendar,Z752,Y753,"f",FALSE)</f>
        <v>44446</v>
      </c>
      <c r="AA753" s="117">
        <f>_xll.qlCalendarAdvance(Calendar,Z753,NDays&amp;"D")</f>
        <v>44448</v>
      </c>
      <c r="AB753" s="92">
        <v>1.6596877267398547E-2</v>
      </c>
      <c r="AC753" s="101">
        <v>1.5907610556249452E-2</v>
      </c>
    </row>
    <row r="754" spans="25:29" x14ac:dyDescent="0.2">
      <c r="Y754" s="105" t="str">
        <f t="shared" si="45"/>
        <v>1w</v>
      </c>
      <c r="Z754" s="93">
        <f>_xll.qlCalendarAdvance(Calendar,Z753,Y754,"f",FALSE)</f>
        <v>44453</v>
      </c>
      <c r="AA754" s="117">
        <f>_xll.qlCalendarAdvance(Calendar,Z754,NDays&amp;"D")</f>
        <v>44455</v>
      </c>
      <c r="AB754" s="92">
        <v>1.6644395641311375E-2</v>
      </c>
      <c r="AC754" s="101">
        <v>1.5957859406050545E-2</v>
      </c>
    </row>
    <row r="755" spans="25:29" x14ac:dyDescent="0.2">
      <c r="Y755" s="105" t="str">
        <f t="shared" si="45"/>
        <v>1w</v>
      </c>
      <c r="Z755" s="93">
        <f>_xll.qlCalendarAdvance(Calendar,Z754,Y755,"f",FALSE)</f>
        <v>44460</v>
      </c>
      <c r="AA755" s="117">
        <f>_xll.qlCalendarAdvance(Calendar,Z755,NDays&amp;"D")</f>
        <v>44462</v>
      </c>
      <c r="AB755" s="92">
        <v>1.6691670277294478E-2</v>
      </c>
      <c r="AC755" s="101">
        <v>1.6007865425935464E-2</v>
      </c>
    </row>
    <row r="756" spans="25:29" x14ac:dyDescent="0.2">
      <c r="Y756" s="105" t="str">
        <f t="shared" si="45"/>
        <v>1w</v>
      </c>
      <c r="Z756" s="93">
        <f>_xll.qlCalendarAdvance(Calendar,Z755,Y756,"f",FALSE)</f>
        <v>44467</v>
      </c>
      <c r="AA756" s="117">
        <f>_xll.qlCalendarAdvance(Calendar,Z756,NDays&amp;"D")</f>
        <v>44469</v>
      </c>
      <c r="AB756" s="92">
        <v>1.6742363809150392E-2</v>
      </c>
      <c r="AC756" s="101">
        <v>1.6057628616064079E-2</v>
      </c>
    </row>
    <row r="757" spans="25:29" x14ac:dyDescent="0.2">
      <c r="Y757" s="105" t="str">
        <f t="shared" si="45"/>
        <v>1w</v>
      </c>
      <c r="Z757" s="93">
        <f>_xll.qlCalendarAdvance(Calendar,Z756,Y757,"f",FALSE)</f>
        <v>44474</v>
      </c>
      <c r="AA757" s="117">
        <f>_xll.qlCalendarAdvance(Calendar,Z757,NDays&amp;"D")</f>
        <v>44476</v>
      </c>
      <c r="AB757" s="92">
        <v>1.6789135671771118E-2</v>
      </c>
      <c r="AC757" s="101">
        <v>1.6107148976116648E-2</v>
      </c>
    </row>
    <row r="758" spans="25:29" x14ac:dyDescent="0.2">
      <c r="Y758" s="105" t="str">
        <f t="shared" si="45"/>
        <v>1w</v>
      </c>
      <c r="Z758" s="93">
        <f>_xll.qlCalendarAdvance(Calendar,Z757,Y758,"f",FALSE)</f>
        <v>44481</v>
      </c>
      <c r="AA758" s="117">
        <f>_xll.qlCalendarAdvance(Calendar,Z758,NDays&amp;"D")</f>
        <v>44483</v>
      </c>
      <c r="AB758" s="92">
        <v>1.6835663738325866E-2</v>
      </c>
      <c r="AC758" s="101">
        <v>1.6156426506332977E-2</v>
      </c>
    </row>
    <row r="759" spans="25:29" x14ac:dyDescent="0.2">
      <c r="Y759" s="105" t="str">
        <f t="shared" si="45"/>
        <v>1w</v>
      </c>
      <c r="Z759" s="93">
        <f>_xll.qlCalendarAdvance(Calendar,Z758,Y759,"f",FALSE)</f>
        <v>44488</v>
      </c>
      <c r="AA759" s="117">
        <f>_xll.qlCalendarAdvance(Calendar,Z759,NDays&amp;"D")</f>
        <v>44490</v>
      </c>
      <c r="AB759" s="92">
        <v>1.6881947991703936E-2</v>
      </c>
      <c r="AC759" s="101">
        <v>1.6205461206393323E-2</v>
      </c>
    </row>
    <row r="760" spans="25:29" x14ac:dyDescent="0.2">
      <c r="Y760" s="105" t="str">
        <f t="shared" si="45"/>
        <v>1w</v>
      </c>
      <c r="Z760" s="93">
        <f>_xll.qlCalendarAdvance(Calendar,Z759,Y760,"f",FALSE)</f>
        <v>44495</v>
      </c>
      <c r="AA760" s="117">
        <f>_xll.qlCalendarAdvance(Calendar,Z760,NDays&amp;"D")</f>
        <v>44497</v>
      </c>
      <c r="AB760" s="92">
        <v>1.6927988414885093E-2</v>
      </c>
      <c r="AC760" s="101">
        <v>1.6254253076137815E-2</v>
      </c>
    </row>
    <row r="761" spans="25:29" x14ac:dyDescent="0.2">
      <c r="Y761" s="105" t="str">
        <f t="shared" si="45"/>
        <v>1w</v>
      </c>
      <c r="Z761" s="93">
        <f>_xll.qlCalendarAdvance(Calendar,Z760,Y761,"f",FALSE)</f>
        <v>44502</v>
      </c>
      <c r="AA761" s="117">
        <f>_xll.qlCalendarAdvance(Calendar,Z761,NDays&amp;"D")</f>
        <v>44504</v>
      </c>
      <c r="AB761" s="92">
        <v>1.6970198634732831E-2</v>
      </c>
      <c r="AC761" s="101">
        <v>1.6302802115646386E-2</v>
      </c>
    </row>
    <row r="762" spans="25:29" x14ac:dyDescent="0.2">
      <c r="Y762" s="105" t="str">
        <f t="shared" si="45"/>
        <v>1w</v>
      </c>
      <c r="Z762" s="93">
        <f>_xll.qlCalendarAdvance(Calendar,Z761,Y762,"f",FALSE)</f>
        <v>44509</v>
      </c>
      <c r="AA762" s="117">
        <f>_xll.qlCalendarAdvance(Calendar,Z762,NDays&amp;"D")</f>
        <v>44511</v>
      </c>
      <c r="AB762" s="92">
        <v>1.7015766626105547E-2</v>
      </c>
      <c r="AC762" s="101">
        <v>1.6351108324599295E-2</v>
      </c>
    </row>
    <row r="763" spans="25:29" x14ac:dyDescent="0.2">
      <c r="Y763" s="105" t="str">
        <f t="shared" si="45"/>
        <v>1w</v>
      </c>
      <c r="Z763" s="93">
        <f>_xll.qlCalendarAdvance(Calendar,Z762,Y763,"f",FALSE)</f>
        <v>44516</v>
      </c>
      <c r="AA763" s="117">
        <f>_xll.qlCalendarAdvance(Calendar,Z763,NDays&amp;"D")</f>
        <v>44518</v>
      </c>
      <c r="AB763" s="92">
        <v>1.706109074372834E-2</v>
      </c>
      <c r="AC763" s="101">
        <v>1.6399171703156412E-2</v>
      </c>
    </row>
    <row r="764" spans="25:29" x14ac:dyDescent="0.2">
      <c r="Y764" s="105" t="str">
        <f t="shared" si="45"/>
        <v>1w</v>
      </c>
      <c r="Z764" s="93">
        <f>_xll.qlCalendarAdvance(Calendar,Z763,Y764,"f",FALSE)</f>
        <v>44523</v>
      </c>
      <c r="AA764" s="117">
        <f>_xll.qlCalendarAdvance(Calendar,Z764,NDays&amp;"D")</f>
        <v>44525</v>
      </c>
      <c r="AB764" s="92">
        <v>1.7106170971024414E-2</v>
      </c>
      <c r="AC764" s="101">
        <v>1.644699225107793E-2</v>
      </c>
    </row>
    <row r="765" spans="25:29" x14ac:dyDescent="0.2">
      <c r="Y765" s="105" t="str">
        <f t="shared" si="45"/>
        <v>1w</v>
      </c>
      <c r="Z765" s="93">
        <f>_xll.qlCalendarAdvance(Calendar,Z764,Y765,"f",FALSE)</f>
        <v>44530</v>
      </c>
      <c r="AA765" s="117">
        <f>_xll.qlCalendarAdvance(Calendar,Z765,NDays&amp;"D")</f>
        <v>44532</v>
      </c>
      <c r="AB765" s="92">
        <v>1.7154532488358836E-2</v>
      </c>
      <c r="AC765" s="101">
        <v>1.6494569968283912E-2</v>
      </c>
    </row>
    <row r="766" spans="25:29" x14ac:dyDescent="0.2">
      <c r="Y766" s="105" t="str">
        <f t="shared" si="45"/>
        <v>1w</v>
      </c>
      <c r="Z766" s="93">
        <f>_xll.qlCalendarAdvance(Calendar,Z765,Y766,"f",FALSE)</f>
        <v>44537</v>
      </c>
      <c r="AA766" s="117">
        <f>_xll.qlCalendarAdvance(Calendar,Z766,NDays&amp;"D")</f>
        <v>44539</v>
      </c>
      <c r="AB766" s="92">
        <v>1.7199109577923952E-2</v>
      </c>
      <c r="AC766" s="101">
        <v>1.654190485453455E-2</v>
      </c>
    </row>
    <row r="767" spans="25:29" x14ac:dyDescent="0.2">
      <c r="Y767" s="105" t="str">
        <f t="shared" si="45"/>
        <v>1w</v>
      </c>
      <c r="Z767" s="93">
        <f>_xll.qlCalendarAdvance(Calendar,Z766,Y767,"f",FALSE)</f>
        <v>44544</v>
      </c>
      <c r="AA767" s="117">
        <f>_xll.qlCalendarAdvance(Calendar,Z767,NDays&amp;"D")</f>
        <v>44546</v>
      </c>
      <c r="AB767" s="92">
        <v>1.7243442720650516E-2</v>
      </c>
      <c r="AC767" s="101">
        <v>1.6588996909989717E-2</v>
      </c>
    </row>
    <row r="768" spans="25:29" x14ac:dyDescent="0.2">
      <c r="Y768" s="105" t="str">
        <f t="shared" si="45"/>
        <v>1w</v>
      </c>
      <c r="Z768" s="93">
        <f>_xll.qlCalendarAdvance(Calendar,Z767,Y768,"f",FALSE)</f>
        <v>44551</v>
      </c>
      <c r="AA768" s="117">
        <f>_xll.qlCalendarAdvance(Calendar,Z768,NDays&amp;"D")</f>
        <v>44553</v>
      </c>
      <c r="AB768" s="92">
        <v>1.7287531900230694E-2</v>
      </c>
      <c r="AC768" s="101">
        <v>1.6635846134409604E-2</v>
      </c>
    </row>
    <row r="769" spans="25:29" x14ac:dyDescent="0.2">
      <c r="Y769" s="105" t="str">
        <f t="shared" si="45"/>
        <v>1w</v>
      </c>
      <c r="Z769" s="93">
        <f>_xll.qlCalendarAdvance(Calendar,Z768,Y769,"f",FALSE)</f>
        <v>44558</v>
      </c>
      <c r="AA769" s="117">
        <f>_xll.qlCalendarAdvance(Calendar,Z769,NDays&amp;"D")</f>
        <v>44560</v>
      </c>
      <c r="AB769" s="92">
        <v>1.7331377100450636E-2</v>
      </c>
      <c r="AC769" s="101">
        <v>1.6682452527714275E-2</v>
      </c>
    </row>
    <row r="770" spans="25:29" x14ac:dyDescent="0.2">
      <c r="Y770" s="105" t="str">
        <f t="shared" si="45"/>
        <v>1w</v>
      </c>
      <c r="Z770" s="93">
        <f>_xll.qlCalendarAdvance(Calendar,Z769,Y770,"f",FALSE)</f>
        <v>44565</v>
      </c>
      <c r="AA770" s="117">
        <f>_xll.qlCalendarAdvance(Calendar,Z770,NDays&amp;"D")</f>
        <v>44567</v>
      </c>
      <c r="AB770" s="92">
        <v>1.7371529728568178E-2</v>
      </c>
      <c r="AC770" s="101">
        <v>1.6728816089823795E-2</v>
      </c>
    </row>
    <row r="771" spans="25:29" x14ac:dyDescent="0.2">
      <c r="Y771" s="105" t="str">
        <f t="shared" si="45"/>
        <v>1w</v>
      </c>
      <c r="Z771" s="93">
        <f>_xll.qlCalendarAdvance(Calendar,Z770,Y771,"f",FALSE)</f>
        <v>44572</v>
      </c>
      <c r="AA771" s="117">
        <f>_xll.qlCalendarAdvance(Calendar,Z771,NDays&amp;"D")</f>
        <v>44574</v>
      </c>
      <c r="AB771" s="92">
        <v>1.741490296632757E-2</v>
      </c>
      <c r="AC771" s="101">
        <v>1.6774936820738162E-2</v>
      </c>
    </row>
    <row r="772" spans="25:29" x14ac:dyDescent="0.2">
      <c r="Y772" s="105" t="str">
        <f t="shared" si="45"/>
        <v>1w</v>
      </c>
      <c r="Z772" s="93">
        <f>_xll.qlCalendarAdvance(Calendar,Z771,Y772,"f",FALSE)</f>
        <v>44579</v>
      </c>
      <c r="AA772" s="117">
        <f>_xll.qlCalendarAdvance(Calendar,Z772,NDays&amp;"D")</f>
        <v>44581</v>
      </c>
      <c r="AB772" s="92">
        <v>1.7458034751326856E-2</v>
      </c>
      <c r="AC772" s="101">
        <v>1.6820814720137633E-2</v>
      </c>
    </row>
    <row r="773" spans="25:29" x14ac:dyDescent="0.2">
      <c r="Y773" s="105" t="str">
        <f t="shared" si="45"/>
        <v>1w</v>
      </c>
      <c r="Z773" s="93">
        <f>_xll.qlCalendarAdvance(Calendar,Z772,Y773,"f",FALSE)</f>
        <v>44586</v>
      </c>
      <c r="AA773" s="117">
        <f>_xll.qlCalendarAdvance(Calendar,Z773,NDays&amp;"D")</f>
        <v>44588</v>
      </c>
      <c r="AB773" s="92">
        <v>1.7500927064516246E-2</v>
      </c>
      <c r="AC773" s="101">
        <v>1.6866449788182081E-2</v>
      </c>
    </row>
    <row r="774" spans="25:29" x14ac:dyDescent="0.2">
      <c r="Y774" s="105" t="str">
        <f t="shared" si="45"/>
        <v>1w</v>
      </c>
      <c r="Z774" s="93">
        <f>_xll.qlCalendarAdvance(Calendar,Z773,Y774,"f",FALSE)</f>
        <v>44593</v>
      </c>
      <c r="AA774" s="117">
        <f>_xll.qlCalendarAdvance(Calendar,Z774,NDays&amp;"D")</f>
        <v>44595</v>
      </c>
      <c r="AB774" s="92">
        <v>1.754358188710254E-2</v>
      </c>
      <c r="AC774" s="101">
        <v>1.691184202455176E-2</v>
      </c>
    </row>
    <row r="775" spans="25:29" x14ac:dyDescent="0.2">
      <c r="Y775" s="105" t="str">
        <f t="shared" si="45"/>
        <v>1w</v>
      </c>
      <c r="Z775" s="93">
        <f>_xll.qlCalendarAdvance(Calendar,Z774,Y775,"f",FALSE)</f>
        <v>44600</v>
      </c>
      <c r="AA775" s="117">
        <f>_xll.qlCalendarAdvance(Calendar,Z775,NDays&amp;"D")</f>
        <v>44602</v>
      </c>
      <c r="AB775" s="92">
        <v>1.7586001200546483E-2</v>
      </c>
      <c r="AC775" s="101">
        <v>1.6956991429326607E-2</v>
      </c>
    </row>
    <row r="776" spans="25:29" x14ac:dyDescent="0.2">
      <c r="Y776" s="105" t="str">
        <f t="shared" si="45"/>
        <v>1w</v>
      </c>
      <c r="Z776" s="93">
        <f>_xll.qlCalendarAdvance(Calendar,Z775,Y776,"f",FALSE)</f>
        <v>44607</v>
      </c>
      <c r="AA776" s="117">
        <f>_xll.qlCalendarAdvance(Calendar,Z776,NDays&amp;"D")</f>
        <v>44609</v>
      </c>
      <c r="AB776" s="92">
        <v>1.7628186986561427E-2</v>
      </c>
      <c r="AC776" s="101">
        <v>1.7001898002266813E-2</v>
      </c>
    </row>
    <row r="777" spans="25:29" x14ac:dyDescent="0.2">
      <c r="Y777" s="105" t="str">
        <f t="shared" si="45"/>
        <v>1w</v>
      </c>
      <c r="Z777" s="93">
        <f>_xll.qlCalendarAdvance(Calendar,Z776,Y777,"f",FALSE)</f>
        <v>44614</v>
      </c>
      <c r="AA777" s="117">
        <f>_xll.qlCalendarAdvance(Calendar,Z777,NDays&amp;"D")</f>
        <v>44616</v>
      </c>
      <c r="AB777" s="92">
        <v>1.7670141227110699E-2</v>
      </c>
      <c r="AC777" s="101">
        <v>1.7046561743452315E-2</v>
      </c>
    </row>
    <row r="778" spans="25:29" x14ac:dyDescent="0.2">
      <c r="Y778" s="105" t="str">
        <f t="shared" si="45"/>
        <v>1w</v>
      </c>
      <c r="Z778" s="93">
        <f>_xll.qlCalendarAdvance(Calendar,Z777,Y778,"f",FALSE)</f>
        <v>44621</v>
      </c>
      <c r="AA778" s="117">
        <f>_xll.qlCalendarAdvance(Calendar,Z778,NDays&amp;"D")</f>
        <v>44623</v>
      </c>
      <c r="AB778" s="92">
        <v>1.7728527103359031E-2</v>
      </c>
      <c r="AC778" s="101">
        <v>1.7090982652723241E-2</v>
      </c>
    </row>
    <row r="779" spans="25:29" x14ac:dyDescent="0.2">
      <c r="Y779" s="105" t="str">
        <f t="shared" si="45"/>
        <v>1w</v>
      </c>
      <c r="Z779" s="93">
        <f>_xll.qlCalendarAdvance(Calendar,Z778,Y779,"f",FALSE)</f>
        <v>44628</v>
      </c>
      <c r="AA779" s="117">
        <f>_xll.qlCalendarAdvance(Calendar,Z779,NDays&amp;"D")</f>
        <v>44630</v>
      </c>
      <c r="AB779" s="92">
        <v>1.7769957782757643E-2</v>
      </c>
      <c r="AC779" s="101">
        <v>1.7135160729919718E-2</v>
      </c>
    </row>
    <row r="780" spans="25:29" x14ac:dyDescent="0.2">
      <c r="Y780" s="105" t="str">
        <f t="shared" si="45"/>
        <v>1w</v>
      </c>
      <c r="Z780" s="93">
        <f>_xll.qlCalendarAdvance(Calendar,Z779,Y780,"f",FALSE)</f>
        <v>44635</v>
      </c>
      <c r="AA780" s="117">
        <f>_xll.qlCalendarAdvance(Calendar,Z780,NDays&amp;"D")</f>
        <v>44637</v>
      </c>
      <c r="AB780" s="92">
        <v>1.7811163717093265E-2</v>
      </c>
      <c r="AC780" s="101">
        <v>1.7179095974961811E-2</v>
      </c>
    </row>
    <row r="781" spans="25:29" x14ac:dyDescent="0.2">
      <c r="Y781" s="105" t="str">
        <f t="shared" si="45"/>
        <v>1w</v>
      </c>
      <c r="Z781" s="93">
        <f>_xll.qlCalendarAdvance(Calendar,Z780,Y781,"f",FALSE)</f>
        <v>44642</v>
      </c>
      <c r="AA781" s="117">
        <f>_xll.qlCalendarAdvance(Calendar,Z781,NDays&amp;"D")</f>
        <v>44644</v>
      </c>
      <c r="AB781" s="92">
        <v>1.7852146835813033E-2</v>
      </c>
      <c r="AC781" s="101">
        <v>1.7222788387929455E-2</v>
      </c>
    </row>
    <row r="782" spans="25:29" x14ac:dyDescent="0.2">
      <c r="Y782" s="105" t="str">
        <f t="shared" si="45"/>
        <v>1w</v>
      </c>
      <c r="Z782" s="93">
        <f>_xll.qlCalendarAdvance(Calendar,Z781,Y782,"f",FALSE)</f>
        <v>44649</v>
      </c>
      <c r="AA782" s="117">
        <f>_xll.qlCalendarAdvance(Calendar,Z782,NDays&amp;"D")</f>
        <v>44651</v>
      </c>
      <c r="AB782" s="92">
        <v>1.7883072003317766E-2</v>
      </c>
      <c r="AC782" s="101">
        <v>1.7266237968502907E-2</v>
      </c>
    </row>
    <row r="783" spans="25:29" x14ac:dyDescent="0.2">
      <c r="Y783" s="105" t="str">
        <f t="shared" si="45"/>
        <v>1w</v>
      </c>
      <c r="Z783" s="93">
        <f>_xll.qlCalendarAdvance(Calendar,Z782,Y783,"f",FALSE)</f>
        <v>44656</v>
      </c>
      <c r="AA783" s="117">
        <f>_xll.qlCalendarAdvance(Calendar,Z783,NDays&amp;"D")</f>
        <v>44658</v>
      </c>
      <c r="AB783" s="92">
        <v>1.792365324793296E-2</v>
      </c>
      <c r="AC783" s="101">
        <v>1.7309444716682165E-2</v>
      </c>
    </row>
    <row r="784" spans="25:29" x14ac:dyDescent="0.2">
      <c r="Y784" s="105" t="str">
        <f t="shared" si="45"/>
        <v>1w</v>
      </c>
      <c r="Z784" s="93">
        <f>_xll.qlCalendarAdvance(Calendar,Z783,Y784,"f",FALSE)</f>
        <v>44663</v>
      </c>
      <c r="AA784" s="117">
        <f>_xll.qlCalendarAdvance(Calendar,Z784,NDays&amp;"D")</f>
        <v>44665</v>
      </c>
      <c r="AB784" s="92">
        <v>1.7964017087674596E-2</v>
      </c>
      <c r="AC784" s="101">
        <v>1.736630972962061E-2</v>
      </c>
    </row>
    <row r="785" spans="25:29" x14ac:dyDescent="0.2">
      <c r="Y785" s="105" t="str">
        <f t="shared" si="45"/>
        <v>1w</v>
      </c>
      <c r="Z785" s="93">
        <f>_xll.qlCalendarAdvance(Calendar,Z784,Y785,"f",FALSE)</f>
        <v>44670</v>
      </c>
      <c r="AA785" s="117">
        <f>_xll.qlCalendarAdvance(Calendar,Z785,NDays&amp;"D")</f>
        <v>44672</v>
      </c>
      <c r="AB785" s="92">
        <v>1.8004165484679355E-2</v>
      </c>
      <c r="AC785" s="101">
        <v>1.7395129715618296E-2</v>
      </c>
    </row>
    <row r="786" spans="25:29" x14ac:dyDescent="0.2">
      <c r="Y786" s="105" t="str">
        <f t="shared" si="45"/>
        <v>1w</v>
      </c>
      <c r="Z786" s="93">
        <f>_xll.qlCalendarAdvance(Calendar,Z785,Y786,"f",FALSE)</f>
        <v>44677</v>
      </c>
      <c r="AA786" s="117">
        <f>_xll.qlCalendarAdvance(Calendar,Z786,NDays&amp;"D")</f>
        <v>44679</v>
      </c>
      <c r="AB786" s="92">
        <v>1.8044100401314996E-2</v>
      </c>
      <c r="AC786" s="101">
        <v>1.7437607966215296E-2</v>
      </c>
    </row>
    <row r="787" spans="25:29" x14ac:dyDescent="0.2">
      <c r="Y787" s="105" t="str">
        <f t="shared" si="45"/>
        <v>1w</v>
      </c>
      <c r="Z787" s="93">
        <f>_xll.qlCalendarAdvance(Calendar,Z786,Y787,"f",FALSE)</f>
        <v>44684</v>
      </c>
      <c r="AA787" s="117">
        <f>_xll.qlCalendarAdvance(Calendar,Z787,NDays&amp;"D")</f>
        <v>44686</v>
      </c>
      <c r="AB787" s="92">
        <v>1.8093474499213353E-2</v>
      </c>
      <c r="AC787" s="101">
        <v>1.7479843384098359E-2</v>
      </c>
    </row>
    <row r="788" spans="25:29" x14ac:dyDescent="0.2">
      <c r="Y788" s="105" t="str">
        <f t="shared" si="45"/>
        <v>1w</v>
      </c>
      <c r="Z788" s="93">
        <f>_xll.qlCalendarAdvance(Calendar,Z787,Y788,"f",FALSE)</f>
        <v>44691</v>
      </c>
      <c r="AA788" s="117">
        <f>_xll.qlCalendarAdvance(Calendar,Z788,NDays&amp;"D")</f>
        <v>44693</v>
      </c>
      <c r="AB788" s="92">
        <v>1.8132951953028113E-2</v>
      </c>
      <c r="AC788" s="101">
        <v>1.7521835969107613E-2</v>
      </c>
    </row>
    <row r="789" spans="25:29" x14ac:dyDescent="0.2">
      <c r="Y789" s="105" t="str">
        <f t="shared" ref="Y789:Y852" si="46">Y788</f>
        <v>1w</v>
      </c>
      <c r="Z789" s="93">
        <f>_xll.qlCalendarAdvance(Calendar,Z788,Y789,"f",FALSE)</f>
        <v>44698</v>
      </c>
      <c r="AA789" s="117">
        <f>_xll.qlCalendarAdvance(Calendar,Z789,NDays&amp;"D")</f>
        <v>44700</v>
      </c>
      <c r="AB789" s="92">
        <v>1.8172222035260168E-2</v>
      </c>
      <c r="AC789" s="101">
        <v>1.7563585721243058E-2</v>
      </c>
    </row>
    <row r="790" spans="25:29" x14ac:dyDescent="0.2">
      <c r="Y790" s="105" t="str">
        <f t="shared" si="46"/>
        <v>1w</v>
      </c>
      <c r="Z790" s="93">
        <f>_xll.qlCalendarAdvance(Calendar,Z789,Y790,"f",FALSE)</f>
        <v>44705</v>
      </c>
      <c r="AA790" s="117">
        <f>_xll.qlCalendarAdvance(Calendar,Z790,NDays&amp;"D")</f>
        <v>44707</v>
      </c>
      <c r="AB790" s="92">
        <v>1.8211286677437148E-2</v>
      </c>
      <c r="AC790" s="101">
        <v>1.7605092640424758E-2</v>
      </c>
    </row>
    <row r="791" spans="25:29" x14ac:dyDescent="0.2">
      <c r="Y791" s="105" t="str">
        <f t="shared" si="46"/>
        <v>1w</v>
      </c>
      <c r="Z791" s="93">
        <f>_xll.qlCalendarAdvance(Calendar,Z790,Y791,"f",FALSE)</f>
        <v>44712</v>
      </c>
      <c r="AA791" s="117">
        <f>_xll.qlCalendarAdvance(Calendar,Z791,NDays&amp;"D")</f>
        <v>44714</v>
      </c>
      <c r="AB791" s="92">
        <v>1.8240641477693154E-2</v>
      </c>
      <c r="AC791" s="101">
        <v>1.764635672649284E-2</v>
      </c>
    </row>
    <row r="792" spans="25:29" x14ac:dyDescent="0.2">
      <c r="Y792" s="105" t="str">
        <f t="shared" si="46"/>
        <v>1w</v>
      </c>
      <c r="Z792" s="93">
        <f>_xll.qlCalendarAdvance(Calendar,Z791,Y792,"f",FALSE)</f>
        <v>44719</v>
      </c>
      <c r="AA792" s="117">
        <f>_xll.qlCalendarAdvance(Calendar,Z792,NDays&amp;"D")</f>
        <v>44721</v>
      </c>
      <c r="AB792" s="92">
        <v>1.8279336734474246E-2</v>
      </c>
      <c r="AC792" s="101">
        <v>1.7687377979447305E-2</v>
      </c>
    </row>
    <row r="793" spans="25:29" x14ac:dyDescent="0.2">
      <c r="Y793" s="105" t="str">
        <f t="shared" si="46"/>
        <v>1w</v>
      </c>
      <c r="Z793" s="93">
        <f>_xll.qlCalendarAdvance(Calendar,Z792,Y793,"f",FALSE)</f>
        <v>44726</v>
      </c>
      <c r="AA793" s="117">
        <f>_xll.qlCalendarAdvance(Calendar,Z793,NDays&amp;"D")</f>
        <v>44728</v>
      </c>
      <c r="AB793" s="92">
        <v>1.8317832253733953E-2</v>
      </c>
      <c r="AC793" s="101">
        <v>1.7728156399128281E-2</v>
      </c>
    </row>
    <row r="794" spans="25:29" x14ac:dyDescent="0.2">
      <c r="Y794" s="105" t="str">
        <f t="shared" si="46"/>
        <v>1w</v>
      </c>
      <c r="Z794" s="93">
        <f>_xll.qlCalendarAdvance(Calendar,Z793,Y794,"f",FALSE)</f>
        <v>44733</v>
      </c>
      <c r="AA794" s="117">
        <f>_xll.qlCalendarAdvance(Calendar,Z794,NDays&amp;"D")</f>
        <v>44735</v>
      </c>
      <c r="AB794" s="92">
        <v>1.835612999960954E-2</v>
      </c>
      <c r="AC794" s="101">
        <v>1.7768691985535767E-2</v>
      </c>
    </row>
    <row r="795" spans="25:29" x14ac:dyDescent="0.2">
      <c r="Y795" s="105" t="str">
        <f t="shared" si="46"/>
        <v>1w</v>
      </c>
      <c r="Z795" s="93">
        <f>_xll.qlCalendarAdvance(Calendar,Z794,Y795,"f",FALSE)</f>
        <v>44740</v>
      </c>
      <c r="AA795" s="117">
        <f>_xll.qlCalendarAdvance(Calendar,Z795,NDays&amp;"D")</f>
        <v>44742</v>
      </c>
      <c r="AB795" s="92">
        <v>1.8394231936447947E-2</v>
      </c>
      <c r="AC795" s="101">
        <v>1.7808984738589828E-2</v>
      </c>
    </row>
    <row r="796" spans="25:29" x14ac:dyDescent="0.2">
      <c r="Y796" s="105" t="str">
        <f t="shared" si="46"/>
        <v>1w</v>
      </c>
      <c r="Z796" s="93">
        <f>_xll.qlCalendarAdvance(Calendar,Z795,Y796,"f",FALSE)</f>
        <v>44747</v>
      </c>
      <c r="AA796" s="117">
        <f>_xll.qlCalendarAdvance(Calendar,Z796,NDays&amp;"D")</f>
        <v>44749</v>
      </c>
      <c r="AB796" s="92">
        <v>1.8441468456995781E-2</v>
      </c>
      <c r="AC796" s="101">
        <v>1.7849041098818574E-2</v>
      </c>
    </row>
    <row r="797" spans="25:29" x14ac:dyDescent="0.2">
      <c r="Y797" s="105" t="str">
        <f t="shared" si="46"/>
        <v>1w</v>
      </c>
      <c r="Z797" s="93">
        <f>_xll.qlCalendarAdvance(Calendar,Z796,Y797,"f",FALSE)</f>
        <v>44754</v>
      </c>
      <c r="AA797" s="117">
        <f>_xll.qlCalendarAdvance(Calendar,Z797,NDays&amp;"D")</f>
        <v>44756</v>
      </c>
      <c r="AB797" s="92">
        <v>1.8479148200614779E-2</v>
      </c>
      <c r="AC797" s="101">
        <v>1.788889936246818E-2</v>
      </c>
    </row>
    <row r="798" spans="25:29" x14ac:dyDescent="0.2">
      <c r="Y798" s="105" t="str">
        <f t="shared" si="46"/>
        <v>1w</v>
      </c>
      <c r="Z798" s="93">
        <f>_xll.qlCalendarAdvance(Calendar,Z797,Y798,"f",FALSE)</f>
        <v>44761</v>
      </c>
      <c r="AA798" s="117">
        <f>_xll.qlCalendarAdvance(Calendar,Z798,NDays&amp;"D")</f>
        <v>44763</v>
      </c>
      <c r="AB798" s="92">
        <v>1.8516635186478215E-2</v>
      </c>
      <c r="AC798" s="101">
        <v>1.7928565970066757E-2</v>
      </c>
    </row>
    <row r="799" spans="25:29" x14ac:dyDescent="0.2">
      <c r="Y799" s="105" t="str">
        <f t="shared" si="46"/>
        <v>1w</v>
      </c>
      <c r="Z799" s="93">
        <f>_xll.qlCalendarAdvance(Calendar,Z798,Y799,"f",FALSE)</f>
        <v>44768</v>
      </c>
      <c r="AA799" s="117">
        <f>_xll.qlCalendarAdvance(Calendar,Z799,NDays&amp;"D")</f>
        <v>44770</v>
      </c>
      <c r="AB799" s="92">
        <v>1.8553929403464228E-2</v>
      </c>
      <c r="AC799" s="101">
        <v>1.7968040921694239E-2</v>
      </c>
    </row>
    <row r="800" spans="25:29" x14ac:dyDescent="0.2">
      <c r="Y800" s="105" t="str">
        <f t="shared" si="46"/>
        <v>1w</v>
      </c>
      <c r="Z800" s="93">
        <f>_xll.qlCalendarAdvance(Calendar,Z799,Y800,"f",FALSE)</f>
        <v>44775</v>
      </c>
      <c r="AA800" s="117">
        <f>_xll.qlCalendarAdvance(Calendar,Z800,NDays&amp;"D")</f>
        <v>44777</v>
      </c>
      <c r="AB800" s="92">
        <v>1.8591030840508126E-2</v>
      </c>
      <c r="AC800" s="101">
        <v>1.8007324217110821E-2</v>
      </c>
    </row>
    <row r="801" spans="25:29" x14ac:dyDescent="0.2">
      <c r="Y801" s="105" t="str">
        <f t="shared" si="46"/>
        <v>1w</v>
      </c>
      <c r="Z801" s="93">
        <f>_xll.qlCalendarAdvance(Calendar,Z800,Y801,"f",FALSE)</f>
        <v>44782</v>
      </c>
      <c r="AA801" s="117">
        <f>_xll.qlCalendarAdvance(Calendar,Z801,NDays&amp;"D")</f>
        <v>44784</v>
      </c>
      <c r="AB801" s="92">
        <v>1.8627939486601509E-2</v>
      </c>
      <c r="AC801" s="101">
        <v>1.8046415856476372E-2</v>
      </c>
    </row>
    <row r="802" spans="25:29" x14ac:dyDescent="0.2">
      <c r="Y802" s="105" t="str">
        <f t="shared" si="46"/>
        <v>1w</v>
      </c>
      <c r="Z802" s="93">
        <f>_xll.qlCalendarAdvance(Calendar,Z801,Y802,"f",FALSE)</f>
        <v>44789</v>
      </c>
      <c r="AA802" s="117">
        <f>_xll.qlCalendarAdvance(Calendar,Z802,NDays&amp;"D")</f>
        <v>44791</v>
      </c>
      <c r="AB802" s="92">
        <v>1.8664655330793995E-2</v>
      </c>
      <c r="AC802" s="101">
        <v>1.808531583947115E-2</v>
      </c>
    </row>
    <row r="803" spans="25:29" x14ac:dyDescent="0.2">
      <c r="Y803" s="105" t="str">
        <f t="shared" si="46"/>
        <v>1w</v>
      </c>
      <c r="Z803" s="93">
        <f>_xll.qlCalendarAdvance(Calendar,Z802,Y803,"f",FALSE)</f>
        <v>44796</v>
      </c>
      <c r="AA803" s="117">
        <f>_xll.qlCalendarAdvance(Calendar,Z803,NDays&amp;"D")</f>
        <v>44798</v>
      </c>
      <c r="AB803" s="92">
        <v>1.8701178362191501E-2</v>
      </c>
      <c r="AC803" s="101">
        <v>1.8124024166255026E-2</v>
      </c>
    </row>
    <row r="804" spans="25:29" x14ac:dyDescent="0.2">
      <c r="Y804" s="105" t="str">
        <f t="shared" si="46"/>
        <v>1w</v>
      </c>
      <c r="Z804" s="93">
        <f>_xll.qlCalendarAdvance(Calendar,Z803,Y804,"f",FALSE)</f>
        <v>44803</v>
      </c>
      <c r="AA804" s="117">
        <f>_xll.qlCalendarAdvance(Calendar,Z804,NDays&amp;"D")</f>
        <v>44805</v>
      </c>
      <c r="AB804" s="92">
        <v>1.8722430732634351E-2</v>
      </c>
      <c r="AC804" s="101">
        <v>1.8162540836588192E-2</v>
      </c>
    </row>
    <row r="805" spans="25:29" x14ac:dyDescent="0.2">
      <c r="Y805" s="105" t="str">
        <f t="shared" si="46"/>
        <v>1w</v>
      </c>
      <c r="Z805" s="93">
        <f>_xll.qlCalendarAdvance(Calendar,Z804,Y805,"f",FALSE)</f>
        <v>44810</v>
      </c>
      <c r="AA805" s="117">
        <f>_xll.qlCalendarAdvance(Calendar,Z805,NDays&amp;"D")</f>
        <v>44812</v>
      </c>
      <c r="AB805" s="92">
        <v>1.8758627603636325E-2</v>
      </c>
      <c r="AC805" s="101">
        <v>1.8200865850470649E-2</v>
      </c>
    </row>
    <row r="806" spans="25:29" x14ac:dyDescent="0.2">
      <c r="Y806" s="105" t="str">
        <f t="shared" si="46"/>
        <v>1w</v>
      </c>
      <c r="Z806" s="93">
        <f>_xll.qlCalendarAdvance(Calendar,Z805,Y806,"f",FALSE)</f>
        <v>44817</v>
      </c>
      <c r="AA806" s="117">
        <f>_xll.qlCalendarAdvance(Calendar,Z806,NDays&amp;"D")</f>
        <v>44819</v>
      </c>
      <c r="AB806" s="92">
        <v>1.8794631665366546E-2</v>
      </c>
      <c r="AC806" s="101">
        <v>1.8238999207982332E-2</v>
      </c>
    </row>
    <row r="807" spans="25:29" x14ac:dyDescent="0.2">
      <c r="Y807" s="105" t="str">
        <f t="shared" si="46"/>
        <v>1w</v>
      </c>
      <c r="Z807" s="93">
        <f>_xll.qlCalendarAdvance(Calendar,Z806,Y807,"f",FALSE)</f>
        <v>44824</v>
      </c>
      <c r="AA807" s="117">
        <f>_xll.qlCalendarAdvance(Calendar,Z807,NDays&amp;"D")</f>
        <v>44826</v>
      </c>
      <c r="AB807" s="92">
        <v>1.8830442907428468E-2</v>
      </c>
      <c r="AC807" s="101">
        <v>1.8276940908883432E-2</v>
      </c>
    </row>
    <row r="808" spans="25:29" x14ac:dyDescent="0.2">
      <c r="Y808" s="105" t="str">
        <f t="shared" si="46"/>
        <v>1w</v>
      </c>
      <c r="Z808" s="93">
        <f>_xll.qlCalendarAdvance(Calendar,Z807,Y808,"f",FALSE)</f>
        <v>44831</v>
      </c>
      <c r="AA808" s="117">
        <f>_xll.qlCalendarAdvance(Calendar,Z808,NDays&amp;"D")</f>
        <v>44833</v>
      </c>
      <c r="AB808" s="92">
        <v>1.8866061319481191E-2</v>
      </c>
      <c r="AC808" s="101">
        <v>1.8314690953173951E-2</v>
      </c>
    </row>
    <row r="809" spans="25:29" x14ac:dyDescent="0.2">
      <c r="Y809" s="105" t="str">
        <f t="shared" si="46"/>
        <v>1w</v>
      </c>
      <c r="Z809" s="93">
        <f>_xll.qlCalendarAdvance(Calendar,Z808,Y809,"f",FALSE)</f>
        <v>44838</v>
      </c>
      <c r="AA809" s="117">
        <f>_xll.qlCalendarAdvance(Calendar,Z809,NDays&amp;"D")</f>
        <v>44840</v>
      </c>
      <c r="AB809" s="92">
        <v>1.8904444966063316E-2</v>
      </c>
      <c r="AC809" s="101">
        <v>1.8352249340853888E-2</v>
      </c>
    </row>
    <row r="810" spans="25:29" x14ac:dyDescent="0.2">
      <c r="Y810" s="105" t="str">
        <f t="shared" si="46"/>
        <v>1w</v>
      </c>
      <c r="Z810" s="93">
        <f>_xll.qlCalendarAdvance(Calendar,Z809,Y810,"f",FALSE)</f>
        <v>44845</v>
      </c>
      <c r="AA810" s="117">
        <f>_xll.qlCalendarAdvance(Calendar,Z810,NDays&amp;"D")</f>
        <v>44847</v>
      </c>
      <c r="AB810" s="92">
        <v>1.8939665753225261E-2</v>
      </c>
      <c r="AC810" s="101">
        <v>1.8389616071843307E-2</v>
      </c>
    </row>
    <row r="811" spans="25:29" x14ac:dyDescent="0.2">
      <c r="Y811" s="105" t="str">
        <f t="shared" si="46"/>
        <v>1w</v>
      </c>
      <c r="Z811" s="93">
        <f>_xll.qlCalendarAdvance(Calendar,Z810,Y811,"f",FALSE)</f>
        <v>44852</v>
      </c>
      <c r="AA811" s="117">
        <f>_xll.qlCalendarAdvance(Calendar,Z811,NDays&amp;"D")</f>
        <v>44854</v>
      </c>
      <c r="AB811" s="92">
        <v>1.8974693672267055E-2</v>
      </c>
      <c r="AC811" s="101">
        <v>1.8426791145902399E-2</v>
      </c>
    </row>
    <row r="812" spans="25:29" x14ac:dyDescent="0.2">
      <c r="Y812" s="105" t="str">
        <f t="shared" si="46"/>
        <v>1w</v>
      </c>
      <c r="Z812" s="93">
        <f>_xll.qlCalendarAdvance(Calendar,Z811,Y812,"f",FALSE)</f>
        <v>44859</v>
      </c>
      <c r="AA812" s="117">
        <f>_xll.qlCalendarAdvance(Calendar,Z812,NDays&amp;"D")</f>
        <v>44861</v>
      </c>
      <c r="AB812" s="92">
        <v>1.9009528713017483E-2</v>
      </c>
      <c r="AC812" s="101">
        <v>1.8463774563191038E-2</v>
      </c>
    </row>
    <row r="813" spans="25:29" x14ac:dyDescent="0.2">
      <c r="Y813" s="105" t="str">
        <f t="shared" si="46"/>
        <v>1w</v>
      </c>
      <c r="Z813" s="93">
        <f>_xll.qlCalendarAdvance(Calendar,Z812,Y813,"f",FALSE)</f>
        <v>44866</v>
      </c>
      <c r="AA813" s="117">
        <f>_xll.qlCalendarAdvance(Calendar,Z813,NDays&amp;"D")</f>
        <v>44868</v>
      </c>
      <c r="AB813" s="92">
        <v>1.9041260571574566E-2</v>
      </c>
      <c r="AC813" s="101">
        <v>1.850056632354935E-2</v>
      </c>
    </row>
    <row r="814" spans="25:29" x14ac:dyDescent="0.2">
      <c r="Y814" s="105" t="str">
        <f t="shared" si="46"/>
        <v>1w</v>
      </c>
      <c r="Z814" s="93">
        <f>_xll.qlCalendarAdvance(Calendar,Z813,Y814,"f",FALSE)</f>
        <v>44873</v>
      </c>
      <c r="AA814" s="117">
        <f>_xll.qlCalendarAdvance(Calendar,Z814,NDays&amp;"D")</f>
        <v>44875</v>
      </c>
      <c r="AB814" s="92">
        <v>1.9075721789529841E-2</v>
      </c>
      <c r="AC814" s="101">
        <v>1.85371664268974E-2</v>
      </c>
    </row>
    <row r="815" spans="25:29" x14ac:dyDescent="0.2">
      <c r="Y815" s="105" t="str">
        <f t="shared" si="46"/>
        <v>1w</v>
      </c>
      <c r="Z815" s="93">
        <f>_xll.qlCalendarAdvance(Calendar,Z814,Y815,"f",FALSE)</f>
        <v>44880</v>
      </c>
      <c r="AA815" s="117">
        <f>_xll.qlCalendarAdvance(Calendar,Z815,NDays&amp;"D")</f>
        <v>44882</v>
      </c>
      <c r="AB815" s="92">
        <v>1.9109990106647268E-2</v>
      </c>
      <c r="AC815" s="101">
        <v>1.8573574873315124E-2</v>
      </c>
    </row>
    <row r="816" spans="25:29" x14ac:dyDescent="0.2">
      <c r="Y816" s="105" t="str">
        <f t="shared" si="46"/>
        <v>1w</v>
      </c>
      <c r="Z816" s="93">
        <f>_xll.qlCalendarAdvance(Calendar,Z815,Y816,"f",FALSE)</f>
        <v>44887</v>
      </c>
      <c r="AA816" s="117">
        <f>_xll.qlCalendarAdvance(Calendar,Z816,NDays&amp;"D")</f>
        <v>44889</v>
      </c>
      <c r="AB816" s="92">
        <v>1.9144065513031119E-2</v>
      </c>
      <c r="AC816" s="101">
        <v>1.860979166264265E-2</v>
      </c>
    </row>
    <row r="817" spans="25:29" x14ac:dyDescent="0.2">
      <c r="Y817" s="105" t="str">
        <f t="shared" si="46"/>
        <v>1w</v>
      </c>
      <c r="Z817" s="93">
        <f>_xll.qlCalendarAdvance(Calendar,Z816,Y817,"f",FALSE)</f>
        <v>44894</v>
      </c>
      <c r="AA817" s="117">
        <f>_xll.qlCalendarAdvance(Calendar,Z817,NDays&amp;"D")</f>
        <v>44896</v>
      </c>
      <c r="AB817" s="92">
        <v>1.9180810390333165E-2</v>
      </c>
      <c r="AC817" s="101">
        <v>1.8645816794800041E-2</v>
      </c>
    </row>
    <row r="818" spans="25:29" x14ac:dyDescent="0.2">
      <c r="Y818" s="105" t="str">
        <f t="shared" si="46"/>
        <v>1w</v>
      </c>
      <c r="Z818" s="93">
        <f>_xll.qlCalendarAdvance(Calendar,Z817,Y818,"f",FALSE)</f>
        <v>44901</v>
      </c>
      <c r="AA818" s="117">
        <f>_xll.qlCalendarAdvance(Calendar,Z818,NDays&amp;"D")</f>
        <v>44903</v>
      </c>
      <c r="AB818" s="92">
        <v>1.9214487950878285E-2</v>
      </c>
      <c r="AC818" s="101">
        <v>1.8681650269707362E-2</v>
      </c>
    </row>
    <row r="819" spans="25:29" x14ac:dyDescent="0.2">
      <c r="Y819" s="105" t="str">
        <f t="shared" si="46"/>
        <v>1w</v>
      </c>
      <c r="Z819" s="93">
        <f>_xll.qlCalendarAdvance(Calendar,Z818,Y819,"f",FALSE)</f>
        <v>44908</v>
      </c>
      <c r="AA819" s="117">
        <f>_xll.qlCalendarAdvance(Calendar,Z819,NDays&amp;"D")</f>
        <v>44910</v>
      </c>
      <c r="AB819" s="92">
        <v>1.9247972563502032E-2</v>
      </c>
      <c r="AC819" s="101">
        <v>1.8717292087444548E-2</v>
      </c>
    </row>
    <row r="820" spans="25:29" x14ac:dyDescent="0.2">
      <c r="Y820" s="105" t="str">
        <f t="shared" si="46"/>
        <v>1w</v>
      </c>
      <c r="Z820" s="93">
        <f>_xll.qlCalendarAdvance(Calendar,Z819,Y820,"f",FALSE)</f>
        <v>44915</v>
      </c>
      <c r="AA820" s="117">
        <f>_xll.qlCalendarAdvance(Calendar,Z820,NDays&amp;"D")</f>
        <v>44917</v>
      </c>
      <c r="AB820" s="92">
        <v>1.9281264218479872E-2</v>
      </c>
      <c r="AC820" s="101">
        <v>1.8752742247851728E-2</v>
      </c>
    </row>
    <row r="821" spans="25:29" x14ac:dyDescent="0.2">
      <c r="Y821" s="105" t="str">
        <f t="shared" si="46"/>
        <v>1w</v>
      </c>
      <c r="Z821" s="93">
        <f>_xll.qlCalendarAdvance(Calendar,Z820,Y821,"f",FALSE)</f>
        <v>44922</v>
      </c>
      <c r="AA821" s="117">
        <f>_xll.qlCalendarAdvance(Calendar,Z821,NDays&amp;"D")</f>
        <v>44924</v>
      </c>
      <c r="AB821" s="92">
        <v>1.9314362906144814E-2</v>
      </c>
      <c r="AC821" s="101">
        <v>1.8788000750848965E-2</v>
      </c>
    </row>
    <row r="822" spans="25:29" x14ac:dyDescent="0.2">
      <c r="Y822" s="105" t="str">
        <f t="shared" si="46"/>
        <v>1w</v>
      </c>
      <c r="Z822" s="93">
        <f>_xll.qlCalendarAdvance(Calendar,Z821,Y822,"f",FALSE)</f>
        <v>44929</v>
      </c>
      <c r="AA822" s="117">
        <f>_xll.qlCalendarAdvance(Calendar,Z822,NDays&amp;"D")</f>
        <v>44931</v>
      </c>
      <c r="AB822" s="92">
        <v>1.9344466271454679E-2</v>
      </c>
      <c r="AC822" s="101">
        <v>1.8823067596516196E-2</v>
      </c>
    </row>
    <row r="823" spans="25:29" x14ac:dyDescent="0.2">
      <c r="Y823" s="105" t="str">
        <f t="shared" si="46"/>
        <v>1w</v>
      </c>
      <c r="Z823" s="93">
        <f>_xll.qlCalendarAdvance(Calendar,Z822,Y823,"f",FALSE)</f>
        <v>44936</v>
      </c>
      <c r="AA823" s="117">
        <f>_xll.qlCalendarAdvance(Calendar,Z823,NDays&amp;"D")</f>
        <v>44938</v>
      </c>
      <c r="AB823" s="92">
        <v>1.9377190373280336E-2</v>
      </c>
      <c r="AC823" s="101">
        <v>1.8857942784613613E-2</v>
      </c>
    </row>
    <row r="824" spans="25:29" x14ac:dyDescent="0.2">
      <c r="Y824" s="105" t="str">
        <f t="shared" si="46"/>
        <v>1w</v>
      </c>
      <c r="Z824" s="93">
        <f>_xll.qlCalendarAdvance(Calendar,Z823,Y824,"f",FALSE)</f>
        <v>44943</v>
      </c>
      <c r="AA824" s="117">
        <f>_xll.qlCalendarAdvance(Calendar,Z824,NDays&amp;"D")</f>
        <v>44945</v>
      </c>
      <c r="AB824" s="92">
        <v>1.9409719076019471E-2</v>
      </c>
      <c r="AC824" s="101">
        <v>1.889262631522115E-2</v>
      </c>
    </row>
    <row r="825" spans="25:29" x14ac:dyDescent="0.2">
      <c r="Y825" s="105" t="str">
        <f t="shared" si="46"/>
        <v>1w</v>
      </c>
      <c r="Z825" s="93">
        <f>_xll.qlCalendarAdvance(Calendar,Z824,Y825,"f",FALSE)</f>
        <v>44950</v>
      </c>
      <c r="AA825" s="117">
        <f>_xll.qlCalendarAdvance(Calendar,Z825,NDays&amp;"D")</f>
        <v>44952</v>
      </c>
      <c r="AB825" s="92">
        <v>1.9442050494778953E-2</v>
      </c>
      <c r="AC825" s="101">
        <v>1.8927118188178937E-2</v>
      </c>
    </row>
    <row r="826" spans="25:29" x14ac:dyDescent="0.2">
      <c r="Y826" s="105" t="str">
        <f t="shared" si="46"/>
        <v>1w</v>
      </c>
      <c r="Z826" s="93">
        <f>_xll.qlCalendarAdvance(Calendar,Z825,Y826,"f",FALSE)</f>
        <v>44957</v>
      </c>
      <c r="AA826" s="117">
        <f>_xll.qlCalendarAdvance(Calendar,Z826,NDays&amp;"D")</f>
        <v>44959</v>
      </c>
      <c r="AB826" s="92">
        <v>1.9474182744601623E-2</v>
      </c>
      <c r="AC826" s="101">
        <v>1.8961418403486974E-2</v>
      </c>
    </row>
    <row r="827" spans="25:29" x14ac:dyDescent="0.2">
      <c r="Y827" s="105" t="str">
        <f t="shared" si="46"/>
        <v>1w</v>
      </c>
      <c r="Z827" s="93">
        <f>_xll.qlCalendarAdvance(Calendar,Z826,Y827,"f",FALSE)</f>
        <v>44964</v>
      </c>
      <c r="AA827" s="117">
        <f>_xll.qlCalendarAdvance(Calendar,Z827,NDays&amp;"D")</f>
        <v>44966</v>
      </c>
      <c r="AB827" s="92">
        <v>1.9506113940472906E-2</v>
      </c>
      <c r="AC827" s="101">
        <v>1.8995526961145259E-2</v>
      </c>
    </row>
    <row r="828" spans="25:29" x14ac:dyDescent="0.2">
      <c r="Y828" s="105" t="str">
        <f t="shared" si="46"/>
        <v>1w</v>
      </c>
      <c r="Z828" s="93">
        <f>_xll.qlCalendarAdvance(Calendar,Z827,Y828,"f",FALSE)</f>
        <v>44971</v>
      </c>
      <c r="AA828" s="117">
        <f>_xll.qlCalendarAdvance(Calendar,Z828,NDays&amp;"D")</f>
        <v>44973</v>
      </c>
      <c r="AB828" s="92">
        <v>1.9537842197315514E-2</v>
      </c>
      <c r="AC828" s="101">
        <v>1.9029443861073858E-2</v>
      </c>
    </row>
    <row r="829" spans="25:29" x14ac:dyDescent="0.2">
      <c r="Y829" s="105" t="str">
        <f t="shared" si="46"/>
        <v>1w</v>
      </c>
      <c r="Z829" s="93">
        <f>_xll.qlCalendarAdvance(Calendar,Z828,Y829,"f",FALSE)</f>
        <v>44978</v>
      </c>
      <c r="AA829" s="117">
        <f>_xll.qlCalendarAdvance(Calendar,Z829,NDays&amp;"D")</f>
        <v>44980</v>
      </c>
      <c r="AB829" s="92">
        <v>1.956936562999563E-2</v>
      </c>
      <c r="AC829" s="101">
        <v>1.9063169103112898E-2</v>
      </c>
    </row>
    <row r="830" spans="25:29" x14ac:dyDescent="0.2">
      <c r="Y830" s="105" t="str">
        <f t="shared" si="46"/>
        <v>1w</v>
      </c>
      <c r="Z830" s="93">
        <f>_xll.qlCalendarAdvance(Calendar,Z829,Y830,"f",FALSE)</f>
        <v>44985</v>
      </c>
      <c r="AA830" s="117">
        <f>_xll.qlCalendarAdvance(Calendar,Z830,NDays&amp;"D")</f>
        <v>44987</v>
      </c>
      <c r="AB830" s="92">
        <v>1.9614156919912817E-2</v>
      </c>
      <c r="AC830" s="101">
        <v>1.9096702687342315E-2</v>
      </c>
    </row>
    <row r="831" spans="25:29" x14ac:dyDescent="0.2">
      <c r="Y831" s="105" t="str">
        <f t="shared" si="46"/>
        <v>1w</v>
      </c>
      <c r="Z831" s="93">
        <f>_xll.qlCalendarAdvance(Calendar,Z830,Y831,"f",FALSE)</f>
        <v>44992</v>
      </c>
      <c r="AA831" s="117">
        <f>_xll.qlCalendarAdvance(Calendar,Z831,NDays&amp;"D")</f>
        <v>44994</v>
      </c>
      <c r="AB831" s="92">
        <v>1.9645194540187576E-2</v>
      </c>
      <c r="AC831" s="101">
        <v>1.9130044613682173E-2</v>
      </c>
    </row>
    <row r="832" spans="25:29" x14ac:dyDescent="0.2">
      <c r="Y832" s="105" t="str">
        <f t="shared" si="46"/>
        <v>1w</v>
      </c>
      <c r="Z832" s="93">
        <f>_xll.qlCalendarAdvance(Calendar,Z831,Y832,"f",FALSE)</f>
        <v>44999</v>
      </c>
      <c r="AA832" s="117">
        <f>_xll.qlCalendarAdvance(Calendar,Z832,NDays&amp;"D")</f>
        <v>45001</v>
      </c>
      <c r="AB832" s="92">
        <v>1.9676020797272157E-2</v>
      </c>
      <c r="AC832" s="101">
        <v>1.9163194881972601E-2</v>
      </c>
    </row>
    <row r="833" spans="25:29" x14ac:dyDescent="0.2">
      <c r="Y833" s="105" t="str">
        <f t="shared" si="46"/>
        <v>1w</v>
      </c>
      <c r="Z833" s="93">
        <f>_xll.qlCalendarAdvance(Calendar,Z832,Y833,"f",FALSE)</f>
        <v>45006</v>
      </c>
      <c r="AA833" s="117">
        <f>_xll.qlCalendarAdvance(Calendar,Z833,NDays&amp;"D")</f>
        <v>45008</v>
      </c>
      <c r="AB833" s="92">
        <v>1.9706633855450899E-2</v>
      </c>
      <c r="AC833" s="101">
        <v>1.9196153492213597E-2</v>
      </c>
    </row>
    <row r="834" spans="25:29" x14ac:dyDescent="0.2">
      <c r="Y834" s="105" t="str">
        <f t="shared" si="46"/>
        <v>1w</v>
      </c>
      <c r="Z834" s="93">
        <f>_xll.qlCalendarAdvance(Calendar,Z833,Y834,"f",FALSE)</f>
        <v>45013</v>
      </c>
      <c r="AA834" s="117">
        <f>_xll.qlCalendarAdvance(Calendar,Z834,NDays&amp;"D")</f>
        <v>45015</v>
      </c>
      <c r="AB834" s="92">
        <v>1.9729123470569786E-2</v>
      </c>
      <c r="AC834" s="101">
        <v>1.9228920444565034E-2</v>
      </c>
    </row>
    <row r="835" spans="25:29" x14ac:dyDescent="0.2">
      <c r="Y835" s="105" t="str">
        <f t="shared" si="46"/>
        <v>1w</v>
      </c>
      <c r="Z835" s="93">
        <f>_xll.qlCalendarAdvance(Calendar,Z834,Y835,"f",FALSE)</f>
        <v>45020</v>
      </c>
      <c r="AA835" s="117">
        <f>_xll.qlCalendarAdvance(Calendar,Z835,NDays&amp;"D")</f>
        <v>45022</v>
      </c>
      <c r="AB835" s="92">
        <v>1.9759348902444747E-2</v>
      </c>
      <c r="AC835" s="101">
        <v>1.9272827086055599E-2</v>
      </c>
    </row>
    <row r="836" spans="25:29" x14ac:dyDescent="0.2">
      <c r="Y836" s="105" t="str">
        <f t="shared" si="46"/>
        <v>1w</v>
      </c>
      <c r="Z836" s="93">
        <f>_xll.qlCalendarAdvance(Calendar,Z835,Y836,"f",FALSE)</f>
        <v>45027</v>
      </c>
      <c r="AA836" s="117">
        <f>_xll.qlCalendarAdvance(Calendar,Z836,NDays&amp;"D")</f>
        <v>45029</v>
      </c>
      <c r="AB836" s="92">
        <v>1.9789356034780822E-2</v>
      </c>
      <c r="AC836" s="101">
        <v>1.9293879374560063E-2</v>
      </c>
    </row>
    <row r="837" spans="25:29" x14ac:dyDescent="0.2">
      <c r="Y837" s="105" t="str">
        <f t="shared" si="46"/>
        <v>1w</v>
      </c>
      <c r="Z837" s="93">
        <f>_xll.qlCalendarAdvance(Calendar,Z836,Y837,"f",FALSE)</f>
        <v>45034</v>
      </c>
      <c r="AA837" s="117">
        <f>_xll.qlCalendarAdvance(Calendar,Z837,NDays&amp;"D")</f>
        <v>45036</v>
      </c>
      <c r="AB837" s="92">
        <v>1.9819143002237347E-2</v>
      </c>
      <c r="AC837" s="101">
        <v>1.9326071352203655E-2</v>
      </c>
    </row>
    <row r="838" spans="25:29" x14ac:dyDescent="0.2">
      <c r="Y838" s="105" t="str">
        <f t="shared" si="46"/>
        <v>1w</v>
      </c>
      <c r="Z838" s="93">
        <f>_xll.qlCalendarAdvance(Calendar,Z837,Y838,"f",FALSE)</f>
        <v>45041</v>
      </c>
      <c r="AA838" s="117">
        <f>_xll.qlCalendarAdvance(Calendar,Z838,NDays&amp;"D")</f>
        <v>45043</v>
      </c>
      <c r="AB838" s="92">
        <v>1.9848707939436525E-2</v>
      </c>
      <c r="AC838" s="101">
        <v>1.9358071671637944E-2</v>
      </c>
    </row>
    <row r="839" spans="25:29" x14ac:dyDescent="0.2">
      <c r="Y839" s="105" t="str">
        <f t="shared" si="46"/>
        <v>1w</v>
      </c>
      <c r="Z839" s="93">
        <f>_xll.qlCalendarAdvance(Calendar,Z838,Y839,"f",FALSE)</f>
        <v>45048</v>
      </c>
      <c r="AA839" s="117">
        <f>_xll.qlCalendarAdvance(Calendar,Z839,NDays&amp;"D")</f>
        <v>45050</v>
      </c>
      <c r="AB839" s="92">
        <v>1.9885732222012256E-2</v>
      </c>
      <c r="AC839" s="101">
        <v>1.9389880332623122E-2</v>
      </c>
    </row>
    <row r="840" spans="25:29" x14ac:dyDescent="0.2">
      <c r="Y840" s="105" t="str">
        <f t="shared" si="46"/>
        <v>1w</v>
      </c>
      <c r="Z840" s="93">
        <f>_xll.qlCalendarAdvance(Calendar,Z839,Y840,"f",FALSE)</f>
        <v>45055</v>
      </c>
      <c r="AA840" s="117">
        <f>_xll.qlCalendarAdvance(Calendar,Z840,NDays&amp;"D")</f>
        <v>45057</v>
      </c>
      <c r="AB840" s="92">
        <v>1.9914801484289129E-2</v>
      </c>
      <c r="AC840" s="101">
        <v>1.9421497335398996E-2</v>
      </c>
    </row>
    <row r="841" spans="25:29" x14ac:dyDescent="0.2">
      <c r="Y841" s="105" t="str">
        <f t="shared" si="46"/>
        <v>1w</v>
      </c>
      <c r="Z841" s="93">
        <f>_xll.qlCalendarAdvance(Calendar,Z840,Y841,"f",FALSE)</f>
        <v>45062</v>
      </c>
      <c r="AA841" s="117">
        <f>_xll.qlCalendarAdvance(Calendar,Z841,NDays&amp;"D")</f>
        <v>45064</v>
      </c>
      <c r="AB841" s="92">
        <v>1.9943642860485247E-2</v>
      </c>
      <c r="AC841" s="101">
        <v>1.9452922679565887E-2</v>
      </c>
    </row>
    <row r="842" spans="25:29" x14ac:dyDescent="0.2">
      <c r="Y842" s="105" t="str">
        <f t="shared" si="46"/>
        <v>1w</v>
      </c>
      <c r="Z842" s="93">
        <f>_xll.qlCalendarAdvance(Calendar,Z841,Y842,"f",FALSE)</f>
        <v>45069</v>
      </c>
      <c r="AA842" s="117">
        <f>_xll.qlCalendarAdvance(Calendar,Z842,NDays&amp;"D")</f>
        <v>45071</v>
      </c>
      <c r="AB842" s="92">
        <v>1.997225451455488E-2</v>
      </c>
      <c r="AC842" s="101">
        <v>1.9484156365363603E-2</v>
      </c>
    </row>
    <row r="843" spans="25:29" x14ac:dyDescent="0.2">
      <c r="Y843" s="105" t="str">
        <f t="shared" si="46"/>
        <v>1w</v>
      </c>
      <c r="Z843" s="93">
        <f>_xll.qlCalendarAdvance(Calendar,Z842,Y843,"f",FALSE)</f>
        <v>45076</v>
      </c>
      <c r="AA843" s="117">
        <f>_xll.qlCalendarAdvance(Calendar,Z843,NDays&amp;"D")</f>
        <v>45078</v>
      </c>
      <c r="AB843" s="92">
        <v>1.9993136880911422E-2</v>
      </c>
      <c r="AC843" s="101">
        <v>1.9515198392632271E-2</v>
      </c>
    </row>
    <row r="844" spans="25:29" x14ac:dyDescent="0.2">
      <c r="Y844" s="105" t="str">
        <f t="shared" si="46"/>
        <v>1w</v>
      </c>
      <c r="Z844" s="93">
        <f>_xll.qlCalendarAdvance(Calendar,Z843,Y844,"f",FALSE)</f>
        <v>45083</v>
      </c>
      <c r="AA844" s="117">
        <f>_xll.qlCalendarAdvance(Calendar,Z844,NDays&amp;"D")</f>
        <v>45085</v>
      </c>
      <c r="AB844" s="92">
        <v>2.0021330461736566E-2</v>
      </c>
      <c r="AC844" s="101">
        <v>1.954604876121202E-2</v>
      </c>
    </row>
    <row r="845" spans="25:29" x14ac:dyDescent="0.2">
      <c r="Y845" s="105" t="str">
        <f t="shared" si="46"/>
        <v>1w</v>
      </c>
      <c r="Z845" s="93">
        <f>_xll.qlCalendarAdvance(Calendar,Z844,Y845,"f",FALSE)</f>
        <v>45090</v>
      </c>
      <c r="AA845" s="117">
        <f>_xll.qlCalendarAdvance(Calendar,Z845,NDays&amp;"D")</f>
        <v>45092</v>
      </c>
      <c r="AB845" s="92">
        <v>2.0049288953757332E-2</v>
      </c>
      <c r="AC845" s="101">
        <v>1.9576707471182786E-2</v>
      </c>
    </row>
    <row r="846" spans="25:29" x14ac:dyDescent="0.2">
      <c r="Y846" s="105" t="str">
        <f t="shared" si="46"/>
        <v>1w</v>
      </c>
      <c r="Z846" s="93">
        <f>_xll.qlCalendarAdvance(Calendar,Z845,Y846,"f",FALSE)</f>
        <v>45097</v>
      </c>
      <c r="AA846" s="117">
        <f>_xll.qlCalendarAdvance(Calendar,Z846,NDays&amp;"D")</f>
        <v>45099</v>
      </c>
      <c r="AB846" s="92">
        <v>2.0077010491362665E-2</v>
      </c>
      <c r="AC846" s="101">
        <v>1.9607174522464632E-2</v>
      </c>
    </row>
    <row r="847" spans="25:29" x14ac:dyDescent="0.2">
      <c r="Y847" s="105" t="str">
        <f t="shared" si="46"/>
        <v>1w</v>
      </c>
      <c r="Z847" s="93">
        <f>_xll.qlCalendarAdvance(Calendar,Z846,Y847,"f",FALSE)</f>
        <v>45104</v>
      </c>
      <c r="AA847" s="117">
        <f>_xll.qlCalendarAdvance(Calendar,Z847,NDays&amp;"D")</f>
        <v>45106</v>
      </c>
      <c r="AB847" s="92">
        <v>2.010449320892491E-2</v>
      </c>
      <c r="AC847" s="101">
        <v>1.9637449915057559E-2</v>
      </c>
    </row>
    <row r="848" spans="25:29" x14ac:dyDescent="0.2">
      <c r="Y848" s="105" t="str">
        <f t="shared" si="46"/>
        <v>1w</v>
      </c>
      <c r="Z848" s="93">
        <f>_xll.qlCalendarAdvance(Calendar,Z847,Y848,"f",FALSE)</f>
        <v>45111</v>
      </c>
      <c r="AA848" s="117">
        <f>_xll.qlCalendarAdvance(Calendar,Z848,NDays&amp;"D")</f>
        <v>45113</v>
      </c>
      <c r="AB848" s="92">
        <v>2.0138997476593947E-2</v>
      </c>
      <c r="AC848" s="101">
        <v>1.9667527604916302E-2</v>
      </c>
    </row>
    <row r="849" spans="25:29" x14ac:dyDescent="0.2">
      <c r="Y849" s="105" t="str">
        <f t="shared" si="46"/>
        <v>1w</v>
      </c>
      <c r="Z849" s="93">
        <f>_xll.qlCalendarAdvance(Calendar,Z848,Y849,"f",FALSE)</f>
        <v>45118</v>
      </c>
      <c r="AA849" s="117">
        <f>_xll.qlCalendarAdvance(Calendar,Z849,NDays&amp;"D")</f>
        <v>45120</v>
      </c>
      <c r="AB849" s="92">
        <v>2.0165950527899202E-2</v>
      </c>
      <c r="AC849" s="101">
        <v>1.9697371654707752E-2</v>
      </c>
    </row>
    <row r="850" spans="25:29" x14ac:dyDescent="0.2">
      <c r="Y850" s="105" t="str">
        <f t="shared" si="46"/>
        <v>1w</v>
      </c>
      <c r="Z850" s="93">
        <f>_xll.qlCalendarAdvance(Calendar,Z849,Y850,"f",FALSE)</f>
        <v>45125</v>
      </c>
      <c r="AA850" s="117">
        <f>_xll.qlCalendarAdvance(Calendar,Z850,NDays&amp;"D")</f>
        <v>45127</v>
      </c>
      <c r="AB850" s="92">
        <v>2.0192661776756285E-2</v>
      </c>
      <c r="AC850" s="101">
        <v>1.9726976020386644E-2</v>
      </c>
    </row>
    <row r="851" spans="25:29" x14ac:dyDescent="0.2">
      <c r="Y851" s="105" t="str">
        <f t="shared" si="46"/>
        <v>1w</v>
      </c>
      <c r="Z851" s="93">
        <f>_xll.qlCalendarAdvance(Calendar,Z850,Y851,"f",FALSE)</f>
        <v>45132</v>
      </c>
      <c r="AA851" s="117">
        <f>_xll.qlCalendarAdvance(Calendar,Z851,NDays&amp;"D")</f>
        <v>45134</v>
      </c>
      <c r="AB851" s="92">
        <v>2.0219131213246675E-2</v>
      </c>
      <c r="AC851" s="101">
        <v>1.9756340701952979E-2</v>
      </c>
    </row>
    <row r="852" spans="25:29" x14ac:dyDescent="0.2">
      <c r="Y852" s="105" t="str">
        <f t="shared" si="46"/>
        <v>1w</v>
      </c>
      <c r="Z852" s="93">
        <f>_xll.qlCalendarAdvance(Calendar,Z851,Y852,"f",FALSE)</f>
        <v>45139</v>
      </c>
      <c r="AA852" s="117">
        <f>_xll.qlCalendarAdvance(Calendar,Z852,NDays&amp;"D")</f>
        <v>45141</v>
      </c>
      <c r="AB852" s="92">
        <v>2.0245358827542543E-2</v>
      </c>
      <c r="AC852" s="101">
        <v>1.9785465699326821E-2</v>
      </c>
    </row>
    <row r="853" spans="25:29" x14ac:dyDescent="0.2">
      <c r="Y853" s="105" t="str">
        <f t="shared" ref="Y853:Y916" si="47">Y852</f>
        <v>1w</v>
      </c>
      <c r="Z853" s="93">
        <f>_xll.qlCalendarAdvance(Calendar,Z852,Y853,"f",FALSE)</f>
        <v>45146</v>
      </c>
      <c r="AA853" s="117">
        <f>_xll.qlCalendarAdvance(Calendar,Z853,NDays&amp;"D")</f>
        <v>45148</v>
      </c>
      <c r="AB853" s="92">
        <v>2.0271344609905005E-2</v>
      </c>
      <c r="AC853" s="101">
        <v>1.9814351012348297E-2</v>
      </c>
    </row>
    <row r="854" spans="25:29" x14ac:dyDescent="0.2">
      <c r="Y854" s="105" t="str">
        <f t="shared" si="47"/>
        <v>1w</v>
      </c>
      <c r="Z854" s="93">
        <f>_xll.qlCalendarAdvance(Calendar,Z853,Y854,"f",FALSE)</f>
        <v>45153</v>
      </c>
      <c r="AA854" s="117">
        <f>_xll.qlCalendarAdvance(Calendar,Z854,NDays&amp;"D")</f>
        <v>45155</v>
      </c>
      <c r="AB854" s="92">
        <v>2.0297088550684576E-2</v>
      </c>
      <c r="AC854" s="101">
        <v>1.9842996641097344E-2</v>
      </c>
    </row>
    <row r="855" spans="25:29" x14ac:dyDescent="0.2">
      <c r="Y855" s="105" t="str">
        <f t="shared" si="47"/>
        <v>1w</v>
      </c>
      <c r="Z855" s="93">
        <f>_xll.qlCalendarAdvance(Calendar,Z854,Y855,"f",FALSE)</f>
        <v>45160</v>
      </c>
      <c r="AA855" s="117">
        <f>_xll.qlCalendarAdvance(Calendar,Z855,NDays&amp;"D")</f>
        <v>45162</v>
      </c>
      <c r="AB855" s="92">
        <v>2.0322590640322456E-2</v>
      </c>
      <c r="AC855" s="101">
        <v>1.9871402585573961E-2</v>
      </c>
    </row>
    <row r="856" spans="25:29" x14ac:dyDescent="0.2">
      <c r="Y856" s="105" t="str">
        <f t="shared" si="47"/>
        <v>1w</v>
      </c>
      <c r="Z856" s="93">
        <f>_xll.qlCalendarAdvance(Calendar,Z855,Y856,"f",FALSE)</f>
        <v>45167</v>
      </c>
      <c r="AA856" s="117">
        <f>_xll.qlCalendarAdvance(Calendar,Z856,NDays&amp;"D")</f>
        <v>45169</v>
      </c>
      <c r="AB856" s="92">
        <v>2.0338671038432479E-2</v>
      </c>
      <c r="AC856" s="101">
        <v>1.9899568845458404E-2</v>
      </c>
    </row>
    <row r="857" spans="25:29" x14ac:dyDescent="0.2">
      <c r="Y857" s="105" t="str">
        <f t="shared" si="47"/>
        <v>1w</v>
      </c>
      <c r="Z857" s="93">
        <f>_xll.qlCalendarAdvance(Calendar,Z856,Y857,"f",FALSE)</f>
        <v>45174</v>
      </c>
      <c r="AA857" s="117">
        <f>_xll.qlCalendarAdvance(Calendar,Z857,NDays&amp;"D")</f>
        <v>45176</v>
      </c>
      <c r="AB857" s="92">
        <v>2.0363752864746388E-2</v>
      </c>
      <c r="AC857" s="101">
        <v>1.9927495420910546E-2</v>
      </c>
    </row>
    <row r="858" spans="25:29" x14ac:dyDescent="0.2">
      <c r="Y858" s="105" t="str">
        <f t="shared" si="47"/>
        <v>1w</v>
      </c>
      <c r="Z858" s="93">
        <f>_xll.qlCalendarAdvance(Calendar,Z857,Y858,"f",FALSE)</f>
        <v>45181</v>
      </c>
      <c r="AA858" s="117">
        <f>_xll.qlCalendarAdvance(Calendar,Z858,NDays&amp;"D")</f>
        <v>45183</v>
      </c>
      <c r="AB858" s="92">
        <v>2.0388592861976508E-2</v>
      </c>
      <c r="AC858" s="101">
        <v>1.995518231185045E-2</v>
      </c>
    </row>
    <row r="859" spans="25:29" x14ac:dyDescent="0.2">
      <c r="Y859" s="105" t="str">
        <f t="shared" si="47"/>
        <v>1w</v>
      </c>
      <c r="Z859" s="93">
        <f>_xll.qlCalendarAdvance(Calendar,Z858,Y859,"f",FALSE)</f>
        <v>45188</v>
      </c>
      <c r="AA859" s="117">
        <f>_xll.qlCalendarAdvance(Calendar,Z859,NDays&amp;"D")</f>
        <v>45190</v>
      </c>
      <c r="AB859" s="92">
        <v>2.0413191021097531E-2</v>
      </c>
      <c r="AC859" s="101">
        <v>1.9982629518118245E-2</v>
      </c>
    </row>
    <row r="860" spans="25:29" x14ac:dyDescent="0.2">
      <c r="Y860" s="105" t="str">
        <f t="shared" si="47"/>
        <v>1w</v>
      </c>
      <c r="Z860" s="93">
        <f>_xll.qlCalendarAdvance(Calendar,Z859,Y860,"f",FALSE)</f>
        <v>45195</v>
      </c>
      <c r="AA860" s="117">
        <f>_xll.qlCalendarAdvance(Calendar,Z860,NDays&amp;"D")</f>
        <v>45197</v>
      </c>
      <c r="AB860" s="92">
        <v>2.0437547333170668E-2</v>
      </c>
      <c r="AC860" s="101">
        <v>2.0009837039713929E-2</v>
      </c>
    </row>
    <row r="861" spans="25:29" x14ac:dyDescent="0.2">
      <c r="Y861" s="105" t="str">
        <f t="shared" si="47"/>
        <v>1w</v>
      </c>
      <c r="Z861" s="93">
        <f>_xll.qlCalendarAdvance(Calendar,Z860,Y861,"f",FALSE)</f>
        <v>45202</v>
      </c>
      <c r="AA861" s="117">
        <f>_xll.qlCalendarAdvance(Calendar,Z861,NDays&amp;"D")</f>
        <v>45204</v>
      </c>
      <c r="AB861" s="92">
        <v>2.046387944578152E-2</v>
      </c>
      <c r="AC861" s="101">
        <v>2.0036804876797376E-2</v>
      </c>
    </row>
    <row r="862" spans="25:29" x14ac:dyDescent="0.2">
      <c r="Y862" s="105" t="str">
        <f t="shared" si="47"/>
        <v>1w</v>
      </c>
      <c r="Z862" s="93">
        <f>_xll.qlCalendarAdvance(Calendar,Z861,Y862,"f",FALSE)</f>
        <v>45209</v>
      </c>
      <c r="AA862" s="117">
        <f>_xll.qlCalendarAdvance(Calendar,Z862,NDays&amp;"D")</f>
        <v>45211</v>
      </c>
      <c r="AB862" s="92">
        <v>2.0487736109871417E-2</v>
      </c>
      <c r="AC862" s="101">
        <v>2.0063533028968905E-2</v>
      </c>
    </row>
    <row r="863" spans="25:29" x14ac:dyDescent="0.2">
      <c r="Y863" s="105" t="str">
        <f t="shared" si="47"/>
        <v>1w</v>
      </c>
      <c r="Z863" s="93">
        <f>_xll.qlCalendarAdvance(Calendar,Z862,Y863,"f",FALSE)</f>
        <v>45216</v>
      </c>
      <c r="AA863" s="117">
        <f>_xll.qlCalendarAdvance(Calendar,Z863,NDays&amp;"D")</f>
        <v>45218</v>
      </c>
      <c r="AB863" s="92">
        <v>2.0511350887874636E-2</v>
      </c>
      <c r="AC863" s="101">
        <v>2.0090021496308452E-2</v>
      </c>
    </row>
    <row r="864" spans="25:29" x14ac:dyDescent="0.2">
      <c r="Y864" s="105" t="str">
        <f t="shared" si="47"/>
        <v>1w</v>
      </c>
      <c r="Z864" s="93">
        <f>_xll.qlCalendarAdvance(Calendar,Z863,Y864,"f",FALSE)</f>
        <v>45223</v>
      </c>
      <c r="AA864" s="117">
        <f>_xll.qlCalendarAdvance(Calendar,Z864,NDays&amp;"D")</f>
        <v>45225</v>
      </c>
      <c r="AB864" s="92">
        <v>2.0534723771163763E-2</v>
      </c>
      <c r="AC864" s="101">
        <v>2.0116270278816017E-2</v>
      </c>
    </row>
    <row r="865" spans="25:29" x14ac:dyDescent="0.2">
      <c r="Y865" s="105" t="str">
        <f t="shared" si="47"/>
        <v>1w</v>
      </c>
      <c r="Z865" s="93">
        <f>_xll.qlCalendarAdvance(Calendar,Z864,Y865,"f",FALSE)</f>
        <v>45230</v>
      </c>
      <c r="AA865" s="117">
        <f>_xll.qlCalendarAdvance(Calendar,Z865,NDays&amp;"D")</f>
        <v>45232</v>
      </c>
      <c r="AB865" s="92">
        <v>2.0555700881153532E-2</v>
      </c>
      <c r="AC865" s="101">
        <v>2.0142279376331729E-2</v>
      </c>
    </row>
    <row r="866" spans="25:29" x14ac:dyDescent="0.2">
      <c r="Y866" s="105" t="str">
        <f t="shared" si="47"/>
        <v>1w</v>
      </c>
      <c r="Z866" s="93">
        <f>_xll.qlCalendarAdvance(Calendar,Z865,Y866,"f",FALSE)</f>
        <v>45237</v>
      </c>
      <c r="AA866" s="117">
        <f>_xll.qlCalendarAdvance(Calendar,Z866,NDays&amp;"D")</f>
        <v>45239</v>
      </c>
      <c r="AB866" s="92">
        <v>2.0578605928166894E-2</v>
      </c>
      <c r="AC866" s="101">
        <v>2.0168048788935522E-2</v>
      </c>
    </row>
    <row r="867" spans="25:29" x14ac:dyDescent="0.2">
      <c r="Y867" s="105" t="str">
        <f t="shared" si="47"/>
        <v>1w</v>
      </c>
      <c r="Z867" s="93">
        <f>_xll.qlCalendarAdvance(Calendar,Z866,Y867,"f",FALSE)</f>
        <v>45244</v>
      </c>
      <c r="AA867" s="117">
        <f>_xll.qlCalendarAdvance(Calendar,Z867,NDays&amp;"D")</f>
        <v>45246</v>
      </c>
      <c r="AB867" s="92">
        <v>2.0601269068027488E-2</v>
      </c>
      <c r="AC867" s="101">
        <v>2.0193578516547461E-2</v>
      </c>
    </row>
    <row r="868" spans="25:29" x14ac:dyDescent="0.2">
      <c r="Y868" s="105" t="str">
        <f t="shared" si="47"/>
        <v>1w</v>
      </c>
      <c r="Z868" s="93">
        <f>_xll.qlCalendarAdvance(Calendar,Z867,Y868,"f",FALSE)</f>
        <v>45251</v>
      </c>
      <c r="AA868" s="117">
        <f>_xll.qlCalendarAdvance(Calendar,Z868,NDays&amp;"D")</f>
        <v>45253</v>
      </c>
      <c r="AB868" s="92">
        <v>2.0623690292499698E-2</v>
      </c>
      <c r="AC868" s="101">
        <v>2.021886855908761E-2</v>
      </c>
    </row>
    <row r="869" spans="25:29" x14ac:dyDescent="0.2">
      <c r="Y869" s="105" t="str">
        <f t="shared" si="47"/>
        <v>1w</v>
      </c>
      <c r="Z869" s="93">
        <f>_xll.qlCalendarAdvance(Calendar,Z868,Y869,"f",FALSE)</f>
        <v>45258</v>
      </c>
      <c r="AA869" s="117">
        <f>_xll.qlCalendarAdvance(Calendar,Z869,NDays&amp;"D")</f>
        <v>45260</v>
      </c>
      <c r="AB869" s="92">
        <v>2.0647959471097849E-2</v>
      </c>
      <c r="AC869" s="101">
        <v>2.0243918916396098E-2</v>
      </c>
    </row>
    <row r="870" spans="25:29" x14ac:dyDescent="0.2">
      <c r="Y870" s="105" t="str">
        <f t="shared" si="47"/>
        <v>1w</v>
      </c>
      <c r="Z870" s="93">
        <f>_xll.qlCalendarAdvance(Calendar,Z869,Y870,"f",FALSE)</f>
        <v>45265</v>
      </c>
      <c r="AA870" s="117">
        <f>_xll.qlCalendarAdvance(Calendar,Z870,NDays&amp;"D")</f>
        <v>45267</v>
      </c>
      <c r="AB870" s="92">
        <v>2.066988080986043E-2</v>
      </c>
      <c r="AC870" s="101">
        <v>2.0268729588632795E-2</v>
      </c>
    </row>
    <row r="871" spans="25:29" x14ac:dyDescent="0.2">
      <c r="Y871" s="105" t="str">
        <f t="shared" si="47"/>
        <v>1w</v>
      </c>
      <c r="Z871" s="93">
        <f>_xll.qlCalendarAdvance(Calendar,Z870,Y871,"f",FALSE)</f>
        <v>45272</v>
      </c>
      <c r="AA871" s="117">
        <f>_xll.qlCalendarAdvance(Calendar,Z871,NDays&amp;"D")</f>
        <v>45274</v>
      </c>
      <c r="AB871" s="92">
        <v>2.0691560195985854E-2</v>
      </c>
      <c r="AC871" s="101">
        <v>2.0293300575557893E-2</v>
      </c>
    </row>
    <row r="872" spans="25:29" x14ac:dyDescent="0.2">
      <c r="Y872" s="105" t="str">
        <f t="shared" si="47"/>
        <v>1w</v>
      </c>
      <c r="Z872" s="93">
        <f>_xll.qlCalendarAdvance(Calendar,Z871,Y872,"f",FALSE)</f>
        <v>45279</v>
      </c>
      <c r="AA872" s="117">
        <f>_xll.qlCalendarAdvance(Calendar,Z872,NDays&amp;"D")</f>
        <v>45281</v>
      </c>
      <c r="AB872" s="92">
        <v>2.0712997621553892E-2</v>
      </c>
      <c r="AC872" s="101">
        <v>2.031763187725133E-2</v>
      </c>
    </row>
    <row r="873" spans="25:29" x14ac:dyDescent="0.2">
      <c r="Y873" s="105" t="str">
        <f t="shared" si="47"/>
        <v>1w</v>
      </c>
      <c r="Z873" s="93">
        <f>_xll.qlCalendarAdvance(Calendar,Z872,Y873,"f",FALSE)</f>
        <v>45287</v>
      </c>
      <c r="AA873" s="117">
        <f>_xll.qlCalendarAdvance(Calendar,Z873,NDays&amp;"D")</f>
        <v>45289</v>
      </c>
      <c r="AB873" s="92">
        <v>2.0735177868203784E-2</v>
      </c>
      <c r="AC873" s="101">
        <v>2.0351992118723405E-2</v>
      </c>
    </row>
    <row r="874" spans="25:29" x14ac:dyDescent="0.2">
      <c r="Y874" s="105" t="str">
        <f t="shared" si="47"/>
        <v>1w</v>
      </c>
      <c r="Z874" s="93">
        <f>_xll.qlCalendarAdvance(Calendar,Z873,Y874,"f",FALSE)</f>
        <v>45294</v>
      </c>
      <c r="AA874" s="117">
        <f>_xll.qlCalendarAdvance(Calendar,Z874,NDays&amp;"D")</f>
        <v>45296</v>
      </c>
      <c r="AB874" s="92">
        <v>2.0756113002354425E-2</v>
      </c>
      <c r="AC874" s="101">
        <v>2.0373497497274684E-2</v>
      </c>
    </row>
    <row r="875" spans="25:29" x14ac:dyDescent="0.2">
      <c r="Y875" s="105" t="str">
        <f t="shared" si="47"/>
        <v>1w</v>
      </c>
      <c r="Z875" s="93">
        <f>_xll.qlCalendarAdvance(Calendar,Z874,Y875,"f",FALSE)</f>
        <v>45301</v>
      </c>
      <c r="AA875" s="117">
        <f>_xll.qlCalendarAdvance(Calendar,Z875,NDays&amp;"D")</f>
        <v>45303</v>
      </c>
      <c r="AB875" s="92">
        <v>2.077681095761667E-2</v>
      </c>
      <c r="AC875" s="101">
        <v>2.0397043927546932E-2</v>
      </c>
    </row>
    <row r="876" spans="25:29" x14ac:dyDescent="0.2">
      <c r="Y876" s="105" t="str">
        <f t="shared" si="47"/>
        <v>1w</v>
      </c>
      <c r="Z876" s="93">
        <f>_xll.qlCalendarAdvance(Calendar,Z875,Y876,"f",FALSE)</f>
        <v>45308</v>
      </c>
      <c r="AA876" s="117">
        <f>_xll.qlCalendarAdvance(Calendar,Z876,NDays&amp;"D")</f>
        <v>45310</v>
      </c>
      <c r="AB876" s="92">
        <v>2.0797281829019944E-2</v>
      </c>
      <c r="AC876" s="101">
        <v>2.042035064826031E-2</v>
      </c>
    </row>
    <row r="877" spans="25:29" x14ac:dyDescent="0.2">
      <c r="Y877" s="105" t="str">
        <f t="shared" si="47"/>
        <v>1w</v>
      </c>
      <c r="Z877" s="93">
        <f>_xll.qlCalendarAdvance(Calendar,Z876,Y877,"f",FALSE)</f>
        <v>45315</v>
      </c>
      <c r="AA877" s="117">
        <f>_xll.qlCalendarAdvance(Calendar,Z877,NDays&amp;"D")</f>
        <v>45317</v>
      </c>
      <c r="AB877" s="92">
        <v>2.0817536036340501E-2</v>
      </c>
      <c r="AC877" s="101">
        <v>2.0443417659254948E-2</v>
      </c>
    </row>
    <row r="878" spans="25:29" x14ac:dyDescent="0.2">
      <c r="Y878" s="105" t="str">
        <f t="shared" si="47"/>
        <v>1w</v>
      </c>
      <c r="Z878" s="93">
        <f>_xll.qlCalendarAdvance(Calendar,Z877,Y878,"f",FALSE)</f>
        <v>45322</v>
      </c>
      <c r="AA878" s="117">
        <f>_xll.qlCalendarAdvance(Calendar,Z878,NDays&amp;"D")</f>
        <v>45324</v>
      </c>
      <c r="AB878" s="92">
        <v>2.0837583999849137E-2</v>
      </c>
      <c r="AC878" s="101">
        <v>2.0466244960344326E-2</v>
      </c>
    </row>
    <row r="879" spans="25:29" x14ac:dyDescent="0.2">
      <c r="Y879" s="105" t="str">
        <f t="shared" si="47"/>
        <v>1w</v>
      </c>
      <c r="Z879" s="93">
        <f>_xll.qlCalendarAdvance(Calendar,Z878,Y879,"f",FALSE)</f>
        <v>45329</v>
      </c>
      <c r="AA879" s="117">
        <f>_xll.qlCalendarAdvance(Calendar,Z879,NDays&amp;"D")</f>
        <v>45331</v>
      </c>
      <c r="AB879" s="92">
        <v>2.0857436140301541E-2</v>
      </c>
      <c r="AC879" s="101">
        <v>2.048883255144851E-2</v>
      </c>
    </row>
    <row r="880" spans="25:29" x14ac:dyDescent="0.2">
      <c r="Y880" s="105" t="str">
        <f t="shared" si="47"/>
        <v>1w</v>
      </c>
      <c r="Z880" s="93">
        <f>_xll.qlCalendarAdvance(Calendar,Z879,Y880,"f",FALSE)</f>
        <v>45336</v>
      </c>
      <c r="AA880" s="117">
        <f>_xll.qlCalendarAdvance(Calendar,Z880,NDays&amp;"D")</f>
        <v>45338</v>
      </c>
      <c r="AB880" s="92">
        <v>2.0877102878926867E-2</v>
      </c>
      <c r="AC880" s="101">
        <v>2.0511180432407627E-2</v>
      </c>
    </row>
    <row r="881" spans="25:29" x14ac:dyDescent="0.2">
      <c r="Y881" s="105" t="str">
        <f t="shared" si="47"/>
        <v>1w</v>
      </c>
      <c r="Z881" s="93">
        <f>_xll.qlCalendarAdvance(Calendar,Z880,Y881,"f",FALSE)</f>
        <v>45343</v>
      </c>
      <c r="AA881" s="117">
        <f>_xll.qlCalendarAdvance(Calendar,Z881,NDays&amp;"D")</f>
        <v>45345</v>
      </c>
      <c r="AB881" s="92">
        <v>2.0896594637419396E-2</v>
      </c>
      <c r="AC881" s="101">
        <v>2.0533288603088451E-2</v>
      </c>
    </row>
    <row r="882" spans="25:29" x14ac:dyDescent="0.2">
      <c r="Y882" s="105" t="str">
        <f t="shared" si="47"/>
        <v>1w</v>
      </c>
      <c r="Z882" s="93">
        <f>_xll.qlCalendarAdvance(Calendar,Z881,Y882,"f",FALSE)</f>
        <v>45350</v>
      </c>
      <c r="AA882" s="117">
        <f>_xll.qlCalendarAdvance(Calendar,Z882,NDays&amp;"D")</f>
        <v>45352</v>
      </c>
      <c r="AB882" s="92">
        <v>2.0921699386516994E-2</v>
      </c>
      <c r="AC882" s="101">
        <v>2.0555157063384399E-2</v>
      </c>
    </row>
    <row r="883" spans="25:29" x14ac:dyDescent="0.2">
      <c r="Y883" s="105" t="str">
        <f t="shared" si="47"/>
        <v>1w</v>
      </c>
      <c r="Z883" s="93">
        <f>_xll.qlCalendarAdvance(Calendar,Z882,Y883,"f",FALSE)</f>
        <v>45357</v>
      </c>
      <c r="AA883" s="117">
        <f>_xll.qlCalendarAdvance(Calendar,Z883,NDays&amp;"D")</f>
        <v>45359</v>
      </c>
      <c r="AB883" s="92">
        <v>2.0940857359641008E-2</v>
      </c>
      <c r="AC883" s="101">
        <v>2.0576785813108955E-2</v>
      </c>
    </row>
    <row r="884" spans="25:29" x14ac:dyDescent="0.2">
      <c r="Y884" s="105" t="str">
        <f t="shared" si="47"/>
        <v>1w</v>
      </c>
      <c r="Z884" s="93">
        <f>_xll.qlCalendarAdvance(Calendar,Z883,Y884,"f",FALSE)</f>
        <v>45364</v>
      </c>
      <c r="AA884" s="117">
        <f>_xll.qlCalendarAdvance(Calendar,Z884,NDays&amp;"D")</f>
        <v>45366</v>
      </c>
      <c r="AB884" s="92">
        <v>2.0959874400447963E-2</v>
      </c>
      <c r="AC884" s="101">
        <v>2.0598174852182183E-2</v>
      </c>
    </row>
    <row r="885" spans="25:29" x14ac:dyDescent="0.2">
      <c r="Y885" s="105" t="str">
        <f t="shared" si="47"/>
        <v>1w</v>
      </c>
      <c r="Z885" s="93">
        <f>_xll.qlCalendarAdvance(Calendar,Z884,Y885,"f",FALSE)</f>
        <v>45371</v>
      </c>
      <c r="AA885" s="117">
        <f>_xll.qlCalendarAdvance(Calendar,Z885,NDays&amp;"D")</f>
        <v>45373</v>
      </c>
      <c r="AB885" s="92">
        <v>2.0978760765122517E-2</v>
      </c>
      <c r="AC885" s="101">
        <v>2.061932418044421E-2</v>
      </c>
    </row>
    <row r="886" spans="25:29" x14ac:dyDescent="0.2">
      <c r="Y886" s="105" t="str">
        <f t="shared" si="47"/>
        <v>1w</v>
      </c>
      <c r="Z886" s="93">
        <f>_xll.qlCalendarAdvance(Calendar,Z885,Y886,"f",FALSE)</f>
        <v>45378</v>
      </c>
      <c r="AA886" s="117">
        <f>_xll.qlCalendarAdvance(Calendar,Z886,NDays&amp;"D")</f>
        <v>45384</v>
      </c>
      <c r="AB886" s="92">
        <v>2.1004379788897878E-2</v>
      </c>
      <c r="AC886" s="101">
        <v>2.0647939019049488E-2</v>
      </c>
    </row>
    <row r="887" spans="25:29" x14ac:dyDescent="0.2">
      <c r="Y887" s="105" t="str">
        <f t="shared" si="47"/>
        <v>1w</v>
      </c>
      <c r="Z887" s="93">
        <f>_xll.qlCalendarAdvance(Calendar,Z886,Y887,"f",FALSE)</f>
        <v>45385</v>
      </c>
      <c r="AA887" s="117">
        <f>_xll.qlCalendarAdvance(Calendar,Z887,NDays&amp;"D")</f>
        <v>45387</v>
      </c>
      <c r="AB887" s="92">
        <v>2.1016182492918613E-2</v>
      </c>
      <c r="AC887" s="101">
        <v>2.066090370408169E-2</v>
      </c>
    </row>
    <row r="888" spans="25:29" x14ac:dyDescent="0.2">
      <c r="Y888" s="105" t="str">
        <f t="shared" si="47"/>
        <v>1w</v>
      </c>
      <c r="Z888" s="93">
        <f>_xll.qlCalendarAdvance(Calendar,Z887,Y888,"f",FALSE)</f>
        <v>45392</v>
      </c>
      <c r="AA888" s="117">
        <f>_xll.qlCalendarAdvance(Calendar,Z888,NDays&amp;"D")</f>
        <v>45394</v>
      </c>
      <c r="AB888" s="92">
        <v>2.1034738370492561E-2</v>
      </c>
      <c r="AC888" s="101">
        <v>2.0681333899217336E-2</v>
      </c>
    </row>
    <row r="889" spans="25:29" x14ac:dyDescent="0.2">
      <c r="Y889" s="105" t="str">
        <f t="shared" si="47"/>
        <v>1w</v>
      </c>
      <c r="Z889" s="93">
        <f>_xll.qlCalendarAdvance(Calendar,Z888,Y889,"f",FALSE)</f>
        <v>45399</v>
      </c>
      <c r="AA889" s="117">
        <f>_xll.qlCalendarAdvance(Calendar,Z889,NDays&amp;"D")</f>
        <v>45401</v>
      </c>
      <c r="AB889" s="92">
        <v>2.1053204600827689E-2</v>
      </c>
      <c r="AC889" s="101">
        <v>2.0701524383035519E-2</v>
      </c>
    </row>
    <row r="890" spans="25:29" x14ac:dyDescent="0.2">
      <c r="Y890" s="105" t="str">
        <f t="shared" si="47"/>
        <v>1w</v>
      </c>
      <c r="Z890" s="93">
        <f>_xll.qlCalendarAdvance(Calendar,Z889,Y890,"f",FALSE)</f>
        <v>45406</v>
      </c>
      <c r="AA890" s="117">
        <f>_xll.qlCalendarAdvance(Calendar,Z890,NDays&amp;"D")</f>
        <v>45408</v>
      </c>
      <c r="AB890" s="92">
        <v>2.107159144215804E-2</v>
      </c>
      <c r="AC890" s="101">
        <v>2.0721475155429658E-2</v>
      </c>
    </row>
    <row r="891" spans="25:29" x14ac:dyDescent="0.2">
      <c r="Y891" s="105" t="str">
        <f t="shared" si="47"/>
        <v>1w</v>
      </c>
      <c r="Z891" s="93">
        <f>_xll.qlCalendarAdvance(Calendar,Z890,Y891,"f",FALSE)</f>
        <v>45414</v>
      </c>
      <c r="AA891" s="117">
        <f>_xll.qlCalendarAdvance(Calendar,Z891,NDays&amp;"D")</f>
        <v>45418</v>
      </c>
      <c r="AB891" s="92">
        <v>2.1095830910669796E-2</v>
      </c>
      <c r="AC891" s="101">
        <v>2.0745580029606359E-2</v>
      </c>
    </row>
    <row r="892" spans="25:29" x14ac:dyDescent="0.2">
      <c r="Y892" s="105" t="str">
        <f t="shared" si="47"/>
        <v>1w</v>
      </c>
      <c r="Z892" s="93">
        <f>_xll.qlCalendarAdvance(Calendar,Z891,Y892,"f",FALSE)</f>
        <v>45421</v>
      </c>
      <c r="AA892" s="117">
        <f>_xll.qlCalendarAdvance(Calendar,Z892,NDays&amp;"D")</f>
        <v>45425</v>
      </c>
      <c r="AB892" s="92">
        <v>2.111406615107269E-2</v>
      </c>
      <c r="AC892" s="101">
        <v>2.0764980652714371E-2</v>
      </c>
    </row>
    <row r="893" spans="25:29" x14ac:dyDescent="0.2">
      <c r="Y893" s="105" t="str">
        <f t="shared" si="47"/>
        <v>1w</v>
      </c>
      <c r="Z893" s="93">
        <f>_xll.qlCalendarAdvance(Calendar,Z892,Y893,"f",FALSE)</f>
        <v>45428</v>
      </c>
      <c r="AA893" s="117">
        <f>_xll.qlCalendarAdvance(Calendar,Z893,NDays&amp;"D")</f>
        <v>45432</v>
      </c>
      <c r="AB893" s="92">
        <v>2.1132256779901146E-2</v>
      </c>
      <c r="AC893" s="101">
        <v>2.0784141589471616E-2</v>
      </c>
    </row>
    <row r="894" spans="25:29" x14ac:dyDescent="0.2">
      <c r="Y894" s="105" t="str">
        <f t="shared" si="47"/>
        <v>1w</v>
      </c>
      <c r="Z894" s="93">
        <f>_xll.qlCalendarAdvance(Calendar,Z893,Y894,"f",FALSE)</f>
        <v>45435</v>
      </c>
      <c r="AA894" s="117">
        <f>_xll.qlCalendarAdvance(Calendar,Z894,NDays&amp;"D")</f>
        <v>45439</v>
      </c>
      <c r="AB894" s="92">
        <v>2.1150413112262199E-2</v>
      </c>
      <c r="AC894" s="101">
        <v>2.0803062840117903E-2</v>
      </c>
    </row>
    <row r="895" spans="25:29" x14ac:dyDescent="0.2">
      <c r="Y895" s="105" t="str">
        <f t="shared" si="47"/>
        <v>1w</v>
      </c>
      <c r="Z895" s="93">
        <f>_xll.qlCalendarAdvance(Calendar,Z894,Y895,"f",FALSE)</f>
        <v>45442</v>
      </c>
      <c r="AA895" s="117">
        <f>_xll.qlCalendarAdvance(Calendar,Z895,NDays&amp;"D")</f>
        <v>45446</v>
      </c>
      <c r="AB895" s="92">
        <v>2.1166627564028144E-2</v>
      </c>
      <c r="AC895" s="101">
        <v>2.0821744404413423E-2</v>
      </c>
    </row>
    <row r="896" spans="25:29" x14ac:dyDescent="0.2">
      <c r="Y896" s="105" t="str">
        <f t="shared" si="47"/>
        <v>1w</v>
      </c>
      <c r="Z896" s="93">
        <f>_xll.qlCalendarAdvance(Calendar,Z895,Y896,"f",FALSE)</f>
        <v>45449</v>
      </c>
      <c r="AA896" s="117">
        <f>_xll.qlCalendarAdvance(Calendar,Z896,NDays&amp;"D")</f>
        <v>45453</v>
      </c>
      <c r="AB896" s="92">
        <v>2.1184743489972641E-2</v>
      </c>
      <c r="AC896" s="101">
        <v>2.0840186282358175E-2</v>
      </c>
    </row>
    <row r="897" spans="25:29" x14ac:dyDescent="0.2">
      <c r="Y897" s="105" t="str">
        <f t="shared" si="47"/>
        <v>1w</v>
      </c>
      <c r="Z897" s="93">
        <f>_xll.qlCalendarAdvance(Calendar,Z896,Y897,"f",FALSE)</f>
        <v>45456</v>
      </c>
      <c r="AA897" s="117">
        <f>_xll.qlCalendarAdvance(Calendar,Z897,NDays&amp;"D")</f>
        <v>45460</v>
      </c>
      <c r="AB897" s="92">
        <v>2.1202855889144386E-2</v>
      </c>
      <c r="AC897" s="101">
        <v>2.0858388473952161E-2</v>
      </c>
    </row>
    <row r="898" spans="25:29" x14ac:dyDescent="0.2">
      <c r="Y898" s="105" t="str">
        <f t="shared" si="47"/>
        <v>1w</v>
      </c>
      <c r="Z898" s="93">
        <f>_xll.qlCalendarAdvance(Calendar,Z897,Y898,"f",FALSE)</f>
        <v>45463</v>
      </c>
      <c r="AA898" s="117">
        <f>_xll.qlCalendarAdvance(Calendar,Z898,NDays&amp;"D")</f>
        <v>45467</v>
      </c>
      <c r="AB898" s="92">
        <v>2.1220975133921745E-2</v>
      </c>
      <c r="AC898" s="101">
        <v>2.0876350979115443E-2</v>
      </c>
    </row>
    <row r="899" spans="25:29" x14ac:dyDescent="0.2">
      <c r="Y899" s="105" t="str">
        <f t="shared" si="47"/>
        <v>1w</v>
      </c>
      <c r="Z899" s="93">
        <f>_xll.qlCalendarAdvance(Calendar,Z898,Y899,"f",FALSE)</f>
        <v>45470</v>
      </c>
      <c r="AA899" s="117">
        <f>_xll.qlCalendarAdvance(Calendar,Z899,NDays&amp;"D")</f>
        <v>45474</v>
      </c>
      <c r="AB899" s="92">
        <v>2.12429715428397E-2</v>
      </c>
      <c r="AC899" s="101">
        <v>2.0894073797848023E-2</v>
      </c>
    </row>
    <row r="900" spans="25:29" x14ac:dyDescent="0.2">
      <c r="Y900" s="105" t="str">
        <f t="shared" si="47"/>
        <v>1w</v>
      </c>
      <c r="Z900" s="93">
        <f>_xll.qlCalendarAdvance(Calendar,Z899,Y900,"f",FALSE)</f>
        <v>45477</v>
      </c>
      <c r="AA900" s="117">
        <f>_xll.qlCalendarAdvance(Calendar,Z900,NDays&amp;"D")</f>
        <v>45481</v>
      </c>
      <c r="AB900" s="92">
        <v>2.1259207491555045E-2</v>
      </c>
      <c r="AC900" s="101">
        <v>2.0911672823205052E-2</v>
      </c>
    </row>
    <row r="901" spans="25:29" x14ac:dyDescent="0.2">
      <c r="Y901" s="105" t="str">
        <f t="shared" si="47"/>
        <v>1w</v>
      </c>
      <c r="Z901" s="93">
        <f>_xll.qlCalendarAdvance(Calendar,Z900,Y901,"f",FALSE)</f>
        <v>45484</v>
      </c>
      <c r="AA901" s="117">
        <f>_xll.qlCalendarAdvance(Calendar,Z901,NDays&amp;"D")</f>
        <v>45488</v>
      </c>
      <c r="AB901" s="92">
        <v>2.1277402672479594E-2</v>
      </c>
      <c r="AC901" s="101">
        <v>2.0929299537373325E-2</v>
      </c>
    </row>
    <row r="902" spans="25:29" x14ac:dyDescent="0.2">
      <c r="Y902" s="105" t="str">
        <f t="shared" si="47"/>
        <v>1w</v>
      </c>
      <c r="Z902" s="93">
        <f>_xll.qlCalendarAdvance(Calendar,Z901,Y902,"f",FALSE)</f>
        <v>45491</v>
      </c>
      <c r="AA902" s="117">
        <f>_xll.qlCalendarAdvance(Calendar,Z902,NDays&amp;"D")</f>
        <v>45495</v>
      </c>
      <c r="AB902" s="92">
        <v>2.1295626930931486E-2</v>
      </c>
      <c r="AC902" s="101">
        <v>2.0946954852902877E-2</v>
      </c>
    </row>
    <row r="903" spans="25:29" x14ac:dyDescent="0.2">
      <c r="Y903" s="105" t="str">
        <f t="shared" si="47"/>
        <v>1w</v>
      </c>
      <c r="Z903" s="93">
        <f>_xll.qlCalendarAdvance(Calendar,Z902,Y903,"f",FALSE)</f>
        <v>45498</v>
      </c>
      <c r="AA903" s="117">
        <f>_xll.qlCalendarAdvance(Calendar,Z903,NDays&amp;"D")</f>
        <v>45502</v>
      </c>
      <c r="AB903" s="92">
        <v>2.1313880267712252E-2</v>
      </c>
      <c r="AC903" s="101">
        <v>2.0964638769793709E-2</v>
      </c>
    </row>
    <row r="904" spans="25:29" x14ac:dyDescent="0.2">
      <c r="Y904" s="105" t="str">
        <f t="shared" si="47"/>
        <v>1w</v>
      </c>
      <c r="Z904" s="93">
        <f>_xll.qlCalendarAdvance(Calendar,Z903,Y904,"f",FALSE)</f>
        <v>45505</v>
      </c>
      <c r="AA904" s="117">
        <f>_xll.qlCalendarAdvance(Calendar,Z904,NDays&amp;"D")</f>
        <v>45509</v>
      </c>
      <c r="AB904" s="92">
        <v>2.1332162683622993E-2</v>
      </c>
      <c r="AC904" s="101">
        <v>2.0982351288125756E-2</v>
      </c>
    </row>
    <row r="905" spans="25:29" x14ac:dyDescent="0.2">
      <c r="Y905" s="105" t="str">
        <f t="shared" si="47"/>
        <v>1w</v>
      </c>
      <c r="Z905" s="93">
        <f>_xll.qlCalendarAdvance(Calendar,Z904,Y905,"f",FALSE)</f>
        <v>45512</v>
      </c>
      <c r="AA905" s="117">
        <f>_xll.qlCalendarAdvance(Calendar,Z905,NDays&amp;"D")</f>
        <v>45516</v>
      </c>
      <c r="AB905" s="92">
        <v>2.1350474179467411E-2</v>
      </c>
      <c r="AC905" s="101">
        <v>2.1000092407819082E-2</v>
      </c>
    </row>
    <row r="906" spans="25:29" x14ac:dyDescent="0.2">
      <c r="Y906" s="105" t="str">
        <f t="shared" si="47"/>
        <v>1w</v>
      </c>
      <c r="Z906" s="93">
        <f>_xll.qlCalendarAdvance(Calendar,Z905,Y906,"f",FALSE)</f>
        <v>45519</v>
      </c>
      <c r="AA906" s="117">
        <f>_xll.qlCalendarAdvance(Calendar,Z906,NDays&amp;"D")</f>
        <v>45523</v>
      </c>
      <c r="AB906" s="92">
        <v>2.1368814756050517E-2</v>
      </c>
      <c r="AC906" s="101">
        <v>2.1017862128873688E-2</v>
      </c>
    </row>
    <row r="907" spans="25:29" x14ac:dyDescent="0.2">
      <c r="Y907" s="105" t="str">
        <f t="shared" si="47"/>
        <v>1w</v>
      </c>
      <c r="Z907" s="93">
        <f>_xll.qlCalendarAdvance(Calendar,Z906,Y907,"f",FALSE)</f>
        <v>45526</v>
      </c>
      <c r="AA907" s="117">
        <f>_xll.qlCalendarAdvance(Calendar,Z907,NDays&amp;"D")</f>
        <v>45530</v>
      </c>
      <c r="AB907" s="92">
        <v>2.1387184414177317E-2</v>
      </c>
      <c r="AC907" s="101">
        <v>2.1035660451449445E-2</v>
      </c>
    </row>
    <row r="908" spans="25:29" x14ac:dyDescent="0.2">
      <c r="Y908" s="105" t="str">
        <f t="shared" si="47"/>
        <v>1w</v>
      </c>
      <c r="Z908" s="93">
        <f>_xll.qlCalendarAdvance(Calendar,Z907,Y908,"f",FALSE)</f>
        <v>45533</v>
      </c>
      <c r="AA908" s="117">
        <f>_xll.qlCalendarAdvance(Calendar,Z908,NDays&amp;"D")</f>
        <v>45537</v>
      </c>
      <c r="AB908" s="92">
        <v>2.1401667191182559E-2</v>
      </c>
      <c r="AC908" s="101">
        <v>2.1053487375386482E-2</v>
      </c>
    </row>
    <row r="909" spans="25:29" x14ac:dyDescent="0.2">
      <c r="Y909" s="105" t="str">
        <f t="shared" si="47"/>
        <v>1w</v>
      </c>
      <c r="Z909" s="93">
        <f>_xll.qlCalendarAdvance(Calendar,Z908,Y909,"f",FALSE)</f>
        <v>45540</v>
      </c>
      <c r="AA909" s="117">
        <f>_xll.qlCalendarAdvance(Calendar,Z909,NDays&amp;"D")</f>
        <v>45544</v>
      </c>
      <c r="AB909" s="92">
        <v>2.1420088680288125E-2</v>
      </c>
      <c r="AC909" s="101">
        <v>2.1071342900684797E-2</v>
      </c>
    </row>
    <row r="910" spans="25:29" x14ac:dyDescent="0.2">
      <c r="Y910" s="105" t="str">
        <f t="shared" si="47"/>
        <v>1w</v>
      </c>
      <c r="Z910" s="93">
        <f>_xll.qlCalendarAdvance(Calendar,Z909,Y910,"f",FALSE)</f>
        <v>45547</v>
      </c>
      <c r="AA910" s="117">
        <f>_xll.qlCalendarAdvance(Calendar,Z910,NDays&amp;"D")</f>
        <v>45551</v>
      </c>
      <c r="AB910" s="92">
        <v>2.1438539247936778E-2</v>
      </c>
      <c r="AC910" s="101">
        <v>2.1089227027424329E-2</v>
      </c>
    </row>
    <row r="911" spans="25:29" x14ac:dyDescent="0.2">
      <c r="Y911" s="105" t="str">
        <f t="shared" si="47"/>
        <v>1w</v>
      </c>
      <c r="Z911" s="93">
        <f>_xll.qlCalendarAdvance(Calendar,Z910,Y911,"f",FALSE)</f>
        <v>45554</v>
      </c>
      <c r="AA911" s="117">
        <f>_xll.qlCalendarAdvance(Calendar,Z911,NDays&amp;"D")</f>
        <v>45558</v>
      </c>
      <c r="AB911" s="92">
        <v>2.1457018894930079E-2</v>
      </c>
      <c r="AC911" s="101">
        <v>2.1107139755605075E-2</v>
      </c>
    </row>
    <row r="912" spans="25:29" x14ac:dyDescent="0.2">
      <c r="Y912" s="105" t="str">
        <f t="shared" si="47"/>
        <v>1w</v>
      </c>
      <c r="Z912" s="93">
        <f>_xll.qlCalendarAdvance(Calendar,Z911,Y912,"f",FALSE)</f>
        <v>45561</v>
      </c>
      <c r="AA912" s="117">
        <f>_xll.qlCalendarAdvance(Calendar,Z912,NDays&amp;"D")</f>
        <v>45565</v>
      </c>
      <c r="AB912" s="92">
        <v>2.1475527622072218E-2</v>
      </c>
      <c r="AC912" s="101">
        <v>2.1125081085227038E-2</v>
      </c>
    </row>
    <row r="913" spans="25:29" x14ac:dyDescent="0.2">
      <c r="Y913" s="105" t="str">
        <f t="shared" si="47"/>
        <v>1w</v>
      </c>
      <c r="Z913" s="93">
        <f>_xll.qlCalendarAdvance(Calendar,Z912,Y913,"f",FALSE)</f>
        <v>45568</v>
      </c>
      <c r="AA913" s="117">
        <f>_xll.qlCalendarAdvance(Calendar,Z913,NDays&amp;"D")</f>
        <v>45572</v>
      </c>
      <c r="AB913" s="92">
        <v>2.1494065430165632E-2</v>
      </c>
      <c r="AC913" s="101">
        <v>2.1143051016130343E-2</v>
      </c>
    </row>
    <row r="914" spans="25:29" x14ac:dyDescent="0.2">
      <c r="Y914" s="105" t="str">
        <f t="shared" si="47"/>
        <v>1w</v>
      </c>
      <c r="Z914" s="93">
        <f>_xll.qlCalendarAdvance(Calendar,Z913,Y914,"f",FALSE)</f>
        <v>45575</v>
      </c>
      <c r="AA914" s="117">
        <f>_xll.qlCalendarAdvance(Calendar,Z914,NDays&amp;"D")</f>
        <v>45579</v>
      </c>
      <c r="AB914" s="92">
        <v>2.1512632320018023E-2</v>
      </c>
      <c r="AC914" s="101">
        <v>2.11610495485548E-2</v>
      </c>
    </row>
    <row r="915" spans="25:29" x14ac:dyDescent="0.2">
      <c r="Y915" s="105" t="str">
        <f t="shared" si="47"/>
        <v>1w</v>
      </c>
      <c r="Z915" s="93">
        <f>_xll.qlCalendarAdvance(Calendar,Z914,Y915,"f",FALSE)</f>
        <v>45582</v>
      </c>
      <c r="AA915" s="117">
        <f>_xll.qlCalendarAdvance(Calendar,Z915,NDays&amp;"D")</f>
        <v>45586</v>
      </c>
      <c r="AB915" s="92">
        <v>2.1533208311014698E-2</v>
      </c>
      <c r="AC915" s="101">
        <v>2.1179076682420472E-2</v>
      </c>
    </row>
    <row r="916" spans="25:29" x14ac:dyDescent="0.2">
      <c r="Y916" s="105" t="str">
        <f t="shared" si="47"/>
        <v>1w</v>
      </c>
      <c r="Z916" s="93">
        <f>_xll.qlCalendarAdvance(Calendar,Z915,Y916,"f",FALSE)</f>
        <v>45589</v>
      </c>
      <c r="AA916" s="117">
        <f>_xll.qlCalendarAdvance(Calendar,Z916,NDays&amp;"D")</f>
        <v>45593</v>
      </c>
      <c r="AB916" s="92">
        <v>2.1549853348226171E-2</v>
      </c>
      <c r="AC916" s="101">
        <v>2.119713241772736E-2</v>
      </c>
    </row>
    <row r="917" spans="25:29" x14ac:dyDescent="0.2">
      <c r="Y917" s="105" t="str">
        <f t="shared" ref="Y917:Y980" si="48">Y916</f>
        <v>1w</v>
      </c>
      <c r="Z917" s="93">
        <f>_xll.qlCalendarAdvance(Calendar,Z916,Y917,"f",FALSE)</f>
        <v>45596</v>
      </c>
      <c r="AA917" s="117">
        <f>_xll.qlCalendarAdvance(Calendar,Z917,NDays&amp;"D")</f>
        <v>45600</v>
      </c>
      <c r="AB917" s="92">
        <v>2.1568507488199537E-2</v>
      </c>
      <c r="AC917" s="101">
        <v>2.1215216754555399E-2</v>
      </c>
    </row>
    <row r="918" spans="25:29" x14ac:dyDescent="0.2">
      <c r="Y918" s="105" t="str">
        <f t="shared" si="48"/>
        <v>1w</v>
      </c>
      <c r="Z918" s="93">
        <f>_xll.qlCalendarAdvance(Calendar,Z917,Y918,"f",FALSE)</f>
        <v>45603</v>
      </c>
      <c r="AA918" s="117">
        <f>_xll.qlCalendarAdvance(Calendar,Z918,NDays&amp;"D")</f>
        <v>45607</v>
      </c>
      <c r="AB918" s="92">
        <v>2.1587190713166657E-2</v>
      </c>
      <c r="AC918" s="101">
        <v>2.1233329692744718E-2</v>
      </c>
    </row>
    <row r="919" spans="25:29" x14ac:dyDescent="0.2">
      <c r="Y919" s="105" t="str">
        <f t="shared" si="48"/>
        <v>1w</v>
      </c>
      <c r="Z919" s="93">
        <f>_xll.qlCalendarAdvance(Calendar,Z918,Y919,"f",FALSE)</f>
        <v>45610</v>
      </c>
      <c r="AA919" s="117">
        <f>_xll.qlCalendarAdvance(Calendar,Z919,NDays&amp;"D")</f>
        <v>45614</v>
      </c>
      <c r="AB919" s="92">
        <v>2.160590302393875E-2</v>
      </c>
      <c r="AC919" s="101">
        <v>2.1251471232455188E-2</v>
      </c>
    </row>
    <row r="920" spans="25:29" x14ac:dyDescent="0.2">
      <c r="Y920" s="105" t="str">
        <f t="shared" si="48"/>
        <v>1w</v>
      </c>
      <c r="Z920" s="93">
        <f>_xll.qlCalendarAdvance(Calendar,Z919,Y920,"f",FALSE)</f>
        <v>45617</v>
      </c>
      <c r="AA920" s="117">
        <f>_xll.qlCalendarAdvance(Calendar,Z920,NDays&amp;"D")</f>
        <v>45621</v>
      </c>
      <c r="AB920" s="92">
        <v>2.1624644421330112E-2</v>
      </c>
      <c r="AC920" s="101">
        <v>2.1269641373526937E-2</v>
      </c>
    </row>
    <row r="921" spans="25:29" x14ac:dyDescent="0.2">
      <c r="Y921" s="105" t="str">
        <f t="shared" si="48"/>
        <v>1w</v>
      </c>
      <c r="Z921" s="93">
        <f>_xll.qlCalendarAdvance(Calendar,Z920,Y921,"f",FALSE)</f>
        <v>45624</v>
      </c>
      <c r="AA921" s="117">
        <f>_xll.qlCalendarAdvance(Calendar,Z921,NDays&amp;"D")</f>
        <v>45628</v>
      </c>
      <c r="AB921" s="92">
        <v>2.1643414906155033E-2</v>
      </c>
      <c r="AC921" s="101">
        <v>2.1287840116119838E-2</v>
      </c>
    </row>
    <row r="922" spans="25:29" x14ac:dyDescent="0.2">
      <c r="Y922" s="105" t="str">
        <f t="shared" si="48"/>
        <v>1w</v>
      </c>
      <c r="Z922" s="93">
        <f>_xll.qlCalendarAdvance(Calendar,Z921,Y922,"f",FALSE)</f>
        <v>45631</v>
      </c>
      <c r="AA922" s="117">
        <f>_xll.qlCalendarAdvance(Calendar,Z922,NDays&amp;"D")</f>
        <v>45635</v>
      </c>
      <c r="AB922" s="92">
        <v>2.1662214479228684E-2</v>
      </c>
      <c r="AC922" s="101">
        <v>2.1306067460153955E-2</v>
      </c>
    </row>
    <row r="923" spans="25:29" x14ac:dyDescent="0.2">
      <c r="Y923" s="105" t="str">
        <f t="shared" si="48"/>
        <v>1w</v>
      </c>
      <c r="Z923" s="93">
        <f>_xll.qlCalendarAdvance(Calendar,Z922,Y923,"f",FALSE)</f>
        <v>45638</v>
      </c>
      <c r="AA923" s="117">
        <f>_xll.qlCalendarAdvance(Calendar,Z923,NDays&amp;"D")</f>
        <v>45642</v>
      </c>
      <c r="AB923" s="92">
        <v>2.1681043141368879E-2</v>
      </c>
      <c r="AC923" s="101">
        <v>2.1324323405709222E-2</v>
      </c>
    </row>
    <row r="924" spans="25:29" x14ac:dyDescent="0.2">
      <c r="Y924" s="105" t="str">
        <f t="shared" si="48"/>
        <v>1w</v>
      </c>
      <c r="Z924" s="93">
        <f>_xll.qlCalendarAdvance(Calendar,Z923,Y924,"f",FALSE)</f>
        <v>45645</v>
      </c>
      <c r="AA924" s="117">
        <f>_xll.qlCalendarAdvance(Calendar,Z924,NDays&amp;"D")</f>
        <v>45649</v>
      </c>
      <c r="AB924" s="92">
        <v>2.169990089339386E-2</v>
      </c>
      <c r="AC924" s="101">
        <v>2.1342607952625769E-2</v>
      </c>
    </row>
    <row r="925" spans="25:29" x14ac:dyDescent="0.2">
      <c r="Y925" s="105" t="str">
        <f t="shared" si="48"/>
        <v>1w</v>
      </c>
      <c r="Z925" s="93">
        <f>_xll.qlCalendarAdvance(Calendar,Z924,Y925,"f",FALSE)</f>
        <v>45653</v>
      </c>
      <c r="AA925" s="117">
        <f>_xll.qlCalendarAdvance(Calendar,Z925,NDays&amp;"D")</f>
        <v>45657</v>
      </c>
      <c r="AB925" s="92">
        <v>2.1719476155361787E-2</v>
      </c>
      <c r="AC925" s="101">
        <v>2.1365483109074823E-2</v>
      </c>
    </row>
    <row r="926" spans="25:29" x14ac:dyDescent="0.2">
      <c r="Y926" s="105" t="str">
        <f t="shared" si="48"/>
        <v>1w</v>
      </c>
      <c r="Z926" s="93">
        <f>_xll.qlCalendarAdvance(Calendar,Z925,Y926,"f",FALSE)</f>
        <v>45660</v>
      </c>
      <c r="AA926" s="117">
        <f>_xll.qlCalendarAdvance(Calendar,Z926,NDays&amp;"D")</f>
        <v>45664</v>
      </c>
      <c r="AB926" s="92">
        <v>2.1738392463347429E-2</v>
      </c>
      <c r="AC926" s="101">
        <v>2.138188543589159E-2</v>
      </c>
    </row>
    <row r="927" spans="25:29" x14ac:dyDescent="0.2">
      <c r="Y927" s="105" t="str">
        <f t="shared" si="48"/>
        <v>1w</v>
      </c>
      <c r="Z927" s="93">
        <f>_xll.qlCalendarAdvance(Calendar,Z926,Y927,"f",FALSE)</f>
        <v>45667</v>
      </c>
      <c r="AA927" s="117">
        <f>_xll.qlCalendarAdvance(Calendar,Z927,NDays&amp;"D")</f>
        <v>45671</v>
      </c>
      <c r="AB927" s="92">
        <v>2.1757331138373887E-2</v>
      </c>
      <c r="AC927" s="101">
        <v>2.1400259873303185E-2</v>
      </c>
    </row>
    <row r="928" spans="25:29" x14ac:dyDescent="0.2">
      <c r="Y928" s="105" t="str">
        <f t="shared" si="48"/>
        <v>1w</v>
      </c>
      <c r="Z928" s="93">
        <f>_xll.qlCalendarAdvance(Calendar,Z927,Y928,"f",FALSE)</f>
        <v>45674</v>
      </c>
      <c r="AA928" s="117">
        <f>_xll.qlCalendarAdvance(Calendar,Z928,NDays&amp;"D")</f>
        <v>45678</v>
      </c>
      <c r="AB928" s="92">
        <v>2.1776282856642411E-2</v>
      </c>
      <c r="AC928" s="101">
        <v>2.1418662912155995E-2</v>
      </c>
    </row>
    <row r="929" spans="25:29" x14ac:dyDescent="0.2">
      <c r="Y929" s="105" t="str">
        <f t="shared" si="48"/>
        <v>1w</v>
      </c>
      <c r="Z929" s="93">
        <f>_xll.qlCalendarAdvance(Calendar,Z928,Y929,"f",FALSE)</f>
        <v>45681</v>
      </c>
      <c r="AA929" s="117">
        <f>_xll.qlCalendarAdvance(Calendar,Z929,NDays&amp;"D")</f>
        <v>45685</v>
      </c>
      <c r="AB929" s="92">
        <v>2.1795238257612815E-2</v>
      </c>
      <c r="AC929" s="101">
        <v>2.1437094552529956E-2</v>
      </c>
    </row>
    <row r="930" spans="25:29" x14ac:dyDescent="0.2">
      <c r="Y930" s="105" t="str">
        <f t="shared" si="48"/>
        <v>1w</v>
      </c>
      <c r="Z930" s="93">
        <f>_xll.qlCalendarAdvance(Calendar,Z929,Y930,"f",FALSE)</f>
        <v>45688</v>
      </c>
      <c r="AA930" s="117">
        <f>_xll.qlCalendarAdvance(Calendar,Z930,NDays&amp;"D")</f>
        <v>45692</v>
      </c>
      <c r="AB930" s="92">
        <v>2.1814187980393807E-2</v>
      </c>
      <c r="AC930" s="101">
        <v>2.1455554794345133E-2</v>
      </c>
    </row>
    <row r="931" spans="25:29" x14ac:dyDescent="0.2">
      <c r="Y931" s="105" t="str">
        <f t="shared" si="48"/>
        <v>1w</v>
      </c>
      <c r="Z931" s="93">
        <f>_xll.qlCalendarAdvance(Calendar,Z930,Y931,"f",FALSE)</f>
        <v>45695</v>
      </c>
      <c r="AA931" s="117">
        <f>_xll.qlCalendarAdvance(Calendar,Z931,NDays&amp;"D")</f>
        <v>45699</v>
      </c>
      <c r="AB931" s="92">
        <v>2.1833122663740347E-2</v>
      </c>
      <c r="AC931" s="101">
        <v>2.1474043637761397E-2</v>
      </c>
    </row>
    <row r="932" spans="25:29" x14ac:dyDescent="0.2">
      <c r="Y932" s="105" t="str">
        <f t="shared" si="48"/>
        <v>1w</v>
      </c>
      <c r="Z932" s="93">
        <f>_xll.qlCalendarAdvance(Calendar,Z931,Y932,"f",FALSE)</f>
        <v>45702</v>
      </c>
      <c r="AA932" s="117">
        <f>_xll.qlCalendarAdvance(Calendar,Z932,NDays&amp;"D")</f>
        <v>45706</v>
      </c>
      <c r="AB932" s="92">
        <v>2.1852032946055418E-2</v>
      </c>
      <c r="AC932" s="101">
        <v>2.1492561082618877E-2</v>
      </c>
    </row>
    <row r="933" spans="25:29" x14ac:dyDescent="0.2">
      <c r="Y933" s="105" t="str">
        <f t="shared" si="48"/>
        <v>1w</v>
      </c>
      <c r="Z933" s="93">
        <f>_xll.qlCalendarAdvance(Calendar,Z932,Y933,"f",FALSE)</f>
        <v>45709</v>
      </c>
      <c r="AA933" s="117">
        <f>_xll.qlCalendarAdvance(Calendar,Z933,NDays&amp;"D")</f>
        <v>45713</v>
      </c>
      <c r="AB933" s="92">
        <v>2.1870909465390012E-2</v>
      </c>
      <c r="AC933" s="101">
        <v>2.1511107128997509E-2</v>
      </c>
    </row>
    <row r="934" spans="25:29" x14ac:dyDescent="0.2">
      <c r="Y934" s="105" t="str">
        <f t="shared" si="48"/>
        <v>1w</v>
      </c>
      <c r="Z934" s="93">
        <f>_xll.qlCalendarAdvance(Calendar,Z933,Y934,"f",FALSE)</f>
        <v>45716</v>
      </c>
      <c r="AA934" s="117">
        <f>_xll.qlCalendarAdvance(Calendar,Z934,NDays&amp;"D")</f>
        <v>45720</v>
      </c>
      <c r="AB934" s="92">
        <v>2.189572661213697E-2</v>
      </c>
      <c r="AC934" s="101">
        <v>2.1529681776977228E-2</v>
      </c>
    </row>
    <row r="935" spans="25:29" x14ac:dyDescent="0.2">
      <c r="Y935" s="105" t="str">
        <f t="shared" si="48"/>
        <v>1w</v>
      </c>
      <c r="Z935" s="93">
        <f>_xll.qlCalendarAdvance(Calendar,Z934,Y935,"f",FALSE)</f>
        <v>45723</v>
      </c>
      <c r="AA935" s="117">
        <f>_xll.qlCalendarAdvance(Calendar,Z935,NDays&amp;"D")</f>
        <v>45727</v>
      </c>
      <c r="AB935" s="92">
        <v>2.1914486431229913E-2</v>
      </c>
      <c r="AC935" s="101">
        <v>2.1548285026398162E-2</v>
      </c>
    </row>
    <row r="936" spans="25:29" x14ac:dyDescent="0.2">
      <c r="Y936" s="105" t="str">
        <f t="shared" si="48"/>
        <v>1w</v>
      </c>
      <c r="Z936" s="93">
        <f>_xll.qlCalendarAdvance(Calendar,Z935,Y936,"f",FALSE)</f>
        <v>45730</v>
      </c>
      <c r="AA936" s="117">
        <f>_xll.qlCalendarAdvance(Calendar,Z936,NDays&amp;"D")</f>
        <v>45734</v>
      </c>
      <c r="AB936" s="92">
        <v>2.193318192608866E-2</v>
      </c>
      <c r="AC936" s="101">
        <v>2.1566916877340248E-2</v>
      </c>
    </row>
    <row r="937" spans="25:29" x14ac:dyDescent="0.2">
      <c r="Y937" s="105" t="str">
        <f t="shared" si="48"/>
        <v>1w</v>
      </c>
      <c r="Z937" s="93">
        <f>_xll.qlCalendarAdvance(Calendar,Z936,Y937,"f",FALSE)</f>
        <v>45737</v>
      </c>
      <c r="AA937" s="117">
        <f>_xll.qlCalendarAdvance(Calendar,Z937,NDays&amp;"D")</f>
        <v>45741</v>
      </c>
      <c r="AB937" s="92">
        <v>2.1951803884221129E-2</v>
      </c>
      <c r="AC937" s="101">
        <v>2.1585577329883421E-2</v>
      </c>
    </row>
    <row r="938" spans="25:29" x14ac:dyDescent="0.2">
      <c r="Y938" s="105" t="str">
        <f t="shared" si="48"/>
        <v>1w</v>
      </c>
      <c r="Z938" s="93">
        <f>_xll.qlCalendarAdvance(Calendar,Z937,Y938,"f",FALSE)</f>
        <v>45744</v>
      </c>
      <c r="AA938" s="117">
        <f>_xll.qlCalendarAdvance(Calendar,Z938,NDays&amp;"D")</f>
        <v>45748</v>
      </c>
      <c r="AB938" s="92">
        <v>2.1968382424960558E-2</v>
      </c>
      <c r="AC938" s="101">
        <v>2.1604266383947746E-2</v>
      </c>
    </row>
    <row r="939" spans="25:29" x14ac:dyDescent="0.2">
      <c r="Y939" s="105" t="str">
        <f t="shared" si="48"/>
        <v>1w</v>
      </c>
      <c r="Z939" s="93">
        <f>_xll.qlCalendarAdvance(Calendar,Z938,Y939,"f",FALSE)</f>
        <v>45751</v>
      </c>
      <c r="AA939" s="117">
        <f>_xll.qlCalendarAdvance(Calendar,Z939,NDays&amp;"D")</f>
        <v>45755</v>
      </c>
      <c r="AB939" s="92">
        <v>2.1986839741537541E-2</v>
      </c>
      <c r="AC939" s="101">
        <v>2.1622984039453286E-2</v>
      </c>
    </row>
    <row r="940" spans="25:29" x14ac:dyDescent="0.2">
      <c r="Y940" s="105" t="str">
        <f t="shared" si="48"/>
        <v>1w</v>
      </c>
      <c r="Z940" s="93">
        <f>_xll.qlCalendarAdvance(Calendar,Z939,Y940,"f",FALSE)</f>
        <v>45758</v>
      </c>
      <c r="AA940" s="117">
        <f>_xll.qlCalendarAdvance(Calendar,Z940,NDays&amp;"D")</f>
        <v>45762</v>
      </c>
      <c r="AB940" s="92">
        <v>2.2005196498529823E-2</v>
      </c>
      <c r="AC940" s="101">
        <v>2.1641730296559913E-2</v>
      </c>
    </row>
    <row r="941" spans="25:29" x14ac:dyDescent="0.2">
      <c r="Y941" s="105" t="str">
        <f t="shared" si="48"/>
        <v>1w</v>
      </c>
      <c r="Z941" s="93">
        <f>_xll.qlCalendarAdvance(Calendar,Z940,Y941,"f",FALSE)</f>
        <v>45769</v>
      </c>
      <c r="AA941" s="117">
        <f>_xll.qlCalendarAdvance(Calendar,Z941,NDays&amp;"D")</f>
        <v>45771</v>
      </c>
      <c r="AB941" s="92">
        <v>2.2028635374059254E-2</v>
      </c>
      <c r="AC941" s="101">
        <v>2.166587465395331E-2</v>
      </c>
    </row>
    <row r="942" spans="25:29" x14ac:dyDescent="0.2">
      <c r="Y942" s="105" t="str">
        <f t="shared" si="48"/>
        <v>1w</v>
      </c>
      <c r="Z942" s="93">
        <f>_xll.qlCalendarAdvance(Calendar,Z941,Y942,"f",FALSE)</f>
        <v>45776</v>
      </c>
      <c r="AA942" s="117">
        <f>_xll.qlCalendarAdvance(Calendar,Z942,NDays&amp;"D")</f>
        <v>45779</v>
      </c>
      <c r="AB942" s="92">
        <v>2.2053123780420958E-2</v>
      </c>
      <c r="AC942" s="101">
        <v>2.1691373342740405E-2</v>
      </c>
    </row>
    <row r="943" spans="25:29" x14ac:dyDescent="0.2">
      <c r="Y943" s="105" t="str">
        <f t="shared" si="48"/>
        <v>1w</v>
      </c>
      <c r="Z943" s="93">
        <f>_xll.qlCalendarAdvance(Calendar,Z942,Y943,"f",FALSE)</f>
        <v>45783</v>
      </c>
      <c r="AA943" s="117">
        <f>_xll.qlCalendarAdvance(Calendar,Z943,NDays&amp;"D")</f>
        <v>45785</v>
      </c>
      <c r="AB943" s="92">
        <v>2.207038813820808E-2</v>
      </c>
      <c r="AC943" s="101">
        <v>2.1703526519738503E-2</v>
      </c>
    </row>
    <row r="944" spans="25:29" x14ac:dyDescent="0.2">
      <c r="Y944" s="105" t="str">
        <f t="shared" si="48"/>
        <v>1w</v>
      </c>
      <c r="Z944" s="93">
        <f>_xll.qlCalendarAdvance(Calendar,Z943,Y944,"f",FALSE)</f>
        <v>45790</v>
      </c>
      <c r="AA944" s="117">
        <f>_xll.qlCalendarAdvance(Calendar,Z944,NDays&amp;"D")</f>
        <v>45792</v>
      </c>
      <c r="AB944" s="92">
        <v>2.2088170648690265E-2</v>
      </c>
      <c r="AC944" s="101">
        <v>2.1722395354872859E-2</v>
      </c>
    </row>
    <row r="945" spans="25:29" x14ac:dyDescent="0.2">
      <c r="Y945" s="105" t="str">
        <f t="shared" si="48"/>
        <v>1w</v>
      </c>
      <c r="Z945" s="93">
        <f>_xll.qlCalendarAdvance(Calendar,Z944,Y945,"f",FALSE)</f>
        <v>45797</v>
      </c>
      <c r="AA945" s="117">
        <f>_xll.qlCalendarAdvance(Calendar,Z945,NDays&amp;"D")</f>
        <v>45799</v>
      </c>
      <c r="AB945" s="92">
        <v>2.2105802581218907E-2</v>
      </c>
      <c r="AC945" s="101">
        <v>2.1741292791768174E-2</v>
      </c>
    </row>
    <row r="946" spans="25:29" x14ac:dyDescent="0.2">
      <c r="Y946" s="105" t="str">
        <f t="shared" si="48"/>
        <v>1w</v>
      </c>
      <c r="Z946" s="93">
        <f>_xll.qlCalendarAdvance(Calendar,Z945,Y946,"f",FALSE)</f>
        <v>45804</v>
      </c>
      <c r="AA946" s="117">
        <f>_xll.qlCalendarAdvance(Calendar,Z946,NDays&amp;"D")</f>
        <v>45806</v>
      </c>
      <c r="AB946" s="92">
        <v>2.2117693346607275E-2</v>
      </c>
      <c r="AC946" s="101">
        <v>2.1760218830184641E-2</v>
      </c>
    </row>
    <row r="947" spans="25:29" x14ac:dyDescent="0.2">
      <c r="Y947" s="105" t="str">
        <f t="shared" si="48"/>
        <v>1w</v>
      </c>
      <c r="Z947" s="93">
        <f>_xll.qlCalendarAdvance(Calendar,Z946,Y947,"f",FALSE)</f>
        <v>45811</v>
      </c>
      <c r="AA947" s="117">
        <f>_xll.qlCalendarAdvance(Calendar,Z947,NDays&amp;"D")</f>
        <v>45813</v>
      </c>
      <c r="AB947" s="92">
        <v>2.213503782706417E-2</v>
      </c>
      <c r="AC947" s="101">
        <v>2.1779173470122259E-2</v>
      </c>
    </row>
    <row r="948" spans="25:29" x14ac:dyDescent="0.2">
      <c r="Y948" s="105" t="str">
        <f t="shared" si="48"/>
        <v>1w</v>
      </c>
      <c r="Z948" s="93">
        <f>_xll.qlCalendarAdvance(Calendar,Z947,Y948,"f",FALSE)</f>
        <v>45818</v>
      </c>
      <c r="AA948" s="117">
        <f>_xll.qlCalendarAdvance(Calendar,Z948,NDays&amp;"D")</f>
        <v>45820</v>
      </c>
      <c r="AB948" s="92">
        <v>2.2152204983377943E-2</v>
      </c>
      <c r="AC948" s="101">
        <v>2.1798156711581029E-2</v>
      </c>
    </row>
    <row r="949" spans="25:29" x14ac:dyDescent="0.2">
      <c r="Y949" s="105" t="str">
        <f t="shared" si="48"/>
        <v>1w</v>
      </c>
      <c r="Z949" s="93">
        <f>_xll.qlCalendarAdvance(Calendar,Z948,Y949,"f",FALSE)</f>
        <v>45825</v>
      </c>
      <c r="AA949" s="117">
        <f>_xll.qlCalendarAdvance(Calendar,Z949,NDays&amp;"D")</f>
        <v>45827</v>
      </c>
      <c r="AB949" s="92">
        <v>2.2169185549505786E-2</v>
      </c>
      <c r="AC949" s="101">
        <v>2.1817168554720823E-2</v>
      </c>
    </row>
    <row r="950" spans="25:29" x14ac:dyDescent="0.2">
      <c r="Y950" s="105" t="str">
        <f t="shared" si="48"/>
        <v>1w</v>
      </c>
      <c r="Z950" s="93">
        <f>_xll.qlCalendarAdvance(Calendar,Z949,Y950,"f",FALSE)</f>
        <v>45832</v>
      </c>
      <c r="AA950" s="117">
        <f>_xll.qlCalendarAdvance(Calendar,Z950,NDays&amp;"D")</f>
        <v>45834</v>
      </c>
      <c r="AB950" s="92">
        <v>2.2191384448867871E-2</v>
      </c>
      <c r="AC950" s="101">
        <v>2.1836208999461704E-2</v>
      </c>
    </row>
    <row r="951" spans="25:29" x14ac:dyDescent="0.2">
      <c r="Y951" s="105" t="str">
        <f t="shared" si="48"/>
        <v>1w</v>
      </c>
      <c r="Z951" s="93">
        <f>_xll.qlCalendarAdvance(Calendar,Z950,Y951,"f",FALSE)</f>
        <v>45839</v>
      </c>
      <c r="AA951" s="117">
        <f>_xll.qlCalendarAdvance(Calendar,Z951,NDays&amp;"D")</f>
        <v>45841</v>
      </c>
      <c r="AB951" s="92">
        <v>2.2207921438839675E-2</v>
      </c>
      <c r="AC951" s="101">
        <v>2.1855272344843968E-2</v>
      </c>
    </row>
    <row r="952" spans="25:29" x14ac:dyDescent="0.2">
      <c r="Y952" s="105" t="str">
        <f t="shared" si="48"/>
        <v>1w</v>
      </c>
      <c r="Z952" s="93">
        <f>_xll.qlCalendarAdvance(Calendar,Z951,Y952,"f",FALSE)</f>
        <v>45846</v>
      </c>
      <c r="AA952" s="117">
        <f>_xll.qlCalendarAdvance(Calendar,Z952,NDays&amp;"D")</f>
        <v>45848</v>
      </c>
      <c r="AB952" s="92">
        <v>2.2224246280510829E-2</v>
      </c>
      <c r="AC952" s="101">
        <v>2.1874198966234104E-2</v>
      </c>
    </row>
    <row r="953" spans="25:29" x14ac:dyDescent="0.2">
      <c r="Y953" s="105" t="str">
        <f t="shared" si="48"/>
        <v>1w</v>
      </c>
      <c r="Z953" s="93">
        <f>_xll.qlCalendarAdvance(Calendar,Z952,Y953,"f",FALSE)</f>
        <v>45853</v>
      </c>
      <c r="AA953" s="117">
        <f>_xll.qlCalendarAdvance(Calendar,Z953,NDays&amp;"D")</f>
        <v>45855</v>
      </c>
      <c r="AB953" s="92">
        <v>2.2240358011993134E-2</v>
      </c>
      <c r="AC953" s="101">
        <v>2.1892914752035253E-2</v>
      </c>
    </row>
    <row r="954" spans="25:29" x14ac:dyDescent="0.2">
      <c r="Y954" s="105" t="str">
        <f t="shared" si="48"/>
        <v>1w</v>
      </c>
      <c r="Z954" s="93">
        <f>_xll.qlCalendarAdvance(Calendar,Z953,Y954,"f",FALSE)</f>
        <v>45860</v>
      </c>
      <c r="AA954" s="117">
        <f>_xll.qlCalendarAdvance(Calendar,Z954,NDays&amp;"D")</f>
        <v>45862</v>
      </c>
      <c r="AB954" s="92">
        <v>2.2256256628023701E-2</v>
      </c>
      <c r="AC954" s="101">
        <v>2.1911419702167478E-2</v>
      </c>
    </row>
    <row r="955" spans="25:29" x14ac:dyDescent="0.2">
      <c r="Y955" s="105" t="str">
        <f t="shared" si="48"/>
        <v>1w</v>
      </c>
      <c r="Z955" s="93">
        <f>_xll.qlCalendarAdvance(Calendar,Z954,Y955,"f",FALSE)</f>
        <v>45867</v>
      </c>
      <c r="AA955" s="117">
        <f>_xll.qlCalendarAdvance(Calendar,Z955,NDays&amp;"D")</f>
        <v>45869</v>
      </c>
      <c r="AB955" s="92">
        <v>2.2266741382895916E-2</v>
      </c>
      <c r="AC955" s="101">
        <v>2.1929713816710716E-2</v>
      </c>
    </row>
    <row r="956" spans="25:29" x14ac:dyDescent="0.2">
      <c r="Y956" s="105" t="str">
        <f t="shared" si="48"/>
        <v>1w</v>
      </c>
      <c r="Z956" s="93">
        <f>_xll.qlCalendarAdvance(Calendar,Z955,Y956,"f",FALSE)</f>
        <v>45874</v>
      </c>
      <c r="AA956" s="117">
        <f>_xll.qlCalendarAdvance(Calendar,Z956,NDays&amp;"D")</f>
        <v>45876</v>
      </c>
      <c r="AB956" s="92">
        <v>2.2287414493020165E-2</v>
      </c>
      <c r="AC956" s="101">
        <v>2.1947797095505095E-2</v>
      </c>
    </row>
    <row r="957" spans="25:29" x14ac:dyDescent="0.2">
      <c r="Y957" s="105" t="str">
        <f t="shared" si="48"/>
        <v>1w</v>
      </c>
      <c r="Z957" s="93">
        <f>_xll.qlCalendarAdvance(Calendar,Z956,Y957,"f",FALSE)</f>
        <v>45881</v>
      </c>
      <c r="AA957" s="117">
        <f>_xll.qlCalendarAdvance(Calendar,Z957,NDays&amp;"D")</f>
        <v>45883</v>
      </c>
      <c r="AB957" s="92">
        <v>2.230267373180668E-2</v>
      </c>
      <c r="AC957" s="101">
        <v>2.1965669538550614E-2</v>
      </c>
    </row>
    <row r="958" spans="25:29" x14ac:dyDescent="0.2">
      <c r="Y958" s="105" t="str">
        <f t="shared" si="48"/>
        <v>1w</v>
      </c>
      <c r="Z958" s="93">
        <f>_xll.qlCalendarAdvance(Calendar,Z957,Y958,"f",FALSE)</f>
        <v>45888</v>
      </c>
      <c r="AA958" s="117">
        <f>_xll.qlCalendarAdvance(Calendar,Z958,NDays&amp;"D")</f>
        <v>45890</v>
      </c>
      <c r="AB958" s="92">
        <v>2.23177198347814E-2</v>
      </c>
      <c r="AC958" s="101">
        <v>2.198333114592721E-2</v>
      </c>
    </row>
    <row r="959" spans="25:29" x14ac:dyDescent="0.2">
      <c r="Y959" s="105" t="str">
        <f t="shared" si="48"/>
        <v>1w</v>
      </c>
      <c r="Z959" s="93">
        <f>_xll.qlCalendarAdvance(Calendar,Z958,Y959,"f",FALSE)</f>
        <v>45895</v>
      </c>
      <c r="AA959" s="117">
        <f>_xll.qlCalendarAdvance(Calendar,Z959,NDays&amp;"D")</f>
        <v>45897</v>
      </c>
      <c r="AB959" s="92">
        <v>2.232752351869257E-2</v>
      </c>
      <c r="AC959" s="101">
        <v>2.2000781917554946E-2</v>
      </c>
    </row>
    <row r="960" spans="25:29" x14ac:dyDescent="0.2">
      <c r="Y960" s="105" t="str">
        <f t="shared" si="48"/>
        <v>1w</v>
      </c>
      <c r="Z960" s="93">
        <f>_xll.qlCalendarAdvance(Calendar,Z959,Y960,"f",FALSE)</f>
        <v>45902</v>
      </c>
      <c r="AA960" s="117">
        <f>_xll.qlCalendarAdvance(Calendar,Z960,NDays&amp;"D")</f>
        <v>45904</v>
      </c>
      <c r="AB960" s="92">
        <v>2.2338855579006358E-2</v>
      </c>
      <c r="AC960" s="101">
        <v>2.201802185327395E-2</v>
      </c>
    </row>
    <row r="961" spans="25:29" x14ac:dyDescent="0.2">
      <c r="Y961" s="105" t="str">
        <f t="shared" si="48"/>
        <v>1w</v>
      </c>
      <c r="Z961" s="93">
        <f>_xll.qlCalendarAdvance(Calendar,Z960,Y961,"f",FALSE)</f>
        <v>45909</v>
      </c>
      <c r="AA961" s="117">
        <f>_xll.qlCalendarAdvance(Calendar,Z961,NDays&amp;"D")</f>
        <v>45911</v>
      </c>
      <c r="AB961" s="92">
        <v>2.235333390429773E-2</v>
      </c>
      <c r="AC961" s="101">
        <v>2.2035050953244095E-2</v>
      </c>
    </row>
    <row r="962" spans="25:29" x14ac:dyDescent="0.2">
      <c r="Y962" s="105" t="str">
        <f t="shared" si="48"/>
        <v>1w</v>
      </c>
      <c r="Z962" s="93">
        <f>_xll.qlCalendarAdvance(Calendar,Z961,Y962,"f",FALSE)</f>
        <v>45916</v>
      </c>
      <c r="AA962" s="117">
        <f>_xll.qlCalendarAdvance(Calendar,Z962,NDays&amp;"D")</f>
        <v>45918</v>
      </c>
      <c r="AB962" s="92">
        <v>2.2367599139128027E-2</v>
      </c>
      <c r="AC962" s="101">
        <v>2.2051869217225573E-2</v>
      </c>
    </row>
    <row r="963" spans="25:29" x14ac:dyDescent="0.2">
      <c r="Y963" s="105" t="str">
        <f t="shared" si="48"/>
        <v>1w</v>
      </c>
      <c r="Z963" s="93">
        <f>_xll.qlCalendarAdvance(Calendar,Z962,Y963,"f",FALSE)</f>
        <v>45923</v>
      </c>
      <c r="AA963" s="117">
        <f>_xll.qlCalendarAdvance(Calendar,Z963,NDays&amp;"D")</f>
        <v>45925</v>
      </c>
      <c r="AB963" s="92">
        <v>2.2381651278962973E-2</v>
      </c>
      <c r="AC963" s="101">
        <v>2.206847664545819E-2</v>
      </c>
    </row>
    <row r="964" spans="25:29" x14ac:dyDescent="0.2">
      <c r="Y964" s="105" t="str">
        <f t="shared" si="48"/>
        <v>1w</v>
      </c>
      <c r="Z964" s="93">
        <f>_xll.qlCalendarAdvance(Calendar,Z963,Y964,"f",FALSE)</f>
        <v>45930</v>
      </c>
      <c r="AA964" s="117">
        <f>_xll.qlCalendarAdvance(Calendar,Z964,NDays&amp;"D")</f>
        <v>45932</v>
      </c>
      <c r="AB964" s="92">
        <v>2.2397098938548327E-2</v>
      </c>
      <c r="AC964" s="101">
        <v>2.2084873237702141E-2</v>
      </c>
    </row>
    <row r="965" spans="25:29" x14ac:dyDescent="0.2">
      <c r="Y965" s="105" t="str">
        <f t="shared" si="48"/>
        <v>1w</v>
      </c>
      <c r="Z965" s="93">
        <f>_xll.qlCalendarAdvance(Calendar,Z964,Y965,"f",FALSE)</f>
        <v>45937</v>
      </c>
      <c r="AA965" s="117">
        <f>_xll.qlCalendarAdvance(Calendar,Z965,NDays&amp;"D")</f>
        <v>45939</v>
      </c>
      <c r="AB965" s="92">
        <v>2.241071049503993E-2</v>
      </c>
      <c r="AC965" s="101">
        <v>2.2101058993877487E-2</v>
      </c>
    </row>
    <row r="966" spans="25:29" x14ac:dyDescent="0.2">
      <c r="Y966" s="105" t="str">
        <f t="shared" si="48"/>
        <v>1w</v>
      </c>
      <c r="Z966" s="93">
        <f>_xll.qlCalendarAdvance(Calendar,Z965,Y966,"f",FALSE)</f>
        <v>45944</v>
      </c>
      <c r="AA966" s="117">
        <f>_xll.qlCalendarAdvance(Calendar,Z966,NDays&amp;"D")</f>
        <v>45946</v>
      </c>
      <c r="AB966" s="92">
        <v>2.24241089303449E-2</v>
      </c>
      <c r="AC966" s="101">
        <v>2.2117033914224038E-2</v>
      </c>
    </row>
    <row r="967" spans="25:29" x14ac:dyDescent="0.2">
      <c r="Y967" s="105" t="str">
        <f t="shared" si="48"/>
        <v>1w</v>
      </c>
      <c r="Z967" s="93">
        <f>_xll.qlCalendarAdvance(Calendar,Z966,Y967,"f",FALSE)</f>
        <v>45951</v>
      </c>
      <c r="AA967" s="117">
        <f>_xll.qlCalendarAdvance(Calendar,Z967,NDays&amp;"D")</f>
        <v>45953</v>
      </c>
      <c r="AB967" s="92">
        <v>2.2437294240178315E-2</v>
      </c>
      <c r="AC967" s="101">
        <v>2.2132797998422049E-2</v>
      </c>
    </row>
    <row r="968" spans="25:29" x14ac:dyDescent="0.2">
      <c r="Y968" s="105" t="str">
        <f t="shared" si="48"/>
        <v>1w</v>
      </c>
      <c r="Z968" s="93">
        <f>_xll.qlCalendarAdvance(Calendar,Z967,Y968,"f",FALSE)</f>
        <v>45958</v>
      </c>
      <c r="AA968" s="117">
        <f>_xll.qlCalendarAdvance(Calendar,Z968,NDays&amp;"D")</f>
        <v>45960</v>
      </c>
      <c r="AB968" s="92">
        <v>2.2450266420325962E-2</v>
      </c>
      <c r="AC968" s="101">
        <v>2.2148351246631393E-2</v>
      </c>
    </row>
    <row r="969" spans="25:29" x14ac:dyDescent="0.2">
      <c r="Y969" s="105" t="str">
        <f t="shared" si="48"/>
        <v>1w</v>
      </c>
      <c r="Z969" s="93">
        <f>_xll.qlCalendarAdvance(Calendar,Z968,Y969,"f",FALSE)</f>
        <v>45965</v>
      </c>
      <c r="AA969" s="117">
        <f>_xll.qlCalendarAdvance(Calendar,Z969,NDays&amp;"D")</f>
        <v>45967</v>
      </c>
      <c r="AB969" s="92">
        <v>2.246148887759945E-2</v>
      </c>
      <c r="AC969" s="101">
        <v>2.2163693658852068E-2</v>
      </c>
    </row>
    <row r="970" spans="25:29" x14ac:dyDescent="0.2">
      <c r="Y970" s="105" t="str">
        <f t="shared" si="48"/>
        <v>1w</v>
      </c>
      <c r="Z970" s="93">
        <f>_xll.qlCalendarAdvance(Calendar,Z969,Y970,"f",FALSE)</f>
        <v>45972</v>
      </c>
      <c r="AA970" s="117">
        <f>_xll.qlCalendarAdvance(Calendar,Z970,NDays&amp;"D")</f>
        <v>45974</v>
      </c>
      <c r="AB970" s="92">
        <v>2.2474049231157128E-2</v>
      </c>
      <c r="AC970" s="101">
        <v>2.2178825234844268E-2</v>
      </c>
    </row>
    <row r="971" spans="25:29" x14ac:dyDescent="0.2">
      <c r="Y971" s="105" t="str">
        <f t="shared" si="48"/>
        <v>1w</v>
      </c>
      <c r="Z971" s="93">
        <f>_xll.qlCalendarAdvance(Calendar,Z970,Y971,"f",FALSE)</f>
        <v>45979</v>
      </c>
      <c r="AA971" s="117">
        <f>_xll.qlCalendarAdvance(Calendar,Z971,NDays&amp;"D")</f>
        <v>45981</v>
      </c>
      <c r="AB971" s="92">
        <v>2.2486396455872935E-2</v>
      </c>
      <c r="AC971" s="101">
        <v>2.2193745974767864E-2</v>
      </c>
    </row>
    <row r="972" spans="25:29" x14ac:dyDescent="0.2">
      <c r="Y972" s="105" t="str">
        <f t="shared" si="48"/>
        <v>1w</v>
      </c>
      <c r="Z972" s="93">
        <f>_xll.qlCalendarAdvance(Calendar,Z971,Y972,"f",FALSE)</f>
        <v>45986</v>
      </c>
      <c r="AA972" s="117">
        <f>_xll.qlCalendarAdvance(Calendar,Z972,NDays&amp;"D")</f>
        <v>45988</v>
      </c>
      <c r="AB972" s="92">
        <v>2.2498530547821173E-2</v>
      </c>
      <c r="AC972" s="101">
        <v>2.2208455878542921E-2</v>
      </c>
    </row>
    <row r="973" spans="25:29" x14ac:dyDescent="0.2">
      <c r="Y973" s="105" t="str">
        <f t="shared" si="48"/>
        <v>1w</v>
      </c>
      <c r="Z973" s="93">
        <f>_xll.qlCalendarAdvance(Calendar,Z972,Y973,"f",FALSE)</f>
        <v>45993</v>
      </c>
      <c r="AA973" s="117">
        <f>_xll.qlCalendarAdvance(Calendar,Z973,NDays&amp;"D")</f>
        <v>45995</v>
      </c>
      <c r="AB973" s="92">
        <v>2.2511930232997815E-2</v>
      </c>
      <c r="AC973" s="101">
        <v>2.2222954946249374E-2</v>
      </c>
    </row>
    <row r="974" spans="25:29" x14ac:dyDescent="0.2">
      <c r="Y974" s="105" t="str">
        <f t="shared" si="48"/>
        <v>1w</v>
      </c>
      <c r="Z974" s="93">
        <f>_xll.qlCalendarAdvance(Calendar,Z973,Y974,"f",FALSE)</f>
        <v>46000</v>
      </c>
      <c r="AA974" s="117">
        <f>_xll.qlCalendarAdvance(Calendar,Z974,NDays&amp;"D")</f>
        <v>46002</v>
      </c>
      <c r="AB974" s="92">
        <v>2.2523623550318395E-2</v>
      </c>
      <c r="AC974" s="101">
        <v>2.2237243177567478E-2</v>
      </c>
    </row>
    <row r="975" spans="25:29" x14ac:dyDescent="0.2">
      <c r="Y975" s="105" t="str">
        <f t="shared" si="48"/>
        <v>1w</v>
      </c>
      <c r="Z975" s="93">
        <f>_xll.qlCalendarAdvance(Calendar,Z974,Y975,"f",FALSE)</f>
        <v>46007</v>
      </c>
      <c r="AA975" s="117">
        <f>_xll.qlCalendarAdvance(Calendar,Z975,NDays&amp;"D")</f>
        <v>46009</v>
      </c>
      <c r="AB975" s="92">
        <v>2.2535103710352868E-2</v>
      </c>
      <c r="AC975" s="101">
        <v>2.2251320572737043E-2</v>
      </c>
    </row>
    <row r="976" spans="25:29" x14ac:dyDescent="0.2">
      <c r="Y976" s="105" t="str">
        <f t="shared" si="48"/>
        <v>1w</v>
      </c>
      <c r="Z976" s="93">
        <f>_xll.qlCalendarAdvance(Calendar,Z975,Y976,"f",FALSE)</f>
        <v>46014</v>
      </c>
      <c r="AA976" s="117">
        <f>_xll.qlCalendarAdvance(Calendar,Z976,NDays&amp;"D")</f>
        <v>46020</v>
      </c>
      <c r="AB976" s="92">
        <v>2.2552713288307814E-2</v>
      </c>
      <c r="AC976" s="101">
        <v>2.2273016218496977E-2</v>
      </c>
    </row>
    <row r="977" spans="25:29" x14ac:dyDescent="0.2">
      <c r="Y977" s="105" t="str">
        <f t="shared" si="48"/>
        <v>1w</v>
      </c>
      <c r="Z977" s="93">
        <f>_xll.qlCalendarAdvance(Calendar,Z976,Y977,"f",FALSE)</f>
        <v>46021</v>
      </c>
      <c r="AA977" s="117">
        <f>_xll.qlCalendarAdvance(Calendar,Z977,NDays&amp;"D")</f>
        <v>46024</v>
      </c>
      <c r="AB977" s="92">
        <v>2.255756767901107E-2</v>
      </c>
      <c r="AC977" s="101">
        <v>2.2284083577739366E-2</v>
      </c>
    </row>
    <row r="978" spans="25:29" x14ac:dyDescent="0.2">
      <c r="Y978" s="105" t="str">
        <f t="shared" si="48"/>
        <v>1w</v>
      </c>
      <c r="Z978" s="93">
        <f>_xll.qlCalendarAdvance(Calendar,Z977,Y978,"f",FALSE)</f>
        <v>46028</v>
      </c>
      <c r="AA978" s="117">
        <f>_xll.qlCalendarAdvance(Calendar,Z978,NDays&amp;"D")</f>
        <v>46030</v>
      </c>
      <c r="AB978" s="92">
        <v>2.2566859100082281E-2</v>
      </c>
      <c r="AC978" s="101">
        <v>2.2292287740715011E-2</v>
      </c>
    </row>
    <row r="979" spans="25:29" x14ac:dyDescent="0.2">
      <c r="Y979" s="105" t="str">
        <f t="shared" si="48"/>
        <v>1w</v>
      </c>
      <c r="Z979" s="93">
        <f>_xll.qlCalendarAdvance(Calendar,Z978,Y979,"f",FALSE)</f>
        <v>46035</v>
      </c>
      <c r="AA979" s="117">
        <f>_xll.qlCalendarAdvance(Calendar,Z979,NDays&amp;"D")</f>
        <v>46037</v>
      </c>
      <c r="AB979" s="92">
        <v>2.2577501158425346E-2</v>
      </c>
      <c r="AC979" s="101">
        <v>2.2305521790730864E-2</v>
      </c>
    </row>
    <row r="980" spans="25:29" x14ac:dyDescent="0.2">
      <c r="Y980" s="105" t="str">
        <f t="shared" si="48"/>
        <v>1w</v>
      </c>
      <c r="Z980" s="93">
        <f>_xll.qlCalendarAdvance(Calendar,Z979,Y980,"f",FALSE)</f>
        <v>46042</v>
      </c>
      <c r="AA980" s="117">
        <f>_xll.qlCalendarAdvance(Calendar,Z980,NDays&amp;"D")</f>
        <v>46044</v>
      </c>
      <c r="AB980" s="92">
        <v>2.2587930055032634E-2</v>
      </c>
      <c r="AC980" s="101">
        <v>2.231854500435837E-2</v>
      </c>
    </row>
    <row r="981" spans="25:29" x14ac:dyDescent="0.2">
      <c r="Y981" s="105" t="str">
        <f t="shared" ref="Y981:Y1044" si="49">Y980</f>
        <v>1w</v>
      </c>
      <c r="Z981" s="93">
        <f>_xll.qlCalendarAdvance(Calendar,Z980,Y981,"f",FALSE)</f>
        <v>46049</v>
      </c>
      <c r="AA981" s="117">
        <f>_xll.qlCalendarAdvance(Calendar,Z981,NDays&amp;"D")</f>
        <v>46051</v>
      </c>
      <c r="AB981" s="92">
        <v>2.2598145786589231E-2</v>
      </c>
      <c r="AC981" s="101">
        <v>2.2331357381677464E-2</v>
      </c>
    </row>
    <row r="982" spans="25:29" x14ac:dyDescent="0.2">
      <c r="Y982" s="105" t="str">
        <f t="shared" si="49"/>
        <v>1w</v>
      </c>
      <c r="Z982" s="93">
        <f>_xll.qlCalendarAdvance(Calendar,Z981,Y982,"f",FALSE)</f>
        <v>46056</v>
      </c>
      <c r="AA982" s="117">
        <f>_xll.qlCalendarAdvance(Calendar,Z982,NDays&amp;"D")</f>
        <v>46058</v>
      </c>
      <c r="AB982" s="92">
        <v>2.2608148349846462E-2</v>
      </c>
      <c r="AC982" s="101">
        <v>2.2343958922608209E-2</v>
      </c>
    </row>
    <row r="983" spans="25:29" x14ac:dyDescent="0.2">
      <c r="Y983" s="105" t="str">
        <f t="shared" si="49"/>
        <v>1w</v>
      </c>
      <c r="Z983" s="93">
        <f>_xll.qlCalendarAdvance(Calendar,Z982,Y983,"f",FALSE)</f>
        <v>46063</v>
      </c>
      <c r="AA983" s="117">
        <f>_xll.qlCalendarAdvance(Calendar,Z983,NDays&amp;"D")</f>
        <v>46065</v>
      </c>
      <c r="AB983" s="92">
        <v>2.2617937741623666E-2</v>
      </c>
      <c r="AC983" s="101">
        <v>2.2356349627150607E-2</v>
      </c>
    </row>
    <row r="984" spans="25:29" x14ac:dyDescent="0.2">
      <c r="Y984" s="105" t="str">
        <f t="shared" si="49"/>
        <v>1w</v>
      </c>
      <c r="Z984" s="93">
        <f>_xll.qlCalendarAdvance(Calendar,Z983,Y984,"f",FALSE)</f>
        <v>46070</v>
      </c>
      <c r="AA984" s="117">
        <f>_xll.qlCalendarAdvance(Calendar,Z984,NDays&amp;"D")</f>
        <v>46072</v>
      </c>
      <c r="AB984" s="92">
        <v>2.2627513958808194E-2</v>
      </c>
      <c r="AC984" s="101">
        <v>2.236852949522472E-2</v>
      </c>
    </row>
    <row r="985" spans="25:29" x14ac:dyDescent="0.2">
      <c r="Y985" s="105" t="str">
        <f t="shared" si="49"/>
        <v>1w</v>
      </c>
      <c r="Z985" s="93">
        <f>_xll.qlCalendarAdvance(Calendar,Z984,Y985,"f",FALSE)</f>
        <v>46077</v>
      </c>
      <c r="AA985" s="117">
        <f>_xll.qlCalendarAdvance(Calendar,Z985,NDays&amp;"D")</f>
        <v>46079</v>
      </c>
      <c r="AB985" s="92">
        <v>2.2636876998354972E-2</v>
      </c>
      <c r="AC985" s="101">
        <v>2.2380498526910486E-2</v>
      </c>
    </row>
    <row r="986" spans="25:29" x14ac:dyDescent="0.2">
      <c r="Y986" s="105" t="str">
        <f t="shared" si="49"/>
        <v>1w</v>
      </c>
      <c r="Z986" s="93">
        <f>_xll.qlCalendarAdvance(Calendar,Z985,Y986,"f",FALSE)</f>
        <v>46084</v>
      </c>
      <c r="AA986" s="117">
        <f>_xll.qlCalendarAdvance(Calendar,Z986,NDays&amp;"D")</f>
        <v>46086</v>
      </c>
      <c r="AB986" s="92">
        <v>2.2652459528335733E-2</v>
      </c>
      <c r="AC986" s="101">
        <v>2.2392256721968096E-2</v>
      </c>
    </row>
    <row r="987" spans="25:29" x14ac:dyDescent="0.2">
      <c r="Y987" s="105" t="str">
        <f t="shared" si="49"/>
        <v>1w</v>
      </c>
      <c r="Z987" s="93">
        <f>_xll.qlCalendarAdvance(Calendar,Z986,Y987,"f",FALSE)</f>
        <v>46091</v>
      </c>
      <c r="AA987" s="117">
        <f>_xll.qlCalendarAdvance(Calendar,Z987,NDays&amp;"D")</f>
        <v>46093</v>
      </c>
      <c r="AB987" s="92">
        <v>2.2661322837078165E-2</v>
      </c>
      <c r="AC987" s="101">
        <v>2.2403804080637357E-2</v>
      </c>
    </row>
    <row r="988" spans="25:29" x14ac:dyDescent="0.2">
      <c r="Y988" s="105" t="str">
        <f t="shared" si="49"/>
        <v>1w</v>
      </c>
      <c r="Z988" s="93">
        <f>_xll.qlCalendarAdvance(Calendar,Z987,Y988,"f",FALSE)</f>
        <v>46098</v>
      </c>
      <c r="AA988" s="117">
        <f>_xll.qlCalendarAdvance(Calendar,Z988,NDays&amp;"D")</f>
        <v>46100</v>
      </c>
      <c r="AB988" s="92">
        <v>2.2669972892824686E-2</v>
      </c>
      <c r="AC988" s="101">
        <v>2.2415140602758399E-2</v>
      </c>
    </row>
    <row r="989" spans="25:29" x14ac:dyDescent="0.2">
      <c r="Y989" s="105" t="str">
        <f t="shared" si="49"/>
        <v>1w</v>
      </c>
      <c r="Z989" s="93">
        <f>_xll.qlCalendarAdvance(Calendar,Z988,Y989,"f",FALSE)</f>
        <v>46105</v>
      </c>
      <c r="AA989" s="117">
        <f>_xll.qlCalendarAdvance(Calendar,Z989,NDays&amp;"D")</f>
        <v>46107</v>
      </c>
      <c r="AB989" s="92">
        <v>2.2678409692749608E-2</v>
      </c>
      <c r="AC989" s="101">
        <v>2.242626628833122E-2</v>
      </c>
    </row>
    <row r="990" spans="25:29" x14ac:dyDescent="0.2">
      <c r="Y990" s="105" t="str">
        <f t="shared" si="49"/>
        <v>1w</v>
      </c>
      <c r="Z990" s="93">
        <f>_xll.qlCalendarAdvance(Calendar,Z989,Y990,"f",FALSE)</f>
        <v>46112</v>
      </c>
      <c r="AA990" s="117">
        <f>_xll.qlCalendarAdvance(Calendar,Z990,NDays&amp;"D")</f>
        <v>46114</v>
      </c>
      <c r="AB990" s="92">
        <v>2.2682954020003279E-2</v>
      </c>
      <c r="AC990" s="101">
        <v>2.2443054396131146E-2</v>
      </c>
    </row>
    <row r="991" spans="25:29" x14ac:dyDescent="0.2">
      <c r="Y991" s="105" t="str">
        <f t="shared" si="49"/>
        <v>1w</v>
      </c>
      <c r="Z991" s="93">
        <f>_xll.qlCalendarAdvance(Calendar,Z990,Y991,"f",FALSE)</f>
        <v>46119</v>
      </c>
      <c r="AA991" s="117">
        <f>_xll.qlCalendarAdvance(Calendar,Z991,NDays&amp;"D")</f>
        <v>46121</v>
      </c>
      <c r="AB991" s="92">
        <v>2.269100848578352E-2</v>
      </c>
      <c r="AC991" s="101">
        <v>2.2447885149752267E-2</v>
      </c>
    </row>
    <row r="992" spans="25:29" x14ac:dyDescent="0.2">
      <c r="Y992" s="105" t="str">
        <f t="shared" si="49"/>
        <v>1w</v>
      </c>
      <c r="Z992" s="93">
        <f>_xll.qlCalendarAdvance(Calendar,Z991,Y992,"f",FALSE)</f>
        <v>46126</v>
      </c>
      <c r="AA992" s="117">
        <f>_xll.qlCalendarAdvance(Calendar,Z992,NDays&amp;"D")</f>
        <v>46128</v>
      </c>
      <c r="AB992" s="92">
        <v>2.2698849727785016E-2</v>
      </c>
      <c r="AC992" s="101">
        <v>2.2458378325680428E-2</v>
      </c>
    </row>
    <row r="993" spans="25:29" x14ac:dyDescent="0.2">
      <c r="Y993" s="105" t="str">
        <f t="shared" si="49"/>
        <v>1w</v>
      </c>
      <c r="Z993" s="93">
        <f>_xll.qlCalendarAdvance(Calendar,Z992,Y993,"f",FALSE)</f>
        <v>46133</v>
      </c>
      <c r="AA993" s="117">
        <f>_xll.qlCalendarAdvance(Calendar,Z993,NDays&amp;"D")</f>
        <v>46135</v>
      </c>
      <c r="AB993" s="92">
        <v>2.2706477743486071E-2</v>
      </c>
      <c r="AC993" s="101">
        <v>2.2468660664900497E-2</v>
      </c>
    </row>
    <row r="994" spans="25:29" x14ac:dyDescent="0.2">
      <c r="Y994" s="105" t="str">
        <f t="shared" si="49"/>
        <v>1w</v>
      </c>
      <c r="Z994" s="93">
        <f>_xll.qlCalendarAdvance(Calendar,Z993,Y994,"f",FALSE)</f>
        <v>46140</v>
      </c>
      <c r="AA994" s="117">
        <f>_xll.qlCalendarAdvance(Calendar,Z994,NDays&amp;"D")</f>
        <v>46142</v>
      </c>
      <c r="AB994" s="92">
        <v>2.2713892530435313E-2</v>
      </c>
      <c r="AC994" s="101">
        <v>2.2482966102574942E-2</v>
      </c>
    </row>
    <row r="995" spans="25:29" x14ac:dyDescent="0.2">
      <c r="Y995" s="105" t="str">
        <f t="shared" si="49"/>
        <v>1w</v>
      </c>
      <c r="Z995" s="93">
        <f>_xll.qlCalendarAdvance(Calendar,Z994,Y995,"f",FALSE)</f>
        <v>46147</v>
      </c>
      <c r="AA995" s="117">
        <f>_xll.qlCalendarAdvance(Calendar,Z995,NDays&amp;"D")</f>
        <v>46149</v>
      </c>
      <c r="AB995" s="92">
        <v>2.2724551970532778E-2</v>
      </c>
      <c r="AC995" s="101">
        <v>2.2488592833536103E-2</v>
      </c>
    </row>
    <row r="996" spans="25:29" x14ac:dyDescent="0.2">
      <c r="Y996" s="105" t="str">
        <f t="shared" si="49"/>
        <v>1w</v>
      </c>
      <c r="Z996" s="93">
        <f>_xll.qlCalendarAdvance(Calendar,Z995,Y996,"f",FALSE)</f>
        <v>46154</v>
      </c>
      <c r="AA996" s="117">
        <f>_xll.qlCalendarAdvance(Calendar,Z996,NDays&amp;"D")</f>
        <v>46156</v>
      </c>
      <c r="AB996" s="92">
        <v>2.2731495906414989E-2</v>
      </c>
      <c r="AC996" s="101">
        <v>2.2498242662711831E-2</v>
      </c>
    </row>
    <row r="997" spans="25:29" x14ac:dyDescent="0.2">
      <c r="Y997" s="105" t="str">
        <f t="shared" si="49"/>
        <v>1w</v>
      </c>
      <c r="Z997" s="93">
        <f>_xll.qlCalendarAdvance(Calendar,Z996,Y997,"f",FALSE)</f>
        <v>46161</v>
      </c>
      <c r="AA997" s="117">
        <f>_xll.qlCalendarAdvance(Calendar,Z997,NDays&amp;"D")</f>
        <v>46163</v>
      </c>
      <c r="AB997" s="92">
        <v>2.2738226566371249E-2</v>
      </c>
      <c r="AC997" s="101">
        <v>2.2507681655259404E-2</v>
      </c>
    </row>
    <row r="998" spans="25:29" x14ac:dyDescent="0.2">
      <c r="Y998" s="105" t="str">
        <f t="shared" si="49"/>
        <v>1w</v>
      </c>
      <c r="Z998" s="93">
        <f>_xll.qlCalendarAdvance(Calendar,Z997,Y998,"f",FALSE)</f>
        <v>46168</v>
      </c>
      <c r="AA998" s="117">
        <f>_xll.qlCalendarAdvance(Calendar,Z998,NDays&amp;"D")</f>
        <v>46170</v>
      </c>
      <c r="AB998" s="92">
        <v>2.2744743948203316E-2</v>
      </c>
      <c r="AC998" s="101">
        <v>2.2516909811258756E-2</v>
      </c>
    </row>
    <row r="999" spans="25:29" x14ac:dyDescent="0.2">
      <c r="Y999" s="105" t="str">
        <f t="shared" si="49"/>
        <v>1w</v>
      </c>
      <c r="Z999" s="93">
        <f>_xll.qlCalendarAdvance(Calendar,Z998,Y999,"f",FALSE)</f>
        <v>46175</v>
      </c>
      <c r="AA999" s="117">
        <f>_xll.qlCalendarAdvance(Calendar,Z999,NDays&amp;"D")</f>
        <v>46177</v>
      </c>
      <c r="AB999" s="92">
        <v>2.2747767952864446E-2</v>
      </c>
      <c r="AC999" s="101">
        <v>2.2525927130390144E-2</v>
      </c>
    </row>
    <row r="1000" spans="25:29" x14ac:dyDescent="0.2">
      <c r="Y1000" s="105" t="str">
        <f t="shared" si="49"/>
        <v>1w</v>
      </c>
      <c r="Z1000" s="93">
        <f>_xll.qlCalendarAdvance(Calendar,Z999,Y1000,"f",FALSE)</f>
        <v>46182</v>
      </c>
      <c r="AA1000" s="117">
        <f>_xll.qlCalendarAdvance(Calendar,Z1000,NDays&amp;"D")</f>
        <v>46184</v>
      </c>
      <c r="AB1000" s="92">
        <v>2.2753903319639949E-2</v>
      </c>
      <c r="AC1000" s="101">
        <v>2.2534733612893376E-2</v>
      </c>
    </row>
    <row r="1001" spans="25:29" x14ac:dyDescent="0.2">
      <c r="Y1001" s="105" t="str">
        <f t="shared" si="49"/>
        <v>1w</v>
      </c>
      <c r="Z1001" s="93">
        <f>_xll.qlCalendarAdvance(Calendar,Z1000,Y1001,"f",FALSE)</f>
        <v>46189</v>
      </c>
      <c r="AA1001" s="117">
        <f>_xll.qlCalendarAdvance(Calendar,Z1001,NDays&amp;"D")</f>
        <v>46191</v>
      </c>
      <c r="AB1001" s="92">
        <v>2.2759825442415942E-2</v>
      </c>
      <c r="AC1001" s="101">
        <v>2.254332925860858E-2</v>
      </c>
    </row>
    <row r="1002" spans="25:29" x14ac:dyDescent="0.2">
      <c r="Y1002" s="105" t="str">
        <f t="shared" si="49"/>
        <v>1w</v>
      </c>
      <c r="Z1002" s="93">
        <f>_xll.qlCalendarAdvance(Calendar,Z1001,Y1002,"f",FALSE)</f>
        <v>46196</v>
      </c>
      <c r="AA1002" s="117">
        <f>_xll.qlCalendarAdvance(Calendar,Z1002,NDays&amp;"D")</f>
        <v>46198</v>
      </c>
      <c r="AB1002" s="92">
        <v>2.2768680652737072E-2</v>
      </c>
      <c r="AC1002" s="101">
        <v>2.2551714067455819E-2</v>
      </c>
    </row>
    <row r="1003" spans="25:29" x14ac:dyDescent="0.2">
      <c r="Y1003" s="105" t="str">
        <f t="shared" si="49"/>
        <v>1w</v>
      </c>
      <c r="Z1003" s="93">
        <f>_xll.qlCalendarAdvance(Calendar,Z1002,Y1003,"f",FALSE)</f>
        <v>46203</v>
      </c>
      <c r="AA1003" s="117">
        <f>_xll.qlCalendarAdvance(Calendar,Z1003,NDays&amp;"D")</f>
        <v>46205</v>
      </c>
      <c r="AB1003" s="92">
        <v>2.2774131613394547E-2</v>
      </c>
      <c r="AC1003" s="101">
        <v>2.2559888039674902E-2</v>
      </c>
    </row>
    <row r="1004" spans="25:29" x14ac:dyDescent="0.2">
      <c r="Y1004" s="105" t="str">
        <f t="shared" si="49"/>
        <v>1w</v>
      </c>
      <c r="Z1004" s="93">
        <f>_xll.qlCalendarAdvance(Calendar,Z1003,Y1004,"f",FALSE)</f>
        <v>46210</v>
      </c>
      <c r="AA1004" s="117">
        <f>_xll.qlCalendarAdvance(Calendar,Z1004,NDays&amp;"D")</f>
        <v>46212</v>
      </c>
      <c r="AB1004" s="92">
        <v>2.2779369284194415E-2</v>
      </c>
      <c r="AC1004" s="101">
        <v>2.2567851175026021E-2</v>
      </c>
    </row>
    <row r="1005" spans="25:29" x14ac:dyDescent="0.2">
      <c r="Y1005" s="105" t="str">
        <f t="shared" si="49"/>
        <v>1w</v>
      </c>
      <c r="Z1005" s="93">
        <f>_xll.qlCalendarAdvance(Calendar,Z1004,Y1005,"f",FALSE)</f>
        <v>46217</v>
      </c>
      <c r="AA1005" s="117">
        <f>_xll.qlCalendarAdvance(Calendar,Z1005,NDays&amp;"D")</f>
        <v>46219</v>
      </c>
      <c r="AB1005" s="92">
        <v>2.2784393663425363E-2</v>
      </c>
      <c r="AC1005" s="101">
        <v>2.2575603473589112E-2</v>
      </c>
    </row>
    <row r="1006" spans="25:29" x14ac:dyDescent="0.2">
      <c r="Y1006" s="105" t="str">
        <f t="shared" si="49"/>
        <v>1w</v>
      </c>
      <c r="Z1006" s="93">
        <f>_xll.qlCalendarAdvance(Calendar,Z1005,Y1006,"f",FALSE)</f>
        <v>46224</v>
      </c>
      <c r="AA1006" s="117">
        <f>_xll.qlCalendarAdvance(Calendar,Z1006,NDays&amp;"D")</f>
        <v>46226</v>
      </c>
      <c r="AB1006" s="92">
        <v>2.2789204749446117E-2</v>
      </c>
      <c r="AC1006" s="101">
        <v>2.2583144935364174E-2</v>
      </c>
    </row>
    <row r="1007" spans="25:29" x14ac:dyDescent="0.2">
      <c r="Y1007" s="105" t="str">
        <f t="shared" si="49"/>
        <v>1w</v>
      </c>
      <c r="Z1007" s="93">
        <f>_xll.qlCalendarAdvance(Calendar,Z1006,Y1007,"f",FALSE)</f>
        <v>46231</v>
      </c>
      <c r="AA1007" s="117">
        <f>_xll.qlCalendarAdvance(Calendar,Z1007,NDays&amp;"D")</f>
        <v>46233</v>
      </c>
      <c r="AB1007" s="92">
        <v>2.2790879953265994E-2</v>
      </c>
      <c r="AC1007" s="101">
        <v>2.2590475560271273E-2</v>
      </c>
    </row>
    <row r="1008" spans="25:29" x14ac:dyDescent="0.2">
      <c r="Y1008" s="105" t="str">
        <f t="shared" si="49"/>
        <v>1w</v>
      </c>
      <c r="Z1008" s="93">
        <f>_xll.qlCalendarAdvance(Calendar,Z1007,Y1008,"f",FALSE)</f>
        <v>46238</v>
      </c>
      <c r="AA1008" s="117">
        <f>_xll.qlCalendarAdvance(Calendar,Z1008,NDays&amp;"D")</f>
        <v>46240</v>
      </c>
      <c r="AB1008" s="92">
        <v>2.2798187035636228E-2</v>
      </c>
      <c r="AC1008" s="101">
        <v>2.2597595348310406E-2</v>
      </c>
    </row>
    <row r="1009" spans="25:29" x14ac:dyDescent="0.2">
      <c r="Y1009" s="105" t="str">
        <f t="shared" si="49"/>
        <v>1w</v>
      </c>
      <c r="Z1009" s="93">
        <f>_xll.qlCalendarAdvance(Calendar,Z1008,Y1009,"f",FALSE)</f>
        <v>46245</v>
      </c>
      <c r="AA1009" s="117">
        <f>_xll.qlCalendarAdvance(Calendar,Z1009,NDays&amp;"D")</f>
        <v>46247</v>
      </c>
      <c r="AB1009" s="92">
        <v>2.2802358232870724E-2</v>
      </c>
      <c r="AC1009" s="101">
        <v>2.2604504299481576E-2</v>
      </c>
    </row>
    <row r="1010" spans="25:29" x14ac:dyDescent="0.2">
      <c r="Y1010" s="105" t="str">
        <f t="shared" si="49"/>
        <v>1w</v>
      </c>
      <c r="Z1010" s="93">
        <f>_xll.qlCalendarAdvance(Calendar,Z1009,Y1010,"f",FALSE)</f>
        <v>46252</v>
      </c>
      <c r="AA1010" s="117">
        <f>_xll.qlCalendarAdvance(Calendar,Z1010,NDays&amp;"D")</f>
        <v>46254</v>
      </c>
      <c r="AB1010" s="92">
        <v>2.2806316131024885E-2</v>
      </c>
      <c r="AC1010" s="101">
        <v>2.2611202413864717E-2</v>
      </c>
    </row>
    <row r="1011" spans="25:29" x14ac:dyDescent="0.2">
      <c r="Y1011" s="105" t="str">
        <f t="shared" si="49"/>
        <v>1w</v>
      </c>
      <c r="Z1011" s="93">
        <f>_xll.qlCalendarAdvance(Calendar,Z1010,Y1011,"f",FALSE)</f>
        <v>46259</v>
      </c>
      <c r="AA1011" s="117">
        <f>_xll.qlCalendarAdvance(Calendar,Z1011,NDays&amp;"D")</f>
        <v>46261</v>
      </c>
      <c r="AB1011" s="92">
        <v>2.2807317865283776E-2</v>
      </c>
      <c r="AC1011" s="101">
        <v>2.2617689691220022E-2</v>
      </c>
    </row>
    <row r="1012" spans="25:29" x14ac:dyDescent="0.2">
      <c r="Y1012" s="105" t="str">
        <f t="shared" si="49"/>
        <v>1w</v>
      </c>
      <c r="Z1012" s="93">
        <f>_xll.qlCalendarAdvance(Calendar,Z1011,Y1012,"f",FALSE)</f>
        <v>46266</v>
      </c>
      <c r="AA1012" s="117">
        <f>_xll.qlCalendarAdvance(Calendar,Z1012,NDays&amp;"D")</f>
        <v>46268</v>
      </c>
      <c r="AB1012" s="92">
        <v>2.2809088650408281E-2</v>
      </c>
      <c r="AC1012" s="101">
        <v>2.2623966131787299E-2</v>
      </c>
    </row>
    <row r="1013" spans="25:29" x14ac:dyDescent="0.2">
      <c r="Y1013" s="105" t="str">
        <f t="shared" si="49"/>
        <v>1w</v>
      </c>
      <c r="Z1013" s="93">
        <f>_xll.qlCalendarAdvance(Calendar,Z1012,Y1013,"f",FALSE)</f>
        <v>46273</v>
      </c>
      <c r="AA1013" s="117">
        <f>_xll.qlCalendarAdvance(Calendar,Z1013,NDays&amp;"D")</f>
        <v>46275</v>
      </c>
      <c r="AB1013" s="92">
        <v>2.2812481755054594E-2</v>
      </c>
      <c r="AC1013" s="101">
        <v>2.2630031735486611E-2</v>
      </c>
    </row>
    <row r="1014" spans="25:29" x14ac:dyDescent="0.2">
      <c r="Y1014" s="105" t="str">
        <f t="shared" si="49"/>
        <v>1w</v>
      </c>
      <c r="Z1014" s="93">
        <f>_xll.qlCalendarAdvance(Calendar,Z1013,Y1014,"f",FALSE)</f>
        <v>46280</v>
      </c>
      <c r="AA1014" s="117">
        <f>_xll.qlCalendarAdvance(Calendar,Z1014,NDays&amp;"D")</f>
        <v>46282</v>
      </c>
      <c r="AB1014" s="92">
        <v>2.2815661623247444E-2</v>
      </c>
      <c r="AC1014" s="101">
        <v>2.2635886502158087E-2</v>
      </c>
    </row>
    <row r="1015" spans="25:29" x14ac:dyDescent="0.2">
      <c r="Y1015" s="105" t="str">
        <f t="shared" si="49"/>
        <v>1w</v>
      </c>
      <c r="Z1015" s="93">
        <f>_xll.qlCalendarAdvance(Calendar,Z1014,Y1015,"f",FALSE)</f>
        <v>46287</v>
      </c>
      <c r="AA1015" s="117">
        <f>_xll.qlCalendarAdvance(Calendar,Z1015,NDays&amp;"D")</f>
        <v>46289</v>
      </c>
      <c r="AB1015" s="92">
        <v>2.2818628253975921E-2</v>
      </c>
      <c r="AC1015" s="101">
        <v>2.2641530432041534E-2</v>
      </c>
    </row>
    <row r="1016" spans="25:29" x14ac:dyDescent="0.2">
      <c r="Y1016" s="105" t="str">
        <f t="shared" si="49"/>
        <v>1w</v>
      </c>
      <c r="Z1016" s="93">
        <f>_xll.qlCalendarAdvance(Calendar,Z1015,Y1016,"f",FALSE)</f>
        <v>46294</v>
      </c>
      <c r="AA1016" s="117">
        <f>_xll.qlCalendarAdvance(Calendar,Z1016,NDays&amp;"D")</f>
        <v>46296</v>
      </c>
      <c r="AB1016" s="92">
        <v>2.2822224961974568E-2</v>
      </c>
      <c r="AC1016" s="101">
        <v>2.264696352481721E-2</v>
      </c>
    </row>
    <row r="1017" spans="25:29" x14ac:dyDescent="0.2">
      <c r="Y1017" s="105" t="str">
        <f t="shared" si="49"/>
        <v>1w</v>
      </c>
      <c r="Z1017" s="93">
        <f>_xll.qlCalendarAdvance(Calendar,Z1016,Y1017,"f",FALSE)</f>
        <v>46301</v>
      </c>
      <c r="AA1017" s="117">
        <f>_xll.qlCalendarAdvance(Calendar,Z1017,NDays&amp;"D")</f>
        <v>46303</v>
      </c>
      <c r="AB1017" s="92">
        <v>2.2824750042683927E-2</v>
      </c>
      <c r="AC1017" s="101">
        <v>2.2652185780804857E-2</v>
      </c>
    </row>
    <row r="1018" spans="25:29" x14ac:dyDescent="0.2">
      <c r="Y1018" s="105" t="str">
        <f t="shared" si="49"/>
        <v>1w</v>
      </c>
      <c r="Z1018" s="93">
        <f>_xll.qlCalendarAdvance(Calendar,Z1017,Y1018,"f",FALSE)</f>
        <v>46308</v>
      </c>
      <c r="AA1018" s="117">
        <f>_xll.qlCalendarAdvance(Calendar,Z1018,NDays&amp;"D")</f>
        <v>46310</v>
      </c>
      <c r="AB1018" s="92">
        <v>2.2827061869826835E-2</v>
      </c>
      <c r="AC1018" s="101">
        <v>2.2657197199684731E-2</v>
      </c>
    </row>
    <row r="1019" spans="25:29" x14ac:dyDescent="0.2">
      <c r="Y1019" s="105" t="str">
        <f t="shared" si="49"/>
        <v>1w</v>
      </c>
      <c r="Z1019" s="93">
        <f>_xll.qlCalendarAdvance(Calendar,Z1018,Y1019,"f",FALSE)</f>
        <v>46315</v>
      </c>
      <c r="AA1019" s="117">
        <f>_xll.qlCalendarAdvance(Calendar,Z1019,NDays&amp;"D")</f>
        <v>46317</v>
      </c>
      <c r="AB1019" s="92">
        <v>2.282916044266366E-2</v>
      </c>
      <c r="AC1019" s="101">
        <v>2.2661997781696641E-2</v>
      </c>
    </row>
    <row r="1020" spans="25:29" x14ac:dyDescent="0.2">
      <c r="Y1020" s="105" t="str">
        <f t="shared" si="49"/>
        <v>1w</v>
      </c>
      <c r="Z1020" s="93">
        <f>_xll.qlCalendarAdvance(Calendar,Z1019,Y1020,"f",FALSE)</f>
        <v>46322</v>
      </c>
      <c r="AA1020" s="117">
        <f>_xll.qlCalendarAdvance(Calendar,Z1020,NDays&amp;"D")</f>
        <v>46324</v>
      </c>
      <c r="AB1020" s="92">
        <v>2.2831045760524169E-2</v>
      </c>
      <c r="AC1020" s="101">
        <v>2.2666587526760651E-2</v>
      </c>
    </row>
    <row r="1021" spans="25:29" x14ac:dyDescent="0.2">
      <c r="Y1021" s="105" t="str">
        <f t="shared" si="49"/>
        <v>1w</v>
      </c>
      <c r="Z1021" s="93">
        <f>_xll.qlCalendarAdvance(Calendar,Z1020,Y1021,"f",FALSE)</f>
        <v>46329</v>
      </c>
      <c r="AA1021" s="117">
        <f>_xll.qlCalendarAdvance(Calendar,Z1021,NDays&amp;"D")</f>
        <v>46331</v>
      </c>
      <c r="AB1021" s="92">
        <v>2.2831950003499541E-2</v>
      </c>
      <c r="AC1021" s="101">
        <v>2.2670966434796824E-2</v>
      </c>
    </row>
    <row r="1022" spans="25:29" x14ac:dyDescent="0.2">
      <c r="Y1022" s="105" t="str">
        <f t="shared" si="49"/>
        <v>1w</v>
      </c>
      <c r="Z1022" s="93">
        <f>_xll.qlCalendarAdvance(Calendar,Z1021,Y1022,"f",FALSE)</f>
        <v>46336</v>
      </c>
      <c r="AA1022" s="117">
        <f>_xll.qlCalendarAdvance(Calendar,Z1022,NDays&amp;"D")</f>
        <v>46338</v>
      </c>
      <c r="AB1022" s="92">
        <v>2.2833423949356398E-2</v>
      </c>
      <c r="AC1022" s="101">
        <v>2.2675134505885097E-2</v>
      </c>
    </row>
    <row r="1023" spans="25:29" x14ac:dyDescent="0.2">
      <c r="Y1023" s="105" t="str">
        <f t="shared" si="49"/>
        <v>1w</v>
      </c>
      <c r="Z1023" s="93">
        <f>_xll.qlCalendarAdvance(Calendar,Z1022,Y1023,"f",FALSE)</f>
        <v>46343</v>
      </c>
      <c r="AA1023" s="117">
        <f>_xll.qlCalendarAdvance(Calendar,Z1023,NDays&amp;"D")</f>
        <v>46345</v>
      </c>
      <c r="AB1023" s="92">
        <v>2.2834684652100364E-2</v>
      </c>
      <c r="AC1023" s="101">
        <v>2.2679091739945534E-2</v>
      </c>
    </row>
    <row r="1024" spans="25:29" x14ac:dyDescent="0.2">
      <c r="Y1024" s="105" t="str">
        <f t="shared" si="49"/>
        <v>1w</v>
      </c>
      <c r="Z1024" s="93">
        <f>_xll.qlCalendarAdvance(Calendar,Z1023,Y1024,"f",FALSE)</f>
        <v>46350</v>
      </c>
      <c r="AA1024" s="117">
        <f>_xll.qlCalendarAdvance(Calendar,Z1024,NDays&amp;"D")</f>
        <v>46352</v>
      </c>
      <c r="AB1024" s="92">
        <v>2.2835732111329995E-2</v>
      </c>
      <c r="AC1024" s="101">
        <v>2.2682838136978134E-2</v>
      </c>
    </row>
    <row r="1025" spans="25:29" x14ac:dyDescent="0.2">
      <c r="Y1025" s="105" t="str">
        <f t="shared" si="49"/>
        <v>1w</v>
      </c>
      <c r="Z1025" s="93">
        <f>_xll.qlCalendarAdvance(Calendar,Z1024,Y1025,"f",FALSE)</f>
        <v>46357</v>
      </c>
      <c r="AA1025" s="117">
        <f>_xll.qlCalendarAdvance(Calendar,Z1025,NDays&amp;"D")</f>
        <v>46359</v>
      </c>
      <c r="AB1025" s="92">
        <v>2.2837273506463335E-2</v>
      </c>
      <c r="AC1025" s="101">
        <v>2.2686373697062834E-2</v>
      </c>
    </row>
    <row r="1026" spans="25:29" x14ac:dyDescent="0.2">
      <c r="Y1026" s="105" t="str">
        <f t="shared" si="49"/>
        <v>1w</v>
      </c>
      <c r="Z1026" s="93">
        <f>_xll.qlCalendarAdvance(Calendar,Z1025,Y1026,"f",FALSE)</f>
        <v>46364</v>
      </c>
      <c r="AA1026" s="117">
        <f>_xll.qlCalendarAdvance(Calendar,Z1026,NDays&amp;"D")</f>
        <v>46366</v>
      </c>
      <c r="AB1026" s="92">
        <v>2.2837879284190656E-2</v>
      </c>
      <c r="AC1026" s="101">
        <v>2.2689698420039761E-2</v>
      </c>
    </row>
    <row r="1027" spans="25:29" x14ac:dyDescent="0.2">
      <c r="Y1027" s="105" t="str">
        <f t="shared" si="49"/>
        <v>1w</v>
      </c>
      <c r="Z1027" s="93">
        <f>_xll.qlCalendarAdvance(Calendar,Z1026,Y1027,"f",FALSE)</f>
        <v>46371</v>
      </c>
      <c r="AA1027" s="117">
        <f>_xll.qlCalendarAdvance(Calendar,Z1027,NDays&amp;"D")</f>
        <v>46373</v>
      </c>
      <c r="AB1027" s="92">
        <v>2.2838271804153563E-2</v>
      </c>
      <c r="AC1027" s="101">
        <v>2.2692812306068788E-2</v>
      </c>
    </row>
    <row r="1028" spans="25:29" x14ac:dyDescent="0.2">
      <c r="Y1028" s="105" t="str">
        <f t="shared" si="49"/>
        <v>1w</v>
      </c>
      <c r="Z1028" s="93">
        <f>_xll.qlCalendarAdvance(Calendar,Z1027,Y1028,"f",FALSE)</f>
        <v>46378</v>
      </c>
      <c r="AA1028" s="117">
        <f>_xll.qlCalendarAdvance(Calendar,Z1028,NDays&amp;"D")</f>
        <v>46380</v>
      </c>
      <c r="AB1028" s="92">
        <v>2.283845106622644E-2</v>
      </c>
      <c r="AC1028" s="101">
        <v>2.2698453750860104E-2</v>
      </c>
    </row>
    <row r="1029" spans="25:29" x14ac:dyDescent="0.2">
      <c r="Y1029" s="105" t="str">
        <f t="shared" si="49"/>
        <v>1w</v>
      </c>
      <c r="Z1029" s="93">
        <f>_xll.qlCalendarAdvance(Calendar,Z1028,Y1029,"f",FALSE)</f>
        <v>46385</v>
      </c>
      <c r="AA1029" s="117">
        <f>_xll.qlCalendarAdvance(Calendar,Z1029,NDays&amp;"D")</f>
        <v>46387</v>
      </c>
      <c r="AB1029" s="92">
        <v>2.2837770745482978E-2</v>
      </c>
      <c r="AC1029" s="101">
        <v>2.2701101284172687E-2</v>
      </c>
    </row>
    <row r="1030" spans="25:29" x14ac:dyDescent="0.2">
      <c r="Y1030" s="105" t="str">
        <f t="shared" si="49"/>
        <v>1w</v>
      </c>
      <c r="Z1030" s="93">
        <f>_xll.qlCalendarAdvance(Calendar,Z1029,Y1030,"f",FALSE)</f>
        <v>46392</v>
      </c>
      <c r="AA1030" s="117">
        <f>_xll.qlCalendarAdvance(Calendar,Z1030,NDays&amp;"D")</f>
        <v>46394</v>
      </c>
      <c r="AB1030" s="92">
        <v>2.2837539230335591E-2</v>
      </c>
      <c r="AC1030" s="101">
        <v>2.270088894198885E-2</v>
      </c>
    </row>
    <row r="1031" spans="25:29" x14ac:dyDescent="0.2">
      <c r="Y1031" s="105" t="str">
        <f t="shared" si="49"/>
        <v>1w</v>
      </c>
      <c r="Z1031" s="93">
        <f>_xll.qlCalendarAdvance(Calendar,Z1030,Y1031,"f",FALSE)</f>
        <v>46399</v>
      </c>
      <c r="AA1031" s="117">
        <f>_xll.qlCalendarAdvance(Calendar,Z1031,NDays&amp;"D")</f>
        <v>46401</v>
      </c>
      <c r="AB1031" s="92">
        <v>2.2837100280241197E-2</v>
      </c>
      <c r="AC1031" s="101">
        <v>2.2703159479906532E-2</v>
      </c>
    </row>
    <row r="1032" spans="25:29" x14ac:dyDescent="0.2">
      <c r="Y1032" s="105" t="str">
        <f t="shared" si="49"/>
        <v>1w</v>
      </c>
      <c r="Z1032" s="93">
        <f>_xll.qlCalendarAdvance(Calendar,Z1031,Y1032,"f",FALSE)</f>
        <v>46406</v>
      </c>
      <c r="AA1032" s="117">
        <f>_xll.qlCalendarAdvance(Calendar,Z1032,NDays&amp;"D")</f>
        <v>46408</v>
      </c>
      <c r="AB1032" s="92">
        <v>2.2836461953126275E-2</v>
      </c>
      <c r="AC1032" s="101">
        <v>2.2705219180716441E-2</v>
      </c>
    </row>
    <row r="1033" spans="25:29" x14ac:dyDescent="0.2">
      <c r="Y1033" s="105" t="str">
        <f t="shared" si="49"/>
        <v>1w</v>
      </c>
      <c r="Z1033" s="93">
        <f>_xll.qlCalendarAdvance(Calendar,Z1032,Y1033,"f",FALSE)</f>
        <v>46413</v>
      </c>
      <c r="AA1033" s="117">
        <f>_xll.qlCalendarAdvance(Calendar,Z1033,NDays&amp;"D")</f>
        <v>46415</v>
      </c>
      <c r="AB1033" s="92">
        <v>2.2835632338415204E-2</v>
      </c>
      <c r="AC1033" s="101">
        <v>2.2707068044498513E-2</v>
      </c>
    </row>
    <row r="1034" spans="25:29" x14ac:dyDescent="0.2">
      <c r="Y1034" s="105" t="str">
        <f t="shared" si="49"/>
        <v>1w</v>
      </c>
      <c r="Z1034" s="93">
        <f>_xll.qlCalendarAdvance(Calendar,Z1033,Y1034,"f",FALSE)</f>
        <v>46420</v>
      </c>
      <c r="AA1034" s="117">
        <f>_xll.qlCalendarAdvance(Calendar,Z1034,NDays&amp;"D")</f>
        <v>46422</v>
      </c>
      <c r="AB1034" s="92">
        <v>2.2834619525575198E-2</v>
      </c>
      <c r="AC1034" s="101">
        <v>2.2708706071252749E-2</v>
      </c>
    </row>
    <row r="1035" spans="25:29" x14ac:dyDescent="0.2">
      <c r="Y1035" s="105" t="str">
        <f t="shared" si="49"/>
        <v>1w</v>
      </c>
      <c r="Z1035" s="93">
        <f>_xll.qlCalendarAdvance(Calendar,Z1034,Y1035,"f",FALSE)</f>
        <v>46427</v>
      </c>
      <c r="AA1035" s="117">
        <f>_xll.qlCalendarAdvance(Calendar,Z1035,NDays&amp;"D")</f>
        <v>46429</v>
      </c>
      <c r="AB1035" s="92">
        <v>2.2833431604108809E-2</v>
      </c>
      <c r="AC1035" s="101">
        <v>2.2710133260979148E-2</v>
      </c>
    </row>
    <row r="1036" spans="25:29" x14ac:dyDescent="0.2">
      <c r="Y1036" s="105" t="str">
        <f t="shared" si="49"/>
        <v>1w</v>
      </c>
      <c r="Z1036" s="93">
        <f>_xll.qlCalendarAdvance(Calendar,Z1035,Y1036,"f",FALSE)</f>
        <v>46434</v>
      </c>
      <c r="AA1036" s="117">
        <f>_xll.qlCalendarAdvance(Calendar,Z1036,NDays&amp;"D")</f>
        <v>46436</v>
      </c>
      <c r="AB1036" s="92">
        <v>2.2832076663545087E-2</v>
      </c>
      <c r="AC1036" s="101">
        <v>2.2711349613517839E-2</v>
      </c>
    </row>
    <row r="1037" spans="25:29" x14ac:dyDescent="0.2">
      <c r="Y1037" s="105" t="str">
        <f t="shared" si="49"/>
        <v>1w</v>
      </c>
      <c r="Z1037" s="93">
        <f>_xll.qlCalendarAdvance(Calendar,Z1036,Y1037,"f",FALSE)</f>
        <v>46441</v>
      </c>
      <c r="AA1037" s="117">
        <f>_xll.qlCalendarAdvance(Calendar,Z1037,NDays&amp;"D")</f>
        <v>46443</v>
      </c>
      <c r="AB1037" s="92">
        <v>2.2830562793436034E-2</v>
      </c>
      <c r="AC1037" s="101">
        <v>2.271235512910863E-2</v>
      </c>
    </row>
    <row r="1038" spans="25:29" x14ac:dyDescent="0.2">
      <c r="Y1038" s="105" t="str">
        <f t="shared" si="49"/>
        <v>1w</v>
      </c>
      <c r="Z1038" s="93">
        <f>_xll.qlCalendarAdvance(Calendar,Z1037,Y1038,"f",FALSE)</f>
        <v>46448</v>
      </c>
      <c r="AA1038" s="117">
        <f>_xll.qlCalendarAdvance(Calendar,Z1038,NDays&amp;"D")</f>
        <v>46450</v>
      </c>
      <c r="AB1038" s="92">
        <v>2.2831634516618959E-2</v>
      </c>
      <c r="AC1038" s="101">
        <v>2.2713149807591648E-2</v>
      </c>
    </row>
    <row r="1039" spans="25:29" x14ac:dyDescent="0.2">
      <c r="Y1039" s="105" t="str">
        <f t="shared" si="49"/>
        <v>1w</v>
      </c>
      <c r="Z1039" s="93">
        <f>_xll.qlCalendarAdvance(Calendar,Z1038,Y1039,"f",FALSE)</f>
        <v>46455</v>
      </c>
      <c r="AA1039" s="117">
        <f>_xll.qlCalendarAdvance(Calendar,Z1039,NDays&amp;"D")</f>
        <v>46457</v>
      </c>
      <c r="AB1039" s="92">
        <v>2.2829794895585391E-2</v>
      </c>
      <c r="AC1039" s="101">
        <v>2.271373364904683E-2</v>
      </c>
    </row>
    <row r="1040" spans="25:29" x14ac:dyDescent="0.2">
      <c r="Y1040" s="105" t="str">
        <f t="shared" si="49"/>
        <v>1w</v>
      </c>
      <c r="Z1040" s="93">
        <f>_xll.qlCalendarAdvance(Calendar,Z1039,Y1040,"f",FALSE)</f>
        <v>46462</v>
      </c>
      <c r="AA1040" s="117">
        <f>_xll.qlCalendarAdvance(Calendar,Z1040,NDays&amp;"D")</f>
        <v>46464</v>
      </c>
      <c r="AB1040" s="92">
        <v>2.2827824082829389E-2</v>
      </c>
      <c r="AC1040" s="101">
        <v>2.2714106653474175E-2</v>
      </c>
    </row>
    <row r="1041" spans="25:29" x14ac:dyDescent="0.2">
      <c r="Y1041" s="105" t="str">
        <f t="shared" si="49"/>
        <v>1w</v>
      </c>
      <c r="Z1041" s="93">
        <f>_xll.qlCalendarAdvance(Calendar,Z1040,Y1041,"f",FALSE)</f>
        <v>46469</v>
      </c>
      <c r="AA1041" s="117">
        <f>_xll.qlCalendarAdvance(Calendar,Z1041,NDays&amp;"D")</f>
        <v>46471</v>
      </c>
      <c r="AB1041" s="92">
        <v>2.2825729952957726E-2</v>
      </c>
      <c r="AC1041" s="101">
        <v>2.2717138630271805E-2</v>
      </c>
    </row>
    <row r="1042" spans="25:29" x14ac:dyDescent="0.2">
      <c r="Y1042" s="105" t="str">
        <f t="shared" si="49"/>
        <v>1w</v>
      </c>
      <c r="Z1042" s="93">
        <f>_xll.qlCalendarAdvance(Calendar,Z1041,Y1042,"f",FALSE)</f>
        <v>46476</v>
      </c>
      <c r="AA1042" s="117">
        <f>_xll.qlCalendarAdvance(Calendar,Z1042,NDays&amp;"D")</f>
        <v>46478</v>
      </c>
      <c r="AB1042" s="92">
        <v>2.2821944338686711E-2</v>
      </c>
      <c r="AC1042" s="101">
        <v>2.2714220151005549E-2</v>
      </c>
    </row>
    <row r="1043" spans="25:29" x14ac:dyDescent="0.2">
      <c r="Y1043" s="105" t="str">
        <f t="shared" si="49"/>
        <v>1w</v>
      </c>
      <c r="Z1043" s="93">
        <f>_xll.qlCalendarAdvance(Calendar,Z1042,Y1043,"f",FALSE)</f>
        <v>46483</v>
      </c>
      <c r="AA1043" s="117">
        <f>_xll.qlCalendarAdvance(Calendar,Z1043,NDays&amp;"D")</f>
        <v>46485</v>
      </c>
      <c r="AB1043" s="92">
        <v>2.2819638830123199E-2</v>
      </c>
      <c r="AC1043" s="101">
        <v>2.2713960644189513E-2</v>
      </c>
    </row>
    <row r="1044" spans="25:29" x14ac:dyDescent="0.2">
      <c r="Y1044" s="105" t="str">
        <f t="shared" si="49"/>
        <v>1w</v>
      </c>
      <c r="Z1044" s="93">
        <f>_xll.qlCalendarAdvance(Calendar,Z1043,Y1044,"f",FALSE)</f>
        <v>46490</v>
      </c>
      <c r="AA1044" s="117">
        <f>_xll.qlCalendarAdvance(Calendar,Z1044,NDays&amp;"D")</f>
        <v>46492</v>
      </c>
      <c r="AB1044" s="92">
        <v>2.2817232079767467E-2</v>
      </c>
      <c r="AC1044" s="101">
        <v>2.271349030034564E-2</v>
      </c>
    </row>
    <row r="1045" spans="25:29" x14ac:dyDescent="0.2">
      <c r="Y1045" s="105" t="str">
        <f t="shared" ref="Y1045:Y1108" si="50">Y1044</f>
        <v>1w</v>
      </c>
      <c r="Z1045" s="93">
        <f>_xll.qlCalendarAdvance(Calendar,Z1044,Y1045,"f",FALSE)</f>
        <v>46497</v>
      </c>
      <c r="AA1045" s="117">
        <f>_xll.qlCalendarAdvance(Calendar,Z1045,NDays&amp;"D")</f>
        <v>46499</v>
      </c>
      <c r="AB1045" s="92">
        <v>2.2814732089733461E-2</v>
      </c>
      <c r="AC1045" s="101">
        <v>2.2712809119393995E-2</v>
      </c>
    </row>
    <row r="1046" spans="25:29" x14ac:dyDescent="0.2">
      <c r="Y1046" s="105" t="str">
        <f t="shared" si="50"/>
        <v>1w</v>
      </c>
      <c r="Z1046" s="93">
        <f>_xll.qlCalendarAdvance(Calendar,Z1045,Y1046,"f",FALSE)</f>
        <v>46504</v>
      </c>
      <c r="AA1046" s="117">
        <f>_xll.qlCalendarAdvance(Calendar,Z1046,NDays&amp;"D")</f>
        <v>46506</v>
      </c>
      <c r="AB1046" s="92">
        <v>2.2812146862109358E-2</v>
      </c>
      <c r="AC1046" s="101">
        <v>2.2711917101414514E-2</v>
      </c>
    </row>
    <row r="1047" spans="25:29" x14ac:dyDescent="0.2">
      <c r="Y1047" s="105" t="str">
        <f t="shared" si="50"/>
        <v>1w</v>
      </c>
      <c r="Z1047" s="93">
        <f>_xll.qlCalendarAdvance(Calendar,Z1046,Y1047,"f",FALSE)</f>
        <v>46511</v>
      </c>
      <c r="AA1047" s="117">
        <f>_xll.qlCalendarAdvance(Calendar,Z1047,NDays&amp;"D")</f>
        <v>46513</v>
      </c>
      <c r="AB1047" s="92">
        <v>2.2811016490490835E-2</v>
      </c>
      <c r="AC1047" s="101">
        <v>2.271081424632726E-2</v>
      </c>
    </row>
    <row r="1048" spans="25:29" x14ac:dyDescent="0.2">
      <c r="Y1048" s="105" t="str">
        <f t="shared" si="50"/>
        <v>1w</v>
      </c>
      <c r="Z1048" s="93">
        <f>_xll.qlCalendarAdvance(Calendar,Z1047,Y1048,"f",FALSE)</f>
        <v>46518</v>
      </c>
      <c r="AA1048" s="117">
        <f>_xll.qlCalendarAdvance(Calendar,Z1048,NDays&amp;"D")</f>
        <v>46520</v>
      </c>
      <c r="AB1048" s="92">
        <v>2.280827962843299E-2</v>
      </c>
      <c r="AC1048" s="101">
        <v>2.270950055421217E-2</v>
      </c>
    </row>
    <row r="1049" spans="25:29" x14ac:dyDescent="0.2">
      <c r="Y1049" s="105" t="str">
        <f t="shared" si="50"/>
        <v>1w</v>
      </c>
      <c r="Z1049" s="93">
        <f>_xll.qlCalendarAdvance(Calendar,Z1048,Y1049,"f",FALSE)</f>
        <v>46525</v>
      </c>
      <c r="AA1049" s="117">
        <f>_xll.qlCalendarAdvance(Calendar,Z1049,NDays&amp;"D")</f>
        <v>46527</v>
      </c>
      <c r="AB1049" s="92">
        <v>2.2805482445409291E-2</v>
      </c>
      <c r="AC1049" s="101">
        <v>2.2707976025069243E-2</v>
      </c>
    </row>
    <row r="1050" spans="25:29" x14ac:dyDescent="0.2">
      <c r="Y1050" s="105" t="str">
        <f t="shared" si="50"/>
        <v>1w</v>
      </c>
      <c r="Z1050" s="93">
        <f>_xll.qlCalendarAdvance(Calendar,Z1049,Y1050,"f",FALSE)</f>
        <v>46532</v>
      </c>
      <c r="AA1050" s="117">
        <f>_xll.qlCalendarAdvance(Calendar,Z1050,NDays&amp;"D")</f>
        <v>46534</v>
      </c>
      <c r="AB1050" s="92">
        <v>2.2802632815795722E-2</v>
      </c>
      <c r="AC1050" s="101">
        <v>2.270624065889848E-2</v>
      </c>
    </row>
    <row r="1051" spans="25:29" x14ac:dyDescent="0.2">
      <c r="Y1051" s="105" t="str">
        <f t="shared" si="50"/>
        <v>1w</v>
      </c>
      <c r="Z1051" s="93">
        <f>_xll.qlCalendarAdvance(Calendar,Z1050,Y1051,"f",FALSE)</f>
        <v>46539</v>
      </c>
      <c r="AA1051" s="117">
        <f>_xll.qlCalendarAdvance(Calendar,Z1051,NDays&amp;"D")</f>
        <v>46541</v>
      </c>
      <c r="AB1051" s="92">
        <v>2.2798222230934907E-2</v>
      </c>
      <c r="AC1051" s="101">
        <v>2.2704294455540008E-2</v>
      </c>
    </row>
    <row r="1052" spans="25:29" x14ac:dyDescent="0.2">
      <c r="Y1052" s="105" t="str">
        <f t="shared" si="50"/>
        <v>1w</v>
      </c>
      <c r="Z1052" s="93">
        <f>_xll.qlCalendarAdvance(Calendar,Z1051,Y1052,"f",FALSE)</f>
        <v>46546</v>
      </c>
      <c r="AA1052" s="117">
        <f>_xll.qlCalendarAdvance(Calendar,Z1052,NDays&amp;"D")</f>
        <v>46548</v>
      </c>
      <c r="AB1052" s="92">
        <v>2.279529361972563E-2</v>
      </c>
      <c r="AC1052" s="101">
        <v>2.27021374151537E-2</v>
      </c>
    </row>
    <row r="1053" spans="25:29" x14ac:dyDescent="0.2">
      <c r="Y1053" s="105" t="str">
        <f t="shared" si="50"/>
        <v>1w</v>
      </c>
      <c r="Z1053" s="93">
        <f>_xll.qlCalendarAdvance(Calendar,Z1052,Y1053,"f",FALSE)</f>
        <v>46553</v>
      </c>
      <c r="AA1053" s="117">
        <f>_xll.qlCalendarAdvance(Calendar,Z1053,NDays&amp;"D")</f>
        <v>46555</v>
      </c>
      <c r="AB1053" s="92">
        <v>2.2792335784542289E-2</v>
      </c>
      <c r="AC1053" s="101">
        <v>2.2699769537899428E-2</v>
      </c>
    </row>
    <row r="1054" spans="25:29" x14ac:dyDescent="0.2">
      <c r="Y1054" s="105" t="str">
        <f t="shared" si="50"/>
        <v>1w</v>
      </c>
      <c r="Z1054" s="93">
        <f>_xll.qlCalendarAdvance(Calendar,Z1053,Y1054,"f",FALSE)</f>
        <v>46560</v>
      </c>
      <c r="AA1054" s="117">
        <f>_xll.qlCalendarAdvance(Calendar,Z1054,NDays&amp;"D")</f>
        <v>46562</v>
      </c>
      <c r="AB1054" s="92">
        <v>2.2789356727160308E-2</v>
      </c>
      <c r="AC1054" s="101">
        <v>2.2697190823457447E-2</v>
      </c>
    </row>
    <row r="1055" spans="25:29" x14ac:dyDescent="0.2">
      <c r="Y1055" s="105" t="str">
        <f t="shared" si="50"/>
        <v>1w</v>
      </c>
      <c r="Z1055" s="93">
        <f>_xll.qlCalendarAdvance(Calendar,Z1054,Y1055,"f",FALSE)</f>
        <v>46567</v>
      </c>
      <c r="AA1055" s="117">
        <f>_xll.qlCalendarAdvance(Calendar,Z1055,NDays&amp;"D")</f>
        <v>46569</v>
      </c>
      <c r="AB1055" s="92">
        <v>2.2787873569043219E-2</v>
      </c>
      <c r="AC1055" s="101">
        <v>2.269440127198763E-2</v>
      </c>
    </row>
    <row r="1056" spans="25:29" x14ac:dyDescent="0.2">
      <c r="Y1056" s="105" t="str">
        <f t="shared" si="50"/>
        <v>1w</v>
      </c>
      <c r="Z1056" s="93">
        <f>_xll.qlCalendarAdvance(Calendar,Z1055,Y1056,"f",FALSE)</f>
        <v>46574</v>
      </c>
      <c r="AA1056" s="117">
        <f>_xll.qlCalendarAdvance(Calendar,Z1056,NDays&amp;"D")</f>
        <v>46576</v>
      </c>
      <c r="AB1056" s="92">
        <v>2.2784873792924962E-2</v>
      </c>
      <c r="AC1056" s="101">
        <v>2.2691490216910637E-2</v>
      </c>
    </row>
    <row r="1057" spans="25:29" x14ac:dyDescent="0.2">
      <c r="Y1057" s="105" t="str">
        <f t="shared" si="50"/>
        <v>1w</v>
      </c>
      <c r="Z1057" s="93">
        <f>_xll.qlCalendarAdvance(Calendar,Z1056,Y1057,"f",FALSE)</f>
        <v>46581</v>
      </c>
      <c r="AA1057" s="117">
        <f>_xll.qlCalendarAdvance(Calendar,Z1057,NDays&amp;"D")</f>
        <v>46583</v>
      </c>
      <c r="AB1057" s="92">
        <v>2.2781869936612454E-2</v>
      </c>
      <c r="AC1057" s="101">
        <v>2.268857442482286E-2</v>
      </c>
    </row>
    <row r="1058" spans="25:29" x14ac:dyDescent="0.2">
      <c r="Y1058" s="105" t="str">
        <f t="shared" si="50"/>
        <v>1w</v>
      </c>
      <c r="Z1058" s="93">
        <f>_xll.qlCalendarAdvance(Calendar,Z1057,Y1058,"f",FALSE)</f>
        <v>46588</v>
      </c>
      <c r="AA1058" s="117">
        <f>_xll.qlCalendarAdvance(Calendar,Z1058,NDays&amp;"D")</f>
        <v>46590</v>
      </c>
      <c r="AB1058" s="92">
        <v>2.2778862003949508E-2</v>
      </c>
      <c r="AC1058" s="101">
        <v>2.2685654598841865E-2</v>
      </c>
    </row>
    <row r="1059" spans="25:29" x14ac:dyDescent="0.2">
      <c r="Y1059" s="105" t="str">
        <f t="shared" si="50"/>
        <v>1w</v>
      </c>
      <c r="Z1059" s="93">
        <f>_xll.qlCalendarAdvance(Calendar,Z1058,Y1059,"f",FALSE)</f>
        <v>46595</v>
      </c>
      <c r="AA1059" s="117">
        <f>_xll.qlCalendarAdvance(Calendar,Z1059,NDays&amp;"D")</f>
        <v>46597</v>
      </c>
      <c r="AB1059" s="92">
        <v>2.2775849994955463E-2</v>
      </c>
      <c r="AC1059" s="101">
        <v>2.2682730739287393E-2</v>
      </c>
    </row>
    <row r="1060" spans="25:29" x14ac:dyDescent="0.2">
      <c r="Y1060" s="105" t="str">
        <f t="shared" si="50"/>
        <v>1w</v>
      </c>
      <c r="Z1060" s="93">
        <f>_xll.qlCalendarAdvance(Calendar,Z1059,Y1060,"f",FALSE)</f>
        <v>46602</v>
      </c>
      <c r="AA1060" s="117">
        <f>_xll.qlCalendarAdvance(Calendar,Z1060,NDays&amp;"D")</f>
        <v>46604</v>
      </c>
      <c r="AB1060" s="92">
        <v>2.2772833909649653E-2</v>
      </c>
      <c r="AC1060" s="101">
        <v>2.2679802845839703E-2</v>
      </c>
    </row>
    <row r="1061" spans="25:29" x14ac:dyDescent="0.2">
      <c r="Y1061" s="105" t="str">
        <f t="shared" si="50"/>
        <v>1w</v>
      </c>
      <c r="Z1061" s="93">
        <f>_xll.qlCalendarAdvance(Calendar,Z1060,Y1061,"f",FALSE)</f>
        <v>46609</v>
      </c>
      <c r="AA1061" s="117">
        <f>_xll.qlCalendarAdvance(Calendar,Z1061,NDays&amp;"D")</f>
        <v>46611</v>
      </c>
      <c r="AB1061" s="92">
        <v>2.2769813748049705E-2</v>
      </c>
      <c r="AC1061" s="101">
        <v>2.2676870918738601E-2</v>
      </c>
    </row>
    <row r="1062" spans="25:29" x14ac:dyDescent="0.2">
      <c r="Y1062" s="105" t="str">
        <f t="shared" si="50"/>
        <v>1w</v>
      </c>
      <c r="Z1062" s="93">
        <f>_xll.qlCalendarAdvance(Calendar,Z1061,Y1062,"f",FALSE)</f>
        <v>46616</v>
      </c>
      <c r="AA1062" s="117">
        <f>_xll.qlCalendarAdvance(Calendar,Z1062,NDays&amp;"D")</f>
        <v>46618</v>
      </c>
      <c r="AB1062" s="92">
        <v>2.2766789510175814E-2</v>
      </c>
      <c r="AC1062" s="101">
        <v>2.2673934958064024E-2</v>
      </c>
    </row>
    <row r="1063" spans="25:29" x14ac:dyDescent="0.2">
      <c r="Y1063" s="105" t="str">
        <f t="shared" si="50"/>
        <v>1w</v>
      </c>
      <c r="Z1063" s="93">
        <f>_xll.qlCalendarAdvance(Calendar,Z1062,Y1063,"f",FALSE)</f>
        <v>46623</v>
      </c>
      <c r="AA1063" s="117">
        <f>_xll.qlCalendarAdvance(Calendar,Z1063,NDays&amp;"D")</f>
        <v>46625</v>
      </c>
      <c r="AB1063" s="92">
        <v>2.2763761196046031E-2</v>
      </c>
      <c r="AC1063" s="101">
        <v>2.2670994963496227E-2</v>
      </c>
    </row>
    <row r="1064" spans="25:29" x14ac:dyDescent="0.2">
      <c r="Y1064" s="105" t="str">
        <f t="shared" si="50"/>
        <v>1w</v>
      </c>
      <c r="Z1064" s="93">
        <f>_xll.qlCalendarAdvance(Calendar,Z1063,Y1064,"f",FALSE)</f>
        <v>46630</v>
      </c>
      <c r="AA1064" s="117">
        <f>_xll.qlCalendarAdvance(Calendar,Z1064,NDays&amp;"D")</f>
        <v>46632</v>
      </c>
      <c r="AB1064" s="92">
        <v>2.2758733904225708E-2</v>
      </c>
      <c r="AC1064" s="101">
        <v>2.2668050935275019E-2</v>
      </c>
    </row>
    <row r="1065" spans="25:29" x14ac:dyDescent="0.2">
      <c r="Y1065" s="105" t="str">
        <f t="shared" si="50"/>
        <v>1w</v>
      </c>
      <c r="Z1065" s="93">
        <f>_xll.qlCalendarAdvance(Calendar,Z1064,Y1065,"f",FALSE)</f>
        <v>46637</v>
      </c>
      <c r="AA1065" s="117">
        <f>_xll.qlCalendarAdvance(Calendar,Z1065,NDays&amp;"D")</f>
        <v>46639</v>
      </c>
      <c r="AB1065" s="92">
        <v>2.2755699365287776E-2</v>
      </c>
      <c r="AC1065" s="101">
        <v>2.2665102873320464E-2</v>
      </c>
    </row>
    <row r="1066" spans="25:29" x14ac:dyDescent="0.2">
      <c r="Y1066" s="105" t="str">
        <f t="shared" si="50"/>
        <v>1w</v>
      </c>
      <c r="Z1066" s="93">
        <f>_xll.qlCalendarAdvance(Calendar,Z1065,Y1066,"f",FALSE)</f>
        <v>46644</v>
      </c>
      <c r="AA1066" s="117">
        <f>_xll.qlCalendarAdvance(Calendar,Z1066,NDays&amp;"D")</f>
        <v>46646</v>
      </c>
      <c r="AB1066" s="92">
        <v>2.275266075106951E-2</v>
      </c>
      <c r="AC1066" s="101">
        <v>2.2662150777792434E-2</v>
      </c>
    </row>
    <row r="1067" spans="25:29" x14ac:dyDescent="0.2">
      <c r="Y1067" s="105" t="str">
        <f t="shared" si="50"/>
        <v>1w</v>
      </c>
      <c r="Z1067" s="93">
        <f>_xll.qlCalendarAdvance(Calendar,Z1066,Y1067,"f",FALSE)</f>
        <v>46651</v>
      </c>
      <c r="AA1067" s="117">
        <f>_xll.qlCalendarAdvance(Calendar,Z1067,NDays&amp;"D")</f>
        <v>46653</v>
      </c>
      <c r="AB1067" s="92">
        <v>2.2749618061588043E-2</v>
      </c>
      <c r="AC1067" s="101">
        <v>2.265919464845112E-2</v>
      </c>
    </row>
    <row r="1068" spans="25:29" x14ac:dyDescent="0.2">
      <c r="Y1068" s="105" t="str">
        <f t="shared" si="50"/>
        <v>1w</v>
      </c>
      <c r="Z1068" s="93">
        <f>_xll.qlCalendarAdvance(Calendar,Z1067,Y1068,"f",FALSE)</f>
        <v>46658</v>
      </c>
      <c r="AA1068" s="117">
        <f>_xll.qlCalendarAdvance(Calendar,Z1068,NDays&amp;"D")</f>
        <v>46660</v>
      </c>
      <c r="AB1068" s="92">
        <v>2.2747068131079223E-2</v>
      </c>
      <c r="AC1068" s="101">
        <v>2.2656234485296523E-2</v>
      </c>
    </row>
    <row r="1069" spans="25:29" x14ac:dyDescent="0.2">
      <c r="Y1069" s="105" t="str">
        <f t="shared" si="50"/>
        <v>1w</v>
      </c>
      <c r="Z1069" s="93">
        <f>_xll.qlCalendarAdvance(Calendar,Z1068,Y1069,"f",FALSE)</f>
        <v>46665</v>
      </c>
      <c r="AA1069" s="117">
        <f>_xll.qlCalendarAdvance(Calendar,Z1069,NDays&amp;"D")</f>
        <v>46667</v>
      </c>
      <c r="AB1069" s="92">
        <v>2.2744016808367348E-2</v>
      </c>
      <c r="AC1069" s="101">
        <v>2.2653270288488514E-2</v>
      </c>
    </row>
    <row r="1070" spans="25:29" x14ac:dyDescent="0.2">
      <c r="Y1070" s="105" t="str">
        <f t="shared" si="50"/>
        <v>1w</v>
      </c>
      <c r="Z1070" s="93">
        <f>_xll.qlCalendarAdvance(Calendar,Z1069,Y1070,"f",FALSE)</f>
        <v>46672</v>
      </c>
      <c r="AA1070" s="117">
        <f>_xll.qlCalendarAdvance(Calendar,Z1070,NDays&amp;"D")</f>
        <v>46674</v>
      </c>
      <c r="AB1070" s="92">
        <v>2.2742944630655588E-2</v>
      </c>
      <c r="AC1070" s="101">
        <v>2.2650302057947158E-2</v>
      </c>
    </row>
    <row r="1071" spans="25:29" x14ac:dyDescent="0.2">
      <c r="Y1071" s="105" t="str">
        <f t="shared" si="50"/>
        <v>1w</v>
      </c>
      <c r="Z1071" s="93">
        <f>_xll.qlCalendarAdvance(Calendar,Z1070,Y1071,"f",FALSE)</f>
        <v>46679</v>
      </c>
      <c r="AA1071" s="117">
        <f>_xll.qlCalendarAdvance(Calendar,Z1071,NDays&amp;"D")</f>
        <v>46681</v>
      </c>
      <c r="AB1071" s="92">
        <v>2.2737901936656726E-2</v>
      </c>
      <c r="AC1071" s="101">
        <v>2.2647329793752391E-2</v>
      </c>
    </row>
    <row r="1072" spans="25:29" x14ac:dyDescent="0.2">
      <c r="Y1072" s="105" t="str">
        <f t="shared" si="50"/>
        <v>1w</v>
      </c>
      <c r="Z1072" s="93">
        <f>_xll.qlCalendarAdvance(Calendar,Z1071,Y1072,"f",FALSE)</f>
        <v>46686</v>
      </c>
      <c r="AA1072" s="117">
        <f>_xll.qlCalendarAdvance(Calendar,Z1072,NDays&amp;"D")</f>
        <v>46688</v>
      </c>
      <c r="AB1072" s="92">
        <v>2.2734838387695109E-2</v>
      </c>
      <c r="AC1072" s="101">
        <v>2.264435349574434E-2</v>
      </c>
    </row>
    <row r="1073" spans="25:29" x14ac:dyDescent="0.2">
      <c r="Y1073" s="105" t="str">
        <f t="shared" si="50"/>
        <v>1w</v>
      </c>
      <c r="Z1073" s="93">
        <f>_xll.qlCalendarAdvance(Calendar,Z1072,Y1073,"f",FALSE)</f>
        <v>46693</v>
      </c>
      <c r="AA1073" s="117">
        <f>_xll.qlCalendarAdvance(Calendar,Z1073,NDays&amp;"D")</f>
        <v>46695</v>
      </c>
      <c r="AB1073" s="92">
        <v>2.2731276345237472E-2</v>
      </c>
      <c r="AC1073" s="101">
        <v>2.2641373164082879E-2</v>
      </c>
    </row>
    <row r="1074" spans="25:29" x14ac:dyDescent="0.2">
      <c r="Y1074" s="105" t="str">
        <f t="shared" si="50"/>
        <v>1w</v>
      </c>
      <c r="Z1074" s="93">
        <f>_xll.qlCalendarAdvance(Calendar,Z1073,Y1074,"f",FALSE)</f>
        <v>46700</v>
      </c>
      <c r="AA1074" s="117">
        <f>_xll.qlCalendarAdvance(Calendar,Z1074,NDays&amp;"D")</f>
        <v>46702</v>
      </c>
      <c r="AB1074" s="92">
        <v>2.2728205129442385E-2</v>
      </c>
      <c r="AC1074" s="101">
        <v>2.2638388798688069E-2</v>
      </c>
    </row>
    <row r="1075" spans="25:29" x14ac:dyDescent="0.2">
      <c r="Y1075" s="105" t="str">
        <f t="shared" si="50"/>
        <v>1w</v>
      </c>
      <c r="Z1075" s="93">
        <f>_xll.qlCalendarAdvance(Calendar,Z1074,Y1075,"f",FALSE)</f>
        <v>46707</v>
      </c>
      <c r="AA1075" s="117">
        <f>_xll.qlCalendarAdvance(Calendar,Z1075,NDays&amp;"D")</f>
        <v>46709</v>
      </c>
      <c r="AB1075" s="92">
        <v>2.2725129838534745E-2</v>
      </c>
      <c r="AC1075" s="101">
        <v>2.2635400399639849E-2</v>
      </c>
    </row>
    <row r="1076" spans="25:29" x14ac:dyDescent="0.2">
      <c r="Y1076" s="105" t="str">
        <f t="shared" si="50"/>
        <v>1w</v>
      </c>
      <c r="Z1076" s="93">
        <f>_xll.qlCalendarAdvance(Calendar,Z1075,Y1076,"f",FALSE)</f>
        <v>46714</v>
      </c>
      <c r="AA1076" s="117">
        <f>_xll.qlCalendarAdvance(Calendar,Z1076,NDays&amp;"D")</f>
        <v>46716</v>
      </c>
      <c r="AB1076" s="92">
        <v>2.2722050472532992E-2</v>
      </c>
      <c r="AC1076" s="101">
        <v>2.2632407966778345E-2</v>
      </c>
    </row>
    <row r="1077" spans="25:29" x14ac:dyDescent="0.2">
      <c r="Y1077" s="105" t="str">
        <f t="shared" si="50"/>
        <v>1w</v>
      </c>
      <c r="Z1077" s="93">
        <f>_xll.qlCalendarAdvance(Calendar,Z1076,Y1077,"f",FALSE)</f>
        <v>46721</v>
      </c>
      <c r="AA1077" s="117">
        <f>_xll.qlCalendarAdvance(Calendar,Z1077,NDays&amp;"D")</f>
        <v>46723</v>
      </c>
      <c r="AB1077" s="92">
        <v>2.2719459512579216E-2</v>
      </c>
      <c r="AC1077" s="101">
        <v>2.262941150026343E-2</v>
      </c>
    </row>
    <row r="1078" spans="25:29" x14ac:dyDescent="0.2">
      <c r="Y1078" s="105" t="str">
        <f t="shared" si="50"/>
        <v>1w</v>
      </c>
      <c r="Z1078" s="93">
        <f>_xll.qlCalendarAdvance(Calendar,Z1077,Y1078,"f",FALSE)</f>
        <v>46728</v>
      </c>
      <c r="AA1078" s="117">
        <f>_xll.qlCalendarAdvance(Calendar,Z1078,NDays&amp;"D")</f>
        <v>46730</v>
      </c>
      <c r="AB1078" s="92">
        <v>2.2716371511626567E-2</v>
      </c>
      <c r="AC1078" s="101">
        <v>2.2626411000095104E-2</v>
      </c>
    </row>
    <row r="1079" spans="25:29" x14ac:dyDescent="0.2">
      <c r="Y1079" s="105" t="str">
        <f t="shared" si="50"/>
        <v>1w</v>
      </c>
      <c r="Z1079" s="93">
        <f>_xll.qlCalendarAdvance(Calendar,Z1078,Y1079,"f",FALSE)</f>
        <v>46735</v>
      </c>
      <c r="AA1079" s="117">
        <f>_xll.qlCalendarAdvance(Calendar,Z1079,NDays&amp;"D")</f>
        <v>46737</v>
      </c>
      <c r="AB1079" s="92">
        <v>2.2713279435408764E-2</v>
      </c>
      <c r="AC1079" s="101">
        <v>2.2623406466033558E-2</v>
      </c>
    </row>
    <row r="1080" spans="25:29" x14ac:dyDescent="0.2">
      <c r="Y1080" s="105" t="str">
        <f t="shared" si="50"/>
        <v>1w</v>
      </c>
      <c r="Z1080" s="93">
        <f>_xll.qlCalendarAdvance(Calendar,Z1079,Y1080,"f",FALSE)</f>
        <v>46742</v>
      </c>
      <c r="AA1080" s="117">
        <f>_xll.qlCalendarAdvance(Calendar,Z1080,NDays&amp;"D")</f>
        <v>46744</v>
      </c>
      <c r="AB1080" s="92">
        <v>2.2710183283943718E-2</v>
      </c>
      <c r="AC1080" s="101">
        <v>2.26203978983186E-2</v>
      </c>
    </row>
    <row r="1081" spans="25:29" x14ac:dyDescent="0.2">
      <c r="Y1081" s="105" t="str">
        <f t="shared" si="50"/>
        <v>1w</v>
      </c>
      <c r="Z1081" s="93">
        <f>_xll.qlCalendarAdvance(Calendar,Z1080,Y1081,"f",FALSE)</f>
        <v>46749</v>
      </c>
      <c r="AA1081" s="117">
        <f>_xll.qlCalendarAdvance(Calendar,Z1081,NDays&amp;"D")</f>
        <v>46751</v>
      </c>
      <c r="AB1081" s="92">
        <v>2.2707083057252397E-2</v>
      </c>
      <c r="AC1081" s="101">
        <v>2.2617385296950232E-2</v>
      </c>
    </row>
    <row r="1082" spans="25:29" x14ac:dyDescent="0.2">
      <c r="Y1082" s="105" t="str">
        <f t="shared" si="50"/>
        <v>1w</v>
      </c>
      <c r="Z1082" s="93">
        <f>_xll.qlCalendarAdvance(Calendar,Z1081,Y1082,"f",FALSE)</f>
        <v>46756</v>
      </c>
      <c r="AA1082" s="117">
        <f>_xll.qlCalendarAdvance(Calendar,Z1082,NDays&amp;"D")</f>
        <v>46758</v>
      </c>
      <c r="AB1082" s="92">
        <v>2.2703488700605588E-2</v>
      </c>
      <c r="AC1082" s="101">
        <v>2.2614368661848516E-2</v>
      </c>
    </row>
    <row r="1083" spans="25:29" x14ac:dyDescent="0.2">
      <c r="Y1083" s="105" t="str">
        <f t="shared" si="50"/>
        <v>1w</v>
      </c>
      <c r="Z1083" s="93">
        <f>_xll.qlCalendarAdvance(Calendar,Z1082,Y1083,"f",FALSE)</f>
        <v>46763</v>
      </c>
      <c r="AA1083" s="117">
        <f>_xll.qlCalendarAdvance(Calendar,Z1083,NDays&amp;"D")</f>
        <v>46765</v>
      </c>
      <c r="AB1083" s="92">
        <v>2.2700380809474764E-2</v>
      </c>
      <c r="AC1083" s="101">
        <v>2.2611347993093389E-2</v>
      </c>
    </row>
    <row r="1084" spans="25:29" x14ac:dyDescent="0.2">
      <c r="Y1084" s="105" t="str">
        <f t="shared" si="50"/>
        <v>1w</v>
      </c>
      <c r="Z1084" s="93">
        <f>_xll.qlCalendarAdvance(Calendar,Z1083,Y1084,"f",FALSE)</f>
        <v>46770</v>
      </c>
      <c r="AA1084" s="117">
        <f>_xll.qlCalendarAdvance(Calendar,Z1084,NDays&amp;"D")</f>
        <v>46772</v>
      </c>
      <c r="AB1084" s="92">
        <v>2.2697268843400922E-2</v>
      </c>
      <c r="AC1084" s="101">
        <v>2.2608323290524979E-2</v>
      </c>
    </row>
    <row r="1085" spans="25:29" x14ac:dyDescent="0.2">
      <c r="Y1085" s="105" t="str">
        <f t="shared" si="50"/>
        <v>1w</v>
      </c>
      <c r="Z1085" s="93">
        <f>_xll.qlCalendarAdvance(Calendar,Z1084,Y1085,"f",FALSE)</f>
        <v>46777</v>
      </c>
      <c r="AA1085" s="117">
        <f>_xll.qlCalendarAdvance(Calendar,Z1085,NDays&amp;"D")</f>
        <v>46779</v>
      </c>
      <c r="AB1085" s="92">
        <v>2.2694152802403823E-2</v>
      </c>
      <c r="AC1085" s="101">
        <v>2.2605294554223221E-2</v>
      </c>
    </row>
    <row r="1086" spans="25:29" x14ac:dyDescent="0.2">
      <c r="Y1086" s="105" t="str">
        <f t="shared" si="50"/>
        <v>1w</v>
      </c>
      <c r="Z1086" s="93">
        <f>_xll.qlCalendarAdvance(Calendar,Z1085,Y1086,"f",FALSE)</f>
        <v>46784</v>
      </c>
      <c r="AA1086" s="117">
        <f>_xll.qlCalendarAdvance(Calendar,Z1086,NDays&amp;"D")</f>
        <v>46786</v>
      </c>
      <c r="AB1086" s="92">
        <v>2.2691032686502351E-2</v>
      </c>
      <c r="AC1086" s="101">
        <v>2.2602261784347988E-2</v>
      </c>
    </row>
    <row r="1087" spans="25:29" x14ac:dyDescent="0.2">
      <c r="Y1087" s="105" t="str">
        <f t="shared" si="50"/>
        <v>1w</v>
      </c>
      <c r="Z1087" s="93">
        <f>_xll.qlCalendarAdvance(Calendar,Z1086,Y1087,"f",FALSE)</f>
        <v>46791</v>
      </c>
      <c r="AA1087" s="117">
        <f>_xll.qlCalendarAdvance(Calendar,Z1087,NDays&amp;"D")</f>
        <v>46793</v>
      </c>
      <c r="AB1087" s="92">
        <v>2.2687908495714962E-2</v>
      </c>
      <c r="AC1087" s="101">
        <v>2.2599224980659471E-2</v>
      </c>
    </row>
    <row r="1088" spans="25:29" x14ac:dyDescent="0.2">
      <c r="Y1088" s="105" t="str">
        <f t="shared" si="50"/>
        <v>1w</v>
      </c>
      <c r="Z1088" s="93">
        <f>_xll.qlCalendarAdvance(Calendar,Z1087,Y1088,"f",FALSE)</f>
        <v>46798</v>
      </c>
      <c r="AA1088" s="117">
        <f>_xll.qlCalendarAdvance(Calendar,Z1088,NDays&amp;"D")</f>
        <v>46800</v>
      </c>
      <c r="AB1088" s="92">
        <v>2.2684780230061409E-2</v>
      </c>
      <c r="AC1088" s="101">
        <v>2.2596184143237608E-2</v>
      </c>
    </row>
    <row r="1089" spans="25:29" x14ac:dyDescent="0.2">
      <c r="Y1089" s="105" t="str">
        <f t="shared" si="50"/>
        <v>1w</v>
      </c>
      <c r="Z1089" s="93">
        <f>_xll.qlCalendarAdvance(Calendar,Z1088,Y1089,"f",FALSE)</f>
        <v>46805</v>
      </c>
      <c r="AA1089" s="117">
        <f>_xll.qlCalendarAdvance(Calendar,Z1089,NDays&amp;"D")</f>
        <v>46807</v>
      </c>
      <c r="AB1089" s="92">
        <v>2.2681647889560584E-2</v>
      </c>
      <c r="AC1089" s="101">
        <v>2.2593139272162333E-2</v>
      </c>
    </row>
    <row r="1090" spans="25:29" x14ac:dyDescent="0.2">
      <c r="Y1090" s="105" t="str">
        <f t="shared" si="50"/>
        <v>1w</v>
      </c>
      <c r="Z1090" s="93">
        <f>_xll.qlCalendarAdvance(Calendar,Z1089,Y1090,"f",FALSE)</f>
        <v>46812</v>
      </c>
      <c r="AA1090" s="117">
        <f>_xll.qlCalendarAdvance(Calendar,Z1090,NDays&amp;"D")</f>
        <v>46814</v>
      </c>
      <c r="AB1090" s="92">
        <v>2.2680455959656492E-2</v>
      </c>
      <c r="AC1090" s="101">
        <v>2.2590090367273774E-2</v>
      </c>
    </row>
    <row r="1091" spans="25:29" x14ac:dyDescent="0.2">
      <c r="Y1091" s="105" t="str">
        <f t="shared" si="50"/>
        <v>1w</v>
      </c>
      <c r="Z1091" s="93">
        <f>_xll.qlCalendarAdvance(Calendar,Z1090,Y1091,"f",FALSE)</f>
        <v>46819</v>
      </c>
      <c r="AA1091" s="117">
        <f>_xll.qlCalendarAdvance(Calendar,Z1091,NDays&amp;"D")</f>
        <v>46821</v>
      </c>
      <c r="AB1091" s="92">
        <v>2.2677313518145188E-2</v>
      </c>
      <c r="AC1091" s="101">
        <v>2.2587037428731804E-2</v>
      </c>
    </row>
    <row r="1092" spans="25:29" x14ac:dyDescent="0.2">
      <c r="Y1092" s="105" t="str">
        <f t="shared" si="50"/>
        <v>1w</v>
      </c>
      <c r="Z1092" s="93">
        <f>_xll.qlCalendarAdvance(Calendar,Z1091,Y1092,"f",FALSE)</f>
        <v>46826</v>
      </c>
      <c r="AA1092" s="117">
        <f>_xll.qlCalendarAdvance(Calendar,Z1092,NDays&amp;"D")</f>
        <v>46828</v>
      </c>
      <c r="AB1092" s="92">
        <v>2.267416700093625E-2</v>
      </c>
      <c r="AC1092" s="101">
        <v>2.2583980456456487E-2</v>
      </c>
    </row>
    <row r="1093" spans="25:29" x14ac:dyDescent="0.2">
      <c r="Y1093" s="105" t="str">
        <f t="shared" si="50"/>
        <v>1w</v>
      </c>
      <c r="Z1093" s="93">
        <f>_xll.qlCalendarAdvance(Calendar,Z1092,Y1093,"f",FALSE)</f>
        <v>46833</v>
      </c>
      <c r="AA1093" s="117">
        <f>_xll.qlCalendarAdvance(Calendar,Z1093,NDays&amp;"D")</f>
        <v>46835</v>
      </c>
      <c r="AB1093" s="92">
        <v>2.2671016408052032E-2</v>
      </c>
      <c r="AC1093" s="101">
        <v>2.2580919450607695E-2</v>
      </c>
    </row>
    <row r="1094" spans="25:29" x14ac:dyDescent="0.2">
      <c r="Y1094" s="105" t="str">
        <f t="shared" si="50"/>
        <v>1w</v>
      </c>
      <c r="Z1094" s="93">
        <f>_xll.qlCalendarAdvance(Calendar,Z1093,Y1094,"f",FALSE)</f>
        <v>46840</v>
      </c>
      <c r="AA1094" s="117">
        <f>_xll.qlCalendarAdvance(Calendar,Z1094,NDays&amp;"D")</f>
        <v>46842</v>
      </c>
      <c r="AB1094" s="92">
        <v>2.2666409273264316E-2</v>
      </c>
      <c r="AC1094" s="101">
        <v>2.2577854410865683E-2</v>
      </c>
    </row>
    <row r="1095" spans="25:29" x14ac:dyDescent="0.2">
      <c r="Y1095" s="105" t="str">
        <f t="shared" si="50"/>
        <v>1w</v>
      </c>
      <c r="Z1095" s="93">
        <f>_xll.qlCalendarAdvance(Calendar,Z1094,Y1095,"f",FALSE)</f>
        <v>46847</v>
      </c>
      <c r="AA1095" s="117">
        <f>_xll.qlCalendarAdvance(Calendar,Z1095,NDays&amp;"D")</f>
        <v>46849</v>
      </c>
      <c r="AB1095" s="92">
        <v>2.2663251995400466E-2</v>
      </c>
      <c r="AC1095" s="101">
        <v>2.257478533747026E-2</v>
      </c>
    </row>
    <row r="1096" spans="25:29" x14ac:dyDescent="0.2">
      <c r="Y1096" s="105" t="str">
        <f t="shared" si="50"/>
        <v>1w</v>
      </c>
      <c r="Z1096" s="93">
        <f>_xll.qlCalendarAdvance(Calendar,Z1095,Y1096,"f",FALSE)</f>
        <v>46854</v>
      </c>
      <c r="AA1096" s="117">
        <f>_xll.qlCalendarAdvance(Calendar,Z1096,NDays&amp;"D")</f>
        <v>46856</v>
      </c>
      <c r="AB1096" s="92">
        <v>2.2660090642598194E-2</v>
      </c>
      <c r="AC1096" s="101">
        <v>2.2573663790167231E-2</v>
      </c>
    </row>
    <row r="1097" spans="25:29" x14ac:dyDescent="0.2">
      <c r="Y1097" s="105" t="str">
        <f t="shared" si="50"/>
        <v>1w</v>
      </c>
      <c r="Z1097" s="93">
        <f>_xll.qlCalendarAdvance(Calendar,Z1096,Y1097,"f",FALSE)</f>
        <v>46861</v>
      </c>
      <c r="AA1097" s="117">
        <f>_xll.qlCalendarAdvance(Calendar,Z1097,NDays&amp;"D")</f>
        <v>46863</v>
      </c>
      <c r="AB1097" s="92">
        <v>2.2656925214876285E-2</v>
      </c>
      <c r="AC1097" s="101">
        <v>2.2568635089479372E-2</v>
      </c>
    </row>
    <row r="1098" spans="25:29" x14ac:dyDescent="0.2">
      <c r="Y1098" s="105" t="str">
        <f t="shared" si="50"/>
        <v>1w</v>
      </c>
      <c r="Z1098" s="93">
        <f>_xll.qlCalendarAdvance(Calendar,Z1097,Y1098,"f",FALSE)</f>
        <v>46868</v>
      </c>
      <c r="AA1098" s="117">
        <f>_xll.qlCalendarAdvance(Calendar,Z1098,NDays&amp;"D")</f>
        <v>46870</v>
      </c>
      <c r="AB1098" s="92">
        <v>2.2653755712254399E-2</v>
      </c>
      <c r="AC1098" s="101">
        <v>2.2565553914963843E-2</v>
      </c>
    </row>
    <row r="1099" spans="25:29" x14ac:dyDescent="0.2">
      <c r="Y1099" s="105" t="str">
        <f t="shared" si="50"/>
        <v>1w</v>
      </c>
      <c r="Z1099" s="93">
        <f>_xll.qlCalendarAdvance(Calendar,Z1098,Y1099,"f",FALSE)</f>
        <v>46875</v>
      </c>
      <c r="AA1099" s="117">
        <f>_xll.qlCalendarAdvance(Calendar,Z1099,NDays&amp;"D")</f>
        <v>46877</v>
      </c>
      <c r="AB1099" s="92">
        <v>2.2652027262632074E-2</v>
      </c>
      <c r="AC1099" s="101">
        <v>2.2562468706714967E-2</v>
      </c>
    </row>
    <row r="1100" spans="25:29" x14ac:dyDescent="0.2">
      <c r="Y1100" s="105" t="str">
        <f t="shared" si="50"/>
        <v>1w</v>
      </c>
      <c r="Z1100" s="93">
        <f>_xll.qlCalendarAdvance(Calendar,Z1099,Y1100,"f",FALSE)</f>
        <v>46882</v>
      </c>
      <c r="AA1100" s="117">
        <f>_xll.qlCalendarAdvance(Calendar,Z1100,NDays&amp;"D")</f>
        <v>46884</v>
      </c>
      <c r="AB1100" s="92">
        <v>2.2648848140562391E-2</v>
      </c>
      <c r="AC1100" s="101">
        <v>2.2559379464732743E-2</v>
      </c>
    </row>
    <row r="1101" spans="25:29" x14ac:dyDescent="0.2">
      <c r="Y1101" s="105" t="str">
        <f t="shared" si="50"/>
        <v>1w</v>
      </c>
      <c r="Z1101" s="93">
        <f>_xll.qlCalendarAdvance(Calendar,Z1100,Y1101,"f",FALSE)</f>
        <v>46889</v>
      </c>
      <c r="AA1101" s="117">
        <f>_xll.qlCalendarAdvance(Calendar,Z1101,NDays&amp;"D")</f>
        <v>46891</v>
      </c>
      <c r="AB1101" s="92">
        <v>2.2645664942973431E-2</v>
      </c>
      <c r="AC1101" s="101">
        <v>2.2556286189017172E-2</v>
      </c>
    </row>
    <row r="1102" spans="25:29" x14ac:dyDescent="0.2">
      <c r="Y1102" s="105" t="str">
        <f t="shared" si="50"/>
        <v>1w</v>
      </c>
      <c r="Z1102" s="93">
        <f>_xll.qlCalendarAdvance(Calendar,Z1101,Y1102,"f",FALSE)</f>
        <v>46896</v>
      </c>
      <c r="AA1102" s="117">
        <f>_xll.qlCalendarAdvance(Calendar,Z1102,NDays&amp;"D")</f>
        <v>46898</v>
      </c>
      <c r="AB1102" s="92">
        <v>2.2642477669886252E-2</v>
      </c>
      <c r="AC1102" s="101">
        <v>2.2553188879728125E-2</v>
      </c>
    </row>
    <row r="1103" spans="25:29" x14ac:dyDescent="0.2">
      <c r="Y1103" s="105" t="str">
        <f t="shared" si="50"/>
        <v>1w</v>
      </c>
      <c r="Z1103" s="93">
        <f>_xll.qlCalendarAdvance(Calendar,Z1102,Y1103,"f",FALSE)</f>
        <v>46903</v>
      </c>
      <c r="AA1103" s="117">
        <f>_xll.qlCalendarAdvance(Calendar,Z1103,NDays&amp;"D")</f>
        <v>46905</v>
      </c>
      <c r="AB1103" s="92">
        <v>2.2637847076327548E-2</v>
      </c>
      <c r="AC1103" s="101">
        <v>2.255008753654586E-2</v>
      </c>
    </row>
    <row r="1104" spans="25:29" x14ac:dyDescent="0.2">
      <c r="Y1104" s="105" t="str">
        <f t="shared" si="50"/>
        <v>1w</v>
      </c>
      <c r="Z1104" s="93">
        <f>_xll.qlCalendarAdvance(Calendar,Z1103,Y1104,"f",FALSE)</f>
        <v>46910</v>
      </c>
      <c r="AA1104" s="117">
        <f>_xll.qlCalendarAdvance(Calendar,Z1104,NDays&amp;"D")</f>
        <v>46912</v>
      </c>
      <c r="AB1104" s="92">
        <v>2.2634653124715944E-2</v>
      </c>
      <c r="AC1104" s="101">
        <v>2.2546982159710183E-2</v>
      </c>
    </row>
    <row r="1105" spans="25:29" x14ac:dyDescent="0.2">
      <c r="Y1105" s="105" t="str">
        <f t="shared" si="50"/>
        <v>1w</v>
      </c>
      <c r="Z1105" s="93">
        <f>_xll.qlCalendarAdvance(Calendar,Z1104,Y1105,"f",FALSE)</f>
        <v>46917</v>
      </c>
      <c r="AA1105" s="117">
        <f>_xll.qlCalendarAdvance(Calendar,Z1105,NDays&amp;"D")</f>
        <v>46919</v>
      </c>
      <c r="AB1105" s="92">
        <v>2.2631455098340639E-2</v>
      </c>
      <c r="AC1105" s="101">
        <v>2.2543872749141158E-2</v>
      </c>
    </row>
    <row r="1106" spans="25:29" x14ac:dyDescent="0.2">
      <c r="Y1106" s="105" t="str">
        <f t="shared" si="50"/>
        <v>1w</v>
      </c>
      <c r="Z1106" s="93">
        <f>_xll.qlCalendarAdvance(Calendar,Z1105,Y1106,"f",FALSE)</f>
        <v>46924</v>
      </c>
      <c r="AA1106" s="117">
        <f>_xll.qlCalendarAdvance(Calendar,Z1106,NDays&amp;"D")</f>
        <v>46926</v>
      </c>
      <c r="AB1106" s="92">
        <v>2.2628252997222612E-2</v>
      </c>
      <c r="AC1106" s="101">
        <v>2.2540759304998659E-2</v>
      </c>
    </row>
    <row r="1107" spans="25:29" x14ac:dyDescent="0.2">
      <c r="Y1107" s="105" t="str">
        <f t="shared" si="50"/>
        <v>1w</v>
      </c>
      <c r="Z1107" s="93">
        <f>_xll.qlCalendarAdvance(Calendar,Z1106,Y1107,"f",FALSE)</f>
        <v>46931</v>
      </c>
      <c r="AA1107" s="117">
        <f>_xll.qlCalendarAdvance(Calendar,Z1107,NDays&amp;"D")</f>
        <v>46933</v>
      </c>
      <c r="AB1107" s="92">
        <v>2.2625046821380196E-2</v>
      </c>
      <c r="AC1107" s="101">
        <v>2.253764182696294E-2</v>
      </c>
    </row>
    <row r="1108" spans="25:29" x14ac:dyDescent="0.2">
      <c r="Y1108" s="105" t="str">
        <f t="shared" si="50"/>
        <v>1w</v>
      </c>
      <c r="Z1108" s="93">
        <f>_xll.qlCalendarAdvance(Calendar,Z1107,Y1108,"f",FALSE)</f>
        <v>46938</v>
      </c>
      <c r="AA1108" s="117">
        <f>_xll.qlCalendarAdvance(Calendar,Z1108,NDays&amp;"D")</f>
        <v>46940</v>
      </c>
      <c r="AB1108" s="92">
        <v>2.2623268447005521E-2</v>
      </c>
      <c r="AC1108" s="101">
        <v>2.2534520315273809E-2</v>
      </c>
    </row>
    <row r="1109" spans="25:29" x14ac:dyDescent="0.2">
      <c r="Y1109" s="105" t="str">
        <f t="shared" ref="Y1109:Y1172" si="51">Y1108</f>
        <v>1w</v>
      </c>
      <c r="Z1109" s="93">
        <f>_xll.qlCalendarAdvance(Calendar,Z1108,Y1109,"f",FALSE)</f>
        <v>46945</v>
      </c>
      <c r="AA1109" s="117">
        <f>_xll.qlCalendarAdvance(Calendar,Z1109,NDays&amp;"D")</f>
        <v>46947</v>
      </c>
      <c r="AB1109" s="92">
        <v>2.2620052645986499E-2</v>
      </c>
      <c r="AC1109" s="101">
        <v>2.2531394769931268E-2</v>
      </c>
    </row>
    <row r="1110" spans="25:29" x14ac:dyDescent="0.2">
      <c r="Y1110" s="105" t="str">
        <f t="shared" si="51"/>
        <v>1w</v>
      </c>
      <c r="Z1110" s="93">
        <f>_xll.qlCalendarAdvance(Calendar,Z1109,Y1110,"f",FALSE)</f>
        <v>46952</v>
      </c>
      <c r="AA1110" s="117">
        <f>_xll.qlCalendarAdvance(Calendar,Z1110,NDays&amp;"D")</f>
        <v>46954</v>
      </c>
      <c r="AB1110" s="92">
        <v>2.2616832769628271E-2</v>
      </c>
      <c r="AC1110" s="101">
        <v>2.2528265190855379E-2</v>
      </c>
    </row>
    <row r="1111" spans="25:29" x14ac:dyDescent="0.2">
      <c r="Y1111" s="105" t="str">
        <f t="shared" si="51"/>
        <v>1w</v>
      </c>
      <c r="Z1111" s="93">
        <f>_xll.qlCalendarAdvance(Calendar,Z1110,Y1111,"f",FALSE)</f>
        <v>46959</v>
      </c>
      <c r="AA1111" s="117">
        <f>_xll.qlCalendarAdvance(Calendar,Z1111,NDays&amp;"D")</f>
        <v>46961</v>
      </c>
      <c r="AB1111" s="92">
        <v>2.2613608817951894E-2</v>
      </c>
      <c r="AC1111" s="101">
        <v>2.2525131578046143E-2</v>
      </c>
    </row>
    <row r="1112" spans="25:29" x14ac:dyDescent="0.2">
      <c r="Y1112" s="105" t="str">
        <f t="shared" si="51"/>
        <v>1w</v>
      </c>
      <c r="Z1112" s="93">
        <f>_xll.qlCalendarAdvance(Calendar,Z1111,Y1112,"f",FALSE)</f>
        <v>46966</v>
      </c>
      <c r="AA1112" s="117">
        <f>_xll.qlCalendarAdvance(Calendar,Z1112,NDays&amp;"D")</f>
        <v>46968</v>
      </c>
      <c r="AB1112" s="92">
        <v>2.2610380790977141E-2</v>
      </c>
      <c r="AC1112" s="101">
        <v>2.2521993931503559E-2</v>
      </c>
    </row>
    <row r="1113" spans="25:29" x14ac:dyDescent="0.2">
      <c r="Y1113" s="105" t="str">
        <f t="shared" si="51"/>
        <v>1w</v>
      </c>
      <c r="Z1113" s="93">
        <f>_xll.qlCalendarAdvance(Calendar,Z1112,Y1113,"f",FALSE)</f>
        <v>46973</v>
      </c>
      <c r="AA1113" s="117">
        <f>_xll.qlCalendarAdvance(Calendar,Z1113,NDays&amp;"D")</f>
        <v>46975</v>
      </c>
      <c r="AB1113" s="92">
        <v>2.2607148688723776E-2</v>
      </c>
      <c r="AC1113" s="101">
        <v>2.2518852251227628E-2</v>
      </c>
    </row>
    <row r="1114" spans="25:29" x14ac:dyDescent="0.2">
      <c r="Y1114" s="105" t="str">
        <f t="shared" si="51"/>
        <v>1w</v>
      </c>
      <c r="Z1114" s="93">
        <f>_xll.qlCalendarAdvance(Calendar,Z1113,Y1114,"f",FALSE)</f>
        <v>46980</v>
      </c>
      <c r="AA1114" s="117">
        <f>_xll.qlCalendarAdvance(Calendar,Z1114,NDays&amp;"D")</f>
        <v>46982</v>
      </c>
      <c r="AB1114" s="92">
        <v>2.2603912511212861E-2</v>
      </c>
      <c r="AC1114" s="101">
        <v>2.2515706537298286E-2</v>
      </c>
    </row>
    <row r="1115" spans="25:29" x14ac:dyDescent="0.2">
      <c r="Y1115" s="105" t="str">
        <f t="shared" si="51"/>
        <v>1w</v>
      </c>
      <c r="Z1115" s="93">
        <f>_xll.qlCalendarAdvance(Calendar,Z1114,Y1115,"f",FALSE)</f>
        <v>46987</v>
      </c>
      <c r="AA1115" s="117">
        <f>_xll.qlCalendarAdvance(Calendar,Z1115,NDays&amp;"D")</f>
        <v>46989</v>
      </c>
      <c r="AB1115" s="92">
        <v>2.2600672258464165E-2</v>
      </c>
      <c r="AC1115" s="101">
        <v>2.2512556789635596E-2</v>
      </c>
    </row>
    <row r="1116" spans="25:29" x14ac:dyDescent="0.2">
      <c r="Y1116" s="105" t="str">
        <f t="shared" si="51"/>
        <v>1w</v>
      </c>
      <c r="Z1116" s="93">
        <f>_xll.qlCalendarAdvance(Calendar,Z1115,Y1116,"f",FALSE)</f>
        <v>46994</v>
      </c>
      <c r="AA1116" s="117">
        <f>_xll.qlCalendarAdvance(Calendar,Z1116,NDays&amp;"D")</f>
        <v>46996</v>
      </c>
      <c r="AB1116" s="92">
        <v>2.2595061041843181E-2</v>
      </c>
      <c r="AC1116" s="101">
        <v>2.2509403008319495E-2</v>
      </c>
    </row>
    <row r="1117" spans="25:29" x14ac:dyDescent="0.2">
      <c r="Y1117" s="105" t="str">
        <f t="shared" si="51"/>
        <v>1w</v>
      </c>
      <c r="Z1117" s="93">
        <f>_xll.qlCalendarAdvance(Calendar,Z1116,Y1117,"f",FALSE)</f>
        <v>47001</v>
      </c>
      <c r="AA1117" s="117">
        <f>_xll.qlCalendarAdvance(Calendar,Z1117,NDays&amp;"D")</f>
        <v>47003</v>
      </c>
      <c r="AB1117" s="92">
        <v>2.259181510707757E-2</v>
      </c>
      <c r="AC1117" s="101">
        <v>2.2506245193190111E-2</v>
      </c>
    </row>
    <row r="1118" spans="25:29" x14ac:dyDescent="0.2">
      <c r="Y1118" s="105" t="str">
        <f t="shared" si="51"/>
        <v>1w</v>
      </c>
      <c r="Z1118" s="93">
        <f>_xll.qlCalendarAdvance(Calendar,Z1117,Y1118,"f",FALSE)</f>
        <v>47008</v>
      </c>
      <c r="AA1118" s="117">
        <f>_xll.qlCalendarAdvance(Calendar,Z1118,NDays&amp;"D")</f>
        <v>47010</v>
      </c>
      <c r="AB1118" s="92">
        <v>2.2588565098254181E-2</v>
      </c>
      <c r="AC1118" s="101">
        <v>2.2503083344407315E-2</v>
      </c>
    </row>
    <row r="1119" spans="25:29" x14ac:dyDescent="0.2">
      <c r="Y1119" s="105" t="str">
        <f t="shared" si="51"/>
        <v>1w</v>
      </c>
      <c r="Z1119" s="93">
        <f>_xll.qlCalendarAdvance(Calendar,Z1118,Y1119,"f",FALSE)</f>
        <v>47015</v>
      </c>
      <c r="AA1119" s="117">
        <f>_xll.qlCalendarAdvance(Calendar,Z1119,NDays&amp;"D")</f>
        <v>47017</v>
      </c>
      <c r="AB1119" s="92">
        <v>2.2585311015392004E-2</v>
      </c>
      <c r="AC1119" s="101">
        <v>2.2499917461891172E-2</v>
      </c>
    </row>
    <row r="1120" spans="25:29" x14ac:dyDescent="0.2">
      <c r="Y1120" s="105" t="str">
        <f t="shared" si="51"/>
        <v>1w</v>
      </c>
      <c r="Z1120" s="93">
        <f>_xll.qlCalendarAdvance(Calendar,Z1119,Y1120,"f",FALSE)</f>
        <v>47022</v>
      </c>
      <c r="AA1120" s="117">
        <f>_xll.qlCalendarAdvance(Calendar,Z1120,NDays&amp;"D")</f>
        <v>47024</v>
      </c>
      <c r="AB1120" s="92">
        <v>2.2582052858512242E-2</v>
      </c>
      <c r="AC1120" s="101">
        <v>2.2496747545721618E-2</v>
      </c>
    </row>
    <row r="1121" spans="25:29" x14ac:dyDescent="0.2">
      <c r="Y1121" s="105" t="str">
        <f t="shared" si="51"/>
        <v>1w</v>
      </c>
      <c r="Z1121" s="93">
        <f>_xll.qlCalendarAdvance(Calendar,Z1120,Y1121,"f",FALSE)</f>
        <v>47029</v>
      </c>
      <c r="AA1121" s="117">
        <f>_xll.qlCalendarAdvance(Calendar,Z1121,NDays&amp;"D")</f>
        <v>47031</v>
      </c>
      <c r="AB1121" s="92">
        <v>2.2579261589966839E-2</v>
      </c>
      <c r="AC1121" s="101">
        <v>2.2493573595738781E-2</v>
      </c>
    </row>
    <row r="1122" spans="25:29" x14ac:dyDescent="0.2">
      <c r="Y1122" s="105" t="str">
        <f t="shared" si="51"/>
        <v>1w</v>
      </c>
      <c r="Z1122" s="93">
        <f>_xll.qlCalendarAdvance(Calendar,Z1121,Y1122,"f",FALSE)</f>
        <v>47036</v>
      </c>
      <c r="AA1122" s="117">
        <f>_xll.qlCalendarAdvance(Calendar,Z1122,NDays&amp;"D")</f>
        <v>47038</v>
      </c>
      <c r="AB1122" s="92">
        <v>2.2575994790401913E-2</v>
      </c>
      <c r="AC1122" s="101">
        <v>2.2490395612182468E-2</v>
      </c>
    </row>
    <row r="1123" spans="25:29" x14ac:dyDescent="0.2">
      <c r="Y1123" s="105" t="str">
        <f t="shared" si="51"/>
        <v>1w</v>
      </c>
      <c r="Z1123" s="93">
        <f>_xll.qlCalendarAdvance(Calendar,Z1122,Y1123,"f",FALSE)</f>
        <v>47043</v>
      </c>
      <c r="AA1123" s="117">
        <f>_xll.qlCalendarAdvance(Calendar,Z1123,NDays&amp;"D")</f>
        <v>47045</v>
      </c>
      <c r="AB1123" s="92">
        <v>2.2572723916654238E-2</v>
      </c>
      <c r="AC1123" s="101">
        <v>2.2487213594732935E-2</v>
      </c>
    </row>
    <row r="1124" spans="25:29" x14ac:dyDescent="0.2">
      <c r="Y1124" s="105" t="str">
        <f t="shared" si="51"/>
        <v>1w</v>
      </c>
      <c r="Z1124" s="93">
        <f>_xll.qlCalendarAdvance(Calendar,Z1123,Y1124,"f",FALSE)</f>
        <v>47050</v>
      </c>
      <c r="AA1124" s="117">
        <f>_xll.qlCalendarAdvance(Calendar,Z1124,NDays&amp;"D")</f>
        <v>47052</v>
      </c>
      <c r="AB1124" s="92">
        <v>2.2569448968745333E-2</v>
      </c>
      <c r="AC1124" s="101">
        <v>2.2484027543789864E-2</v>
      </c>
    </row>
    <row r="1125" spans="25:29" x14ac:dyDescent="0.2">
      <c r="Y1125" s="105" t="str">
        <f t="shared" si="51"/>
        <v>1w</v>
      </c>
      <c r="Z1125" s="93">
        <f>_xll.qlCalendarAdvance(Calendar,Z1124,Y1125,"f",FALSE)</f>
        <v>47057</v>
      </c>
      <c r="AA1125" s="117">
        <f>_xll.qlCalendarAdvance(Calendar,Z1125,NDays&amp;"D")</f>
        <v>47059</v>
      </c>
      <c r="AB1125" s="92">
        <v>2.2565700964533711E-2</v>
      </c>
      <c r="AC1125" s="101">
        <v>2.2480837458953573E-2</v>
      </c>
    </row>
    <row r="1126" spans="25:29" x14ac:dyDescent="0.2">
      <c r="Y1126" s="105" t="str">
        <f t="shared" si="51"/>
        <v>1w</v>
      </c>
      <c r="Z1126" s="93">
        <f>_xll.qlCalendarAdvance(Calendar,Z1125,Y1126,"f",FALSE)</f>
        <v>47064</v>
      </c>
      <c r="AA1126" s="117">
        <f>_xll.qlCalendarAdvance(Calendar,Z1126,NDays&amp;"D")</f>
        <v>47066</v>
      </c>
      <c r="AB1126" s="92">
        <v>2.2562418363961355E-2</v>
      </c>
      <c r="AC1126" s="101">
        <v>2.2477643340463871E-2</v>
      </c>
    </row>
    <row r="1127" spans="25:29" x14ac:dyDescent="0.2">
      <c r="Y1127" s="105" t="str">
        <f t="shared" si="51"/>
        <v>1w</v>
      </c>
      <c r="Z1127" s="93">
        <f>_xll.qlCalendarAdvance(Calendar,Z1126,Y1127,"f",FALSE)</f>
        <v>47071</v>
      </c>
      <c r="AA1127" s="117">
        <f>_xll.qlCalendarAdvance(Calendar,Z1127,NDays&amp;"D")</f>
        <v>47073</v>
      </c>
      <c r="AB1127" s="92">
        <v>2.2559131689509643E-2</v>
      </c>
      <c r="AC1127" s="101">
        <v>2.2474445188320757E-2</v>
      </c>
    </row>
    <row r="1128" spans="25:29" x14ac:dyDescent="0.2">
      <c r="Y1128" s="105" t="str">
        <f t="shared" si="51"/>
        <v>1w</v>
      </c>
      <c r="Z1128" s="93">
        <f>_xll.qlCalendarAdvance(Calendar,Z1127,Y1128,"f",FALSE)</f>
        <v>47078</v>
      </c>
      <c r="AA1128" s="117">
        <f>_xll.qlCalendarAdvance(Calendar,Z1128,NDays&amp;"D")</f>
        <v>47080</v>
      </c>
      <c r="AB1128" s="92">
        <v>2.255584094119889E-2</v>
      </c>
      <c r="AC1128" s="101">
        <v>2.2471243002364361E-2</v>
      </c>
    </row>
    <row r="1129" spans="25:29" x14ac:dyDescent="0.2">
      <c r="Y1129" s="105" t="str">
        <f t="shared" si="51"/>
        <v>1w</v>
      </c>
      <c r="Z1129" s="93">
        <f>_xll.qlCalendarAdvance(Calendar,Z1128,Y1129,"f",FALSE)</f>
        <v>47085</v>
      </c>
      <c r="AA1129" s="117">
        <f>_xll.qlCalendarAdvance(Calendar,Z1129,NDays&amp;"D")</f>
        <v>47087</v>
      </c>
      <c r="AB1129" s="92">
        <v>2.2553013117470631E-2</v>
      </c>
      <c r="AC1129" s="101">
        <v>2.2468036782754552E-2</v>
      </c>
    </row>
    <row r="1130" spans="25:29" x14ac:dyDescent="0.2">
      <c r="Y1130" s="105" t="str">
        <f t="shared" si="51"/>
        <v>1w</v>
      </c>
      <c r="Z1130" s="93">
        <f>_xll.qlCalendarAdvance(Calendar,Z1129,Y1130,"f",FALSE)</f>
        <v>47092</v>
      </c>
      <c r="AA1130" s="117">
        <f>_xll.qlCalendarAdvance(Calendar,Z1130,NDays&amp;"D")</f>
        <v>47094</v>
      </c>
      <c r="AB1130" s="92">
        <v>2.254971372501029E-2</v>
      </c>
      <c r="AC1130" s="101">
        <v>2.2464826529411397E-2</v>
      </c>
    </row>
    <row r="1131" spans="25:29" x14ac:dyDescent="0.2">
      <c r="Y1131" s="105" t="str">
        <f t="shared" si="51"/>
        <v>1w</v>
      </c>
      <c r="Z1131" s="93">
        <f>_xll.qlCalendarAdvance(Calendar,Z1130,Y1131,"f",FALSE)</f>
        <v>47099</v>
      </c>
      <c r="AA1131" s="117">
        <f>_xll.qlCalendarAdvance(Calendar,Z1131,NDays&amp;"D")</f>
        <v>47101</v>
      </c>
      <c r="AB1131" s="92">
        <v>2.2546410258529704E-2</v>
      </c>
      <c r="AC1131" s="101">
        <v>2.246161224241483E-2</v>
      </c>
    </row>
    <row r="1132" spans="25:29" x14ac:dyDescent="0.2">
      <c r="Y1132" s="105" t="str">
        <f t="shared" si="51"/>
        <v>1w</v>
      </c>
      <c r="Z1132" s="93">
        <f>_xll.qlCalendarAdvance(Calendar,Z1131,Y1132,"f",FALSE)</f>
        <v>47106</v>
      </c>
      <c r="AA1132" s="117">
        <f>_xll.qlCalendarAdvance(Calendar,Z1132,NDays&amp;"D")</f>
        <v>47108</v>
      </c>
      <c r="AB1132" s="92">
        <v>2.2543102718046448E-2</v>
      </c>
      <c r="AC1132" s="101">
        <v>2.2458393921684916E-2</v>
      </c>
    </row>
    <row r="1133" spans="25:29" x14ac:dyDescent="0.2">
      <c r="Y1133" s="105" t="str">
        <f t="shared" si="51"/>
        <v>1w</v>
      </c>
      <c r="Z1133" s="93">
        <f>_xll.qlCalendarAdvance(Calendar,Z1132,Y1133,"f",FALSE)</f>
        <v>47114</v>
      </c>
      <c r="AA1133" s="117">
        <f>_xll.qlCalendarAdvance(Calendar,Z1133,NDays&amp;"D")</f>
        <v>47116</v>
      </c>
      <c r="AB1133" s="92">
        <v>2.2539317683233837E-2</v>
      </c>
      <c r="AC1133" s="101">
        <v>2.2456120547176273E-2</v>
      </c>
    </row>
    <row r="1134" spans="25:29" x14ac:dyDescent="0.2">
      <c r="Y1134" s="105" t="str">
        <f t="shared" si="51"/>
        <v>1w</v>
      </c>
      <c r="Z1134" s="93">
        <f>_xll.qlCalendarAdvance(Calendar,Z1133,Y1134,"f",FALSE)</f>
        <v>47121</v>
      </c>
      <c r="AA1134" s="117">
        <f>_xll.qlCalendarAdvance(Calendar,Z1134,NDays&amp;"D")</f>
        <v>47123</v>
      </c>
      <c r="AB1134" s="92">
        <v>2.2535536970147686E-2</v>
      </c>
      <c r="AC1134" s="101">
        <v>2.2452422749115186E-2</v>
      </c>
    </row>
    <row r="1135" spans="25:29" x14ac:dyDescent="0.2">
      <c r="Y1135" s="105" t="str">
        <f t="shared" si="51"/>
        <v>1w</v>
      </c>
      <c r="Z1135" s="93">
        <f>_xll.qlCalendarAdvance(Calendar,Z1134,Y1135,"f",FALSE)</f>
        <v>47128</v>
      </c>
      <c r="AA1135" s="117">
        <f>_xll.qlCalendarAdvance(Calendar,Z1135,NDays&amp;"D")</f>
        <v>47130</v>
      </c>
      <c r="AB1135" s="92">
        <v>2.2532217123427508E-2</v>
      </c>
      <c r="AC1135" s="101">
        <v>2.2449190771709482E-2</v>
      </c>
    </row>
    <row r="1136" spans="25:29" x14ac:dyDescent="0.2">
      <c r="Y1136" s="105" t="str">
        <f t="shared" si="51"/>
        <v>1w</v>
      </c>
      <c r="Z1136" s="93">
        <f>_xll.qlCalendarAdvance(Calendar,Z1135,Y1136,"f",FALSE)</f>
        <v>47135</v>
      </c>
      <c r="AA1136" s="117">
        <f>_xll.qlCalendarAdvance(Calendar,Z1136,NDays&amp;"D")</f>
        <v>47137</v>
      </c>
      <c r="AB1136" s="92">
        <v>2.2528893203011248E-2</v>
      </c>
      <c r="AC1136" s="101">
        <v>2.2445954760117459E-2</v>
      </c>
    </row>
    <row r="1137" spans="25:29" x14ac:dyDescent="0.2">
      <c r="Y1137" s="105" t="str">
        <f t="shared" si="51"/>
        <v>1w</v>
      </c>
      <c r="Z1137" s="93">
        <f>_xll.qlCalendarAdvance(Calendar,Z1136,Y1137,"f",FALSE)</f>
        <v>47142</v>
      </c>
      <c r="AA1137" s="117">
        <f>_xll.qlCalendarAdvance(Calendar,Z1137,NDays&amp;"D")</f>
        <v>47144</v>
      </c>
      <c r="AB1137" s="92">
        <v>2.2525565208920115E-2</v>
      </c>
      <c r="AC1137" s="101">
        <v>2.2442714714419054E-2</v>
      </c>
    </row>
    <row r="1138" spans="25:29" x14ac:dyDescent="0.2">
      <c r="Y1138" s="105" t="str">
        <f t="shared" si="51"/>
        <v>1w</v>
      </c>
      <c r="Z1138" s="93">
        <f>_xll.qlCalendarAdvance(Calendar,Z1137,Y1138,"f",FALSE)</f>
        <v>47149</v>
      </c>
      <c r="AA1138" s="117">
        <f>_xll.qlCalendarAdvance(Calendar,Z1138,NDays&amp;"D")</f>
        <v>47151</v>
      </c>
      <c r="AB1138" s="92">
        <v>2.2522233141174415E-2</v>
      </c>
      <c r="AC1138" s="101">
        <v>2.2439470634534331E-2</v>
      </c>
    </row>
    <row r="1139" spans="25:29" x14ac:dyDescent="0.2">
      <c r="Y1139" s="105" t="str">
        <f t="shared" si="51"/>
        <v>1w</v>
      </c>
      <c r="Z1139" s="93">
        <f>_xll.qlCalendarAdvance(Calendar,Z1138,Y1139,"f",FALSE)</f>
        <v>47156</v>
      </c>
      <c r="AA1139" s="117">
        <f>_xll.qlCalendarAdvance(Calendar,Z1139,NDays&amp;"D")</f>
        <v>47158</v>
      </c>
      <c r="AB1139" s="92">
        <v>2.2518896999793144E-2</v>
      </c>
      <c r="AC1139" s="101">
        <v>2.2436222520489935E-2</v>
      </c>
    </row>
    <row r="1140" spans="25:29" x14ac:dyDescent="0.2">
      <c r="Y1140" s="105" t="str">
        <f t="shared" si="51"/>
        <v>1w</v>
      </c>
      <c r="Z1140" s="93">
        <f>_xll.qlCalendarAdvance(Calendar,Z1139,Y1140,"f",FALSE)</f>
        <v>47163</v>
      </c>
      <c r="AA1140" s="117">
        <f>_xll.qlCalendarAdvance(Calendar,Z1140,NDays&amp;"D")</f>
        <v>47165</v>
      </c>
      <c r="AB1140" s="92">
        <v>2.2515556784798382E-2</v>
      </c>
      <c r="AC1140" s="101">
        <v>2.2432970372312511E-2</v>
      </c>
    </row>
    <row r="1141" spans="25:29" x14ac:dyDescent="0.2">
      <c r="Y1141" s="105" t="str">
        <f t="shared" si="51"/>
        <v>1w</v>
      </c>
      <c r="Z1141" s="93">
        <f>_xll.qlCalendarAdvance(Calendar,Z1140,Y1141,"f",FALSE)</f>
        <v>47170</v>
      </c>
      <c r="AA1141" s="117">
        <f>_xll.qlCalendarAdvance(Calendar,Z1141,NDays&amp;"D")</f>
        <v>47172</v>
      </c>
      <c r="AB1141" s="92">
        <v>2.2512212496209119E-2</v>
      </c>
      <c r="AC1141" s="101">
        <v>2.2429714189975414E-2</v>
      </c>
    </row>
    <row r="1142" spans="25:29" x14ac:dyDescent="0.2">
      <c r="Y1142" s="105" t="str">
        <f t="shared" si="51"/>
        <v>1w</v>
      </c>
      <c r="Z1142" s="93">
        <f>_xll.qlCalendarAdvance(Calendar,Z1141,Y1142,"f",FALSE)</f>
        <v>47177</v>
      </c>
      <c r="AA1142" s="117">
        <f>_xll.qlCalendarAdvance(Calendar,Z1142,NDays&amp;"D")</f>
        <v>47179</v>
      </c>
      <c r="AB1142" s="92">
        <v>2.251070578427191E-2</v>
      </c>
      <c r="AC1142" s="101">
        <v>2.2426453973478644E-2</v>
      </c>
    </row>
    <row r="1143" spans="25:29" x14ac:dyDescent="0.2">
      <c r="Y1143" s="105" t="str">
        <f t="shared" si="51"/>
        <v>1w</v>
      </c>
      <c r="Z1143" s="93">
        <f>_xll.qlCalendarAdvance(Calendar,Z1142,Y1143,"f",FALSE)</f>
        <v>47184</v>
      </c>
      <c r="AA1143" s="117">
        <f>_xll.qlCalendarAdvance(Calendar,Z1143,NDays&amp;"D")</f>
        <v>47186</v>
      </c>
      <c r="AB1143" s="92">
        <v>2.2507351350669672E-2</v>
      </c>
      <c r="AC1143" s="101">
        <v>2.2423189722875492E-2</v>
      </c>
    </row>
    <row r="1144" spans="25:29" x14ac:dyDescent="0.2">
      <c r="Y1144" s="105" t="str">
        <f t="shared" si="51"/>
        <v>1w</v>
      </c>
      <c r="Z1144" s="93">
        <f>_xll.qlCalendarAdvance(Calendar,Z1143,Y1144,"f",FALSE)</f>
        <v>47191</v>
      </c>
      <c r="AA1144" s="117">
        <f>_xll.qlCalendarAdvance(Calendar,Z1144,NDays&amp;"D")</f>
        <v>47193</v>
      </c>
      <c r="AB1144" s="92">
        <v>2.2503992842650523E-2</v>
      </c>
      <c r="AC1144" s="101">
        <v>2.2419921438059376E-2</v>
      </c>
    </row>
    <row r="1145" spans="25:29" x14ac:dyDescent="0.2">
      <c r="Y1145" s="105" t="str">
        <f t="shared" si="51"/>
        <v>1w</v>
      </c>
      <c r="Z1145" s="93">
        <f>_xll.qlCalendarAdvance(Calendar,Z1144,Y1145,"f",FALSE)</f>
        <v>47198</v>
      </c>
      <c r="AA1145" s="117">
        <f>_xll.qlCalendarAdvance(Calendar,Z1145,NDays&amp;"D")</f>
        <v>47200</v>
      </c>
      <c r="AB1145" s="92">
        <v>2.2500630260235632E-2</v>
      </c>
      <c r="AC1145" s="101">
        <v>2.2416649119110232E-2</v>
      </c>
    </row>
    <row r="1146" spans="25:29" x14ac:dyDescent="0.2">
      <c r="Y1146" s="105" t="str">
        <f t="shared" si="51"/>
        <v>1w</v>
      </c>
      <c r="Z1146" s="93">
        <f>_xll.qlCalendarAdvance(Calendar,Z1145,Y1146,"f",FALSE)</f>
        <v>47205</v>
      </c>
      <c r="AA1146" s="117">
        <f>_xll.qlCalendarAdvance(Calendar,Z1146,NDays&amp;"D")</f>
        <v>47211</v>
      </c>
      <c r="AB1146" s="92">
        <v>2.2494421772883914E-2</v>
      </c>
      <c r="AC1146" s="101">
        <v>2.2410572284474739E-2</v>
      </c>
    </row>
    <row r="1147" spans="25:29" x14ac:dyDescent="0.2">
      <c r="Y1147" s="105" t="str">
        <f t="shared" si="51"/>
        <v>1w</v>
      </c>
      <c r="Z1147" s="93">
        <f>_xll.qlCalendarAdvance(Calendar,Z1146,Y1147,"f",FALSE)</f>
        <v>47212</v>
      </c>
      <c r="AA1147" s="117">
        <f>_xll.qlCalendarAdvance(Calendar,Z1147,NDays&amp;"D")</f>
        <v>47214</v>
      </c>
      <c r="AB1147" s="92">
        <v>2.2493892872303321E-2</v>
      </c>
      <c r="AC1147" s="101">
        <v>2.2410092378786217E-2</v>
      </c>
    </row>
    <row r="1148" spans="25:29" x14ac:dyDescent="0.2">
      <c r="Y1148" s="105" t="str">
        <f t="shared" si="51"/>
        <v>1w</v>
      </c>
      <c r="Z1148" s="93">
        <f>_xll.qlCalendarAdvance(Calendar,Z1147,Y1148,"f",FALSE)</f>
        <v>47219</v>
      </c>
      <c r="AA1148" s="117">
        <f>_xll.qlCalendarAdvance(Calendar,Z1148,NDays&amp;"D")</f>
        <v>47221</v>
      </c>
      <c r="AB1148" s="92">
        <v>2.2490518066827381E-2</v>
      </c>
      <c r="AC1148" s="101">
        <v>2.2406807957358055E-2</v>
      </c>
    </row>
    <row r="1149" spans="25:29" x14ac:dyDescent="0.2">
      <c r="Y1149" s="105" t="str">
        <f t="shared" si="51"/>
        <v>1w</v>
      </c>
      <c r="Z1149" s="93">
        <f>_xll.qlCalendarAdvance(Calendar,Z1148,Y1149,"f",FALSE)</f>
        <v>47226</v>
      </c>
      <c r="AA1149" s="117">
        <f>_xll.qlCalendarAdvance(Calendar,Z1149,NDays&amp;"D")</f>
        <v>47228</v>
      </c>
      <c r="AB1149" s="92">
        <v>2.2487139187039956E-2</v>
      </c>
      <c r="AC1149" s="101">
        <v>2.240351950182351E-2</v>
      </c>
    </row>
    <row r="1150" spans="25:29" x14ac:dyDescent="0.2">
      <c r="Y1150" s="105" t="str">
        <f t="shared" si="51"/>
        <v>1w</v>
      </c>
      <c r="Z1150" s="93">
        <f>_xll.qlCalendarAdvance(Calendar,Z1149,Y1150,"f",FALSE)</f>
        <v>47233</v>
      </c>
      <c r="AA1150" s="117">
        <f>_xll.qlCalendarAdvance(Calendar,Z1150,NDays&amp;"D")</f>
        <v>47235</v>
      </c>
      <c r="AB1150" s="92">
        <v>2.2483756232961793E-2</v>
      </c>
      <c r="AC1150" s="101">
        <v>2.2400227012129292E-2</v>
      </c>
    </row>
    <row r="1151" spans="25:29" x14ac:dyDescent="0.2">
      <c r="Y1151" s="105" t="str">
        <f t="shared" si="51"/>
        <v>1w</v>
      </c>
      <c r="Z1151" s="93">
        <f>_xll.qlCalendarAdvance(Calendar,Z1150,Y1151,"f",FALSE)</f>
        <v>47240</v>
      </c>
      <c r="AA1151" s="117">
        <f>_xll.qlCalendarAdvance(Calendar,Z1151,NDays&amp;"D")</f>
        <v>47242</v>
      </c>
      <c r="AB1151" s="92">
        <v>2.2480369204614055E-2</v>
      </c>
      <c r="AC1151" s="101">
        <v>2.2396930488275402E-2</v>
      </c>
    </row>
    <row r="1152" spans="25:29" x14ac:dyDescent="0.2">
      <c r="Y1152" s="105" t="str">
        <f t="shared" si="51"/>
        <v>1w</v>
      </c>
      <c r="Z1152" s="93">
        <f>_xll.qlCalendarAdvance(Calendar,Z1151,Y1152,"f",FALSE)</f>
        <v>47247</v>
      </c>
      <c r="AA1152" s="117">
        <f>_xll.qlCalendarAdvance(Calendar,Z1152,NDays&amp;"D")</f>
        <v>47249</v>
      </c>
      <c r="AB1152" s="92">
        <v>2.247697810201706E-2</v>
      </c>
      <c r="AC1152" s="101">
        <v>2.2393629930288483E-2</v>
      </c>
    </row>
    <row r="1153" spans="25:29" x14ac:dyDescent="0.2">
      <c r="Y1153" s="105" t="str">
        <f t="shared" si="51"/>
        <v>1w</v>
      </c>
      <c r="Z1153" s="93">
        <f>_xll.qlCalendarAdvance(Calendar,Z1152,Y1153,"f",FALSE)</f>
        <v>47254</v>
      </c>
      <c r="AA1153" s="117">
        <f>_xll.qlCalendarAdvance(Calendar,Z1153,NDays&amp;"D")</f>
        <v>47256</v>
      </c>
      <c r="AB1153" s="92">
        <v>2.2473582925192401E-2</v>
      </c>
      <c r="AC1153" s="101">
        <v>2.2390325338115247E-2</v>
      </c>
    </row>
    <row r="1154" spans="25:29" x14ac:dyDescent="0.2">
      <c r="Y1154" s="105" t="str">
        <f t="shared" si="51"/>
        <v>1w</v>
      </c>
      <c r="Z1154" s="93">
        <f>_xll.qlCalendarAdvance(Calendar,Z1153,Y1154,"f",FALSE)</f>
        <v>47261</v>
      </c>
      <c r="AA1154" s="117">
        <f>_xll.qlCalendarAdvance(Calendar,Z1154,NDays&amp;"D")</f>
        <v>47263</v>
      </c>
      <c r="AB1154" s="92">
        <v>2.2470183674161693E-2</v>
      </c>
      <c r="AC1154" s="101">
        <v>2.2387016711808982E-2</v>
      </c>
    </row>
    <row r="1155" spans="25:29" x14ac:dyDescent="0.2">
      <c r="Y1155" s="105" t="str">
        <f t="shared" si="51"/>
        <v>1w</v>
      </c>
      <c r="Z1155" s="93">
        <f>_xll.qlCalendarAdvance(Calendar,Z1154,Y1155,"f",FALSE)</f>
        <v>47268</v>
      </c>
      <c r="AA1155" s="117">
        <f>_xll.qlCalendarAdvance(Calendar,Z1155,NDays&amp;"D")</f>
        <v>47270</v>
      </c>
      <c r="AB1155" s="92">
        <v>2.2466780348945236E-2</v>
      </c>
      <c r="AC1155" s="101">
        <v>2.2383704051369691E-2</v>
      </c>
    </row>
    <row r="1156" spans="25:29" x14ac:dyDescent="0.2">
      <c r="Y1156" s="105" t="str">
        <f t="shared" si="51"/>
        <v>1w</v>
      </c>
      <c r="Z1156" s="93">
        <f>_xll.qlCalendarAdvance(Calendar,Z1155,Y1156,"f",FALSE)</f>
        <v>47275</v>
      </c>
      <c r="AA1156" s="117">
        <f>_xll.qlCalendarAdvance(Calendar,Z1156,NDays&amp;"D")</f>
        <v>47277</v>
      </c>
      <c r="AB1156" s="92">
        <v>2.2463372949564641E-2</v>
      </c>
      <c r="AC1156" s="101">
        <v>2.2380387356770726E-2</v>
      </c>
    </row>
    <row r="1157" spans="25:29" x14ac:dyDescent="0.2">
      <c r="Y1157" s="105" t="str">
        <f t="shared" si="51"/>
        <v>1w</v>
      </c>
      <c r="Z1157" s="93">
        <f>_xll.qlCalendarAdvance(Calendar,Z1156,Y1157,"f",FALSE)</f>
        <v>47282</v>
      </c>
      <c r="AA1157" s="117">
        <f>_xll.qlCalendarAdvance(Calendar,Z1157,NDays&amp;"D")</f>
        <v>47284</v>
      </c>
      <c r="AB1157" s="92">
        <v>2.2459961476041075E-2</v>
      </c>
      <c r="AC1157" s="101">
        <v>2.2377066628065378E-2</v>
      </c>
    </row>
    <row r="1158" spans="25:29" x14ac:dyDescent="0.2">
      <c r="Y1158" s="105" t="str">
        <f t="shared" si="51"/>
        <v>1w</v>
      </c>
      <c r="Z1158" s="93">
        <f>_xll.qlCalendarAdvance(Calendar,Z1157,Y1158,"f",FALSE)</f>
        <v>47289</v>
      </c>
      <c r="AA1158" s="117">
        <f>_xll.qlCalendarAdvance(Calendar,Z1158,NDays&amp;"D")</f>
        <v>47291</v>
      </c>
      <c r="AB1158" s="92">
        <v>2.2456545928395712E-2</v>
      </c>
      <c r="AC1158" s="101">
        <v>2.2373741865173713E-2</v>
      </c>
    </row>
    <row r="1159" spans="25:29" x14ac:dyDescent="0.2">
      <c r="Y1159" s="105" t="str">
        <f t="shared" si="51"/>
        <v>1w</v>
      </c>
      <c r="Z1159" s="93">
        <f>_xll.qlCalendarAdvance(Calendar,Z1158,Y1159,"f",FALSE)</f>
        <v>47296</v>
      </c>
      <c r="AA1159" s="117">
        <f>_xll.qlCalendarAdvance(Calendar,Z1159,NDays&amp;"D")</f>
        <v>47298</v>
      </c>
      <c r="AB1159" s="92">
        <v>2.2453126306649727E-2</v>
      </c>
      <c r="AC1159" s="101">
        <v>2.237041306814902E-2</v>
      </c>
    </row>
    <row r="1160" spans="25:29" x14ac:dyDescent="0.2">
      <c r="Y1160" s="105" t="str">
        <f t="shared" si="51"/>
        <v>1w</v>
      </c>
      <c r="Z1160" s="93">
        <f>_xll.qlCalendarAdvance(Calendar,Z1159,Y1160,"f",FALSE)</f>
        <v>47303</v>
      </c>
      <c r="AA1160" s="117">
        <f>_xll.qlCalendarAdvance(Calendar,Z1160,NDays&amp;"D")</f>
        <v>47305</v>
      </c>
      <c r="AB1160" s="92">
        <v>2.2449702610823855E-2</v>
      </c>
      <c r="AC1160" s="101">
        <v>2.2367080236938008E-2</v>
      </c>
    </row>
    <row r="1161" spans="25:29" x14ac:dyDescent="0.2">
      <c r="Y1161" s="105" t="str">
        <f t="shared" si="51"/>
        <v>1w</v>
      </c>
      <c r="Z1161" s="93">
        <f>_xll.qlCalendarAdvance(Calendar,Z1160,Y1161,"f",FALSE)</f>
        <v>47310</v>
      </c>
      <c r="AA1161" s="117">
        <f>_xll.qlCalendarAdvance(Calendar,Z1161,NDays&amp;"D")</f>
        <v>47312</v>
      </c>
      <c r="AB1161" s="92">
        <v>2.2446274840940136E-2</v>
      </c>
      <c r="AC1161" s="101">
        <v>2.2363743371620615E-2</v>
      </c>
    </row>
    <row r="1162" spans="25:29" x14ac:dyDescent="0.2">
      <c r="Y1162" s="105" t="str">
        <f t="shared" si="51"/>
        <v>1w</v>
      </c>
      <c r="Z1162" s="93">
        <f>_xll.qlCalendarAdvance(Calendar,Z1161,Y1162,"f",FALSE)</f>
        <v>47317</v>
      </c>
      <c r="AA1162" s="117">
        <f>_xll.qlCalendarAdvance(Calendar,Z1162,NDays&amp;"D")</f>
        <v>47319</v>
      </c>
      <c r="AB1162" s="92">
        <v>2.2442842997020176E-2</v>
      </c>
      <c r="AC1162" s="101">
        <v>2.2360402472143548E-2</v>
      </c>
    </row>
    <row r="1163" spans="25:29" x14ac:dyDescent="0.2">
      <c r="Y1163" s="105" t="str">
        <f t="shared" si="51"/>
        <v>1w</v>
      </c>
      <c r="Z1163" s="93">
        <f>_xll.qlCalendarAdvance(Calendar,Z1162,Y1163,"f",FALSE)</f>
        <v>47324</v>
      </c>
      <c r="AA1163" s="117">
        <f>_xll.qlCalendarAdvance(Calendar,Z1163,NDays&amp;"D")</f>
        <v>47326</v>
      </c>
      <c r="AB1163" s="92">
        <v>2.2439407079083845E-2</v>
      </c>
      <c r="AC1163" s="101">
        <v>2.2357057538506808E-2</v>
      </c>
    </row>
    <row r="1164" spans="25:29" x14ac:dyDescent="0.2">
      <c r="Y1164" s="105" t="str">
        <f t="shared" si="51"/>
        <v>1w</v>
      </c>
      <c r="Z1164" s="93">
        <f>_xll.qlCalendarAdvance(Calendar,Z1163,Y1164,"f",FALSE)</f>
        <v>47331</v>
      </c>
      <c r="AA1164" s="117">
        <f>_xll.qlCalendarAdvance(Calendar,Z1164,NDays&amp;"D")</f>
        <v>47333</v>
      </c>
      <c r="AB1164" s="92">
        <v>2.2435967087154049E-2</v>
      </c>
      <c r="AC1164" s="101">
        <v>2.2353708570763686E-2</v>
      </c>
    </row>
    <row r="1165" spans="25:29" x14ac:dyDescent="0.2">
      <c r="Y1165" s="105" t="str">
        <f t="shared" si="51"/>
        <v>1w</v>
      </c>
      <c r="Z1165" s="93">
        <f>_xll.qlCalendarAdvance(Calendar,Z1164,Y1165,"f",FALSE)</f>
        <v>47338</v>
      </c>
      <c r="AA1165" s="117">
        <f>_xll.qlCalendarAdvance(Calendar,Z1165,NDays&amp;"D")</f>
        <v>47340</v>
      </c>
      <c r="AB1165" s="92">
        <v>2.2432523021251094E-2</v>
      </c>
      <c r="AC1165" s="101">
        <v>2.2350355568860891E-2</v>
      </c>
    </row>
    <row r="1166" spans="25:29" x14ac:dyDescent="0.2">
      <c r="Y1166" s="105" t="str">
        <f t="shared" si="51"/>
        <v>1w</v>
      </c>
      <c r="Z1166" s="93">
        <f>_xll.qlCalendarAdvance(Calendar,Z1165,Y1166,"f",FALSE)</f>
        <v>47345</v>
      </c>
      <c r="AA1166" s="117">
        <f>_xll.qlCalendarAdvance(Calendar,Z1166,NDays&amp;"D")</f>
        <v>47347</v>
      </c>
      <c r="AB1166" s="92">
        <v>2.2429074881397448E-2</v>
      </c>
      <c r="AC1166" s="101">
        <v>2.2346998532798423E-2</v>
      </c>
    </row>
    <row r="1167" spans="25:29" x14ac:dyDescent="0.2">
      <c r="Y1167" s="105" t="str">
        <f t="shared" si="51"/>
        <v>1w</v>
      </c>
      <c r="Z1167" s="93">
        <f>_xll.qlCalendarAdvance(Calendar,Z1166,Y1167,"f",FALSE)</f>
        <v>47352</v>
      </c>
      <c r="AA1167" s="117">
        <f>_xll.qlCalendarAdvance(Calendar,Z1167,NDays&amp;"D")</f>
        <v>47354</v>
      </c>
      <c r="AB1167" s="92">
        <v>2.2425622667613419E-2</v>
      </c>
      <c r="AC1167" s="101">
        <v>2.2343637462602928E-2</v>
      </c>
    </row>
    <row r="1168" spans="25:29" x14ac:dyDescent="0.2">
      <c r="Y1168" s="105" t="str">
        <f t="shared" si="51"/>
        <v>1w</v>
      </c>
      <c r="Z1168" s="93">
        <f>_xll.qlCalendarAdvance(Calendar,Z1167,Y1168,"f",FALSE)</f>
        <v>47359</v>
      </c>
      <c r="AA1168" s="117">
        <f>_xll.qlCalendarAdvance(Calendar,Z1168,NDays&amp;"D")</f>
        <v>47361</v>
      </c>
      <c r="AB1168" s="92">
        <v>2.2420376960636972E-2</v>
      </c>
      <c r="AC1168" s="101">
        <v>2.2340272358274404E-2</v>
      </c>
    </row>
    <row r="1169" spans="25:29" x14ac:dyDescent="0.2">
      <c r="Y1169" s="105" t="str">
        <f t="shared" si="51"/>
        <v>1w</v>
      </c>
      <c r="Z1169" s="93">
        <f>_xll.qlCalendarAdvance(Calendar,Z1168,Y1169,"f",FALSE)</f>
        <v>47366</v>
      </c>
      <c r="AA1169" s="117">
        <f>_xll.qlCalendarAdvance(Calendar,Z1169,NDays&amp;"D")</f>
        <v>47368</v>
      </c>
      <c r="AB1169" s="92">
        <v>2.2416918619760095E-2</v>
      </c>
      <c r="AC1169" s="101">
        <v>2.2336903219786208E-2</v>
      </c>
    </row>
    <row r="1170" spans="25:29" x14ac:dyDescent="0.2">
      <c r="Y1170" s="105" t="str">
        <f t="shared" si="51"/>
        <v>1w</v>
      </c>
      <c r="Z1170" s="93">
        <f>_xll.qlCalendarAdvance(Calendar,Z1169,Y1170,"f",FALSE)</f>
        <v>47373</v>
      </c>
      <c r="AA1170" s="117">
        <f>_xll.qlCalendarAdvance(Calendar,Z1170,NDays&amp;"D")</f>
        <v>47375</v>
      </c>
      <c r="AB1170" s="92">
        <v>2.2413456205889786E-2</v>
      </c>
      <c r="AC1170" s="101">
        <v>2.2333530047164984E-2</v>
      </c>
    </row>
    <row r="1171" spans="25:29" x14ac:dyDescent="0.2">
      <c r="Y1171" s="105" t="str">
        <f t="shared" si="51"/>
        <v>1w</v>
      </c>
      <c r="Z1171" s="93">
        <f>_xll.qlCalendarAdvance(Calendar,Z1170,Y1171,"f",FALSE)</f>
        <v>47380</v>
      </c>
      <c r="AA1171" s="117">
        <f>_xll.qlCalendarAdvance(Calendar,Z1171,NDays&amp;"D")</f>
        <v>47382</v>
      </c>
      <c r="AB1171" s="92">
        <v>2.2409989719046355E-2</v>
      </c>
      <c r="AC1171" s="101">
        <v>2.2330152840384088E-2</v>
      </c>
    </row>
    <row r="1172" spans="25:29" x14ac:dyDescent="0.2">
      <c r="Y1172" s="105" t="str">
        <f t="shared" si="51"/>
        <v>1w</v>
      </c>
      <c r="Z1172" s="93">
        <f>_xll.qlCalendarAdvance(Calendar,Z1171,Y1172,"f",FALSE)</f>
        <v>47387</v>
      </c>
      <c r="AA1172" s="117">
        <f>_xll.qlCalendarAdvance(Calendar,Z1172,NDays&amp;"D")</f>
        <v>47389</v>
      </c>
      <c r="AB1172" s="92">
        <v>2.240696453690548E-2</v>
      </c>
      <c r="AC1172" s="101">
        <v>2.2326771599470163E-2</v>
      </c>
    </row>
    <row r="1173" spans="25:29" x14ac:dyDescent="0.2">
      <c r="Y1173" s="105" t="str">
        <f t="shared" ref="Y1173:Y1236" si="52">Y1172</f>
        <v>1w</v>
      </c>
      <c r="Z1173" s="93">
        <f>_xll.qlCalendarAdvance(Calendar,Z1172,Y1173,"f",FALSE)</f>
        <v>47394</v>
      </c>
      <c r="AA1173" s="117">
        <f>_xll.qlCalendarAdvance(Calendar,Z1173,NDays&amp;"D")</f>
        <v>47396</v>
      </c>
      <c r="AB1173" s="92">
        <v>2.240348939819857E-2</v>
      </c>
      <c r="AC1173" s="101">
        <v>2.2323386324396566E-2</v>
      </c>
    </row>
    <row r="1174" spans="25:29" x14ac:dyDescent="0.2">
      <c r="Y1174" s="105" t="str">
        <f t="shared" si="52"/>
        <v>1w</v>
      </c>
      <c r="Z1174" s="93">
        <f>_xll.qlCalendarAdvance(Calendar,Z1173,Y1174,"f",FALSE)</f>
        <v>47401</v>
      </c>
      <c r="AA1174" s="117">
        <f>_xll.qlCalendarAdvance(Calendar,Z1174,NDays&amp;"D")</f>
        <v>47403</v>
      </c>
      <c r="AB1174" s="92">
        <v>2.2400010186365209E-2</v>
      </c>
      <c r="AC1174" s="101">
        <v>2.2319997015189941E-2</v>
      </c>
    </row>
    <row r="1175" spans="25:29" x14ac:dyDescent="0.2">
      <c r="Y1175" s="105" t="str">
        <f t="shared" si="52"/>
        <v>1w</v>
      </c>
      <c r="Z1175" s="93">
        <f>_xll.qlCalendarAdvance(Calendar,Z1174,Y1175,"f",FALSE)</f>
        <v>47408</v>
      </c>
      <c r="AA1175" s="117">
        <f>_xll.qlCalendarAdvance(Calendar,Z1175,NDays&amp;"D")</f>
        <v>47410</v>
      </c>
      <c r="AB1175" s="92">
        <v>2.239830203737421E-2</v>
      </c>
      <c r="AC1175" s="101">
        <v>2.2316603671850288E-2</v>
      </c>
    </row>
    <row r="1176" spans="25:29" x14ac:dyDescent="0.2">
      <c r="Y1176" s="105" t="str">
        <f t="shared" si="52"/>
        <v>1w</v>
      </c>
      <c r="Z1176" s="93">
        <f>_xll.qlCalendarAdvance(Calendar,Z1175,Y1176,"f",FALSE)</f>
        <v>47415</v>
      </c>
      <c r="AA1176" s="117">
        <f>_xll.qlCalendarAdvance(Calendar,Z1176,NDays&amp;"D")</f>
        <v>47417</v>
      </c>
      <c r="AB1176" s="92">
        <v>2.2393039543400828E-2</v>
      </c>
      <c r="AC1176" s="101">
        <v>2.2313206294377608E-2</v>
      </c>
    </row>
    <row r="1177" spans="25:29" x14ac:dyDescent="0.2">
      <c r="Y1177" s="105" t="str">
        <f t="shared" si="52"/>
        <v>1w</v>
      </c>
      <c r="Z1177" s="93">
        <f>_xll.qlCalendarAdvance(Calendar,Z1176,Y1177,"f",FALSE)</f>
        <v>47422</v>
      </c>
      <c r="AA1177" s="117">
        <f>_xll.qlCalendarAdvance(Calendar,Z1177,NDays&amp;"D")</f>
        <v>47424</v>
      </c>
      <c r="AB1177" s="92">
        <v>2.2389105266728566E-2</v>
      </c>
      <c r="AC1177" s="101">
        <v>2.23098048827719E-2</v>
      </c>
    </row>
    <row r="1178" spans="25:29" x14ac:dyDescent="0.2">
      <c r="Y1178" s="105" t="str">
        <f t="shared" si="52"/>
        <v>1w</v>
      </c>
      <c r="Z1178" s="93">
        <f>_xll.qlCalendarAdvance(Calendar,Z1177,Y1178,"f",FALSE)</f>
        <v>47429</v>
      </c>
      <c r="AA1178" s="117">
        <f>_xll.qlCalendarAdvance(Calendar,Z1178,NDays&amp;"D")</f>
        <v>47431</v>
      </c>
      <c r="AB1178" s="92">
        <v>2.2385610269663767E-2</v>
      </c>
      <c r="AC1178" s="101">
        <v>2.2306399437006519E-2</v>
      </c>
    </row>
    <row r="1179" spans="25:29" x14ac:dyDescent="0.2">
      <c r="Y1179" s="105" t="str">
        <f t="shared" si="52"/>
        <v>1w</v>
      </c>
      <c r="Z1179" s="93">
        <f>_xll.qlCalendarAdvance(Calendar,Z1178,Y1179,"f",FALSE)</f>
        <v>47436</v>
      </c>
      <c r="AA1179" s="117">
        <f>_xll.qlCalendarAdvance(Calendar,Z1179,NDays&amp;"D")</f>
        <v>47438</v>
      </c>
      <c r="AB1179" s="92">
        <v>2.2382111199795E-2</v>
      </c>
      <c r="AC1179" s="101">
        <v>2.2302989957081465E-2</v>
      </c>
    </row>
    <row r="1180" spans="25:29" x14ac:dyDescent="0.2">
      <c r="Y1180" s="105" t="str">
        <f t="shared" si="52"/>
        <v>1w</v>
      </c>
      <c r="Z1180" s="93">
        <f>_xll.qlCalendarAdvance(Calendar,Z1179,Y1180,"f",FALSE)</f>
        <v>47443</v>
      </c>
      <c r="AA1180" s="117">
        <f>_xll.qlCalendarAdvance(Calendar,Z1180,NDays&amp;"D")</f>
        <v>47445</v>
      </c>
      <c r="AB1180" s="92">
        <v>2.2378608057143898E-2</v>
      </c>
      <c r="AC1180" s="101">
        <v>2.2299576443050029E-2</v>
      </c>
    </row>
    <row r="1181" spans="25:29" x14ac:dyDescent="0.2">
      <c r="Y1181" s="105" t="str">
        <f t="shared" si="52"/>
        <v>1w</v>
      </c>
      <c r="Z1181" s="93">
        <f>_xll.qlCalendarAdvance(Calendar,Z1180,Y1181,"f",FALSE)</f>
        <v>47450</v>
      </c>
      <c r="AA1181" s="117">
        <f>_xll.qlCalendarAdvance(Calendar,Z1181,NDays&amp;"D")</f>
        <v>47452</v>
      </c>
      <c r="AB1181" s="92">
        <v>2.2375541657757108E-2</v>
      </c>
      <c r="AC1181" s="101">
        <v>2.229615889485892E-2</v>
      </c>
    </row>
    <row r="1182" spans="25:29" x14ac:dyDescent="0.2">
      <c r="Y1182" s="105" t="str">
        <f t="shared" si="52"/>
        <v>1w</v>
      </c>
      <c r="Z1182" s="93">
        <f>_xll.qlCalendarAdvance(Calendar,Z1181,Y1182,"f",FALSE)</f>
        <v>47457</v>
      </c>
      <c r="AA1182" s="117">
        <f>_xll.qlCalendarAdvance(Calendar,Z1182,NDays&amp;"D")</f>
        <v>47459</v>
      </c>
      <c r="AB1182" s="92">
        <v>2.2372029861673283E-2</v>
      </c>
      <c r="AC1182" s="101">
        <v>2.2292737312561428E-2</v>
      </c>
    </row>
    <row r="1183" spans="25:29" x14ac:dyDescent="0.2">
      <c r="Y1183" s="105" t="str">
        <f t="shared" si="52"/>
        <v>1w</v>
      </c>
      <c r="Z1183" s="93">
        <f>_xll.qlCalendarAdvance(Calendar,Z1182,Y1183,"f",FALSE)</f>
        <v>47464</v>
      </c>
      <c r="AA1183" s="117">
        <f>_xll.qlCalendarAdvance(Calendar,Z1183,NDays&amp;"D")</f>
        <v>47466</v>
      </c>
      <c r="AB1183" s="92">
        <v>2.2368513992654944E-2</v>
      </c>
      <c r="AC1183" s="101">
        <v>2.2289311696077618E-2</v>
      </c>
    </row>
    <row r="1184" spans="25:29" x14ac:dyDescent="0.2">
      <c r="Y1184" s="105" t="str">
        <f t="shared" si="52"/>
        <v>1w</v>
      </c>
      <c r="Z1184" s="93">
        <f>_xll.qlCalendarAdvance(Calendar,Z1183,Y1184,"f",FALSE)</f>
        <v>47471</v>
      </c>
      <c r="AA1184" s="117">
        <f>_xll.qlCalendarAdvance(Calendar,Z1184,NDays&amp;"D")</f>
        <v>47473</v>
      </c>
      <c r="AB1184" s="92">
        <v>2.2364994050723168E-2</v>
      </c>
      <c r="AC1184" s="101">
        <v>2.2285882045487426E-2</v>
      </c>
    </row>
    <row r="1185" spans="25:29" x14ac:dyDescent="0.2">
      <c r="Y1185" s="105" t="str">
        <f t="shared" si="52"/>
        <v>1w</v>
      </c>
      <c r="Z1185" s="93">
        <f>_xll.qlCalendarAdvance(Calendar,Z1184,Y1185,"f",FALSE)</f>
        <v>47479</v>
      </c>
      <c r="AA1185" s="117">
        <f>_xll.qlCalendarAdvance(Calendar,Z1185,NDays&amp;"D")</f>
        <v>47483</v>
      </c>
      <c r="AB1185" s="92">
        <v>2.2358642710669875E-2</v>
      </c>
      <c r="AC1185" s="101">
        <v>2.2280531623355415E-2</v>
      </c>
    </row>
    <row r="1186" spans="25:29" x14ac:dyDescent="0.2">
      <c r="Y1186" s="105" t="str">
        <f t="shared" si="52"/>
        <v>1w</v>
      </c>
      <c r="Z1186" s="93">
        <f>_xll.qlCalendarAdvance(Calendar,Z1185,Y1186,"f",FALSE)</f>
        <v>47486</v>
      </c>
      <c r="AA1186" s="117">
        <f>_xll.qlCalendarAdvance(Calendar,Z1186,NDays&amp;"D")</f>
        <v>47490</v>
      </c>
      <c r="AB1186" s="92">
        <v>2.2356428473843299E-2</v>
      </c>
      <c r="AC1186" s="101">
        <v>2.2276649224792777E-2</v>
      </c>
    </row>
    <row r="1187" spans="25:29" x14ac:dyDescent="0.2">
      <c r="Y1187" s="105" t="str">
        <f t="shared" si="52"/>
        <v>1w</v>
      </c>
      <c r="Z1187" s="93">
        <f>_xll.qlCalendarAdvance(Calendar,Z1186,Y1187,"f",FALSE)</f>
        <v>47493</v>
      </c>
      <c r="AA1187" s="117">
        <f>_xll.qlCalendarAdvance(Calendar,Z1187,NDays&amp;"D")</f>
        <v>47497</v>
      </c>
      <c r="AB1187" s="92">
        <v>2.2352892825378747E-2</v>
      </c>
      <c r="AC1187" s="101">
        <v>2.2273206745211382E-2</v>
      </c>
    </row>
    <row r="1188" spans="25:29" x14ac:dyDescent="0.2">
      <c r="Y1188" s="105" t="str">
        <f t="shared" si="52"/>
        <v>1w</v>
      </c>
      <c r="Z1188" s="93">
        <f>_xll.qlCalendarAdvance(Calendar,Z1187,Y1188,"f",FALSE)</f>
        <v>47500</v>
      </c>
      <c r="AA1188" s="117">
        <f>_xll.qlCalendarAdvance(Calendar,Z1188,NDays&amp;"D")</f>
        <v>47504</v>
      </c>
      <c r="AB1188" s="92">
        <v>2.2349349742401846E-2</v>
      </c>
      <c r="AC1188" s="101">
        <v>2.2269760231816704E-2</v>
      </c>
    </row>
    <row r="1189" spans="25:29" x14ac:dyDescent="0.2">
      <c r="Y1189" s="105" t="str">
        <f t="shared" si="52"/>
        <v>1w</v>
      </c>
      <c r="Z1189" s="93">
        <f>_xll.qlCalendarAdvance(Calendar,Z1188,Y1189,"f",FALSE)</f>
        <v>47507</v>
      </c>
      <c r="AA1189" s="117">
        <f>_xll.qlCalendarAdvance(Calendar,Z1189,NDays&amp;"D")</f>
        <v>47511</v>
      </c>
      <c r="AB1189" s="92">
        <v>2.2345797414810204E-2</v>
      </c>
      <c r="AC1189" s="101">
        <v>2.2266309684928487E-2</v>
      </c>
    </row>
    <row r="1190" spans="25:29" x14ac:dyDescent="0.2">
      <c r="Y1190" s="105" t="str">
        <f t="shared" si="52"/>
        <v>1w</v>
      </c>
      <c r="Z1190" s="93">
        <f>_xll.qlCalendarAdvance(Calendar,Z1189,Y1190,"f",FALSE)</f>
        <v>47514</v>
      </c>
      <c r="AA1190" s="117">
        <f>_xll.qlCalendarAdvance(Calendar,Z1190,NDays&amp;"D")</f>
        <v>47518</v>
      </c>
      <c r="AB1190" s="92">
        <v>2.2342234032512398E-2</v>
      </c>
      <c r="AC1190" s="101">
        <v>2.226285510414705E-2</v>
      </c>
    </row>
    <row r="1191" spans="25:29" x14ac:dyDescent="0.2">
      <c r="Y1191" s="105" t="str">
        <f t="shared" si="52"/>
        <v>1w</v>
      </c>
      <c r="Z1191" s="93">
        <f>_xll.qlCalendarAdvance(Calendar,Z1190,Y1191,"f",FALSE)</f>
        <v>47521</v>
      </c>
      <c r="AA1191" s="117">
        <f>_xll.qlCalendarAdvance(Calendar,Z1191,NDays&amp;"D")</f>
        <v>47525</v>
      </c>
      <c r="AB1191" s="92">
        <v>2.2338657785432387E-2</v>
      </c>
      <c r="AC1191" s="101">
        <v>2.2259396489792138E-2</v>
      </c>
    </row>
    <row r="1192" spans="25:29" x14ac:dyDescent="0.2">
      <c r="Y1192" s="105" t="str">
        <f t="shared" si="52"/>
        <v>1w</v>
      </c>
      <c r="Z1192" s="93">
        <f>_xll.qlCalendarAdvance(Calendar,Z1191,Y1192,"f",FALSE)</f>
        <v>47528</v>
      </c>
      <c r="AA1192" s="117">
        <f>_xll.qlCalendarAdvance(Calendar,Z1192,NDays&amp;"D")</f>
        <v>47532</v>
      </c>
      <c r="AB1192" s="92">
        <v>2.2335066863504668E-2</v>
      </c>
      <c r="AC1192" s="101">
        <v>2.2255933841623943E-2</v>
      </c>
    </row>
    <row r="1193" spans="25:29" x14ac:dyDescent="0.2">
      <c r="Y1193" s="105" t="str">
        <f t="shared" si="52"/>
        <v>1w</v>
      </c>
      <c r="Z1193" s="93">
        <f>_xll.qlCalendarAdvance(Calendar,Z1192,Y1193,"f",FALSE)</f>
        <v>47535</v>
      </c>
      <c r="AA1193" s="117">
        <f>_xll.qlCalendarAdvance(Calendar,Z1193,NDays&amp;"D")</f>
        <v>47539</v>
      </c>
      <c r="AB1193" s="92">
        <v>2.2331459456678662E-2</v>
      </c>
      <c r="AC1193" s="101">
        <v>2.2252467159802336E-2</v>
      </c>
    </row>
    <row r="1194" spans="25:29" x14ac:dyDescent="0.2">
      <c r="Y1194" s="105" t="str">
        <f t="shared" si="52"/>
        <v>1w</v>
      </c>
      <c r="Z1194" s="93">
        <f>_xll.qlCalendarAdvance(Calendar,Z1193,Y1194,"f",FALSE)</f>
        <v>47542</v>
      </c>
      <c r="AA1194" s="117">
        <f>_xll.qlCalendarAdvance(Calendar,Z1194,NDays&amp;"D")</f>
        <v>47546</v>
      </c>
      <c r="AB1194" s="92">
        <v>2.2328683147323069E-2</v>
      </c>
      <c r="AC1194" s="101">
        <v>2.2248996444247382E-2</v>
      </c>
    </row>
    <row r="1195" spans="25:29" x14ac:dyDescent="0.2">
      <c r="Y1195" s="105" t="str">
        <f t="shared" si="52"/>
        <v>1w</v>
      </c>
      <c r="Z1195" s="93">
        <f>_xll.qlCalendarAdvance(Calendar,Z1194,Y1195,"f",FALSE)</f>
        <v>47549</v>
      </c>
      <c r="AA1195" s="117">
        <f>_xll.qlCalendarAdvance(Calendar,Z1195,NDays&amp;"D")</f>
        <v>47553</v>
      </c>
      <c r="AB1195" s="92">
        <v>2.2325032310980701E-2</v>
      </c>
      <c r="AC1195" s="101">
        <v>2.2245521695039017E-2</v>
      </c>
    </row>
    <row r="1196" spans="25:29" x14ac:dyDescent="0.2">
      <c r="Y1196" s="105" t="str">
        <f t="shared" si="52"/>
        <v>1w</v>
      </c>
      <c r="Z1196" s="93">
        <f>_xll.qlCalendarAdvance(Calendar,Z1195,Y1196,"f",FALSE)</f>
        <v>47556</v>
      </c>
      <c r="AA1196" s="117">
        <f>_xll.qlCalendarAdvance(Calendar,Z1196,NDays&amp;"D")</f>
        <v>47560</v>
      </c>
      <c r="AB1196" s="92">
        <v>2.2321359239407718E-2</v>
      </c>
      <c r="AC1196" s="101">
        <v>2.2242042912097304E-2</v>
      </c>
    </row>
    <row r="1197" spans="25:29" x14ac:dyDescent="0.2">
      <c r="Y1197" s="105" t="str">
        <f t="shared" si="52"/>
        <v>1w</v>
      </c>
      <c r="Z1197" s="93">
        <f>_xll.qlCalendarAdvance(Calendar,Z1196,Y1197,"f",FALSE)</f>
        <v>47563</v>
      </c>
      <c r="AA1197" s="117">
        <f>_xll.qlCalendarAdvance(Calendar,Z1197,NDays&amp;"D")</f>
        <v>47567</v>
      </c>
      <c r="AB1197" s="92">
        <v>2.2317662142068574E-2</v>
      </c>
      <c r="AC1197" s="101">
        <v>2.2238560095422244E-2</v>
      </c>
    </row>
    <row r="1198" spans="25:29" x14ac:dyDescent="0.2">
      <c r="Y1198" s="105" t="str">
        <f t="shared" si="52"/>
        <v>1w</v>
      </c>
      <c r="Z1198" s="93">
        <f>_xll.qlCalendarAdvance(Calendar,Z1197,Y1198,"f",FALSE)</f>
        <v>47570</v>
      </c>
      <c r="AA1198" s="117">
        <f>_xll.qlCalendarAdvance(Calendar,Z1198,NDays&amp;"D")</f>
        <v>47574</v>
      </c>
      <c r="AB1198" s="92">
        <v>2.2313525669739175E-2</v>
      </c>
      <c r="AC1198" s="101">
        <v>2.2235073245093773E-2</v>
      </c>
    </row>
    <row r="1199" spans="25:29" x14ac:dyDescent="0.2">
      <c r="Y1199" s="105" t="str">
        <f t="shared" si="52"/>
        <v>1w</v>
      </c>
      <c r="Z1199" s="93">
        <f>_xll.qlCalendarAdvance(Calendar,Z1198,Y1199,"f",FALSE)</f>
        <v>47577</v>
      </c>
      <c r="AA1199" s="117">
        <f>_xll.qlCalendarAdvance(Calendar,Z1199,NDays&amp;"D")</f>
        <v>47581</v>
      </c>
      <c r="AB1199" s="92">
        <v>2.2309778250743297E-2</v>
      </c>
      <c r="AC1199" s="101">
        <v>2.223158236111189E-2</v>
      </c>
    </row>
    <row r="1200" spans="25:29" x14ac:dyDescent="0.2">
      <c r="Y1200" s="105" t="str">
        <f t="shared" si="52"/>
        <v>1w</v>
      </c>
      <c r="Z1200" s="93">
        <f>_xll.qlCalendarAdvance(Calendar,Z1199,Y1200,"f",FALSE)</f>
        <v>47584</v>
      </c>
      <c r="AA1200" s="117">
        <f>_xll.qlCalendarAdvance(Calendar,Z1200,NDays&amp;"D")</f>
        <v>47588</v>
      </c>
      <c r="AB1200" s="92">
        <v>2.2306001555019491E-2</v>
      </c>
      <c r="AC1200" s="101">
        <v>2.2228087443316724E-2</v>
      </c>
    </row>
    <row r="1201" spans="25:29" x14ac:dyDescent="0.2">
      <c r="Y1201" s="105" t="str">
        <f t="shared" si="52"/>
        <v>1w</v>
      </c>
      <c r="Z1201" s="93">
        <f>_xll.qlCalendarAdvance(Calendar,Z1200,Y1201,"f",FALSE)</f>
        <v>47591</v>
      </c>
      <c r="AA1201" s="117">
        <f>_xll.qlCalendarAdvance(Calendar,Z1201,NDays&amp;"D")</f>
        <v>47597</v>
      </c>
      <c r="AB1201" s="92">
        <v>2.2301099887468954E-2</v>
      </c>
      <c r="AC1201" s="101">
        <v>2.2223588050618304E-2</v>
      </c>
    </row>
    <row r="1202" spans="25:29" x14ac:dyDescent="0.2">
      <c r="Y1202" s="105" t="str">
        <f t="shared" si="52"/>
        <v>1w</v>
      </c>
      <c r="Z1202" s="93">
        <f>_xll.qlCalendarAdvance(Calendar,Z1201,Y1202,"f",FALSE)</f>
        <v>47598</v>
      </c>
      <c r="AA1202" s="117">
        <f>_xll.qlCalendarAdvance(Calendar,Z1202,NDays&amp;"D")</f>
        <v>47602</v>
      </c>
      <c r="AB1202" s="92">
        <v>2.2298353132783392E-2</v>
      </c>
      <c r="AC1202" s="101">
        <v>2.2221085506686222E-2</v>
      </c>
    </row>
    <row r="1203" spans="25:29" x14ac:dyDescent="0.2">
      <c r="Y1203" s="105" t="str">
        <f t="shared" si="52"/>
        <v>1w</v>
      </c>
      <c r="Z1203" s="93">
        <f>_xll.qlCalendarAdvance(Calendar,Z1202,Y1203,"f",FALSE)</f>
        <v>47605</v>
      </c>
      <c r="AA1203" s="117">
        <f>_xll.qlCalendarAdvance(Calendar,Z1203,NDays&amp;"D")</f>
        <v>47609</v>
      </c>
      <c r="AB1203" s="92">
        <v>2.2294874748608137E-2</v>
      </c>
      <c r="AC1203" s="101">
        <v>2.2217578487850886E-2</v>
      </c>
    </row>
    <row r="1204" spans="25:29" x14ac:dyDescent="0.2">
      <c r="Y1204" s="105" t="str">
        <f t="shared" si="52"/>
        <v>1w</v>
      </c>
      <c r="Z1204" s="93">
        <f>_xll.qlCalendarAdvance(Calendar,Z1203,Y1204,"f",FALSE)</f>
        <v>47612</v>
      </c>
      <c r="AA1204" s="117">
        <f>_xll.qlCalendarAdvance(Calendar,Z1204,NDays&amp;"D")</f>
        <v>47616</v>
      </c>
      <c r="AB1204" s="92">
        <v>2.2290959337057936E-2</v>
      </c>
      <c r="AC1204" s="101">
        <v>2.2214067435282203E-2</v>
      </c>
    </row>
    <row r="1205" spans="25:29" x14ac:dyDescent="0.2">
      <c r="Y1205" s="105" t="str">
        <f t="shared" si="52"/>
        <v>1w</v>
      </c>
      <c r="Z1205" s="93">
        <f>_xll.qlCalendarAdvance(Calendar,Z1204,Y1205,"f",FALSE)</f>
        <v>47619</v>
      </c>
      <c r="AA1205" s="117">
        <f>_xll.qlCalendarAdvance(Calendar,Z1205,NDays&amp;"D")</f>
        <v>47623</v>
      </c>
      <c r="AB1205" s="92">
        <v>2.228700557596941E-2</v>
      </c>
      <c r="AC1205" s="101">
        <v>2.2210552349060109E-2</v>
      </c>
    </row>
    <row r="1206" spans="25:29" x14ac:dyDescent="0.2">
      <c r="Y1206" s="105" t="str">
        <f t="shared" si="52"/>
        <v>1w</v>
      </c>
      <c r="Z1206" s="93">
        <f>_xll.qlCalendarAdvance(Calendar,Z1205,Y1206,"f",FALSE)</f>
        <v>47626</v>
      </c>
      <c r="AA1206" s="117">
        <f>_xll.qlCalendarAdvance(Calendar,Z1206,NDays&amp;"D")</f>
        <v>47630</v>
      </c>
      <c r="AB1206" s="92">
        <v>2.2283011674941688E-2</v>
      </c>
      <c r="AC1206" s="101">
        <v>2.2207033229104667E-2</v>
      </c>
    </row>
    <row r="1207" spans="25:29" x14ac:dyDescent="0.2">
      <c r="Y1207" s="105" t="str">
        <f t="shared" si="52"/>
        <v>1w</v>
      </c>
      <c r="Z1207" s="93">
        <f>_xll.qlCalendarAdvance(Calendar,Z1206,Y1207,"f",FALSE)</f>
        <v>47633</v>
      </c>
      <c r="AA1207" s="117">
        <f>_xll.qlCalendarAdvance(Calendar,Z1207,NDays&amp;"D")</f>
        <v>47637</v>
      </c>
      <c r="AB1207" s="92">
        <v>2.2278593725462988E-2</v>
      </c>
      <c r="AC1207" s="101">
        <v>2.2203510075415878E-2</v>
      </c>
    </row>
    <row r="1208" spans="25:29" x14ac:dyDescent="0.2">
      <c r="Y1208" s="105" t="str">
        <f t="shared" si="52"/>
        <v>1w</v>
      </c>
      <c r="Z1208" s="93">
        <f>_xll.qlCalendarAdvance(Calendar,Z1207,Y1208,"f",FALSE)</f>
        <v>47640</v>
      </c>
      <c r="AA1208" s="117">
        <f>_xll.qlCalendarAdvance(Calendar,Z1208,NDays&amp;"D")</f>
        <v>47644</v>
      </c>
      <c r="AB1208" s="92">
        <v>2.2274518011629236E-2</v>
      </c>
      <c r="AC1208" s="101">
        <v>2.2199982888073677E-2</v>
      </c>
    </row>
    <row r="1209" spans="25:29" x14ac:dyDescent="0.2">
      <c r="Y1209" s="105" t="str">
        <f t="shared" si="52"/>
        <v>1w</v>
      </c>
      <c r="Z1209" s="93">
        <f>_xll.qlCalendarAdvance(Calendar,Z1208,Y1209,"f",FALSE)</f>
        <v>47647</v>
      </c>
      <c r="AA1209" s="117">
        <f>_xll.qlCalendarAdvance(Calendar,Z1209,NDays&amp;"D")</f>
        <v>47651</v>
      </c>
      <c r="AB1209" s="92">
        <v>2.2270396820239773E-2</v>
      </c>
      <c r="AC1209" s="101">
        <v>2.2196451666998129E-2</v>
      </c>
    </row>
    <row r="1210" spans="25:29" x14ac:dyDescent="0.2">
      <c r="Y1210" s="105" t="str">
        <f t="shared" si="52"/>
        <v>1w</v>
      </c>
      <c r="Z1210" s="93">
        <f>_xll.qlCalendarAdvance(Calendar,Z1209,Y1210,"f",FALSE)</f>
        <v>47654</v>
      </c>
      <c r="AA1210" s="117">
        <f>_xll.qlCalendarAdvance(Calendar,Z1210,NDays&amp;"D")</f>
        <v>47658</v>
      </c>
      <c r="AB1210" s="92">
        <v>2.2266228351287026E-2</v>
      </c>
      <c r="AC1210" s="101">
        <v>2.2192916412189234E-2</v>
      </c>
    </row>
    <row r="1211" spans="25:29" x14ac:dyDescent="0.2">
      <c r="Y1211" s="105" t="str">
        <f t="shared" si="52"/>
        <v>1w</v>
      </c>
      <c r="Z1211" s="93">
        <f>_xll.qlCalendarAdvance(Calendar,Z1210,Y1211,"f",FALSE)</f>
        <v>47661</v>
      </c>
      <c r="AA1211" s="117">
        <f>_xll.qlCalendarAdvance(Calendar,Z1211,NDays&amp;"D")</f>
        <v>47665</v>
      </c>
      <c r="AB1211" s="92">
        <v>2.2262743651996191E-2</v>
      </c>
      <c r="AC1211" s="101">
        <v>2.2189377123806864E-2</v>
      </c>
    </row>
    <row r="1212" spans="25:29" x14ac:dyDescent="0.2">
      <c r="Y1212" s="105" t="str">
        <f t="shared" si="52"/>
        <v>1w</v>
      </c>
      <c r="Z1212" s="93">
        <f>_xll.qlCalendarAdvance(Calendar,Z1211,Y1212,"f",FALSE)</f>
        <v>47668</v>
      </c>
      <c r="AA1212" s="117">
        <f>_xll.qlCalendarAdvance(Calendar,Z1212,NDays&amp;"D")</f>
        <v>47672</v>
      </c>
      <c r="AB1212" s="92">
        <v>2.2258105257731302E-2</v>
      </c>
      <c r="AC1212" s="101">
        <v>2.2185813697293E-2</v>
      </c>
    </row>
    <row r="1213" spans="25:29" x14ac:dyDescent="0.2">
      <c r="Y1213" s="105" t="str">
        <f t="shared" si="52"/>
        <v>1w</v>
      </c>
      <c r="Z1213" s="93">
        <f>_xll.qlCalendarAdvance(Calendar,Z1212,Y1213,"f",FALSE)</f>
        <v>47675</v>
      </c>
      <c r="AA1213" s="117">
        <f>_xll.qlCalendarAdvance(Calendar,Z1213,NDays&amp;"D")</f>
        <v>47679</v>
      </c>
      <c r="AB1213" s="92">
        <v>2.2253781970985743E-2</v>
      </c>
      <c r="AC1213" s="101">
        <v>2.218219985446801E-2</v>
      </c>
    </row>
    <row r="1214" spans="25:29" x14ac:dyDescent="0.2">
      <c r="Y1214" s="105" t="str">
        <f t="shared" si="52"/>
        <v>1w</v>
      </c>
      <c r="Z1214" s="93">
        <f>_xll.qlCalendarAdvance(Calendar,Z1213,Y1214,"f",FALSE)</f>
        <v>47682</v>
      </c>
      <c r="AA1214" s="117">
        <f>_xll.qlCalendarAdvance(Calendar,Z1214,NDays&amp;"D")</f>
        <v>47686</v>
      </c>
      <c r="AB1214" s="92">
        <v>2.2249407547128685E-2</v>
      </c>
      <c r="AC1214" s="101">
        <v>2.21785354370585E-2</v>
      </c>
    </row>
    <row r="1215" spans="25:29" x14ac:dyDescent="0.2">
      <c r="Y1215" s="105" t="str">
        <f t="shared" si="52"/>
        <v>1w</v>
      </c>
      <c r="Z1215" s="93">
        <f>_xll.qlCalendarAdvance(Calendar,Z1214,Y1215,"f",FALSE)</f>
        <v>47689</v>
      </c>
      <c r="AA1215" s="117">
        <f>_xll.qlCalendarAdvance(Calendar,Z1215,NDays&amp;"D")</f>
        <v>47693</v>
      </c>
      <c r="AB1215" s="92">
        <v>2.2244981986498984E-2</v>
      </c>
      <c r="AC1215" s="101">
        <v>2.2174820445224341E-2</v>
      </c>
    </row>
    <row r="1216" spans="25:29" x14ac:dyDescent="0.2">
      <c r="Y1216" s="105" t="str">
        <f t="shared" si="52"/>
        <v>1w</v>
      </c>
      <c r="Z1216" s="93">
        <f>_xll.qlCalendarAdvance(Calendar,Z1215,Y1216,"f",FALSE)</f>
        <v>47696</v>
      </c>
      <c r="AA1216" s="117">
        <f>_xll.qlCalendarAdvance(Calendar,Z1216,NDays&amp;"D")</f>
        <v>47700</v>
      </c>
      <c r="AB1216" s="92">
        <v>2.2240505289440281E-2</v>
      </c>
      <c r="AC1216" s="101">
        <v>2.2171054878885599E-2</v>
      </c>
    </row>
    <row r="1217" spans="25:29" x14ac:dyDescent="0.2">
      <c r="Y1217" s="105" t="str">
        <f t="shared" si="52"/>
        <v>1w</v>
      </c>
      <c r="Z1217" s="93">
        <f>_xll.qlCalendarAdvance(Calendar,Z1216,Y1217,"f",FALSE)</f>
        <v>47703</v>
      </c>
      <c r="AA1217" s="117">
        <f>_xll.qlCalendarAdvance(Calendar,Z1217,NDays&amp;"D")</f>
        <v>47707</v>
      </c>
      <c r="AB1217" s="92">
        <v>2.2235977456298382E-2</v>
      </c>
      <c r="AC1217" s="101">
        <v>2.21672387378824E-2</v>
      </c>
    </row>
    <row r="1218" spans="25:29" x14ac:dyDescent="0.2">
      <c r="Y1218" s="105" t="str">
        <f t="shared" si="52"/>
        <v>1w</v>
      </c>
      <c r="Z1218" s="93">
        <f>_xll.qlCalendarAdvance(Calendar,Z1217,Y1218,"f",FALSE)</f>
        <v>47710</v>
      </c>
      <c r="AA1218" s="117">
        <f>_xll.qlCalendarAdvance(Calendar,Z1218,NDays&amp;"D")</f>
        <v>47714</v>
      </c>
      <c r="AB1218" s="92">
        <v>2.2231398487425613E-2</v>
      </c>
      <c r="AC1218" s="101">
        <v>2.2163372022534489E-2</v>
      </c>
    </row>
    <row r="1219" spans="25:29" x14ac:dyDescent="0.2">
      <c r="Y1219" s="105" t="str">
        <f t="shared" si="52"/>
        <v>1w</v>
      </c>
      <c r="Z1219" s="93">
        <f>_xll.qlCalendarAdvance(Calendar,Z1218,Y1219,"f",FALSE)</f>
        <v>47717</v>
      </c>
      <c r="AA1219" s="117">
        <f>_xll.qlCalendarAdvance(Calendar,Z1219,NDays&amp;"D")</f>
        <v>47721</v>
      </c>
      <c r="AB1219" s="92">
        <v>2.2226768383176481E-2</v>
      </c>
      <c r="AC1219" s="101">
        <v>2.2159454732442185E-2</v>
      </c>
    </row>
    <row r="1220" spans="25:29" x14ac:dyDescent="0.2">
      <c r="Y1220" s="105" t="str">
        <f t="shared" si="52"/>
        <v>1w</v>
      </c>
      <c r="Z1220" s="93">
        <f>_xll.qlCalendarAdvance(Calendar,Z1219,Y1220,"f",FALSE)</f>
        <v>47724</v>
      </c>
      <c r="AA1220" s="117">
        <f>_xll.qlCalendarAdvance(Calendar,Z1220,NDays&amp;"D")</f>
        <v>47728</v>
      </c>
      <c r="AB1220" s="92">
        <v>2.2221424266960121E-2</v>
      </c>
      <c r="AC1220" s="101">
        <v>2.2155486867925234E-2</v>
      </c>
    </row>
    <row r="1221" spans="25:29" x14ac:dyDescent="0.2">
      <c r="Y1221" s="105" t="str">
        <f t="shared" si="52"/>
        <v>1w</v>
      </c>
      <c r="Z1221" s="93">
        <f>_xll.qlCalendarAdvance(Calendar,Z1220,Y1221,"f",FALSE)</f>
        <v>47731</v>
      </c>
      <c r="AA1221" s="117">
        <f>_xll.qlCalendarAdvance(Calendar,Z1221,NDays&amp;"D")</f>
        <v>47735</v>
      </c>
      <c r="AB1221" s="92">
        <v>2.2216699777863915E-2</v>
      </c>
      <c r="AC1221" s="101">
        <v>2.2151468428823762E-2</v>
      </c>
    </row>
    <row r="1222" spans="25:29" x14ac:dyDescent="0.2">
      <c r="Y1222" s="105" t="str">
        <f t="shared" si="52"/>
        <v>1w</v>
      </c>
      <c r="Z1222" s="93">
        <f>_xll.qlCalendarAdvance(Calendar,Z1221,Y1222,"f",FALSE)</f>
        <v>47738</v>
      </c>
      <c r="AA1222" s="117">
        <f>_xll.qlCalendarAdvance(Calendar,Z1222,NDays&amp;"D")</f>
        <v>47742</v>
      </c>
      <c r="AB1222" s="92">
        <v>2.2211924160577677E-2</v>
      </c>
      <c r="AC1222" s="101">
        <v>2.2147399415297642E-2</v>
      </c>
    </row>
    <row r="1223" spans="25:29" x14ac:dyDescent="0.2">
      <c r="Y1223" s="105" t="str">
        <f t="shared" si="52"/>
        <v>1w</v>
      </c>
      <c r="Z1223" s="93">
        <f>_xll.qlCalendarAdvance(Calendar,Z1222,Y1223,"f",FALSE)</f>
        <v>47745</v>
      </c>
      <c r="AA1223" s="117">
        <f>_xll.qlCalendarAdvance(Calendar,Z1223,NDays&amp;"D")</f>
        <v>47749</v>
      </c>
      <c r="AB1223" s="92">
        <v>2.2207097415468585E-2</v>
      </c>
      <c r="AC1223" s="101">
        <v>2.2143279827107065E-2</v>
      </c>
    </row>
    <row r="1224" spans="25:29" x14ac:dyDescent="0.2">
      <c r="Y1224" s="105" t="str">
        <f t="shared" si="52"/>
        <v>1w</v>
      </c>
      <c r="Z1224" s="93">
        <f>_xll.qlCalendarAdvance(Calendar,Z1223,Y1224,"f",FALSE)</f>
        <v>47752</v>
      </c>
      <c r="AA1224" s="117">
        <f>_xll.qlCalendarAdvance(Calendar,Z1224,NDays&amp;"D")</f>
        <v>47756</v>
      </c>
      <c r="AB1224" s="92">
        <v>2.2202219542907329E-2</v>
      </c>
      <c r="AC1224" s="101">
        <v>2.2139109664411905E-2</v>
      </c>
    </row>
    <row r="1225" spans="25:29" x14ac:dyDescent="0.2">
      <c r="Y1225" s="105" t="str">
        <f t="shared" si="52"/>
        <v>1w</v>
      </c>
      <c r="Z1225" s="93">
        <f>_xll.qlCalendarAdvance(Calendar,Z1224,Y1225,"f",FALSE)</f>
        <v>47759</v>
      </c>
      <c r="AA1225" s="117">
        <f>_xll.qlCalendarAdvance(Calendar,Z1225,NDays&amp;"D")</f>
        <v>47763</v>
      </c>
      <c r="AB1225" s="92">
        <v>2.2197290543267238E-2</v>
      </c>
      <c r="AC1225" s="101">
        <v>2.2134888927292096E-2</v>
      </c>
    </row>
    <row r="1226" spans="25:29" x14ac:dyDescent="0.2">
      <c r="Y1226" s="105" t="str">
        <f t="shared" si="52"/>
        <v>1w</v>
      </c>
      <c r="Z1226" s="93">
        <f>_xll.qlCalendarAdvance(Calendar,Z1225,Y1226,"f",FALSE)</f>
        <v>47766</v>
      </c>
      <c r="AA1226" s="117">
        <f>_xll.qlCalendarAdvance(Calendar,Z1226,NDays&amp;"D")</f>
        <v>47770</v>
      </c>
      <c r="AB1226" s="92">
        <v>2.2192618338128939E-2</v>
      </c>
      <c r="AC1226" s="101">
        <v>2.213061761550783E-2</v>
      </c>
    </row>
    <row r="1227" spans="25:29" x14ac:dyDescent="0.2">
      <c r="Y1227" s="105" t="str">
        <f t="shared" si="52"/>
        <v>1w</v>
      </c>
      <c r="Z1227" s="93">
        <f>_xll.qlCalendarAdvance(Calendar,Z1226,Y1227,"f",FALSE)</f>
        <v>47773</v>
      </c>
      <c r="AA1227" s="117">
        <f>_xll.qlCalendarAdvance(Calendar,Z1227,NDays&amp;"D")</f>
        <v>47777</v>
      </c>
      <c r="AB1227" s="92">
        <v>2.2187279164268024E-2</v>
      </c>
      <c r="AC1227" s="101">
        <v>2.2126295729458789E-2</v>
      </c>
    </row>
    <row r="1228" spans="25:29" x14ac:dyDescent="0.2">
      <c r="Y1228" s="105" t="str">
        <f t="shared" si="52"/>
        <v>1w</v>
      </c>
      <c r="Z1228" s="93">
        <f>_xll.qlCalendarAdvance(Calendar,Z1227,Y1228,"f",FALSE)</f>
        <v>47780</v>
      </c>
      <c r="AA1228" s="117">
        <f>_xll.qlCalendarAdvance(Calendar,Z1228,NDays&amp;"D")</f>
        <v>47784</v>
      </c>
      <c r="AB1228" s="92">
        <v>2.2182196785676195E-2</v>
      </c>
      <c r="AC1228" s="101">
        <v>2.2121923268665356E-2</v>
      </c>
    </row>
    <row r="1229" spans="25:29" x14ac:dyDescent="0.2">
      <c r="Y1229" s="105" t="str">
        <f t="shared" si="52"/>
        <v>1w</v>
      </c>
      <c r="Z1229" s="93">
        <f>_xll.qlCalendarAdvance(Calendar,Z1228,Y1229,"f",FALSE)</f>
        <v>47787</v>
      </c>
      <c r="AA1229" s="117">
        <f>_xll.qlCalendarAdvance(Calendar,Z1229,NDays&amp;"D")</f>
        <v>47791</v>
      </c>
      <c r="AB1229" s="92">
        <v>2.217706328154145E-2</v>
      </c>
      <c r="AC1229" s="101">
        <v>2.2117500233367338E-2</v>
      </c>
    </row>
    <row r="1230" spans="25:29" x14ac:dyDescent="0.2">
      <c r="Y1230" s="105" t="str">
        <f t="shared" si="52"/>
        <v>1w</v>
      </c>
      <c r="Z1230" s="93">
        <f>_xll.qlCalendarAdvance(Calendar,Z1229,Y1230,"f",FALSE)</f>
        <v>47794</v>
      </c>
      <c r="AA1230" s="117">
        <f>_xll.qlCalendarAdvance(Calendar,Z1230,NDays&amp;"D")</f>
        <v>47798</v>
      </c>
      <c r="AB1230" s="92">
        <v>2.2171878652257754E-2</v>
      </c>
      <c r="AC1230" s="101">
        <v>2.2113026623644672E-2</v>
      </c>
    </row>
    <row r="1231" spans="25:29" x14ac:dyDescent="0.2">
      <c r="Y1231" s="105" t="str">
        <f t="shared" si="52"/>
        <v>1w</v>
      </c>
      <c r="Z1231" s="93">
        <f>_xll.qlCalendarAdvance(Calendar,Z1230,Y1231,"f",FALSE)</f>
        <v>47801</v>
      </c>
      <c r="AA1231" s="117">
        <f>_xll.qlCalendarAdvance(Calendar,Z1231,NDays&amp;"D")</f>
        <v>47805</v>
      </c>
      <c r="AB1231" s="92">
        <v>2.2166642898222153E-2</v>
      </c>
      <c r="AC1231" s="101">
        <v>2.2108502439337485E-2</v>
      </c>
    </row>
    <row r="1232" spans="25:29" x14ac:dyDescent="0.2">
      <c r="Y1232" s="105" t="str">
        <f t="shared" si="52"/>
        <v>1w</v>
      </c>
      <c r="Z1232" s="93">
        <f>_xll.qlCalendarAdvance(Calendar,Z1231,Y1232,"f",FALSE)</f>
        <v>47808</v>
      </c>
      <c r="AA1232" s="117">
        <f>_xll.qlCalendarAdvance(Calendar,Z1232,NDays&amp;"D")</f>
        <v>47812</v>
      </c>
      <c r="AB1232" s="92">
        <v>2.2161356019836521E-2</v>
      </c>
      <c r="AC1232" s="101">
        <v>2.2103927680525715E-2</v>
      </c>
    </row>
    <row r="1233" spans="25:29" x14ac:dyDescent="0.2">
      <c r="Y1233" s="105" t="str">
        <f t="shared" si="52"/>
        <v>1w</v>
      </c>
      <c r="Z1233" s="93">
        <f>_xll.qlCalendarAdvance(Calendar,Z1232,Y1233,"f",FALSE)</f>
        <v>47815</v>
      </c>
      <c r="AA1233" s="117">
        <f>_xll.qlCalendarAdvance(Calendar,Z1233,NDays&amp;"D")</f>
        <v>47819</v>
      </c>
      <c r="AB1233" s="92">
        <v>2.2156018017506694E-2</v>
      </c>
      <c r="AC1233" s="101">
        <v>2.2099302347289296E-2</v>
      </c>
    </row>
    <row r="1234" spans="25:29" x14ac:dyDescent="0.2">
      <c r="Y1234" s="105" t="str">
        <f t="shared" si="52"/>
        <v>1w</v>
      </c>
      <c r="Z1234" s="93">
        <f>_xll.qlCalendarAdvance(Calendar,Z1233,Y1234,"f",FALSE)</f>
        <v>47822</v>
      </c>
      <c r="AA1234" s="117">
        <f>_xll.qlCalendarAdvance(Calendar,Z1234,NDays&amp;"D")</f>
        <v>47826</v>
      </c>
      <c r="AB1234" s="92">
        <v>2.2150628891641572E-2</v>
      </c>
      <c r="AC1234" s="101">
        <v>2.2094626439468357E-2</v>
      </c>
    </row>
    <row r="1235" spans="25:29" x14ac:dyDescent="0.2">
      <c r="Y1235" s="105" t="str">
        <f t="shared" si="52"/>
        <v>1w</v>
      </c>
      <c r="Z1235" s="93">
        <f>_xll.qlCalendarAdvance(Calendar,Z1234,Y1235,"f",FALSE)</f>
        <v>47829</v>
      </c>
      <c r="AA1235" s="117">
        <f>_xll.qlCalendarAdvance(Calendar,Z1235,NDays&amp;"D")</f>
        <v>47833</v>
      </c>
      <c r="AB1235" s="92">
        <v>2.2145188642654887E-2</v>
      </c>
      <c r="AC1235" s="101">
        <v>2.2089899957222769E-2</v>
      </c>
    </row>
    <row r="1236" spans="25:29" x14ac:dyDescent="0.2">
      <c r="Y1236" s="105" t="str">
        <f t="shared" si="52"/>
        <v>1w</v>
      </c>
      <c r="Z1236" s="93">
        <f>_xll.qlCalendarAdvance(Calendar,Z1235,Y1236,"f",FALSE)</f>
        <v>47836</v>
      </c>
      <c r="AA1236" s="117">
        <f>_xll.qlCalendarAdvance(Calendar,Z1236,NDays&amp;"D")</f>
        <v>47840</v>
      </c>
      <c r="AB1236" s="92">
        <v>2.2139697270962575E-2</v>
      </c>
      <c r="AC1236" s="101">
        <v>2.2085122900392662E-2</v>
      </c>
    </row>
    <row r="1237" spans="25:29" x14ac:dyDescent="0.2">
      <c r="Y1237" s="105" t="str">
        <f t="shared" ref="Y1237:Y1300" si="53">Y1236</f>
        <v>1w</v>
      </c>
      <c r="Z1237" s="93">
        <f>_xll.qlCalendarAdvance(Calendar,Z1236,Y1237,"f",FALSE)</f>
        <v>47844</v>
      </c>
      <c r="AA1237" s="117">
        <f>_xll.qlCalendarAdvance(Calendar,Z1237,NDays&amp;"D")</f>
        <v>47848</v>
      </c>
      <c r="AB1237" s="92">
        <v>2.2133094828692908E-2</v>
      </c>
      <c r="AC1237" s="101">
        <v>2.2079931142009457E-2</v>
      </c>
    </row>
    <row r="1238" spans="25:29" x14ac:dyDescent="0.2">
      <c r="Y1238" s="105" t="str">
        <f t="shared" si="53"/>
        <v>1w</v>
      </c>
      <c r="Z1238" s="93">
        <f>_xll.qlCalendarAdvance(Calendar,Z1237,Y1238,"f",FALSE)</f>
        <v>47851</v>
      </c>
      <c r="AA1238" s="117">
        <f>_xll.qlCalendarAdvance(Calendar,Z1238,NDays&amp;"D")</f>
        <v>47855</v>
      </c>
      <c r="AB1238" s="92">
        <v>2.2127497903441252E-2</v>
      </c>
      <c r="AC1238" s="101">
        <v>2.207471604821265E-2</v>
      </c>
    </row>
    <row r="1239" spans="25:29" x14ac:dyDescent="0.2">
      <c r="Y1239" s="105" t="str">
        <f t="shared" si="53"/>
        <v>1w</v>
      </c>
      <c r="Z1239" s="93">
        <f>_xll.qlCalendarAdvance(Calendar,Z1238,Y1239,"f",FALSE)</f>
        <v>47858</v>
      </c>
      <c r="AA1239" s="117">
        <f>_xll.qlCalendarAdvance(Calendar,Z1239,NDays&amp;"D")</f>
        <v>47862</v>
      </c>
      <c r="AB1239" s="92">
        <v>2.2121849859827895E-2</v>
      </c>
      <c r="AC1239" s="101">
        <v>2.2069780042928144E-2</v>
      </c>
    </row>
    <row r="1240" spans="25:29" x14ac:dyDescent="0.2">
      <c r="Y1240" s="105" t="str">
        <f t="shared" si="53"/>
        <v>1w</v>
      </c>
      <c r="Z1240" s="93">
        <f>_xll.qlCalendarAdvance(Calendar,Z1239,Y1240,"f",FALSE)</f>
        <v>47865</v>
      </c>
      <c r="AA1240" s="117">
        <f>_xll.qlCalendarAdvance(Calendar,Z1240,NDays&amp;"D")</f>
        <v>47869</v>
      </c>
      <c r="AB1240" s="92">
        <v>2.2116150698283432E-2</v>
      </c>
      <c r="AC1240" s="101">
        <v>2.2064793463139054E-2</v>
      </c>
    </row>
    <row r="1241" spans="25:29" x14ac:dyDescent="0.2">
      <c r="Y1241" s="105" t="str">
        <f t="shared" si="53"/>
        <v>1w</v>
      </c>
      <c r="Z1241" s="93">
        <f>_xll.qlCalendarAdvance(Calendar,Z1240,Y1241,"f",FALSE)</f>
        <v>47872</v>
      </c>
      <c r="AA1241" s="117">
        <f>_xll.qlCalendarAdvance(Calendar,Z1241,NDays&amp;"D")</f>
        <v>47876</v>
      </c>
      <c r="AB1241" s="92">
        <v>2.2110400419243764E-2</v>
      </c>
      <c r="AC1241" s="101">
        <v>2.2059756309005252E-2</v>
      </c>
    </row>
    <row r="1242" spans="25:29" x14ac:dyDescent="0.2">
      <c r="Y1242" s="105" t="str">
        <f t="shared" si="53"/>
        <v>1w</v>
      </c>
      <c r="Z1242" s="93">
        <f>_xll.qlCalendarAdvance(Calendar,Z1241,Y1242,"f",FALSE)</f>
        <v>47879</v>
      </c>
      <c r="AA1242" s="117">
        <f>_xll.qlCalendarAdvance(Calendar,Z1242,NDays&amp;"D")</f>
        <v>47883</v>
      </c>
      <c r="AB1242" s="92">
        <v>2.2104599023147431E-2</v>
      </c>
      <c r="AC1242" s="101">
        <v>2.2054668580286929E-2</v>
      </c>
    </row>
    <row r="1243" spans="25:29" x14ac:dyDescent="0.2">
      <c r="Y1243" s="105" t="str">
        <f t="shared" si="53"/>
        <v>1w</v>
      </c>
      <c r="Z1243" s="93">
        <f>_xll.qlCalendarAdvance(Calendar,Z1242,Y1243,"f",FALSE)</f>
        <v>47886</v>
      </c>
      <c r="AA1243" s="117">
        <f>_xll.qlCalendarAdvance(Calendar,Z1243,NDays&amp;"D")</f>
        <v>47890</v>
      </c>
      <c r="AB1243" s="92">
        <v>2.2098746510435627E-2</v>
      </c>
      <c r="AC1243" s="101">
        <v>2.2049530277064022E-2</v>
      </c>
    </row>
    <row r="1244" spans="25:29" x14ac:dyDescent="0.2">
      <c r="Y1244" s="105" t="str">
        <f t="shared" si="53"/>
        <v>1w</v>
      </c>
      <c r="Z1244" s="93">
        <f>_xll.qlCalendarAdvance(Calendar,Z1243,Y1244,"f",FALSE)</f>
        <v>47893</v>
      </c>
      <c r="AA1244" s="117">
        <f>_xll.qlCalendarAdvance(Calendar,Z1244,NDays&amp;"D")</f>
        <v>47897</v>
      </c>
      <c r="AB1244" s="92">
        <v>2.209284288155661E-2</v>
      </c>
      <c r="AC1244" s="101">
        <v>2.2044341399416467E-2</v>
      </c>
    </row>
    <row r="1245" spans="25:29" x14ac:dyDescent="0.2">
      <c r="Y1245" s="105" t="str">
        <f t="shared" si="53"/>
        <v>1w</v>
      </c>
      <c r="Z1245" s="93">
        <f>_xll.qlCalendarAdvance(Calendar,Z1244,Y1245,"f",FALSE)</f>
        <v>47900</v>
      </c>
      <c r="AA1245" s="117">
        <f>_xll.qlCalendarAdvance(Calendar,Z1245,NDays&amp;"D")</f>
        <v>47904</v>
      </c>
      <c r="AB1245" s="92">
        <v>2.2086888136959085E-2</v>
      </c>
      <c r="AC1245" s="101">
        <v>2.2039101947264328E-2</v>
      </c>
    </row>
    <row r="1246" spans="25:29" x14ac:dyDescent="0.2">
      <c r="Y1246" s="105" t="str">
        <f t="shared" si="53"/>
        <v>1w</v>
      </c>
      <c r="Z1246" s="93">
        <f>_xll.qlCalendarAdvance(Calendar,Z1245,Y1246,"f",FALSE)</f>
        <v>47907</v>
      </c>
      <c r="AA1246" s="117">
        <f>_xll.qlCalendarAdvance(Calendar,Z1246,NDays&amp;"D")</f>
        <v>47911</v>
      </c>
      <c r="AB1246" s="92">
        <v>2.2081564970105751E-2</v>
      </c>
      <c r="AC1246" s="101">
        <v>2.2033811920527668E-2</v>
      </c>
    </row>
    <row r="1247" spans="25:29" x14ac:dyDescent="0.2">
      <c r="Y1247" s="105" t="str">
        <f t="shared" si="53"/>
        <v>1w</v>
      </c>
      <c r="Z1247" s="93">
        <f>_xll.qlCalendarAdvance(Calendar,Z1246,Y1247,"f",FALSE)</f>
        <v>47914</v>
      </c>
      <c r="AA1247" s="117">
        <f>_xll.qlCalendarAdvance(Calendar,Z1247,NDays&amp;"D")</f>
        <v>47918</v>
      </c>
      <c r="AB1247" s="92">
        <v>2.2075495932195696E-2</v>
      </c>
      <c r="AC1247" s="101">
        <v>2.2028471319446297E-2</v>
      </c>
    </row>
    <row r="1248" spans="25:29" x14ac:dyDescent="0.2">
      <c r="Y1248" s="105" t="str">
        <f t="shared" si="53"/>
        <v>1w</v>
      </c>
      <c r="Z1248" s="93">
        <f>_xll.qlCalendarAdvance(Calendar,Z1247,Y1248,"f",FALSE)</f>
        <v>47921</v>
      </c>
      <c r="AA1248" s="117">
        <f>_xll.qlCalendarAdvance(Calendar,Z1248,NDays&amp;"D")</f>
        <v>47925</v>
      </c>
      <c r="AB1248" s="92">
        <v>2.2069375770997865E-2</v>
      </c>
      <c r="AC1248" s="101">
        <v>2.2023080143780405E-2</v>
      </c>
    </row>
    <row r="1249" spans="25:29" x14ac:dyDescent="0.2">
      <c r="Y1249" s="105" t="str">
        <f t="shared" si="53"/>
        <v>1w</v>
      </c>
      <c r="Z1249" s="93">
        <f>_xll.qlCalendarAdvance(Calendar,Z1248,Y1249,"f",FALSE)</f>
        <v>47928</v>
      </c>
      <c r="AA1249" s="117">
        <f>_xll.qlCalendarAdvance(Calendar,Z1249,NDays&amp;"D")</f>
        <v>47932</v>
      </c>
      <c r="AB1249" s="92">
        <v>2.2063204486985791E-2</v>
      </c>
      <c r="AC1249" s="101">
        <v>2.2017638393769801E-2</v>
      </c>
    </row>
    <row r="1250" spans="25:29" x14ac:dyDescent="0.2">
      <c r="Y1250" s="105" t="str">
        <f t="shared" si="53"/>
        <v>1w</v>
      </c>
      <c r="Z1250" s="93">
        <f>_xll.qlCalendarAdvance(Calendar,Z1249,Y1250,"f",FALSE)</f>
        <v>47935</v>
      </c>
      <c r="AA1250" s="117">
        <f>_xll.qlCalendarAdvance(Calendar,Z1250,NDays&amp;"D")</f>
        <v>47939</v>
      </c>
      <c r="AB1250" s="92">
        <v>2.205677099517174E-2</v>
      </c>
      <c r="AC1250" s="101">
        <v>2.2012146069174676E-2</v>
      </c>
    </row>
    <row r="1251" spans="25:29" x14ac:dyDescent="0.2">
      <c r="Y1251" s="105" t="str">
        <f t="shared" si="53"/>
        <v>1w</v>
      </c>
      <c r="Z1251" s="93">
        <f>_xll.qlCalendarAdvance(Calendar,Z1250,Y1251,"f",FALSE)</f>
        <v>47942</v>
      </c>
      <c r="AA1251" s="117">
        <f>_xll.qlCalendarAdvance(Calendar,Z1251,NDays&amp;"D")</f>
        <v>47946</v>
      </c>
      <c r="AB1251" s="92">
        <v>2.2050501500410578E-2</v>
      </c>
      <c r="AC1251" s="101">
        <v>2.2006603170154904E-2</v>
      </c>
    </row>
    <row r="1252" spans="25:29" x14ac:dyDescent="0.2">
      <c r="Y1252" s="105" t="str">
        <f t="shared" si="53"/>
        <v>1w</v>
      </c>
      <c r="Z1252" s="93">
        <f>_xll.qlCalendarAdvance(Calendar,Z1251,Y1252,"f",FALSE)</f>
        <v>47953</v>
      </c>
      <c r="AA1252" s="117">
        <f>_xll.qlCalendarAdvance(Calendar,Z1252,NDays&amp;"D")</f>
        <v>47955</v>
      </c>
      <c r="AB1252" s="92">
        <v>2.2042365608752713E-2</v>
      </c>
      <c r="AC1252" s="101">
        <v>2.1999402272196988E-2</v>
      </c>
    </row>
    <row r="1253" spans="25:29" x14ac:dyDescent="0.2">
      <c r="Y1253" s="105" t="str">
        <f t="shared" si="53"/>
        <v>1w</v>
      </c>
      <c r="Z1253" s="93">
        <f>_xll.qlCalendarAdvance(Calendar,Z1252,Y1253,"f",FALSE)</f>
        <v>47960</v>
      </c>
      <c r="AA1253" s="117">
        <f>_xll.qlCalendarAdvance(Calendar,Z1253,NDays&amp;"D")</f>
        <v>47962</v>
      </c>
      <c r="AB1253" s="92">
        <v>2.2035979272657567E-2</v>
      </c>
      <c r="AC1253" s="101">
        <v>2.1993743774366692E-2</v>
      </c>
    </row>
    <row r="1254" spans="25:29" x14ac:dyDescent="0.2">
      <c r="Y1254" s="105" t="str">
        <f t="shared" si="53"/>
        <v>1w</v>
      </c>
      <c r="Z1254" s="93">
        <f>_xll.qlCalendarAdvance(Calendar,Z1253,Y1254,"f",FALSE)</f>
        <v>47967</v>
      </c>
      <c r="AA1254" s="117">
        <f>_xll.qlCalendarAdvance(Calendar,Z1254,NDays&amp;"D")</f>
        <v>47970</v>
      </c>
      <c r="AB1254" s="92">
        <v>2.2029004032670319E-2</v>
      </c>
      <c r="AC1254" s="101">
        <v>2.1987736714743633E-2</v>
      </c>
    </row>
    <row r="1255" spans="25:29" x14ac:dyDescent="0.2">
      <c r="Y1255" s="105" t="str">
        <f t="shared" si="53"/>
        <v>1w</v>
      </c>
      <c r="Z1255" s="93">
        <f>_xll.qlCalendarAdvance(Calendar,Z1254,Y1255,"f",FALSE)</f>
        <v>47974</v>
      </c>
      <c r="AA1255" s="117">
        <f>_xll.qlCalendarAdvance(Calendar,Z1255,NDays&amp;"D")</f>
        <v>47976</v>
      </c>
      <c r="AB1255" s="92">
        <v>2.2023621308468948E-2</v>
      </c>
      <c r="AC1255" s="101">
        <v>2.198227505551209E-2</v>
      </c>
    </row>
    <row r="1256" spans="25:29" x14ac:dyDescent="0.2">
      <c r="Y1256" s="105" t="str">
        <f t="shared" si="53"/>
        <v>1w</v>
      </c>
      <c r="Z1256" s="93">
        <f>_xll.qlCalendarAdvance(Calendar,Z1255,Y1256,"f",FALSE)</f>
        <v>47981</v>
      </c>
      <c r="AA1256" s="117">
        <f>_xll.qlCalendarAdvance(Calendar,Z1256,NDays&amp;"D")</f>
        <v>47983</v>
      </c>
      <c r="AB1256" s="92">
        <v>2.2017069473388027E-2</v>
      </c>
      <c r="AC1256" s="101">
        <v>2.1976464834327913E-2</v>
      </c>
    </row>
    <row r="1257" spans="25:29" x14ac:dyDescent="0.2">
      <c r="Y1257" s="105" t="str">
        <f t="shared" si="53"/>
        <v>1w</v>
      </c>
      <c r="Z1257" s="93">
        <f>_xll.qlCalendarAdvance(Calendar,Z1256,Y1257,"f",FALSE)</f>
        <v>47988</v>
      </c>
      <c r="AA1257" s="117">
        <f>_xll.qlCalendarAdvance(Calendar,Z1257,NDays&amp;"D")</f>
        <v>47990</v>
      </c>
      <c r="AB1257" s="92">
        <v>2.2010466513670106E-2</v>
      </c>
      <c r="AC1257" s="101">
        <v>2.1970604038639152E-2</v>
      </c>
    </row>
    <row r="1258" spans="25:29" x14ac:dyDescent="0.2">
      <c r="Y1258" s="105" t="str">
        <f t="shared" si="53"/>
        <v>1w</v>
      </c>
      <c r="Z1258" s="93">
        <f>_xll.qlCalendarAdvance(Calendar,Z1257,Y1258,"f",FALSE)</f>
        <v>47995</v>
      </c>
      <c r="AA1258" s="117">
        <f>_xll.qlCalendarAdvance(Calendar,Z1258,NDays&amp;"D")</f>
        <v>47997</v>
      </c>
      <c r="AB1258" s="92">
        <v>2.2003280843015387E-2</v>
      </c>
      <c r="AC1258" s="101">
        <v>2.1964692668525743E-2</v>
      </c>
    </row>
    <row r="1259" spans="25:29" x14ac:dyDescent="0.2">
      <c r="Y1259" s="105" t="str">
        <f t="shared" si="53"/>
        <v>1w</v>
      </c>
      <c r="Z1259" s="93">
        <f>_xll.qlCalendarAdvance(Calendar,Z1258,Y1259,"f",FALSE)</f>
        <v>48002</v>
      </c>
      <c r="AA1259" s="117">
        <f>_xll.qlCalendarAdvance(Calendar,Z1259,NDays&amp;"D")</f>
        <v>48004</v>
      </c>
      <c r="AB1259" s="92">
        <v>2.1996587810782901E-2</v>
      </c>
      <c r="AC1259" s="101">
        <v>2.1958730723987685E-2</v>
      </c>
    </row>
    <row r="1260" spans="25:29" x14ac:dyDescent="0.2">
      <c r="Y1260" s="105" t="str">
        <f t="shared" si="53"/>
        <v>1w</v>
      </c>
      <c r="Z1260" s="93">
        <f>_xll.qlCalendarAdvance(Calendar,Z1259,Y1260,"f",FALSE)</f>
        <v>48009</v>
      </c>
      <c r="AA1260" s="117">
        <f>_xll.qlCalendarAdvance(Calendar,Z1260,NDays&amp;"D")</f>
        <v>48011</v>
      </c>
      <c r="AB1260" s="92">
        <v>2.1989843664311018E-2</v>
      </c>
      <c r="AC1260" s="101">
        <v>2.1952718205024979E-2</v>
      </c>
    </row>
    <row r="1261" spans="25:29" x14ac:dyDescent="0.2">
      <c r="Y1261" s="105" t="str">
        <f t="shared" si="53"/>
        <v>1w</v>
      </c>
      <c r="Z1261" s="93">
        <f>_xll.qlCalendarAdvance(Calendar,Z1260,Y1261,"f",FALSE)</f>
        <v>48016</v>
      </c>
      <c r="AA1261" s="117">
        <f>_xll.qlCalendarAdvance(Calendar,Z1261,NDays&amp;"D")</f>
        <v>48018</v>
      </c>
      <c r="AB1261" s="92">
        <v>2.1983048404119538E-2</v>
      </c>
      <c r="AC1261" s="101">
        <v>2.1946655111557689E-2</v>
      </c>
    </row>
    <row r="1262" spans="25:29" x14ac:dyDescent="0.2">
      <c r="Y1262" s="105" t="str">
        <f t="shared" si="53"/>
        <v>1w</v>
      </c>
      <c r="Z1262" s="93">
        <f>_xll.qlCalendarAdvance(Calendar,Z1261,Y1262,"f",FALSE)</f>
        <v>48023</v>
      </c>
      <c r="AA1262" s="117">
        <f>_xll.qlCalendarAdvance(Calendar,Z1262,NDays&amp;"D")</f>
        <v>48025</v>
      </c>
      <c r="AB1262" s="92">
        <v>2.1976684863794817E-2</v>
      </c>
      <c r="AC1262" s="101">
        <v>2.1940541443745687E-2</v>
      </c>
    </row>
    <row r="1263" spans="25:29" x14ac:dyDescent="0.2">
      <c r="Y1263" s="105" t="str">
        <f t="shared" si="53"/>
        <v>1w</v>
      </c>
      <c r="Z1263" s="93">
        <f>_xll.qlCalendarAdvance(Calendar,Z1262,Y1263,"f",FALSE)</f>
        <v>48030</v>
      </c>
      <c r="AA1263" s="117">
        <f>_xll.qlCalendarAdvance(Calendar,Z1263,NDays&amp;"D")</f>
        <v>48032</v>
      </c>
      <c r="AB1263" s="92">
        <v>2.196977516726761E-2</v>
      </c>
      <c r="AC1263" s="101">
        <v>2.1934377201429101E-2</v>
      </c>
    </row>
    <row r="1264" spans="25:29" x14ac:dyDescent="0.2">
      <c r="Y1264" s="105" t="str">
        <f t="shared" si="53"/>
        <v>1w</v>
      </c>
      <c r="Z1264" s="93">
        <f>_xll.qlCalendarAdvance(Calendar,Z1263,Y1264,"f",FALSE)</f>
        <v>48037</v>
      </c>
      <c r="AA1264" s="117">
        <f>_xll.qlCalendarAdvance(Calendar,Z1264,NDays&amp;"D")</f>
        <v>48039</v>
      </c>
      <c r="AB1264" s="92">
        <v>2.196281434981227E-2</v>
      </c>
      <c r="AC1264" s="101">
        <v>2.192816238460793E-2</v>
      </c>
    </row>
    <row r="1265" spans="25:29" x14ac:dyDescent="0.2">
      <c r="Y1265" s="105" t="str">
        <f t="shared" si="53"/>
        <v>1w</v>
      </c>
      <c r="Z1265" s="93">
        <f>_xll.qlCalendarAdvance(Calendar,Z1264,Y1265,"f",FALSE)</f>
        <v>48044</v>
      </c>
      <c r="AA1265" s="117">
        <f>_xll.qlCalendarAdvance(Calendar,Z1265,NDays&amp;"D")</f>
        <v>48046</v>
      </c>
      <c r="AB1265" s="92">
        <v>2.1955802411972446E-2</v>
      </c>
      <c r="AC1265" s="101">
        <v>2.1921896993521983E-2</v>
      </c>
    </row>
    <row r="1266" spans="25:29" x14ac:dyDescent="0.2">
      <c r="Y1266" s="105" t="str">
        <f t="shared" si="53"/>
        <v>1w</v>
      </c>
      <c r="Z1266" s="93">
        <f>_xll.qlCalendarAdvance(Calendar,Z1265,Y1266,"f",FALSE)</f>
        <v>48051</v>
      </c>
      <c r="AA1266" s="117">
        <f>_xll.qlCalendarAdvance(Calendar,Z1266,NDays&amp;"D")</f>
        <v>48053</v>
      </c>
      <c r="AB1266" s="92">
        <v>2.1948739354297805E-2</v>
      </c>
      <c r="AC1266" s="101">
        <v>2.1915581027931452E-2</v>
      </c>
    </row>
    <row r="1267" spans="25:29" x14ac:dyDescent="0.2">
      <c r="Y1267" s="105" t="str">
        <f t="shared" si="53"/>
        <v>1w</v>
      </c>
      <c r="Z1267" s="93">
        <f>_xll.qlCalendarAdvance(Calendar,Z1266,Y1267,"f",FALSE)</f>
        <v>48058</v>
      </c>
      <c r="AA1267" s="117">
        <f>_xll.qlCalendarAdvance(Calendar,Z1267,NDays&amp;"D")</f>
        <v>48060</v>
      </c>
      <c r="AB1267" s="92">
        <v>2.1941203484480053E-2</v>
      </c>
      <c r="AC1267" s="101">
        <v>2.1909214487836337E-2</v>
      </c>
    </row>
    <row r="1268" spans="25:29" x14ac:dyDescent="0.2">
      <c r="Y1268" s="105" t="str">
        <f t="shared" si="53"/>
        <v>1w</v>
      </c>
      <c r="Z1268" s="93">
        <f>_xll.qlCalendarAdvance(Calendar,Z1267,Y1268,"f",FALSE)</f>
        <v>48065</v>
      </c>
      <c r="AA1268" s="117">
        <f>_xll.qlCalendarAdvance(Calendar,Z1268,NDays&amp;"D")</f>
        <v>48067</v>
      </c>
      <c r="AB1268" s="92">
        <v>2.1934459881664231E-2</v>
      </c>
      <c r="AC1268" s="101">
        <v>2.190279737339651E-2</v>
      </c>
    </row>
    <row r="1269" spans="25:29" x14ac:dyDescent="0.2">
      <c r="Y1269" s="105" t="str">
        <f t="shared" si="53"/>
        <v>1w</v>
      </c>
      <c r="Z1269" s="93">
        <f>_xll.qlCalendarAdvance(Calendar,Z1268,Y1269,"f",FALSE)</f>
        <v>48072</v>
      </c>
      <c r="AA1269" s="117">
        <f>_xll.qlCalendarAdvance(Calendar,Z1269,NDays&amp;"D")</f>
        <v>48074</v>
      </c>
      <c r="AB1269" s="92">
        <v>2.1927243467823973E-2</v>
      </c>
      <c r="AC1269" s="101">
        <v>2.1896329684452098E-2</v>
      </c>
    </row>
    <row r="1270" spans="25:29" x14ac:dyDescent="0.2">
      <c r="Y1270" s="105" t="str">
        <f t="shared" si="53"/>
        <v>1w</v>
      </c>
      <c r="Z1270" s="93">
        <f>_xll.qlCalendarAdvance(Calendar,Z1269,Y1270,"f",FALSE)</f>
        <v>48079</v>
      </c>
      <c r="AA1270" s="117">
        <f>_xll.qlCalendarAdvance(Calendar,Z1270,NDays&amp;"D")</f>
        <v>48081</v>
      </c>
      <c r="AB1270" s="92">
        <v>2.1919975936387538E-2</v>
      </c>
      <c r="AC1270" s="101">
        <v>2.1889811421083039E-2</v>
      </c>
    </row>
    <row r="1271" spans="25:29" x14ac:dyDescent="0.2">
      <c r="Y1271" s="105" t="str">
        <f t="shared" si="53"/>
        <v>1w</v>
      </c>
      <c r="Z1271" s="93">
        <f>_xll.qlCalendarAdvance(Calendar,Z1270,Y1271,"f",FALSE)</f>
        <v>48086</v>
      </c>
      <c r="AA1271" s="117">
        <f>_xll.qlCalendarAdvance(Calendar,Z1271,NDays&amp;"D")</f>
        <v>48088</v>
      </c>
      <c r="AB1271" s="92">
        <v>2.1912284664858242E-2</v>
      </c>
      <c r="AC1271" s="101">
        <v>2.1883242583449203E-2</v>
      </c>
    </row>
    <row r="1272" spans="25:29" x14ac:dyDescent="0.2">
      <c r="Y1272" s="105" t="str">
        <f t="shared" si="53"/>
        <v>1w</v>
      </c>
      <c r="Z1272" s="93">
        <f>_xll.qlCalendarAdvance(Calendar,Z1271,Y1272,"f",FALSE)</f>
        <v>48093</v>
      </c>
      <c r="AA1272" s="117">
        <f>_xll.qlCalendarAdvance(Calendar,Z1272,NDays&amp;"D")</f>
        <v>48095</v>
      </c>
      <c r="AB1272" s="92">
        <v>2.1904806304557715E-2</v>
      </c>
      <c r="AC1272" s="101">
        <v>2.1876623171310783E-2</v>
      </c>
    </row>
    <row r="1273" spans="25:29" x14ac:dyDescent="0.2">
      <c r="Y1273" s="105" t="str">
        <f t="shared" si="53"/>
        <v>1w</v>
      </c>
      <c r="Z1273" s="93">
        <f>_xll.qlCalendarAdvance(Calendar,Z1272,Y1273,"f",FALSE)</f>
        <v>48100</v>
      </c>
      <c r="AA1273" s="117">
        <f>_xll.qlCalendarAdvance(Calendar,Z1273,NDays&amp;"D")</f>
        <v>48102</v>
      </c>
      <c r="AB1273" s="92">
        <v>2.1897401820163739E-2</v>
      </c>
      <c r="AC1273" s="101">
        <v>2.1869953184747715E-2</v>
      </c>
    </row>
    <row r="1274" spans="25:29" x14ac:dyDescent="0.2">
      <c r="Y1274" s="105" t="str">
        <f t="shared" si="53"/>
        <v>1w</v>
      </c>
      <c r="Z1274" s="93">
        <f>_xll.qlCalendarAdvance(Calendar,Z1273,Y1274,"f",FALSE)</f>
        <v>48107</v>
      </c>
      <c r="AA1274" s="117">
        <f>_xll.qlCalendarAdvance(Calendar,Z1274,NDays&amp;"D")</f>
        <v>48109</v>
      </c>
      <c r="AB1274" s="92">
        <v>2.1889946232068271E-2</v>
      </c>
      <c r="AC1274" s="101">
        <v>2.1863232623759998E-2</v>
      </c>
    </row>
    <row r="1275" spans="25:29" x14ac:dyDescent="0.2">
      <c r="Y1275" s="105" t="str">
        <f t="shared" si="53"/>
        <v>1w</v>
      </c>
      <c r="Z1275" s="93">
        <f>_xll.qlCalendarAdvance(Calendar,Z1274,Y1275,"f",FALSE)</f>
        <v>48114</v>
      </c>
      <c r="AA1275" s="117">
        <f>_xll.qlCalendarAdvance(Calendar,Z1275,NDays&amp;"D")</f>
        <v>48116</v>
      </c>
      <c r="AB1275" s="92">
        <v>2.1882439540841406E-2</v>
      </c>
      <c r="AC1275" s="101">
        <v>2.1856461488347634E-2</v>
      </c>
    </row>
    <row r="1276" spans="25:29" x14ac:dyDescent="0.2">
      <c r="Y1276" s="105" t="str">
        <f t="shared" si="53"/>
        <v>1w</v>
      </c>
      <c r="Z1276" s="93">
        <f>_xll.qlCalendarAdvance(Calendar,Z1275,Y1276,"f",FALSE)</f>
        <v>48121</v>
      </c>
      <c r="AA1276" s="117">
        <f>_xll.qlCalendarAdvance(Calendar,Z1276,NDays&amp;"D")</f>
        <v>48123</v>
      </c>
      <c r="AB1276" s="92">
        <v>2.1874986220590673E-2</v>
      </c>
      <c r="AC1276" s="101">
        <v>2.1849639778590557E-2</v>
      </c>
    </row>
    <row r="1277" spans="25:29" x14ac:dyDescent="0.2">
      <c r="Y1277" s="105" t="str">
        <f t="shared" si="53"/>
        <v>1w</v>
      </c>
      <c r="Z1277" s="93">
        <f>_xll.qlCalendarAdvance(Calendar,Z1276,Y1277,"f",FALSE)</f>
        <v>48128</v>
      </c>
      <c r="AA1277" s="117">
        <f>_xll.qlCalendarAdvance(Calendar,Z1277,NDays&amp;"D")</f>
        <v>48130</v>
      </c>
      <c r="AB1277" s="92">
        <v>2.1867373214827828E-2</v>
      </c>
      <c r="AC1277" s="101">
        <v>2.1842767494408832E-2</v>
      </c>
    </row>
    <row r="1278" spans="25:29" x14ac:dyDescent="0.2">
      <c r="Y1278" s="105" t="str">
        <f t="shared" si="53"/>
        <v>1w</v>
      </c>
      <c r="Z1278" s="93">
        <f>_xll.qlCalendarAdvance(Calendar,Z1277,Y1278,"f",FALSE)</f>
        <v>48135</v>
      </c>
      <c r="AA1278" s="117">
        <f>_xll.qlCalendarAdvance(Calendar,Z1278,NDays&amp;"D")</f>
        <v>48137</v>
      </c>
      <c r="AB1278" s="92">
        <v>2.1859709104788762E-2</v>
      </c>
      <c r="AC1278" s="101">
        <v>2.1835844635802459E-2</v>
      </c>
    </row>
    <row r="1279" spans="25:29" x14ac:dyDescent="0.2">
      <c r="Y1279" s="105" t="str">
        <f t="shared" si="53"/>
        <v>1w</v>
      </c>
      <c r="Z1279" s="93">
        <f>_xll.qlCalendarAdvance(Calendar,Z1278,Y1279,"f",FALSE)</f>
        <v>48142</v>
      </c>
      <c r="AA1279" s="117">
        <f>_xll.qlCalendarAdvance(Calendar,Z1279,NDays&amp;"D")</f>
        <v>48144</v>
      </c>
      <c r="AB1279" s="92">
        <v>2.1851993891064039E-2</v>
      </c>
      <c r="AC1279" s="101">
        <v>2.1828871202851374E-2</v>
      </c>
    </row>
    <row r="1280" spans="25:29" x14ac:dyDescent="0.2">
      <c r="Y1280" s="105" t="str">
        <f t="shared" si="53"/>
        <v>1w</v>
      </c>
      <c r="Z1280" s="93">
        <f>_xll.qlCalendarAdvance(Calendar,Z1279,Y1280,"f",FALSE)</f>
        <v>48149</v>
      </c>
      <c r="AA1280" s="117">
        <f>_xll.qlCalendarAdvance(Calendar,Z1280,NDays&amp;"D")</f>
        <v>48151</v>
      </c>
      <c r="AB1280" s="92">
        <v>2.1844227574249909E-2</v>
      </c>
      <c r="AC1280" s="101">
        <v>2.1821847195475641E-2</v>
      </c>
    </row>
    <row r="1281" spans="25:29" x14ac:dyDescent="0.2">
      <c r="Y1281" s="105" t="str">
        <f t="shared" si="53"/>
        <v>1w</v>
      </c>
      <c r="Z1281" s="93">
        <f>_xll.qlCalendarAdvance(Calendar,Z1280,Y1281,"f",FALSE)</f>
        <v>48156</v>
      </c>
      <c r="AA1281" s="117">
        <f>_xll.qlCalendarAdvance(Calendar,Z1281,NDays&amp;"D")</f>
        <v>48158</v>
      </c>
      <c r="AB1281" s="92">
        <v>2.1836326260260577E-2</v>
      </c>
      <c r="AC1281" s="101">
        <v>2.181477261367526E-2</v>
      </c>
    </row>
    <row r="1282" spans="25:29" x14ac:dyDescent="0.2">
      <c r="Y1282" s="105" t="str">
        <f t="shared" si="53"/>
        <v>1w</v>
      </c>
      <c r="Z1282" s="93">
        <f>_xll.qlCalendarAdvance(Calendar,Z1281,Y1282,"f",FALSE)</f>
        <v>48163</v>
      </c>
      <c r="AA1282" s="117">
        <f>_xll.qlCalendarAdvance(Calendar,Z1282,NDays&amp;"D")</f>
        <v>48165</v>
      </c>
      <c r="AB1282" s="92">
        <v>2.1828461863459981E-2</v>
      </c>
      <c r="AC1282" s="101">
        <v>2.1807647457530166E-2</v>
      </c>
    </row>
    <row r="1283" spans="25:29" x14ac:dyDescent="0.2">
      <c r="Y1283" s="105" t="str">
        <f t="shared" si="53"/>
        <v>1w</v>
      </c>
      <c r="Z1283" s="93">
        <f>_xll.qlCalendarAdvance(Calendar,Z1282,Y1283,"f",FALSE)</f>
        <v>48170</v>
      </c>
      <c r="AA1283" s="117">
        <f>_xll.qlCalendarAdvance(Calendar,Z1283,NDays&amp;"D")</f>
        <v>48172</v>
      </c>
      <c r="AB1283" s="92">
        <v>2.1820546368244653E-2</v>
      </c>
      <c r="AC1283" s="101">
        <v>2.180047172704036E-2</v>
      </c>
    </row>
    <row r="1284" spans="25:29" x14ac:dyDescent="0.2">
      <c r="Y1284" s="105" t="str">
        <f t="shared" si="53"/>
        <v>1w</v>
      </c>
      <c r="Z1284" s="93">
        <f>_xll.qlCalendarAdvance(Calendar,Z1283,Y1284,"f",FALSE)</f>
        <v>48177</v>
      </c>
      <c r="AA1284" s="117">
        <f>_xll.qlCalendarAdvance(Calendar,Z1284,NDays&amp;"D")</f>
        <v>48179</v>
      </c>
      <c r="AB1284" s="92">
        <v>2.1812579775220706E-2</v>
      </c>
      <c r="AC1284" s="101">
        <v>2.1793245422205842E-2</v>
      </c>
    </row>
    <row r="1285" spans="25:29" x14ac:dyDescent="0.2">
      <c r="Y1285" s="105" t="str">
        <f t="shared" si="53"/>
        <v>1w</v>
      </c>
      <c r="Z1285" s="93">
        <f>_xll.qlCalendarAdvance(Calendar,Z1284,Y1285,"f",FALSE)</f>
        <v>48184</v>
      </c>
      <c r="AA1285" s="117">
        <f>_xll.qlCalendarAdvance(Calendar,Z1285,NDays&amp;"D")</f>
        <v>48186</v>
      </c>
      <c r="AB1285" s="92">
        <v>2.1804629464922433E-2</v>
      </c>
      <c r="AC1285" s="101">
        <v>2.1785968542946677E-2</v>
      </c>
    </row>
    <row r="1286" spans="25:29" x14ac:dyDescent="0.2">
      <c r="Y1286" s="105" t="str">
        <f t="shared" si="53"/>
        <v>1w</v>
      </c>
      <c r="Z1286" s="93">
        <f>_xll.qlCalendarAdvance(Calendar,Z1285,Y1286,"f",FALSE)</f>
        <v>48191</v>
      </c>
      <c r="AA1286" s="117">
        <f>_xll.qlCalendarAdvance(Calendar,Z1286,NDays&amp;"D")</f>
        <v>48193</v>
      </c>
      <c r="AB1286" s="92">
        <v>2.1796556542279924E-2</v>
      </c>
      <c r="AC1286" s="101">
        <v>2.1778641089182926E-2</v>
      </c>
    </row>
    <row r="1287" spans="25:29" x14ac:dyDescent="0.2">
      <c r="Y1287" s="105" t="str">
        <f t="shared" si="53"/>
        <v>1w</v>
      </c>
      <c r="Z1287" s="93">
        <f>_xll.qlCalendarAdvance(Calendar,Z1286,Y1287,"f",FALSE)</f>
        <v>48198</v>
      </c>
      <c r="AA1287" s="117">
        <f>_xll.qlCalendarAdvance(Calendar,Z1287,NDays&amp;"D")</f>
        <v>48200</v>
      </c>
      <c r="AB1287" s="92">
        <v>2.178843252082218E-2</v>
      </c>
      <c r="AC1287" s="101">
        <v>2.17712630611544E-2</v>
      </c>
    </row>
    <row r="1288" spans="25:29" x14ac:dyDescent="0.2">
      <c r="Y1288" s="105" t="str">
        <f t="shared" si="53"/>
        <v>1w</v>
      </c>
      <c r="Z1288" s="93">
        <f>_xll.qlCalendarAdvance(Calendar,Z1287,Y1288,"f",FALSE)</f>
        <v>48205</v>
      </c>
      <c r="AA1288" s="117">
        <f>_xll.qlCalendarAdvance(Calendar,Z1288,NDays&amp;"D")</f>
        <v>48211</v>
      </c>
      <c r="AB1288" s="92">
        <v>2.1775562962431844E-2</v>
      </c>
      <c r="AC1288" s="101">
        <v>2.1759566836205835E-2</v>
      </c>
    </row>
    <row r="1289" spans="25:29" x14ac:dyDescent="0.2">
      <c r="Y1289" s="105" t="str">
        <f t="shared" si="53"/>
        <v>1w</v>
      </c>
      <c r="Z1289" s="93">
        <f>_xll.qlCalendarAdvance(Calendar,Z1288,Y1289,"f",FALSE)</f>
        <v>48212</v>
      </c>
      <c r="AA1289" s="117">
        <f>_xll.qlCalendarAdvance(Calendar,Z1289,NDays&amp;"D")</f>
        <v>48215</v>
      </c>
      <c r="AB1289" s="92">
        <v>2.1770801611702563E-2</v>
      </c>
      <c r="AC1289" s="101">
        <v>2.1755523338722327E-2</v>
      </c>
    </row>
    <row r="1290" spans="25:29" x14ac:dyDescent="0.2">
      <c r="Y1290" s="105" t="str">
        <f t="shared" si="53"/>
        <v>1w</v>
      </c>
      <c r="Z1290" s="93">
        <f>_xll.qlCalendarAdvance(Calendar,Z1289,Y1290,"f",FALSE)</f>
        <v>48219</v>
      </c>
      <c r="AA1290" s="117">
        <f>_xll.qlCalendarAdvance(Calendar,Z1290,NDays&amp;"D")</f>
        <v>48221</v>
      </c>
      <c r="AB1290" s="92">
        <v>2.1763707197587051E-2</v>
      </c>
      <c r="AC1290" s="101">
        <v>2.1748825530840676E-2</v>
      </c>
    </row>
    <row r="1291" spans="25:29" x14ac:dyDescent="0.2">
      <c r="Y1291" s="105" t="str">
        <f t="shared" si="53"/>
        <v>1w</v>
      </c>
      <c r="Z1291" s="93">
        <f>_xll.qlCalendarAdvance(Calendar,Z1290,Y1291,"f",FALSE)</f>
        <v>48226</v>
      </c>
      <c r="AA1291" s="117">
        <f>_xll.qlCalendarAdvance(Calendar,Z1291,NDays&amp;"D")</f>
        <v>48228</v>
      </c>
      <c r="AB1291" s="92">
        <v>2.1755382937229992E-2</v>
      </c>
      <c r="AC1291" s="101">
        <v>2.1741245205353366E-2</v>
      </c>
    </row>
    <row r="1292" spans="25:29" x14ac:dyDescent="0.2">
      <c r="Y1292" s="105" t="str">
        <f t="shared" si="53"/>
        <v>1w</v>
      </c>
      <c r="Z1292" s="93">
        <f>_xll.qlCalendarAdvance(Calendar,Z1291,Y1292,"f",FALSE)</f>
        <v>48233</v>
      </c>
      <c r="AA1292" s="117">
        <f>_xll.qlCalendarAdvance(Calendar,Z1292,NDays&amp;"D")</f>
        <v>48235</v>
      </c>
      <c r="AB1292" s="92">
        <v>2.1747007584061191E-2</v>
      </c>
      <c r="AC1292" s="101">
        <v>2.1733614305601279E-2</v>
      </c>
    </row>
    <row r="1293" spans="25:29" x14ac:dyDescent="0.2">
      <c r="Y1293" s="105" t="str">
        <f t="shared" si="53"/>
        <v>1w</v>
      </c>
      <c r="Z1293" s="93">
        <f>_xll.qlCalendarAdvance(Calendar,Z1292,Y1293,"f",FALSE)</f>
        <v>48240</v>
      </c>
      <c r="AA1293" s="117">
        <f>_xll.qlCalendarAdvance(Calendar,Z1293,NDays&amp;"D")</f>
        <v>48242</v>
      </c>
      <c r="AB1293" s="92">
        <v>2.1738581138722773E-2</v>
      </c>
      <c r="AC1293" s="101">
        <v>2.1725932831344608E-2</v>
      </c>
    </row>
    <row r="1294" spans="25:29" x14ac:dyDescent="0.2">
      <c r="Y1294" s="105" t="str">
        <f t="shared" si="53"/>
        <v>1w</v>
      </c>
      <c r="Z1294" s="93">
        <f>_xll.qlCalendarAdvance(Calendar,Z1293,Y1294,"f",FALSE)</f>
        <v>48247</v>
      </c>
      <c r="AA1294" s="117">
        <f>_xll.qlCalendarAdvance(Calendar,Z1294,NDays&amp;"D")</f>
        <v>48249</v>
      </c>
      <c r="AB1294" s="92">
        <v>2.1730103601861693E-2</v>
      </c>
      <c r="AC1294" s="101">
        <v>2.171820078282316E-2</v>
      </c>
    </row>
    <row r="1295" spans="25:29" x14ac:dyDescent="0.2">
      <c r="Y1295" s="105" t="str">
        <f t="shared" si="53"/>
        <v>1w</v>
      </c>
      <c r="Z1295" s="93">
        <f>_xll.qlCalendarAdvance(Calendar,Z1294,Y1295,"f",FALSE)</f>
        <v>48254</v>
      </c>
      <c r="AA1295" s="117">
        <f>_xll.qlCalendarAdvance(Calendar,Z1295,NDays&amp;"D")</f>
        <v>48256</v>
      </c>
      <c r="AB1295" s="92">
        <v>2.1721574974127984E-2</v>
      </c>
      <c r="AC1295" s="101">
        <v>2.1710418159877065E-2</v>
      </c>
    </row>
    <row r="1296" spans="25:29" x14ac:dyDescent="0.2">
      <c r="Y1296" s="105" t="str">
        <f t="shared" si="53"/>
        <v>1w</v>
      </c>
      <c r="Z1296" s="93">
        <f>_xll.qlCalendarAdvance(Calendar,Z1295,Y1296,"f",FALSE)</f>
        <v>48261</v>
      </c>
      <c r="AA1296" s="117">
        <f>_xll.qlCalendarAdvance(Calendar,Z1296,NDays&amp;"D")</f>
        <v>48263</v>
      </c>
      <c r="AB1296" s="92">
        <v>2.1712995256175625E-2</v>
      </c>
      <c r="AC1296" s="101">
        <v>2.170258496274613E-2</v>
      </c>
    </row>
    <row r="1297" spans="25:29" x14ac:dyDescent="0.2">
      <c r="Y1297" s="105" t="str">
        <f t="shared" si="53"/>
        <v>1w</v>
      </c>
      <c r="Z1297" s="93">
        <f>_xll.qlCalendarAdvance(Calendar,Z1296,Y1297,"f",FALSE)</f>
        <v>48268</v>
      </c>
      <c r="AA1297" s="117">
        <f>_xll.qlCalendarAdvance(Calendar,Z1297,NDays&amp;"D")</f>
        <v>48270</v>
      </c>
      <c r="AB1297" s="92">
        <v>2.1704364448661233E-2</v>
      </c>
      <c r="AC1297" s="101">
        <v>2.169470119111061E-2</v>
      </c>
    </row>
    <row r="1298" spans="25:29" x14ac:dyDescent="0.2">
      <c r="Y1298" s="105" t="str">
        <f t="shared" si="53"/>
        <v>1w</v>
      </c>
      <c r="Z1298" s="93">
        <f>_xll.qlCalendarAdvance(Calendar,Z1297,Y1298,"f",FALSE)</f>
        <v>48275</v>
      </c>
      <c r="AA1298" s="117">
        <f>_xll.qlCalendarAdvance(Calendar,Z1298,NDays&amp;"D")</f>
        <v>48277</v>
      </c>
      <c r="AB1298" s="92">
        <v>2.1695733734309938E-2</v>
      </c>
      <c r="AC1298" s="101">
        <v>2.1686766845210315E-2</v>
      </c>
    </row>
    <row r="1299" spans="25:29" x14ac:dyDescent="0.2">
      <c r="Y1299" s="105" t="str">
        <f t="shared" si="53"/>
        <v>1w</v>
      </c>
      <c r="Z1299" s="93">
        <f>_xll.qlCalendarAdvance(Calendar,Z1298,Y1299,"f",FALSE)</f>
        <v>48282</v>
      </c>
      <c r="AA1299" s="117">
        <f>_xll.qlCalendarAdvance(Calendar,Z1299,NDays&amp;"D")</f>
        <v>48284</v>
      </c>
      <c r="AB1299" s="92">
        <v>2.1686984056604561E-2</v>
      </c>
      <c r="AC1299" s="101">
        <v>2.1678781924965307E-2</v>
      </c>
    </row>
    <row r="1300" spans="25:29" x14ac:dyDescent="0.2">
      <c r="Y1300" s="105" t="str">
        <f t="shared" si="53"/>
        <v>1w</v>
      </c>
      <c r="Z1300" s="93">
        <f>_xll.qlCalendarAdvance(Calendar,Z1299,Y1300,"f",FALSE)</f>
        <v>48289</v>
      </c>
      <c r="AA1300" s="117">
        <f>_xll.qlCalendarAdvance(Calendar,Z1300,NDays&amp;"D")</f>
        <v>48291</v>
      </c>
      <c r="AB1300" s="92">
        <v>2.1678183280131384E-2</v>
      </c>
      <c r="AC1300" s="101">
        <v>2.1670746430295651E-2</v>
      </c>
    </row>
    <row r="1301" spans="25:29" x14ac:dyDescent="0.2">
      <c r="Y1301" s="105" t="str">
        <f t="shared" ref="Y1301:Y1364" si="54">Y1300</f>
        <v>1w</v>
      </c>
      <c r="Z1301" s="93">
        <f>_xll.qlCalendarAdvance(Calendar,Z1300,Y1301,"f",FALSE)</f>
        <v>48296</v>
      </c>
      <c r="AA1301" s="117">
        <f>_xll.qlCalendarAdvance(Calendar,Z1301,NDays&amp;"D")</f>
        <v>48298</v>
      </c>
      <c r="AB1301" s="92">
        <v>2.1669331405581044E-2</v>
      </c>
      <c r="AC1301" s="101">
        <v>2.166294639339128E-2</v>
      </c>
    </row>
    <row r="1302" spans="25:29" x14ac:dyDescent="0.2">
      <c r="Y1302" s="105" t="str">
        <f t="shared" si="54"/>
        <v>1w</v>
      </c>
      <c r="Z1302" s="93">
        <f>_xll.qlCalendarAdvance(Calendar,Z1301,Y1302,"f",FALSE)</f>
        <v>48303</v>
      </c>
      <c r="AA1302" s="117">
        <f>_xll.qlCalendarAdvance(Calendar,Z1302,NDays&amp;"D")</f>
        <v>48305</v>
      </c>
      <c r="AB1302" s="92">
        <v>2.1660440776402112E-2</v>
      </c>
      <c r="AC1302" s="101">
        <v>2.1654523718321883E-2</v>
      </c>
    </row>
    <row r="1303" spans="25:29" x14ac:dyDescent="0.2">
      <c r="Y1303" s="105" t="str">
        <f t="shared" si="54"/>
        <v>1w</v>
      </c>
      <c r="Z1303" s="93">
        <f>_xll.qlCalendarAdvance(Calendar,Z1302,Y1303,"f",FALSE)</f>
        <v>48310</v>
      </c>
      <c r="AA1303" s="117">
        <f>_xll.qlCalendarAdvance(Calendar,Z1303,NDays&amp;"D")</f>
        <v>48312</v>
      </c>
      <c r="AB1303" s="92">
        <v>2.1651499261762588E-2</v>
      </c>
      <c r="AC1303" s="101">
        <v>2.1646336500698027E-2</v>
      </c>
    </row>
    <row r="1304" spans="25:29" x14ac:dyDescent="0.2">
      <c r="Y1304" s="105" t="str">
        <f t="shared" si="54"/>
        <v>1w</v>
      </c>
      <c r="Z1304" s="93">
        <f>_xll.qlCalendarAdvance(Calendar,Z1303,Y1304,"f",FALSE)</f>
        <v>48317</v>
      </c>
      <c r="AA1304" s="117">
        <f>_xll.qlCalendarAdvance(Calendar,Z1304,NDays&amp;"D")</f>
        <v>48319</v>
      </c>
      <c r="AB1304" s="92">
        <v>2.1642506659491453E-2</v>
      </c>
      <c r="AC1304" s="101">
        <v>2.1638098708969267E-2</v>
      </c>
    </row>
    <row r="1305" spans="25:29" x14ac:dyDescent="0.2">
      <c r="Y1305" s="105" t="str">
        <f t="shared" si="54"/>
        <v>1w</v>
      </c>
      <c r="Z1305" s="93">
        <f>_xll.qlCalendarAdvance(Calendar,Z1304,Y1305,"f",FALSE)</f>
        <v>48324</v>
      </c>
      <c r="AA1305" s="117">
        <f>_xll.qlCalendarAdvance(Calendar,Z1305,NDays&amp;"D")</f>
        <v>48326</v>
      </c>
      <c r="AB1305" s="92">
        <v>2.1633462970282361E-2</v>
      </c>
      <c r="AC1305" s="101">
        <v>2.1629810342735922E-2</v>
      </c>
    </row>
    <row r="1306" spans="25:29" x14ac:dyDescent="0.2">
      <c r="Y1306" s="105" t="str">
        <f t="shared" si="54"/>
        <v>1w</v>
      </c>
      <c r="Z1306" s="93">
        <f>_xll.qlCalendarAdvance(Calendar,Z1305,Y1306,"f",FALSE)</f>
        <v>48331</v>
      </c>
      <c r="AA1306" s="117">
        <f>_xll.qlCalendarAdvance(Calendar,Z1306,NDays&amp;"D")</f>
        <v>48333</v>
      </c>
      <c r="AB1306" s="92">
        <v>2.1624368194832454E-2</v>
      </c>
      <c r="AC1306" s="101">
        <v>2.1621471402237802E-2</v>
      </c>
    </row>
    <row r="1307" spans="25:29" x14ac:dyDescent="0.2">
      <c r="Y1307" s="105" t="str">
        <f t="shared" si="54"/>
        <v>1w</v>
      </c>
      <c r="Z1307" s="93">
        <f>_xll.qlCalendarAdvance(Calendar,Z1306,Y1307,"f",FALSE)</f>
        <v>48338</v>
      </c>
      <c r="AA1307" s="117">
        <f>_xll.qlCalendarAdvance(Calendar,Z1307,NDays&amp;"D")</f>
        <v>48340</v>
      </c>
      <c r="AB1307" s="92">
        <v>2.1615147137772992E-2</v>
      </c>
      <c r="AC1307" s="101">
        <v>2.1613081887394969E-2</v>
      </c>
    </row>
    <row r="1308" spans="25:29" x14ac:dyDescent="0.2">
      <c r="Y1308" s="105" t="str">
        <f t="shared" si="54"/>
        <v>1w</v>
      </c>
      <c r="Z1308" s="93">
        <f>_xll.qlCalendarAdvance(Calendar,Z1307,Y1308,"f",FALSE)</f>
        <v>48345</v>
      </c>
      <c r="AA1308" s="117">
        <f>_xll.qlCalendarAdvance(Calendar,Z1308,NDays&amp;"D")</f>
        <v>48347</v>
      </c>
      <c r="AB1308" s="92">
        <v>2.1605937596326119E-2</v>
      </c>
      <c r="AC1308" s="101">
        <v>2.1604641798367297E-2</v>
      </c>
    </row>
    <row r="1309" spans="25:29" x14ac:dyDescent="0.2">
      <c r="Y1309" s="105" t="str">
        <f t="shared" si="54"/>
        <v>1w</v>
      </c>
      <c r="Z1309" s="93">
        <f>_xll.qlCalendarAdvance(Calendar,Z1308,Y1309,"f",FALSE)</f>
        <v>48352</v>
      </c>
      <c r="AA1309" s="117">
        <f>_xll.qlCalendarAdvance(Calendar,Z1309,NDays&amp;"D")</f>
        <v>48354</v>
      </c>
      <c r="AB1309" s="92">
        <v>2.1596676962462501E-2</v>
      </c>
      <c r="AC1309" s="101">
        <v>2.1596151134914976E-2</v>
      </c>
    </row>
    <row r="1310" spans="25:29" x14ac:dyDescent="0.2">
      <c r="Y1310" s="105" t="str">
        <f t="shared" si="54"/>
        <v>1w</v>
      </c>
      <c r="Z1310" s="93">
        <f>_xll.qlCalendarAdvance(Calendar,Z1309,Y1310,"f",FALSE)</f>
        <v>48359</v>
      </c>
      <c r="AA1310" s="117">
        <f>_xll.qlCalendarAdvance(Calendar,Z1310,NDays&amp;"D")</f>
        <v>48361</v>
      </c>
      <c r="AB1310" s="92">
        <v>2.1587365236908858E-2</v>
      </c>
      <c r="AC1310" s="101">
        <v>2.1587609897277815E-2</v>
      </c>
    </row>
    <row r="1311" spans="25:29" x14ac:dyDescent="0.2">
      <c r="Y1311" s="105" t="str">
        <f t="shared" si="54"/>
        <v>1w</v>
      </c>
      <c r="Z1311" s="93">
        <f>_xll.qlCalendarAdvance(Calendar,Z1310,Y1311,"f",FALSE)</f>
        <v>48366</v>
      </c>
      <c r="AA1311" s="117">
        <f>_xll.qlCalendarAdvance(Calendar,Z1311,NDays&amp;"D")</f>
        <v>48368</v>
      </c>
      <c r="AB1311" s="92">
        <v>2.1578128048653087E-2</v>
      </c>
      <c r="AC1311" s="101">
        <v>2.1579018085295942E-2</v>
      </c>
    </row>
    <row r="1312" spans="25:29" x14ac:dyDescent="0.2">
      <c r="Y1312" s="105" t="str">
        <f t="shared" si="54"/>
        <v>1w</v>
      </c>
      <c r="Z1312" s="93">
        <f>_xll.qlCalendarAdvance(Calendar,Z1311,Y1312,"f",FALSE)</f>
        <v>48373</v>
      </c>
      <c r="AA1312" s="117">
        <f>_xll.qlCalendarAdvance(Calendar,Z1312,NDays&amp;"D")</f>
        <v>48375</v>
      </c>
      <c r="AB1312" s="92">
        <v>2.1568726770622489E-2</v>
      </c>
      <c r="AC1312" s="101">
        <v>2.1570375699129229E-2</v>
      </c>
    </row>
    <row r="1313" spans="25:29" x14ac:dyDescent="0.2">
      <c r="Y1313" s="105" t="str">
        <f t="shared" si="54"/>
        <v>1w</v>
      </c>
      <c r="Z1313" s="93">
        <f>_xll.qlCalendarAdvance(Calendar,Z1312,Y1313,"f",FALSE)</f>
        <v>48380</v>
      </c>
      <c r="AA1313" s="117">
        <f>_xll.qlCalendarAdvance(Calendar,Z1313,NDays&amp;"D")</f>
        <v>48382</v>
      </c>
      <c r="AB1313" s="92">
        <v>2.1559274411342057E-2</v>
      </c>
      <c r="AC1313" s="101">
        <v>2.1561682738457932E-2</v>
      </c>
    </row>
    <row r="1314" spans="25:29" x14ac:dyDescent="0.2">
      <c r="Y1314" s="105" t="str">
        <f t="shared" si="54"/>
        <v>1w</v>
      </c>
      <c r="Z1314" s="93">
        <f>_xll.qlCalendarAdvance(Calendar,Z1313,Y1314,"f",FALSE)</f>
        <v>48387</v>
      </c>
      <c r="AA1314" s="117">
        <f>_xll.qlCalendarAdvance(Calendar,Z1314,NDays&amp;"D")</f>
        <v>48389</v>
      </c>
      <c r="AB1314" s="92">
        <v>2.154977097154127E-2</v>
      </c>
      <c r="AC1314" s="101">
        <v>2.1552939203681731E-2</v>
      </c>
    </row>
    <row r="1315" spans="25:29" x14ac:dyDescent="0.2">
      <c r="Y1315" s="105" t="str">
        <f t="shared" si="54"/>
        <v>1w</v>
      </c>
      <c r="Z1315" s="93">
        <f>_xll.qlCalendarAdvance(Calendar,Z1314,Y1315,"f",FALSE)</f>
        <v>48394</v>
      </c>
      <c r="AA1315" s="117">
        <f>_xll.qlCalendarAdvance(Calendar,Z1315,NDays&amp;"D")</f>
        <v>48396</v>
      </c>
      <c r="AB1315" s="92">
        <v>2.154004025946318E-2</v>
      </c>
      <c r="AC1315" s="101">
        <v>2.1544145094640754E-2</v>
      </c>
    </row>
    <row r="1316" spans="25:29" x14ac:dyDescent="0.2">
      <c r="Y1316" s="105" t="str">
        <f t="shared" si="54"/>
        <v>1w</v>
      </c>
      <c r="Z1316" s="93">
        <f>_xll.qlCalendarAdvance(Calendar,Z1315,Y1316,"f",FALSE)</f>
        <v>48401</v>
      </c>
      <c r="AA1316" s="117">
        <f>_xll.qlCalendarAdvance(Calendar,Z1316,NDays&amp;"D")</f>
        <v>48403</v>
      </c>
      <c r="AB1316" s="92">
        <v>2.1530421999231039E-2</v>
      </c>
      <c r="AC1316" s="101">
        <v>2.1535300411335001E-2</v>
      </c>
    </row>
    <row r="1317" spans="25:29" x14ac:dyDescent="0.2">
      <c r="Y1317" s="105" t="str">
        <f t="shared" si="54"/>
        <v>1w</v>
      </c>
      <c r="Z1317" s="93">
        <f>_xll.qlCalendarAdvance(Calendar,Z1316,Y1317,"f",FALSE)</f>
        <v>48408</v>
      </c>
      <c r="AA1317" s="117">
        <f>_xll.qlCalendarAdvance(Calendar,Z1317,NDays&amp;"D")</f>
        <v>48410</v>
      </c>
      <c r="AB1317" s="92">
        <v>2.1520752652499139E-2</v>
      </c>
      <c r="AC1317" s="101">
        <v>2.15264051536046E-2</v>
      </c>
    </row>
    <row r="1318" spans="25:29" x14ac:dyDescent="0.2">
      <c r="Y1318" s="105" t="str">
        <f t="shared" si="54"/>
        <v>1w</v>
      </c>
      <c r="Z1318" s="93">
        <f>_xll.qlCalendarAdvance(Calendar,Z1317,Y1318,"f",FALSE)</f>
        <v>48415</v>
      </c>
      <c r="AA1318" s="117">
        <f>_xll.qlCalendarAdvance(Calendar,Z1318,NDays&amp;"D")</f>
        <v>48417</v>
      </c>
      <c r="AB1318" s="92">
        <v>2.1511032220026868E-2</v>
      </c>
      <c r="AC1318" s="101">
        <v>2.1517459321689358E-2</v>
      </c>
    </row>
    <row r="1319" spans="25:29" x14ac:dyDescent="0.2">
      <c r="Y1319" s="105" t="str">
        <f t="shared" si="54"/>
        <v>1w</v>
      </c>
      <c r="Z1319" s="93">
        <f>_xll.qlCalendarAdvance(Calendar,Z1318,Y1319,"f",FALSE)</f>
        <v>48422</v>
      </c>
      <c r="AA1319" s="117">
        <f>_xll.qlCalendarAdvance(Calendar,Z1319,NDays&amp;"D")</f>
        <v>48424</v>
      </c>
      <c r="AB1319" s="92">
        <v>2.15012607025762E-2</v>
      </c>
      <c r="AC1319" s="101">
        <v>2.1508462915509341E-2</v>
      </c>
    </row>
    <row r="1320" spans="25:29" x14ac:dyDescent="0.2">
      <c r="Y1320" s="105" t="str">
        <f t="shared" si="54"/>
        <v>1w</v>
      </c>
      <c r="Z1320" s="93">
        <f>_xll.qlCalendarAdvance(Calendar,Z1319,Y1320,"f",FALSE)</f>
        <v>48429</v>
      </c>
      <c r="AA1320" s="117">
        <f>_xll.qlCalendarAdvance(Calendar,Z1320,NDays&amp;"D")</f>
        <v>48431</v>
      </c>
      <c r="AB1320" s="92">
        <v>2.149143810091125E-2</v>
      </c>
      <c r="AC1320" s="101">
        <v>2.1499415935144484E-2</v>
      </c>
    </row>
    <row r="1321" spans="25:29" x14ac:dyDescent="0.2">
      <c r="Y1321" s="105" t="str">
        <f t="shared" si="54"/>
        <v>1w</v>
      </c>
      <c r="Z1321" s="93">
        <f>_xll.qlCalendarAdvance(Calendar,Z1320,Y1321,"f",FALSE)</f>
        <v>48436</v>
      </c>
      <c r="AA1321" s="117">
        <f>_xll.qlCalendarAdvance(Calendar,Z1321,NDays&amp;"D")</f>
        <v>48438</v>
      </c>
      <c r="AB1321" s="92">
        <v>2.1481564415802592E-2</v>
      </c>
      <c r="AC1321" s="101">
        <v>2.149031838051485E-2</v>
      </c>
    </row>
    <row r="1322" spans="25:29" x14ac:dyDescent="0.2">
      <c r="Y1322" s="105" t="str">
        <f t="shared" si="54"/>
        <v>1w</v>
      </c>
      <c r="Z1322" s="93">
        <f>_xll.qlCalendarAdvance(Calendar,Z1321,Y1322,"f",FALSE)</f>
        <v>48443</v>
      </c>
      <c r="AA1322" s="117">
        <f>_xll.qlCalendarAdvance(Calendar,Z1322,NDays&amp;"D")</f>
        <v>48445</v>
      </c>
      <c r="AB1322" s="92">
        <v>2.1471639648023795E-2</v>
      </c>
      <c r="AC1322" s="101">
        <v>2.1481170251540505E-2</v>
      </c>
    </row>
    <row r="1323" spans="25:29" x14ac:dyDescent="0.2">
      <c r="Y1323" s="105" t="str">
        <f t="shared" si="54"/>
        <v>1w</v>
      </c>
      <c r="Z1323" s="93">
        <f>_xll.qlCalendarAdvance(Calendar,Z1322,Y1323,"f",FALSE)</f>
        <v>48450</v>
      </c>
      <c r="AA1323" s="117">
        <f>_xll.qlCalendarAdvance(Calendar,Z1323,NDays&amp;"D")</f>
        <v>48452</v>
      </c>
      <c r="AB1323" s="92">
        <v>2.1461663798353597E-2</v>
      </c>
      <c r="AC1323" s="101">
        <v>2.1471971548381319E-2</v>
      </c>
    </row>
    <row r="1324" spans="25:29" x14ac:dyDescent="0.2">
      <c r="Y1324" s="105" t="str">
        <f t="shared" si="54"/>
        <v>1w</v>
      </c>
      <c r="Z1324" s="93">
        <f>_xll.qlCalendarAdvance(Calendar,Z1323,Y1324,"f",FALSE)</f>
        <v>48457</v>
      </c>
      <c r="AA1324" s="117">
        <f>_xll.qlCalendarAdvance(Calendar,Z1324,NDays&amp;"D")</f>
        <v>48459</v>
      </c>
      <c r="AB1324" s="92">
        <v>2.1452118888858378E-2</v>
      </c>
      <c r="AC1324" s="101">
        <v>2.1462722270957357E-2</v>
      </c>
    </row>
    <row r="1325" spans="25:29" x14ac:dyDescent="0.2">
      <c r="Y1325" s="105" t="str">
        <f t="shared" si="54"/>
        <v>1w</v>
      </c>
      <c r="Z1325" s="93">
        <f>_xll.qlCalendarAdvance(Calendar,Z1324,Y1325,"f",FALSE)</f>
        <v>48464</v>
      </c>
      <c r="AA1325" s="117">
        <f>_xll.qlCalendarAdvance(Calendar,Z1325,NDays&amp;"D")</f>
        <v>48466</v>
      </c>
      <c r="AB1325" s="92">
        <v>2.1442062100308162E-2</v>
      </c>
      <c r="AC1325" s="101">
        <v>2.1453422419348556E-2</v>
      </c>
    </row>
    <row r="1326" spans="25:29" x14ac:dyDescent="0.2">
      <c r="Y1326" s="105" t="str">
        <f t="shared" si="54"/>
        <v>1w</v>
      </c>
      <c r="Z1326" s="93">
        <f>_xll.qlCalendarAdvance(Calendar,Z1325,Y1326,"f",FALSE)</f>
        <v>48471</v>
      </c>
      <c r="AA1326" s="117">
        <f>_xll.qlCalendarAdvance(Calendar,Z1326,NDays&amp;"D")</f>
        <v>48473</v>
      </c>
      <c r="AB1326" s="92">
        <v>2.1431954245669571E-2</v>
      </c>
      <c r="AC1326" s="101">
        <v>2.1444071993395042E-2</v>
      </c>
    </row>
    <row r="1327" spans="25:29" x14ac:dyDescent="0.2">
      <c r="Y1327" s="105" t="str">
        <f t="shared" si="54"/>
        <v>1w</v>
      </c>
      <c r="Z1327" s="93">
        <f>_xll.qlCalendarAdvance(Calendar,Z1326,Y1327,"f",FALSE)</f>
        <v>48478</v>
      </c>
      <c r="AA1327" s="117">
        <f>_xll.qlCalendarAdvance(Calendar,Z1327,NDays&amp;"D")</f>
        <v>48480</v>
      </c>
      <c r="AB1327" s="92">
        <v>2.1421795325713262E-2</v>
      </c>
      <c r="AC1327" s="101">
        <v>2.1434670993336624E-2</v>
      </c>
    </row>
    <row r="1328" spans="25:29" x14ac:dyDescent="0.2">
      <c r="Y1328" s="105" t="str">
        <f t="shared" si="54"/>
        <v>1w</v>
      </c>
      <c r="Z1328" s="93">
        <f>_xll.qlCalendarAdvance(Calendar,Z1327,Y1328,"f",FALSE)</f>
        <v>48485</v>
      </c>
      <c r="AA1328" s="117">
        <f>_xll.qlCalendarAdvance(Calendar,Z1328,NDays&amp;"D")</f>
        <v>48487</v>
      </c>
      <c r="AB1328" s="92">
        <v>2.1411472764585472E-2</v>
      </c>
      <c r="AC1328" s="101">
        <v>2.1425219418933494E-2</v>
      </c>
    </row>
    <row r="1329" spans="25:29" x14ac:dyDescent="0.2">
      <c r="Y1329" s="105" t="str">
        <f t="shared" si="54"/>
        <v>1w</v>
      </c>
      <c r="Z1329" s="93">
        <f>_xll.qlCalendarAdvance(Calendar,Z1328,Y1329,"f",FALSE)</f>
        <v>48492</v>
      </c>
      <c r="AA1329" s="117">
        <f>_xll.qlCalendarAdvance(Calendar,Z1329,NDays&amp;"D")</f>
        <v>48494</v>
      </c>
      <c r="AB1329" s="92">
        <v>2.1401207461922186E-2</v>
      </c>
      <c r="AC1329" s="101">
        <v>2.1415717270425461E-2</v>
      </c>
    </row>
    <row r="1330" spans="25:29" x14ac:dyDescent="0.2">
      <c r="Y1330" s="105" t="str">
        <f t="shared" si="54"/>
        <v>1w</v>
      </c>
      <c r="Z1330" s="93">
        <f>_xll.qlCalendarAdvance(Calendar,Z1329,Y1330,"f",FALSE)</f>
        <v>48499</v>
      </c>
      <c r="AA1330" s="117">
        <f>_xll.qlCalendarAdvance(Calendar,Z1330,NDays&amp;"D")</f>
        <v>48501</v>
      </c>
      <c r="AB1330" s="92">
        <v>2.1390891093604775E-2</v>
      </c>
      <c r="AC1330" s="101">
        <v>2.1406164547572715E-2</v>
      </c>
    </row>
    <row r="1331" spans="25:29" x14ac:dyDescent="0.2">
      <c r="Y1331" s="105" t="str">
        <f t="shared" si="54"/>
        <v>1w</v>
      </c>
      <c r="Z1331" s="93">
        <f>_xll.qlCalendarAdvance(Calendar,Z1330,Y1331,"f",FALSE)</f>
        <v>48506</v>
      </c>
      <c r="AA1331" s="117">
        <f>_xll.qlCalendarAdvance(Calendar,Z1331,NDays&amp;"D")</f>
        <v>48508</v>
      </c>
      <c r="AB1331" s="92">
        <v>2.1380523660424255E-2</v>
      </c>
      <c r="AC1331" s="101">
        <v>2.1396561250615065E-2</v>
      </c>
    </row>
    <row r="1332" spans="25:29" x14ac:dyDescent="0.2">
      <c r="Y1332" s="105" t="str">
        <f t="shared" si="54"/>
        <v>1w</v>
      </c>
      <c r="Z1332" s="93">
        <f>_xll.qlCalendarAdvance(Calendar,Z1331,Y1332,"f",FALSE)</f>
        <v>48513</v>
      </c>
      <c r="AA1332" s="117">
        <f>_xll.qlCalendarAdvance(Calendar,Z1332,NDays&amp;"D")</f>
        <v>48515</v>
      </c>
      <c r="AB1332" s="92">
        <v>2.1370105163176039E-2</v>
      </c>
      <c r="AC1332" s="101">
        <v>2.1386907379472575E-2</v>
      </c>
    </row>
    <row r="1333" spans="25:29" x14ac:dyDescent="0.2">
      <c r="Y1333" s="105" t="str">
        <f t="shared" si="54"/>
        <v>1w</v>
      </c>
      <c r="Z1333" s="93">
        <f>_xll.qlCalendarAdvance(Calendar,Z1332,Y1333,"f",FALSE)</f>
        <v>48520</v>
      </c>
      <c r="AA1333" s="117">
        <f>_xll.qlCalendarAdvance(Calendar,Z1333,NDays&amp;"D")</f>
        <v>48522</v>
      </c>
      <c r="AB1333" s="92">
        <v>2.1359769477959849E-2</v>
      </c>
      <c r="AC1333" s="101">
        <v>2.1377202934065309E-2</v>
      </c>
    </row>
    <row r="1334" spans="25:29" x14ac:dyDescent="0.2">
      <c r="Y1334" s="105" t="str">
        <f t="shared" si="54"/>
        <v>1w</v>
      </c>
      <c r="Z1334" s="93">
        <f>_xll.qlCalendarAdvance(Calendar,Z1333,Y1334,"f",FALSE)</f>
        <v>48527</v>
      </c>
      <c r="AA1334" s="117">
        <f>_xll.qlCalendarAdvance(Calendar,Z1334,NDays&amp;"D")</f>
        <v>48529</v>
      </c>
      <c r="AB1334" s="92">
        <v>2.1349253122689045E-2</v>
      </c>
      <c r="AC1334" s="101">
        <v>2.1367447914393267E-2</v>
      </c>
    </row>
    <row r="1335" spans="25:29" x14ac:dyDescent="0.2">
      <c r="Y1335" s="105" t="str">
        <f t="shared" si="54"/>
        <v>1w</v>
      </c>
      <c r="Z1335" s="93">
        <f>_xll.qlCalendarAdvance(Calendar,Z1334,Y1335,"f",FALSE)</f>
        <v>48534</v>
      </c>
      <c r="AA1335" s="117">
        <f>_xll.qlCalendarAdvance(Calendar,Z1335,NDays&amp;"D")</f>
        <v>48536</v>
      </c>
      <c r="AB1335" s="92">
        <v>2.1338685708406191E-2</v>
      </c>
      <c r="AC1335" s="101">
        <v>2.1357642320616321E-2</v>
      </c>
    </row>
    <row r="1336" spans="25:29" x14ac:dyDescent="0.2">
      <c r="Y1336" s="105" t="str">
        <f t="shared" si="54"/>
        <v>1w</v>
      </c>
      <c r="Z1336" s="93">
        <f>_xll.qlCalendarAdvance(Calendar,Z1335,Y1336,"f",FALSE)</f>
        <v>48541</v>
      </c>
      <c r="AA1336" s="117">
        <f>_xll.qlCalendarAdvance(Calendar,Z1336,NDays&amp;"D")</f>
        <v>48543</v>
      </c>
      <c r="AB1336" s="92">
        <v>2.1328067235918163E-2</v>
      </c>
      <c r="AC1336" s="101">
        <v>2.1347786152574599E-2</v>
      </c>
    </row>
    <row r="1337" spans="25:29" x14ac:dyDescent="0.2">
      <c r="Y1337" s="105" t="str">
        <f t="shared" si="54"/>
        <v>1w</v>
      </c>
      <c r="Z1337" s="93">
        <f>_xll.qlCalendarAdvance(Calendar,Z1336,Y1337,"f",FALSE)</f>
        <v>48548</v>
      </c>
      <c r="AA1337" s="117">
        <f>_xll.qlCalendarAdvance(Calendar,Z1337,NDays&amp;"D")</f>
        <v>48550</v>
      </c>
      <c r="AB1337" s="92">
        <v>2.1317246744009952E-2</v>
      </c>
      <c r="AC1337" s="101">
        <v>2.1337879410348037E-2</v>
      </c>
    </row>
    <row r="1338" spans="25:29" x14ac:dyDescent="0.2">
      <c r="Y1338" s="105" t="str">
        <f t="shared" si="54"/>
        <v>1w</v>
      </c>
      <c r="Z1338" s="93">
        <f>_xll.qlCalendarAdvance(Calendar,Z1337,Y1338,"f",FALSE)</f>
        <v>48555</v>
      </c>
      <c r="AA1338" s="117">
        <f>_xll.qlCalendarAdvance(Calendar,Z1338,NDays&amp;"D")</f>
        <v>48557</v>
      </c>
      <c r="AB1338" s="92">
        <v>2.1306521879265964E-2</v>
      </c>
      <c r="AC1338" s="101">
        <v>2.1327922093936635E-2</v>
      </c>
    </row>
    <row r="1339" spans="25:29" x14ac:dyDescent="0.2">
      <c r="Y1339" s="105" t="str">
        <f t="shared" si="54"/>
        <v>1w</v>
      </c>
      <c r="Z1339" s="93">
        <f>_xll.qlCalendarAdvance(Calendar,Z1338,Y1339,"f",FALSE)</f>
        <v>48562</v>
      </c>
      <c r="AA1339" s="117">
        <f>_xll.qlCalendarAdvance(Calendar,Z1339,NDays&amp;"D")</f>
        <v>48564</v>
      </c>
      <c r="AB1339" s="92">
        <v>2.1295745956127984E-2</v>
      </c>
      <c r="AC1339" s="101">
        <v>2.1317914203420329E-2</v>
      </c>
    </row>
    <row r="1340" spans="25:29" x14ac:dyDescent="0.2">
      <c r="Y1340" s="105" t="str">
        <f t="shared" si="54"/>
        <v>1w</v>
      </c>
      <c r="Z1340" s="93">
        <f>_xll.qlCalendarAdvance(Calendar,Z1339,Y1340,"f",FALSE)</f>
        <v>48569</v>
      </c>
      <c r="AA1340" s="117">
        <f>_xll.qlCalendarAdvance(Calendar,Z1340,NDays&amp;"D")</f>
        <v>48571</v>
      </c>
      <c r="AB1340" s="92">
        <v>2.1284918975421278E-2</v>
      </c>
      <c r="AC1340" s="101">
        <v>2.1307855738639248E-2</v>
      </c>
    </row>
    <row r="1341" spans="25:29" x14ac:dyDescent="0.2">
      <c r="Y1341" s="105" t="str">
        <f t="shared" si="54"/>
        <v>1w</v>
      </c>
      <c r="Z1341" s="93">
        <f>_xll.qlCalendarAdvance(Calendar,Z1340,Y1341,"f",FALSE)</f>
        <v>48576</v>
      </c>
      <c r="AA1341" s="117">
        <f>_xll.qlCalendarAdvance(Calendar,Z1341,NDays&amp;"D")</f>
        <v>48578</v>
      </c>
      <c r="AB1341" s="92">
        <v>2.1274040937977714E-2</v>
      </c>
      <c r="AC1341" s="101">
        <v>2.1297746699833198E-2</v>
      </c>
    </row>
    <row r="1342" spans="25:29" x14ac:dyDescent="0.2">
      <c r="Y1342" s="105" t="str">
        <f t="shared" si="54"/>
        <v>1w</v>
      </c>
      <c r="Z1342" s="93">
        <f>_xll.qlCalendarAdvance(Calendar,Z1341,Y1342,"f",FALSE)</f>
        <v>48583</v>
      </c>
      <c r="AA1342" s="117">
        <f>_xll.qlCalendarAdvance(Calendar,Z1342,NDays&amp;"D")</f>
        <v>48585</v>
      </c>
      <c r="AB1342" s="92">
        <v>2.1263284224281909E-2</v>
      </c>
      <c r="AC1342" s="101">
        <v>2.12875870866025E-2</v>
      </c>
    </row>
    <row r="1343" spans="25:29" x14ac:dyDescent="0.2">
      <c r="Y1343" s="105" t="str">
        <f t="shared" si="54"/>
        <v>1w</v>
      </c>
      <c r="Z1343" s="93">
        <f>_xll.qlCalendarAdvance(Calendar,Z1342,Y1343,"f",FALSE)</f>
        <v>48590</v>
      </c>
      <c r="AA1343" s="117">
        <f>_xll.qlCalendarAdvance(Calendar,Z1343,NDays&amp;"D")</f>
        <v>48592</v>
      </c>
      <c r="AB1343" s="92">
        <v>2.1252308367242314E-2</v>
      </c>
      <c r="AC1343" s="101">
        <v>2.127737689942677E-2</v>
      </c>
    </row>
    <row r="1344" spans="25:29" x14ac:dyDescent="0.2">
      <c r="Y1344" s="105" t="str">
        <f t="shared" si="54"/>
        <v>1w</v>
      </c>
      <c r="Z1344" s="93">
        <f>_xll.qlCalendarAdvance(Calendar,Z1343,Y1344,"f",FALSE)</f>
        <v>48597</v>
      </c>
      <c r="AA1344" s="117">
        <f>_xll.qlCalendarAdvance(Calendar,Z1344,NDays&amp;"D")</f>
        <v>48599</v>
      </c>
      <c r="AB1344" s="92">
        <v>2.1241281458583214E-2</v>
      </c>
      <c r="AC1344" s="101">
        <v>2.12671161380662E-2</v>
      </c>
    </row>
    <row r="1345" spans="25:29" x14ac:dyDescent="0.2">
      <c r="Y1345" s="105" t="str">
        <f t="shared" si="54"/>
        <v>1w</v>
      </c>
      <c r="Z1345" s="93">
        <f>_xll.qlCalendarAdvance(Calendar,Z1344,Y1345,"f",FALSE)</f>
        <v>48604</v>
      </c>
      <c r="AA1345" s="117">
        <f>_xll.qlCalendarAdvance(Calendar,Z1345,NDays&amp;"D")</f>
        <v>48606</v>
      </c>
      <c r="AB1345" s="92">
        <v>2.1230203499145481E-2</v>
      </c>
      <c r="AC1345" s="101">
        <v>2.1256804802440854E-2</v>
      </c>
    </row>
    <row r="1346" spans="25:29" x14ac:dyDescent="0.2">
      <c r="Y1346" s="105" t="str">
        <f t="shared" si="54"/>
        <v>1w</v>
      </c>
      <c r="Z1346" s="93">
        <f>_xll.qlCalendarAdvance(Calendar,Z1345,Y1346,"f",FALSE)</f>
        <v>48611</v>
      </c>
      <c r="AA1346" s="117">
        <f>_xll.qlCalendarAdvance(Calendar,Z1346,NDays&amp;"D")</f>
        <v>48613</v>
      </c>
      <c r="AB1346" s="92">
        <v>2.1219074489773521E-2</v>
      </c>
      <c r="AC1346" s="101">
        <v>2.124644289279054E-2</v>
      </c>
    </row>
    <row r="1347" spans="25:29" x14ac:dyDescent="0.2">
      <c r="Y1347" s="105" t="str">
        <f t="shared" si="54"/>
        <v>1w</v>
      </c>
      <c r="Z1347" s="93">
        <f>_xll.qlCalendarAdvance(Calendar,Z1346,Y1347,"f",FALSE)</f>
        <v>48618</v>
      </c>
      <c r="AA1347" s="117">
        <f>_xll.qlCalendarAdvance(Calendar,Z1347,NDays&amp;"D")</f>
        <v>48620</v>
      </c>
      <c r="AB1347" s="92">
        <v>2.1207894431316605E-2</v>
      </c>
      <c r="AC1347" s="101">
        <v>2.123603040887545E-2</v>
      </c>
    </row>
    <row r="1348" spans="25:29" x14ac:dyDescent="0.2">
      <c r="Y1348" s="105" t="str">
        <f t="shared" si="54"/>
        <v>1w</v>
      </c>
      <c r="Z1348" s="93">
        <f>_xll.qlCalendarAdvance(Calendar,Z1347,Y1348,"f",FALSE)</f>
        <v>48625</v>
      </c>
      <c r="AA1348" s="117">
        <f>_xll.qlCalendarAdvance(Calendar,Z1348,NDays&amp;"D")</f>
        <v>48627</v>
      </c>
      <c r="AB1348" s="92">
        <v>2.1196663324626202E-2</v>
      </c>
      <c r="AC1348" s="101">
        <v>2.1225567350855457E-2</v>
      </c>
    </row>
    <row r="1349" spans="25:29" x14ac:dyDescent="0.2">
      <c r="Y1349" s="105" t="str">
        <f t="shared" si="54"/>
        <v>1w</v>
      </c>
      <c r="Z1349" s="93">
        <f>_xll.qlCalendarAdvance(Calendar,Z1348,Y1349,"f",FALSE)</f>
        <v>48632</v>
      </c>
      <c r="AA1349" s="117">
        <f>_xll.qlCalendarAdvance(Calendar,Z1349,NDays&amp;"D")</f>
        <v>48634</v>
      </c>
      <c r="AB1349" s="92">
        <v>2.1185381170559528E-2</v>
      </c>
      <c r="AC1349" s="101">
        <v>2.1215053718730559E-2</v>
      </c>
    </row>
    <row r="1350" spans="25:29" x14ac:dyDescent="0.2">
      <c r="Y1350" s="105" t="str">
        <f t="shared" si="54"/>
        <v>1w</v>
      </c>
      <c r="Z1350" s="93">
        <f>_xll.qlCalendarAdvance(Calendar,Z1349,Y1350,"f",FALSE)</f>
        <v>48639</v>
      </c>
      <c r="AA1350" s="117">
        <f>_xll.qlCalendarAdvance(Calendar,Z1350,NDays&amp;"D")</f>
        <v>48641</v>
      </c>
      <c r="AB1350" s="92">
        <v>2.1173009853276897E-2</v>
      </c>
      <c r="AC1350" s="101">
        <v>2.1204489512420821E-2</v>
      </c>
    </row>
    <row r="1351" spans="25:29" x14ac:dyDescent="0.2">
      <c r="Y1351" s="105" t="str">
        <f t="shared" si="54"/>
        <v>1w</v>
      </c>
      <c r="Z1351" s="93">
        <f>_xll.qlCalendarAdvance(Calendar,Z1350,Y1351,"f",FALSE)</f>
        <v>48646</v>
      </c>
      <c r="AA1351" s="117">
        <f>_xll.qlCalendarAdvance(Calendar,Z1351,NDays&amp;"D")</f>
        <v>48648</v>
      </c>
      <c r="AB1351" s="92">
        <v>2.1161604042606332E-2</v>
      </c>
      <c r="AC1351" s="101">
        <v>2.1193874732006179E-2</v>
      </c>
    </row>
    <row r="1352" spans="25:29" x14ac:dyDescent="0.2">
      <c r="Y1352" s="105" t="str">
        <f t="shared" si="54"/>
        <v>1w</v>
      </c>
      <c r="Z1352" s="93">
        <f>_xll.qlCalendarAdvance(Calendar,Z1351,Y1352,"f",FALSE)</f>
        <v>48653</v>
      </c>
      <c r="AA1352" s="117">
        <f>_xll.qlCalendarAdvance(Calendar,Z1352,NDays&amp;"D")</f>
        <v>48655</v>
      </c>
      <c r="AB1352" s="92">
        <v>2.1150147174336761E-2</v>
      </c>
      <c r="AC1352" s="101">
        <v>2.118320937756657E-2</v>
      </c>
    </row>
    <row r="1353" spans="25:29" x14ac:dyDescent="0.2">
      <c r="Y1353" s="105" t="str">
        <f t="shared" si="54"/>
        <v>1w</v>
      </c>
      <c r="Z1353" s="93">
        <f>_xll.qlCalendarAdvance(Calendar,Z1352,Y1353,"f",FALSE)</f>
        <v>48660</v>
      </c>
      <c r="AA1353" s="117">
        <f>_xll.qlCalendarAdvance(Calendar,Z1353,NDays&amp;"D")</f>
        <v>48662</v>
      </c>
      <c r="AB1353" s="92">
        <v>2.1138639249365095E-2</v>
      </c>
      <c r="AC1353" s="101">
        <v>2.117249344894212E-2</v>
      </c>
    </row>
    <row r="1354" spans="25:29" x14ac:dyDescent="0.2">
      <c r="Y1354" s="105" t="str">
        <f t="shared" si="54"/>
        <v>1w</v>
      </c>
      <c r="Z1354" s="93">
        <f>_xll.qlCalendarAdvance(Calendar,Z1353,Y1354,"f",FALSE)</f>
        <v>48667</v>
      </c>
      <c r="AA1354" s="117">
        <f>_xll.qlCalendarAdvance(Calendar,Z1354,NDays&amp;"D")</f>
        <v>48669</v>
      </c>
      <c r="AB1354" s="92">
        <v>2.1127756204356096E-2</v>
      </c>
      <c r="AC1354" s="101">
        <v>2.1161726946132831E-2</v>
      </c>
    </row>
    <row r="1355" spans="25:29" x14ac:dyDescent="0.2">
      <c r="Y1355" s="105" t="str">
        <f t="shared" si="54"/>
        <v>1w</v>
      </c>
      <c r="Z1355" s="93">
        <f>_xll.qlCalendarAdvance(Calendar,Z1354,Y1355,"f",FALSE)</f>
        <v>48674</v>
      </c>
      <c r="AA1355" s="117">
        <f>_xll.qlCalendarAdvance(Calendar,Z1355,NDays&amp;"D")</f>
        <v>48676</v>
      </c>
      <c r="AB1355" s="92">
        <v>2.1116159139233235E-2</v>
      </c>
      <c r="AC1355" s="101">
        <v>2.1150909869218637E-2</v>
      </c>
    </row>
    <row r="1356" spans="25:29" x14ac:dyDescent="0.2">
      <c r="Y1356" s="105" t="str">
        <f t="shared" si="54"/>
        <v>1w</v>
      </c>
      <c r="Z1356" s="93">
        <f>_xll.qlCalendarAdvance(Calendar,Z1355,Y1356,"f",FALSE)</f>
        <v>48681</v>
      </c>
      <c r="AA1356" s="117">
        <f>_xll.qlCalendarAdvance(Calendar,Z1356,NDays&amp;"D")</f>
        <v>48683</v>
      </c>
      <c r="AB1356" s="92">
        <v>2.1104511027749358E-2</v>
      </c>
      <c r="AC1356" s="101">
        <v>2.1139409053335001E-2</v>
      </c>
    </row>
    <row r="1357" spans="25:29" x14ac:dyDescent="0.2">
      <c r="Y1357" s="105" t="str">
        <f t="shared" si="54"/>
        <v>1w</v>
      </c>
      <c r="Z1357" s="93">
        <f>_xll.qlCalendarAdvance(Calendar,Z1356,Y1357,"f",FALSE)</f>
        <v>48688</v>
      </c>
      <c r="AA1357" s="117">
        <f>_xll.qlCalendarAdvance(Calendar,Z1357,NDays&amp;"D")</f>
        <v>48690</v>
      </c>
      <c r="AB1357" s="92">
        <v>2.1092811870805601E-2</v>
      </c>
      <c r="AC1357" s="101">
        <v>2.1129123993155474E-2</v>
      </c>
    </row>
    <row r="1358" spans="25:29" x14ac:dyDescent="0.2">
      <c r="Y1358" s="105" t="str">
        <f t="shared" si="54"/>
        <v>1w</v>
      </c>
      <c r="Z1358" s="93">
        <f>_xll.qlCalendarAdvance(Calendar,Z1357,Y1358,"f",FALSE)</f>
        <v>48695</v>
      </c>
      <c r="AA1358" s="117">
        <f>_xll.qlCalendarAdvance(Calendar,Z1358,NDays&amp;"D")</f>
        <v>48697</v>
      </c>
      <c r="AB1358" s="92">
        <v>2.1081061669300911E-2</v>
      </c>
      <c r="AC1358" s="101">
        <v>2.1118155193926569E-2</v>
      </c>
    </row>
    <row r="1359" spans="25:29" x14ac:dyDescent="0.2">
      <c r="Y1359" s="105" t="str">
        <f t="shared" si="54"/>
        <v>1w</v>
      </c>
      <c r="Z1359" s="93">
        <f>_xll.qlCalendarAdvance(Calendar,Z1358,Y1359,"f",FALSE)</f>
        <v>48702</v>
      </c>
      <c r="AA1359" s="117">
        <f>_xll.qlCalendarAdvance(Calendar,Z1359,NDays&amp;"D")</f>
        <v>48704</v>
      </c>
      <c r="AB1359" s="92">
        <v>2.1068519559575935E-2</v>
      </c>
      <c r="AC1359" s="101">
        <v>2.110713582059276E-2</v>
      </c>
    </row>
    <row r="1360" spans="25:29" x14ac:dyDescent="0.2">
      <c r="Y1360" s="105" t="str">
        <f t="shared" si="54"/>
        <v>1w</v>
      </c>
      <c r="Z1360" s="93">
        <f>_xll.qlCalendarAdvance(Calendar,Z1359,Y1360,"f",FALSE)</f>
        <v>48709</v>
      </c>
      <c r="AA1360" s="117">
        <f>_xll.qlCalendarAdvance(Calendar,Z1360,NDays&amp;"D")</f>
        <v>48711</v>
      </c>
      <c r="AB1360" s="92">
        <v>2.1056654263163874E-2</v>
      </c>
      <c r="AC1360" s="101">
        <v>2.1096065873313918E-2</v>
      </c>
    </row>
    <row r="1361" spans="25:29" x14ac:dyDescent="0.2">
      <c r="Y1361" s="105" t="str">
        <f t="shared" si="54"/>
        <v>1w</v>
      </c>
      <c r="Z1361" s="93">
        <f>_xll.qlCalendarAdvance(Calendar,Z1360,Y1361,"f",FALSE)</f>
        <v>48716</v>
      </c>
      <c r="AA1361" s="117">
        <f>_xll.qlCalendarAdvance(Calendar,Z1361,NDays&amp;"D")</f>
        <v>48718</v>
      </c>
      <c r="AB1361" s="92">
        <v>2.1044737917374615E-2</v>
      </c>
      <c r="AC1361" s="101">
        <v>2.1084945351850237E-2</v>
      </c>
    </row>
    <row r="1362" spans="25:29" x14ac:dyDescent="0.2">
      <c r="Y1362" s="105" t="str">
        <f t="shared" si="54"/>
        <v>1w</v>
      </c>
      <c r="Z1362" s="93">
        <f>_xll.qlCalendarAdvance(Calendar,Z1361,Y1362,"f",FALSE)</f>
        <v>48723</v>
      </c>
      <c r="AA1362" s="117">
        <f>_xll.qlCalendarAdvance(Calendar,Z1362,NDays&amp;"D")</f>
        <v>48725</v>
      </c>
      <c r="AB1362" s="92">
        <v>2.103277052314332E-2</v>
      </c>
      <c r="AC1362" s="101">
        <v>2.1073774256281652E-2</v>
      </c>
    </row>
    <row r="1363" spans="25:29" x14ac:dyDescent="0.2">
      <c r="Y1363" s="105" t="str">
        <f t="shared" si="54"/>
        <v>1w</v>
      </c>
      <c r="Z1363" s="93">
        <f>_xll.qlCalendarAdvance(Calendar,Z1362,Y1363,"f",FALSE)</f>
        <v>48730</v>
      </c>
      <c r="AA1363" s="117">
        <f>_xll.qlCalendarAdvance(Calendar,Z1363,NDays&amp;"D")</f>
        <v>48732</v>
      </c>
      <c r="AB1363" s="92">
        <v>2.1021545025220051E-2</v>
      </c>
      <c r="AC1363" s="101">
        <v>2.1062552586768035E-2</v>
      </c>
    </row>
    <row r="1364" spans="25:29" x14ac:dyDescent="0.2">
      <c r="Y1364" s="105" t="str">
        <f t="shared" si="54"/>
        <v>1w</v>
      </c>
      <c r="Z1364" s="93">
        <f>_xll.qlCalendarAdvance(Calendar,Z1363,Y1364,"f",FALSE)</f>
        <v>48737</v>
      </c>
      <c r="AA1364" s="117">
        <f>_xll.qlCalendarAdvance(Calendar,Z1364,NDays&amp;"D")</f>
        <v>48739</v>
      </c>
      <c r="AB1364" s="92">
        <v>2.100948857551567E-2</v>
      </c>
      <c r="AC1364" s="101">
        <v>2.1051280342989642E-2</v>
      </c>
    </row>
    <row r="1365" spans="25:29" x14ac:dyDescent="0.2">
      <c r="Y1365" s="105" t="str">
        <f t="shared" ref="Y1365:Y1428" si="55">Y1364</f>
        <v>1w</v>
      </c>
      <c r="Z1365" s="93">
        <f>_xll.qlCalendarAdvance(Calendar,Z1364,Y1365,"f",FALSE)</f>
        <v>48744</v>
      </c>
      <c r="AA1365" s="117">
        <f>_xll.qlCalendarAdvance(Calendar,Z1365,NDays&amp;"D")</f>
        <v>48746</v>
      </c>
      <c r="AB1365" s="92">
        <v>2.0997381087673635E-2</v>
      </c>
      <c r="AC1365" s="101">
        <v>2.1039957525346153E-2</v>
      </c>
    </row>
    <row r="1366" spans="25:29" x14ac:dyDescent="0.2">
      <c r="Y1366" s="105" t="str">
        <f t="shared" si="55"/>
        <v>1w</v>
      </c>
      <c r="Z1366" s="93">
        <f>_xll.qlCalendarAdvance(Calendar,Z1365,Y1366,"f",FALSE)</f>
        <v>48751</v>
      </c>
      <c r="AA1366" s="117">
        <f>_xll.qlCalendarAdvance(Calendar,Z1366,NDays&amp;"D")</f>
        <v>48753</v>
      </c>
      <c r="AB1366" s="92">
        <v>2.0985222562628723E-2</v>
      </c>
      <c r="AC1366" s="101">
        <v>2.1028584133517825E-2</v>
      </c>
    </row>
    <row r="1367" spans="25:29" x14ac:dyDescent="0.2">
      <c r="Y1367" s="105" t="str">
        <f t="shared" si="55"/>
        <v>1w</v>
      </c>
      <c r="Z1367" s="93">
        <f>_xll.qlCalendarAdvance(Calendar,Z1366,Y1367,"f",FALSE)</f>
        <v>48758</v>
      </c>
      <c r="AA1367" s="117">
        <f>_xll.qlCalendarAdvance(Calendar,Z1367,NDays&amp;"D")</f>
        <v>48760</v>
      </c>
      <c r="AB1367" s="92">
        <v>2.0973013001317452E-2</v>
      </c>
      <c r="AC1367" s="101">
        <v>2.1017160167664528E-2</v>
      </c>
    </row>
    <row r="1368" spans="25:29" x14ac:dyDescent="0.2">
      <c r="Y1368" s="105" t="str">
        <f t="shared" si="55"/>
        <v>1w</v>
      </c>
      <c r="Z1368" s="93">
        <f>_xll.qlCalendarAdvance(Calendar,Z1367,Y1368,"f",FALSE)</f>
        <v>48765</v>
      </c>
      <c r="AA1368" s="117">
        <f>_xll.qlCalendarAdvance(Calendar,Z1368,NDays&amp;"D")</f>
        <v>48767</v>
      </c>
      <c r="AB1368" s="92">
        <v>2.095989419324271E-2</v>
      </c>
      <c r="AC1368" s="101">
        <v>2.1005685627786264E-2</v>
      </c>
    </row>
    <row r="1369" spans="25:29" x14ac:dyDescent="0.2">
      <c r="Y1369" s="105" t="str">
        <f t="shared" si="55"/>
        <v>1w</v>
      </c>
      <c r="Z1369" s="93">
        <f>_xll.qlCalendarAdvance(Calendar,Z1368,Y1369,"f",FALSE)</f>
        <v>48772</v>
      </c>
      <c r="AA1369" s="117">
        <f>_xll.qlCalendarAdvance(Calendar,Z1369,NDays&amp;"D")</f>
        <v>48774</v>
      </c>
      <c r="AB1369" s="92">
        <v>2.0947569486388488E-2</v>
      </c>
      <c r="AC1369" s="101">
        <v>2.0994160513723159E-2</v>
      </c>
    </row>
    <row r="1370" spans="25:29" x14ac:dyDescent="0.2">
      <c r="Y1370" s="105" t="str">
        <f t="shared" si="55"/>
        <v>1w</v>
      </c>
      <c r="Z1370" s="93">
        <f>_xll.qlCalendarAdvance(Calendar,Z1369,Y1370,"f",FALSE)</f>
        <v>48779</v>
      </c>
      <c r="AA1370" s="117">
        <f>_xll.qlCalendarAdvance(Calendar,Z1370,NDays&amp;"D")</f>
        <v>48781</v>
      </c>
      <c r="AB1370" s="92">
        <v>2.0935193738705067E-2</v>
      </c>
      <c r="AC1370" s="101">
        <v>2.0982584825874895E-2</v>
      </c>
    </row>
    <row r="1371" spans="25:29" x14ac:dyDescent="0.2">
      <c r="Y1371" s="105" t="str">
        <f t="shared" si="55"/>
        <v>1w</v>
      </c>
      <c r="Z1371" s="93">
        <f>_xll.qlCalendarAdvance(Calendar,Z1370,Y1371,"f",FALSE)</f>
        <v>48786</v>
      </c>
      <c r="AA1371" s="117">
        <f>_xll.qlCalendarAdvance(Calendar,Z1371,NDays&amp;"D")</f>
        <v>48788</v>
      </c>
      <c r="AB1371" s="92">
        <v>2.0922766951160278E-2</v>
      </c>
      <c r="AC1371" s="101">
        <v>2.0970958563761855E-2</v>
      </c>
    </row>
    <row r="1372" spans="25:29" x14ac:dyDescent="0.2">
      <c r="Y1372" s="105" t="str">
        <f t="shared" si="55"/>
        <v>1w</v>
      </c>
      <c r="Z1372" s="93">
        <f>_xll.qlCalendarAdvance(Calendar,Z1371,Y1372,"f",FALSE)</f>
        <v>48793</v>
      </c>
      <c r="AA1372" s="117">
        <f>_xll.qlCalendarAdvance(Calendar,Z1372,NDays&amp;"D")</f>
        <v>48795</v>
      </c>
      <c r="AB1372" s="92">
        <v>2.091028912473011E-2</v>
      </c>
      <c r="AC1372" s="101">
        <v>2.0959281727703782E-2</v>
      </c>
    </row>
    <row r="1373" spans="25:29" x14ac:dyDescent="0.2">
      <c r="Y1373" s="105" t="str">
        <f t="shared" si="55"/>
        <v>1w</v>
      </c>
      <c r="Z1373" s="93">
        <f>_xll.qlCalendarAdvance(Calendar,Z1372,Y1373,"f",FALSE)</f>
        <v>48800</v>
      </c>
      <c r="AA1373" s="117">
        <f>_xll.qlCalendarAdvance(Calendar,Z1373,NDays&amp;"D")</f>
        <v>48802</v>
      </c>
      <c r="AB1373" s="92">
        <v>2.0897760260389701E-2</v>
      </c>
      <c r="AC1373" s="101">
        <v>2.0947554317540806E-2</v>
      </c>
    </row>
    <row r="1374" spans="25:29" x14ac:dyDescent="0.2">
      <c r="Y1374" s="105" t="str">
        <f t="shared" si="55"/>
        <v>1w</v>
      </c>
      <c r="Z1374" s="93">
        <f>_xll.qlCalendarAdvance(Calendar,Z1373,Y1374,"f",FALSE)</f>
        <v>48807</v>
      </c>
      <c r="AA1374" s="117">
        <f>_xll.qlCalendarAdvance(Calendar,Z1374,NDays&amp;"D")</f>
        <v>48809</v>
      </c>
      <c r="AB1374" s="92">
        <v>2.088518035912235E-2</v>
      </c>
      <c r="AC1374" s="101">
        <v>2.0935776333512734E-2</v>
      </c>
    </row>
    <row r="1375" spans="25:29" x14ac:dyDescent="0.2">
      <c r="Y1375" s="105" t="str">
        <f t="shared" si="55"/>
        <v>1w</v>
      </c>
      <c r="Z1375" s="93">
        <f>_xll.qlCalendarAdvance(Calendar,Z1374,Y1375,"f",FALSE)</f>
        <v>48814</v>
      </c>
      <c r="AA1375" s="117">
        <f>_xll.qlCalendarAdvance(Calendar,Z1375,NDays&amp;"D")</f>
        <v>48816</v>
      </c>
      <c r="AB1375" s="92">
        <v>2.0872549421912648E-2</v>
      </c>
      <c r="AC1375" s="101">
        <v>2.0923947775379759E-2</v>
      </c>
    </row>
    <row r="1376" spans="25:29" x14ac:dyDescent="0.2">
      <c r="Y1376" s="105" t="str">
        <f t="shared" si="55"/>
        <v>1w</v>
      </c>
      <c r="Z1376" s="93">
        <f>_xll.qlCalendarAdvance(Calendar,Z1375,Y1376,"f",FALSE)</f>
        <v>48821</v>
      </c>
      <c r="AA1376" s="117">
        <f>_xll.qlCalendarAdvance(Calendar,Z1376,NDays&amp;"D")</f>
        <v>48823</v>
      </c>
      <c r="AB1376" s="92">
        <v>2.0861470338037195E-2</v>
      </c>
      <c r="AC1376" s="101">
        <v>2.0912068643221815E-2</v>
      </c>
    </row>
    <row r="1377" spans="25:29" x14ac:dyDescent="0.2">
      <c r="Y1377" s="105" t="str">
        <f t="shared" si="55"/>
        <v>1w</v>
      </c>
      <c r="Z1377" s="93">
        <f>_xll.qlCalendarAdvance(Calendar,Z1376,Y1377,"f",FALSE)</f>
        <v>48828</v>
      </c>
      <c r="AA1377" s="117">
        <f>_xll.qlCalendarAdvance(Calendar,Z1377,NDays&amp;"D")</f>
        <v>48830</v>
      </c>
      <c r="AB1377" s="92">
        <v>2.0848759220886529E-2</v>
      </c>
      <c r="AC1377" s="101">
        <v>2.090013893711884E-2</v>
      </c>
    </row>
    <row r="1378" spans="25:29" x14ac:dyDescent="0.2">
      <c r="Y1378" s="105" t="str">
        <f t="shared" si="55"/>
        <v>1w</v>
      </c>
      <c r="Z1378" s="93">
        <f>_xll.qlCalendarAdvance(Calendar,Z1377,Y1378,"f",FALSE)</f>
        <v>48835</v>
      </c>
      <c r="AA1378" s="117">
        <f>_xll.qlCalendarAdvance(Calendar,Z1378,NDays&amp;"D")</f>
        <v>48837</v>
      </c>
      <c r="AB1378" s="92">
        <v>2.0835997082884673E-2</v>
      </c>
      <c r="AC1378" s="101">
        <v>2.088815865691096E-2</v>
      </c>
    </row>
    <row r="1379" spans="25:29" x14ac:dyDescent="0.2">
      <c r="Y1379" s="105" t="str">
        <f t="shared" si="55"/>
        <v>1w</v>
      </c>
      <c r="Z1379" s="93">
        <f>_xll.qlCalendarAdvance(Calendar,Z1378,Y1379,"f",FALSE)</f>
        <v>48842</v>
      </c>
      <c r="AA1379" s="117">
        <f>_xll.qlCalendarAdvance(Calendar,Z1379,NDays&amp;"D")</f>
        <v>48844</v>
      </c>
      <c r="AB1379" s="92">
        <v>2.0823183925004551E-2</v>
      </c>
      <c r="AC1379" s="101">
        <v>2.0876127802758049E-2</v>
      </c>
    </row>
    <row r="1380" spans="25:29" x14ac:dyDescent="0.2">
      <c r="Y1380" s="105" t="str">
        <f t="shared" si="55"/>
        <v>1w</v>
      </c>
      <c r="Z1380" s="93">
        <f>_xll.qlCalendarAdvance(Calendar,Z1379,Y1380,"f",FALSE)</f>
        <v>48849</v>
      </c>
      <c r="AA1380" s="117">
        <f>_xll.qlCalendarAdvance(Calendar,Z1380,NDays&amp;"D")</f>
        <v>48851</v>
      </c>
      <c r="AB1380" s="92">
        <v>2.0810319748223057E-2</v>
      </c>
      <c r="AC1380" s="101">
        <v>2.0864046374660106E-2</v>
      </c>
    </row>
    <row r="1381" spans="25:29" x14ac:dyDescent="0.2">
      <c r="Y1381" s="105" t="str">
        <f t="shared" si="55"/>
        <v>1w</v>
      </c>
      <c r="Z1381" s="93">
        <f>_xll.qlCalendarAdvance(Calendar,Z1380,Y1381,"f",FALSE)</f>
        <v>48856</v>
      </c>
      <c r="AA1381" s="117">
        <f>_xll.qlCalendarAdvance(Calendar,Z1381,NDays&amp;"D")</f>
        <v>48858</v>
      </c>
      <c r="AB1381" s="92">
        <v>2.0797062927525211E-2</v>
      </c>
      <c r="AC1381" s="101">
        <v>2.0851914372617131E-2</v>
      </c>
    </row>
    <row r="1382" spans="25:29" x14ac:dyDescent="0.2">
      <c r="Y1382" s="105" t="str">
        <f t="shared" si="55"/>
        <v>1w</v>
      </c>
      <c r="Z1382" s="93">
        <f>_xll.qlCalendarAdvance(Calendar,Z1381,Y1382,"f",FALSE)</f>
        <v>48863</v>
      </c>
      <c r="AA1382" s="117">
        <f>_xll.qlCalendarAdvance(Calendar,Z1382,NDays&amp;"D")</f>
        <v>48865</v>
      </c>
      <c r="AB1382" s="92">
        <v>2.0784092326815686E-2</v>
      </c>
      <c r="AC1382" s="101">
        <v>2.0839731796389316E-2</v>
      </c>
    </row>
    <row r="1383" spans="25:29" x14ac:dyDescent="0.2">
      <c r="Y1383" s="105" t="str">
        <f t="shared" si="55"/>
        <v>1w</v>
      </c>
      <c r="Z1383" s="93">
        <f>_xll.qlCalendarAdvance(Calendar,Z1382,Y1383,"f",FALSE)</f>
        <v>48870</v>
      </c>
      <c r="AA1383" s="117">
        <f>_xll.qlCalendarAdvance(Calendar,Z1383,NDays&amp;"D")</f>
        <v>48872</v>
      </c>
      <c r="AB1383" s="92">
        <v>2.0771070707765397E-2</v>
      </c>
      <c r="AC1383" s="101">
        <v>2.0827498646376341E-2</v>
      </c>
    </row>
    <row r="1384" spans="25:29" x14ac:dyDescent="0.2">
      <c r="Y1384" s="105" t="str">
        <f t="shared" si="55"/>
        <v>1w</v>
      </c>
      <c r="Z1384" s="93">
        <f>_xll.qlCalendarAdvance(Calendar,Z1383,Y1384,"f",FALSE)</f>
        <v>48877</v>
      </c>
      <c r="AA1384" s="117">
        <f>_xll.qlCalendarAdvance(Calendar,Z1384,NDays&amp;"D")</f>
        <v>48879</v>
      </c>
      <c r="AB1384" s="92">
        <v>2.0757998071370035E-2</v>
      </c>
      <c r="AC1384" s="101">
        <v>2.0815214922338399E-2</v>
      </c>
    </row>
    <row r="1385" spans="25:29" x14ac:dyDescent="0.2">
      <c r="Y1385" s="105" t="str">
        <f t="shared" si="55"/>
        <v>1w</v>
      </c>
      <c r="Z1385" s="93">
        <f>_xll.qlCalendarAdvance(Calendar,Z1384,Y1385,"f",FALSE)</f>
        <v>48884</v>
      </c>
      <c r="AA1385" s="117">
        <f>_xll.qlCalendarAdvance(Calendar,Z1385,NDays&amp;"D")</f>
        <v>48886</v>
      </c>
      <c r="AB1385" s="92">
        <v>2.0745233615251477E-2</v>
      </c>
      <c r="AC1385" s="101">
        <v>2.0802880624355424E-2</v>
      </c>
    </row>
    <row r="1386" spans="25:29" x14ac:dyDescent="0.2">
      <c r="Y1386" s="105" t="str">
        <f t="shared" si="55"/>
        <v>1w</v>
      </c>
      <c r="Z1386" s="93">
        <f>_xll.qlCalendarAdvance(Calendar,Z1385,Y1386,"f",FALSE)</f>
        <v>48891</v>
      </c>
      <c r="AA1386" s="117">
        <f>_xll.qlCalendarAdvance(Calendar,Z1386,NDays&amp;"D")</f>
        <v>48893</v>
      </c>
      <c r="AB1386" s="92">
        <v>2.0732063345791269E-2</v>
      </c>
      <c r="AC1386" s="101">
        <v>2.0790495752427418E-2</v>
      </c>
    </row>
    <row r="1387" spans="25:29" x14ac:dyDescent="0.2">
      <c r="Y1387" s="105" t="str">
        <f t="shared" si="55"/>
        <v>1w</v>
      </c>
      <c r="Z1387" s="93">
        <f>_xll.qlCalendarAdvance(Calendar,Z1386,Y1387,"f",FALSE)</f>
        <v>48898</v>
      </c>
      <c r="AA1387" s="117">
        <f>_xll.qlCalendarAdvance(Calendar,Z1387,NDays&amp;"D")</f>
        <v>48900</v>
      </c>
      <c r="AB1387" s="92">
        <v>2.0718842064376176E-2</v>
      </c>
      <c r="AC1387" s="101">
        <v>2.0778060306474444E-2</v>
      </c>
    </row>
    <row r="1388" spans="25:29" x14ac:dyDescent="0.2">
      <c r="Y1388" s="105" t="str">
        <f t="shared" si="55"/>
        <v>1w</v>
      </c>
      <c r="Z1388" s="93">
        <f>_xll.qlCalendarAdvance(Calendar,Z1387,Y1388,"f",FALSE)</f>
        <v>48905</v>
      </c>
      <c r="AA1388" s="117">
        <f>_xll.qlCalendarAdvance(Calendar,Z1388,NDays&amp;"D")</f>
        <v>48907</v>
      </c>
      <c r="AB1388" s="92">
        <v>2.0705569772014459E-2</v>
      </c>
      <c r="AC1388" s="101">
        <v>2.0765574286576438E-2</v>
      </c>
    </row>
    <row r="1389" spans="25:29" x14ac:dyDescent="0.2">
      <c r="Y1389" s="105" t="str">
        <f t="shared" si="55"/>
        <v>1w</v>
      </c>
      <c r="Z1389" s="93">
        <f>_xll.qlCalendarAdvance(Calendar,Z1388,Y1389,"f",FALSE)</f>
        <v>48912</v>
      </c>
      <c r="AA1389" s="117">
        <f>_xll.qlCalendarAdvance(Calendar,Z1389,NDays&amp;"D")</f>
        <v>48914</v>
      </c>
      <c r="AB1389" s="92">
        <v>2.0691869664443887E-2</v>
      </c>
      <c r="AC1389" s="101">
        <v>2.07530376927334E-2</v>
      </c>
    </row>
    <row r="1390" spans="25:29" x14ac:dyDescent="0.2">
      <c r="Y1390" s="105" t="str">
        <f t="shared" si="55"/>
        <v>1w</v>
      </c>
      <c r="Z1390" s="93">
        <f>_xll.qlCalendarAdvance(Calendar,Z1389,Y1390,"f",FALSE)</f>
        <v>48919</v>
      </c>
      <c r="AA1390" s="117">
        <f>_xll.qlCalendarAdvance(Calendar,Z1390,NDays&amp;"D")</f>
        <v>48921</v>
      </c>
      <c r="AB1390" s="92">
        <v>2.067849094516553E-2</v>
      </c>
      <c r="AC1390" s="101">
        <v>2.0740450525025267E-2</v>
      </c>
    </row>
    <row r="1391" spans="25:29" x14ac:dyDescent="0.2">
      <c r="Y1391" s="105" t="str">
        <f t="shared" si="55"/>
        <v>1w</v>
      </c>
      <c r="Z1391" s="93">
        <f>_xll.qlCalendarAdvance(Calendar,Z1390,Y1391,"f",FALSE)</f>
        <v>48926</v>
      </c>
      <c r="AA1391" s="117">
        <f>_xll.qlCalendarAdvance(Calendar,Z1391,NDays&amp;"D")</f>
        <v>48928</v>
      </c>
      <c r="AB1391" s="92">
        <v>2.0665061215639279E-2</v>
      </c>
      <c r="AC1391" s="101">
        <v>2.0727812783292165E-2</v>
      </c>
    </row>
    <row r="1392" spans="25:29" x14ac:dyDescent="0.2">
      <c r="Y1392" s="105" t="str">
        <f t="shared" si="55"/>
        <v>1w</v>
      </c>
      <c r="Z1392" s="93">
        <f>_xll.qlCalendarAdvance(Calendar,Z1391,Y1392,"f",FALSE)</f>
        <v>48933</v>
      </c>
      <c r="AA1392" s="117">
        <f>_xll.qlCalendarAdvance(Calendar,Z1392,NDays&amp;"D")</f>
        <v>48935</v>
      </c>
      <c r="AB1392" s="92">
        <v>2.0651580476895078E-2</v>
      </c>
      <c r="AC1392" s="101">
        <v>2.0715124467614032E-2</v>
      </c>
    </row>
    <row r="1393" spans="25:29" x14ac:dyDescent="0.2">
      <c r="Y1393" s="105" t="str">
        <f t="shared" si="55"/>
        <v>1w</v>
      </c>
      <c r="Z1393" s="93">
        <f>_xll.qlCalendarAdvance(Calendar,Z1392,Y1393,"f",FALSE)</f>
        <v>48940</v>
      </c>
      <c r="AA1393" s="117">
        <f>_xll.qlCalendarAdvance(Calendar,Z1393,NDays&amp;"D")</f>
        <v>48942</v>
      </c>
      <c r="AB1393" s="92">
        <v>2.0638048729965951E-2</v>
      </c>
      <c r="AC1393" s="101">
        <v>2.0702385578150739E-2</v>
      </c>
    </row>
    <row r="1394" spans="25:29" x14ac:dyDescent="0.2">
      <c r="Y1394" s="105" t="str">
        <f t="shared" si="55"/>
        <v>1w</v>
      </c>
      <c r="Z1394" s="93">
        <f>_xll.qlCalendarAdvance(Calendar,Z1393,Y1394,"f",FALSE)</f>
        <v>48947</v>
      </c>
      <c r="AA1394" s="117">
        <f>_xll.qlCalendarAdvance(Calendar,Z1394,NDays&amp;"D")</f>
        <v>48949</v>
      </c>
      <c r="AB1394" s="92">
        <v>2.0624864844891382E-2</v>
      </c>
      <c r="AC1394" s="101">
        <v>2.0689596114742415E-2</v>
      </c>
    </row>
    <row r="1395" spans="25:29" x14ac:dyDescent="0.2">
      <c r="Y1395" s="105" t="str">
        <f t="shared" si="55"/>
        <v>1w</v>
      </c>
      <c r="Z1395" s="93">
        <f>_xll.qlCalendarAdvance(Calendar,Z1394,Y1395,"f",FALSE)</f>
        <v>48954</v>
      </c>
      <c r="AA1395" s="117">
        <f>_xll.qlCalendarAdvance(Calendar,Z1395,NDays&amp;"D")</f>
        <v>48956</v>
      </c>
      <c r="AB1395" s="92">
        <v>2.0611235504448839E-2</v>
      </c>
      <c r="AC1395" s="101">
        <v>2.0676756077229186E-2</v>
      </c>
    </row>
    <row r="1396" spans="25:29" x14ac:dyDescent="0.2">
      <c r="Y1396" s="105" t="str">
        <f t="shared" si="55"/>
        <v>1w</v>
      </c>
      <c r="Z1396" s="93">
        <f>_xll.qlCalendarAdvance(Calendar,Z1395,Y1396,"f",FALSE)</f>
        <v>48961</v>
      </c>
      <c r="AA1396" s="117">
        <f>_xll.qlCalendarAdvance(Calendar,Z1396,NDays&amp;"D")</f>
        <v>48963</v>
      </c>
      <c r="AB1396" s="92">
        <v>2.0597555161263052E-2</v>
      </c>
      <c r="AC1396" s="101">
        <v>2.0663865466010733E-2</v>
      </c>
    </row>
    <row r="1397" spans="25:29" x14ac:dyDescent="0.2">
      <c r="Y1397" s="105" t="str">
        <f t="shared" si="55"/>
        <v>1w</v>
      </c>
      <c r="Z1397" s="93">
        <f>_xll.qlCalendarAdvance(Calendar,Z1396,Y1397,"f",FALSE)</f>
        <v>48968</v>
      </c>
      <c r="AA1397" s="117">
        <f>_xll.qlCalendarAdvance(Calendar,Z1397,NDays&amp;"D")</f>
        <v>48970</v>
      </c>
      <c r="AB1397" s="92">
        <v>2.0583823816376721E-2</v>
      </c>
      <c r="AC1397" s="101">
        <v>2.0650924280847249E-2</v>
      </c>
    </row>
    <row r="1398" spans="25:29" x14ac:dyDescent="0.2">
      <c r="Y1398" s="105" t="str">
        <f t="shared" si="55"/>
        <v>1w</v>
      </c>
      <c r="Z1398" s="93">
        <f>_xll.qlCalendarAdvance(Calendar,Z1397,Y1398,"f",FALSE)</f>
        <v>48975</v>
      </c>
      <c r="AA1398" s="117">
        <f>_xll.qlCalendarAdvance(Calendar,Z1398,NDays&amp;"D")</f>
        <v>48977</v>
      </c>
      <c r="AB1398" s="92">
        <v>2.0570041470836086E-2</v>
      </c>
      <c r="AC1398" s="101">
        <v>2.0637932521738733E-2</v>
      </c>
    </row>
    <row r="1399" spans="25:29" x14ac:dyDescent="0.2">
      <c r="Y1399" s="105" t="str">
        <f t="shared" si="55"/>
        <v>1w</v>
      </c>
      <c r="Z1399" s="93">
        <f>_xll.qlCalendarAdvance(Calendar,Z1398,Y1399,"f",FALSE)</f>
        <v>48982</v>
      </c>
      <c r="AA1399" s="117">
        <f>_xll.qlCalendarAdvance(Calendar,Z1399,NDays&amp;"D")</f>
        <v>48984</v>
      </c>
      <c r="AB1399" s="92">
        <v>2.055620812569179E-2</v>
      </c>
      <c r="AC1399" s="101">
        <v>2.0624890188765121E-2</v>
      </c>
    </row>
    <row r="1400" spans="25:29" x14ac:dyDescent="0.2">
      <c r="Y1400" s="105" t="str">
        <f t="shared" si="55"/>
        <v>1w</v>
      </c>
      <c r="Z1400" s="93">
        <f>_xll.qlCalendarAdvance(Calendar,Z1399,Y1400,"f",FALSE)</f>
        <v>48989</v>
      </c>
      <c r="AA1400" s="117">
        <f>_xll.qlCalendarAdvance(Calendar,Z1400,NDays&amp;"D")</f>
        <v>48991</v>
      </c>
      <c r="AB1400" s="92">
        <v>2.0542323781998908E-2</v>
      </c>
      <c r="AC1400" s="101">
        <v>2.0611797281926414E-2</v>
      </c>
    </row>
    <row r="1401" spans="25:29" x14ac:dyDescent="0.2">
      <c r="Y1401" s="105" t="str">
        <f t="shared" si="55"/>
        <v>1w</v>
      </c>
      <c r="Z1401" s="93">
        <f>_xll.qlCalendarAdvance(Calendar,Z1400,Y1401,"f",FALSE)</f>
        <v>48996</v>
      </c>
      <c r="AA1401" s="117">
        <f>_xll.qlCalendarAdvance(Calendar,Z1401,NDays&amp;"D")</f>
        <v>48998</v>
      </c>
      <c r="AB1401" s="92">
        <v>2.0528388440816482E-2</v>
      </c>
      <c r="AC1401" s="101">
        <v>2.0598653801302547E-2</v>
      </c>
    </row>
    <row r="1402" spans="25:29" x14ac:dyDescent="0.2">
      <c r="Y1402" s="105" t="str">
        <f t="shared" si="55"/>
        <v>1w</v>
      </c>
      <c r="Z1402" s="93">
        <f>_xll.qlCalendarAdvance(Calendar,Z1401,Y1402,"f",FALSE)</f>
        <v>49003</v>
      </c>
      <c r="AA1402" s="117">
        <f>_xll.qlCalendarAdvance(Calendar,Z1402,NDays&amp;"D")</f>
        <v>49005</v>
      </c>
      <c r="AB1402" s="92">
        <v>2.0512226241859138E-2</v>
      </c>
      <c r="AC1402" s="101">
        <v>2.0585459746573775E-2</v>
      </c>
    </row>
    <row r="1403" spans="25:29" x14ac:dyDescent="0.2">
      <c r="Y1403" s="105" t="str">
        <f t="shared" si="55"/>
        <v>1w</v>
      </c>
      <c r="Z1403" s="93">
        <f>_xll.qlCalendarAdvance(Calendar,Z1402,Y1403,"f",FALSE)</f>
        <v>49010</v>
      </c>
      <c r="AA1403" s="117">
        <f>_xll.qlCalendarAdvance(Calendar,Z1403,NDays&amp;"D")</f>
        <v>49012</v>
      </c>
      <c r="AB1403" s="92">
        <v>2.049816671462423E-2</v>
      </c>
      <c r="AC1403" s="101">
        <v>2.0572215118059844E-2</v>
      </c>
    </row>
    <row r="1404" spans="25:29" x14ac:dyDescent="0.2">
      <c r="Y1404" s="105" t="str">
        <f t="shared" si="55"/>
        <v>1w</v>
      </c>
      <c r="Z1404" s="93">
        <f>_xll.qlCalendarAdvance(Calendar,Z1403,Y1404,"f",FALSE)</f>
        <v>49017</v>
      </c>
      <c r="AA1404" s="117">
        <f>_xll.qlCalendarAdvance(Calendar,Z1404,NDays&amp;"D")</f>
        <v>49019</v>
      </c>
      <c r="AB1404" s="92">
        <v>2.0484056181765943E-2</v>
      </c>
      <c r="AC1404" s="101">
        <v>2.0558919915760754E-2</v>
      </c>
    </row>
    <row r="1405" spans="25:29" x14ac:dyDescent="0.2">
      <c r="Y1405" s="105" t="str">
        <f t="shared" si="55"/>
        <v>1w</v>
      </c>
      <c r="Z1405" s="93">
        <f>_xll.qlCalendarAdvance(Calendar,Z1404,Y1405,"f",FALSE)</f>
        <v>49024</v>
      </c>
      <c r="AA1405" s="117">
        <f>_xll.qlCalendarAdvance(Calendar,Z1405,NDays&amp;"D")</f>
        <v>49026</v>
      </c>
      <c r="AB1405" s="92">
        <v>2.0469894644389197E-2</v>
      </c>
      <c r="AC1405" s="101">
        <v>2.0545574139516631E-2</v>
      </c>
    </row>
    <row r="1406" spans="25:29" x14ac:dyDescent="0.2">
      <c r="Y1406" s="105" t="str">
        <f t="shared" si="55"/>
        <v>1w</v>
      </c>
      <c r="Z1406" s="93">
        <f>_xll.qlCalendarAdvance(Calendar,Z1405,Y1406,"f",FALSE)</f>
        <v>49031</v>
      </c>
      <c r="AA1406" s="117">
        <f>_xll.qlCalendarAdvance(Calendar,Z1406,NDays&amp;"D")</f>
        <v>49033</v>
      </c>
      <c r="AB1406" s="92">
        <v>2.0457042253092785E-2</v>
      </c>
      <c r="AC1406" s="101">
        <v>2.0532177789487349E-2</v>
      </c>
    </row>
    <row r="1407" spans="25:29" x14ac:dyDescent="0.2">
      <c r="Y1407" s="105" t="str">
        <f t="shared" si="55"/>
        <v>1w</v>
      </c>
      <c r="Z1407" s="93">
        <f>_xll.qlCalendarAdvance(Calendar,Z1406,Y1407,"f",FALSE)</f>
        <v>49038</v>
      </c>
      <c r="AA1407" s="117">
        <f>_xll.qlCalendarAdvance(Calendar,Z1407,NDays&amp;"D")</f>
        <v>49040</v>
      </c>
      <c r="AB1407" s="92">
        <v>2.044279205476084E-2</v>
      </c>
      <c r="AC1407" s="101">
        <v>2.0517216811862582E-2</v>
      </c>
    </row>
    <row r="1408" spans="25:29" x14ac:dyDescent="0.2">
      <c r="Y1408" s="105" t="str">
        <f t="shared" si="55"/>
        <v>1w</v>
      </c>
      <c r="Z1408" s="93">
        <f>_xll.qlCalendarAdvance(Calendar,Z1407,Y1408,"f",FALSE)</f>
        <v>49045</v>
      </c>
      <c r="AA1408" s="117">
        <f>_xll.qlCalendarAdvance(Calendar,Z1408,NDays&amp;"D")</f>
        <v>49047</v>
      </c>
      <c r="AB1408" s="92">
        <v>2.042849086197171E-2</v>
      </c>
      <c r="AC1408" s="101">
        <v>2.0505233367913434E-2</v>
      </c>
    </row>
    <row r="1409" spans="25:29" x14ac:dyDescent="0.2">
      <c r="Y1409" s="105" t="str">
        <f t="shared" si="55"/>
        <v>1w</v>
      </c>
      <c r="Z1409" s="93">
        <f>_xll.qlCalendarAdvance(Calendar,Z1408,Y1409,"f",FALSE)</f>
        <v>49052</v>
      </c>
      <c r="AA1409" s="117">
        <f>_xll.qlCalendarAdvance(Calendar,Z1409,NDays&amp;"D")</f>
        <v>49054</v>
      </c>
      <c r="AB1409" s="92">
        <v>2.0414138675826598E-2</v>
      </c>
      <c r="AC1409" s="101">
        <v>2.0491685296288864E-2</v>
      </c>
    </row>
    <row r="1410" spans="25:29" x14ac:dyDescent="0.2">
      <c r="Y1410" s="105" t="str">
        <f t="shared" si="55"/>
        <v>1w</v>
      </c>
      <c r="Z1410" s="93">
        <f>_xll.qlCalendarAdvance(Calendar,Z1409,Y1410,"f",FALSE)</f>
        <v>49059</v>
      </c>
      <c r="AA1410" s="117">
        <f>_xll.qlCalendarAdvance(Calendar,Z1410,NDays&amp;"D")</f>
        <v>49061</v>
      </c>
      <c r="AB1410" s="92">
        <v>2.0399735497432812E-2</v>
      </c>
      <c r="AC1410" s="101">
        <v>2.0478086650959071E-2</v>
      </c>
    </row>
    <row r="1411" spans="25:29" x14ac:dyDescent="0.2">
      <c r="Y1411" s="105" t="str">
        <f t="shared" si="55"/>
        <v>1w</v>
      </c>
      <c r="Z1411" s="93">
        <f>_xll.qlCalendarAdvance(Calendar,Z1410,Y1411,"f",FALSE)</f>
        <v>49066</v>
      </c>
      <c r="AA1411" s="117">
        <f>_xll.qlCalendarAdvance(Calendar,Z1411,NDays&amp;"D")</f>
        <v>49068</v>
      </c>
      <c r="AB1411" s="92">
        <v>2.0383854387642803E-2</v>
      </c>
      <c r="AC1411" s="101">
        <v>2.0464437431684246E-2</v>
      </c>
    </row>
    <row r="1412" spans="25:29" x14ac:dyDescent="0.2">
      <c r="Y1412" s="105" t="str">
        <f t="shared" si="55"/>
        <v>1w</v>
      </c>
      <c r="Z1412" s="93">
        <f>_xll.qlCalendarAdvance(Calendar,Z1411,Y1412,"f",FALSE)</f>
        <v>49073</v>
      </c>
      <c r="AA1412" s="117">
        <f>_xll.qlCalendarAdvance(Calendar,Z1412,NDays&amp;"D")</f>
        <v>49075</v>
      </c>
      <c r="AB1412" s="92">
        <v>2.03693358499215E-2</v>
      </c>
      <c r="AC1412" s="101">
        <v>2.0450737638624261E-2</v>
      </c>
    </row>
    <row r="1413" spans="25:29" x14ac:dyDescent="0.2">
      <c r="Y1413" s="105" t="str">
        <f t="shared" si="55"/>
        <v>1w</v>
      </c>
      <c r="Z1413" s="93">
        <f>_xll.qlCalendarAdvance(Calendar,Z1412,Y1413,"f",FALSE)</f>
        <v>49080</v>
      </c>
      <c r="AA1413" s="117">
        <f>_xll.qlCalendarAdvance(Calendar,Z1413,NDays&amp;"D")</f>
        <v>49082</v>
      </c>
      <c r="AB1413" s="92">
        <v>2.0354766316668532E-2</v>
      </c>
      <c r="AC1413" s="101">
        <v>2.0436987271779117E-2</v>
      </c>
    </row>
    <row r="1414" spans="25:29" x14ac:dyDescent="0.2">
      <c r="Y1414" s="105" t="str">
        <f t="shared" si="55"/>
        <v>1w</v>
      </c>
      <c r="Z1414" s="93">
        <f>_xll.qlCalendarAdvance(Calendar,Z1413,Y1414,"f",FALSE)</f>
        <v>49087</v>
      </c>
      <c r="AA1414" s="117">
        <f>_xll.qlCalendarAdvance(Calendar,Z1414,NDays&amp;"D")</f>
        <v>49089</v>
      </c>
      <c r="AB1414" s="92">
        <v>2.0340145789024489E-2</v>
      </c>
      <c r="AC1414" s="101">
        <v>2.0423186331148813E-2</v>
      </c>
    </row>
    <row r="1415" spans="25:29" x14ac:dyDescent="0.2">
      <c r="Y1415" s="105" t="str">
        <f t="shared" si="55"/>
        <v>1w</v>
      </c>
      <c r="Z1415" s="93">
        <f>_xll.qlCalendarAdvance(Calendar,Z1414,Y1415,"f",FALSE)</f>
        <v>49094</v>
      </c>
      <c r="AA1415" s="117">
        <f>_xll.qlCalendarAdvance(Calendar,Z1415,NDays&amp;"D")</f>
        <v>49096</v>
      </c>
      <c r="AB1415" s="92">
        <v>2.0326954760713715E-2</v>
      </c>
      <c r="AC1415" s="101">
        <v>2.0409334816653413E-2</v>
      </c>
    </row>
    <row r="1416" spans="25:29" x14ac:dyDescent="0.2">
      <c r="Y1416" s="105" t="str">
        <f t="shared" si="55"/>
        <v>1w</v>
      </c>
      <c r="Z1416" s="93">
        <f>_xll.qlCalendarAdvance(Calendar,Z1415,Y1416,"f",FALSE)</f>
        <v>49101</v>
      </c>
      <c r="AA1416" s="117">
        <f>_xll.qlCalendarAdvance(Calendar,Z1416,NDays&amp;"D")</f>
        <v>49103</v>
      </c>
      <c r="AB1416" s="92">
        <v>2.0312245652272732E-2</v>
      </c>
      <c r="AC1416" s="101">
        <v>2.0395432728372853E-2</v>
      </c>
    </row>
    <row r="1417" spans="25:29" x14ac:dyDescent="0.2">
      <c r="Y1417" s="105" t="str">
        <f t="shared" si="55"/>
        <v>1w</v>
      </c>
      <c r="Z1417" s="93">
        <f>_xll.qlCalendarAdvance(Calendar,Z1416,Y1417,"f",FALSE)</f>
        <v>49108</v>
      </c>
      <c r="AA1417" s="117">
        <f>_xll.qlCalendarAdvance(Calendar,Z1417,NDays&amp;"D")</f>
        <v>49110</v>
      </c>
      <c r="AB1417" s="92">
        <v>2.0297485559435589E-2</v>
      </c>
      <c r="AC1417" s="101">
        <v>2.038148006638707E-2</v>
      </c>
    </row>
    <row r="1418" spans="25:29" x14ac:dyDescent="0.2">
      <c r="Y1418" s="105" t="str">
        <f t="shared" si="55"/>
        <v>1w</v>
      </c>
      <c r="Z1418" s="93">
        <f>_xll.qlCalendarAdvance(Calendar,Z1417,Y1418,"f",FALSE)</f>
        <v>49115</v>
      </c>
      <c r="AA1418" s="117">
        <f>_xll.qlCalendarAdvance(Calendar,Z1418,NDays&amp;"D")</f>
        <v>49117</v>
      </c>
      <c r="AB1418" s="92">
        <v>2.0282674483339737E-2</v>
      </c>
      <c r="AC1418" s="101">
        <v>2.0367476830616127E-2</v>
      </c>
    </row>
    <row r="1419" spans="25:29" x14ac:dyDescent="0.2">
      <c r="Y1419" s="105" t="str">
        <f t="shared" si="55"/>
        <v>1w</v>
      </c>
      <c r="Z1419" s="93">
        <f>_xll.qlCalendarAdvance(Calendar,Z1418,Y1419,"f",FALSE)</f>
        <v>49122</v>
      </c>
      <c r="AA1419" s="117">
        <f>_xll.qlCalendarAdvance(Calendar,Z1419,NDays&amp;"D")</f>
        <v>49124</v>
      </c>
      <c r="AB1419" s="92">
        <v>2.0267812425126125E-2</v>
      </c>
      <c r="AC1419" s="101">
        <v>2.0353423021060024E-2</v>
      </c>
    </row>
    <row r="1420" spans="25:29" x14ac:dyDescent="0.2">
      <c r="Y1420" s="105" t="str">
        <f t="shared" si="55"/>
        <v>1w</v>
      </c>
      <c r="Z1420" s="93">
        <f>_xll.qlCalendarAdvance(Calendar,Z1419,Y1420,"f",FALSE)</f>
        <v>49129</v>
      </c>
      <c r="AA1420" s="117">
        <f>_xll.qlCalendarAdvance(Calendar,Z1420,NDays&amp;"D")</f>
        <v>49131</v>
      </c>
      <c r="AB1420" s="92">
        <v>2.025135180536063E-2</v>
      </c>
      <c r="AC1420" s="101">
        <v>2.033931863755889E-2</v>
      </c>
    </row>
    <row r="1421" spans="25:29" x14ac:dyDescent="0.2">
      <c r="Y1421" s="105" t="str">
        <f t="shared" si="55"/>
        <v>1w</v>
      </c>
      <c r="Z1421" s="93">
        <f>_xll.qlCalendarAdvance(Calendar,Z1420,Y1421,"f",FALSE)</f>
        <v>49136</v>
      </c>
      <c r="AA1421" s="117">
        <f>_xll.qlCalendarAdvance(Calendar,Z1421,NDays&amp;"D")</f>
        <v>49138</v>
      </c>
      <c r="AB1421" s="92">
        <v>2.0236374349269788E-2</v>
      </c>
      <c r="AC1421" s="101">
        <v>2.0325163680512404E-2</v>
      </c>
    </row>
    <row r="1422" spans="25:29" x14ac:dyDescent="0.2">
      <c r="Y1422" s="105" t="str">
        <f t="shared" si="55"/>
        <v>1w</v>
      </c>
      <c r="Z1422" s="93">
        <f>_xll.qlCalendarAdvance(Calendar,Z1421,Y1422,"f",FALSE)</f>
        <v>49143</v>
      </c>
      <c r="AA1422" s="117">
        <f>_xll.qlCalendarAdvance(Calendar,Z1422,NDays&amp;"D")</f>
        <v>49145</v>
      </c>
      <c r="AB1422" s="92">
        <v>2.0221345908061312E-2</v>
      </c>
      <c r="AC1422" s="101">
        <v>2.0310958149520886E-2</v>
      </c>
    </row>
    <row r="1423" spans="25:29" x14ac:dyDescent="0.2">
      <c r="Y1423" s="105" t="str">
        <f t="shared" si="55"/>
        <v>1w</v>
      </c>
      <c r="Z1423" s="93">
        <f>_xll.qlCalendarAdvance(Calendar,Z1422,Y1423,"f",FALSE)</f>
        <v>49150</v>
      </c>
      <c r="AA1423" s="117">
        <f>_xll.qlCalendarAdvance(Calendar,Z1423,NDays&amp;"D")</f>
        <v>49152</v>
      </c>
      <c r="AB1423" s="92">
        <v>2.0206266482912755E-2</v>
      </c>
      <c r="AC1423" s="101">
        <v>2.029670204490408E-2</v>
      </c>
    </row>
    <row r="1424" spans="25:29" x14ac:dyDescent="0.2">
      <c r="Y1424" s="105" t="str">
        <f t="shared" si="55"/>
        <v>1w</v>
      </c>
      <c r="Z1424" s="93">
        <f>_xll.qlCalendarAdvance(Calendar,Z1423,Y1424,"f",FALSE)</f>
        <v>49157</v>
      </c>
      <c r="AA1424" s="117">
        <f>_xll.qlCalendarAdvance(Calendar,Z1424,NDays&amp;"D")</f>
        <v>49159</v>
      </c>
      <c r="AB1424" s="92">
        <v>2.0191136075004681E-2</v>
      </c>
      <c r="AC1424" s="101">
        <v>2.0282395366582051E-2</v>
      </c>
    </row>
    <row r="1425" spans="25:29" x14ac:dyDescent="0.2">
      <c r="Y1425" s="105" t="str">
        <f t="shared" si="55"/>
        <v>1w</v>
      </c>
      <c r="Z1425" s="93">
        <f>_xll.qlCalendarAdvance(Calendar,Z1424,Y1425,"f",FALSE)</f>
        <v>49164</v>
      </c>
      <c r="AA1425" s="117">
        <f>_xll.qlCalendarAdvance(Calendar,Z1425,NDays&amp;"D")</f>
        <v>49166</v>
      </c>
      <c r="AB1425" s="92">
        <v>2.0175954685522374E-2</v>
      </c>
      <c r="AC1425" s="101">
        <v>2.026803811431499E-2</v>
      </c>
    </row>
    <row r="1426" spans="25:29" x14ac:dyDescent="0.2">
      <c r="Y1426" s="105" t="str">
        <f t="shared" si="55"/>
        <v>1w</v>
      </c>
      <c r="Z1426" s="93">
        <f>_xll.qlCalendarAdvance(Calendar,Z1425,Y1426,"f",FALSE)</f>
        <v>49171</v>
      </c>
      <c r="AA1426" s="117">
        <f>_xll.qlCalendarAdvance(Calendar,Z1426,NDays&amp;"D")</f>
        <v>49173</v>
      </c>
      <c r="AB1426" s="92">
        <v>2.0160722315655851E-2</v>
      </c>
      <c r="AC1426" s="101">
        <v>2.0253630288502578E-2</v>
      </c>
    </row>
    <row r="1427" spans="25:29" x14ac:dyDescent="0.2">
      <c r="Y1427" s="105" t="str">
        <f t="shared" si="55"/>
        <v>1w</v>
      </c>
      <c r="Z1427" s="93">
        <f>_xll.qlCalendarAdvance(Calendar,Z1426,Y1427,"f",FALSE)</f>
        <v>49178</v>
      </c>
      <c r="AA1427" s="117">
        <f>_xll.qlCalendarAdvance(Calendar,Z1427,NDays&amp;"D")</f>
        <v>49180</v>
      </c>
      <c r="AB1427" s="92">
        <v>2.0145438966596419E-2</v>
      </c>
      <c r="AC1427" s="101">
        <v>2.0239171888905005E-2</v>
      </c>
    </row>
    <row r="1428" spans="25:29" x14ac:dyDescent="0.2">
      <c r="Y1428" s="105" t="str">
        <f t="shared" si="55"/>
        <v>1w</v>
      </c>
      <c r="Z1428" s="93">
        <f>_xll.qlCalendarAdvance(Calendar,Z1427,Y1428,"f",FALSE)</f>
        <v>49185</v>
      </c>
      <c r="AA1428" s="117">
        <f>_xll.qlCalendarAdvance(Calendar,Z1428,NDays&amp;"D")</f>
        <v>49187</v>
      </c>
      <c r="AB1428" s="92">
        <v>2.0132861151320357E-2</v>
      </c>
      <c r="AC1428" s="101">
        <v>2.0224662915522273E-2</v>
      </c>
    </row>
    <row r="1429" spans="25:29" x14ac:dyDescent="0.2">
      <c r="Y1429" s="105" t="str">
        <f t="shared" ref="Y1429:Y1492" si="56">Y1428</f>
        <v>1w</v>
      </c>
      <c r="Z1429" s="93">
        <f>_xll.qlCalendarAdvance(Calendar,Z1428,Y1429,"f",FALSE)</f>
        <v>49192</v>
      </c>
      <c r="AA1429" s="117">
        <f>_xll.qlCalendarAdvance(Calendar,Z1429,NDays&amp;"D")</f>
        <v>49194</v>
      </c>
      <c r="AB1429" s="92">
        <v>2.011749832588116E-2</v>
      </c>
      <c r="AC1429" s="101">
        <v>2.021010336859419E-2</v>
      </c>
    </row>
    <row r="1430" spans="25:29" x14ac:dyDescent="0.2">
      <c r="Y1430" s="105" t="str">
        <f t="shared" si="56"/>
        <v>1w</v>
      </c>
      <c r="Z1430" s="93">
        <f>_xll.qlCalendarAdvance(Calendar,Z1429,Y1430,"f",FALSE)</f>
        <v>49199</v>
      </c>
      <c r="AA1430" s="117">
        <f>_xll.qlCalendarAdvance(Calendar,Z1430,NDays&amp;"D")</f>
        <v>49201</v>
      </c>
      <c r="AB1430" s="92">
        <v>2.0102084535334915E-2</v>
      </c>
      <c r="AC1430" s="101">
        <v>2.0195493247801011E-2</v>
      </c>
    </row>
    <row r="1431" spans="25:29" x14ac:dyDescent="0.2">
      <c r="Y1431" s="105" t="str">
        <f t="shared" si="56"/>
        <v>1w</v>
      </c>
      <c r="Z1431" s="93">
        <f>_xll.qlCalendarAdvance(Calendar,Z1430,Y1431,"f",FALSE)</f>
        <v>49206</v>
      </c>
      <c r="AA1431" s="117">
        <f>_xll.qlCalendarAdvance(Calendar,Z1431,NDays&amp;"D")</f>
        <v>49208</v>
      </c>
      <c r="AB1431" s="92">
        <v>2.0086619780855044E-2</v>
      </c>
      <c r="AC1431" s="101">
        <v>2.0180832553302608E-2</v>
      </c>
    </row>
    <row r="1432" spans="25:29" x14ac:dyDescent="0.2">
      <c r="Y1432" s="105" t="str">
        <f t="shared" si="56"/>
        <v>1w</v>
      </c>
      <c r="Z1432" s="93">
        <f>_xll.qlCalendarAdvance(Calendar,Z1431,Y1432,"f",FALSE)</f>
        <v>49213</v>
      </c>
      <c r="AA1432" s="117">
        <f>_xll.qlCalendarAdvance(Calendar,Z1432,NDays&amp;"D")</f>
        <v>49215</v>
      </c>
      <c r="AB1432" s="92">
        <v>2.0071104063620712E-2</v>
      </c>
      <c r="AC1432" s="101">
        <v>2.0166121285098981E-2</v>
      </c>
    </row>
    <row r="1433" spans="25:29" x14ac:dyDescent="0.2">
      <c r="Y1433" s="105" t="str">
        <f t="shared" si="56"/>
        <v>1w</v>
      </c>
      <c r="Z1433" s="93">
        <f>_xll.qlCalendarAdvance(Calendar,Z1432,Y1433,"f",FALSE)</f>
        <v>49220</v>
      </c>
      <c r="AA1433" s="117">
        <f>_xll.qlCalendarAdvance(Calendar,Z1433,NDays&amp;"D")</f>
        <v>49222</v>
      </c>
      <c r="AB1433" s="92">
        <v>2.0054964486337874E-2</v>
      </c>
      <c r="AC1433" s="101">
        <v>2.0151359443350003E-2</v>
      </c>
    </row>
    <row r="1434" spans="25:29" x14ac:dyDescent="0.2">
      <c r="Y1434" s="105" t="str">
        <f t="shared" si="56"/>
        <v>1w</v>
      </c>
      <c r="Z1434" s="93">
        <f>_xll.qlCalendarAdvance(Calendar,Z1433,Y1434,"f",FALSE)</f>
        <v>49227</v>
      </c>
      <c r="AA1434" s="117">
        <f>_xll.qlCalendarAdvance(Calendar,Z1434,NDays&amp;"D")</f>
        <v>49229</v>
      </c>
      <c r="AB1434" s="92">
        <v>2.0039342341746307E-2</v>
      </c>
      <c r="AC1434" s="101">
        <v>2.0136547027815865E-2</v>
      </c>
    </row>
    <row r="1435" spans="25:29" x14ac:dyDescent="0.2">
      <c r="Y1435" s="105" t="str">
        <f t="shared" si="56"/>
        <v>1w</v>
      </c>
      <c r="Z1435" s="93">
        <f>_xll.qlCalendarAdvance(Calendar,Z1434,Y1435,"f",FALSE)</f>
        <v>49234</v>
      </c>
      <c r="AA1435" s="117">
        <f>_xll.qlCalendarAdvance(Calendar,Z1435,NDays&amp;"D")</f>
        <v>49236</v>
      </c>
      <c r="AB1435" s="92">
        <v>2.0023669235896668E-2</v>
      </c>
      <c r="AC1435" s="101">
        <v>2.012168403865644E-2</v>
      </c>
    </row>
    <row r="1436" spans="25:29" x14ac:dyDescent="0.2">
      <c r="Y1436" s="105" t="str">
        <f t="shared" si="56"/>
        <v>1w</v>
      </c>
      <c r="Z1436" s="93">
        <f>_xll.qlCalendarAdvance(Calendar,Z1435,Y1436,"f",FALSE)</f>
        <v>49241</v>
      </c>
      <c r="AA1436" s="117">
        <f>_xll.qlCalendarAdvance(Calendar,Z1436,NDays&amp;"D")</f>
        <v>49243</v>
      </c>
      <c r="AB1436" s="92">
        <v>2.0007945169989754E-2</v>
      </c>
      <c r="AC1436" s="101">
        <v>2.0106770475711855E-2</v>
      </c>
    </row>
    <row r="1437" spans="25:29" x14ac:dyDescent="0.2">
      <c r="Y1437" s="105" t="str">
        <f t="shared" si="56"/>
        <v>1w</v>
      </c>
      <c r="Z1437" s="93">
        <f>_xll.qlCalendarAdvance(Calendar,Z1436,Y1437,"f",FALSE)</f>
        <v>49248</v>
      </c>
      <c r="AA1437" s="117">
        <f>_xll.qlCalendarAdvance(Calendar,Z1437,NDays&amp;"D")</f>
        <v>49250</v>
      </c>
      <c r="AB1437" s="92">
        <v>1.9992761077660067E-2</v>
      </c>
      <c r="AC1437" s="101">
        <v>2.0091806339141982E-2</v>
      </c>
    </row>
    <row r="1438" spans="25:29" x14ac:dyDescent="0.2">
      <c r="Y1438" s="105" t="str">
        <f t="shared" si="56"/>
        <v>1w</v>
      </c>
      <c r="Z1438" s="93">
        <f>_xll.qlCalendarAdvance(Calendar,Z1437,Y1438,"f",FALSE)</f>
        <v>49255</v>
      </c>
      <c r="AA1438" s="117">
        <f>_xll.qlCalendarAdvance(Calendar,Z1438,NDays&amp;"D")</f>
        <v>49257</v>
      </c>
      <c r="AB1438" s="92">
        <v>1.9976939608869509E-2</v>
      </c>
      <c r="AC1438" s="101">
        <v>2.0076791628946822E-2</v>
      </c>
    </row>
    <row r="1439" spans="25:29" x14ac:dyDescent="0.2">
      <c r="Y1439" s="105" t="str">
        <f t="shared" si="56"/>
        <v>1w</v>
      </c>
      <c r="Z1439" s="93">
        <f>_xll.qlCalendarAdvance(Calendar,Z1438,Y1439,"f",FALSE)</f>
        <v>49262</v>
      </c>
      <c r="AA1439" s="117">
        <f>_xll.qlCalendarAdvance(Calendar,Z1439,NDays&amp;"D")</f>
        <v>49264</v>
      </c>
      <c r="AB1439" s="92">
        <v>1.9961067185683773E-2</v>
      </c>
      <c r="AC1439" s="101">
        <v>2.0061726345126374E-2</v>
      </c>
    </row>
    <row r="1440" spans="25:29" x14ac:dyDescent="0.2">
      <c r="Y1440" s="105" t="str">
        <f t="shared" si="56"/>
        <v>1w</v>
      </c>
      <c r="Z1440" s="93">
        <f>_xll.qlCalendarAdvance(Calendar,Z1439,Y1440,"f",FALSE)</f>
        <v>49269</v>
      </c>
      <c r="AA1440" s="117">
        <f>_xll.qlCalendarAdvance(Calendar,Z1440,NDays&amp;"D")</f>
        <v>49271</v>
      </c>
      <c r="AB1440" s="92">
        <v>1.9945143809313823E-2</v>
      </c>
      <c r="AC1440" s="101">
        <v>2.0046610487600702E-2</v>
      </c>
    </row>
    <row r="1441" spans="25:29" x14ac:dyDescent="0.2">
      <c r="Y1441" s="105" t="str">
        <f t="shared" si="56"/>
        <v>1w</v>
      </c>
      <c r="Z1441" s="93">
        <f>_xll.qlCalendarAdvance(Calendar,Z1440,Y1441,"f",FALSE)</f>
        <v>49276</v>
      </c>
      <c r="AA1441" s="117">
        <f>_xll.qlCalendarAdvance(Calendar,Z1441,NDays&amp;"D")</f>
        <v>49278</v>
      </c>
      <c r="AB1441" s="92">
        <v>1.9928560481907307E-2</v>
      </c>
      <c r="AC1441" s="101">
        <v>2.0031444056369807E-2</v>
      </c>
    </row>
    <row r="1442" spans="25:29" x14ac:dyDescent="0.2">
      <c r="Y1442" s="105" t="str">
        <f t="shared" si="56"/>
        <v>1w</v>
      </c>
      <c r="Z1442" s="93">
        <f>_xll.qlCalendarAdvance(Calendar,Z1441,Y1442,"f",FALSE)</f>
        <v>49283</v>
      </c>
      <c r="AA1442" s="117">
        <f>_xll.qlCalendarAdvance(Calendar,Z1442,NDays&amp;"D")</f>
        <v>49285</v>
      </c>
      <c r="AB1442" s="92">
        <v>1.9912530681098384E-2</v>
      </c>
      <c r="AC1442" s="101">
        <v>2.0016227051673496E-2</v>
      </c>
    </row>
    <row r="1443" spans="25:29" x14ac:dyDescent="0.2">
      <c r="Y1443" s="105" t="str">
        <f t="shared" si="56"/>
        <v>1w</v>
      </c>
      <c r="Z1443" s="93">
        <f>_xll.qlCalendarAdvance(Calendar,Z1442,Y1443,"f",FALSE)</f>
        <v>49290</v>
      </c>
      <c r="AA1443" s="117">
        <f>_xll.qlCalendarAdvance(Calendar,Z1443,NDays&amp;"D")</f>
        <v>49292</v>
      </c>
      <c r="AB1443" s="92">
        <v>1.9896449928749768E-2</v>
      </c>
      <c r="AC1443" s="101">
        <v>2.0000959473192026E-2</v>
      </c>
    </row>
    <row r="1444" spans="25:29" x14ac:dyDescent="0.2">
      <c r="Y1444" s="105" t="str">
        <f t="shared" si="56"/>
        <v>1w</v>
      </c>
      <c r="Z1444" s="93">
        <f>_xll.qlCalendarAdvance(Calendar,Z1443,Y1444,"f",FALSE)</f>
        <v>49297</v>
      </c>
      <c r="AA1444" s="117">
        <f>_xll.qlCalendarAdvance(Calendar,Z1444,NDays&amp;"D")</f>
        <v>49299</v>
      </c>
      <c r="AB1444" s="92">
        <v>1.9880318226093447E-2</v>
      </c>
      <c r="AC1444" s="101">
        <v>1.998564132124514E-2</v>
      </c>
    </row>
    <row r="1445" spans="25:29" x14ac:dyDescent="0.2">
      <c r="Y1445" s="105" t="str">
        <f t="shared" si="56"/>
        <v>1w</v>
      </c>
      <c r="Z1445" s="93">
        <f>_xll.qlCalendarAdvance(Calendar,Z1444,Y1445,"f",FALSE)</f>
        <v>49305</v>
      </c>
      <c r="AA1445" s="117">
        <f>_xll.qlCalendarAdvance(Calendar,Z1445,NDays&amp;"D")</f>
        <v>49307</v>
      </c>
      <c r="AB1445" s="92">
        <v>1.9861819607940118E-2</v>
      </c>
      <c r="AC1445" s="101">
        <v>1.9966431725211287E-2</v>
      </c>
    </row>
    <row r="1446" spans="25:29" x14ac:dyDescent="0.2">
      <c r="Y1446" s="105" t="str">
        <f t="shared" si="56"/>
        <v>1w</v>
      </c>
      <c r="Z1446" s="93">
        <f>_xll.qlCalendarAdvance(Calendar,Z1445,Y1446,"f",FALSE)</f>
        <v>49312</v>
      </c>
      <c r="AA1446" s="117">
        <f>_xll.qlCalendarAdvance(Calendar,Z1446,NDays&amp;"D")</f>
        <v>49314</v>
      </c>
      <c r="AB1446" s="92">
        <v>1.9846211067100508E-2</v>
      </c>
      <c r="AC1446" s="101">
        <v>1.99515437805875E-2</v>
      </c>
    </row>
    <row r="1447" spans="25:29" x14ac:dyDescent="0.2">
      <c r="Y1447" s="105" t="str">
        <f t="shared" si="56"/>
        <v>1w</v>
      </c>
      <c r="Z1447" s="93">
        <f>_xll.qlCalendarAdvance(Calendar,Z1446,Y1447,"f",FALSE)</f>
        <v>49319</v>
      </c>
      <c r="AA1447" s="117">
        <f>_xll.qlCalendarAdvance(Calendar,Z1447,NDays&amp;"D")</f>
        <v>49321</v>
      </c>
      <c r="AB1447" s="92">
        <v>1.9829926008748073E-2</v>
      </c>
      <c r="AC1447" s="101">
        <v>1.993605774250895E-2</v>
      </c>
    </row>
    <row r="1448" spans="25:29" x14ac:dyDescent="0.2">
      <c r="Y1448" s="105" t="str">
        <f t="shared" si="56"/>
        <v>1w</v>
      </c>
      <c r="Z1448" s="93">
        <f>_xll.qlCalendarAdvance(Calendar,Z1447,Y1448,"f",FALSE)</f>
        <v>49326</v>
      </c>
      <c r="AA1448" s="117">
        <f>_xll.qlCalendarAdvance(Calendar,Z1448,NDays&amp;"D")</f>
        <v>49328</v>
      </c>
      <c r="AB1448" s="92">
        <v>1.9813596756774941E-2</v>
      </c>
      <c r="AC1448" s="101">
        <v>1.9920521126595148E-2</v>
      </c>
    </row>
    <row r="1449" spans="25:29" x14ac:dyDescent="0.2">
      <c r="Y1449" s="105" t="str">
        <f t="shared" si="56"/>
        <v>1w</v>
      </c>
      <c r="Z1449" s="93">
        <f>_xll.qlCalendarAdvance(Calendar,Z1448,Y1449,"f",FALSE)</f>
        <v>49333</v>
      </c>
      <c r="AA1449" s="117">
        <f>_xll.qlCalendarAdvance(Calendar,Z1449,NDays&amp;"D")</f>
        <v>49335</v>
      </c>
      <c r="AB1449" s="92">
        <v>1.9797228036946085E-2</v>
      </c>
      <c r="AC1449" s="101">
        <v>1.9904933932846092E-2</v>
      </c>
    </row>
    <row r="1450" spans="25:29" x14ac:dyDescent="0.2">
      <c r="Y1450" s="105" t="str">
        <f t="shared" si="56"/>
        <v>1w</v>
      </c>
      <c r="Z1450" s="93">
        <f>_xll.qlCalendarAdvance(Calendar,Z1449,Y1450,"f",FALSE)</f>
        <v>49340</v>
      </c>
      <c r="AA1450" s="117">
        <f>_xll.qlCalendarAdvance(Calendar,Z1450,NDays&amp;"D")</f>
        <v>49342</v>
      </c>
      <c r="AB1450" s="92">
        <v>1.9780824574875438E-2</v>
      </c>
      <c r="AC1450" s="101">
        <v>1.9889296161235137E-2</v>
      </c>
    </row>
    <row r="1451" spans="25:29" x14ac:dyDescent="0.2">
      <c r="Y1451" s="105" t="str">
        <f t="shared" si="56"/>
        <v>1w</v>
      </c>
      <c r="Z1451" s="93">
        <f>_xll.qlCalendarAdvance(Calendar,Z1450,Y1451,"f",FALSE)</f>
        <v>49347</v>
      </c>
      <c r="AA1451" s="117">
        <f>_xll.qlCalendarAdvance(Calendar,Z1451,NDays&amp;"D")</f>
        <v>49349</v>
      </c>
      <c r="AB1451" s="92">
        <v>1.9764391096025451E-2</v>
      </c>
      <c r="AC1451" s="101">
        <v>1.9873607811868865E-2</v>
      </c>
    </row>
    <row r="1452" spans="25:29" x14ac:dyDescent="0.2">
      <c r="Y1452" s="105" t="str">
        <f t="shared" si="56"/>
        <v>1w</v>
      </c>
      <c r="Z1452" s="93">
        <f>_xll.qlCalendarAdvance(Calendar,Z1451,Y1452,"f",FALSE)</f>
        <v>49354</v>
      </c>
      <c r="AA1452" s="117">
        <f>_xll.qlCalendarAdvance(Calendar,Z1452,NDays&amp;"D")</f>
        <v>49356</v>
      </c>
      <c r="AB1452" s="92">
        <v>1.9747932325702683E-2</v>
      </c>
      <c r="AC1452" s="101">
        <v>1.9857868884693985E-2</v>
      </c>
    </row>
    <row r="1453" spans="25:29" x14ac:dyDescent="0.2">
      <c r="Y1453" s="105" t="str">
        <f t="shared" si="56"/>
        <v>1w</v>
      </c>
      <c r="Z1453" s="93">
        <f>_xll.qlCalendarAdvance(Calendar,Z1452,Y1453,"f",FALSE)</f>
        <v>49361</v>
      </c>
      <c r="AA1453" s="117">
        <f>_xll.qlCalendarAdvance(Calendar,Z1453,NDays&amp;"D")</f>
        <v>49363</v>
      </c>
      <c r="AB1453" s="92">
        <v>1.9731452989062648E-2</v>
      </c>
      <c r="AC1453" s="101">
        <v>1.9842079379763788E-2</v>
      </c>
    </row>
    <row r="1454" spans="25:29" x14ac:dyDescent="0.2">
      <c r="Y1454" s="105" t="str">
        <f t="shared" si="56"/>
        <v>1w</v>
      </c>
      <c r="Z1454" s="93">
        <f>_xll.qlCalendarAdvance(Calendar,Z1453,Y1454,"f",FALSE)</f>
        <v>49368</v>
      </c>
      <c r="AA1454" s="117">
        <f>_xll.qlCalendarAdvance(Calendar,Z1454,NDays&amp;"D")</f>
        <v>49370</v>
      </c>
      <c r="AB1454" s="92">
        <v>1.971237097014631E-2</v>
      </c>
      <c r="AC1454" s="101">
        <v>1.9826239297078274E-2</v>
      </c>
    </row>
    <row r="1455" spans="25:29" x14ac:dyDescent="0.2">
      <c r="Y1455" s="105" t="str">
        <f t="shared" si="56"/>
        <v>1w</v>
      </c>
      <c r="Z1455" s="93">
        <f>_xll.qlCalendarAdvance(Calendar,Z1454,Y1455,"f",FALSE)</f>
        <v>49375</v>
      </c>
      <c r="AA1455" s="117">
        <f>_xll.qlCalendarAdvance(Calendar,Z1455,NDays&amp;"D")</f>
        <v>49377</v>
      </c>
      <c r="AB1455" s="92">
        <v>1.9695866789676896E-2</v>
      </c>
      <c r="AC1455" s="101">
        <v>1.9810348636717379E-2</v>
      </c>
    </row>
    <row r="1456" spans="25:29" x14ac:dyDescent="0.2">
      <c r="Y1456" s="105" t="str">
        <f t="shared" si="56"/>
        <v>1w</v>
      </c>
      <c r="Z1456" s="93">
        <f>_xll.qlCalendarAdvance(Calendar,Z1455,Y1456,"f",FALSE)</f>
        <v>49382</v>
      </c>
      <c r="AA1456" s="117">
        <f>_xll.qlCalendarAdvance(Calendar,Z1456,NDays&amp;"D")</f>
        <v>49384</v>
      </c>
      <c r="AB1456" s="92">
        <v>1.9679357897486306E-2</v>
      </c>
      <c r="AC1456" s="101">
        <v>1.9794407398627811E-2</v>
      </c>
    </row>
    <row r="1457" spans="25:29" x14ac:dyDescent="0.2">
      <c r="Y1457" s="105" t="str">
        <f t="shared" si="56"/>
        <v>1w</v>
      </c>
      <c r="Z1457" s="93">
        <f>_xll.qlCalendarAdvance(Calendar,Z1456,Y1457,"f",FALSE)</f>
        <v>49389</v>
      </c>
      <c r="AA1457" s="117">
        <f>_xll.qlCalendarAdvance(Calendar,Z1457,NDays&amp;"D")</f>
        <v>49395</v>
      </c>
      <c r="AB1457" s="92">
        <v>1.9654059529226393E-2</v>
      </c>
      <c r="AC1457" s="101">
        <v>1.9770461035655273E-2</v>
      </c>
    </row>
    <row r="1458" spans="25:29" x14ac:dyDescent="0.2">
      <c r="Y1458" s="105" t="str">
        <f t="shared" si="56"/>
        <v>1w</v>
      </c>
      <c r="Z1458" s="93">
        <f>_xll.qlCalendarAdvance(Calendar,Z1457,Y1458,"f",FALSE)</f>
        <v>49396</v>
      </c>
      <c r="AA1458" s="117">
        <f>_xll.qlCalendarAdvance(Calendar,Z1458,NDays&amp;"D")</f>
        <v>49398</v>
      </c>
      <c r="AB1458" s="92">
        <v>1.9648270609380982E-2</v>
      </c>
      <c r="AC1458" s="101">
        <v>1.9762373189449178E-2</v>
      </c>
    </row>
    <row r="1459" spans="25:29" x14ac:dyDescent="0.2">
      <c r="Y1459" s="105" t="str">
        <f t="shared" si="56"/>
        <v>1w</v>
      </c>
      <c r="Z1459" s="93">
        <f>_xll.qlCalendarAdvance(Calendar,Z1458,Y1459,"f",FALSE)</f>
        <v>49403</v>
      </c>
      <c r="AA1459" s="117">
        <f>_xll.qlCalendarAdvance(Calendar,Z1459,NDays&amp;"D")</f>
        <v>49405</v>
      </c>
      <c r="AB1459" s="92">
        <v>1.9629849183221207E-2</v>
      </c>
      <c r="AC1459" s="101">
        <v>1.9746280218386758E-2</v>
      </c>
    </row>
    <row r="1460" spans="25:29" x14ac:dyDescent="0.2">
      <c r="Y1460" s="105" t="str">
        <f t="shared" si="56"/>
        <v>1w</v>
      </c>
      <c r="Z1460" s="93">
        <f>_xll.qlCalendarAdvance(Calendar,Z1459,Y1460,"f",FALSE)</f>
        <v>49410</v>
      </c>
      <c r="AA1460" s="117">
        <f>_xll.qlCalendarAdvance(Calendar,Z1460,NDays&amp;"D")</f>
        <v>49412</v>
      </c>
      <c r="AB1460" s="92">
        <v>1.9613367676006202E-2</v>
      </c>
      <c r="AC1460" s="101">
        <v>1.9730136669702247E-2</v>
      </c>
    </row>
    <row r="1461" spans="25:29" x14ac:dyDescent="0.2">
      <c r="Y1461" s="105" t="str">
        <f t="shared" si="56"/>
        <v>1w</v>
      </c>
      <c r="Z1461" s="93">
        <f>_xll.qlCalendarAdvance(Calendar,Z1460,Y1461,"f",FALSE)</f>
        <v>49417</v>
      </c>
      <c r="AA1461" s="117">
        <f>_xll.qlCalendarAdvance(Calendar,Z1461,NDays&amp;"D")</f>
        <v>49419</v>
      </c>
      <c r="AB1461" s="92">
        <v>1.9596904572226945E-2</v>
      </c>
      <c r="AC1461" s="101">
        <v>1.9713942543422291E-2</v>
      </c>
    </row>
    <row r="1462" spans="25:29" x14ac:dyDescent="0.2">
      <c r="Y1462" s="105" t="str">
        <f t="shared" si="56"/>
        <v>1w</v>
      </c>
      <c r="Z1462" s="93">
        <f>_xll.qlCalendarAdvance(Calendar,Z1461,Y1462,"f",FALSE)</f>
        <v>49424</v>
      </c>
      <c r="AA1462" s="117">
        <f>_xll.qlCalendarAdvance(Calendar,Z1462,NDays&amp;"D")</f>
        <v>49426</v>
      </c>
      <c r="AB1462" s="92">
        <v>1.958046449444955E-2</v>
      </c>
      <c r="AC1462" s="101">
        <v>1.969769783954689E-2</v>
      </c>
    </row>
    <row r="1463" spans="25:29" x14ac:dyDescent="0.2">
      <c r="Y1463" s="105" t="str">
        <f t="shared" si="56"/>
        <v>1w</v>
      </c>
      <c r="Z1463" s="93">
        <f>_xll.qlCalendarAdvance(Calendar,Z1462,Y1463,"f",FALSE)</f>
        <v>49431</v>
      </c>
      <c r="AA1463" s="117">
        <f>_xll.qlCalendarAdvance(Calendar,Z1463,NDays&amp;"D")</f>
        <v>49433</v>
      </c>
      <c r="AB1463" s="92">
        <v>1.956405206508674E-2</v>
      </c>
      <c r="AC1463" s="101">
        <v>1.9681402558129335E-2</v>
      </c>
    </row>
    <row r="1464" spans="25:29" x14ac:dyDescent="0.2">
      <c r="Y1464" s="105" t="str">
        <f t="shared" si="56"/>
        <v>1w</v>
      </c>
      <c r="Z1464" s="93">
        <f>_xll.qlCalendarAdvance(Calendar,Z1463,Y1464,"f",FALSE)</f>
        <v>49438</v>
      </c>
      <c r="AA1464" s="117">
        <f>_xll.qlCalendarAdvance(Calendar,Z1464,NDays&amp;"D")</f>
        <v>49440</v>
      </c>
      <c r="AB1464" s="92">
        <v>1.9547671906397848E-2</v>
      </c>
      <c r="AC1464" s="101">
        <v>1.9665056699169625E-2</v>
      </c>
    </row>
    <row r="1465" spans="25:29" x14ac:dyDescent="0.2">
      <c r="Y1465" s="105" t="str">
        <f t="shared" si="56"/>
        <v>1w</v>
      </c>
      <c r="Z1465" s="93">
        <f>_xll.qlCalendarAdvance(Calendar,Z1464,Y1465,"f",FALSE)</f>
        <v>49445</v>
      </c>
      <c r="AA1465" s="117">
        <f>_xll.qlCalendarAdvance(Calendar,Z1465,NDays&amp;"D")</f>
        <v>49447</v>
      </c>
      <c r="AB1465" s="92">
        <v>1.9531328640490543E-2</v>
      </c>
      <c r="AC1465" s="101">
        <v>1.9648660262694406E-2</v>
      </c>
    </row>
    <row r="1466" spans="25:29" x14ac:dyDescent="0.2">
      <c r="Y1466" s="105" t="str">
        <f t="shared" si="56"/>
        <v>1w</v>
      </c>
      <c r="Z1466" s="93">
        <f>_xll.qlCalendarAdvance(Calendar,Z1465,Y1466,"f",FALSE)</f>
        <v>49452</v>
      </c>
      <c r="AA1466" s="117">
        <f>_xll.qlCalendarAdvance(Calendar,Z1466,NDays&amp;"D")</f>
        <v>49454</v>
      </c>
      <c r="AB1466" s="92">
        <v>1.9515026889319532E-2</v>
      </c>
      <c r="AC1466" s="101">
        <v>1.9632213248730324E-2</v>
      </c>
    </row>
    <row r="1467" spans="25:29" x14ac:dyDescent="0.2">
      <c r="Y1467" s="105" t="str">
        <f t="shared" si="56"/>
        <v>1w</v>
      </c>
      <c r="Z1467" s="93">
        <f>_xll.qlCalendarAdvance(Calendar,Z1466,Y1467,"f",FALSE)</f>
        <v>49459</v>
      </c>
      <c r="AA1467" s="117">
        <f>_xll.qlCalendarAdvance(Calendar,Z1467,NDays&amp;"D")</f>
        <v>49461</v>
      </c>
      <c r="AB1467" s="92">
        <v>1.9498771274689165E-2</v>
      </c>
      <c r="AC1467" s="101">
        <v>1.9615715657304023E-2</v>
      </c>
    </row>
    <row r="1468" spans="25:29" x14ac:dyDescent="0.2">
      <c r="Y1468" s="105" t="str">
        <f t="shared" si="56"/>
        <v>1w</v>
      </c>
      <c r="Z1468" s="93">
        <f>_xll.qlCalendarAdvance(Calendar,Z1467,Y1468,"f",FALSE)</f>
        <v>49466</v>
      </c>
      <c r="AA1468" s="117">
        <f>_xll.qlCalendarAdvance(Calendar,Z1468,NDays&amp;"D")</f>
        <v>49468</v>
      </c>
      <c r="AB1468" s="92">
        <v>1.9482566418253418E-2</v>
      </c>
      <c r="AC1468" s="101">
        <v>1.9599167488388858E-2</v>
      </c>
    </row>
    <row r="1469" spans="25:29" x14ac:dyDescent="0.2">
      <c r="Y1469" s="105" t="str">
        <f t="shared" si="56"/>
        <v>1w</v>
      </c>
      <c r="Z1469" s="93">
        <f>_xll.qlCalendarAdvance(Calendar,Z1468,Y1469,"f",FALSE)</f>
        <v>49473</v>
      </c>
      <c r="AA1469" s="117">
        <f>_xll.qlCalendarAdvance(Calendar,Z1469,NDays&amp;"D")</f>
        <v>49475</v>
      </c>
      <c r="AB1469" s="92">
        <v>1.9466416941517201E-2</v>
      </c>
      <c r="AC1469" s="101">
        <v>1.9582568742064765E-2</v>
      </c>
    </row>
    <row r="1470" spans="25:29" x14ac:dyDescent="0.2">
      <c r="Y1470" s="105" t="str">
        <f t="shared" si="56"/>
        <v>1w</v>
      </c>
      <c r="Z1470" s="93">
        <f>_xll.qlCalendarAdvance(Calendar,Z1469,Y1470,"f",FALSE)</f>
        <v>49480</v>
      </c>
      <c r="AA1470" s="117">
        <f>_xll.qlCalendarAdvance(Calendar,Z1470,NDays&amp;"D")</f>
        <v>49482</v>
      </c>
      <c r="AB1470" s="92">
        <v>1.9450327465839374E-2</v>
      </c>
      <c r="AC1470" s="101">
        <v>1.95659194183051E-2</v>
      </c>
    </row>
    <row r="1471" spans="25:29" x14ac:dyDescent="0.2">
      <c r="Y1471" s="105" t="str">
        <f t="shared" si="56"/>
        <v>1w</v>
      </c>
      <c r="Z1471" s="93">
        <f>_xll.qlCalendarAdvance(Calendar,Z1470,Y1471,"f",FALSE)</f>
        <v>49487</v>
      </c>
      <c r="AA1471" s="117">
        <f>_xll.qlCalendarAdvance(Calendar,Z1471,NDays&amp;"D")</f>
        <v>49489</v>
      </c>
      <c r="AB1471" s="92">
        <v>1.9434302612431464E-2</v>
      </c>
      <c r="AC1471" s="101">
        <v>1.9549219517163152E-2</v>
      </c>
    </row>
    <row r="1472" spans="25:29" x14ac:dyDescent="0.2">
      <c r="Y1472" s="105" t="str">
        <f t="shared" si="56"/>
        <v>1w</v>
      </c>
      <c r="Z1472" s="93">
        <f>_xll.qlCalendarAdvance(Calendar,Z1471,Y1472,"f",FALSE)</f>
        <v>49494</v>
      </c>
      <c r="AA1472" s="117">
        <f>_xll.qlCalendarAdvance(Calendar,Z1472,NDays&amp;"D")</f>
        <v>49496</v>
      </c>
      <c r="AB1472" s="92">
        <v>1.9418346858604957E-2</v>
      </c>
      <c r="AC1472" s="101">
        <v>1.9532507308666069E-2</v>
      </c>
    </row>
    <row r="1473" spans="25:29" x14ac:dyDescent="0.2">
      <c r="Y1473" s="105" t="str">
        <f t="shared" si="56"/>
        <v>1w</v>
      </c>
      <c r="Z1473" s="93">
        <f>_xll.qlCalendarAdvance(Calendar,Z1472,Y1473,"f",FALSE)</f>
        <v>49501</v>
      </c>
      <c r="AA1473" s="117">
        <f>_xll.qlCalendarAdvance(Calendar,Z1473,NDays&amp;"D")</f>
        <v>49503</v>
      </c>
      <c r="AB1473" s="92">
        <v>1.9402462266905025E-2</v>
      </c>
      <c r="AC1473" s="101">
        <v>1.9515861801746581E-2</v>
      </c>
    </row>
    <row r="1474" spans="25:29" x14ac:dyDescent="0.2">
      <c r="Y1474" s="105" t="str">
        <f t="shared" si="56"/>
        <v>1w</v>
      </c>
      <c r="Z1474" s="93">
        <f>_xll.qlCalendarAdvance(Calendar,Z1473,Y1474,"f",FALSE)</f>
        <v>49508</v>
      </c>
      <c r="AA1474" s="117">
        <f>_xll.qlCalendarAdvance(Calendar,Z1474,NDays&amp;"D")</f>
        <v>49510</v>
      </c>
      <c r="AB1474" s="92">
        <v>1.9386648896254039E-2</v>
      </c>
      <c r="AC1474" s="101">
        <v>1.9499286699975471E-2</v>
      </c>
    </row>
    <row r="1475" spans="25:29" x14ac:dyDescent="0.2">
      <c r="Y1475" s="105" t="str">
        <f t="shared" si="56"/>
        <v>1w</v>
      </c>
      <c r="Z1475" s="93">
        <f>_xll.qlCalendarAdvance(Calendar,Z1474,Y1475,"f",FALSE)</f>
        <v>49515</v>
      </c>
      <c r="AA1475" s="117">
        <f>_xll.qlCalendarAdvance(Calendar,Z1475,NDays&amp;"D")</f>
        <v>49517</v>
      </c>
      <c r="AB1475" s="92">
        <v>1.9370906744934892E-2</v>
      </c>
      <c r="AC1475" s="101">
        <v>1.9482782003299448E-2</v>
      </c>
    </row>
    <row r="1476" spans="25:29" x14ac:dyDescent="0.2">
      <c r="Y1476" s="105" t="str">
        <f t="shared" si="56"/>
        <v>1w</v>
      </c>
      <c r="Z1476" s="93">
        <f>_xll.qlCalendarAdvance(Calendar,Z1475,Y1476,"f",FALSE)</f>
        <v>49522</v>
      </c>
      <c r="AA1476" s="117">
        <f>_xll.qlCalendarAdvance(Calendar,Z1476,NDays&amp;"D")</f>
        <v>49524</v>
      </c>
      <c r="AB1476" s="92">
        <v>1.9355235811239112E-2</v>
      </c>
      <c r="AC1476" s="101">
        <v>1.9466347711745158E-2</v>
      </c>
    </row>
    <row r="1477" spans="25:29" x14ac:dyDescent="0.2">
      <c r="Y1477" s="105" t="str">
        <f t="shared" si="56"/>
        <v>1w</v>
      </c>
      <c r="Z1477" s="93">
        <f>_xll.qlCalendarAdvance(Calendar,Z1476,Y1477,"f",FALSE)</f>
        <v>49529</v>
      </c>
      <c r="AA1477" s="117">
        <f>_xll.qlCalendarAdvance(Calendar,Z1477,NDays&amp;"D")</f>
        <v>49531</v>
      </c>
      <c r="AB1477" s="92">
        <v>1.9339636093463411E-2</v>
      </c>
      <c r="AC1477" s="101">
        <v>1.9449983825179373E-2</v>
      </c>
    </row>
    <row r="1478" spans="25:29" x14ac:dyDescent="0.2">
      <c r="Y1478" s="105" t="str">
        <f t="shared" si="56"/>
        <v>1w</v>
      </c>
      <c r="Z1478" s="93">
        <f>_xll.qlCalendarAdvance(Calendar,Z1477,Y1478,"f",FALSE)</f>
        <v>49536</v>
      </c>
      <c r="AA1478" s="117">
        <f>_xll.qlCalendarAdvance(Calendar,Z1478,NDays&amp;"D")</f>
        <v>49538</v>
      </c>
      <c r="AB1478" s="92">
        <v>1.9324107589915308E-2</v>
      </c>
      <c r="AC1478" s="101">
        <v>1.9433690343655385E-2</v>
      </c>
    </row>
    <row r="1479" spans="25:29" x14ac:dyDescent="0.2">
      <c r="Y1479" s="105" t="str">
        <f t="shared" si="56"/>
        <v>1w</v>
      </c>
      <c r="Z1479" s="93">
        <f>_xll.qlCalendarAdvance(Calendar,Z1478,Y1479,"f",FALSE)</f>
        <v>49543</v>
      </c>
      <c r="AA1479" s="117">
        <f>_xll.qlCalendarAdvance(Calendar,Z1479,NDays&amp;"D")</f>
        <v>49545</v>
      </c>
      <c r="AB1479" s="92">
        <v>1.9308650298908363E-2</v>
      </c>
      <c r="AC1479" s="101">
        <v>1.9417467267119903E-2</v>
      </c>
    </row>
    <row r="1480" spans="25:29" x14ac:dyDescent="0.2">
      <c r="Y1480" s="105" t="str">
        <f t="shared" si="56"/>
        <v>1w</v>
      </c>
      <c r="Z1480" s="93">
        <f>_xll.qlCalendarAdvance(Calendar,Z1479,Y1480,"f",FALSE)</f>
        <v>49550</v>
      </c>
      <c r="AA1480" s="117">
        <f>_xll.qlCalendarAdvance(Calendar,Z1480,NDays&amp;"D")</f>
        <v>49552</v>
      </c>
      <c r="AB1480" s="92">
        <v>1.9294942394150659E-2</v>
      </c>
      <c r="AC1480" s="101">
        <v>1.9401314595546282E-2</v>
      </c>
    </row>
    <row r="1481" spans="25:29" x14ac:dyDescent="0.2">
      <c r="Y1481" s="105" t="str">
        <f t="shared" si="56"/>
        <v>1w</v>
      </c>
      <c r="Z1481" s="93">
        <f>_xll.qlCalendarAdvance(Calendar,Z1480,Y1481,"f",FALSE)</f>
        <v>49557</v>
      </c>
      <c r="AA1481" s="117">
        <f>_xll.qlCalendarAdvance(Calendar,Z1481,NDays&amp;"D")</f>
        <v>49559</v>
      </c>
      <c r="AB1481" s="92">
        <v>1.9279614716584358E-2</v>
      </c>
      <c r="AC1481" s="101">
        <v>1.938523232888123E-2</v>
      </c>
    </row>
    <row r="1482" spans="25:29" x14ac:dyDescent="0.2">
      <c r="Y1482" s="105" t="str">
        <f t="shared" si="56"/>
        <v>1w</v>
      </c>
      <c r="Z1482" s="93">
        <f>_xll.qlCalendarAdvance(Calendar,Z1481,Y1482,"f",FALSE)</f>
        <v>49564</v>
      </c>
      <c r="AA1482" s="117">
        <f>_xll.qlCalendarAdvance(Calendar,Z1482,NDays&amp;"D")</f>
        <v>49566</v>
      </c>
      <c r="AB1482" s="92">
        <v>1.9264358233586101E-2</v>
      </c>
      <c r="AC1482" s="101">
        <v>1.9369220467151393E-2</v>
      </c>
    </row>
    <row r="1483" spans="25:29" x14ac:dyDescent="0.2">
      <c r="Y1483" s="105" t="str">
        <f t="shared" si="56"/>
        <v>1w</v>
      </c>
      <c r="Z1483" s="93">
        <f>_xll.qlCalendarAdvance(Calendar,Z1482,Y1483,"f",FALSE)</f>
        <v>49571</v>
      </c>
      <c r="AA1483" s="117">
        <f>_xll.qlCalendarAdvance(Calendar,Z1483,NDays&amp;"D")</f>
        <v>49573</v>
      </c>
      <c r="AB1483" s="92">
        <v>1.9249172943526422E-2</v>
      </c>
      <c r="AC1483" s="101">
        <v>1.9353279010276836E-2</v>
      </c>
    </row>
    <row r="1484" spans="25:29" x14ac:dyDescent="0.2">
      <c r="Y1484" s="105" t="str">
        <f t="shared" si="56"/>
        <v>1w</v>
      </c>
      <c r="Z1484" s="93">
        <f>_xll.qlCalendarAdvance(Calendar,Z1483,Y1484,"f",FALSE)</f>
        <v>49578</v>
      </c>
      <c r="AA1484" s="117">
        <f>_xll.qlCalendarAdvance(Calendar,Z1484,NDays&amp;"D")</f>
        <v>49580</v>
      </c>
      <c r="AB1484" s="92">
        <v>1.9232431973516328E-2</v>
      </c>
      <c r="AC1484" s="101">
        <v>1.9337407958230912E-2</v>
      </c>
    </row>
    <row r="1485" spans="25:29" x14ac:dyDescent="0.2">
      <c r="Y1485" s="105" t="str">
        <f t="shared" si="56"/>
        <v>1w</v>
      </c>
      <c r="Z1485" s="93">
        <f>_xll.qlCalendarAdvance(Calendar,Z1484,Y1485,"f",FALSE)</f>
        <v>49585</v>
      </c>
      <c r="AA1485" s="117">
        <f>_xll.qlCalendarAdvance(Calendar,Z1485,NDays&amp;"D")</f>
        <v>49587</v>
      </c>
      <c r="AB1485" s="92">
        <v>1.9217401922780656E-2</v>
      </c>
      <c r="AC1485" s="101">
        <v>1.9321607311066913E-2</v>
      </c>
    </row>
    <row r="1486" spans="25:29" x14ac:dyDescent="0.2">
      <c r="Y1486" s="105" t="str">
        <f t="shared" si="56"/>
        <v>1w</v>
      </c>
      <c r="Z1486" s="93">
        <f>_xll.qlCalendarAdvance(Calendar,Z1485,Y1486,"f",FALSE)</f>
        <v>49592</v>
      </c>
      <c r="AA1486" s="117">
        <f>_xll.qlCalendarAdvance(Calendar,Z1486,NDays&amp;"D")</f>
        <v>49594</v>
      </c>
      <c r="AB1486" s="92">
        <v>1.9201910141816624E-2</v>
      </c>
      <c r="AC1486" s="101">
        <v>1.9305877068651611E-2</v>
      </c>
    </row>
    <row r="1487" spans="25:29" x14ac:dyDescent="0.2">
      <c r="Y1487" s="105" t="str">
        <f t="shared" si="56"/>
        <v>1w</v>
      </c>
      <c r="Z1487" s="93">
        <f>_xll.qlCalendarAdvance(Calendar,Z1486,Y1487,"f",FALSE)</f>
        <v>49599</v>
      </c>
      <c r="AA1487" s="117">
        <f>_xll.qlCalendarAdvance(Calendar,Z1487,NDays&amp;"D")</f>
        <v>49601</v>
      </c>
      <c r="AB1487" s="92">
        <v>1.9187555422549785E-2</v>
      </c>
      <c r="AC1487" s="101">
        <v>1.9290217231011653E-2</v>
      </c>
    </row>
    <row r="1488" spans="25:29" x14ac:dyDescent="0.2">
      <c r="Y1488" s="105" t="str">
        <f t="shared" si="56"/>
        <v>1w</v>
      </c>
      <c r="Z1488" s="93">
        <f>_xll.qlCalendarAdvance(Calendar,Z1487,Y1488,"f",FALSE)</f>
        <v>49606</v>
      </c>
      <c r="AA1488" s="117">
        <f>_xll.qlCalendarAdvance(Calendar,Z1488,NDays&amp;"D")</f>
        <v>49608</v>
      </c>
      <c r="AB1488" s="92">
        <v>1.9172738969813939E-2</v>
      </c>
      <c r="AC1488" s="101">
        <v>1.9274627798120392E-2</v>
      </c>
    </row>
    <row r="1489" spans="25:29" x14ac:dyDescent="0.2">
      <c r="Y1489" s="105" t="str">
        <f t="shared" si="56"/>
        <v>1w</v>
      </c>
      <c r="Z1489" s="93">
        <f>_xll.qlCalendarAdvance(Calendar,Z1488,Y1489,"f",FALSE)</f>
        <v>49613</v>
      </c>
      <c r="AA1489" s="117">
        <f>_xll.qlCalendarAdvance(Calendar,Z1489,NDays&amp;"D")</f>
        <v>49615</v>
      </c>
      <c r="AB1489" s="92">
        <v>1.9159556164578394E-2</v>
      </c>
      <c r="AC1489" s="101">
        <v>1.9259108769924538E-2</v>
      </c>
    </row>
    <row r="1490" spans="25:29" x14ac:dyDescent="0.2">
      <c r="Y1490" s="105" t="str">
        <f t="shared" si="56"/>
        <v>1w</v>
      </c>
      <c r="Z1490" s="93">
        <f>_xll.qlCalendarAdvance(Calendar,Z1489,Y1490,"f",FALSE)</f>
        <v>49620</v>
      </c>
      <c r="AA1490" s="117">
        <f>_xll.qlCalendarAdvance(Calendar,Z1490,NDays&amp;"D")</f>
        <v>49622</v>
      </c>
      <c r="AB1490" s="92">
        <v>1.9144869180097931E-2</v>
      </c>
      <c r="AC1490" s="101">
        <v>1.9243660146397445E-2</v>
      </c>
    </row>
    <row r="1491" spans="25:29" x14ac:dyDescent="0.2">
      <c r="Y1491" s="105" t="str">
        <f t="shared" si="56"/>
        <v>1w</v>
      </c>
      <c r="Z1491" s="93">
        <f>_xll.qlCalendarAdvance(Calendar,Z1490,Y1491,"f",FALSE)</f>
        <v>49627</v>
      </c>
      <c r="AA1491" s="117">
        <f>_xll.qlCalendarAdvance(Calendar,Z1491,NDays&amp;"D")</f>
        <v>49629</v>
      </c>
      <c r="AB1491" s="92">
        <v>1.9130253375792189E-2</v>
      </c>
      <c r="AC1491" s="101">
        <v>1.9228281927512469E-2</v>
      </c>
    </row>
    <row r="1492" spans="25:29" x14ac:dyDescent="0.2">
      <c r="Y1492" s="105" t="str">
        <f t="shared" si="56"/>
        <v>1w</v>
      </c>
      <c r="Z1492" s="93">
        <f>_xll.qlCalendarAdvance(Calendar,Z1491,Y1492,"f",FALSE)</f>
        <v>49634</v>
      </c>
      <c r="AA1492" s="117">
        <f>_xll.qlCalendarAdvance(Calendar,Z1492,NDays&amp;"D")</f>
        <v>49636</v>
      </c>
      <c r="AB1492" s="92">
        <v>1.9115708750100661E-2</v>
      </c>
      <c r="AC1492" s="101">
        <v>1.9212974113296255E-2</v>
      </c>
    </row>
    <row r="1493" spans="25:29" x14ac:dyDescent="0.2">
      <c r="Y1493" s="105" t="str">
        <f t="shared" ref="Y1493:Y1556" si="57">Y1492</f>
        <v>1w</v>
      </c>
      <c r="Z1493" s="93">
        <f>_xll.qlCalendarAdvance(Calendar,Z1492,Y1493,"f",FALSE)</f>
        <v>49641</v>
      </c>
      <c r="AA1493" s="117">
        <f>_xll.qlCalendarAdvance(Calendar,Z1493,NDays&amp;"D")</f>
        <v>49643</v>
      </c>
      <c r="AB1493" s="92">
        <v>1.910123530146942E-2</v>
      </c>
      <c r="AC1493" s="101">
        <v>1.9197736703668866E-2</v>
      </c>
    </row>
    <row r="1494" spans="25:29" x14ac:dyDescent="0.2">
      <c r="Y1494" s="105" t="str">
        <f t="shared" si="57"/>
        <v>1w</v>
      </c>
      <c r="Z1494" s="93">
        <f>_xll.qlCalendarAdvance(Calendar,Z1493,Y1494,"f",FALSE)</f>
        <v>49648</v>
      </c>
      <c r="AA1494" s="117">
        <f>_xll.qlCalendarAdvance(Calendar,Z1494,NDays&amp;"D")</f>
        <v>49650</v>
      </c>
      <c r="AB1494" s="92">
        <v>1.908533531585065E-2</v>
      </c>
      <c r="AC1494" s="101">
        <v>1.9182569698630303E-2</v>
      </c>
    </row>
    <row r="1495" spans="25:29" x14ac:dyDescent="0.2">
      <c r="Y1495" s="105" t="str">
        <f t="shared" si="57"/>
        <v>1w</v>
      </c>
      <c r="Z1495" s="93">
        <f>_xll.qlCalendarAdvance(Calendar,Z1494,Y1495,"f",FALSE)</f>
        <v>49655</v>
      </c>
      <c r="AA1495" s="117">
        <f>_xll.qlCalendarAdvance(Calendar,Z1495,NDays&amp;"D")</f>
        <v>49657</v>
      </c>
      <c r="AB1495" s="92">
        <v>1.9071017202504016E-2</v>
      </c>
      <c r="AC1495" s="101">
        <v>1.9167473098100629E-2</v>
      </c>
    </row>
    <row r="1496" spans="25:29" x14ac:dyDescent="0.2">
      <c r="Y1496" s="105" t="str">
        <f t="shared" si="57"/>
        <v>1w</v>
      </c>
      <c r="Z1496" s="93">
        <f>_xll.qlCalendarAdvance(Calendar,Z1495,Y1496,"f",FALSE)</f>
        <v>49662</v>
      </c>
      <c r="AA1496" s="117">
        <f>_xll.qlCalendarAdvance(Calendar,Z1496,NDays&amp;"D")</f>
        <v>49664</v>
      </c>
      <c r="AB1496" s="92">
        <v>1.905677027421826E-2</v>
      </c>
      <c r="AC1496" s="101">
        <v>1.915244690210649E-2</v>
      </c>
    </row>
    <row r="1497" spans="25:29" x14ac:dyDescent="0.2">
      <c r="Y1497" s="105" t="str">
        <f t="shared" si="57"/>
        <v>1w</v>
      </c>
      <c r="Z1497" s="93">
        <f>_xll.qlCalendarAdvance(Calendar,Z1496,Y1497,"f",FALSE)</f>
        <v>49670</v>
      </c>
      <c r="AA1497" s="117">
        <f>_xll.qlCalendarAdvance(Calendar,Z1497,NDays&amp;"D")</f>
        <v>49674</v>
      </c>
      <c r="AB1497" s="92">
        <v>1.9037994138056555E-2</v>
      </c>
      <c r="AC1497" s="101">
        <v>1.9131658166893217E-2</v>
      </c>
    </row>
    <row r="1498" spans="25:29" x14ac:dyDescent="0.2">
      <c r="Y1498" s="105" t="str">
        <f t="shared" si="57"/>
        <v>1w</v>
      </c>
      <c r="Z1498" s="93">
        <f>_xll.qlCalendarAdvance(Calendar,Z1497,Y1498,"f",FALSE)</f>
        <v>49677</v>
      </c>
      <c r="AA1498" s="117">
        <f>_xll.qlCalendarAdvance(Calendar,Z1498,NDays&amp;"D")</f>
        <v>49681</v>
      </c>
      <c r="AB1498" s="92">
        <v>1.9023907052403411E-2</v>
      </c>
      <c r="AC1498" s="101">
        <v>1.9117349987451959E-2</v>
      </c>
    </row>
    <row r="1499" spans="25:29" x14ac:dyDescent="0.2">
      <c r="Y1499" s="105" t="str">
        <f t="shared" si="57"/>
        <v>1w</v>
      </c>
      <c r="Z1499" s="93">
        <f>_xll.qlCalendarAdvance(Calendar,Z1498,Y1499,"f",FALSE)</f>
        <v>49684</v>
      </c>
      <c r="AA1499" s="117">
        <f>_xll.qlCalendarAdvance(Calendar,Z1499,NDays&amp;"D")</f>
        <v>49688</v>
      </c>
      <c r="AB1499" s="92">
        <v>1.9009891134005211E-2</v>
      </c>
      <c r="AC1499" s="101">
        <v>1.9102556690944184E-2</v>
      </c>
    </row>
    <row r="1500" spans="25:29" x14ac:dyDescent="0.2">
      <c r="Y1500" s="105" t="str">
        <f t="shared" si="57"/>
        <v>1w</v>
      </c>
      <c r="Z1500" s="93">
        <f>_xll.qlCalendarAdvance(Calendar,Z1499,Y1500,"f",FALSE)</f>
        <v>49691</v>
      </c>
      <c r="AA1500" s="117">
        <f>_xll.qlCalendarAdvance(Calendar,Z1500,NDays&amp;"D")</f>
        <v>49695</v>
      </c>
      <c r="AB1500" s="92">
        <v>1.8995946381365134E-2</v>
      </c>
      <c r="AC1500" s="101">
        <v>1.9087833790205622E-2</v>
      </c>
    </row>
    <row r="1501" spans="25:29" x14ac:dyDescent="0.2">
      <c r="Y1501" s="105" t="str">
        <f t="shared" si="57"/>
        <v>1w</v>
      </c>
      <c r="Z1501" s="93">
        <f>_xll.qlCalendarAdvance(Calendar,Z1500,Y1501,"f",FALSE)</f>
        <v>49698</v>
      </c>
      <c r="AA1501" s="117">
        <f>_xll.qlCalendarAdvance(Calendar,Z1501,NDays&amp;"D")</f>
        <v>49702</v>
      </c>
      <c r="AB1501" s="92">
        <v>1.8982072792993382E-2</v>
      </c>
      <c r="AC1501" s="101">
        <v>1.9073181285236274E-2</v>
      </c>
    </row>
    <row r="1502" spans="25:29" x14ac:dyDescent="0.2">
      <c r="Y1502" s="105" t="str">
        <f t="shared" si="57"/>
        <v>1w</v>
      </c>
      <c r="Z1502" s="93">
        <f>_xll.qlCalendarAdvance(Calendar,Z1501,Y1502,"f",FALSE)</f>
        <v>49705</v>
      </c>
      <c r="AA1502" s="117">
        <f>_xll.qlCalendarAdvance(Calendar,Z1502,NDays&amp;"D")</f>
        <v>49709</v>
      </c>
      <c r="AB1502" s="92">
        <v>1.8968270367408498E-2</v>
      </c>
      <c r="AC1502" s="101">
        <v>1.9058599175956203E-2</v>
      </c>
    </row>
    <row r="1503" spans="25:29" x14ac:dyDescent="0.2">
      <c r="Y1503" s="105" t="str">
        <f t="shared" si="57"/>
        <v>1w</v>
      </c>
      <c r="Z1503" s="93">
        <f>_xll.qlCalendarAdvance(Calendar,Z1502,Y1503,"f",FALSE)</f>
        <v>49712</v>
      </c>
      <c r="AA1503" s="117">
        <f>_xll.qlCalendarAdvance(Calendar,Z1503,NDays&amp;"D")</f>
        <v>49716</v>
      </c>
      <c r="AB1503" s="92">
        <v>1.8954539103136065E-2</v>
      </c>
      <c r="AC1503" s="101">
        <v>1.9044087462285475E-2</v>
      </c>
    </row>
    <row r="1504" spans="25:29" x14ac:dyDescent="0.2">
      <c r="Y1504" s="105" t="str">
        <f t="shared" si="57"/>
        <v>1w</v>
      </c>
      <c r="Z1504" s="93">
        <f>_xll.qlCalendarAdvance(Calendar,Z1503,Y1504,"f",FALSE)</f>
        <v>49719</v>
      </c>
      <c r="AA1504" s="117">
        <f>_xll.qlCalendarAdvance(Calendar,Z1504,NDays&amp;"D")</f>
        <v>49723</v>
      </c>
      <c r="AB1504" s="92">
        <v>1.8940878998710439E-2</v>
      </c>
      <c r="AC1504" s="101">
        <v>1.9029646144543833E-2</v>
      </c>
    </row>
    <row r="1505" spans="25:29" x14ac:dyDescent="0.2">
      <c r="Y1505" s="105" t="str">
        <f t="shared" si="57"/>
        <v>1w</v>
      </c>
      <c r="Z1505" s="93">
        <f>_xll.qlCalendarAdvance(Calendar,Z1504,Y1505,"f",FALSE)</f>
        <v>49726</v>
      </c>
      <c r="AA1505" s="117">
        <f>_xll.qlCalendarAdvance(Calendar,Z1505,NDays&amp;"D")</f>
        <v>49730</v>
      </c>
      <c r="AB1505" s="92">
        <v>1.8927290052670367E-2</v>
      </c>
      <c r="AC1505" s="101">
        <v>1.901527522225166E-2</v>
      </c>
    </row>
    <row r="1506" spans="25:29" x14ac:dyDescent="0.2">
      <c r="Y1506" s="105" t="str">
        <f t="shared" si="57"/>
        <v>1w</v>
      </c>
      <c r="Z1506" s="93">
        <f>_xll.qlCalendarAdvance(Calendar,Z1505,Y1506,"f",FALSE)</f>
        <v>49733</v>
      </c>
      <c r="AA1506" s="117">
        <f>_xll.qlCalendarAdvance(Calendar,Z1506,NDays&amp;"D")</f>
        <v>49737</v>
      </c>
      <c r="AB1506" s="92">
        <v>1.8912881575726102E-2</v>
      </c>
      <c r="AC1506" s="101">
        <v>1.9000974695728701E-2</v>
      </c>
    </row>
    <row r="1507" spans="25:29" x14ac:dyDescent="0.2">
      <c r="Y1507" s="105" t="str">
        <f t="shared" si="57"/>
        <v>1w</v>
      </c>
      <c r="Z1507" s="93">
        <f>_xll.qlCalendarAdvance(Calendar,Z1506,Y1507,"f",FALSE)</f>
        <v>49740</v>
      </c>
      <c r="AA1507" s="117">
        <f>_xll.qlCalendarAdvance(Calendar,Z1507,NDays&amp;"D")</f>
        <v>49744</v>
      </c>
      <c r="AB1507" s="92">
        <v>1.8899443702181759E-2</v>
      </c>
      <c r="AC1507" s="101">
        <v>1.8986744564895019E-2</v>
      </c>
    </row>
    <row r="1508" spans="25:29" x14ac:dyDescent="0.2">
      <c r="Y1508" s="105" t="str">
        <f t="shared" si="57"/>
        <v>1w</v>
      </c>
      <c r="Z1508" s="93">
        <f>_xll.qlCalendarAdvance(Calendar,Z1507,Y1508,"f",FALSE)</f>
        <v>49747</v>
      </c>
      <c r="AA1508" s="117">
        <f>_xll.qlCalendarAdvance(Calendar,Z1508,NDays&amp;"D")</f>
        <v>49751</v>
      </c>
      <c r="AB1508" s="92">
        <v>1.8886076990913488E-2</v>
      </c>
      <c r="AC1508" s="101">
        <v>1.8972584829590744E-2</v>
      </c>
    </row>
    <row r="1509" spans="25:29" x14ac:dyDescent="0.2">
      <c r="Y1509" s="105" t="str">
        <f t="shared" si="57"/>
        <v>1w</v>
      </c>
      <c r="Z1509" s="93">
        <f>_xll.qlCalendarAdvance(Calendar,Z1508,Y1509,"f",FALSE)</f>
        <v>49754</v>
      </c>
      <c r="AA1509" s="117">
        <f>_xll.qlCalendarAdvance(Calendar,Z1509,NDays&amp;"D")</f>
        <v>49758</v>
      </c>
      <c r="AB1509" s="92">
        <v>1.887278144047853E-2</v>
      </c>
      <c r="AC1509" s="101">
        <v>1.8958495490055682E-2</v>
      </c>
    </row>
    <row r="1510" spans="25:29" x14ac:dyDescent="0.2">
      <c r="Y1510" s="105" t="str">
        <f t="shared" si="57"/>
        <v>1w</v>
      </c>
      <c r="Z1510" s="93">
        <f>_xll.qlCalendarAdvance(Calendar,Z1509,Y1510,"f",FALSE)</f>
        <v>49761</v>
      </c>
      <c r="AA1510" s="117">
        <f>_xll.qlCalendarAdvance(Calendar,Z1510,NDays&amp;"D")</f>
        <v>49765</v>
      </c>
      <c r="AB1510" s="92">
        <v>1.8859984646073854E-2</v>
      </c>
      <c r="AC1510" s="101">
        <v>1.8944476546050026E-2</v>
      </c>
    </row>
    <row r="1511" spans="25:29" x14ac:dyDescent="0.2">
      <c r="Y1511" s="105" t="str">
        <f t="shared" si="57"/>
        <v>1w</v>
      </c>
      <c r="Z1511" s="93">
        <f>_xll.qlCalendarAdvance(Calendar,Z1510,Y1511,"f",FALSE)</f>
        <v>49768</v>
      </c>
      <c r="AA1511" s="117">
        <f>_xll.qlCalendarAdvance(Calendar,Z1511,NDays&amp;"D")</f>
        <v>49772</v>
      </c>
      <c r="AB1511" s="92">
        <v>1.8846827016298189E-2</v>
      </c>
      <c r="AC1511" s="101">
        <v>1.893052799789352E-2</v>
      </c>
    </row>
    <row r="1512" spans="25:29" x14ac:dyDescent="0.2">
      <c r="Y1512" s="105" t="str">
        <f t="shared" si="57"/>
        <v>1w</v>
      </c>
      <c r="Z1512" s="93">
        <f>_xll.qlCalendarAdvance(Calendar,Z1511,Y1512,"f",FALSE)</f>
        <v>49775</v>
      </c>
      <c r="AA1512" s="117">
        <f>_xll.qlCalendarAdvance(Calendar,Z1512,NDays&amp;"D")</f>
        <v>49781</v>
      </c>
      <c r="AB1512" s="92">
        <v>1.8830014614099028E-2</v>
      </c>
      <c r="AC1512" s="101">
        <v>1.8912697588584493E-2</v>
      </c>
    </row>
    <row r="1513" spans="25:29" x14ac:dyDescent="0.2">
      <c r="Y1513" s="105" t="str">
        <f t="shared" si="57"/>
        <v>1w</v>
      </c>
      <c r="Z1513" s="93">
        <f>_xll.qlCalendarAdvance(Calendar,Z1512,Y1513,"f",FALSE)</f>
        <v>49782</v>
      </c>
      <c r="AA1513" s="117">
        <f>_xll.qlCalendarAdvance(Calendar,Z1513,NDays&amp;"D")</f>
        <v>49786</v>
      </c>
      <c r="AB1513" s="92">
        <v>1.8820725212747719E-2</v>
      </c>
      <c r="AC1513" s="101">
        <v>1.8902842088248661E-2</v>
      </c>
    </row>
    <row r="1514" spans="25:29" x14ac:dyDescent="0.2">
      <c r="Y1514" s="105" t="str">
        <f t="shared" si="57"/>
        <v>1w</v>
      </c>
      <c r="Z1514" s="93">
        <f>_xll.qlCalendarAdvance(Calendar,Z1513,Y1514,"f",FALSE)</f>
        <v>49789</v>
      </c>
      <c r="AA1514" s="117">
        <f>_xll.qlCalendarAdvance(Calendar,Z1514,NDays&amp;"D")</f>
        <v>49793</v>
      </c>
      <c r="AB1514" s="92">
        <v>1.8807781036169029E-2</v>
      </c>
      <c r="AC1514" s="101">
        <v>1.8889104726760308E-2</v>
      </c>
    </row>
    <row r="1515" spans="25:29" x14ac:dyDescent="0.2">
      <c r="Y1515" s="105" t="str">
        <f t="shared" si="57"/>
        <v>1w</v>
      </c>
      <c r="Z1515" s="93">
        <f>_xll.qlCalendarAdvance(Calendar,Z1514,Y1515,"f",FALSE)</f>
        <v>49797</v>
      </c>
      <c r="AA1515" s="117">
        <f>_xll.qlCalendarAdvance(Calendar,Z1515,NDays&amp;"D")</f>
        <v>49801</v>
      </c>
      <c r="AB1515" s="92">
        <v>1.879266987016406E-2</v>
      </c>
      <c r="AC1515" s="101">
        <v>1.8873491083821747E-2</v>
      </c>
    </row>
    <row r="1516" spans="25:29" x14ac:dyDescent="0.2">
      <c r="Y1516" s="105" t="str">
        <f t="shared" si="57"/>
        <v>1w</v>
      </c>
      <c r="Z1516" s="93">
        <f>_xll.qlCalendarAdvance(Calendar,Z1515,Y1516,"f",FALSE)</f>
        <v>49804</v>
      </c>
      <c r="AA1516" s="117">
        <f>_xll.qlCalendarAdvance(Calendar,Z1516,NDays&amp;"D")</f>
        <v>49808</v>
      </c>
      <c r="AB1516" s="92">
        <v>1.8779882570101762E-2</v>
      </c>
      <c r="AC1516" s="101">
        <v>1.8859904570067698E-2</v>
      </c>
    </row>
    <row r="1517" spans="25:29" x14ac:dyDescent="0.2">
      <c r="Y1517" s="105" t="str">
        <f t="shared" si="57"/>
        <v>1w</v>
      </c>
      <c r="Z1517" s="93">
        <f>_xll.qlCalendarAdvance(Calendar,Z1516,Y1517,"f",FALSE)</f>
        <v>49811</v>
      </c>
      <c r="AA1517" s="117">
        <f>_xll.qlCalendarAdvance(Calendar,Z1517,NDays&amp;"D")</f>
        <v>49815</v>
      </c>
      <c r="AB1517" s="92">
        <v>1.8767166419406293E-2</v>
      </c>
      <c r="AC1517" s="101">
        <v>1.8846388452002927E-2</v>
      </c>
    </row>
    <row r="1518" spans="25:29" x14ac:dyDescent="0.2">
      <c r="Y1518" s="105" t="str">
        <f t="shared" si="57"/>
        <v>1w</v>
      </c>
      <c r="Z1518" s="93">
        <f>_xll.qlCalendarAdvance(Calendar,Z1517,Y1518,"f",FALSE)</f>
        <v>49818</v>
      </c>
      <c r="AA1518" s="117">
        <f>_xll.qlCalendarAdvance(Calendar,Z1518,NDays&amp;"D")</f>
        <v>49822</v>
      </c>
      <c r="AB1518" s="92">
        <v>1.8754521416703973E-2</v>
      </c>
      <c r="AC1518" s="101">
        <v>1.8832942729387625E-2</v>
      </c>
    </row>
    <row r="1519" spans="25:29" x14ac:dyDescent="0.2">
      <c r="Y1519" s="105" t="str">
        <f t="shared" si="57"/>
        <v>1w</v>
      </c>
      <c r="Z1519" s="93">
        <f>_xll.qlCalendarAdvance(Calendar,Z1518,Y1519,"f",FALSE)</f>
        <v>49825</v>
      </c>
      <c r="AA1519" s="117">
        <f>_xll.qlCalendarAdvance(Calendar,Z1519,NDays&amp;"D")</f>
        <v>49829</v>
      </c>
      <c r="AB1519" s="92">
        <v>1.874233480752055E-2</v>
      </c>
      <c r="AC1519" s="101">
        <v>1.8819567402461601E-2</v>
      </c>
    </row>
    <row r="1520" spans="25:29" x14ac:dyDescent="0.2">
      <c r="Y1520" s="105" t="str">
        <f t="shared" si="57"/>
        <v>1w</v>
      </c>
      <c r="Z1520" s="93">
        <f>_xll.qlCalendarAdvance(Calendar,Z1519,Y1520,"f",FALSE)</f>
        <v>49832</v>
      </c>
      <c r="AA1520" s="117">
        <f>_xll.qlCalendarAdvance(Calendar,Z1520,NDays&amp;"D")</f>
        <v>49836</v>
      </c>
      <c r="AB1520" s="92">
        <v>1.8729827662963799E-2</v>
      </c>
      <c r="AC1520" s="101">
        <v>1.8806262471064983E-2</v>
      </c>
    </row>
    <row r="1521" spans="25:29" x14ac:dyDescent="0.2">
      <c r="Y1521" s="105" t="str">
        <f t="shared" si="57"/>
        <v>1w</v>
      </c>
      <c r="Z1521" s="93">
        <f>_xll.qlCalendarAdvance(Calendar,Z1520,Y1521,"f",FALSE)</f>
        <v>49839</v>
      </c>
      <c r="AA1521" s="117">
        <f>_xll.qlCalendarAdvance(Calendar,Z1521,NDays&amp;"D")</f>
        <v>49843</v>
      </c>
      <c r="AB1521" s="92">
        <v>1.8717391658311509E-2</v>
      </c>
      <c r="AC1521" s="101">
        <v>1.8793027935117834E-2</v>
      </c>
    </row>
    <row r="1522" spans="25:29" x14ac:dyDescent="0.2">
      <c r="Y1522" s="105" t="str">
        <f t="shared" si="57"/>
        <v>1w</v>
      </c>
      <c r="Z1522" s="93">
        <f>_xll.qlCalendarAdvance(Calendar,Z1521,Y1522,"f",FALSE)</f>
        <v>49846</v>
      </c>
      <c r="AA1522" s="117">
        <f>_xll.qlCalendarAdvance(Calendar,Z1522,NDays&amp;"D")</f>
        <v>49850</v>
      </c>
      <c r="AB1522" s="92">
        <v>1.8705026792227481E-2</v>
      </c>
      <c r="AC1522" s="101">
        <v>1.8779863794780027E-2</v>
      </c>
    </row>
    <row r="1523" spans="25:29" x14ac:dyDescent="0.2">
      <c r="Y1523" s="105" t="str">
        <f t="shared" si="57"/>
        <v>1w</v>
      </c>
      <c r="Z1523" s="93">
        <f>_xll.qlCalendarAdvance(Calendar,Z1522,Y1523,"f",FALSE)</f>
        <v>49853</v>
      </c>
      <c r="AA1523" s="117">
        <f>_xll.qlCalendarAdvance(Calendar,Z1523,NDays&amp;"D")</f>
        <v>49857</v>
      </c>
      <c r="AB1523" s="92">
        <v>1.8691994500081688E-2</v>
      </c>
      <c r="AC1523" s="101">
        <v>1.8766770049971626E-2</v>
      </c>
    </row>
    <row r="1524" spans="25:29" x14ac:dyDescent="0.2">
      <c r="Y1524" s="105" t="str">
        <f t="shared" si="57"/>
        <v>1w</v>
      </c>
      <c r="Z1524" s="93">
        <f>_xll.qlCalendarAdvance(Calendar,Z1523,Y1524,"f",FALSE)</f>
        <v>49860</v>
      </c>
      <c r="AA1524" s="117">
        <f>_xll.qlCalendarAdvance(Calendar,Z1524,NDays&amp;"D")</f>
        <v>49864</v>
      </c>
      <c r="AB1524" s="92">
        <v>1.8680145432433442E-2</v>
      </c>
      <c r="AC1524" s="101">
        <v>1.8753746700692631E-2</v>
      </c>
    </row>
    <row r="1525" spans="25:29" x14ac:dyDescent="0.2">
      <c r="Y1525" s="105" t="str">
        <f t="shared" si="57"/>
        <v>1w</v>
      </c>
      <c r="Z1525" s="93">
        <f>_xll.qlCalendarAdvance(Calendar,Z1524,Y1525,"f",FALSE)</f>
        <v>49867</v>
      </c>
      <c r="AA1525" s="117">
        <f>_xll.qlCalendarAdvance(Calendar,Z1525,NDays&amp;"D")</f>
        <v>49871</v>
      </c>
      <c r="AB1525" s="92">
        <v>1.866799842788688E-2</v>
      </c>
      <c r="AC1525" s="101">
        <v>1.8740793746943041E-2</v>
      </c>
    </row>
    <row r="1526" spans="25:29" x14ac:dyDescent="0.2">
      <c r="Y1526" s="105" t="str">
        <f t="shared" si="57"/>
        <v>1w</v>
      </c>
      <c r="Z1526" s="93">
        <f>_xll.qlCalendarAdvance(Calendar,Z1525,Y1526,"f",FALSE)</f>
        <v>49874</v>
      </c>
      <c r="AA1526" s="117">
        <f>_xll.qlCalendarAdvance(Calendar,Z1526,NDays&amp;"D")</f>
        <v>49878</v>
      </c>
      <c r="AB1526" s="92">
        <v>1.865592256062551E-2</v>
      </c>
      <c r="AC1526" s="101">
        <v>1.8727911188722857E-2</v>
      </c>
    </row>
    <row r="1527" spans="25:29" x14ac:dyDescent="0.2">
      <c r="Y1527" s="105" t="str">
        <f t="shared" si="57"/>
        <v>1w</v>
      </c>
      <c r="Z1527" s="93">
        <f>_xll.qlCalendarAdvance(Calendar,Z1526,Y1527,"f",FALSE)</f>
        <v>49881</v>
      </c>
      <c r="AA1527" s="117">
        <f>_xll.qlCalendarAdvance(Calendar,Z1527,NDays&amp;"D")</f>
        <v>49885</v>
      </c>
      <c r="AB1527" s="92">
        <v>1.8643917829347333E-2</v>
      </c>
      <c r="AC1527" s="101">
        <v>1.8715099026032078E-2</v>
      </c>
    </row>
    <row r="1528" spans="25:29" x14ac:dyDescent="0.2">
      <c r="Y1528" s="105" t="str">
        <f t="shared" si="57"/>
        <v>1w</v>
      </c>
      <c r="Z1528" s="93">
        <f>_xll.qlCalendarAdvance(Calendar,Z1527,Y1528,"f",FALSE)</f>
        <v>49888</v>
      </c>
      <c r="AA1528" s="117">
        <f>_xll.qlCalendarAdvance(Calendar,Z1528,NDays&amp;"D")</f>
        <v>49892</v>
      </c>
      <c r="AB1528" s="92">
        <v>1.8631984232756426E-2</v>
      </c>
      <c r="AC1528" s="101">
        <v>1.8702357258870705E-2</v>
      </c>
    </row>
    <row r="1529" spans="25:29" x14ac:dyDescent="0.2">
      <c r="Y1529" s="105" t="str">
        <f t="shared" si="57"/>
        <v>1w</v>
      </c>
      <c r="Z1529" s="93">
        <f>_xll.qlCalendarAdvance(Calendar,Z1528,Y1529,"f",FALSE)</f>
        <v>49895</v>
      </c>
      <c r="AA1529" s="117">
        <f>_xll.qlCalendarAdvance(Calendar,Z1529,NDays&amp;"D")</f>
        <v>49899</v>
      </c>
      <c r="AB1529" s="92">
        <v>1.8620121769561647E-2</v>
      </c>
      <c r="AC1529" s="101">
        <v>1.8689685887158802E-2</v>
      </c>
    </row>
    <row r="1530" spans="25:29" x14ac:dyDescent="0.2">
      <c r="Y1530" s="105" t="str">
        <f t="shared" si="57"/>
        <v>1w</v>
      </c>
      <c r="Z1530" s="93">
        <f>_xll.qlCalendarAdvance(Calendar,Z1529,Y1530,"f",FALSE)</f>
        <v>49902</v>
      </c>
      <c r="AA1530" s="117">
        <f>_xll.qlCalendarAdvance(Calendar,Z1530,NDays&amp;"D")</f>
        <v>49906</v>
      </c>
      <c r="AB1530" s="92">
        <v>1.8608330438483589E-2</v>
      </c>
      <c r="AC1530" s="101">
        <v>1.8677084910816433E-2</v>
      </c>
    </row>
    <row r="1531" spans="25:29" x14ac:dyDescent="0.2">
      <c r="Y1531" s="105" t="str">
        <f t="shared" si="57"/>
        <v>1w</v>
      </c>
      <c r="Z1531" s="93">
        <f>_xll.qlCalendarAdvance(Calendar,Z1530,Y1531,"f",FALSE)</f>
        <v>49909</v>
      </c>
      <c r="AA1531" s="117">
        <f>_xll.qlCalendarAdvance(Calendar,Z1531,NDays&amp;"D")</f>
        <v>49913</v>
      </c>
      <c r="AB1531" s="92">
        <v>1.8596610238249787E-2</v>
      </c>
      <c r="AC1531" s="101">
        <v>1.8664554330083405E-2</v>
      </c>
    </row>
    <row r="1532" spans="25:29" x14ac:dyDescent="0.2">
      <c r="Y1532" s="105" t="str">
        <f t="shared" si="57"/>
        <v>1w</v>
      </c>
      <c r="Z1532" s="93">
        <f>_xll.qlCalendarAdvance(Calendar,Z1531,Y1532,"f",FALSE)</f>
        <v>49916</v>
      </c>
      <c r="AA1532" s="117">
        <f>_xll.qlCalendarAdvance(Calendar,Z1532,NDays&amp;"D")</f>
        <v>49920</v>
      </c>
      <c r="AB1532" s="92">
        <v>1.8585950309015421E-2</v>
      </c>
      <c r="AC1532" s="101">
        <v>1.8652094144879783E-2</v>
      </c>
    </row>
    <row r="1533" spans="25:29" x14ac:dyDescent="0.2">
      <c r="Y1533" s="105" t="str">
        <f t="shared" si="57"/>
        <v>1w</v>
      </c>
      <c r="Z1533" s="93">
        <f>_xll.qlCalendarAdvance(Calendar,Z1532,Y1533,"f",FALSE)</f>
        <v>49923</v>
      </c>
      <c r="AA1533" s="117">
        <f>_xll.qlCalendarAdvance(Calendar,Z1533,NDays&amp;"D")</f>
        <v>49927</v>
      </c>
      <c r="AB1533" s="92">
        <v>1.8574358911947152E-2</v>
      </c>
      <c r="AC1533" s="101">
        <v>1.8639704355045694E-2</v>
      </c>
    </row>
    <row r="1534" spans="25:29" x14ac:dyDescent="0.2">
      <c r="Y1534" s="105" t="str">
        <f t="shared" si="57"/>
        <v>1w</v>
      </c>
      <c r="Z1534" s="93">
        <f>_xll.qlCalendarAdvance(Calendar,Z1533,Y1534,"f",FALSE)</f>
        <v>49930</v>
      </c>
      <c r="AA1534" s="117">
        <f>_xll.qlCalendarAdvance(Calendar,Z1534,NDays&amp;"D")</f>
        <v>49934</v>
      </c>
      <c r="AB1534" s="92">
        <v>1.8562838630154323E-2</v>
      </c>
      <c r="AC1534" s="101">
        <v>1.8627384960581139E-2</v>
      </c>
    </row>
    <row r="1535" spans="25:29" x14ac:dyDescent="0.2">
      <c r="Y1535" s="105" t="str">
        <f t="shared" si="57"/>
        <v>1w</v>
      </c>
      <c r="Z1535" s="93">
        <f>_xll.qlCalendarAdvance(Calendar,Z1534,Y1535,"f",FALSE)</f>
        <v>49937</v>
      </c>
      <c r="AA1535" s="117">
        <f>_xll.qlCalendarAdvance(Calendar,Z1535,NDays&amp;"D")</f>
        <v>49941</v>
      </c>
      <c r="AB1535" s="92">
        <v>1.8551389462413598E-2</v>
      </c>
      <c r="AC1535" s="101">
        <v>1.861513596164599E-2</v>
      </c>
    </row>
    <row r="1536" spans="25:29" x14ac:dyDescent="0.2">
      <c r="Y1536" s="105" t="str">
        <f t="shared" si="57"/>
        <v>1w</v>
      </c>
      <c r="Z1536" s="93">
        <f>_xll.qlCalendarAdvance(Calendar,Z1535,Y1536,"f",FALSE)</f>
        <v>49944</v>
      </c>
      <c r="AA1536" s="117">
        <f>_xll.qlCalendarAdvance(Calendar,Z1536,NDays&amp;"D")</f>
        <v>49948</v>
      </c>
      <c r="AB1536" s="92">
        <v>1.8539699237729239E-2</v>
      </c>
      <c r="AC1536" s="101">
        <v>1.860295735816031E-2</v>
      </c>
    </row>
    <row r="1537" spans="25:29" x14ac:dyDescent="0.2">
      <c r="Y1537" s="105" t="str">
        <f t="shared" si="57"/>
        <v>1w</v>
      </c>
      <c r="Z1537" s="93">
        <f>_xll.qlCalendarAdvance(Calendar,Z1536,Y1537,"f",FALSE)</f>
        <v>49951</v>
      </c>
      <c r="AA1537" s="117">
        <f>_xll.qlCalendarAdvance(Calendar,Z1537,NDays&amp;"D")</f>
        <v>49955</v>
      </c>
      <c r="AB1537" s="92">
        <v>1.852839679451888E-2</v>
      </c>
      <c r="AC1537" s="101">
        <v>1.85908491501241E-2</v>
      </c>
    </row>
    <row r="1538" spans="25:29" x14ac:dyDescent="0.2">
      <c r="Y1538" s="105" t="str">
        <f t="shared" si="57"/>
        <v>1w</v>
      </c>
      <c r="Z1538" s="93">
        <f>_xll.qlCalendarAdvance(Calendar,Z1537,Y1538,"f",FALSE)</f>
        <v>49958</v>
      </c>
      <c r="AA1538" s="117">
        <f>_xll.qlCalendarAdvance(Calendar,Z1538,NDays&amp;"D")</f>
        <v>49962</v>
      </c>
      <c r="AB1538" s="92">
        <v>1.8517165465642721E-2</v>
      </c>
      <c r="AC1538" s="101">
        <v>1.8578811337457424E-2</v>
      </c>
    </row>
    <row r="1539" spans="25:29" x14ac:dyDescent="0.2">
      <c r="Y1539" s="105" t="str">
        <f t="shared" si="57"/>
        <v>1w</v>
      </c>
      <c r="Z1539" s="93">
        <f>_xll.qlCalendarAdvance(Calendar,Z1538,Y1539,"f",FALSE)</f>
        <v>49965</v>
      </c>
      <c r="AA1539" s="117">
        <f>_xll.qlCalendarAdvance(Calendar,Z1539,NDays&amp;"D")</f>
        <v>49969</v>
      </c>
      <c r="AB1539" s="92">
        <v>1.8506005249900846E-2</v>
      </c>
      <c r="AC1539" s="101">
        <v>1.8566843920320153E-2</v>
      </c>
    </row>
    <row r="1540" spans="25:29" x14ac:dyDescent="0.2">
      <c r="Y1540" s="105" t="str">
        <f t="shared" si="57"/>
        <v>1w</v>
      </c>
      <c r="Z1540" s="93">
        <f>_xll.qlCalendarAdvance(Calendar,Z1539,Y1540,"f",FALSE)</f>
        <v>49972</v>
      </c>
      <c r="AA1540" s="117">
        <f>_xll.qlCalendarAdvance(Calendar,Z1540,NDays&amp;"D")</f>
        <v>49976</v>
      </c>
      <c r="AB1540" s="92">
        <v>1.8494916146101679E-2</v>
      </c>
      <c r="AC1540" s="101">
        <v>1.855494689847248E-2</v>
      </c>
    </row>
    <row r="1541" spans="25:29" x14ac:dyDescent="0.2">
      <c r="Y1541" s="105" t="str">
        <f t="shared" si="57"/>
        <v>1w</v>
      </c>
      <c r="Z1541" s="93">
        <f>_xll.qlCalendarAdvance(Calendar,Z1540,Y1541,"f",FALSE)</f>
        <v>49979</v>
      </c>
      <c r="AA1541" s="117">
        <f>_xll.qlCalendarAdvance(Calendar,Z1541,NDays&amp;"D")</f>
        <v>49983</v>
      </c>
      <c r="AB1541" s="92">
        <v>1.8484187783487468E-2</v>
      </c>
      <c r="AC1541" s="101">
        <v>1.8543120272074276E-2</v>
      </c>
    </row>
    <row r="1542" spans="25:29" x14ac:dyDescent="0.2">
      <c r="Y1542" s="105" t="str">
        <f t="shared" si="57"/>
        <v>1w</v>
      </c>
      <c r="Z1542" s="93">
        <f>_xll.qlCalendarAdvance(Calendar,Z1541,Y1542,"f",FALSE)</f>
        <v>49986</v>
      </c>
      <c r="AA1542" s="117">
        <f>_xll.qlCalendarAdvance(Calendar,Z1542,NDays&amp;"D")</f>
        <v>49990</v>
      </c>
      <c r="AB1542" s="92">
        <v>1.8473236380484901E-2</v>
      </c>
      <c r="AC1542" s="101">
        <v>1.8531364041125542E-2</v>
      </c>
    </row>
    <row r="1543" spans="25:29" x14ac:dyDescent="0.2">
      <c r="Y1543" s="105" t="str">
        <f t="shared" si="57"/>
        <v>1w</v>
      </c>
      <c r="Z1543" s="93">
        <f>_xll.qlCalendarAdvance(Calendar,Z1542,Y1543,"f",FALSE)</f>
        <v>49993</v>
      </c>
      <c r="AA1543" s="117">
        <f>_xll.qlCalendarAdvance(Calendar,Z1543,NDays&amp;"D")</f>
        <v>49997</v>
      </c>
      <c r="AB1543" s="92">
        <v>1.846235608201675E-2</v>
      </c>
      <c r="AC1543" s="101">
        <v>1.8519678205546342E-2</v>
      </c>
    </row>
    <row r="1544" spans="25:29" x14ac:dyDescent="0.2">
      <c r="Y1544" s="105" t="str">
        <f t="shared" si="57"/>
        <v>1w</v>
      </c>
      <c r="Z1544" s="93">
        <f>_xll.qlCalendarAdvance(Calendar,Z1543,Y1544,"f",FALSE)</f>
        <v>50000</v>
      </c>
      <c r="AA1544" s="117">
        <f>_xll.qlCalendarAdvance(Calendar,Z1544,NDays&amp;"D")</f>
        <v>50004</v>
      </c>
      <c r="AB1544" s="92">
        <v>1.845154688692946E-2</v>
      </c>
      <c r="AC1544" s="101">
        <v>1.8508062765256739E-2</v>
      </c>
    </row>
    <row r="1545" spans="25:29" x14ac:dyDescent="0.2">
      <c r="Y1545" s="105" t="str">
        <f t="shared" si="57"/>
        <v>1w</v>
      </c>
      <c r="Z1545" s="93">
        <f>_xll.qlCalendarAdvance(Calendar,Z1544,Y1545,"f",FALSE)</f>
        <v>50007</v>
      </c>
      <c r="AA1545" s="117">
        <f>_xll.qlCalendarAdvance(Calendar,Z1545,NDays&amp;"D")</f>
        <v>50011</v>
      </c>
      <c r="AB1545" s="92">
        <v>1.8440537265067974E-2</v>
      </c>
      <c r="AC1545" s="101">
        <v>1.8496517720496541E-2</v>
      </c>
    </row>
    <row r="1546" spans="25:29" x14ac:dyDescent="0.2">
      <c r="Y1546" s="105" t="str">
        <f t="shared" si="57"/>
        <v>1w</v>
      </c>
      <c r="Z1546" s="93">
        <f>_xll.qlCalendarAdvance(Calendar,Z1545,Y1546,"f",FALSE)</f>
        <v>50014</v>
      </c>
      <c r="AA1546" s="117">
        <f>_xll.qlCalendarAdvance(Calendar,Z1546,NDays&amp;"D")</f>
        <v>50018</v>
      </c>
      <c r="AB1546" s="92">
        <v>1.8429874808323195E-2</v>
      </c>
      <c r="AC1546" s="101">
        <v>1.8485043070946006E-2</v>
      </c>
    </row>
    <row r="1547" spans="25:29" x14ac:dyDescent="0.2">
      <c r="Y1547" s="105" t="str">
        <f t="shared" si="57"/>
        <v>1w</v>
      </c>
      <c r="Z1547" s="93">
        <f>_xll.qlCalendarAdvance(Calendar,Z1546,Y1547,"f",FALSE)</f>
        <v>50021</v>
      </c>
      <c r="AA1547" s="117">
        <f>_xll.qlCalendarAdvance(Calendar,Z1547,NDays&amp;"D")</f>
        <v>50025</v>
      </c>
      <c r="AB1547" s="92">
        <v>1.8419283455392243E-2</v>
      </c>
      <c r="AC1547" s="101">
        <v>1.8473638816924876E-2</v>
      </c>
    </row>
    <row r="1548" spans="25:29" x14ac:dyDescent="0.2">
      <c r="Y1548" s="105" t="str">
        <f t="shared" si="57"/>
        <v>1w</v>
      </c>
      <c r="Z1548" s="93">
        <f>_xll.qlCalendarAdvance(Calendar,Z1547,Y1548,"f",FALSE)</f>
        <v>50028</v>
      </c>
      <c r="AA1548" s="117">
        <f>_xll.qlCalendarAdvance(Calendar,Z1548,NDays&amp;"D")</f>
        <v>50032</v>
      </c>
      <c r="AB1548" s="92">
        <v>1.8408763205141957E-2</v>
      </c>
      <c r="AC1548" s="101">
        <v>1.8462304958193343E-2</v>
      </c>
    </row>
    <row r="1549" spans="25:29" x14ac:dyDescent="0.2">
      <c r="Y1549" s="105" t="str">
        <f t="shared" si="57"/>
        <v>1w</v>
      </c>
      <c r="Z1549" s="93">
        <f>_xll.qlCalendarAdvance(Calendar,Z1548,Y1549,"f",FALSE)</f>
        <v>50038</v>
      </c>
      <c r="AA1549" s="117">
        <f>_xll.qlCalendarAdvance(Calendar,Z1549,NDays&amp;"D")</f>
        <v>50040</v>
      </c>
      <c r="AB1549" s="92">
        <v>1.8397079841071168E-2</v>
      </c>
      <c r="AC1549" s="101">
        <v>1.8449109945031239E-2</v>
      </c>
    </row>
    <row r="1550" spans="25:29" x14ac:dyDescent="0.2">
      <c r="Y1550" s="105" t="str">
        <f t="shared" si="57"/>
        <v>1w</v>
      </c>
      <c r="Z1550" s="93">
        <f>_xll.qlCalendarAdvance(Calendar,Z1549,Y1550,"f",FALSE)</f>
        <v>50045</v>
      </c>
      <c r="AA1550" s="117">
        <f>_xll.qlCalendarAdvance(Calendar,Z1550,NDays&amp;"D")</f>
        <v>50047</v>
      </c>
      <c r="AB1550" s="92">
        <v>1.838670739898891E-2</v>
      </c>
      <c r="AC1550" s="101">
        <v>1.8438255163637507E-2</v>
      </c>
    </row>
    <row r="1551" spans="25:29" x14ac:dyDescent="0.2">
      <c r="Y1551" s="105" t="str">
        <f t="shared" si="57"/>
        <v>1w</v>
      </c>
      <c r="Z1551" s="93">
        <f>_xll.qlCalendarAdvance(Calendar,Z1550,Y1551,"f",FALSE)</f>
        <v>50052</v>
      </c>
      <c r="AA1551" s="117">
        <f>_xll.qlCalendarAdvance(Calendar,Z1551,NDays&amp;"D")</f>
        <v>50054</v>
      </c>
      <c r="AB1551" s="92">
        <v>1.8376406052251954E-2</v>
      </c>
      <c r="AC1551" s="101">
        <v>1.8427142547450259E-2</v>
      </c>
    </row>
    <row r="1552" spans="25:29" x14ac:dyDescent="0.2">
      <c r="Y1552" s="105" t="str">
        <f t="shared" si="57"/>
        <v>1w</v>
      </c>
      <c r="Z1552" s="93">
        <f>_xll.qlCalendarAdvance(Calendar,Z1551,Y1552,"f",FALSE)</f>
        <v>50059</v>
      </c>
      <c r="AA1552" s="117">
        <f>_xll.qlCalendarAdvance(Calendar,Z1552,NDays&amp;"D")</f>
        <v>50061</v>
      </c>
      <c r="AB1552" s="92">
        <v>1.8366175799767251E-2</v>
      </c>
      <c r="AC1552" s="101">
        <v>1.8416100326392737E-2</v>
      </c>
    </row>
    <row r="1553" spans="25:29" x14ac:dyDescent="0.2">
      <c r="Y1553" s="105" t="str">
        <f t="shared" si="57"/>
        <v>1w</v>
      </c>
      <c r="Z1553" s="93">
        <f>_xll.qlCalendarAdvance(Calendar,Z1552,Y1553,"f",FALSE)</f>
        <v>50066</v>
      </c>
      <c r="AA1553" s="117">
        <f>_xll.qlCalendarAdvance(Calendar,Z1553,NDays&amp;"D")</f>
        <v>50068</v>
      </c>
      <c r="AB1553" s="92">
        <v>1.8356016640448381E-2</v>
      </c>
      <c r="AC1553" s="101">
        <v>1.840512850086462E-2</v>
      </c>
    </row>
    <row r="1554" spans="25:29" x14ac:dyDescent="0.2">
      <c r="Y1554" s="105" t="str">
        <f t="shared" si="57"/>
        <v>1w</v>
      </c>
      <c r="Z1554" s="93">
        <f>_xll.qlCalendarAdvance(Calendar,Z1553,Y1554,"f",FALSE)</f>
        <v>50073</v>
      </c>
      <c r="AA1554" s="117">
        <f>_xll.qlCalendarAdvance(Calendar,Z1554,NDays&amp;"D")</f>
        <v>50075</v>
      </c>
      <c r="AB1554" s="92">
        <v>1.8345928573215538E-2</v>
      </c>
      <c r="AC1554" s="101">
        <v>1.8394227070626101E-2</v>
      </c>
    </row>
    <row r="1555" spans="25:29" x14ac:dyDescent="0.2">
      <c r="Y1555" s="105" t="str">
        <f t="shared" si="57"/>
        <v>1w</v>
      </c>
      <c r="Z1555" s="93">
        <f>_xll.qlCalendarAdvance(Calendar,Z1554,Y1555,"f",FALSE)</f>
        <v>50080</v>
      </c>
      <c r="AA1555" s="117">
        <f>_xll.qlCalendarAdvance(Calendar,Z1555,NDays&amp;"D")</f>
        <v>50082</v>
      </c>
      <c r="AB1555" s="92">
        <v>1.8335911596998201E-2</v>
      </c>
      <c r="AC1555" s="101">
        <v>1.8383396035597244E-2</v>
      </c>
    </row>
    <row r="1556" spans="25:29" x14ac:dyDescent="0.2">
      <c r="Y1556" s="105" t="str">
        <f t="shared" si="57"/>
        <v>1w</v>
      </c>
      <c r="Z1556" s="93">
        <f>_xll.qlCalendarAdvance(Calendar,Z1555,Y1556,"f",FALSE)</f>
        <v>50087</v>
      </c>
      <c r="AA1556" s="117">
        <f>_xll.qlCalendarAdvance(Calendar,Z1556,NDays&amp;"D")</f>
        <v>50089</v>
      </c>
      <c r="AB1556" s="92">
        <v>1.832596571073335E-2</v>
      </c>
      <c r="AC1556" s="101">
        <v>1.8372635396017856E-2</v>
      </c>
    </row>
    <row r="1557" spans="25:29" x14ac:dyDescent="0.2">
      <c r="Y1557" s="105" t="str">
        <f t="shared" ref="Y1557:Y1620" si="58">Y1556</f>
        <v>1w</v>
      </c>
      <c r="Z1557" s="93">
        <f>_xll.qlCalendarAdvance(Calendar,Z1556,Y1557,"f",FALSE)</f>
        <v>50094</v>
      </c>
      <c r="AA1557" s="117">
        <f>_xll.qlCalendarAdvance(Calendar,Z1557,NDays&amp;"D")</f>
        <v>50096</v>
      </c>
      <c r="AB1557" s="92">
        <v>1.831609091336283E-2</v>
      </c>
      <c r="AC1557" s="101">
        <v>1.8361945151728065E-2</v>
      </c>
    </row>
    <row r="1558" spans="25:29" x14ac:dyDescent="0.2">
      <c r="Y1558" s="105" t="str">
        <f t="shared" si="58"/>
        <v>1w</v>
      </c>
      <c r="Z1558" s="93">
        <f>_xll.qlCalendarAdvance(Calendar,Z1557,Y1558,"f",FALSE)</f>
        <v>50101</v>
      </c>
      <c r="AA1558" s="117">
        <f>_xll.qlCalendarAdvance(Calendar,Z1558,NDays&amp;"D")</f>
        <v>50103</v>
      </c>
      <c r="AB1558" s="92">
        <v>1.8305653636272602E-2</v>
      </c>
      <c r="AC1558" s="101">
        <v>1.8351325302568E-2</v>
      </c>
    </row>
    <row r="1559" spans="25:29" x14ac:dyDescent="0.2">
      <c r="Y1559" s="105" t="str">
        <f t="shared" si="58"/>
        <v>1w</v>
      </c>
      <c r="Z1559" s="93">
        <f>_xll.qlCalendarAdvance(Calendar,Z1558,Y1559,"f",FALSE)</f>
        <v>50108</v>
      </c>
      <c r="AA1559" s="117">
        <f>_xll.qlCalendarAdvance(Calendar,Z1559,NDays&amp;"D")</f>
        <v>50110</v>
      </c>
      <c r="AB1559" s="92">
        <v>1.8295934770796284E-2</v>
      </c>
      <c r="AC1559" s="101">
        <v>1.8340775848857405E-2</v>
      </c>
    </row>
    <row r="1560" spans="25:29" x14ac:dyDescent="0.2">
      <c r="Y1560" s="105" t="str">
        <f t="shared" si="58"/>
        <v>1w</v>
      </c>
      <c r="Z1560" s="93">
        <f>_xll.qlCalendarAdvance(Calendar,Z1559,Y1560,"f",FALSE)</f>
        <v>50115</v>
      </c>
      <c r="AA1560" s="117">
        <f>_xll.qlCalendarAdvance(Calendar,Z1560,NDays&amp;"D")</f>
        <v>50117</v>
      </c>
      <c r="AB1560" s="92">
        <v>1.8286287002436421E-2</v>
      </c>
      <c r="AC1560" s="101">
        <v>1.8330296790436407E-2</v>
      </c>
    </row>
    <row r="1561" spans="25:29" x14ac:dyDescent="0.2">
      <c r="Y1561" s="105" t="str">
        <f t="shared" si="58"/>
        <v>1w</v>
      </c>
      <c r="Z1561" s="93">
        <f>_xll.qlCalendarAdvance(Calendar,Z1560,Y1561,"f",FALSE)</f>
        <v>50122</v>
      </c>
      <c r="AA1561" s="117">
        <f>_xll.qlCalendarAdvance(Calendar,Z1561,NDays&amp;"D")</f>
        <v>50124</v>
      </c>
      <c r="AB1561" s="92">
        <v>1.8276710330151238E-2</v>
      </c>
      <c r="AC1561" s="101">
        <v>1.831988812722507E-2</v>
      </c>
    </row>
    <row r="1562" spans="25:29" x14ac:dyDescent="0.2">
      <c r="Y1562" s="105" t="str">
        <f t="shared" si="58"/>
        <v>1w</v>
      </c>
      <c r="Z1562" s="93">
        <f>_xll.qlCalendarAdvance(Calendar,Z1561,Y1562,"f",FALSE)</f>
        <v>50129</v>
      </c>
      <c r="AA1562" s="117">
        <f>_xll.qlCalendarAdvance(Calendar,Z1562,NDays&amp;"D")</f>
        <v>50131</v>
      </c>
      <c r="AB1562" s="92">
        <v>1.8267397143507634E-2</v>
      </c>
      <c r="AC1562" s="101">
        <v>1.8309549859303331E-2</v>
      </c>
    </row>
    <row r="1563" spans="25:29" x14ac:dyDescent="0.2">
      <c r="Y1563" s="105" t="str">
        <f t="shared" si="58"/>
        <v>1w</v>
      </c>
      <c r="Z1563" s="93">
        <f>_xll.qlCalendarAdvance(Calendar,Z1562,Y1563,"f",FALSE)</f>
        <v>50137</v>
      </c>
      <c r="AA1563" s="117">
        <f>_xll.qlCalendarAdvance(Calendar,Z1563,NDays&amp;"D")</f>
        <v>50139</v>
      </c>
      <c r="AB1563" s="92">
        <v>1.8256615421490156E-2</v>
      </c>
      <c r="AC1563" s="101">
        <v>1.8297820894224159E-2</v>
      </c>
    </row>
    <row r="1564" spans="25:29" x14ac:dyDescent="0.2">
      <c r="Y1564" s="105" t="str">
        <f t="shared" si="58"/>
        <v>1w</v>
      </c>
      <c r="Z1564" s="93">
        <f>_xll.qlCalendarAdvance(Calendar,Z1563,Y1564,"f",FALSE)</f>
        <v>50144</v>
      </c>
      <c r="AA1564" s="117">
        <f>_xll.qlCalendarAdvance(Calendar,Z1564,NDays&amp;"D")</f>
        <v>50146</v>
      </c>
      <c r="AB1564" s="92">
        <v>1.8247257581660788E-2</v>
      </c>
      <c r="AC1564" s="101">
        <v>1.82876334733173E-2</v>
      </c>
    </row>
    <row r="1565" spans="25:29" x14ac:dyDescent="0.2">
      <c r="Y1565" s="105" t="str">
        <f t="shared" si="58"/>
        <v>1w</v>
      </c>
      <c r="Z1565" s="93">
        <f>_xll.qlCalendarAdvance(Calendar,Z1564,Y1565,"f",FALSE)</f>
        <v>50151</v>
      </c>
      <c r="AA1565" s="117">
        <f>_xll.qlCalendarAdvance(Calendar,Z1565,NDays&amp;"D")</f>
        <v>50153</v>
      </c>
      <c r="AB1565" s="92">
        <v>1.8237970829916787E-2</v>
      </c>
      <c r="AC1565" s="101">
        <v>1.8277516447460229E-2</v>
      </c>
    </row>
    <row r="1566" spans="25:29" x14ac:dyDescent="0.2">
      <c r="Y1566" s="105" t="str">
        <f t="shared" si="58"/>
        <v>1w</v>
      </c>
      <c r="Z1566" s="93">
        <f>_xll.qlCalendarAdvance(Calendar,Z1565,Y1566,"f",FALSE)</f>
        <v>50158</v>
      </c>
      <c r="AA1566" s="117">
        <f>_xll.qlCalendarAdvance(Calendar,Z1566,NDays&amp;"D")</f>
        <v>50160</v>
      </c>
      <c r="AB1566" s="92">
        <v>1.8228755165263972E-2</v>
      </c>
      <c r="AC1566" s="101">
        <v>1.8266717163513135E-2</v>
      </c>
    </row>
    <row r="1567" spans="25:29" x14ac:dyDescent="0.2">
      <c r="Y1567" s="105" t="str">
        <f t="shared" si="58"/>
        <v>1w</v>
      </c>
      <c r="Z1567" s="93">
        <f>_xll.qlCalendarAdvance(Calendar,Z1566,Y1567,"f",FALSE)</f>
        <v>50165</v>
      </c>
      <c r="AA1567" s="117">
        <f>_xll.qlCalendarAdvance(Calendar,Z1567,NDays&amp;"D")</f>
        <v>50167</v>
      </c>
      <c r="AB1567" s="92">
        <v>1.8219105834440315E-2</v>
      </c>
      <c r="AC1567" s="101">
        <v>1.8257493581774753E-2</v>
      </c>
    </row>
    <row r="1568" spans="25:29" x14ac:dyDescent="0.2">
      <c r="Y1568" s="105" t="str">
        <f t="shared" si="58"/>
        <v>1w</v>
      </c>
      <c r="Z1568" s="93">
        <f>_xll.qlCalendarAdvance(Calendar,Z1567,Y1568,"f",FALSE)</f>
        <v>50172</v>
      </c>
      <c r="AA1568" s="117">
        <f>_xll.qlCalendarAdvance(Calendar,Z1568,NDays&amp;"D")</f>
        <v>50174</v>
      </c>
      <c r="AB1568" s="92">
        <v>1.8210046204488701E-2</v>
      </c>
      <c r="AC1568" s="101">
        <v>1.8247587741786475E-2</v>
      </c>
    </row>
    <row r="1569" spans="25:29" x14ac:dyDescent="0.2">
      <c r="Y1569" s="105" t="str">
        <f t="shared" si="58"/>
        <v>1w</v>
      </c>
      <c r="Z1569" s="93">
        <f>_xll.qlCalendarAdvance(Calendar,Z1568,Y1569,"f",FALSE)</f>
        <v>50179</v>
      </c>
      <c r="AA1569" s="117">
        <f>_xll.qlCalendarAdvance(Calendar,Z1569,NDays&amp;"D")</f>
        <v>50181</v>
      </c>
      <c r="AB1569" s="92">
        <v>1.8201057669885622E-2</v>
      </c>
      <c r="AC1569" s="101">
        <v>1.8237752297087795E-2</v>
      </c>
    </row>
    <row r="1570" spans="25:29" x14ac:dyDescent="0.2">
      <c r="Y1570" s="105" t="str">
        <f t="shared" si="58"/>
        <v>1w</v>
      </c>
      <c r="Z1570" s="93">
        <f>_xll.qlCalendarAdvance(Calendar,Z1569,Y1570,"f",FALSE)</f>
        <v>50186</v>
      </c>
      <c r="AA1570" s="117">
        <f>_xll.qlCalendarAdvance(Calendar,Z1570,NDays&amp;"D")</f>
        <v>50188</v>
      </c>
      <c r="AB1570" s="92">
        <v>1.8192140229650357E-2</v>
      </c>
      <c r="AC1570" s="101">
        <v>1.822798724751884E-2</v>
      </c>
    </row>
    <row r="1571" spans="25:29" x14ac:dyDescent="0.2">
      <c r="Y1571" s="105" t="str">
        <f t="shared" si="58"/>
        <v>1w</v>
      </c>
      <c r="Z1571" s="93">
        <f>_xll.qlCalendarAdvance(Calendar,Z1570,Y1571,"f",FALSE)</f>
        <v>50193</v>
      </c>
      <c r="AA1571" s="117">
        <f>_xll.qlCalendarAdvance(Calendar,Z1571,NDays&amp;"D")</f>
        <v>50195</v>
      </c>
      <c r="AB1571" s="92">
        <v>1.8183743113981202E-2</v>
      </c>
      <c r="AC1571" s="101">
        <v>1.8218292593159546E-2</v>
      </c>
    </row>
    <row r="1572" spans="25:29" x14ac:dyDescent="0.2">
      <c r="Y1572" s="105" t="str">
        <f t="shared" si="58"/>
        <v>1w</v>
      </c>
      <c r="Z1572" s="93">
        <f>_xll.qlCalendarAdvance(Calendar,Z1571,Y1572,"f",FALSE)</f>
        <v>50200</v>
      </c>
      <c r="AA1572" s="117">
        <f>_xll.qlCalendarAdvance(Calendar,Z1572,NDays&amp;"D")</f>
        <v>50202</v>
      </c>
      <c r="AB1572" s="92">
        <v>1.8174953951355086E-2</v>
      </c>
      <c r="AC1572" s="101">
        <v>1.8208668334009914E-2</v>
      </c>
    </row>
    <row r="1573" spans="25:29" x14ac:dyDescent="0.2">
      <c r="Y1573" s="105" t="str">
        <f t="shared" si="58"/>
        <v>1w</v>
      </c>
      <c r="Z1573" s="93">
        <f>_xll.qlCalendarAdvance(Calendar,Z1572,Y1573,"f",FALSE)</f>
        <v>50207</v>
      </c>
      <c r="AA1573" s="117">
        <f>_xll.qlCalendarAdvance(Calendar,Z1573,NDays&amp;"D")</f>
        <v>50209</v>
      </c>
      <c r="AB1573" s="92">
        <v>1.8166235869053551E-2</v>
      </c>
      <c r="AC1573" s="101">
        <v>1.8199114470069944E-2</v>
      </c>
    </row>
    <row r="1574" spans="25:29" x14ac:dyDescent="0.2">
      <c r="Y1574" s="105" t="str">
        <f t="shared" si="58"/>
        <v>1w</v>
      </c>
      <c r="Z1574" s="93">
        <f>_xll.qlCalendarAdvance(Calendar,Z1573,Y1574,"f",FALSE)</f>
        <v>50214</v>
      </c>
      <c r="AA1574" s="117">
        <f>_xll.qlCalendarAdvance(Calendar,Z1574,NDays&amp;"D")</f>
        <v>50216</v>
      </c>
      <c r="AB1574" s="92">
        <v>1.8157181393040307E-2</v>
      </c>
      <c r="AC1574" s="101">
        <v>1.8189631001339635E-2</v>
      </c>
    </row>
    <row r="1575" spans="25:29" x14ac:dyDescent="0.2">
      <c r="Y1575" s="105" t="str">
        <f t="shared" si="58"/>
        <v>1w</v>
      </c>
      <c r="Z1575" s="93">
        <f>_xll.qlCalendarAdvance(Calendar,Z1574,Y1575,"f",FALSE)</f>
        <v>50221</v>
      </c>
      <c r="AA1575" s="117">
        <f>_xll.qlCalendarAdvance(Calendar,Z1575,NDays&amp;"D")</f>
        <v>50223</v>
      </c>
      <c r="AB1575" s="92">
        <v>1.8148619410202321E-2</v>
      </c>
      <c r="AC1575" s="101">
        <v>1.8180217927898923E-2</v>
      </c>
    </row>
    <row r="1576" spans="25:29" x14ac:dyDescent="0.2">
      <c r="Y1576" s="105" t="str">
        <f t="shared" si="58"/>
        <v>1w</v>
      </c>
      <c r="Z1576" s="93">
        <f>_xll.qlCalendarAdvance(Calendar,Z1575,Y1576,"f",FALSE)</f>
        <v>50228</v>
      </c>
      <c r="AA1576" s="117">
        <f>_xll.qlCalendarAdvance(Calendar,Z1576,NDays&amp;"D")</f>
        <v>50230</v>
      </c>
      <c r="AB1576" s="92">
        <v>1.814012851600898E-2</v>
      </c>
      <c r="AC1576" s="101">
        <v>1.8170875249508001E-2</v>
      </c>
    </row>
    <row r="1577" spans="25:29" x14ac:dyDescent="0.2">
      <c r="Y1577" s="105" t="str">
        <f t="shared" si="58"/>
        <v>1w</v>
      </c>
      <c r="Z1577" s="93">
        <f>_xll.qlCalendarAdvance(Calendar,Z1576,Y1577,"f",FALSE)</f>
        <v>50235</v>
      </c>
      <c r="AA1577" s="117">
        <f>_xll.qlCalendarAdvance(Calendar,Z1577,NDays&amp;"D")</f>
        <v>50237</v>
      </c>
      <c r="AB1577" s="92">
        <v>1.8131708709535441E-2</v>
      </c>
      <c r="AC1577" s="101">
        <v>1.816160296632674E-2</v>
      </c>
    </row>
    <row r="1578" spans="25:29" x14ac:dyDescent="0.2">
      <c r="Y1578" s="105" t="str">
        <f t="shared" si="58"/>
        <v>1w</v>
      </c>
      <c r="Z1578" s="93">
        <f>_xll.qlCalendarAdvance(Calendar,Z1577,Y1578,"f",FALSE)</f>
        <v>50242</v>
      </c>
      <c r="AA1578" s="117">
        <f>_xll.qlCalendarAdvance(Calendar,Z1578,NDays&amp;"D")</f>
        <v>50244</v>
      </c>
      <c r="AB1578" s="92">
        <v>1.812335998986114E-2</v>
      </c>
      <c r="AC1578" s="101">
        <v>1.8152401078275204E-2</v>
      </c>
    </row>
    <row r="1579" spans="25:29" x14ac:dyDescent="0.2">
      <c r="Y1579" s="105" t="str">
        <f t="shared" si="58"/>
        <v>1w</v>
      </c>
      <c r="Z1579" s="93">
        <f>_xll.qlCalendarAdvance(Calendar,Z1578,Y1579,"f",FALSE)</f>
        <v>50249</v>
      </c>
      <c r="AA1579" s="117">
        <f>_xll.qlCalendarAdvance(Calendar,Z1579,NDays&amp;"D")</f>
        <v>50251</v>
      </c>
      <c r="AB1579" s="92">
        <v>1.8115420010158791E-2</v>
      </c>
      <c r="AC1579" s="101">
        <v>1.8143269585513266E-2</v>
      </c>
    </row>
    <row r="1580" spans="25:29" x14ac:dyDescent="0.2">
      <c r="Y1580" s="105" t="str">
        <f t="shared" si="58"/>
        <v>1w</v>
      </c>
      <c r="Z1580" s="93">
        <f>_xll.qlCalendarAdvance(Calendar,Z1579,Y1580,"f",FALSE)</f>
        <v>50256</v>
      </c>
      <c r="AA1580" s="117">
        <f>_xll.qlCalendarAdvance(Calendar,Z1580,NDays&amp;"D")</f>
        <v>50258</v>
      </c>
      <c r="AB1580" s="92">
        <v>1.8106875807274901E-2</v>
      </c>
      <c r="AC1580" s="101">
        <v>1.8134208487801118E-2</v>
      </c>
    </row>
    <row r="1581" spans="25:29" x14ac:dyDescent="0.2">
      <c r="Y1581" s="105" t="str">
        <f t="shared" si="58"/>
        <v>1w</v>
      </c>
      <c r="Z1581" s="93">
        <f>_xll.qlCalendarAdvance(Calendar,Z1580,Y1581,"f",FALSE)</f>
        <v>50263</v>
      </c>
      <c r="AA1581" s="117">
        <f>_xll.qlCalendarAdvance(Calendar,Z1581,NDays&amp;"D")</f>
        <v>50265</v>
      </c>
      <c r="AB1581" s="92">
        <v>1.8098740342565686E-2</v>
      </c>
      <c r="AC1581" s="101">
        <v>1.8125217785378567E-2</v>
      </c>
    </row>
    <row r="1582" spans="25:29" x14ac:dyDescent="0.2">
      <c r="Y1582" s="105" t="str">
        <f t="shared" si="58"/>
        <v>1w</v>
      </c>
      <c r="Z1582" s="93">
        <f>_xll.qlCalendarAdvance(Calendar,Z1581,Y1582,"f",FALSE)</f>
        <v>50270</v>
      </c>
      <c r="AA1582" s="117">
        <f>_xll.qlCalendarAdvance(Calendar,Z1582,NDays&amp;"D")</f>
        <v>50272</v>
      </c>
      <c r="AB1582" s="92">
        <v>1.8090675961058591E-2</v>
      </c>
      <c r="AC1582" s="101">
        <v>1.8116297478005805E-2</v>
      </c>
    </row>
    <row r="1583" spans="25:29" x14ac:dyDescent="0.2">
      <c r="Y1583" s="105" t="str">
        <f t="shared" si="58"/>
        <v>1w</v>
      </c>
      <c r="Z1583" s="93">
        <f>_xll.qlCalendarAdvance(Calendar,Z1582,Y1583,"f",FALSE)</f>
        <v>50277</v>
      </c>
      <c r="AA1583" s="117">
        <f>_xll.qlCalendarAdvance(Calendar,Z1583,NDays&amp;"D")</f>
        <v>50279</v>
      </c>
      <c r="AB1583" s="92">
        <v>1.8082964261697986E-2</v>
      </c>
      <c r="AC1583" s="101">
        <v>1.8107447565762769E-2</v>
      </c>
    </row>
    <row r="1584" spans="25:29" x14ac:dyDescent="0.2">
      <c r="Y1584" s="105" t="str">
        <f t="shared" si="58"/>
        <v>1w</v>
      </c>
      <c r="Z1584" s="93">
        <f>_xll.qlCalendarAdvance(Calendar,Z1583,Y1584,"f",FALSE)</f>
        <v>50284</v>
      </c>
      <c r="AA1584" s="117">
        <f>_xll.qlCalendarAdvance(Calendar,Z1584,NDays&amp;"D")</f>
        <v>50286</v>
      </c>
      <c r="AB1584" s="92">
        <v>1.8075208596884849E-2</v>
      </c>
      <c r="AC1584" s="101">
        <v>1.8098668048729394E-2</v>
      </c>
    </row>
    <row r="1585" spans="25:29" x14ac:dyDescent="0.2">
      <c r="Y1585" s="105" t="str">
        <f t="shared" si="58"/>
        <v>1w</v>
      </c>
      <c r="Z1585" s="93">
        <f>_xll.qlCalendarAdvance(Calendar,Z1584,Y1585,"f",FALSE)</f>
        <v>50291</v>
      </c>
      <c r="AA1585" s="117">
        <f>_xll.qlCalendarAdvance(Calendar,Z1585,NDays&amp;"D")</f>
        <v>50293</v>
      </c>
      <c r="AB1585" s="92">
        <v>1.8067334042112183E-2</v>
      </c>
      <c r="AC1585" s="101">
        <v>1.8089958926825744E-2</v>
      </c>
    </row>
    <row r="1586" spans="25:29" x14ac:dyDescent="0.2">
      <c r="Y1586" s="105" t="str">
        <f t="shared" si="58"/>
        <v>1w</v>
      </c>
      <c r="Z1586" s="93">
        <f>_xll.qlCalendarAdvance(Calendar,Z1585,Y1586,"f",FALSE)</f>
        <v>50298</v>
      </c>
      <c r="AA1586" s="117">
        <f>_xll.qlCalendarAdvance(Calendar,Z1586,NDays&amp;"D")</f>
        <v>50300</v>
      </c>
      <c r="AB1586" s="92">
        <v>1.8059530548769846E-2</v>
      </c>
      <c r="AC1586" s="101">
        <v>1.8081320199971884E-2</v>
      </c>
    </row>
    <row r="1587" spans="25:29" x14ac:dyDescent="0.2">
      <c r="Y1587" s="105" t="str">
        <f t="shared" si="58"/>
        <v>1w</v>
      </c>
      <c r="Z1587" s="93">
        <f>_xll.qlCalendarAdvance(Calendar,Z1586,Y1587,"f",FALSE)</f>
        <v>50305</v>
      </c>
      <c r="AA1587" s="117">
        <f>_xll.qlCalendarAdvance(Calendar,Z1587,NDays&amp;"D")</f>
        <v>50307</v>
      </c>
      <c r="AB1587" s="92">
        <v>1.8051798116029333E-2</v>
      </c>
      <c r="AC1587" s="101">
        <v>1.8072751868407622E-2</v>
      </c>
    </row>
    <row r="1588" spans="25:29" x14ac:dyDescent="0.2">
      <c r="Y1588" s="105" t="str">
        <f t="shared" si="58"/>
        <v>1w</v>
      </c>
      <c r="Z1588" s="93">
        <f>_xll.qlCalendarAdvance(Calendar,Z1587,Y1588,"f",FALSE)</f>
        <v>50312</v>
      </c>
      <c r="AA1588" s="117">
        <f>_xll.qlCalendarAdvance(Calendar,Z1588,NDays&amp;"D")</f>
        <v>50314</v>
      </c>
      <c r="AB1588" s="92">
        <v>1.8044064975943495E-2</v>
      </c>
      <c r="AC1588" s="101">
        <v>1.8064253931733276E-2</v>
      </c>
    </row>
    <row r="1589" spans="25:29" x14ac:dyDescent="0.2">
      <c r="Y1589" s="105" t="str">
        <f t="shared" si="58"/>
        <v>1w</v>
      </c>
      <c r="Z1589" s="93">
        <f>_xll.qlCalendarAdvance(Calendar,Z1588,Y1589,"f",FALSE)</f>
        <v>50319</v>
      </c>
      <c r="AA1589" s="117">
        <f>_xll.qlCalendarAdvance(Calendar,Z1589,NDays&amp;"D")</f>
        <v>50321</v>
      </c>
      <c r="AB1589" s="92">
        <v>1.8036479359080055E-2</v>
      </c>
      <c r="AC1589" s="101">
        <v>1.8055826390348528E-2</v>
      </c>
    </row>
    <row r="1590" spans="25:29" x14ac:dyDescent="0.2">
      <c r="Y1590" s="105" t="str">
        <f t="shared" si="58"/>
        <v>1w</v>
      </c>
      <c r="Z1590" s="93">
        <f>_xll.qlCalendarAdvance(Calendar,Z1589,Y1590,"f",FALSE)</f>
        <v>50326</v>
      </c>
      <c r="AA1590" s="117">
        <f>_xll.qlCalendarAdvance(Calendar,Z1590,NDays&amp;"D")</f>
        <v>50328</v>
      </c>
      <c r="AB1590" s="92">
        <v>1.8028964804022284E-2</v>
      </c>
      <c r="AC1590" s="101">
        <v>1.8047469244093506E-2</v>
      </c>
    </row>
    <row r="1591" spans="25:29" x14ac:dyDescent="0.2">
      <c r="Y1591" s="105" t="str">
        <f t="shared" si="58"/>
        <v>1w</v>
      </c>
      <c r="Z1591" s="93">
        <f>_xll.qlCalendarAdvance(Calendar,Z1590,Y1591,"f",FALSE)</f>
        <v>50333</v>
      </c>
      <c r="AA1591" s="117">
        <f>_xll.qlCalendarAdvance(Calendar,Z1591,NDays&amp;"D")</f>
        <v>50335</v>
      </c>
      <c r="AB1591" s="92">
        <v>1.8021521309967314E-2</v>
      </c>
      <c r="AC1591" s="101">
        <v>1.8039182492808337E-2</v>
      </c>
    </row>
    <row r="1592" spans="25:29" x14ac:dyDescent="0.2">
      <c r="Y1592" s="105" t="str">
        <f t="shared" si="58"/>
        <v>1w</v>
      </c>
      <c r="Z1592" s="93">
        <f>_xll.qlCalendarAdvance(Calendar,Z1591,Y1592,"f",FALSE)</f>
        <v>50340</v>
      </c>
      <c r="AA1592" s="117">
        <f>_xll.qlCalendarAdvance(Calendar,Z1592,NDays&amp;"D")</f>
        <v>50342</v>
      </c>
      <c r="AB1592" s="92">
        <v>1.8014148876121048E-2</v>
      </c>
      <c r="AC1592" s="101">
        <v>1.8030966136812765E-2</v>
      </c>
    </row>
    <row r="1593" spans="25:29" x14ac:dyDescent="0.2">
      <c r="Y1593" s="105" t="str">
        <f t="shared" si="58"/>
        <v>1w</v>
      </c>
      <c r="Z1593" s="93">
        <f>_xll.qlCalendarAdvance(Calendar,Z1592,Y1593,"f",FALSE)</f>
        <v>50347</v>
      </c>
      <c r="AA1593" s="117">
        <f>_xll.qlCalendarAdvance(Calendar,Z1593,NDays&amp;"D")</f>
        <v>50349</v>
      </c>
      <c r="AB1593" s="92">
        <v>1.8006895746765651E-2</v>
      </c>
      <c r="AC1593" s="101">
        <v>1.8022820175787047E-2</v>
      </c>
    </row>
    <row r="1594" spans="25:29" x14ac:dyDescent="0.2">
      <c r="Y1594" s="105" t="str">
        <f t="shared" si="58"/>
        <v>1w</v>
      </c>
      <c r="Z1594" s="93">
        <f>_xll.qlCalendarAdvance(Calendar,Z1593,Y1594,"f",FALSE)</f>
        <v>50354</v>
      </c>
      <c r="AA1594" s="117">
        <f>_xll.qlCalendarAdvance(Calendar,Z1594,NDays&amp;"D")</f>
        <v>50356</v>
      </c>
      <c r="AB1594" s="92">
        <v>1.7999660715668546E-2</v>
      </c>
      <c r="AC1594" s="101">
        <v>1.8014744609891054E-2</v>
      </c>
    </row>
    <row r="1595" spans="25:29" x14ac:dyDescent="0.2">
      <c r="Y1595" s="105" t="str">
        <f t="shared" si="58"/>
        <v>1w</v>
      </c>
      <c r="Z1595" s="93">
        <f>_xll.qlCalendarAdvance(Calendar,Z1594,Y1595,"f",FALSE)</f>
        <v>50361</v>
      </c>
      <c r="AA1595" s="117">
        <f>_xll.qlCalendarAdvance(Calendar,Z1595,NDays&amp;"D")</f>
        <v>50363</v>
      </c>
      <c r="AB1595" s="92">
        <v>1.7992496738815037E-2</v>
      </c>
      <c r="AC1595" s="101">
        <v>1.8006739439124786E-2</v>
      </c>
    </row>
    <row r="1596" spans="25:29" x14ac:dyDescent="0.2">
      <c r="Y1596" s="105" t="str">
        <f t="shared" si="58"/>
        <v>1w</v>
      </c>
      <c r="Z1596" s="93">
        <f>_xll.qlCalendarAdvance(Calendar,Z1595,Y1596,"f",FALSE)</f>
        <v>50368</v>
      </c>
      <c r="AA1596" s="117">
        <f>_xll.qlCalendarAdvance(Calendar,Z1596,NDays&amp;"D")</f>
        <v>50370</v>
      </c>
      <c r="AB1596" s="92">
        <v>1.7985403815445951E-2</v>
      </c>
      <c r="AC1596" s="101">
        <v>1.7998804663328372E-2</v>
      </c>
    </row>
    <row r="1597" spans="25:29" x14ac:dyDescent="0.2">
      <c r="Y1597" s="105" t="str">
        <f t="shared" si="58"/>
        <v>1w</v>
      </c>
      <c r="Z1597" s="93">
        <f>_xll.qlCalendarAdvance(Calendar,Z1596,Y1597,"f",FALSE)</f>
        <v>50375</v>
      </c>
      <c r="AA1597" s="117">
        <f>_xll.qlCalendarAdvance(Calendar,Z1597,NDays&amp;"D")</f>
        <v>50377</v>
      </c>
      <c r="AB1597" s="92">
        <v>1.7978352582726981E-2</v>
      </c>
      <c r="AC1597" s="101">
        <v>1.7990940282661683E-2</v>
      </c>
    </row>
    <row r="1598" spans="25:29" x14ac:dyDescent="0.2">
      <c r="Y1598" s="105" t="str">
        <f t="shared" si="58"/>
        <v>1w</v>
      </c>
      <c r="Z1598" s="93">
        <f>_xll.qlCalendarAdvance(Calendar,Z1597,Y1598,"f",FALSE)</f>
        <v>50382</v>
      </c>
      <c r="AA1598" s="117">
        <f>_xll.qlCalendarAdvance(Calendar,Z1598,NDays&amp;"D")</f>
        <v>50384</v>
      </c>
      <c r="AB1598" s="92">
        <v>1.7971406493865087E-2</v>
      </c>
      <c r="AC1598" s="101">
        <v>1.7983146297124719E-2</v>
      </c>
    </row>
    <row r="1599" spans="25:29" x14ac:dyDescent="0.2">
      <c r="Y1599" s="105" t="str">
        <f t="shared" si="58"/>
        <v>1w</v>
      </c>
      <c r="Z1599" s="93">
        <f>_xll.qlCalendarAdvance(Calendar,Z1598,Y1599,"f",FALSE)</f>
        <v>50389</v>
      </c>
      <c r="AA1599" s="117">
        <f>_xll.qlCalendarAdvance(Calendar,Z1599,NDays&amp;"D")</f>
        <v>50391</v>
      </c>
      <c r="AB1599" s="92">
        <v>1.7964531459860572E-2</v>
      </c>
      <c r="AC1599" s="101">
        <v>1.7975422706637545E-2</v>
      </c>
    </row>
    <row r="1600" spans="25:29" x14ac:dyDescent="0.2">
      <c r="Y1600" s="105" t="str">
        <f t="shared" si="58"/>
        <v>1w</v>
      </c>
      <c r="Z1600" s="93">
        <f>_xll.qlCalendarAdvance(Calendar,Z1599,Y1600,"f",FALSE)</f>
        <v>50396</v>
      </c>
      <c r="AA1600" s="117">
        <f>_xll.qlCalendarAdvance(Calendar,Z1600,NDays&amp;"D")</f>
        <v>50398</v>
      </c>
      <c r="AB1600" s="92">
        <v>1.7957727479979965E-2</v>
      </c>
      <c r="AC1600" s="101">
        <v>1.796748456763142E-2</v>
      </c>
    </row>
    <row r="1601" spans="25:29" x14ac:dyDescent="0.2">
      <c r="Y1601" s="105" t="str">
        <f t="shared" si="58"/>
        <v>1w</v>
      </c>
      <c r="Z1601" s="93">
        <f>_xll.qlCalendarAdvance(Calendar,Z1600,Y1601,"f",FALSE)</f>
        <v>50403</v>
      </c>
      <c r="AA1601" s="117">
        <f>_xll.qlCalendarAdvance(Calendar,Z1601,NDays&amp;"D")</f>
        <v>50405</v>
      </c>
      <c r="AB1601" s="92">
        <v>1.7951004974753368E-2</v>
      </c>
      <c r="AC1601" s="101">
        <v>1.7959915719083508E-2</v>
      </c>
    </row>
    <row r="1602" spans="25:29" x14ac:dyDescent="0.2">
      <c r="Y1602" s="105" t="str">
        <f t="shared" si="58"/>
        <v>1w</v>
      </c>
      <c r="Z1602" s="93">
        <f>_xll.qlCalendarAdvance(Calendar,Z1601,Y1602,"f",FALSE)</f>
        <v>50410</v>
      </c>
      <c r="AA1602" s="117">
        <f>_xll.qlCalendarAdvance(Calendar,Z1602,NDays&amp;"D")</f>
        <v>50412</v>
      </c>
      <c r="AB1602" s="92">
        <v>1.7944338356732432E-2</v>
      </c>
      <c r="AC1602" s="101">
        <v>1.7952674305474758E-2</v>
      </c>
    </row>
    <row r="1603" spans="25:29" x14ac:dyDescent="0.2">
      <c r="Y1603" s="105" t="str">
        <f t="shared" si="58"/>
        <v>1w</v>
      </c>
      <c r="Z1603" s="93">
        <f>_xll.qlCalendarAdvance(Calendar,Z1602,Y1603,"f",FALSE)</f>
        <v>50417</v>
      </c>
      <c r="AA1603" s="117">
        <f>_xll.qlCalendarAdvance(Calendar,Z1603,NDays&amp;"D")</f>
        <v>50419</v>
      </c>
      <c r="AB1603" s="92">
        <v>1.7937742787080893E-2</v>
      </c>
      <c r="AC1603" s="101">
        <v>1.7945232295186742E-2</v>
      </c>
    </row>
    <row r="1604" spans="25:29" x14ac:dyDescent="0.2">
      <c r="Y1604" s="105" t="str">
        <f t="shared" si="58"/>
        <v>1w</v>
      </c>
      <c r="Z1604" s="93">
        <f>_xll.qlCalendarAdvance(Calendar,Z1603,Y1604,"f",FALSE)</f>
        <v>50424</v>
      </c>
      <c r="AA1604" s="117">
        <f>_xll.qlCalendarAdvance(Calendar,Z1604,NDays&amp;"D")</f>
        <v>50426</v>
      </c>
      <c r="AB1604" s="92">
        <v>1.7931218265099198E-2</v>
      </c>
      <c r="AC1604" s="101">
        <v>1.793786068002845E-2</v>
      </c>
    </row>
    <row r="1605" spans="25:29" x14ac:dyDescent="0.2">
      <c r="Y1605" s="105" t="str">
        <f t="shared" si="58"/>
        <v>1w</v>
      </c>
      <c r="Z1605" s="93">
        <f>_xll.qlCalendarAdvance(Calendar,Z1604,Y1605,"f",FALSE)</f>
        <v>50431</v>
      </c>
      <c r="AA1605" s="117">
        <f>_xll.qlCalendarAdvance(Calendar,Z1605,NDays&amp;"D")</f>
        <v>50433</v>
      </c>
      <c r="AB1605" s="92">
        <v>1.7924764790093542E-2</v>
      </c>
      <c r="AC1605" s="101">
        <v>1.7930559459840012E-2</v>
      </c>
    </row>
    <row r="1606" spans="25:29" x14ac:dyDescent="0.2">
      <c r="Y1606" s="105" t="str">
        <f t="shared" si="58"/>
        <v>1w</v>
      </c>
      <c r="Z1606" s="93">
        <f>_xll.qlCalendarAdvance(Calendar,Z1605,Y1606,"f",FALSE)</f>
        <v>50438</v>
      </c>
      <c r="AA1606" s="117">
        <f>_xll.qlCalendarAdvance(Calendar,Z1606,NDays&amp;"D")</f>
        <v>50440</v>
      </c>
      <c r="AB1606" s="92">
        <v>1.791838236138027E-2</v>
      </c>
      <c r="AC1606" s="101">
        <v>1.7923328634701363E-2</v>
      </c>
    </row>
    <row r="1607" spans="25:29" x14ac:dyDescent="0.2">
      <c r="Y1607" s="105" t="str">
        <f t="shared" si="58"/>
        <v>1w</v>
      </c>
      <c r="Z1607" s="93">
        <f>_xll.qlCalendarAdvance(Calendar,Z1606,Y1607,"f",FALSE)</f>
        <v>50445</v>
      </c>
      <c r="AA1607" s="117">
        <f>_xll.qlCalendarAdvance(Calendar,Z1607,NDays&amp;"D")</f>
        <v>50447</v>
      </c>
      <c r="AB1607" s="92">
        <v>1.7912070978279706E-2</v>
      </c>
      <c r="AC1607" s="101">
        <v>1.7916168204612504E-2</v>
      </c>
    </row>
    <row r="1608" spans="25:29" x14ac:dyDescent="0.2">
      <c r="Y1608" s="105" t="str">
        <f t="shared" si="58"/>
        <v>1w</v>
      </c>
      <c r="Z1608" s="93">
        <f>_xll.qlCalendarAdvance(Calendar,Z1607,Y1608,"f",FALSE)</f>
        <v>50452</v>
      </c>
      <c r="AA1608" s="117">
        <f>_xll.qlCalendarAdvance(Calendar,Z1608,NDays&amp;"D")</f>
        <v>50454</v>
      </c>
      <c r="AB1608" s="92">
        <v>1.7905830640122775E-2</v>
      </c>
      <c r="AC1608" s="101">
        <v>1.7909078169573434E-2</v>
      </c>
    </row>
    <row r="1609" spans="25:29" x14ac:dyDescent="0.2">
      <c r="Y1609" s="105" t="str">
        <f t="shared" si="58"/>
        <v>1w</v>
      </c>
      <c r="Z1609" s="93">
        <f>_xll.qlCalendarAdvance(Calendar,Z1608,Y1609,"f",FALSE)</f>
        <v>50459</v>
      </c>
      <c r="AA1609" s="117">
        <f>_xll.qlCalendarAdvance(Calendar,Z1609,NDays&amp;"D")</f>
        <v>50461</v>
      </c>
      <c r="AB1609" s="92">
        <v>1.7899661346247018E-2</v>
      </c>
      <c r="AC1609" s="101">
        <v>1.7902058529504217E-2</v>
      </c>
    </row>
    <row r="1610" spans="25:29" x14ac:dyDescent="0.2">
      <c r="Y1610" s="105" t="str">
        <f t="shared" si="58"/>
        <v>1w</v>
      </c>
      <c r="Z1610" s="93">
        <f>_xll.qlCalendarAdvance(Calendar,Z1609,Y1610,"f",FALSE)</f>
        <v>50466</v>
      </c>
      <c r="AA1610" s="117">
        <f>_xll.qlCalendarAdvance(Calendar,Z1610,NDays&amp;"D")</f>
        <v>50468</v>
      </c>
      <c r="AB1610" s="92">
        <v>1.7893729698734203E-2</v>
      </c>
      <c r="AC1610" s="101">
        <v>1.7895109284324917E-2</v>
      </c>
    </row>
    <row r="1611" spans="25:29" x14ac:dyDescent="0.2">
      <c r="Y1611" s="105" t="str">
        <f t="shared" si="58"/>
        <v>1w</v>
      </c>
      <c r="Z1611" s="93">
        <f>_xll.qlCalendarAdvance(Calendar,Z1610,Y1611,"f",FALSE)</f>
        <v>50473</v>
      </c>
      <c r="AA1611" s="117">
        <f>_xll.qlCalendarAdvance(Calendar,Z1611,NDays&amp;"D")</f>
        <v>50475</v>
      </c>
      <c r="AB1611" s="92">
        <v>1.788772637878509E-2</v>
      </c>
      <c r="AC1611" s="101">
        <v>1.7888230434435215E-2</v>
      </c>
    </row>
    <row r="1612" spans="25:29" x14ac:dyDescent="0.2">
      <c r="Y1612" s="105" t="str">
        <f t="shared" si="58"/>
        <v>1w</v>
      </c>
      <c r="Z1612" s="93">
        <f>_xll.qlCalendarAdvance(Calendar,Z1611,Y1612,"f",FALSE)</f>
        <v>50480</v>
      </c>
      <c r="AA1612" s="117">
        <f>_xll.qlCalendarAdvance(Calendar,Z1612,NDays&amp;"D")</f>
        <v>50482</v>
      </c>
      <c r="AB1612" s="92">
        <v>1.7881794119011786E-2</v>
      </c>
      <c r="AC1612" s="101">
        <v>1.788142197943543E-2</v>
      </c>
    </row>
    <row r="1613" spans="25:29" x14ac:dyDescent="0.2">
      <c r="Y1613" s="105" t="str">
        <f t="shared" si="58"/>
        <v>1w</v>
      </c>
      <c r="Z1613" s="93">
        <f>_xll.qlCalendarAdvance(Calendar,Z1612,Y1613,"f",FALSE)</f>
        <v>50487</v>
      </c>
      <c r="AA1613" s="117">
        <f>_xll.qlCalendarAdvance(Calendar,Z1613,NDays&amp;"D")</f>
        <v>50489</v>
      </c>
      <c r="AB1613" s="92">
        <v>1.7875932918767497E-2</v>
      </c>
      <c r="AC1613" s="101">
        <v>1.7874683919485435E-2</v>
      </c>
    </row>
    <row r="1614" spans="25:29" x14ac:dyDescent="0.2">
      <c r="Y1614" s="105" t="str">
        <f t="shared" si="58"/>
        <v>1w</v>
      </c>
      <c r="Z1614" s="93">
        <f>_xll.qlCalendarAdvance(Calendar,Z1613,Y1614,"f",FALSE)</f>
        <v>50494</v>
      </c>
      <c r="AA1614" s="117">
        <f>_xll.qlCalendarAdvance(Calendar,Z1614,NDays&amp;"D")</f>
        <v>50496</v>
      </c>
      <c r="AB1614" s="92">
        <v>1.7869984043992933E-2</v>
      </c>
      <c r="AC1614" s="101">
        <v>1.7868016254585228E-2</v>
      </c>
    </row>
    <row r="1615" spans="25:29" x14ac:dyDescent="0.2">
      <c r="Y1615" s="105" t="str">
        <f t="shared" si="58"/>
        <v>1w</v>
      </c>
      <c r="Z1615" s="93">
        <f>_xll.qlCalendarAdvance(Calendar,Z1614,Y1615,"f",FALSE)</f>
        <v>50501</v>
      </c>
      <c r="AA1615" s="117">
        <f>_xll.qlCalendarAdvance(Calendar,Z1615,NDays&amp;"D")</f>
        <v>50503</v>
      </c>
      <c r="AB1615" s="92">
        <v>1.7864250584255354E-2</v>
      </c>
      <c r="AC1615" s="101">
        <v>1.7861418984495003E-2</v>
      </c>
    </row>
    <row r="1616" spans="25:29" x14ac:dyDescent="0.2">
      <c r="Y1616" s="105" t="str">
        <f t="shared" si="58"/>
        <v>1w</v>
      </c>
      <c r="Z1616" s="93">
        <f>_xll.qlCalendarAdvance(Calendar,Z1615,Y1616,"f",FALSE)</f>
        <v>50508</v>
      </c>
      <c r="AA1616" s="117">
        <f>_xll.qlCalendarAdvance(Calendar,Z1616,NDays&amp;"D")</f>
        <v>50510</v>
      </c>
      <c r="AB1616" s="92">
        <v>1.7858588171484554E-2</v>
      </c>
      <c r="AC1616" s="101">
        <v>1.7854892109534504E-2</v>
      </c>
    </row>
    <row r="1617" spans="25:29" x14ac:dyDescent="0.2">
      <c r="Y1617" s="105" t="str">
        <f t="shared" si="58"/>
        <v>1w</v>
      </c>
      <c r="Z1617" s="93">
        <f>_xll.qlCalendarAdvance(Calendar,Z1616,Y1617,"f",FALSE)</f>
        <v>50515</v>
      </c>
      <c r="AA1617" s="117">
        <f>_xll.qlCalendarAdvance(Calendar,Z1617,NDays&amp;"D")</f>
        <v>50517</v>
      </c>
      <c r="AB1617" s="92">
        <v>1.7852996805072061E-2</v>
      </c>
      <c r="AC1617" s="101">
        <v>1.7848374826852975E-2</v>
      </c>
    </row>
    <row r="1618" spans="25:29" x14ac:dyDescent="0.2">
      <c r="Y1618" s="105" t="str">
        <f t="shared" si="58"/>
        <v>1w</v>
      </c>
      <c r="Z1618" s="93">
        <f>_xll.qlCalendarAdvance(Calendar,Z1617,Y1618,"f",FALSE)</f>
        <v>50522</v>
      </c>
      <c r="AA1618" s="117">
        <f>_xll.qlCalendarAdvance(Calendar,Z1618,NDays&amp;"D")</f>
        <v>50524</v>
      </c>
      <c r="AB1618" s="92">
        <v>1.7847476484418569E-2</v>
      </c>
      <c r="AC1618" s="101">
        <v>1.7842049544603E-2</v>
      </c>
    </row>
    <row r="1619" spans="25:29" x14ac:dyDescent="0.2">
      <c r="Y1619" s="105" t="str">
        <f t="shared" si="58"/>
        <v>1w</v>
      </c>
      <c r="Z1619" s="93">
        <f>_xll.qlCalendarAdvance(Calendar,Z1618,Y1619,"f",FALSE)</f>
        <v>50529</v>
      </c>
      <c r="AA1619" s="117">
        <f>_xll.qlCalendarAdvance(Calendar,Z1619,NDays&amp;"D")</f>
        <v>50531</v>
      </c>
      <c r="AB1619" s="92">
        <v>1.7842257932144629E-2</v>
      </c>
      <c r="AC1619" s="101">
        <v>1.7835733854631997E-2</v>
      </c>
    </row>
    <row r="1620" spans="25:29" x14ac:dyDescent="0.2">
      <c r="Y1620" s="105" t="str">
        <f t="shared" si="58"/>
        <v>1w</v>
      </c>
      <c r="Z1620" s="93">
        <f>_xll.qlCalendarAdvance(Calendar,Z1619,Y1620,"f",FALSE)</f>
        <v>50536</v>
      </c>
      <c r="AA1620" s="117">
        <f>_xll.qlCalendarAdvance(Calendar,Z1620,NDays&amp;"D")</f>
        <v>50538</v>
      </c>
      <c r="AB1620" s="92">
        <v>1.7836894131130959E-2</v>
      </c>
      <c r="AC1620" s="101">
        <v>1.7829488559630846E-2</v>
      </c>
    </row>
    <row r="1621" spans="25:29" x14ac:dyDescent="0.2">
      <c r="Y1621" s="105" t="str">
        <f t="shared" ref="Y1621:Y1684" si="59">Y1620</f>
        <v>1w</v>
      </c>
      <c r="Z1621" s="93">
        <f>_xll.qlCalendarAdvance(Calendar,Z1620,Y1621,"f",FALSE)</f>
        <v>50543</v>
      </c>
      <c r="AA1621" s="117">
        <f>_xll.qlCalendarAdvance(Calendar,Z1621,NDays&amp;"D")</f>
        <v>50545</v>
      </c>
      <c r="AB1621" s="92">
        <v>1.7831601384748288E-2</v>
      </c>
      <c r="AC1621" s="101">
        <v>1.7823313659679485E-2</v>
      </c>
    </row>
    <row r="1622" spans="25:29" x14ac:dyDescent="0.2">
      <c r="Y1622" s="105" t="str">
        <f t="shared" si="59"/>
        <v>1w</v>
      </c>
      <c r="Z1622" s="93">
        <f>_xll.qlCalendarAdvance(Calendar,Z1621,Y1622,"f",FALSE)</f>
        <v>50550</v>
      </c>
      <c r="AA1622" s="117">
        <f>_xll.qlCalendarAdvance(Calendar,Z1622,NDays&amp;"D")</f>
        <v>50552</v>
      </c>
      <c r="AB1622" s="92">
        <v>1.7826379692417287E-2</v>
      </c>
      <c r="AC1622" s="101">
        <v>1.7817209154458169E-2</v>
      </c>
    </row>
    <row r="1623" spans="25:29" x14ac:dyDescent="0.2">
      <c r="Y1623" s="105" t="str">
        <f t="shared" si="59"/>
        <v>1w</v>
      </c>
      <c r="Z1623" s="93">
        <f>_xll.qlCalendarAdvance(Calendar,Z1622,Y1623,"f",FALSE)</f>
        <v>50557</v>
      </c>
      <c r="AA1623" s="117">
        <f>_xll.qlCalendarAdvance(Calendar,Z1623,NDays&amp;"D")</f>
        <v>50559</v>
      </c>
      <c r="AB1623" s="92">
        <v>1.7820940547049365E-2</v>
      </c>
      <c r="AC1623" s="101">
        <v>1.7811175044446514E-2</v>
      </c>
    </row>
    <row r="1624" spans="25:29" x14ac:dyDescent="0.2">
      <c r="Y1624" s="105" t="str">
        <f t="shared" si="59"/>
        <v>1w</v>
      </c>
      <c r="Z1624" s="93">
        <f>_xll.qlCalendarAdvance(Calendar,Z1623,Y1624,"f",FALSE)</f>
        <v>50564</v>
      </c>
      <c r="AA1624" s="117">
        <f>_xll.qlCalendarAdvance(Calendar,Z1624,NDays&amp;"D")</f>
        <v>50566</v>
      </c>
      <c r="AB1624" s="92">
        <v>1.7815846488767721E-2</v>
      </c>
      <c r="AC1624" s="101">
        <v>1.7805211329404713E-2</v>
      </c>
    </row>
    <row r="1625" spans="25:29" x14ac:dyDescent="0.2">
      <c r="Y1625" s="105" t="str">
        <f t="shared" si="59"/>
        <v>1w</v>
      </c>
      <c r="Z1625" s="93">
        <f>_xll.qlCalendarAdvance(Calendar,Z1624,Y1625,"f",FALSE)</f>
        <v>50571</v>
      </c>
      <c r="AA1625" s="117">
        <f>_xll.qlCalendarAdvance(Calendar,Z1625,NDays&amp;"D")</f>
        <v>50573</v>
      </c>
      <c r="AB1625" s="92">
        <v>1.781082347225614E-2</v>
      </c>
      <c r="AC1625" s="101">
        <v>1.7799318009172893E-2</v>
      </c>
    </row>
    <row r="1626" spans="25:29" x14ac:dyDescent="0.2">
      <c r="Y1626" s="105" t="str">
        <f t="shared" si="59"/>
        <v>1w</v>
      </c>
      <c r="Z1626" s="93">
        <f>_xll.qlCalendarAdvance(Calendar,Z1625,Y1626,"f",FALSE)</f>
        <v>50578</v>
      </c>
      <c r="AA1626" s="117">
        <f>_xll.qlCalendarAdvance(Calendar,Z1626,NDays&amp;"D")</f>
        <v>50580</v>
      </c>
      <c r="AB1626" s="92">
        <v>1.7805871496974723E-2</v>
      </c>
      <c r="AC1626" s="101">
        <v>1.7793495083910926E-2</v>
      </c>
    </row>
    <row r="1627" spans="25:29" x14ac:dyDescent="0.2">
      <c r="Y1627" s="105" t="str">
        <f t="shared" si="59"/>
        <v>1w</v>
      </c>
      <c r="Z1627" s="93">
        <f>_xll.qlCalendarAdvance(Calendar,Z1626,Y1627,"f",FALSE)</f>
        <v>50585</v>
      </c>
      <c r="AA1627" s="117">
        <f>_xll.qlCalendarAdvance(Calendar,Z1627,NDays&amp;"D")</f>
        <v>50587</v>
      </c>
      <c r="AB1627" s="92">
        <v>1.7801337021879162E-2</v>
      </c>
      <c r="AC1627" s="101">
        <v>1.7787742553778685E-2</v>
      </c>
    </row>
    <row r="1628" spans="25:29" x14ac:dyDescent="0.2">
      <c r="Y1628" s="105" t="str">
        <f t="shared" si="59"/>
        <v>1w</v>
      </c>
      <c r="Z1628" s="93">
        <f>_xll.qlCalendarAdvance(Calendar,Z1627,Y1628,"f",FALSE)</f>
        <v>50592</v>
      </c>
      <c r="AA1628" s="117">
        <f>_xll.qlCalendarAdvance(Calendar,Z1628,NDays&amp;"D")</f>
        <v>50594</v>
      </c>
      <c r="AB1628" s="92">
        <v>1.7796541642169497E-2</v>
      </c>
      <c r="AC1628" s="101">
        <v>1.7782060418536361E-2</v>
      </c>
    </row>
    <row r="1629" spans="25:29" x14ac:dyDescent="0.2">
      <c r="Y1629" s="105" t="str">
        <f t="shared" si="59"/>
        <v>1w</v>
      </c>
      <c r="Z1629" s="93">
        <f>_xll.qlCalendarAdvance(Calendar,Z1628,Y1629,"f",FALSE)</f>
        <v>50599</v>
      </c>
      <c r="AA1629" s="117">
        <f>_xll.qlCalendarAdvance(Calendar,Z1629,NDays&amp;"D")</f>
        <v>50601</v>
      </c>
      <c r="AB1629" s="92">
        <v>1.7791817312686607E-2</v>
      </c>
      <c r="AC1629" s="101">
        <v>1.7776448678183954E-2</v>
      </c>
    </row>
    <row r="1630" spans="25:29" x14ac:dyDescent="0.2">
      <c r="Y1630" s="105" t="str">
        <f t="shared" si="59"/>
        <v>1w</v>
      </c>
      <c r="Z1630" s="93">
        <f>_xll.qlCalendarAdvance(Calendar,Z1629,Y1630,"f",FALSE)</f>
        <v>50606</v>
      </c>
      <c r="AA1630" s="117">
        <f>_xll.qlCalendarAdvance(Calendar,Z1630,NDays&amp;"D")</f>
        <v>50608</v>
      </c>
      <c r="AB1630" s="92">
        <v>1.778716403291521E-2</v>
      </c>
      <c r="AC1630" s="101">
        <v>1.77709073328014E-2</v>
      </c>
    </row>
    <row r="1631" spans="25:29" x14ac:dyDescent="0.2">
      <c r="Y1631" s="105" t="str">
        <f t="shared" si="59"/>
        <v>1w</v>
      </c>
      <c r="Z1631" s="93">
        <f>_xll.qlCalendarAdvance(Calendar,Z1630,Y1631,"f",FALSE)</f>
        <v>50613</v>
      </c>
      <c r="AA1631" s="117">
        <f>_xll.qlCalendarAdvance(Calendar,Z1631,NDays&amp;"D")</f>
        <v>50615</v>
      </c>
      <c r="AB1631" s="92">
        <v>1.7782581802347323E-2</v>
      </c>
      <c r="AC1631" s="101">
        <v>1.7765436382468636E-2</v>
      </c>
    </row>
    <row r="1632" spans="25:29" x14ac:dyDescent="0.2">
      <c r="Y1632" s="105" t="str">
        <f t="shared" si="59"/>
        <v>1w</v>
      </c>
      <c r="Z1632" s="93">
        <f>_xll.qlCalendarAdvance(Calendar,Z1631,Y1632,"f",FALSE)</f>
        <v>50620</v>
      </c>
      <c r="AA1632" s="117">
        <f>_xll.qlCalendarAdvance(Calendar,Z1632,NDays&amp;"D")</f>
        <v>50622</v>
      </c>
      <c r="AB1632" s="92">
        <v>1.777807062048313E-2</v>
      </c>
      <c r="AC1632" s="101">
        <v>1.7760035826945852E-2</v>
      </c>
    </row>
    <row r="1633" spans="25:29" x14ac:dyDescent="0.2">
      <c r="Y1633" s="105" t="str">
        <f t="shared" si="59"/>
        <v>1w</v>
      </c>
      <c r="Z1633" s="93">
        <f>_xll.qlCalendarAdvance(Calendar,Z1632,Y1633,"f",FALSE)</f>
        <v>50627</v>
      </c>
      <c r="AA1633" s="117">
        <f>_xll.qlCalendarAdvance(Calendar,Z1633,NDays&amp;"D")</f>
        <v>50629</v>
      </c>
      <c r="AB1633" s="92">
        <v>1.777363048683055E-2</v>
      </c>
      <c r="AC1633" s="101">
        <v>1.7754705666392923E-2</v>
      </c>
    </row>
    <row r="1634" spans="25:29" x14ac:dyDescent="0.2">
      <c r="Y1634" s="105" t="str">
        <f t="shared" si="59"/>
        <v>1w</v>
      </c>
      <c r="Z1634" s="93">
        <f>_xll.qlCalendarAdvance(Calendar,Z1633,Y1634,"f",FALSE)</f>
        <v>50634</v>
      </c>
      <c r="AA1634" s="117">
        <f>_xll.qlCalendarAdvance(Calendar,Z1634,NDays&amp;"D")</f>
        <v>50636</v>
      </c>
      <c r="AB1634" s="92">
        <v>1.7769261400904384E-2</v>
      </c>
      <c r="AC1634" s="101">
        <v>1.7749445900809846E-2</v>
      </c>
    </row>
    <row r="1635" spans="25:29" x14ac:dyDescent="0.2">
      <c r="Y1635" s="105" t="str">
        <f t="shared" si="59"/>
        <v>1w</v>
      </c>
      <c r="Z1635" s="93">
        <f>_xll.qlCalendarAdvance(Calendar,Z1634,Y1635,"f",FALSE)</f>
        <v>50641</v>
      </c>
      <c r="AA1635" s="117">
        <f>_xll.qlCalendarAdvance(Calendar,Z1635,NDays&amp;"D")</f>
        <v>50643</v>
      </c>
      <c r="AB1635" s="92">
        <v>1.7764963362229311E-2</v>
      </c>
      <c r="AC1635" s="101">
        <v>1.7744256530116687E-2</v>
      </c>
    </row>
    <row r="1636" spans="25:29" x14ac:dyDescent="0.2">
      <c r="Y1636" s="105" t="str">
        <f t="shared" si="59"/>
        <v>1w</v>
      </c>
      <c r="Z1636" s="93">
        <f>_xll.qlCalendarAdvance(Calendar,Z1635,Y1636,"f",FALSE)</f>
        <v>50648</v>
      </c>
      <c r="AA1636" s="117">
        <f>_xll.qlCalendarAdvance(Calendar,Z1636,NDays&amp;"D")</f>
        <v>50650</v>
      </c>
      <c r="AB1636" s="92">
        <v>1.7759942935312464E-2</v>
      </c>
      <c r="AC1636" s="101">
        <v>1.773913755439338E-2</v>
      </c>
    </row>
    <row r="1637" spans="25:29" x14ac:dyDescent="0.2">
      <c r="Y1637" s="105" t="str">
        <f t="shared" si="59"/>
        <v>1w</v>
      </c>
      <c r="Z1637" s="93">
        <f>_xll.qlCalendarAdvance(Calendar,Z1636,Y1637,"f",FALSE)</f>
        <v>50655</v>
      </c>
      <c r="AA1637" s="117">
        <f>_xll.qlCalendarAdvance(Calendar,Z1637,NDays&amp;"D")</f>
        <v>50657</v>
      </c>
      <c r="AB1637" s="92">
        <v>1.775576264290675E-2</v>
      </c>
      <c r="AC1637" s="101">
        <v>1.7734088973559992E-2</v>
      </c>
    </row>
    <row r="1638" spans="25:29" x14ac:dyDescent="0.2">
      <c r="Y1638" s="105" t="str">
        <f t="shared" si="59"/>
        <v>1w</v>
      </c>
      <c r="Z1638" s="93">
        <f>_xll.qlCalendarAdvance(Calendar,Z1637,Y1638,"f",FALSE)</f>
        <v>50662</v>
      </c>
      <c r="AA1638" s="117">
        <f>_xll.qlCalendarAdvance(Calendar,Z1638,NDays&amp;"D")</f>
        <v>50664</v>
      </c>
      <c r="AB1638" s="92">
        <v>1.7751653378848441E-2</v>
      </c>
      <c r="AC1638" s="101">
        <v>1.7729110787696456E-2</v>
      </c>
    </row>
    <row r="1639" spans="25:29" x14ac:dyDescent="0.2">
      <c r="Y1639" s="105" t="str">
        <f t="shared" si="59"/>
        <v>1w</v>
      </c>
      <c r="Z1639" s="93">
        <f>_xll.qlCalendarAdvance(Calendar,Z1638,Y1639,"f",FALSE)</f>
        <v>50669</v>
      </c>
      <c r="AA1639" s="117">
        <f>_xll.qlCalendarAdvance(Calendar,Z1639,NDays&amp;"D")</f>
        <v>50671</v>
      </c>
      <c r="AB1639" s="92">
        <v>1.7747615142699874E-2</v>
      </c>
      <c r="AC1639" s="101">
        <v>1.7724202996722838E-2</v>
      </c>
    </row>
    <row r="1640" spans="25:29" x14ac:dyDescent="0.2">
      <c r="Y1640" s="105" t="str">
        <f t="shared" si="59"/>
        <v>1w</v>
      </c>
      <c r="Z1640" s="93">
        <f>_xll.qlCalendarAdvance(Calendar,Z1639,Y1640,"f",FALSE)</f>
        <v>50676</v>
      </c>
      <c r="AA1640" s="117">
        <f>_xll.qlCalendarAdvance(Calendar,Z1640,NDays&amp;"D")</f>
        <v>50678</v>
      </c>
      <c r="AB1640" s="92">
        <v>1.7743825175207971E-2</v>
      </c>
      <c r="AC1640" s="101">
        <v>1.7719365600639136E-2</v>
      </c>
    </row>
    <row r="1641" spans="25:29" x14ac:dyDescent="0.2">
      <c r="Y1641" s="105" t="str">
        <f t="shared" si="59"/>
        <v>1w</v>
      </c>
      <c r="Z1641" s="93">
        <f>_xll.qlCalendarAdvance(Calendar,Z1640,Y1641,"f",FALSE)</f>
        <v>50683</v>
      </c>
      <c r="AA1641" s="117">
        <f>_xll.qlCalendarAdvance(Calendar,Z1641,NDays&amp;"D")</f>
        <v>50685</v>
      </c>
      <c r="AB1641" s="92">
        <v>1.7739933875989298E-2</v>
      </c>
      <c r="AC1641" s="101">
        <v>1.7714598599525289E-2</v>
      </c>
    </row>
    <row r="1642" spans="25:29" x14ac:dyDescent="0.2">
      <c r="Y1642" s="105" t="str">
        <f t="shared" si="59"/>
        <v>1w</v>
      </c>
      <c r="Z1642" s="93">
        <f>_xll.qlCalendarAdvance(Calendar,Z1641,Y1642,"f",FALSE)</f>
        <v>50690</v>
      </c>
      <c r="AA1642" s="117">
        <f>_xll.qlCalendarAdvance(Calendar,Z1642,NDays&amp;"D")</f>
        <v>50692</v>
      </c>
      <c r="AB1642" s="92">
        <v>1.7736113606913708E-2</v>
      </c>
      <c r="AC1642" s="101">
        <v>1.7709901993381294E-2</v>
      </c>
    </row>
    <row r="1643" spans="25:29" x14ac:dyDescent="0.2">
      <c r="Y1643" s="105" t="str">
        <f t="shared" si="59"/>
        <v>1w</v>
      </c>
      <c r="Z1643" s="93">
        <f>_xll.qlCalendarAdvance(Calendar,Z1642,Y1643,"f",FALSE)</f>
        <v>50697</v>
      </c>
      <c r="AA1643" s="117">
        <f>_xll.qlCalendarAdvance(Calendar,Z1643,NDays&amp;"D")</f>
        <v>50699</v>
      </c>
      <c r="AB1643" s="92">
        <v>1.7732364367573621E-2</v>
      </c>
      <c r="AC1643" s="101">
        <v>1.7705275781967345E-2</v>
      </c>
    </row>
    <row r="1644" spans="25:29" x14ac:dyDescent="0.2">
      <c r="Y1644" s="105" t="str">
        <f t="shared" si="59"/>
        <v>1w</v>
      </c>
      <c r="Z1644" s="93">
        <f>_xll.qlCalendarAdvance(Calendar,Z1643,Y1644,"f",FALSE)</f>
        <v>50704</v>
      </c>
      <c r="AA1644" s="117">
        <f>_xll.qlCalendarAdvance(Calendar,Z1644,NDays&amp;"D")</f>
        <v>50706</v>
      </c>
      <c r="AB1644" s="92">
        <v>1.7728686157569791E-2</v>
      </c>
      <c r="AC1644" s="101">
        <v>1.770071996568312E-2</v>
      </c>
    </row>
    <row r="1645" spans="25:29" x14ac:dyDescent="0.2">
      <c r="Y1645" s="105" t="str">
        <f t="shared" si="59"/>
        <v>1w</v>
      </c>
      <c r="Z1645" s="93">
        <f>_xll.qlCalendarAdvance(Calendar,Z1644,Y1645,"f",FALSE)</f>
        <v>50711</v>
      </c>
      <c r="AA1645" s="117">
        <f>_xll.qlCalendarAdvance(Calendar,Z1645,NDays&amp;"D")</f>
        <v>50713</v>
      </c>
      <c r="AB1645" s="92">
        <v>1.7724877288442315E-2</v>
      </c>
      <c r="AC1645" s="101">
        <v>1.7696234544128941E-2</v>
      </c>
    </row>
    <row r="1646" spans="25:29" x14ac:dyDescent="0.2">
      <c r="Y1646" s="105" t="str">
        <f t="shared" si="59"/>
        <v>1w</v>
      </c>
      <c r="Z1646" s="93">
        <f>_xll.qlCalendarAdvance(Calendar,Z1645,Y1646,"f",FALSE)</f>
        <v>50718</v>
      </c>
      <c r="AA1646" s="117">
        <f>_xll.qlCalendarAdvance(Calendar,Z1646,NDays&amp;"D")</f>
        <v>50720</v>
      </c>
      <c r="AB1646" s="92">
        <v>1.7721336236082692E-2</v>
      </c>
      <c r="AC1646" s="101">
        <v>1.769181951746468E-2</v>
      </c>
    </row>
    <row r="1647" spans="25:29" x14ac:dyDescent="0.2">
      <c r="Y1647" s="105" t="str">
        <f t="shared" si="59"/>
        <v>1w</v>
      </c>
      <c r="Z1647" s="93">
        <f>_xll.qlCalendarAdvance(Calendar,Z1646,Y1647,"f",FALSE)</f>
        <v>50725</v>
      </c>
      <c r="AA1647" s="117">
        <f>_xll.qlCalendarAdvance(Calendar,Z1647,NDays&amp;"D")</f>
        <v>50727</v>
      </c>
      <c r="AB1647" s="92">
        <v>1.771786620841417E-2</v>
      </c>
      <c r="AC1647" s="101">
        <v>1.7687474885850207E-2</v>
      </c>
    </row>
    <row r="1648" spans="25:29" x14ac:dyDescent="0.2">
      <c r="Y1648" s="105" t="str">
        <f t="shared" si="59"/>
        <v>1w</v>
      </c>
      <c r="Z1648" s="93">
        <f>_xll.qlCalendarAdvance(Calendar,Z1647,Y1648,"f",FALSE)</f>
        <v>50732</v>
      </c>
      <c r="AA1648" s="117">
        <f>_xll.qlCalendarAdvance(Calendar,Z1648,NDays&amp;"D")</f>
        <v>50734</v>
      </c>
      <c r="AB1648" s="92">
        <v>1.7714467205068429E-2</v>
      </c>
      <c r="AC1648" s="101">
        <v>1.7683200649045716E-2</v>
      </c>
    </row>
    <row r="1649" spans="25:29" x14ac:dyDescent="0.2">
      <c r="Y1649" s="105" t="str">
        <f t="shared" si="59"/>
        <v>1w</v>
      </c>
      <c r="Z1649" s="93">
        <f>_xll.qlCalendarAdvance(Calendar,Z1648,Y1649,"f",FALSE)</f>
        <v>50739</v>
      </c>
      <c r="AA1649" s="117">
        <f>_xll.qlCalendarAdvance(Calendar,Z1649,NDays&amp;"D")</f>
        <v>50741</v>
      </c>
      <c r="AB1649" s="92">
        <v>1.7711360534100266E-2</v>
      </c>
      <c r="AC1649" s="101">
        <v>1.7678996807131142E-2</v>
      </c>
    </row>
    <row r="1650" spans="25:29" x14ac:dyDescent="0.2">
      <c r="Y1650" s="105" t="str">
        <f t="shared" si="59"/>
        <v>1w</v>
      </c>
      <c r="Z1650" s="93">
        <f>_xll.qlCalendarAdvance(Calendar,Z1649,Y1650,"f",FALSE)</f>
        <v>50746</v>
      </c>
      <c r="AA1650" s="117">
        <f>_xll.qlCalendarAdvance(Calendar,Z1650,NDays&amp;"D")</f>
        <v>50748</v>
      </c>
      <c r="AB1650" s="92">
        <v>1.7708108492126531E-2</v>
      </c>
      <c r="AC1650" s="101">
        <v>1.7674863360106485E-2</v>
      </c>
    </row>
    <row r="1651" spans="25:29" x14ac:dyDescent="0.2">
      <c r="Y1651" s="105" t="str">
        <f t="shared" si="59"/>
        <v>1w</v>
      </c>
      <c r="Z1651" s="93">
        <f>_xll.qlCalendarAdvance(Calendar,Z1650,Y1651,"f",FALSE)</f>
        <v>50753</v>
      </c>
      <c r="AA1651" s="117">
        <f>_xll.qlCalendarAdvance(Calendar,Z1651,NDays&amp;"D")</f>
        <v>50755</v>
      </c>
      <c r="AB1651" s="92">
        <v>1.770492747689904E-2</v>
      </c>
      <c r="AC1651" s="101">
        <v>1.7670800308051682E-2</v>
      </c>
    </row>
    <row r="1652" spans="25:29" x14ac:dyDescent="0.2">
      <c r="Y1652" s="105" t="str">
        <f t="shared" si="59"/>
        <v>1w</v>
      </c>
      <c r="Z1652" s="93">
        <f>_xll.qlCalendarAdvance(Calendar,Z1651,Y1652,"f",FALSE)</f>
        <v>50760</v>
      </c>
      <c r="AA1652" s="117">
        <f>_xll.qlCalendarAdvance(Calendar,Z1652,NDays&amp;"D")</f>
        <v>50762</v>
      </c>
      <c r="AB1652" s="92">
        <v>1.7701817488077407E-2</v>
      </c>
      <c r="AC1652" s="101">
        <v>1.7666807650726923E-2</v>
      </c>
    </row>
    <row r="1653" spans="25:29" x14ac:dyDescent="0.2">
      <c r="Y1653" s="105" t="str">
        <f t="shared" si="59"/>
        <v>1w</v>
      </c>
      <c r="Z1653" s="93">
        <f>_xll.qlCalendarAdvance(Calendar,Z1652,Y1653,"f",FALSE)</f>
        <v>50767</v>
      </c>
      <c r="AA1653" s="117">
        <f>_xll.qlCalendarAdvance(Calendar,Z1653,NDays&amp;"D")</f>
        <v>50769</v>
      </c>
      <c r="AB1653" s="92">
        <v>1.7698778525330465E-2</v>
      </c>
      <c r="AC1653" s="101">
        <v>1.7662885388451954E-2</v>
      </c>
    </row>
    <row r="1654" spans="25:29" x14ac:dyDescent="0.2">
      <c r="Y1654" s="105" t="str">
        <f t="shared" si="59"/>
        <v>1w</v>
      </c>
      <c r="Z1654" s="93">
        <f>_xll.qlCalendarAdvance(Calendar,Z1653,Y1654,"f",FALSE)</f>
        <v>50774</v>
      </c>
      <c r="AA1654" s="117">
        <f>_xll.qlCalendarAdvance(Calendar,Z1654,NDays&amp;"D")</f>
        <v>50776</v>
      </c>
      <c r="AB1654" s="92">
        <v>1.7695564676091659E-2</v>
      </c>
      <c r="AC1654" s="101">
        <v>1.7659033520986966E-2</v>
      </c>
    </row>
    <row r="1655" spans="25:29" x14ac:dyDescent="0.2">
      <c r="Y1655" s="105" t="str">
        <f t="shared" si="59"/>
        <v>1w</v>
      </c>
      <c r="Z1655" s="93">
        <f>_xll.qlCalendarAdvance(Calendar,Z1654,Y1655,"f",FALSE)</f>
        <v>50781</v>
      </c>
      <c r="AA1655" s="117">
        <f>_xll.qlCalendarAdvance(Calendar,Z1655,NDays&amp;"D")</f>
        <v>50783</v>
      </c>
      <c r="AB1655" s="92">
        <v>1.7692662833322929E-2</v>
      </c>
      <c r="AC1655" s="101">
        <v>1.765525204833196E-2</v>
      </c>
    </row>
    <row r="1656" spans="25:29" x14ac:dyDescent="0.2">
      <c r="Y1656" s="105" t="str">
        <f t="shared" si="59"/>
        <v>1w</v>
      </c>
      <c r="Z1656" s="93">
        <f>_xll.qlCalendarAdvance(Calendar,Z1655,Y1656,"f",FALSE)</f>
        <v>50788</v>
      </c>
      <c r="AA1656" s="117">
        <f>_xll.qlCalendarAdvance(Calendar,Z1656,NDays&amp;"D")</f>
        <v>50790</v>
      </c>
      <c r="AB1656" s="92">
        <v>1.7689832012201107E-2</v>
      </c>
      <c r="AC1656" s="101">
        <v>1.765154097056687E-2</v>
      </c>
    </row>
    <row r="1657" spans="25:29" x14ac:dyDescent="0.2">
      <c r="Y1657" s="105" t="str">
        <f t="shared" si="59"/>
        <v>1w</v>
      </c>
      <c r="Z1657" s="93">
        <f>_xll.qlCalendarAdvance(Calendar,Z1656,Y1657,"f",FALSE)</f>
        <v>50795</v>
      </c>
      <c r="AA1657" s="117">
        <f>_xll.qlCalendarAdvance(Calendar,Z1657,NDays&amp;"D")</f>
        <v>50797</v>
      </c>
      <c r="AB1657" s="92">
        <v>1.7687072212425436E-2</v>
      </c>
      <c r="AC1657" s="101">
        <v>1.764790028785157E-2</v>
      </c>
    </row>
    <row r="1658" spans="25:29" x14ac:dyDescent="0.2">
      <c r="Y1658" s="105" t="str">
        <f t="shared" si="59"/>
        <v>1w</v>
      </c>
      <c r="Z1658" s="93">
        <f>_xll.qlCalendarAdvance(Calendar,Z1657,Y1658,"f",FALSE)</f>
        <v>50802</v>
      </c>
      <c r="AA1658" s="117">
        <f>_xll.qlCalendarAdvance(Calendar,Z1658,NDays&amp;"D")</f>
        <v>50804</v>
      </c>
      <c r="AB1658" s="92">
        <v>1.7684383433703117E-2</v>
      </c>
      <c r="AC1658" s="101">
        <v>1.7644329999866315E-2</v>
      </c>
    </row>
    <row r="1659" spans="25:29" x14ac:dyDescent="0.2">
      <c r="Y1659" s="105" t="str">
        <f t="shared" si="59"/>
        <v>1w</v>
      </c>
      <c r="Z1659" s="93">
        <f>_xll.qlCalendarAdvance(Calendar,Z1658,Y1659,"f",FALSE)</f>
        <v>50809</v>
      </c>
      <c r="AA1659" s="117">
        <f>_xll.qlCalendarAdvance(Calendar,Z1659,NDays&amp;"D")</f>
        <v>50811</v>
      </c>
      <c r="AB1659" s="92">
        <v>1.7681765675748844E-2</v>
      </c>
      <c r="AC1659" s="101">
        <v>1.7640830106770977E-2</v>
      </c>
    </row>
    <row r="1660" spans="25:29" x14ac:dyDescent="0.2">
      <c r="Y1660" s="105" t="str">
        <f t="shared" si="59"/>
        <v>1w</v>
      </c>
      <c r="Z1660" s="93">
        <f>_xll.qlCalendarAdvance(Calendar,Z1659,Y1660,"f",FALSE)</f>
        <v>50816</v>
      </c>
      <c r="AA1660" s="117">
        <f>_xll.qlCalendarAdvance(Calendar,Z1660,NDays&amp;"D")</f>
        <v>50818</v>
      </c>
      <c r="AB1660" s="92">
        <v>1.767921893828351E-2</v>
      </c>
      <c r="AC1660" s="101">
        <v>1.7637400608565557E-2</v>
      </c>
    </row>
    <row r="1661" spans="25:29" x14ac:dyDescent="0.2">
      <c r="Y1661" s="105" t="str">
        <f t="shared" si="59"/>
        <v>1w</v>
      </c>
      <c r="Z1661" s="93">
        <f>_xll.qlCalendarAdvance(Calendar,Z1660,Y1661,"f",FALSE)</f>
        <v>50823</v>
      </c>
      <c r="AA1661" s="117">
        <f>_xll.qlCalendarAdvance(Calendar,Z1661,NDays&amp;"D")</f>
        <v>50825</v>
      </c>
      <c r="AB1661" s="92">
        <v>1.7676743221038599E-2</v>
      </c>
      <c r="AC1661" s="101">
        <v>1.7634041505250053E-2</v>
      </c>
    </row>
    <row r="1662" spans="25:29" x14ac:dyDescent="0.2">
      <c r="Y1662" s="105" t="str">
        <f t="shared" si="59"/>
        <v>1w</v>
      </c>
      <c r="Z1662" s="93">
        <f>_xll.qlCalendarAdvance(Calendar,Z1661,Y1662,"f",FALSE)</f>
        <v>50830</v>
      </c>
      <c r="AA1662" s="117">
        <f>_xll.qlCalendarAdvance(Calendar,Z1662,NDays&amp;"D")</f>
        <v>50832</v>
      </c>
      <c r="AB1662" s="92">
        <v>1.7675770649134045E-2</v>
      </c>
      <c r="AC1662" s="101">
        <v>1.7630752796744531E-2</v>
      </c>
    </row>
    <row r="1663" spans="25:29" x14ac:dyDescent="0.2">
      <c r="Y1663" s="105" t="str">
        <f t="shared" si="59"/>
        <v>1w</v>
      </c>
      <c r="Z1663" s="93">
        <f>_xll.qlCalendarAdvance(Calendar,Z1662,Y1663,"f",FALSE)</f>
        <v>50837</v>
      </c>
      <c r="AA1663" s="117">
        <f>_xll.qlCalendarAdvance(Calendar,Z1663,NDays&amp;"D")</f>
        <v>50839</v>
      </c>
      <c r="AB1663" s="92">
        <v>1.7673461771393437E-2</v>
      </c>
      <c r="AC1663" s="101">
        <v>1.762753448304899E-2</v>
      </c>
    </row>
    <row r="1664" spans="25:29" x14ac:dyDescent="0.2">
      <c r="Y1664" s="105" t="str">
        <f t="shared" si="59"/>
        <v>1w</v>
      </c>
      <c r="Z1664" s="93">
        <f>_xll.qlCalendarAdvance(Calendar,Z1663,Y1664,"f",FALSE)</f>
        <v>50844</v>
      </c>
      <c r="AA1664" s="117">
        <f>_xll.qlCalendarAdvance(Calendar,Z1664,NDays&amp;"D")</f>
        <v>50846</v>
      </c>
      <c r="AB1664" s="92">
        <v>1.7671223930450345E-2</v>
      </c>
      <c r="AC1664" s="101">
        <v>1.7624386564323302E-2</v>
      </c>
    </row>
    <row r="1665" spans="25:29" x14ac:dyDescent="0.2">
      <c r="Y1665" s="105" t="str">
        <f t="shared" si="59"/>
        <v>1w</v>
      </c>
      <c r="Z1665" s="93">
        <f>_xll.qlCalendarAdvance(Calendar,Z1664,Y1665,"f",FALSE)</f>
        <v>50851</v>
      </c>
      <c r="AA1665" s="117">
        <f>_xll.qlCalendarAdvance(Calendar,Z1665,NDays&amp;"D")</f>
        <v>50853</v>
      </c>
      <c r="AB1665" s="92">
        <v>1.7669057126061528E-2</v>
      </c>
      <c r="AC1665" s="101">
        <v>1.7621309040407596E-2</v>
      </c>
    </row>
    <row r="1666" spans="25:29" x14ac:dyDescent="0.2">
      <c r="Y1666" s="105" t="str">
        <f t="shared" si="59"/>
        <v>1w</v>
      </c>
      <c r="Z1666" s="93">
        <f>_xll.qlCalendarAdvance(Calendar,Z1665,Y1666,"f",FALSE)</f>
        <v>50858</v>
      </c>
      <c r="AA1666" s="117">
        <f>_xll.qlCalendarAdvance(Calendar,Z1666,NDays&amp;"D")</f>
        <v>50860</v>
      </c>
      <c r="AB1666" s="92">
        <v>1.766604104585379E-2</v>
      </c>
      <c r="AC1666" s="101">
        <v>1.7618301911381806E-2</v>
      </c>
    </row>
    <row r="1667" spans="25:29" x14ac:dyDescent="0.2">
      <c r="Y1667" s="105" t="str">
        <f t="shared" si="59"/>
        <v>1w</v>
      </c>
      <c r="Z1667" s="93">
        <f>_xll.qlCalendarAdvance(Calendar,Z1666,Y1667,"f",FALSE)</f>
        <v>50865</v>
      </c>
      <c r="AA1667" s="117">
        <f>_xll.qlCalendarAdvance(Calendar,Z1667,NDays&amp;"D")</f>
        <v>50867</v>
      </c>
      <c r="AB1667" s="92">
        <v>1.766400139087598E-2</v>
      </c>
      <c r="AC1667" s="101">
        <v>1.761626429444263E-2</v>
      </c>
    </row>
    <row r="1668" spans="25:29" x14ac:dyDescent="0.2">
      <c r="Y1668" s="105" t="str">
        <f t="shared" si="59"/>
        <v>1w</v>
      </c>
      <c r="Z1668" s="93">
        <f>_xll.qlCalendarAdvance(Calendar,Z1667,Y1668,"f",FALSE)</f>
        <v>50872</v>
      </c>
      <c r="AA1668" s="117">
        <f>_xll.qlCalendarAdvance(Calendar,Z1668,NDays&amp;"D")</f>
        <v>50874</v>
      </c>
      <c r="AB1668" s="92">
        <v>1.7662032761367828E-2</v>
      </c>
      <c r="AC1668" s="101">
        <v>1.7612498837840107E-2</v>
      </c>
    </row>
    <row r="1669" spans="25:29" x14ac:dyDescent="0.2">
      <c r="Y1669" s="105" t="str">
        <f t="shared" si="59"/>
        <v>1w</v>
      </c>
      <c r="Z1669" s="93">
        <f>_xll.qlCalendarAdvance(Calendar,Z1668,Y1669,"f",FALSE)</f>
        <v>50879</v>
      </c>
      <c r="AA1669" s="117">
        <f>_xll.qlCalendarAdvance(Calendar,Z1669,NDays&amp;"D")</f>
        <v>50881</v>
      </c>
      <c r="AB1669" s="92">
        <v>1.7660135157117483E-2</v>
      </c>
      <c r="AC1669" s="101">
        <v>1.7609702893404133E-2</v>
      </c>
    </row>
    <row r="1670" spans="25:29" x14ac:dyDescent="0.2">
      <c r="Y1670" s="105" t="str">
        <f t="shared" si="59"/>
        <v>1w</v>
      </c>
      <c r="Z1670" s="93">
        <f>_xll.qlCalendarAdvance(Calendar,Z1669,Y1670,"f",FALSE)</f>
        <v>50886</v>
      </c>
      <c r="AA1670" s="117">
        <f>_xll.qlCalendarAdvance(Calendar,Z1670,NDays&amp;"D")</f>
        <v>50888</v>
      </c>
      <c r="AB1670" s="92">
        <v>1.7658308577922263E-2</v>
      </c>
      <c r="AC1670" s="101">
        <v>1.7606977343698205E-2</v>
      </c>
    </row>
    <row r="1671" spans="25:29" x14ac:dyDescent="0.2">
      <c r="Y1671" s="105" t="str">
        <f t="shared" si="59"/>
        <v>1w</v>
      </c>
      <c r="Z1671" s="93">
        <f>_xll.qlCalendarAdvance(Calendar,Z1670,Y1671,"f",FALSE)</f>
        <v>50893</v>
      </c>
      <c r="AA1671" s="117">
        <f>_xll.qlCalendarAdvance(Calendar,Z1671,NDays&amp;"D")</f>
        <v>50895</v>
      </c>
      <c r="AB1671" s="92">
        <v>1.765754805465165E-2</v>
      </c>
      <c r="AC1671" s="101">
        <v>1.7604322188962129E-2</v>
      </c>
    </row>
    <row r="1672" spans="25:29" x14ac:dyDescent="0.2">
      <c r="Y1672" s="105" t="str">
        <f t="shared" si="59"/>
        <v>1w</v>
      </c>
      <c r="Z1672" s="93">
        <f>_xll.qlCalendarAdvance(Calendar,Z1671,Y1672,"f",FALSE)</f>
        <v>50900</v>
      </c>
      <c r="AA1672" s="117">
        <f>_xll.qlCalendarAdvance(Calendar,Z1672,NDays&amp;"D")</f>
        <v>50902</v>
      </c>
      <c r="AB1672" s="92">
        <v>1.7655878499951139E-2</v>
      </c>
      <c r="AC1672" s="101">
        <v>1.7601737429036035E-2</v>
      </c>
    </row>
    <row r="1673" spans="25:29" x14ac:dyDescent="0.2">
      <c r="Y1673" s="105" t="str">
        <f t="shared" si="59"/>
        <v>1w</v>
      </c>
      <c r="Z1673" s="93">
        <f>_xll.qlCalendarAdvance(Calendar,Z1672,Y1673,"f",FALSE)</f>
        <v>50907</v>
      </c>
      <c r="AA1673" s="117">
        <f>_xll.qlCalendarAdvance(Calendar,Z1673,NDays&amp;"D")</f>
        <v>50909</v>
      </c>
      <c r="AB1673" s="92">
        <v>1.7654279980129254E-2</v>
      </c>
      <c r="AC1673" s="101">
        <v>1.7599223063999858E-2</v>
      </c>
    </row>
    <row r="1674" spans="25:29" x14ac:dyDescent="0.2">
      <c r="Y1674" s="105" t="str">
        <f t="shared" si="59"/>
        <v>1w</v>
      </c>
      <c r="Z1674" s="93">
        <f>_xll.qlCalendarAdvance(Calendar,Z1673,Y1674,"f",FALSE)</f>
        <v>50914</v>
      </c>
      <c r="AA1674" s="117">
        <f>_xll.qlCalendarAdvance(Calendar,Z1674,NDays&amp;"D")</f>
        <v>50916</v>
      </c>
      <c r="AB1674" s="92">
        <v>1.7652752495012365E-2</v>
      </c>
      <c r="AC1674" s="101">
        <v>1.7596779093693726E-2</v>
      </c>
    </row>
    <row r="1675" spans="25:29" x14ac:dyDescent="0.2">
      <c r="Y1675" s="105" t="str">
        <f t="shared" si="59"/>
        <v>1w</v>
      </c>
      <c r="Z1675" s="93">
        <f>_xll.qlCalendarAdvance(Calendar,Z1674,Y1675,"f",FALSE)</f>
        <v>50921</v>
      </c>
      <c r="AA1675" s="117">
        <f>_xll.qlCalendarAdvance(Calendar,Z1675,NDays&amp;"D")</f>
        <v>50923</v>
      </c>
      <c r="AB1675" s="92">
        <v>1.7650241051164587E-2</v>
      </c>
      <c r="AC1675" s="101">
        <v>1.7594405518277512E-2</v>
      </c>
    </row>
    <row r="1676" spans="25:29" x14ac:dyDescent="0.2">
      <c r="Y1676" s="105" t="str">
        <f t="shared" si="59"/>
        <v>1w</v>
      </c>
      <c r="Z1676" s="93">
        <f>_xll.qlCalendarAdvance(Calendar,Z1675,Y1676,"f",FALSE)</f>
        <v>50928</v>
      </c>
      <c r="AA1676" s="117">
        <f>_xll.qlCalendarAdvance(Calendar,Z1676,NDays&amp;"D")</f>
        <v>50930</v>
      </c>
      <c r="AB1676" s="92">
        <v>1.7648840618444853E-2</v>
      </c>
      <c r="AC1676" s="101">
        <v>1.759210233783115E-2</v>
      </c>
    </row>
    <row r="1677" spans="25:29" x14ac:dyDescent="0.2">
      <c r="Y1677" s="105" t="str">
        <f t="shared" si="59"/>
        <v>1w</v>
      </c>
      <c r="Z1677" s="93">
        <f>_xll.qlCalendarAdvance(Calendar,Z1676,Y1677,"f",FALSE)</f>
        <v>50935</v>
      </c>
      <c r="AA1677" s="117">
        <f>_xll.qlCalendarAdvance(Calendar,Z1677,NDays&amp;"D")</f>
        <v>50937</v>
      </c>
      <c r="AB1677" s="92">
        <v>1.7647511209567226E-2</v>
      </c>
      <c r="AC1677" s="101">
        <v>1.7589869552114834E-2</v>
      </c>
    </row>
    <row r="1678" spans="25:29" x14ac:dyDescent="0.2">
      <c r="Y1678" s="105" t="str">
        <f t="shared" si="59"/>
        <v>1w</v>
      </c>
      <c r="Z1678" s="93">
        <f>_xll.qlCalendarAdvance(Calendar,Z1677,Y1678,"f",FALSE)</f>
        <v>50942</v>
      </c>
      <c r="AA1678" s="117">
        <f>_xll.qlCalendarAdvance(Calendar,Z1678,NDays&amp;"D")</f>
        <v>50944</v>
      </c>
      <c r="AB1678" s="92">
        <v>1.7646252824388871E-2</v>
      </c>
      <c r="AC1678" s="101">
        <v>1.7587707161208499E-2</v>
      </c>
    </row>
    <row r="1679" spans="25:29" x14ac:dyDescent="0.2">
      <c r="Y1679" s="105" t="str">
        <f t="shared" si="59"/>
        <v>1w</v>
      </c>
      <c r="Z1679" s="93">
        <f>_xll.qlCalendarAdvance(Calendar,Z1678,Y1679,"f",FALSE)</f>
        <v>50949</v>
      </c>
      <c r="AA1679" s="117">
        <f>_xll.qlCalendarAdvance(Calendar,Z1679,NDays&amp;"D")</f>
        <v>50951</v>
      </c>
      <c r="AB1679" s="92">
        <v>1.7645065462774376E-2</v>
      </c>
      <c r="AC1679" s="101">
        <v>1.7585615165112145E-2</v>
      </c>
    </row>
    <row r="1680" spans="25:29" x14ac:dyDescent="0.2">
      <c r="Y1680" s="105" t="str">
        <f t="shared" si="59"/>
        <v>1w</v>
      </c>
      <c r="Z1680" s="93">
        <f>_xll.qlCalendarAdvance(Calendar,Z1679,Y1680,"f",FALSE)</f>
        <v>50956</v>
      </c>
      <c r="AA1680" s="117">
        <f>_xll.qlCalendarAdvance(Calendar,Z1680,NDays&amp;"D")</f>
        <v>50958</v>
      </c>
      <c r="AB1680" s="92">
        <v>1.7645079304321357E-2</v>
      </c>
      <c r="AC1680" s="101">
        <v>1.7583593563985644E-2</v>
      </c>
    </row>
    <row r="1681" spans="25:29" x14ac:dyDescent="0.2">
      <c r="Y1681" s="105" t="str">
        <f t="shared" si="59"/>
        <v>1w</v>
      </c>
      <c r="Z1681" s="93">
        <f>_xll.qlCalendarAdvance(Calendar,Z1680,Y1681,"f",FALSE)</f>
        <v>50963</v>
      </c>
      <c r="AA1681" s="117">
        <f>_xll.qlCalendarAdvance(Calendar,Z1681,NDays&amp;"D")</f>
        <v>50965</v>
      </c>
      <c r="AB1681" s="92">
        <v>1.7644049057905436E-2</v>
      </c>
      <c r="AC1681" s="101">
        <v>1.7581642357589189E-2</v>
      </c>
    </row>
    <row r="1682" spans="25:29" x14ac:dyDescent="0.2">
      <c r="Y1682" s="105" t="str">
        <f t="shared" si="59"/>
        <v>1w</v>
      </c>
      <c r="Z1682" s="93">
        <f>_xll.qlCalendarAdvance(Calendar,Z1681,Y1682,"f",FALSE)</f>
        <v>50970</v>
      </c>
      <c r="AA1682" s="117">
        <f>_xll.qlCalendarAdvance(Calendar,Z1682,NDays&amp;"D")</f>
        <v>50972</v>
      </c>
      <c r="AB1682" s="92">
        <v>1.7643089845077987E-2</v>
      </c>
      <c r="AC1682" s="101">
        <v>1.7579761546082651E-2</v>
      </c>
    </row>
    <row r="1683" spans="25:29" x14ac:dyDescent="0.2">
      <c r="Y1683" s="105" t="str">
        <f t="shared" si="59"/>
        <v>1w</v>
      </c>
      <c r="Z1683" s="93">
        <f>_xll.qlCalendarAdvance(Calendar,Z1682,Y1683,"f",FALSE)</f>
        <v>50977</v>
      </c>
      <c r="AA1683" s="117">
        <f>_xll.qlCalendarAdvance(Calendar,Z1683,NDays&amp;"D")</f>
        <v>50979</v>
      </c>
      <c r="AB1683" s="92">
        <v>1.7642201665734152E-2</v>
      </c>
      <c r="AC1683" s="101">
        <v>1.7577951129386093E-2</v>
      </c>
    </row>
    <row r="1684" spans="25:29" x14ac:dyDescent="0.2">
      <c r="Y1684" s="105" t="str">
        <f t="shared" si="59"/>
        <v>1w</v>
      </c>
      <c r="Z1684" s="93">
        <f>_xll.qlCalendarAdvance(Calendar,Z1683,Y1684,"f",FALSE)</f>
        <v>50984</v>
      </c>
      <c r="AA1684" s="117">
        <f>_xll.qlCalendarAdvance(Calendar,Z1684,NDays&amp;"D")</f>
        <v>50986</v>
      </c>
      <c r="AB1684" s="92">
        <v>1.7641384519777661E-2</v>
      </c>
      <c r="AC1684" s="101">
        <v>1.7576211107499518E-2</v>
      </c>
    </row>
    <row r="1685" spans="25:29" x14ac:dyDescent="0.2">
      <c r="Y1685" s="105" t="str">
        <f t="shared" ref="Y1685:Y1748" si="60">Y1684</f>
        <v>1w</v>
      </c>
      <c r="Z1685" s="93">
        <f>_xll.qlCalendarAdvance(Calendar,Z1684,Y1685,"f",FALSE)</f>
        <v>50991</v>
      </c>
      <c r="AA1685" s="117">
        <f>_xll.qlCalendarAdvance(Calendar,Z1685,NDays&amp;"D")</f>
        <v>50993</v>
      </c>
      <c r="AB1685" s="92">
        <v>1.7640638407118693E-2</v>
      </c>
      <c r="AC1685" s="101">
        <v>1.7574541480422923E-2</v>
      </c>
    </row>
    <row r="1686" spans="25:29" x14ac:dyDescent="0.2">
      <c r="Y1686" s="105" t="str">
        <f t="shared" si="60"/>
        <v>1w</v>
      </c>
      <c r="Z1686" s="93">
        <f>_xll.qlCalendarAdvance(Calendar,Z1685,Y1686,"f",FALSE)</f>
        <v>50998</v>
      </c>
      <c r="AA1686" s="117">
        <f>_xll.qlCalendarAdvance(Calendar,Z1686,NDays&amp;"D")</f>
        <v>51000</v>
      </c>
      <c r="AB1686" s="92">
        <v>1.7639963327675597E-2</v>
      </c>
      <c r="AC1686" s="101">
        <v>1.7572942248316181E-2</v>
      </c>
    </row>
    <row r="1687" spans="25:29" x14ac:dyDescent="0.2">
      <c r="Y1687" s="105" t="str">
        <f t="shared" si="60"/>
        <v>1w</v>
      </c>
      <c r="Z1687" s="93">
        <f>_xll.qlCalendarAdvance(Calendar,Z1686,Y1687,"f",FALSE)</f>
        <v>51005</v>
      </c>
      <c r="AA1687" s="117">
        <f>_xll.qlCalendarAdvance(Calendar,Z1687,NDays&amp;"D")</f>
        <v>51007</v>
      </c>
      <c r="AB1687" s="92">
        <v>1.7639359281376162E-2</v>
      </c>
      <c r="AC1687" s="101">
        <v>1.7571413411019421E-2</v>
      </c>
    </row>
    <row r="1688" spans="25:29" x14ac:dyDescent="0.2">
      <c r="Y1688" s="105" t="str">
        <f t="shared" si="60"/>
        <v>1w</v>
      </c>
      <c r="Z1688" s="93">
        <f>_xll.qlCalendarAdvance(Calendar,Z1687,Y1688,"f",FALSE)</f>
        <v>51012</v>
      </c>
      <c r="AA1688" s="117">
        <f>_xll.qlCalendarAdvance(Calendar,Z1688,NDays&amp;"D")</f>
        <v>51014</v>
      </c>
      <c r="AB1688" s="92">
        <v>1.7637159235701885E-2</v>
      </c>
      <c r="AC1688" s="101">
        <v>1.756995496837277E-2</v>
      </c>
    </row>
    <row r="1689" spans="25:29" x14ac:dyDescent="0.2">
      <c r="Y1689" s="105" t="str">
        <f t="shared" si="60"/>
        <v>1w</v>
      </c>
      <c r="Z1689" s="93">
        <f>_xll.qlCalendarAdvance(Calendar,Z1688,Y1689,"f",FALSE)</f>
        <v>51019</v>
      </c>
      <c r="AA1689" s="117">
        <f>_xll.qlCalendarAdvance(Calendar,Z1689,NDays&amp;"D")</f>
        <v>51021</v>
      </c>
      <c r="AB1689" s="92">
        <v>1.7636677054457938E-2</v>
      </c>
      <c r="AC1689" s="101">
        <v>1.7568566920695972E-2</v>
      </c>
    </row>
    <row r="1690" spans="25:29" x14ac:dyDescent="0.2">
      <c r="Y1690" s="105" t="str">
        <f t="shared" si="60"/>
        <v>1w</v>
      </c>
      <c r="Z1690" s="93">
        <f>_xll.qlCalendarAdvance(Calendar,Z1689,Y1690,"f",FALSE)</f>
        <v>51026</v>
      </c>
      <c r="AA1690" s="117">
        <f>_xll.qlCalendarAdvance(Calendar,Z1690,NDays&amp;"D")</f>
        <v>51028</v>
      </c>
      <c r="AB1690" s="92">
        <v>1.7636265892333372E-2</v>
      </c>
      <c r="AC1690" s="101">
        <v>1.7567249267749219E-2</v>
      </c>
    </row>
    <row r="1691" spans="25:29" x14ac:dyDescent="0.2">
      <c r="Y1691" s="105" t="str">
        <f t="shared" si="60"/>
        <v>1w</v>
      </c>
      <c r="Z1691" s="93">
        <f>_xll.qlCalendarAdvance(Calendar,Z1690,Y1691,"f",FALSE)</f>
        <v>51033</v>
      </c>
      <c r="AA1691" s="117">
        <f>_xll.qlCalendarAdvance(Calendar,Z1691,NDays&amp;"D")</f>
        <v>51035</v>
      </c>
      <c r="AB1691" s="92">
        <v>1.7635925749285578E-2</v>
      </c>
      <c r="AC1691" s="101">
        <v>1.7566002009852255E-2</v>
      </c>
    </row>
    <row r="1692" spans="25:29" x14ac:dyDescent="0.2">
      <c r="Y1692" s="105" t="str">
        <f t="shared" si="60"/>
        <v>1w</v>
      </c>
      <c r="Z1692" s="93">
        <f>_xll.qlCalendarAdvance(Calendar,Z1691,Y1692,"f",FALSE)</f>
        <v>51040</v>
      </c>
      <c r="AA1692" s="117">
        <f>_xll.qlCalendarAdvance(Calendar,Z1692,NDays&amp;"D")</f>
        <v>51042</v>
      </c>
      <c r="AB1692" s="92">
        <v>1.7635656625276348E-2</v>
      </c>
      <c r="AC1692" s="101">
        <v>1.7564825146605401E-2</v>
      </c>
    </row>
    <row r="1693" spans="25:29" x14ac:dyDescent="0.2">
      <c r="Y1693" s="105" t="str">
        <f t="shared" si="60"/>
        <v>1w</v>
      </c>
      <c r="Z1693" s="93">
        <f>_xll.qlCalendarAdvance(Calendar,Z1692,Y1693,"f",FALSE)</f>
        <v>51047</v>
      </c>
      <c r="AA1693" s="117">
        <f>_xll.qlCalendarAdvance(Calendar,Z1693,NDays&amp;"D")</f>
        <v>51049</v>
      </c>
      <c r="AB1693" s="92">
        <v>1.7635899816915476E-2</v>
      </c>
      <c r="AC1693" s="101">
        <v>1.7563718678088591E-2</v>
      </c>
    </row>
    <row r="1694" spans="25:29" x14ac:dyDescent="0.2">
      <c r="Y1694" s="105" t="str">
        <f t="shared" si="60"/>
        <v>1w</v>
      </c>
      <c r="Z1694" s="93">
        <f>_xll.qlCalendarAdvance(Calendar,Z1693,Y1694,"f",FALSE)</f>
        <v>51054</v>
      </c>
      <c r="AA1694" s="117">
        <f>_xll.qlCalendarAdvance(Calendar,Z1694,NDays&amp;"D")</f>
        <v>51056</v>
      </c>
      <c r="AB1694" s="92">
        <v>1.7635777797739075E-2</v>
      </c>
      <c r="AC1694" s="101">
        <v>1.7562682604541635E-2</v>
      </c>
    </row>
    <row r="1695" spans="25:29" x14ac:dyDescent="0.2">
      <c r="Y1695" s="105" t="str">
        <f t="shared" si="60"/>
        <v>1w</v>
      </c>
      <c r="Z1695" s="93">
        <f>_xll.qlCalendarAdvance(Calendar,Z1694,Y1695,"f",FALSE)</f>
        <v>51061</v>
      </c>
      <c r="AA1695" s="117">
        <f>_xll.qlCalendarAdvance(Calendar,Z1695,NDays&amp;"D")</f>
        <v>51063</v>
      </c>
      <c r="AB1695" s="92">
        <v>1.7635726801001748E-2</v>
      </c>
      <c r="AC1695" s="101">
        <v>1.7561716925724724E-2</v>
      </c>
    </row>
    <row r="1696" spans="25:29" x14ac:dyDescent="0.2">
      <c r="Y1696" s="105" t="str">
        <f t="shared" si="60"/>
        <v>1w</v>
      </c>
      <c r="Z1696" s="93">
        <f>_xll.qlCalendarAdvance(Calendar,Z1695,Y1696,"f",FALSE)</f>
        <v>51068</v>
      </c>
      <c r="AA1696" s="117">
        <f>_xll.qlCalendarAdvance(Calendar,Z1696,NDays&amp;"D")</f>
        <v>51070</v>
      </c>
      <c r="AB1696" s="92">
        <v>1.7635746826699134E-2</v>
      </c>
      <c r="AC1696" s="101">
        <v>1.7560821641877666E-2</v>
      </c>
    </row>
    <row r="1697" spans="25:29" x14ac:dyDescent="0.2">
      <c r="Y1697" s="105" t="str">
        <f t="shared" si="60"/>
        <v>1w</v>
      </c>
      <c r="Z1697" s="93">
        <f>_xll.qlCalendarAdvance(Calendar,Z1696,Y1697,"f",FALSE)</f>
        <v>51075</v>
      </c>
      <c r="AA1697" s="117">
        <f>_xll.qlCalendarAdvance(Calendar,Z1697,NDays&amp;"D")</f>
        <v>51077</v>
      </c>
      <c r="AB1697" s="92">
        <v>1.7635376290080412E-2</v>
      </c>
      <c r="AC1697" s="101">
        <v>1.7559996752760654E-2</v>
      </c>
    </row>
    <row r="1698" spans="25:29" x14ac:dyDescent="0.2">
      <c r="Y1698" s="105" t="str">
        <f t="shared" si="60"/>
        <v>1w</v>
      </c>
      <c r="Z1698" s="93">
        <f>_xll.qlCalendarAdvance(Calendar,Z1697,Y1698,"f",FALSE)</f>
        <v>51082</v>
      </c>
      <c r="AA1698" s="117">
        <f>_xll.qlCalendarAdvance(Calendar,Z1698,NDays&amp;"D")</f>
        <v>51084</v>
      </c>
      <c r="AB1698" s="92">
        <v>1.763553327997007E-2</v>
      </c>
      <c r="AC1698" s="101">
        <v>1.7559242258453622E-2</v>
      </c>
    </row>
    <row r="1699" spans="25:29" x14ac:dyDescent="0.2">
      <c r="Y1699" s="105" t="str">
        <f t="shared" si="60"/>
        <v>1w</v>
      </c>
      <c r="Z1699" s="93">
        <f>_xll.qlCalendarAdvance(Calendar,Z1698,Y1699,"f",FALSE)</f>
        <v>51089</v>
      </c>
      <c r="AA1699" s="117">
        <f>_xll.qlCalendarAdvance(Calendar,Z1699,NDays&amp;"D")</f>
        <v>51091</v>
      </c>
      <c r="AB1699" s="92">
        <v>1.7635761288856567E-2</v>
      </c>
      <c r="AC1699" s="101">
        <v>1.7558558158956572E-2</v>
      </c>
    </row>
    <row r="1700" spans="25:29" x14ac:dyDescent="0.2">
      <c r="Y1700" s="105" t="str">
        <f t="shared" si="60"/>
        <v>1w</v>
      </c>
      <c r="Z1700" s="93">
        <f>_xll.qlCalendarAdvance(Calendar,Z1699,Y1700,"f",FALSE)</f>
        <v>51096</v>
      </c>
      <c r="AA1700" s="117">
        <f>_xll.qlCalendarAdvance(Calendar,Z1700,NDays&amp;"D")</f>
        <v>51098</v>
      </c>
      <c r="AB1700" s="92">
        <v>1.7636060316764936E-2</v>
      </c>
      <c r="AC1700" s="101">
        <v>1.7557944454349439E-2</v>
      </c>
    </row>
    <row r="1701" spans="25:29" x14ac:dyDescent="0.2">
      <c r="Y1701" s="105" t="str">
        <f t="shared" si="60"/>
        <v>1w</v>
      </c>
      <c r="Z1701" s="93">
        <f>_xll.qlCalendarAdvance(Calendar,Z1700,Y1701,"f",FALSE)</f>
        <v>51103</v>
      </c>
      <c r="AA1701" s="117">
        <f>_xll.qlCalendarAdvance(Calendar,Z1701,NDays&amp;"D")</f>
        <v>51105</v>
      </c>
      <c r="AB1701" s="92">
        <v>1.7636912292042166E-2</v>
      </c>
      <c r="AC1701" s="101">
        <v>1.7557401144472351E-2</v>
      </c>
    </row>
    <row r="1702" spans="25:29" x14ac:dyDescent="0.2">
      <c r="Y1702" s="105" t="str">
        <f t="shared" si="60"/>
        <v>1w</v>
      </c>
      <c r="Z1702" s="93">
        <f>_xll.qlCalendarAdvance(Calendar,Z1701,Y1702,"f",FALSE)</f>
        <v>51110</v>
      </c>
      <c r="AA1702" s="117">
        <f>_xll.qlCalendarAdvance(Calendar,Z1702,NDays&amp;"D")</f>
        <v>51112</v>
      </c>
      <c r="AB1702" s="92">
        <v>1.763735845265663E-2</v>
      </c>
      <c r="AC1702" s="101">
        <v>1.7556928229405244E-2</v>
      </c>
    </row>
    <row r="1703" spans="25:29" x14ac:dyDescent="0.2">
      <c r="Y1703" s="105" t="str">
        <f t="shared" si="60"/>
        <v>1w</v>
      </c>
      <c r="Z1703" s="93">
        <f>_xll.qlCalendarAdvance(Calendar,Z1702,Y1703,"f",FALSE)</f>
        <v>51117</v>
      </c>
      <c r="AA1703" s="117">
        <f>_xll.qlCalendarAdvance(Calendar,Z1703,NDays&amp;"D")</f>
        <v>51119</v>
      </c>
      <c r="AB1703" s="92">
        <v>1.76378756358814E-2</v>
      </c>
      <c r="AC1703" s="101">
        <v>1.7556525709307991E-2</v>
      </c>
    </row>
    <row r="1704" spans="25:29" x14ac:dyDescent="0.2">
      <c r="Y1704" s="105" t="str">
        <f t="shared" si="60"/>
        <v>1w</v>
      </c>
      <c r="Z1704" s="93">
        <f>_xll.qlCalendarAdvance(Calendar,Z1703,Y1704,"f",FALSE)</f>
        <v>51124</v>
      </c>
      <c r="AA1704" s="117">
        <f>_xll.qlCalendarAdvance(Calendar,Z1704,NDays&amp;"D")</f>
        <v>51126</v>
      </c>
      <c r="AB1704" s="92">
        <v>1.7638463841770206E-2</v>
      </c>
      <c r="AC1704" s="101">
        <v>1.7556193583940782E-2</v>
      </c>
    </row>
    <row r="1705" spans="25:29" x14ac:dyDescent="0.2">
      <c r="Y1705" s="105" t="str">
        <f t="shared" si="60"/>
        <v>1w</v>
      </c>
      <c r="Z1705" s="93">
        <f>_xll.qlCalendarAdvance(Calendar,Z1704,Y1705,"f",FALSE)</f>
        <v>51131</v>
      </c>
      <c r="AA1705" s="117">
        <f>_xll.qlCalendarAdvance(Calendar,Z1705,NDays&amp;"D")</f>
        <v>51133</v>
      </c>
      <c r="AB1705" s="92">
        <v>1.7639123070387692E-2</v>
      </c>
      <c r="AC1705" s="101">
        <v>1.7555931853383555E-2</v>
      </c>
    </row>
    <row r="1706" spans="25:29" x14ac:dyDescent="0.2">
      <c r="Y1706" s="105" t="str">
        <f t="shared" si="60"/>
        <v>1w</v>
      </c>
      <c r="Z1706" s="93">
        <f>_xll.qlCalendarAdvance(Calendar,Z1705,Y1706,"f",FALSE)</f>
        <v>51138</v>
      </c>
      <c r="AA1706" s="117">
        <f>_xll.qlCalendarAdvance(Calendar,Z1706,NDays&amp;"D")</f>
        <v>51140</v>
      </c>
      <c r="AB1706" s="92">
        <v>1.7639345849171515E-2</v>
      </c>
      <c r="AC1706" s="101">
        <v>1.7555740517716245E-2</v>
      </c>
    </row>
    <row r="1707" spans="25:29" x14ac:dyDescent="0.2">
      <c r="Y1707" s="105" t="str">
        <f t="shared" si="60"/>
        <v>1w</v>
      </c>
      <c r="Z1707" s="93">
        <f>_xll.qlCalendarAdvance(Calendar,Z1706,Y1707,"f",FALSE)</f>
        <v>51145</v>
      </c>
      <c r="AA1707" s="117">
        <f>_xll.qlCalendarAdvance(Calendar,Z1707,NDays&amp;"D")</f>
        <v>51147</v>
      </c>
      <c r="AB1707" s="92">
        <v>1.764014068461469E-2</v>
      </c>
      <c r="AC1707" s="101">
        <v>1.755561957677898E-2</v>
      </c>
    </row>
    <row r="1708" spans="25:29" x14ac:dyDescent="0.2">
      <c r="Y1708" s="105" t="str">
        <f t="shared" si="60"/>
        <v>1w</v>
      </c>
      <c r="Z1708" s="93">
        <f>_xll.qlCalendarAdvance(Calendar,Z1707,Y1708,"f",FALSE)</f>
        <v>51152</v>
      </c>
      <c r="AA1708" s="117">
        <f>_xll.qlCalendarAdvance(Calendar,Z1708,NDays&amp;"D")</f>
        <v>51154</v>
      </c>
      <c r="AB1708" s="92">
        <v>1.7641002530096705E-2</v>
      </c>
      <c r="AC1708" s="101">
        <v>1.7555569030651696E-2</v>
      </c>
    </row>
    <row r="1709" spans="25:29" x14ac:dyDescent="0.2">
      <c r="Y1709" s="105" t="str">
        <f t="shared" si="60"/>
        <v>1w</v>
      </c>
      <c r="Z1709" s="93">
        <f>_xll.qlCalendarAdvance(Calendar,Z1708,Y1709,"f",FALSE)</f>
        <v>51159</v>
      </c>
      <c r="AA1709" s="117">
        <f>_xll.qlCalendarAdvance(Calendar,Z1709,NDays&amp;"D")</f>
        <v>51161</v>
      </c>
      <c r="AB1709" s="92">
        <v>1.764192857908848E-2</v>
      </c>
      <c r="AC1709" s="101">
        <v>1.755558887941433E-2</v>
      </c>
    </row>
    <row r="1710" spans="25:29" x14ac:dyDescent="0.2">
      <c r="Y1710" s="105" t="str">
        <f t="shared" si="60"/>
        <v>1w</v>
      </c>
      <c r="Z1710" s="93">
        <f>_xll.qlCalendarAdvance(Calendar,Z1709,Y1710,"f",FALSE)</f>
        <v>51166</v>
      </c>
      <c r="AA1710" s="117">
        <f>_xll.qlCalendarAdvance(Calendar,Z1710,NDays&amp;"D")</f>
        <v>51168</v>
      </c>
      <c r="AB1710" s="92">
        <v>1.7642916025060941E-2</v>
      </c>
      <c r="AC1710" s="101">
        <v>1.7555679122986945E-2</v>
      </c>
    </row>
    <row r="1711" spans="25:29" x14ac:dyDescent="0.2">
      <c r="Y1711" s="105" t="str">
        <f t="shared" si="60"/>
        <v>1w</v>
      </c>
      <c r="Z1711" s="93">
        <f>_xll.qlCalendarAdvance(Calendar,Z1710,Y1711,"f",FALSE)</f>
        <v>51173</v>
      </c>
      <c r="AA1711" s="117">
        <f>_xll.qlCalendarAdvance(Calendar,Z1711,NDays&amp;"D")</f>
        <v>51175</v>
      </c>
      <c r="AB1711" s="92">
        <v>1.7643962061487651E-2</v>
      </c>
      <c r="AC1711" s="101">
        <v>1.755583976136954E-2</v>
      </c>
    </row>
    <row r="1712" spans="25:29" x14ac:dyDescent="0.2">
      <c r="Y1712" s="105" t="str">
        <f t="shared" si="60"/>
        <v>1w</v>
      </c>
      <c r="Z1712" s="93">
        <f>_xll.qlCalendarAdvance(Calendar,Z1711,Y1712,"f",FALSE)</f>
        <v>51180</v>
      </c>
      <c r="AA1712" s="117">
        <f>_xll.qlCalendarAdvance(Calendar,Z1712,NDays&amp;"D")</f>
        <v>51182</v>
      </c>
      <c r="AB1712" s="92">
        <v>1.764506388183865E-2</v>
      </c>
      <c r="AC1712" s="101">
        <v>1.7556070794562117E-2</v>
      </c>
    </row>
    <row r="1713" spans="25:29" x14ac:dyDescent="0.2">
      <c r="Y1713" s="105" t="str">
        <f t="shared" si="60"/>
        <v>1w</v>
      </c>
      <c r="Z1713" s="93">
        <f>_xll.qlCalendarAdvance(Calendar,Z1712,Y1713,"f",FALSE)</f>
        <v>51187</v>
      </c>
      <c r="AA1713" s="117">
        <f>_xll.qlCalendarAdvance(Calendar,Z1713,NDays&amp;"D")</f>
        <v>51189</v>
      </c>
      <c r="AB1713" s="92">
        <v>1.7646218679585747E-2</v>
      </c>
      <c r="AC1713" s="101">
        <v>1.755637222248474E-2</v>
      </c>
    </row>
    <row r="1714" spans="25:29" x14ac:dyDescent="0.2">
      <c r="Y1714" s="105" t="str">
        <f t="shared" si="60"/>
        <v>1w</v>
      </c>
      <c r="Z1714" s="93">
        <f>_xll.qlCalendarAdvance(Calendar,Z1713,Y1714,"f",FALSE)</f>
        <v>51194</v>
      </c>
      <c r="AA1714" s="117">
        <f>_xll.qlCalendarAdvance(Calendar,Z1714,NDays&amp;"D")</f>
        <v>51196</v>
      </c>
      <c r="AB1714" s="92">
        <v>1.7649566765872524E-2</v>
      </c>
      <c r="AC1714" s="101">
        <v>1.7556744045377215E-2</v>
      </c>
    </row>
    <row r="1715" spans="25:29" x14ac:dyDescent="0.2">
      <c r="Y1715" s="105" t="str">
        <f t="shared" si="60"/>
        <v>1w</v>
      </c>
      <c r="Z1715" s="93">
        <f>_xll.qlCalendarAdvance(Calendar,Z1714,Y1715,"f",FALSE)</f>
        <v>51201</v>
      </c>
      <c r="AA1715" s="117">
        <f>_xll.qlCalendarAdvance(Calendar,Z1715,NDays&amp;"D")</f>
        <v>51203</v>
      </c>
      <c r="AB1715" s="92">
        <v>1.7650827584870545E-2</v>
      </c>
      <c r="AC1715" s="101">
        <v>1.7557186263079672E-2</v>
      </c>
    </row>
    <row r="1716" spans="25:29" x14ac:dyDescent="0.2">
      <c r="Y1716" s="105" t="str">
        <f t="shared" si="60"/>
        <v>1w</v>
      </c>
      <c r="Z1716" s="93">
        <f>_xll.qlCalendarAdvance(Calendar,Z1715,Y1716,"f",FALSE)</f>
        <v>51208</v>
      </c>
      <c r="AA1716" s="117">
        <f>_xll.qlCalendarAdvance(Calendar,Z1716,NDays&amp;"D")</f>
        <v>51210</v>
      </c>
      <c r="AB1716" s="92">
        <v>1.7652131969990461E-2</v>
      </c>
      <c r="AC1716" s="101">
        <v>1.7557698875512173E-2</v>
      </c>
    </row>
    <row r="1717" spans="25:29" x14ac:dyDescent="0.2">
      <c r="Y1717" s="105" t="str">
        <f t="shared" si="60"/>
        <v>1w</v>
      </c>
      <c r="Z1717" s="93">
        <f>_xll.qlCalendarAdvance(Calendar,Z1716,Y1717,"f",FALSE)</f>
        <v>51215</v>
      </c>
      <c r="AA1717" s="117">
        <f>_xll.qlCalendarAdvance(Calendar,Z1717,NDays&amp;"D")</f>
        <v>51217</v>
      </c>
      <c r="AB1717" s="92">
        <v>1.7653477174511569E-2</v>
      </c>
      <c r="AC1717" s="101">
        <v>1.7558281882754656E-2</v>
      </c>
    </row>
    <row r="1718" spans="25:29" x14ac:dyDescent="0.2">
      <c r="Y1718" s="105" t="str">
        <f t="shared" si="60"/>
        <v>1w</v>
      </c>
      <c r="Z1718" s="93">
        <f>_xll.qlCalendarAdvance(Calendar,Z1717,Y1718,"f",FALSE)</f>
        <v>51222</v>
      </c>
      <c r="AA1718" s="117">
        <f>_xll.qlCalendarAdvance(Calendar,Z1718,NDays&amp;"D")</f>
        <v>51224</v>
      </c>
      <c r="AB1718" s="92">
        <v>1.7653231817796534E-2</v>
      </c>
      <c r="AC1718" s="101">
        <v>1.7560849328098982E-2</v>
      </c>
    </row>
    <row r="1719" spans="25:29" x14ac:dyDescent="0.2">
      <c r="Y1719" s="105" t="str">
        <f t="shared" si="60"/>
        <v>1w</v>
      </c>
      <c r="Z1719" s="93">
        <f>_xll.qlCalendarAdvance(Calendar,Z1718,Y1719,"f",FALSE)</f>
        <v>51229</v>
      </c>
      <c r="AA1719" s="117">
        <f>_xll.qlCalendarAdvance(Calendar,Z1719,NDays&amp;"D")</f>
        <v>51231</v>
      </c>
      <c r="AB1719" s="92">
        <v>1.7654646783171128E-2</v>
      </c>
      <c r="AC1719" s="101">
        <v>1.7559659081829437E-2</v>
      </c>
    </row>
    <row r="1720" spans="25:29" x14ac:dyDescent="0.2">
      <c r="Y1720" s="105" t="str">
        <f t="shared" si="60"/>
        <v>1w</v>
      </c>
      <c r="Z1720" s="93">
        <f>_xll.qlCalendarAdvance(Calendar,Z1719,Y1720,"f",FALSE)</f>
        <v>51236</v>
      </c>
      <c r="AA1720" s="117">
        <f>_xll.qlCalendarAdvance(Calendar,Z1720,NDays&amp;"D")</f>
        <v>51238</v>
      </c>
      <c r="AB1720" s="92">
        <v>1.7656094888957231E-2</v>
      </c>
      <c r="AC1720" s="101">
        <v>1.75604532735818E-2</v>
      </c>
    </row>
    <row r="1721" spans="25:29" x14ac:dyDescent="0.2">
      <c r="Y1721" s="105" t="str">
        <f t="shared" si="60"/>
        <v>1w</v>
      </c>
      <c r="Z1721" s="93">
        <f>_xll.qlCalendarAdvance(Calendar,Z1720,Y1721,"f",FALSE)</f>
        <v>51243</v>
      </c>
      <c r="AA1721" s="117">
        <f>_xll.qlCalendarAdvance(Calendar,Z1721,NDays&amp;"D")</f>
        <v>51245</v>
      </c>
      <c r="AB1721" s="92">
        <v>1.7657573343790325E-2</v>
      </c>
      <c r="AC1721" s="101">
        <v>1.7561317860144143E-2</v>
      </c>
    </row>
    <row r="1722" spans="25:29" x14ac:dyDescent="0.2">
      <c r="Y1722" s="105" t="str">
        <f t="shared" si="60"/>
        <v>1w</v>
      </c>
      <c r="Z1722" s="93">
        <f>_xll.qlCalendarAdvance(Calendar,Z1721,Y1722,"f",FALSE)</f>
        <v>51250</v>
      </c>
      <c r="AA1722" s="117">
        <f>_xll.qlCalendarAdvance(Calendar,Z1722,NDays&amp;"D")</f>
        <v>51252</v>
      </c>
      <c r="AB1722" s="92">
        <v>1.7659079356299345E-2</v>
      </c>
      <c r="AC1722" s="101">
        <v>1.7562252841596404E-2</v>
      </c>
    </row>
    <row r="1723" spans="25:29" x14ac:dyDescent="0.2">
      <c r="Y1723" s="105" t="str">
        <f t="shared" si="60"/>
        <v>1w</v>
      </c>
      <c r="Z1723" s="93">
        <f>_xll.qlCalendarAdvance(Calendar,Z1722,Y1723,"f",FALSE)</f>
        <v>51258</v>
      </c>
      <c r="AA1723" s="117">
        <f>_xll.qlCalendarAdvance(Calendar,Z1723,NDays&amp;"D")</f>
        <v>51260</v>
      </c>
      <c r="AB1723" s="92">
        <v>1.7661925223063462E-2</v>
      </c>
      <c r="AC1723" s="101">
        <v>1.7564415775614961E-2</v>
      </c>
    </row>
    <row r="1724" spans="25:29" x14ac:dyDescent="0.2">
      <c r="Y1724" s="105" t="str">
        <f t="shared" si="60"/>
        <v>1w</v>
      </c>
      <c r="Z1724" s="93">
        <f>_xll.qlCalendarAdvance(Calendar,Z1723,Y1724,"f",FALSE)</f>
        <v>51265</v>
      </c>
      <c r="AA1724" s="117">
        <f>_xll.qlCalendarAdvance(Calendar,Z1724,NDays&amp;"D")</f>
        <v>51267</v>
      </c>
      <c r="AB1724" s="92">
        <v>1.7663481711190171E-2</v>
      </c>
      <c r="AC1724" s="101">
        <v>1.7565511766406416E-2</v>
      </c>
    </row>
    <row r="1725" spans="25:29" x14ac:dyDescent="0.2">
      <c r="Y1725" s="105" t="str">
        <f t="shared" si="60"/>
        <v>1w</v>
      </c>
      <c r="Z1725" s="93">
        <f>_xll.qlCalendarAdvance(Calendar,Z1724,Y1725,"f",FALSE)</f>
        <v>51272</v>
      </c>
      <c r="AA1725" s="117">
        <f>_xll.qlCalendarAdvance(Calendar,Z1725,NDays&amp;"D")</f>
        <v>51274</v>
      </c>
      <c r="AB1725" s="92">
        <v>1.7665056761716067E-2</v>
      </c>
      <c r="AC1725" s="101">
        <v>1.7566678158908999E-2</v>
      </c>
    </row>
    <row r="1726" spans="25:29" x14ac:dyDescent="0.2">
      <c r="Y1726" s="105" t="str">
        <f t="shared" si="60"/>
        <v>1w</v>
      </c>
      <c r="Z1726" s="93">
        <f>_xll.qlCalendarAdvance(Calendar,Z1725,Y1726,"f",FALSE)</f>
        <v>51279</v>
      </c>
      <c r="AA1726" s="117">
        <f>_xll.qlCalendarAdvance(Calendar,Z1726,NDays&amp;"D")</f>
        <v>51281</v>
      </c>
      <c r="AB1726" s="92">
        <v>1.7666647613144171E-2</v>
      </c>
      <c r="AC1726" s="101">
        <v>1.756791495312271E-2</v>
      </c>
    </row>
    <row r="1727" spans="25:29" x14ac:dyDescent="0.2">
      <c r="Y1727" s="105" t="str">
        <f t="shared" si="60"/>
        <v>1w</v>
      </c>
      <c r="Z1727" s="93">
        <f>_xll.qlCalendarAdvance(Calendar,Z1726,Y1727,"f",FALSE)</f>
        <v>51286</v>
      </c>
      <c r="AA1727" s="117">
        <f>_xll.qlCalendarAdvance(Calendar,Z1727,NDays&amp;"D")</f>
        <v>51288</v>
      </c>
      <c r="AB1727" s="92">
        <v>1.7668251503969296E-2</v>
      </c>
      <c r="AC1727" s="101">
        <v>1.7569222149020902E-2</v>
      </c>
    </row>
    <row r="1728" spans="25:29" x14ac:dyDescent="0.2">
      <c r="Y1728" s="105" t="str">
        <f t="shared" si="60"/>
        <v>1w</v>
      </c>
      <c r="Z1728" s="93">
        <f>_xll.qlCalendarAdvance(Calendar,Z1727,Y1728,"f",FALSE)</f>
        <v>51293</v>
      </c>
      <c r="AA1728" s="117">
        <f>_xll.qlCalendarAdvance(Calendar,Z1728,NDays&amp;"D")</f>
        <v>51295</v>
      </c>
      <c r="AB1728" s="92">
        <v>1.7669865672679343E-2</v>
      </c>
      <c r="AC1728" s="101">
        <v>1.7570599746630222E-2</v>
      </c>
    </row>
    <row r="1729" spans="25:29" x14ac:dyDescent="0.2">
      <c r="Y1729" s="105" t="str">
        <f t="shared" si="60"/>
        <v>1w</v>
      </c>
      <c r="Z1729" s="93">
        <f>_xll.qlCalendarAdvance(Calendar,Z1728,Y1729,"f",FALSE)</f>
        <v>51300</v>
      </c>
      <c r="AA1729" s="117">
        <f>_xll.qlCalendarAdvance(Calendar,Z1729,NDays&amp;"D")</f>
        <v>51302</v>
      </c>
      <c r="AB1729" s="92">
        <v>1.7671487357752275E-2</v>
      </c>
      <c r="AC1729" s="101">
        <v>1.757204774595067E-2</v>
      </c>
    </row>
    <row r="1730" spans="25:29" x14ac:dyDescent="0.2">
      <c r="Y1730" s="105" t="str">
        <f t="shared" si="60"/>
        <v>1w</v>
      </c>
      <c r="Z1730" s="93">
        <f>_xll.qlCalendarAdvance(Calendar,Z1729,Y1730,"f",FALSE)</f>
        <v>51307</v>
      </c>
      <c r="AA1730" s="117">
        <f>_xll.qlCalendarAdvance(Calendar,Z1730,NDays&amp;"D")</f>
        <v>51309</v>
      </c>
      <c r="AB1730" s="92">
        <v>1.767311379765784E-2</v>
      </c>
      <c r="AC1730" s="101">
        <v>1.7573566146982245E-2</v>
      </c>
    </row>
    <row r="1731" spans="25:29" x14ac:dyDescent="0.2">
      <c r="Y1731" s="105" t="str">
        <f t="shared" si="60"/>
        <v>1w</v>
      </c>
      <c r="Z1731" s="93">
        <f>_xll.qlCalendarAdvance(Calendar,Z1730,Y1731,"f",FALSE)</f>
        <v>51314</v>
      </c>
      <c r="AA1731" s="117">
        <f>_xll.qlCalendarAdvance(Calendar,Z1731,NDays&amp;"D")</f>
        <v>51316</v>
      </c>
      <c r="AB1731" s="92">
        <v>1.7674742230854561E-2</v>
      </c>
      <c r="AC1731" s="101">
        <v>1.7575154949751592E-2</v>
      </c>
    </row>
    <row r="1732" spans="25:29" x14ac:dyDescent="0.2">
      <c r="Y1732" s="105" t="str">
        <f t="shared" si="60"/>
        <v>1w</v>
      </c>
      <c r="Z1732" s="93">
        <f>_xll.qlCalendarAdvance(Calendar,Z1731,Y1732,"f",FALSE)</f>
        <v>51321</v>
      </c>
      <c r="AA1732" s="117">
        <f>_xll.qlCalendarAdvance(Calendar,Z1732,NDays&amp;"D")</f>
        <v>51323</v>
      </c>
      <c r="AB1732" s="92">
        <v>1.7676369981672588E-2</v>
      </c>
      <c r="AC1732" s="101">
        <v>1.7576791271949332E-2</v>
      </c>
    </row>
    <row r="1733" spans="25:29" x14ac:dyDescent="0.2">
      <c r="Y1733" s="105" t="str">
        <f t="shared" si="60"/>
        <v>1w</v>
      </c>
      <c r="Z1733" s="93">
        <f>_xll.qlCalendarAdvance(Calendar,Z1732,Y1733,"f",FALSE)</f>
        <v>51328</v>
      </c>
      <c r="AA1733" s="117">
        <f>_xll.qlCalendarAdvance(Calendar,Z1733,NDays&amp;"D")</f>
        <v>51330</v>
      </c>
      <c r="AB1733" s="92">
        <v>1.7677995816938356E-2</v>
      </c>
      <c r="AC1733" s="101">
        <v>1.7578427872724234E-2</v>
      </c>
    </row>
    <row r="1734" spans="25:29" x14ac:dyDescent="0.2">
      <c r="Y1734" s="105" t="str">
        <f t="shared" si="60"/>
        <v>1w</v>
      </c>
      <c r="Z1734" s="93">
        <f>_xll.qlCalendarAdvance(Calendar,Z1733,Y1734,"f",FALSE)</f>
        <v>51335</v>
      </c>
      <c r="AA1734" s="117">
        <f>_xll.qlCalendarAdvance(Calendar,Z1734,NDays&amp;"D")</f>
        <v>51337</v>
      </c>
      <c r="AB1734" s="92">
        <v>1.7679619700415341E-2</v>
      </c>
      <c r="AC1734" s="101">
        <v>1.7580062537687624E-2</v>
      </c>
    </row>
    <row r="1735" spans="25:29" x14ac:dyDescent="0.2">
      <c r="Y1735" s="105" t="str">
        <f t="shared" si="60"/>
        <v>1w</v>
      </c>
      <c r="Z1735" s="93">
        <f>_xll.qlCalendarAdvance(Calendar,Z1734,Y1735,"f",FALSE)</f>
        <v>51342</v>
      </c>
      <c r="AA1735" s="117">
        <f>_xll.qlCalendarAdvance(Calendar,Z1735,NDays&amp;"D")</f>
        <v>51344</v>
      </c>
      <c r="AB1735" s="92">
        <v>1.7681241632099217E-2</v>
      </c>
      <c r="AC1735" s="101">
        <v>1.7581695266892794E-2</v>
      </c>
    </row>
    <row r="1736" spans="25:29" x14ac:dyDescent="0.2">
      <c r="Y1736" s="105" t="str">
        <f t="shared" si="60"/>
        <v>1w</v>
      </c>
      <c r="Z1736" s="93">
        <f>_xll.qlCalendarAdvance(Calendar,Z1735,Y1736,"f",FALSE)</f>
        <v>51349</v>
      </c>
      <c r="AA1736" s="117">
        <f>_xll.qlCalendarAdvance(Calendar,Z1736,NDays&amp;"D")</f>
        <v>51351</v>
      </c>
      <c r="AB1736" s="92">
        <v>1.7682861611985238E-2</v>
      </c>
      <c r="AC1736" s="101">
        <v>1.7583326060233162E-2</v>
      </c>
    </row>
    <row r="1737" spans="25:29" x14ac:dyDescent="0.2">
      <c r="Y1737" s="105" t="str">
        <f t="shared" si="60"/>
        <v>1w</v>
      </c>
      <c r="Z1737" s="93">
        <f>_xll.qlCalendarAdvance(Calendar,Z1736,Y1737,"f",FALSE)</f>
        <v>51356</v>
      </c>
      <c r="AA1737" s="117">
        <f>_xll.qlCalendarAdvance(Calendar,Z1737,NDays&amp;"D")</f>
        <v>51358</v>
      </c>
      <c r="AB1737" s="92">
        <v>1.7684479640068647E-2</v>
      </c>
      <c r="AC1737" s="101">
        <v>1.758495491781531E-2</v>
      </c>
    </row>
    <row r="1738" spans="25:29" x14ac:dyDescent="0.2">
      <c r="Y1738" s="105" t="str">
        <f t="shared" si="60"/>
        <v>1w</v>
      </c>
      <c r="Z1738" s="93">
        <f>_xll.qlCalendarAdvance(Calendar,Z1737,Y1738,"f",FALSE)</f>
        <v>51363</v>
      </c>
      <c r="AA1738" s="117">
        <f>_xll.qlCalendarAdvance(Calendar,Z1738,NDays&amp;"D")</f>
        <v>51365</v>
      </c>
      <c r="AB1738" s="92">
        <v>1.7686095716345121E-2</v>
      </c>
      <c r="AC1738" s="101">
        <v>1.7586581839559301E-2</v>
      </c>
    </row>
    <row r="1739" spans="25:29" x14ac:dyDescent="0.2">
      <c r="Y1739" s="105" t="str">
        <f t="shared" si="60"/>
        <v>1w</v>
      </c>
      <c r="Z1739" s="93">
        <f>_xll.qlCalendarAdvance(Calendar,Z1738,Y1739,"f",FALSE)</f>
        <v>51370</v>
      </c>
      <c r="AA1739" s="117">
        <f>_xll.qlCalendarAdvance(Calendar,Z1739,NDays&amp;"D")</f>
        <v>51372</v>
      </c>
      <c r="AB1739" s="92">
        <v>1.7687709840808617E-2</v>
      </c>
      <c r="AC1739" s="101">
        <v>1.7588206825491781E-2</v>
      </c>
    </row>
    <row r="1740" spans="25:29" x14ac:dyDescent="0.2">
      <c r="Y1740" s="105" t="str">
        <f t="shared" si="60"/>
        <v>1w</v>
      </c>
      <c r="Z1740" s="93">
        <f>_xll.qlCalendarAdvance(Calendar,Z1739,Y1740,"f",FALSE)</f>
        <v>51377</v>
      </c>
      <c r="AA1740" s="117">
        <f>_xll.qlCalendarAdvance(Calendar,Z1740,NDays&amp;"D")</f>
        <v>51379</v>
      </c>
      <c r="AB1740" s="92">
        <v>1.7687131069157522E-2</v>
      </c>
      <c r="AC1740" s="101">
        <v>1.758982987561275E-2</v>
      </c>
    </row>
    <row r="1741" spans="25:29" x14ac:dyDescent="0.2">
      <c r="Y1741" s="105" t="str">
        <f t="shared" si="60"/>
        <v>1w</v>
      </c>
      <c r="Z1741" s="93">
        <f>_xll.qlCalendarAdvance(Calendar,Z1740,Y1741,"f",FALSE)</f>
        <v>51384</v>
      </c>
      <c r="AA1741" s="117">
        <f>_xll.qlCalendarAdvance(Calendar,Z1741,NDays&amp;"D")</f>
        <v>51386</v>
      </c>
      <c r="AB1741" s="92">
        <v>1.7688741532507823E-2</v>
      </c>
      <c r="AC1741" s="101">
        <v>1.7591450989895563E-2</v>
      </c>
    </row>
    <row r="1742" spans="25:29" x14ac:dyDescent="0.2">
      <c r="Y1742" s="105" t="str">
        <f t="shared" si="60"/>
        <v>1w</v>
      </c>
      <c r="Z1742" s="93">
        <f>_xll.qlCalendarAdvance(Calendar,Z1741,Y1742,"f",FALSE)</f>
        <v>51391</v>
      </c>
      <c r="AA1742" s="117">
        <f>_xll.qlCalendarAdvance(Calendar,Z1742,NDays&amp;"D")</f>
        <v>51393</v>
      </c>
      <c r="AB1742" s="92">
        <v>1.769035004438577E-2</v>
      </c>
      <c r="AC1742" s="101">
        <v>1.7593070168420155E-2</v>
      </c>
    </row>
    <row r="1743" spans="25:29" x14ac:dyDescent="0.2">
      <c r="Y1743" s="105" t="str">
        <f t="shared" si="60"/>
        <v>1w</v>
      </c>
      <c r="Z1743" s="93">
        <f>_xll.qlCalendarAdvance(Calendar,Z1742,Y1743,"f",FALSE)</f>
        <v>51398</v>
      </c>
      <c r="AA1743" s="117">
        <f>_xll.qlCalendarAdvance(Calendar,Z1743,NDays&amp;"D")</f>
        <v>51400</v>
      </c>
      <c r="AB1743" s="92">
        <v>1.7691956604786948E-2</v>
      </c>
      <c r="AC1743" s="101">
        <v>1.7594687411079946E-2</v>
      </c>
    </row>
    <row r="1744" spans="25:29" x14ac:dyDescent="0.2">
      <c r="Y1744" s="105" t="str">
        <f t="shared" si="60"/>
        <v>1w</v>
      </c>
      <c r="Z1744" s="93">
        <f>_xll.qlCalendarAdvance(Calendar,Z1743,Y1744,"f",FALSE)</f>
        <v>51405</v>
      </c>
      <c r="AA1744" s="117">
        <f>_xll.qlCalendarAdvance(Calendar,Z1744,NDays&amp;"D")</f>
        <v>51407</v>
      </c>
      <c r="AB1744" s="92">
        <v>1.7694108688685612E-2</v>
      </c>
      <c r="AC1744" s="101">
        <v>1.7596302717981516E-2</v>
      </c>
    </row>
    <row r="1745" spans="25:29" x14ac:dyDescent="0.2">
      <c r="Y1745" s="105" t="str">
        <f t="shared" si="60"/>
        <v>1w</v>
      </c>
      <c r="Z1745" s="93">
        <f>_xll.qlCalendarAdvance(Calendar,Z1744,Y1745,"f",FALSE)</f>
        <v>51412</v>
      </c>
      <c r="AA1745" s="117">
        <f>_xll.qlCalendarAdvance(Calendar,Z1745,NDays&amp;"D")</f>
        <v>51414</v>
      </c>
      <c r="AB1745" s="92">
        <v>1.7695711285145545E-2</v>
      </c>
      <c r="AC1745" s="101">
        <v>1.7597916089018284E-2</v>
      </c>
    </row>
    <row r="1746" spans="25:29" x14ac:dyDescent="0.2">
      <c r="Y1746" s="105" t="str">
        <f t="shared" si="60"/>
        <v>1w</v>
      </c>
      <c r="Z1746" s="93">
        <f>_xll.qlCalendarAdvance(Calendar,Z1745,Y1746,"f",FALSE)</f>
        <v>51419</v>
      </c>
      <c r="AA1746" s="117">
        <f>_xll.qlCalendarAdvance(Calendar,Z1746,NDays&amp;"D")</f>
        <v>51421</v>
      </c>
      <c r="AB1746" s="92">
        <v>1.7697311930026802E-2</v>
      </c>
      <c r="AC1746" s="101">
        <v>1.7599527524270187E-2</v>
      </c>
    </row>
    <row r="1747" spans="25:29" x14ac:dyDescent="0.2">
      <c r="Y1747" s="105" t="str">
        <f t="shared" si="60"/>
        <v>1w</v>
      </c>
      <c r="Z1747" s="93">
        <f>_xll.qlCalendarAdvance(Calendar,Z1746,Y1747,"f",FALSE)</f>
        <v>51426</v>
      </c>
      <c r="AA1747" s="117">
        <f>_xll.qlCalendarAdvance(Calendar,Z1747,NDays&amp;"D")</f>
        <v>51428</v>
      </c>
      <c r="AB1747" s="92">
        <v>1.7701099910480033E-2</v>
      </c>
      <c r="AC1747" s="101">
        <v>1.7601137023710578E-2</v>
      </c>
    </row>
    <row r="1748" spans="25:29" x14ac:dyDescent="0.2">
      <c r="Y1748" s="105" t="str">
        <f t="shared" si="60"/>
        <v>1w</v>
      </c>
      <c r="Z1748" s="93">
        <f>_xll.qlCalendarAdvance(Calendar,Z1747,Y1748,"f",FALSE)</f>
        <v>51433</v>
      </c>
      <c r="AA1748" s="117">
        <f>_xll.qlCalendarAdvance(Calendar,Z1748,NDays&amp;"D")</f>
        <v>51435</v>
      </c>
      <c r="AB1748" s="92">
        <v>1.7700507365030874E-2</v>
      </c>
      <c r="AC1748" s="101">
        <v>1.7602744587366104E-2</v>
      </c>
    </row>
    <row r="1749" spans="25:29" x14ac:dyDescent="0.2">
      <c r="Y1749" s="105" t="str">
        <f t="shared" ref="Y1749:Y1812" si="61">Y1748</f>
        <v>1w</v>
      </c>
      <c r="Z1749" s="93">
        <f>_xll.qlCalendarAdvance(Calendar,Z1748,Y1749,"f",FALSE)</f>
        <v>51440</v>
      </c>
      <c r="AA1749" s="117">
        <f>_xll.qlCalendarAdvance(Calendar,Z1749,NDays&amp;"D")</f>
        <v>51442</v>
      </c>
      <c r="AB1749" s="92">
        <v>1.7701554985918619E-2</v>
      </c>
      <c r="AC1749" s="101">
        <v>1.7604350215156828E-2</v>
      </c>
    </row>
    <row r="1750" spans="25:29" x14ac:dyDescent="0.2">
      <c r="Y1750" s="105" t="str">
        <f t="shared" si="61"/>
        <v>1w</v>
      </c>
      <c r="Z1750" s="93">
        <f>_xll.qlCalendarAdvance(Calendar,Z1749,Y1750,"f",FALSE)</f>
        <v>51447</v>
      </c>
      <c r="AA1750" s="117">
        <f>_xll.qlCalendarAdvance(Calendar,Z1750,NDays&amp;"D")</f>
        <v>51449</v>
      </c>
      <c r="AB1750" s="92">
        <v>1.7703147885851679E-2</v>
      </c>
      <c r="AC1750" s="101">
        <v>1.7605953907162686E-2</v>
      </c>
    </row>
    <row r="1751" spans="25:29" x14ac:dyDescent="0.2">
      <c r="Y1751" s="105" t="str">
        <f t="shared" si="61"/>
        <v>1w</v>
      </c>
      <c r="Z1751" s="93">
        <f>_xll.qlCalendarAdvance(Calendar,Z1750,Y1751,"f",FALSE)</f>
        <v>51454</v>
      </c>
      <c r="AA1751" s="117">
        <f>_xll.qlCalendarAdvance(Calendar,Z1751,NDays&amp;"D")</f>
        <v>51456</v>
      </c>
      <c r="AB1751" s="92">
        <v>1.7704738834269991E-2</v>
      </c>
      <c r="AC1751" s="101">
        <v>1.7607555663383678E-2</v>
      </c>
    </row>
    <row r="1752" spans="25:29" x14ac:dyDescent="0.2">
      <c r="Y1752" s="105" t="str">
        <f t="shared" si="61"/>
        <v>1w</v>
      </c>
      <c r="Z1752" s="93">
        <f>_xll.qlCalendarAdvance(Calendar,Z1751,Y1752,"f",FALSE)</f>
        <v>51461</v>
      </c>
      <c r="AA1752" s="117">
        <f>_xll.qlCalendarAdvance(Calendar,Z1752,NDays&amp;"D")</f>
        <v>51463</v>
      </c>
      <c r="AB1752" s="92">
        <v>1.7706327831169134E-2</v>
      </c>
      <c r="AC1752" s="101">
        <v>1.7609155483766514E-2</v>
      </c>
    </row>
    <row r="1753" spans="25:29" x14ac:dyDescent="0.2">
      <c r="Y1753" s="105" t="str">
        <f t="shared" si="61"/>
        <v>1w</v>
      </c>
      <c r="Z1753" s="93">
        <f>_xll.qlCalendarAdvance(Calendar,Z1752,Y1753,"f",FALSE)</f>
        <v>51468</v>
      </c>
      <c r="AA1753" s="117">
        <f>_xll.qlCalendarAdvance(Calendar,Z1753,NDays&amp;"D")</f>
        <v>51470</v>
      </c>
      <c r="AB1753" s="92">
        <v>1.7708461799570054E-2</v>
      </c>
      <c r="AC1753" s="101">
        <v>1.7610753368311194E-2</v>
      </c>
    </row>
    <row r="1754" spans="25:29" x14ac:dyDescent="0.2">
      <c r="Y1754" s="105" t="str">
        <f t="shared" si="61"/>
        <v>1w</v>
      </c>
      <c r="Z1754" s="93">
        <f>_xll.qlCalendarAdvance(Calendar,Z1753,Y1754,"f",FALSE)</f>
        <v>51475</v>
      </c>
      <c r="AA1754" s="117">
        <f>_xll.qlCalendarAdvance(Calendar,Z1754,NDays&amp;"D")</f>
        <v>51477</v>
      </c>
      <c r="AB1754" s="92">
        <v>1.7710046831645315E-2</v>
      </c>
      <c r="AC1754" s="101">
        <v>1.7612349317044362E-2</v>
      </c>
    </row>
    <row r="1755" spans="25:29" x14ac:dyDescent="0.2">
      <c r="Y1755" s="105" t="str">
        <f t="shared" si="61"/>
        <v>1w</v>
      </c>
      <c r="Z1755" s="93">
        <f>_xll.qlCalendarAdvance(Calendar,Z1754,Y1755,"f",FALSE)</f>
        <v>51482</v>
      </c>
      <c r="AA1755" s="117">
        <f>_xll.qlCalendarAdvance(Calendar,Z1755,NDays&amp;"D")</f>
        <v>51484</v>
      </c>
      <c r="AB1755" s="92">
        <v>1.7711629912099295E-2</v>
      </c>
      <c r="AC1755" s="101">
        <v>1.761394333001931E-2</v>
      </c>
    </row>
    <row r="1756" spans="25:29" x14ac:dyDescent="0.2">
      <c r="Y1756" s="105" t="str">
        <f t="shared" si="61"/>
        <v>1w</v>
      </c>
      <c r="Z1756" s="93">
        <f>_xll.qlCalendarAdvance(Calendar,Z1755,Y1756,"f",FALSE)</f>
        <v>51489</v>
      </c>
      <c r="AA1756" s="117">
        <f>_xll.qlCalendarAdvance(Calendar,Z1756,NDays&amp;"D")</f>
        <v>51491</v>
      </c>
      <c r="AB1756" s="92">
        <v>1.7713211040926279E-2</v>
      </c>
      <c r="AC1756" s="101">
        <v>1.7615535407129457E-2</v>
      </c>
    </row>
    <row r="1757" spans="25:29" x14ac:dyDescent="0.2">
      <c r="Y1757" s="105" t="str">
        <f t="shared" si="61"/>
        <v>1w</v>
      </c>
      <c r="Z1757" s="93">
        <f>_xll.qlCalendarAdvance(Calendar,Z1756,Y1757,"f",FALSE)</f>
        <v>51497</v>
      </c>
      <c r="AA1757" s="117">
        <f>_xll.qlCalendarAdvance(Calendar,Z1757,NDays&amp;"D")</f>
        <v>51501</v>
      </c>
      <c r="AB1757" s="92">
        <v>1.7713826500283095E-2</v>
      </c>
      <c r="AC1757" s="101">
        <v>1.7617261935676254E-2</v>
      </c>
    </row>
    <row r="1758" spans="25:29" x14ac:dyDescent="0.2">
      <c r="Y1758" s="105" t="str">
        <f t="shared" si="61"/>
        <v>1w</v>
      </c>
      <c r="Z1758" s="93">
        <f>_xll.qlCalendarAdvance(Calendar,Z1757,Y1758,"f",FALSE)</f>
        <v>51504</v>
      </c>
      <c r="AA1758" s="117">
        <f>_xll.qlCalendarAdvance(Calendar,Z1758,NDays&amp;"D")</f>
        <v>51508</v>
      </c>
      <c r="AB1758" s="92">
        <v>1.7717042800055174E-2</v>
      </c>
      <c r="AC1758" s="101">
        <v>1.7618304935362872E-2</v>
      </c>
    </row>
    <row r="1759" spans="25:29" x14ac:dyDescent="0.2">
      <c r="Y1759" s="105" t="str">
        <f t="shared" si="61"/>
        <v>1w</v>
      </c>
      <c r="Z1759" s="93">
        <f>_xll.qlCalendarAdvance(Calendar,Z1758,Y1759,"f",FALSE)</f>
        <v>51511</v>
      </c>
      <c r="AA1759" s="117">
        <f>_xll.qlCalendarAdvance(Calendar,Z1759,NDays&amp;"D")</f>
        <v>51515</v>
      </c>
      <c r="AB1759" s="92">
        <v>1.7718617237556425E-2</v>
      </c>
      <c r="AC1759" s="101">
        <v>1.7619890496725077E-2</v>
      </c>
    </row>
    <row r="1760" spans="25:29" x14ac:dyDescent="0.2">
      <c r="Y1760" s="105" t="str">
        <f t="shared" si="61"/>
        <v>1w</v>
      </c>
      <c r="Z1760" s="93">
        <f>_xll.qlCalendarAdvance(Calendar,Z1759,Y1760,"f",FALSE)</f>
        <v>51518</v>
      </c>
      <c r="AA1760" s="117">
        <f>_xll.qlCalendarAdvance(Calendar,Z1760,NDays&amp;"D")</f>
        <v>51522</v>
      </c>
      <c r="AB1760" s="92">
        <v>1.77201897234118E-2</v>
      </c>
      <c r="AC1760" s="101">
        <v>1.7621474122515579E-2</v>
      </c>
    </row>
    <row r="1761" spans="25:29" x14ac:dyDescent="0.2">
      <c r="Y1761" s="105" t="str">
        <f t="shared" si="61"/>
        <v>1w</v>
      </c>
      <c r="Z1761" s="93">
        <f>_xll.qlCalendarAdvance(Calendar,Z1760,Y1761,"f",FALSE)</f>
        <v>51525</v>
      </c>
      <c r="AA1761" s="117">
        <f>_xll.qlCalendarAdvance(Calendar,Z1761,NDays&amp;"D")</f>
        <v>51529</v>
      </c>
      <c r="AB1761" s="92">
        <v>1.7721760257615585E-2</v>
      </c>
      <c r="AC1761" s="101">
        <v>1.7623055812574506E-2</v>
      </c>
    </row>
    <row r="1762" spans="25:29" x14ac:dyDescent="0.2">
      <c r="Y1762" s="105" t="str">
        <f t="shared" si="61"/>
        <v>1w</v>
      </c>
      <c r="Z1762" s="93">
        <f>_xll.qlCalendarAdvance(Calendar,Z1761,Y1762,"f",FALSE)</f>
        <v>51532</v>
      </c>
      <c r="AA1762" s="117">
        <f>_xll.qlCalendarAdvance(Calendar,Z1762,NDays&amp;"D")</f>
        <v>51536</v>
      </c>
      <c r="AB1762" s="92">
        <v>1.7723328840163394E-2</v>
      </c>
      <c r="AC1762" s="101">
        <v>1.7624635567141667E-2</v>
      </c>
    </row>
    <row r="1763" spans="25:29" x14ac:dyDescent="0.2">
      <c r="Y1763" s="105" t="str">
        <f t="shared" si="61"/>
        <v>1w</v>
      </c>
      <c r="Z1763" s="93">
        <f>_xll.qlCalendarAdvance(Calendar,Z1762,Y1763,"f",FALSE)</f>
        <v>51539</v>
      </c>
      <c r="AA1763" s="117">
        <f>_xll.qlCalendarAdvance(Calendar,Z1763,NDays&amp;"D")</f>
        <v>51543</v>
      </c>
      <c r="AB1763" s="92">
        <v>1.7724895471050387E-2</v>
      </c>
      <c r="AC1763" s="101">
        <v>1.7626213386057188E-2</v>
      </c>
    </row>
    <row r="1764" spans="25:29" x14ac:dyDescent="0.2">
      <c r="Y1764" s="105" t="str">
        <f t="shared" si="61"/>
        <v>1w</v>
      </c>
      <c r="Z1764" s="93">
        <f>_xll.qlCalendarAdvance(Calendar,Z1763,Y1764,"f",FALSE)</f>
        <v>51546</v>
      </c>
      <c r="AA1764" s="117">
        <f>_xll.qlCalendarAdvance(Calendar,Z1764,NDays&amp;"D")</f>
        <v>51550</v>
      </c>
      <c r="AB1764" s="92">
        <v>1.772646015027218E-2</v>
      </c>
      <c r="AC1764" s="101">
        <v>1.7627789269161198E-2</v>
      </c>
    </row>
    <row r="1765" spans="25:29" x14ac:dyDescent="0.2">
      <c r="Y1765" s="105" t="str">
        <f t="shared" si="61"/>
        <v>1w</v>
      </c>
      <c r="Z1765" s="93">
        <f>_xll.qlCalendarAdvance(Calendar,Z1764,Y1765,"f",FALSE)</f>
        <v>51553</v>
      </c>
      <c r="AA1765" s="117">
        <f>_xll.qlCalendarAdvance(Calendar,Z1765,NDays&amp;"D")</f>
        <v>51557</v>
      </c>
      <c r="AB1765" s="92">
        <v>1.7728022877824379E-2</v>
      </c>
      <c r="AC1765" s="101">
        <v>1.7629363216853378E-2</v>
      </c>
    </row>
    <row r="1766" spans="25:29" x14ac:dyDescent="0.2">
      <c r="Y1766" s="105" t="str">
        <f t="shared" si="61"/>
        <v>1w</v>
      </c>
      <c r="Z1766" s="93">
        <f>_xll.qlCalendarAdvance(Calendar,Z1765,Y1766,"f",FALSE)</f>
        <v>51560</v>
      </c>
      <c r="AA1766" s="117">
        <f>_xll.qlCalendarAdvance(Calendar,Z1766,NDays&amp;"D")</f>
        <v>51564</v>
      </c>
      <c r="AB1766" s="92">
        <v>1.7730675861311076E-2</v>
      </c>
      <c r="AC1766" s="101">
        <v>1.7630935228813982E-2</v>
      </c>
    </row>
    <row r="1767" spans="25:29" x14ac:dyDescent="0.2">
      <c r="Y1767" s="105" t="str">
        <f t="shared" si="61"/>
        <v>1w</v>
      </c>
      <c r="Z1767" s="93">
        <f>_xll.qlCalendarAdvance(Calendar,Z1766,Y1767,"f",FALSE)</f>
        <v>51567</v>
      </c>
      <c r="AA1767" s="117">
        <f>_xll.qlCalendarAdvance(Calendar,Z1767,NDays&amp;"D")</f>
        <v>51571</v>
      </c>
      <c r="AB1767" s="92">
        <v>1.7732234559542433E-2</v>
      </c>
      <c r="AC1767" s="101">
        <v>1.7632505305043011E-2</v>
      </c>
    </row>
    <row r="1768" spans="25:29" x14ac:dyDescent="0.2">
      <c r="Y1768" s="105" t="str">
        <f t="shared" si="61"/>
        <v>1w</v>
      </c>
      <c r="Z1768" s="93">
        <f>_xll.qlCalendarAdvance(Calendar,Z1767,Y1768,"f",FALSE)</f>
        <v>51574</v>
      </c>
      <c r="AA1768" s="117">
        <f>_xll.qlCalendarAdvance(Calendar,Z1768,NDays&amp;"D")</f>
        <v>51578</v>
      </c>
      <c r="AB1768" s="92">
        <v>1.7733791305910768E-2</v>
      </c>
      <c r="AC1768" s="101">
        <v>1.7634073445700338E-2</v>
      </c>
    </row>
    <row r="1769" spans="25:29" x14ac:dyDescent="0.2">
      <c r="Y1769" s="105" t="str">
        <f t="shared" si="61"/>
        <v>1w</v>
      </c>
      <c r="Z1769" s="93">
        <f>_xll.qlCalendarAdvance(Calendar,Z1768,Y1769,"f",FALSE)</f>
        <v>51581</v>
      </c>
      <c r="AA1769" s="117">
        <f>_xll.qlCalendarAdvance(Calendar,Z1769,NDays&amp;"D")</f>
        <v>51585</v>
      </c>
      <c r="AB1769" s="92">
        <v>1.7735346100413045E-2</v>
      </c>
      <c r="AC1769" s="101">
        <v>1.7635639650706025E-2</v>
      </c>
    </row>
    <row r="1770" spans="25:29" x14ac:dyDescent="0.2">
      <c r="Y1770" s="105" t="str">
        <f t="shared" si="61"/>
        <v>1w</v>
      </c>
      <c r="Z1770" s="93">
        <f>_xll.qlCalendarAdvance(Calendar,Z1769,Y1770,"f",FALSE)</f>
        <v>51588</v>
      </c>
      <c r="AA1770" s="117">
        <f>_xll.qlCalendarAdvance(Calendar,Z1770,NDays&amp;"D")</f>
        <v>51592</v>
      </c>
      <c r="AB1770" s="92">
        <v>1.7736353085815049E-2</v>
      </c>
      <c r="AC1770" s="101">
        <v>1.763720392014001E-2</v>
      </c>
    </row>
    <row r="1771" spans="25:29" x14ac:dyDescent="0.2">
      <c r="Y1771" s="105" t="str">
        <f t="shared" si="61"/>
        <v>1w</v>
      </c>
      <c r="Z1771" s="93">
        <f>_xll.qlCalendarAdvance(Calendar,Z1770,Y1771,"f",FALSE)</f>
        <v>51595</v>
      </c>
      <c r="AA1771" s="117">
        <f>_xll.qlCalendarAdvance(Calendar,Z1771,NDays&amp;"D")</f>
        <v>51599</v>
      </c>
      <c r="AB1771" s="92">
        <v>1.7737904039915063E-2</v>
      </c>
      <c r="AC1771" s="101">
        <v>1.7638766253922356E-2</v>
      </c>
    </row>
    <row r="1772" spans="25:29" x14ac:dyDescent="0.2">
      <c r="Y1772" s="105" t="str">
        <f t="shared" si="61"/>
        <v>1w</v>
      </c>
      <c r="Z1772" s="93">
        <f>_xll.qlCalendarAdvance(Calendar,Z1771,Y1772,"f",FALSE)</f>
        <v>51602</v>
      </c>
      <c r="AA1772" s="117">
        <f>_xll.qlCalendarAdvance(Calendar,Z1772,NDays&amp;"D")</f>
        <v>51606</v>
      </c>
      <c r="AB1772" s="92">
        <v>1.7739453042223779E-2</v>
      </c>
      <c r="AC1772" s="101">
        <v>1.7640326651973126E-2</v>
      </c>
    </row>
    <row r="1773" spans="25:29" x14ac:dyDescent="0.2">
      <c r="Y1773" s="105" t="str">
        <f t="shared" si="61"/>
        <v>1w</v>
      </c>
      <c r="Z1773" s="93">
        <f>_xll.qlCalendarAdvance(Calendar,Z1772,Y1773,"f",FALSE)</f>
        <v>51609</v>
      </c>
      <c r="AA1773" s="117">
        <f>_xll.qlCalendarAdvance(Calendar,Z1773,NDays&amp;"D")</f>
        <v>51615</v>
      </c>
      <c r="AB1773" s="92">
        <v>1.7741441748675316E-2</v>
      </c>
      <c r="AC1773" s="101">
        <v>1.7642330033913467E-2</v>
      </c>
    </row>
    <row r="1774" spans="25:29" x14ac:dyDescent="0.2">
      <c r="Y1774" s="105" t="str">
        <f t="shared" si="61"/>
        <v>1w</v>
      </c>
      <c r="Z1774" s="93">
        <f>_xll.qlCalendarAdvance(Calendar,Z1773,Y1774,"f",FALSE)</f>
        <v>51616</v>
      </c>
      <c r="AA1774" s="117">
        <f>_xll.qlCalendarAdvance(Calendar,Z1774,NDays&amp;"D")</f>
        <v>51620</v>
      </c>
      <c r="AB1774" s="92">
        <v>1.7742545191448973E-2</v>
      </c>
      <c r="AC1774" s="101">
        <v>1.7643441641359559E-2</v>
      </c>
    </row>
    <row r="1775" spans="25:29" x14ac:dyDescent="0.2">
      <c r="Y1775" s="105" t="str">
        <f t="shared" si="61"/>
        <v>1w</v>
      </c>
      <c r="Z1775" s="93">
        <f>_xll.qlCalendarAdvance(Calendar,Z1774,Y1775,"f",FALSE)</f>
        <v>51623</v>
      </c>
      <c r="AA1775" s="117">
        <f>_xll.qlCalendarAdvance(Calendar,Z1775,NDays&amp;"D")</f>
        <v>51627</v>
      </c>
      <c r="AB1775" s="92">
        <v>1.7744633877961397E-2</v>
      </c>
      <c r="AC1775" s="101">
        <v>1.7644996232455412E-2</v>
      </c>
    </row>
    <row r="1776" spans="25:29" x14ac:dyDescent="0.2">
      <c r="Y1776" s="105" t="str">
        <f t="shared" si="61"/>
        <v>1w</v>
      </c>
      <c r="Z1776" s="93">
        <f>_xll.qlCalendarAdvance(Calendar,Z1775,Y1776,"f",FALSE)</f>
        <v>51630</v>
      </c>
      <c r="AA1776" s="117">
        <f>_xll.qlCalendarAdvance(Calendar,Z1776,NDays&amp;"D")</f>
        <v>51634</v>
      </c>
      <c r="AB1776" s="92">
        <v>1.774617500926658E-2</v>
      </c>
      <c r="AC1776" s="101">
        <v>1.7646548888139435E-2</v>
      </c>
    </row>
    <row r="1777" spans="25:29" x14ac:dyDescent="0.2">
      <c r="Y1777" s="105" t="str">
        <f t="shared" si="61"/>
        <v>1w</v>
      </c>
      <c r="Z1777" s="93">
        <f>_xll.qlCalendarAdvance(Calendar,Z1776,Y1777,"f",FALSE)</f>
        <v>51637</v>
      </c>
      <c r="AA1777" s="117">
        <f>_xll.qlCalendarAdvance(Calendar,Z1777,NDays&amp;"D")</f>
        <v>51641</v>
      </c>
      <c r="AB1777" s="92">
        <v>1.7747714188667468E-2</v>
      </c>
      <c r="AC1777" s="101">
        <v>1.7648099608171819E-2</v>
      </c>
    </row>
    <row r="1778" spans="25:29" x14ac:dyDescent="0.2">
      <c r="Y1778" s="105" t="str">
        <f t="shared" si="61"/>
        <v>1w</v>
      </c>
      <c r="Z1778" s="93">
        <f>_xll.qlCalendarAdvance(Calendar,Z1777,Y1778,"f",FALSE)</f>
        <v>51644</v>
      </c>
      <c r="AA1778" s="117">
        <f>_xll.qlCalendarAdvance(Calendar,Z1778,NDays&amp;"D")</f>
        <v>51648</v>
      </c>
      <c r="AB1778" s="92">
        <v>1.7749251416160593E-2</v>
      </c>
      <c r="AC1778" s="101">
        <v>1.7649648392312756E-2</v>
      </c>
    </row>
    <row r="1779" spans="25:29" x14ac:dyDescent="0.2">
      <c r="Y1779" s="105" t="str">
        <f t="shared" si="61"/>
        <v>1w</v>
      </c>
      <c r="Z1779" s="93">
        <f>_xll.qlCalendarAdvance(Calendar,Z1778,Y1779,"f",FALSE)</f>
        <v>51651</v>
      </c>
      <c r="AA1779" s="117">
        <f>_xll.qlCalendarAdvance(Calendar,Z1779,NDays&amp;"D")</f>
        <v>51655</v>
      </c>
      <c r="AB1779" s="92">
        <v>1.775024140784583E-2</v>
      </c>
      <c r="AC1779" s="101">
        <v>1.7651195240961925E-2</v>
      </c>
    </row>
    <row r="1780" spans="25:29" x14ac:dyDescent="0.2">
      <c r="Y1780" s="105" t="str">
        <f t="shared" si="61"/>
        <v>1w</v>
      </c>
      <c r="Z1780" s="93">
        <f>_xll.qlCalendarAdvance(Calendar,Z1779,Y1780,"f",FALSE)</f>
        <v>51658</v>
      </c>
      <c r="AA1780" s="117">
        <f>_xll.qlCalendarAdvance(Calendar,Z1780,NDays&amp;"D")</f>
        <v>51662</v>
      </c>
      <c r="AB1780" s="92">
        <v>1.7751774795660365E-2</v>
      </c>
      <c r="AC1780" s="101">
        <v>1.7652740153959456E-2</v>
      </c>
    </row>
    <row r="1781" spans="25:29" x14ac:dyDescent="0.2">
      <c r="Y1781" s="105" t="str">
        <f t="shared" si="61"/>
        <v>1w</v>
      </c>
      <c r="Z1781" s="93">
        <f>_xll.qlCalendarAdvance(Calendar,Z1780,Y1781,"f",FALSE)</f>
        <v>51665</v>
      </c>
      <c r="AA1781" s="117">
        <f>_xll.qlCalendarAdvance(Calendar,Z1781,NDays&amp;"D")</f>
        <v>51669</v>
      </c>
      <c r="AB1781" s="92">
        <v>1.7753306231642983E-2</v>
      </c>
      <c r="AC1781" s="101">
        <v>1.765428313146522E-2</v>
      </c>
    </row>
    <row r="1782" spans="25:29" x14ac:dyDescent="0.2">
      <c r="Y1782" s="105" t="str">
        <f t="shared" si="61"/>
        <v>1w</v>
      </c>
      <c r="Z1782" s="93">
        <f>_xll.qlCalendarAdvance(Calendar,Z1781,Y1782,"f",FALSE)</f>
        <v>51672</v>
      </c>
      <c r="AA1782" s="117">
        <f>_xll.qlCalendarAdvance(Calendar,Z1782,NDays&amp;"D")</f>
        <v>51676</v>
      </c>
      <c r="AB1782" s="92">
        <v>1.7754835715788002E-2</v>
      </c>
      <c r="AC1782" s="101">
        <v>1.7655824173159473E-2</v>
      </c>
    </row>
    <row r="1783" spans="25:29" x14ac:dyDescent="0.2">
      <c r="Y1783" s="105" t="str">
        <f t="shared" si="61"/>
        <v>1w</v>
      </c>
      <c r="Z1783" s="93">
        <f>_xll.qlCalendarAdvance(Calendar,Z1782,Y1783,"f",FALSE)</f>
        <v>51679</v>
      </c>
      <c r="AA1783" s="117">
        <f>_xll.qlCalendarAdvance(Calendar,Z1783,NDays&amp;"D")</f>
        <v>51683</v>
      </c>
      <c r="AB1783" s="92">
        <v>1.7757453313261871E-2</v>
      </c>
      <c r="AC1783" s="101">
        <v>1.7657363279282023E-2</v>
      </c>
    </row>
    <row r="1784" spans="25:29" x14ac:dyDescent="0.2">
      <c r="Y1784" s="105" t="str">
        <f t="shared" si="61"/>
        <v>1w</v>
      </c>
      <c r="Z1784" s="93">
        <f>_xll.qlCalendarAdvance(Calendar,Z1783,Y1784,"f",FALSE)</f>
        <v>51686</v>
      </c>
      <c r="AA1784" s="117">
        <f>_xll.qlCalendarAdvance(Calendar,Z1784,NDays&amp;"D")</f>
        <v>51690</v>
      </c>
      <c r="AB1784" s="92">
        <v>1.7758433790789944E-2</v>
      </c>
      <c r="AC1784" s="101">
        <v>1.7658900449752934E-2</v>
      </c>
    </row>
    <row r="1785" spans="25:29" x14ac:dyDescent="0.2">
      <c r="Y1785" s="105" t="str">
        <f t="shared" si="61"/>
        <v>1w</v>
      </c>
      <c r="Z1785" s="93">
        <f>_xll.qlCalendarAdvance(Calendar,Z1784,Y1785,"f",FALSE)</f>
        <v>51693</v>
      </c>
      <c r="AA1785" s="117">
        <f>_xll.qlCalendarAdvance(Calendar,Z1785,NDays&amp;"D")</f>
        <v>51697</v>
      </c>
      <c r="AB1785" s="92">
        <v>1.7759957354797944E-2</v>
      </c>
      <c r="AC1785" s="101">
        <v>1.7660435684572207E-2</v>
      </c>
    </row>
    <row r="1786" spans="25:29" x14ac:dyDescent="0.2">
      <c r="Y1786" s="105" t="str">
        <f t="shared" si="61"/>
        <v>1w</v>
      </c>
      <c r="Z1786" s="93">
        <f>_xll.qlCalendarAdvance(Calendar,Z1785,Y1786,"f",FALSE)</f>
        <v>51700</v>
      </c>
      <c r="AA1786" s="117">
        <f>_xll.qlCalendarAdvance(Calendar,Z1786,NDays&amp;"D")</f>
        <v>51704</v>
      </c>
      <c r="AB1786" s="92">
        <v>1.7761478966861248E-2</v>
      </c>
      <c r="AC1786" s="101">
        <v>1.766196898373984E-2</v>
      </c>
    </row>
    <row r="1787" spans="25:29" x14ac:dyDescent="0.2">
      <c r="Y1787" s="105" t="str">
        <f t="shared" si="61"/>
        <v>1w</v>
      </c>
      <c r="Z1787" s="93">
        <f>_xll.qlCalendarAdvance(Calendar,Z1786,Y1787,"f",FALSE)</f>
        <v>51707</v>
      </c>
      <c r="AA1787" s="117">
        <f>_xll.qlCalendarAdvance(Calendar,Z1787,NDays&amp;"D")</f>
        <v>51711</v>
      </c>
      <c r="AB1787" s="92">
        <v>1.7762998626975082E-2</v>
      </c>
      <c r="AC1787" s="101">
        <v>1.766350034733577E-2</v>
      </c>
    </row>
    <row r="1788" spans="25:29" x14ac:dyDescent="0.2">
      <c r="Y1788" s="105" t="str">
        <f t="shared" si="61"/>
        <v>1w</v>
      </c>
      <c r="Z1788" s="93">
        <f>_xll.qlCalendarAdvance(Calendar,Z1787,Y1788,"f",FALSE)</f>
        <v>51714</v>
      </c>
      <c r="AA1788" s="117">
        <f>_xll.qlCalendarAdvance(Calendar,Z1788,NDays&amp;"D")</f>
        <v>51718</v>
      </c>
      <c r="AB1788" s="92">
        <v>1.7764516335136839E-2</v>
      </c>
      <c r="AC1788" s="101">
        <v>1.7665029775280061E-2</v>
      </c>
    </row>
    <row r="1789" spans="25:29" x14ac:dyDescent="0.2">
      <c r="Y1789" s="105" t="str">
        <f t="shared" si="61"/>
        <v>1w</v>
      </c>
      <c r="Z1789" s="93">
        <f>_xll.qlCalendarAdvance(Calendar,Z1788,Y1789,"f",FALSE)</f>
        <v>51721</v>
      </c>
      <c r="AA1789" s="117">
        <f>_xll.qlCalendarAdvance(Calendar,Z1789,NDays&amp;"D")</f>
        <v>51725</v>
      </c>
      <c r="AB1789" s="92">
        <v>1.7766032091339132E-2</v>
      </c>
      <c r="AC1789" s="101">
        <v>1.7666557267652649E-2</v>
      </c>
    </row>
    <row r="1790" spans="25:29" x14ac:dyDescent="0.2">
      <c r="Y1790" s="105" t="str">
        <f t="shared" si="61"/>
        <v>1w</v>
      </c>
      <c r="Z1790" s="93">
        <f>_xll.qlCalendarAdvance(Calendar,Z1789,Y1790,"f",FALSE)</f>
        <v>51728</v>
      </c>
      <c r="AA1790" s="117">
        <f>_xll.qlCalendarAdvance(Calendar,Z1790,NDays&amp;"D")</f>
        <v>51732</v>
      </c>
      <c r="AB1790" s="92">
        <v>1.7767545895578916E-2</v>
      </c>
      <c r="AC1790" s="101">
        <v>1.7668082824133791E-2</v>
      </c>
    </row>
    <row r="1791" spans="25:29" x14ac:dyDescent="0.2">
      <c r="Y1791" s="105" t="str">
        <f t="shared" si="61"/>
        <v>1w</v>
      </c>
      <c r="Z1791" s="93">
        <f>_xll.qlCalendarAdvance(Calendar,Z1790,Y1791,"f",FALSE)</f>
        <v>51735</v>
      </c>
      <c r="AA1791" s="117">
        <f>_xll.qlCalendarAdvance(Calendar,Z1791,NDays&amp;"D")</f>
        <v>51739</v>
      </c>
      <c r="AB1791" s="92">
        <v>1.7769057747851855E-2</v>
      </c>
      <c r="AC1791" s="101">
        <v>1.7669606445203101E-2</v>
      </c>
    </row>
    <row r="1792" spans="25:29" x14ac:dyDescent="0.2">
      <c r="Y1792" s="105" t="str">
        <f t="shared" si="61"/>
        <v>1w</v>
      </c>
      <c r="Z1792" s="93">
        <f>_xll.qlCalendarAdvance(Calendar,Z1791,Y1792,"f",FALSE)</f>
        <v>51742</v>
      </c>
      <c r="AA1792" s="117">
        <f>_xll.qlCalendarAdvance(Calendar,Z1792,NDays&amp;"D")</f>
        <v>51746</v>
      </c>
      <c r="AB1792" s="92">
        <v>1.7769478773900338E-2</v>
      </c>
      <c r="AC1792" s="101">
        <v>1.7671128130540836E-2</v>
      </c>
    </row>
    <row r="1793" spans="25:29" x14ac:dyDescent="0.2">
      <c r="Y1793" s="105" t="str">
        <f t="shared" si="61"/>
        <v>1w</v>
      </c>
      <c r="Z1793" s="93">
        <f>_xll.qlCalendarAdvance(Calendar,Z1792,Y1793,"f",FALSE)</f>
        <v>51749</v>
      </c>
      <c r="AA1793" s="117">
        <f>_xll.qlCalendarAdvance(Calendar,Z1793,NDays&amp;"D")</f>
        <v>51753</v>
      </c>
      <c r="AB1793" s="92">
        <v>1.777098685285524E-2</v>
      </c>
      <c r="AC1793" s="101">
        <v>1.7672647880306869E-2</v>
      </c>
    </row>
    <row r="1794" spans="25:29" x14ac:dyDescent="0.2">
      <c r="Y1794" s="105" t="str">
        <f t="shared" si="61"/>
        <v>1w</v>
      </c>
      <c r="Z1794" s="93">
        <f>_xll.qlCalendarAdvance(Calendar,Z1793,Y1794,"f",FALSE)</f>
        <v>51756</v>
      </c>
      <c r="AA1794" s="117">
        <f>_xll.qlCalendarAdvance(Calendar,Z1794,NDays&amp;"D")</f>
        <v>51760</v>
      </c>
      <c r="AB1794" s="92">
        <v>1.7772492980010539E-2</v>
      </c>
      <c r="AC1794" s="101">
        <v>1.7674165694421262E-2</v>
      </c>
    </row>
    <row r="1795" spans="25:29" x14ac:dyDescent="0.2">
      <c r="Y1795" s="105" t="str">
        <f t="shared" si="61"/>
        <v>1w</v>
      </c>
      <c r="Z1795" s="93">
        <f>_xll.qlCalendarAdvance(Calendar,Z1794,Y1795,"f",FALSE)</f>
        <v>51763</v>
      </c>
      <c r="AA1795" s="117">
        <f>_xll.qlCalendarAdvance(Calendar,Z1795,NDays&amp;"D")</f>
        <v>51767</v>
      </c>
      <c r="AB1795" s="92">
        <v>1.7773997155359211E-2</v>
      </c>
      <c r="AC1795" s="101">
        <v>1.7675681572884017E-2</v>
      </c>
    </row>
    <row r="1796" spans="25:29" x14ac:dyDescent="0.2">
      <c r="Y1796" s="105" t="str">
        <f t="shared" si="61"/>
        <v>1w</v>
      </c>
      <c r="Z1796" s="93">
        <f>_xll.qlCalendarAdvance(Calendar,Z1795,Y1796,"f",FALSE)</f>
        <v>51770</v>
      </c>
      <c r="AA1796" s="117">
        <f>_xll.qlCalendarAdvance(Calendar,Z1796,NDays&amp;"D")</f>
        <v>51774</v>
      </c>
      <c r="AB1796" s="92">
        <v>1.7775499378899499E-2</v>
      </c>
      <c r="AC1796" s="101">
        <v>1.7677195515695132E-2</v>
      </c>
    </row>
    <row r="1797" spans="25:29" x14ac:dyDescent="0.2">
      <c r="Y1797" s="105" t="str">
        <f t="shared" si="61"/>
        <v>1w</v>
      </c>
      <c r="Z1797" s="93">
        <f>_xll.qlCalendarAdvance(Calendar,Z1796,Y1797,"f",FALSE)</f>
        <v>51777</v>
      </c>
      <c r="AA1797" s="117">
        <f>_xll.qlCalendarAdvance(Calendar,Z1797,NDays&amp;"D")</f>
        <v>51781</v>
      </c>
      <c r="AB1797" s="92">
        <v>1.7777543754506908E-2</v>
      </c>
      <c r="AC1797" s="101">
        <v>1.7678707522774673E-2</v>
      </c>
    </row>
    <row r="1798" spans="25:29" x14ac:dyDescent="0.2">
      <c r="Y1798" s="105" t="str">
        <f t="shared" si="61"/>
        <v>1w</v>
      </c>
      <c r="Z1798" s="93">
        <f>_xll.qlCalendarAdvance(Calendar,Z1797,Y1798,"f",FALSE)</f>
        <v>51784</v>
      </c>
      <c r="AA1798" s="117">
        <f>_xll.qlCalendarAdvance(Calendar,Z1798,NDays&amp;"D")</f>
        <v>51788</v>
      </c>
      <c r="AB1798" s="92">
        <v>1.7778497970534275E-2</v>
      </c>
      <c r="AC1798" s="101">
        <v>1.7680217594362446E-2</v>
      </c>
    </row>
    <row r="1799" spans="25:29" x14ac:dyDescent="0.2">
      <c r="Y1799" s="105" t="str">
        <f t="shared" si="61"/>
        <v>1w</v>
      </c>
      <c r="Z1799" s="93">
        <f>_xll.qlCalendarAdvance(Calendar,Z1798,Y1799,"f",FALSE)</f>
        <v>51791</v>
      </c>
      <c r="AA1799" s="117">
        <f>_xll.qlCalendarAdvance(Calendar,Z1799,NDays&amp;"D")</f>
        <v>51795</v>
      </c>
      <c r="AB1799" s="92">
        <v>1.777999433861998E-2</v>
      </c>
      <c r="AC1799" s="101">
        <v>1.7681725730298581E-2</v>
      </c>
    </row>
    <row r="1800" spans="25:29" x14ac:dyDescent="0.2">
      <c r="Y1800" s="105" t="str">
        <f t="shared" si="61"/>
        <v>1w</v>
      </c>
      <c r="Z1800" s="93">
        <f>_xll.qlCalendarAdvance(Calendar,Z1799,Y1800,"f",FALSE)</f>
        <v>51798</v>
      </c>
      <c r="AA1800" s="117">
        <f>_xll.qlCalendarAdvance(Calendar,Z1800,NDays&amp;"D")</f>
        <v>51802</v>
      </c>
      <c r="AB1800" s="92">
        <v>1.7781488754878852E-2</v>
      </c>
      <c r="AC1800" s="101">
        <v>1.7683231930583077E-2</v>
      </c>
    </row>
    <row r="1801" spans="25:29" x14ac:dyDescent="0.2">
      <c r="Y1801" s="105" t="str">
        <f t="shared" si="61"/>
        <v>1w</v>
      </c>
      <c r="Z1801" s="93">
        <f>_xll.qlCalendarAdvance(Calendar,Z1800,Y1801,"f",FALSE)</f>
        <v>51805</v>
      </c>
      <c r="AA1801" s="117">
        <f>_xll.qlCalendarAdvance(Calendar,Z1801,NDays&amp;"D")</f>
        <v>51809</v>
      </c>
      <c r="AB1801" s="92">
        <v>1.7782981219306059E-2</v>
      </c>
      <c r="AC1801" s="101">
        <v>1.7684736195215933E-2</v>
      </c>
    </row>
    <row r="1802" spans="25:29" x14ac:dyDescent="0.2">
      <c r="Y1802" s="105" t="str">
        <f t="shared" si="61"/>
        <v>1w</v>
      </c>
      <c r="Z1802" s="93">
        <f>_xll.qlCalendarAdvance(Calendar,Z1801,Y1802,"f",FALSE)</f>
        <v>51812</v>
      </c>
      <c r="AA1802" s="117">
        <f>_xll.qlCalendarAdvance(Calendar,Z1802,NDays&amp;"D")</f>
        <v>51816</v>
      </c>
      <c r="AB1802" s="92">
        <v>1.7784471731897213E-2</v>
      </c>
      <c r="AC1802" s="101">
        <v>1.7686238524117215E-2</v>
      </c>
    </row>
    <row r="1803" spans="25:29" x14ac:dyDescent="0.2">
      <c r="Y1803" s="105" t="str">
        <f t="shared" si="61"/>
        <v>1w</v>
      </c>
      <c r="Z1803" s="93">
        <f>_xll.qlCalendarAdvance(Calendar,Z1802,Y1803,"f",FALSE)</f>
        <v>51819</v>
      </c>
      <c r="AA1803" s="117">
        <f>_xll.qlCalendarAdvance(Calendar,Z1803,NDays&amp;"D")</f>
        <v>51823</v>
      </c>
      <c r="AB1803" s="92">
        <v>1.7785960292648798E-2</v>
      </c>
      <c r="AC1803" s="101">
        <v>1.768773891752673E-2</v>
      </c>
    </row>
    <row r="1804" spans="25:29" x14ac:dyDescent="0.2">
      <c r="Y1804" s="105" t="str">
        <f t="shared" si="61"/>
        <v>1w</v>
      </c>
      <c r="Z1804" s="93">
        <f>_xll.qlCalendarAdvance(Calendar,Z1803,Y1804,"f",FALSE)</f>
        <v>51826</v>
      </c>
      <c r="AA1804" s="117">
        <f>_xll.qlCalendarAdvance(Calendar,Z1804,NDays&amp;"D")</f>
        <v>51830</v>
      </c>
      <c r="AB1804" s="92">
        <v>1.7787446901555544E-2</v>
      </c>
      <c r="AC1804" s="101">
        <v>1.7689237375284605E-2</v>
      </c>
    </row>
    <row r="1805" spans="25:29" x14ac:dyDescent="0.2">
      <c r="Y1805" s="105" t="str">
        <f t="shared" si="61"/>
        <v>1w</v>
      </c>
      <c r="Z1805" s="93">
        <f>_xll.qlCalendarAdvance(Calendar,Z1804,Y1805,"f",FALSE)</f>
        <v>51833</v>
      </c>
      <c r="AA1805" s="117">
        <f>_xll.qlCalendarAdvance(Calendar,Z1805,NDays&amp;"D")</f>
        <v>51837</v>
      </c>
      <c r="AB1805" s="92">
        <v>1.7788931558614374E-2</v>
      </c>
      <c r="AC1805" s="101">
        <v>1.7690733897390842E-2</v>
      </c>
    </row>
    <row r="1806" spans="25:29" x14ac:dyDescent="0.2">
      <c r="Y1806" s="105" t="str">
        <f t="shared" si="61"/>
        <v>1w</v>
      </c>
      <c r="Z1806" s="93">
        <f>_xll.qlCalendarAdvance(Calendar,Z1805,Y1806,"f",FALSE)</f>
        <v>51840</v>
      </c>
      <c r="AA1806" s="117">
        <f>_xll.qlCalendarAdvance(Calendar,Z1806,NDays&amp;"D")</f>
        <v>51844</v>
      </c>
      <c r="AB1806" s="92">
        <v>1.77904142638187E-2</v>
      </c>
      <c r="AC1806" s="101">
        <v>1.7692228483765504E-2</v>
      </c>
    </row>
    <row r="1807" spans="25:29" x14ac:dyDescent="0.2">
      <c r="Y1807" s="105" t="str">
        <f t="shared" si="61"/>
        <v>1w</v>
      </c>
      <c r="Z1807" s="93">
        <f>_xll.qlCalendarAdvance(Calendar,Z1806,Y1807,"f",FALSE)</f>
        <v>51847</v>
      </c>
      <c r="AA1807" s="117">
        <f>_xll.qlCalendarAdvance(Calendar,Z1807,NDays&amp;"D")</f>
        <v>51851</v>
      </c>
      <c r="AB1807" s="92">
        <v>1.779189501716677E-2</v>
      </c>
      <c r="AC1807" s="101">
        <v>1.7693721134568463E-2</v>
      </c>
    </row>
    <row r="1808" spans="25:29" x14ac:dyDescent="0.2">
      <c r="Y1808" s="105" t="str">
        <f t="shared" si="61"/>
        <v>1w</v>
      </c>
      <c r="Z1808" s="93">
        <f>_xll.qlCalendarAdvance(Calendar,Z1807,Y1808,"f",FALSE)</f>
        <v>51854</v>
      </c>
      <c r="AA1808" s="117">
        <f>_xll.qlCalendarAdvance(Calendar,Z1808,NDays&amp;"D")</f>
        <v>51858</v>
      </c>
      <c r="AB1808" s="92">
        <v>1.7793373818651995E-2</v>
      </c>
      <c r="AC1808" s="101">
        <v>1.7695211849719783E-2</v>
      </c>
    </row>
    <row r="1809" spans="25:29" x14ac:dyDescent="0.2">
      <c r="Y1809" s="105" t="str">
        <f t="shared" si="61"/>
        <v>1w</v>
      </c>
      <c r="Z1809" s="93">
        <f>_xll.qlCalendarAdvance(Calendar,Z1808,Y1809,"f",FALSE)</f>
        <v>51862</v>
      </c>
      <c r="AA1809" s="117">
        <f>_xll.qlCalendarAdvance(Calendar,Z1809,NDays&amp;"D")</f>
        <v>51866</v>
      </c>
      <c r="AB1809" s="92">
        <v>1.7794518199620208E-2</v>
      </c>
      <c r="AC1809" s="101">
        <v>1.7697454375125155E-2</v>
      </c>
    </row>
    <row r="1810" spans="25:29" x14ac:dyDescent="0.2">
      <c r="Y1810" s="105" t="str">
        <f t="shared" si="61"/>
        <v>1w</v>
      </c>
      <c r="Z1810" s="93">
        <f>_xll.qlCalendarAdvance(Calendar,Z1809,Y1810,"f",FALSE)</f>
        <v>51869</v>
      </c>
      <c r="AA1810" s="117">
        <f>_xll.qlCalendarAdvance(Calendar,Z1810,NDays&amp;"D")</f>
        <v>51873</v>
      </c>
      <c r="AB1810" s="92">
        <v>1.7795992885377584E-2</v>
      </c>
      <c r="AC1810" s="101">
        <v>1.7698399721446378E-2</v>
      </c>
    </row>
    <row r="1811" spans="25:29" x14ac:dyDescent="0.2">
      <c r="Y1811" s="105" t="str">
        <f t="shared" si="61"/>
        <v>1w</v>
      </c>
      <c r="Z1811" s="93">
        <f>_xll.qlCalendarAdvance(Calendar,Z1810,Y1811,"f",FALSE)</f>
        <v>51876</v>
      </c>
      <c r="AA1811" s="117">
        <f>_xll.qlCalendarAdvance(Calendar,Z1811,NDays&amp;"D")</f>
        <v>51880</v>
      </c>
      <c r="AB1811" s="92">
        <v>1.7797465619347717E-2</v>
      </c>
      <c r="AC1811" s="101">
        <v>1.7699884353064022E-2</v>
      </c>
    </row>
    <row r="1812" spans="25:29" x14ac:dyDescent="0.2">
      <c r="Y1812" s="105" t="str">
        <f t="shared" si="61"/>
        <v>1w</v>
      </c>
      <c r="Z1812" s="93">
        <f>_xll.qlCalendarAdvance(Calendar,Z1811,Y1812,"f",FALSE)</f>
        <v>51883</v>
      </c>
      <c r="AA1812" s="117">
        <f>_xll.qlCalendarAdvance(Calendar,Z1812,NDays&amp;"D")</f>
        <v>51887</v>
      </c>
      <c r="AB1812" s="92">
        <v>1.7798936401530172E-2</v>
      </c>
      <c r="AC1812" s="101">
        <v>1.7701367049269834E-2</v>
      </c>
    </row>
    <row r="1813" spans="25:29" x14ac:dyDescent="0.2">
      <c r="Y1813" s="105" t="str">
        <f t="shared" ref="Y1813:Y1876" si="62">Y1812</f>
        <v>1w</v>
      </c>
      <c r="Z1813" s="93">
        <f>_xll.qlCalendarAdvance(Calendar,Z1812,Y1813,"f",FALSE)</f>
        <v>51890</v>
      </c>
      <c r="AA1813" s="117">
        <f>_xll.qlCalendarAdvance(Calendar,Z1813,NDays&amp;"D")</f>
        <v>51894</v>
      </c>
      <c r="AB1813" s="92">
        <v>1.7800405231918316E-2</v>
      </c>
      <c r="AC1813" s="101">
        <v>1.7702847809584199E-2</v>
      </c>
    </row>
    <row r="1814" spans="25:29" x14ac:dyDescent="0.2">
      <c r="Y1814" s="105" t="str">
        <f t="shared" si="62"/>
        <v>1w</v>
      </c>
      <c r="Z1814" s="93">
        <f>_xll.qlCalendarAdvance(Calendar,Z1813,Y1814,"f",FALSE)</f>
        <v>51897</v>
      </c>
      <c r="AA1814" s="117">
        <f>_xll.qlCalendarAdvance(Calendar,Z1814,NDays&amp;"D")</f>
        <v>51901</v>
      </c>
      <c r="AB1814" s="92">
        <v>1.7801872110508626E-2</v>
      </c>
      <c r="AC1814" s="101">
        <v>1.7704326634566669E-2</v>
      </c>
    </row>
    <row r="1815" spans="25:29" x14ac:dyDescent="0.2">
      <c r="Y1815" s="105" t="str">
        <f t="shared" si="62"/>
        <v>1w</v>
      </c>
      <c r="Z1815" s="93">
        <f>_xll.qlCalendarAdvance(Calendar,Z1814,Y1815,"f",FALSE)</f>
        <v>51904</v>
      </c>
      <c r="AA1815" s="117">
        <f>_xll.qlCalendarAdvance(Calendar,Z1815,NDays&amp;"D")</f>
        <v>51908</v>
      </c>
      <c r="AB1815" s="92">
        <v>1.7803337037296679E-2</v>
      </c>
      <c r="AC1815" s="101">
        <v>1.7705803523657693E-2</v>
      </c>
    </row>
    <row r="1816" spans="25:29" x14ac:dyDescent="0.2">
      <c r="Y1816" s="105" t="str">
        <f t="shared" si="62"/>
        <v>1w</v>
      </c>
      <c r="Z1816" s="93">
        <f>_xll.qlCalendarAdvance(Calendar,Z1815,Y1816,"f",FALSE)</f>
        <v>51911</v>
      </c>
      <c r="AA1816" s="117">
        <f>_xll.qlCalendarAdvance(Calendar,Z1816,NDays&amp;"D")</f>
        <v>51915</v>
      </c>
      <c r="AB1816" s="92">
        <v>1.7804800012278056E-2</v>
      </c>
      <c r="AC1816" s="101">
        <v>1.7707278477177013E-2</v>
      </c>
    </row>
    <row r="1817" spans="25:29" x14ac:dyDescent="0.2">
      <c r="Y1817" s="105" t="str">
        <f t="shared" si="62"/>
        <v>1w</v>
      </c>
      <c r="Z1817" s="93">
        <f>_xll.qlCalendarAdvance(Calendar,Z1816,Y1817,"f",FALSE)</f>
        <v>51918</v>
      </c>
      <c r="AA1817" s="117">
        <f>_xll.qlCalendarAdvance(Calendar,Z1817,NDays&amp;"D")</f>
        <v>51922</v>
      </c>
      <c r="AB1817" s="92">
        <v>1.7806261035448349E-2</v>
      </c>
      <c r="AC1817" s="101">
        <v>1.7708751495044694E-2</v>
      </c>
    </row>
    <row r="1818" spans="25:29" x14ac:dyDescent="0.2">
      <c r="Y1818" s="105" t="str">
        <f t="shared" si="62"/>
        <v>1w</v>
      </c>
      <c r="Z1818" s="93">
        <f>_xll.qlCalendarAdvance(Calendar,Z1817,Y1818,"f",FALSE)</f>
        <v>51925</v>
      </c>
      <c r="AA1818" s="117">
        <f>_xll.qlCalendarAdvance(Calendar,Z1818,NDays&amp;"D")</f>
        <v>51929</v>
      </c>
      <c r="AB1818" s="92">
        <v>1.7809348189705119E-2</v>
      </c>
      <c r="AC1818" s="101">
        <v>1.7710222577420609E-2</v>
      </c>
    </row>
    <row r="1819" spans="25:29" x14ac:dyDescent="0.2">
      <c r="Y1819" s="105" t="str">
        <f t="shared" si="62"/>
        <v>1w</v>
      </c>
      <c r="Z1819" s="93">
        <f>_xll.qlCalendarAdvance(Calendar,Z1818,Y1819,"f",FALSE)</f>
        <v>51932</v>
      </c>
      <c r="AA1819" s="117">
        <f>_xll.qlCalendarAdvance(Calendar,Z1819,NDays&amp;"D")</f>
        <v>51936</v>
      </c>
      <c r="AB1819" s="92">
        <v>1.78108051062295E-2</v>
      </c>
      <c r="AC1819" s="101">
        <v>1.7711691724064949E-2</v>
      </c>
    </row>
    <row r="1820" spans="25:29" x14ac:dyDescent="0.2">
      <c r="Y1820" s="105" t="str">
        <f t="shared" si="62"/>
        <v>1w</v>
      </c>
      <c r="Z1820" s="93">
        <f>_xll.qlCalendarAdvance(Calendar,Z1819,Y1820,"f",FALSE)</f>
        <v>51939</v>
      </c>
      <c r="AA1820" s="117">
        <f>_xll.qlCalendarAdvance(Calendar,Z1820,NDays&amp;"D")</f>
        <v>51943</v>
      </c>
      <c r="AB1820" s="92">
        <v>1.7812260070658437E-2</v>
      </c>
      <c r="AC1820" s="101">
        <v>1.7713158934897777E-2</v>
      </c>
    </row>
    <row r="1821" spans="25:29" x14ac:dyDescent="0.2">
      <c r="Y1821" s="105" t="str">
        <f t="shared" si="62"/>
        <v>1w</v>
      </c>
      <c r="Z1821" s="93">
        <f>_xll.qlCalendarAdvance(Calendar,Z1820,Y1821,"f",FALSE)</f>
        <v>51946</v>
      </c>
      <c r="AA1821" s="117">
        <f>_xll.qlCalendarAdvance(Calendar,Z1821,NDays&amp;"D")</f>
        <v>51950</v>
      </c>
      <c r="AB1821" s="92">
        <v>1.7813713082988021E-2</v>
      </c>
      <c r="AC1821" s="101">
        <v>1.7714624210318775E-2</v>
      </c>
    </row>
    <row r="1822" spans="25:29" x14ac:dyDescent="0.2">
      <c r="Y1822" s="105" t="str">
        <f t="shared" si="62"/>
        <v>1w</v>
      </c>
      <c r="Z1822" s="93">
        <f>_xll.qlCalendarAdvance(Calendar,Z1821,Y1822,"f",FALSE)</f>
        <v>51953</v>
      </c>
      <c r="AA1822" s="117">
        <f>_xll.qlCalendarAdvance(Calendar,Z1822,NDays&amp;"D")</f>
        <v>51957</v>
      </c>
      <c r="AB1822" s="92">
        <v>1.7814621708830362E-2</v>
      </c>
      <c r="AC1822" s="101">
        <v>1.7716087550008197E-2</v>
      </c>
    </row>
    <row r="1823" spans="25:29" x14ac:dyDescent="0.2">
      <c r="Y1823" s="105" t="str">
        <f t="shared" si="62"/>
        <v>1w</v>
      </c>
      <c r="Z1823" s="93">
        <f>_xll.qlCalendarAdvance(Calendar,Z1822,Y1823,"f",FALSE)</f>
        <v>51964</v>
      </c>
      <c r="AA1823" s="117">
        <f>_xll.qlCalendarAdvance(Calendar,Z1823,NDays&amp;"D")</f>
        <v>51966</v>
      </c>
      <c r="AB1823" s="92">
        <v>1.7816484576786865E-2</v>
      </c>
      <c r="AC1823" s="101">
        <v>1.7717966142569708E-2</v>
      </c>
    </row>
    <row r="1824" spans="25:29" x14ac:dyDescent="0.2">
      <c r="Y1824" s="105" t="str">
        <f t="shared" si="62"/>
        <v>1w</v>
      </c>
      <c r="Z1824" s="93">
        <f>_xll.qlCalendarAdvance(Calendar,Z1823,Y1824,"f",FALSE)</f>
        <v>51971</v>
      </c>
      <c r="AA1824" s="117">
        <f>_xll.qlCalendarAdvance(Calendar,Z1824,NDays&amp;"D")</f>
        <v>51973</v>
      </c>
      <c r="AB1824" s="92">
        <v>1.7817931243202814E-2</v>
      </c>
      <c r="AC1824" s="101">
        <v>1.7719425057958205E-2</v>
      </c>
    </row>
    <row r="1825" spans="25:29" x14ac:dyDescent="0.2">
      <c r="Y1825" s="105" t="str">
        <f t="shared" si="62"/>
        <v>1w</v>
      </c>
      <c r="Z1825" s="93">
        <f>_xll.qlCalendarAdvance(Calendar,Z1824,Y1825,"f",FALSE)</f>
        <v>51978</v>
      </c>
      <c r="AA1825" s="117">
        <f>_xll.qlCalendarAdvance(Calendar,Z1825,NDays&amp;"D")</f>
        <v>51980</v>
      </c>
      <c r="AB1825" s="92">
        <v>1.7819375957591154E-2</v>
      </c>
      <c r="AC1825" s="101">
        <v>1.7720882037615127E-2</v>
      </c>
    </row>
    <row r="1826" spans="25:29" x14ac:dyDescent="0.2">
      <c r="Y1826" s="105" t="str">
        <f t="shared" si="62"/>
        <v>1w</v>
      </c>
      <c r="Z1826" s="93">
        <f>_xll.qlCalendarAdvance(Calendar,Z1825,Y1826,"f",FALSE)</f>
        <v>51985</v>
      </c>
      <c r="AA1826" s="117">
        <f>_xll.qlCalendarAdvance(Calendar,Z1826,NDays&amp;"D")</f>
        <v>51988</v>
      </c>
      <c r="AB1826" s="92">
        <v>1.7822108945498964E-2</v>
      </c>
      <c r="AC1826" s="101">
        <v>1.772362494309121E-2</v>
      </c>
    </row>
    <row r="1827" spans="25:29" x14ac:dyDescent="0.2">
      <c r="Y1827" s="105" t="str">
        <f t="shared" si="62"/>
        <v>1w</v>
      </c>
      <c r="Z1827" s="93">
        <f>_xll.qlCalendarAdvance(Calendar,Z1826,Y1827,"f",FALSE)</f>
        <v>51992</v>
      </c>
      <c r="AA1827" s="117">
        <f>_xll.qlCalendarAdvance(Calendar,Z1827,NDays&amp;"D")</f>
        <v>51994</v>
      </c>
      <c r="AB1827" s="92">
        <v>1.7823885785148205E-2</v>
      </c>
      <c r="AC1827" s="101">
        <v>1.7723790190293798E-2</v>
      </c>
    </row>
    <row r="1828" spans="25:29" x14ac:dyDescent="0.2">
      <c r="Y1828" s="105" t="str">
        <f t="shared" si="62"/>
        <v>1w</v>
      </c>
      <c r="Z1828" s="93">
        <f>_xll.qlCalendarAdvance(Calendar,Z1827,Y1828,"f",FALSE)</f>
        <v>51999</v>
      </c>
      <c r="AA1828" s="117">
        <f>_xll.qlCalendarAdvance(Calendar,Z1828,NDays&amp;"D")</f>
        <v>52001</v>
      </c>
      <c r="AB1828" s="92">
        <v>1.7825324437833787E-2</v>
      </c>
      <c r="AC1828" s="101">
        <v>1.7725241363075739E-2</v>
      </c>
    </row>
    <row r="1829" spans="25:29" x14ac:dyDescent="0.2">
      <c r="Y1829" s="105" t="str">
        <f t="shared" si="62"/>
        <v>1w</v>
      </c>
      <c r="Z1829" s="93">
        <f>_xll.qlCalendarAdvance(Calendar,Z1828,Y1829,"f",FALSE)</f>
        <v>52006</v>
      </c>
      <c r="AA1829" s="117">
        <f>_xll.qlCalendarAdvance(Calendar,Z1829,NDays&amp;"D")</f>
        <v>52008</v>
      </c>
      <c r="AB1829" s="92">
        <v>1.7826761138203643E-2</v>
      </c>
      <c r="AC1829" s="101">
        <v>1.7726690600365913E-2</v>
      </c>
    </row>
    <row r="1830" spans="25:29" x14ac:dyDescent="0.2">
      <c r="Y1830" s="105" t="str">
        <f t="shared" si="62"/>
        <v>1w</v>
      </c>
      <c r="Z1830" s="93">
        <f>_xll.qlCalendarAdvance(Calendar,Z1829,Y1830,"f",FALSE)</f>
        <v>52013</v>
      </c>
      <c r="AA1830" s="117">
        <f>_xll.qlCalendarAdvance(Calendar,Z1830,NDays&amp;"D")</f>
        <v>52015</v>
      </c>
      <c r="AB1830" s="92">
        <v>1.7826570248974112E-2</v>
      </c>
      <c r="AC1830" s="101">
        <v>1.7728137901844576E-2</v>
      </c>
    </row>
    <row r="1831" spans="25:29" x14ac:dyDescent="0.2">
      <c r="Y1831" s="105" t="str">
        <f t="shared" si="62"/>
        <v>1w</v>
      </c>
      <c r="Z1831" s="93">
        <f>_xll.qlCalendarAdvance(Calendar,Z1830,Y1831,"f",FALSE)</f>
        <v>52020</v>
      </c>
      <c r="AA1831" s="117">
        <f>_xll.qlCalendarAdvance(Calendar,Z1831,NDays&amp;"D")</f>
        <v>52022</v>
      </c>
      <c r="AB1831" s="92">
        <v>1.7828003251108553E-2</v>
      </c>
      <c r="AC1831" s="101">
        <v>1.7729583267751536E-2</v>
      </c>
    </row>
    <row r="1832" spans="25:29" x14ac:dyDescent="0.2">
      <c r="Y1832" s="105" t="str">
        <f t="shared" si="62"/>
        <v>1w</v>
      </c>
      <c r="Z1832" s="93">
        <f>_xll.qlCalendarAdvance(Calendar,Z1831,Y1832,"f",FALSE)</f>
        <v>52027</v>
      </c>
      <c r="AA1832" s="117">
        <f>_xll.qlCalendarAdvance(Calendar,Z1832,NDays&amp;"D")</f>
        <v>52029</v>
      </c>
      <c r="AB1832" s="92">
        <v>1.7829434301186553E-2</v>
      </c>
      <c r="AC1832" s="101">
        <v>1.7731026698006858E-2</v>
      </c>
    </row>
    <row r="1833" spans="25:29" x14ac:dyDescent="0.2">
      <c r="Y1833" s="105" t="str">
        <f t="shared" si="62"/>
        <v>1w</v>
      </c>
      <c r="Z1833" s="93">
        <f>_xll.qlCalendarAdvance(Calendar,Z1832,Y1833,"f",FALSE)</f>
        <v>52034</v>
      </c>
      <c r="AA1833" s="117">
        <f>_xll.qlCalendarAdvance(Calendar,Z1833,NDays&amp;"D")</f>
        <v>52036</v>
      </c>
      <c r="AB1833" s="92">
        <v>1.7830863399202434E-2</v>
      </c>
      <c r="AC1833" s="101">
        <v>1.7732468192690476E-2</v>
      </c>
    </row>
    <row r="1834" spans="25:29" x14ac:dyDescent="0.2">
      <c r="Y1834" s="105" t="str">
        <f t="shared" si="62"/>
        <v>1w</v>
      </c>
      <c r="Z1834" s="93">
        <f>_xll.qlCalendarAdvance(Calendar,Z1833,Y1834,"f",FALSE)</f>
        <v>52041</v>
      </c>
      <c r="AA1834" s="117">
        <f>_xll.qlCalendarAdvance(Calendar,Z1834,NDays&amp;"D")</f>
        <v>52043</v>
      </c>
      <c r="AB1834" s="92">
        <v>1.7833915355143368E-2</v>
      </c>
      <c r="AC1834" s="101">
        <v>1.7733907751802391E-2</v>
      </c>
    </row>
    <row r="1835" spans="25:29" x14ac:dyDescent="0.2">
      <c r="Y1835" s="105" t="str">
        <f t="shared" si="62"/>
        <v>1w</v>
      </c>
      <c r="Z1835" s="93">
        <f>_xll.qlCalendarAdvance(Calendar,Z1834,Y1835,"f",FALSE)</f>
        <v>52048</v>
      </c>
      <c r="AA1835" s="117">
        <f>_xll.qlCalendarAdvance(Calendar,Z1835,NDays&amp;"D")</f>
        <v>52050</v>
      </c>
      <c r="AB1835" s="92">
        <v>1.7835340341519578E-2</v>
      </c>
      <c r="AC1835" s="101">
        <v>1.7735345375102796E-2</v>
      </c>
    </row>
    <row r="1836" spans="25:29" x14ac:dyDescent="0.2">
      <c r="Y1836" s="105" t="str">
        <f t="shared" si="62"/>
        <v>1w</v>
      </c>
      <c r="Z1836" s="93">
        <f>_xll.qlCalendarAdvance(Calendar,Z1835,Y1836,"f",FALSE)</f>
        <v>52055</v>
      </c>
      <c r="AA1836" s="117">
        <f>_xll.qlCalendarAdvance(Calendar,Z1836,NDays&amp;"D")</f>
        <v>52057</v>
      </c>
      <c r="AB1836" s="92">
        <v>1.7836763375549975E-2</v>
      </c>
      <c r="AC1836" s="101">
        <v>1.7736781062831497E-2</v>
      </c>
    </row>
    <row r="1837" spans="25:29" x14ac:dyDescent="0.2">
      <c r="Y1837" s="105" t="str">
        <f t="shared" si="62"/>
        <v>1w</v>
      </c>
      <c r="Z1837" s="93">
        <f>_xll.qlCalendarAdvance(Calendar,Z1836,Y1837,"f",FALSE)</f>
        <v>52062</v>
      </c>
      <c r="AA1837" s="117">
        <f>_xll.qlCalendarAdvance(Calendar,Z1837,NDays&amp;"D")</f>
        <v>52064</v>
      </c>
      <c r="AB1837" s="92">
        <v>1.7838184457228113E-2</v>
      </c>
      <c r="AC1837" s="101">
        <v>1.7738214814908559E-2</v>
      </c>
    </row>
    <row r="1838" spans="25:29" x14ac:dyDescent="0.2">
      <c r="Y1838" s="105" t="str">
        <f t="shared" si="62"/>
        <v>1w</v>
      </c>
      <c r="Z1838" s="93">
        <f>_xll.qlCalendarAdvance(Calendar,Z1837,Y1838,"f",FALSE)</f>
        <v>52069</v>
      </c>
      <c r="AA1838" s="117">
        <f>_xll.qlCalendarAdvance(Calendar,Z1838,NDays&amp;"D")</f>
        <v>52071</v>
      </c>
      <c r="AB1838" s="92">
        <v>1.7839603586551844E-2</v>
      </c>
      <c r="AC1838" s="101">
        <v>1.7739646631413919E-2</v>
      </c>
    </row>
    <row r="1839" spans="25:29" x14ac:dyDescent="0.2">
      <c r="Y1839" s="105" t="str">
        <f t="shared" si="62"/>
        <v>1w</v>
      </c>
      <c r="Z1839" s="93">
        <f>_xll.qlCalendarAdvance(Calendar,Z1838,Y1839,"f",FALSE)</f>
        <v>52076</v>
      </c>
      <c r="AA1839" s="117">
        <f>_xll.qlCalendarAdvance(Calendar,Z1839,NDays&amp;"D")</f>
        <v>52078</v>
      </c>
      <c r="AB1839" s="92">
        <v>1.7839396993774397E-2</v>
      </c>
      <c r="AC1839" s="101">
        <v>1.7741076512187703E-2</v>
      </c>
    </row>
    <row r="1840" spans="25:29" x14ac:dyDescent="0.2">
      <c r="Y1840" s="105" t="str">
        <f t="shared" si="62"/>
        <v>1w</v>
      </c>
      <c r="Z1840" s="93">
        <f>_xll.qlCalendarAdvance(Calendar,Z1839,Y1840,"f",FALSE)</f>
        <v>52083</v>
      </c>
      <c r="AA1840" s="117">
        <f>_xll.qlCalendarAdvance(Calendar,Z1840,NDays&amp;"D")</f>
        <v>52085</v>
      </c>
      <c r="AB1840" s="92">
        <v>1.7842435988114167E-2</v>
      </c>
      <c r="AC1840" s="101">
        <v>1.7742504457309849E-2</v>
      </c>
    </row>
    <row r="1841" spans="25:29" x14ac:dyDescent="0.2">
      <c r="Y1841" s="105" t="str">
        <f t="shared" si="62"/>
        <v>1w</v>
      </c>
      <c r="Z1841" s="93">
        <f>_xll.qlCalendarAdvance(Calendar,Z1840,Y1841,"f",FALSE)</f>
        <v>52090</v>
      </c>
      <c r="AA1841" s="117">
        <f>_xll.qlCalendarAdvance(Calendar,Z1841,NDays&amp;"D")</f>
        <v>52092</v>
      </c>
      <c r="AB1841" s="92">
        <v>1.7843849260344595E-2</v>
      </c>
      <c r="AC1841" s="101">
        <v>1.7743930466860292E-2</v>
      </c>
    </row>
    <row r="1842" spans="25:29" x14ac:dyDescent="0.2">
      <c r="Y1842" s="105" t="str">
        <f t="shared" si="62"/>
        <v>1w</v>
      </c>
      <c r="Z1842" s="93">
        <f>_xll.qlCalendarAdvance(Calendar,Z1841,Y1842,"f",FALSE)</f>
        <v>52097</v>
      </c>
      <c r="AA1842" s="117">
        <f>_xll.qlCalendarAdvance(Calendar,Z1842,NDays&amp;"D")</f>
        <v>52099</v>
      </c>
      <c r="AB1842" s="92">
        <v>1.7845260580203425E-2</v>
      </c>
      <c r="AC1842" s="101">
        <v>1.7745354540759095E-2</v>
      </c>
    </row>
    <row r="1843" spans="25:29" x14ac:dyDescent="0.2">
      <c r="Y1843" s="105" t="str">
        <f t="shared" si="62"/>
        <v>1w</v>
      </c>
      <c r="Z1843" s="93">
        <f>_xll.qlCalendarAdvance(Calendar,Z1842,Y1843,"f",FALSE)</f>
        <v>52104</v>
      </c>
      <c r="AA1843" s="117">
        <f>_xll.qlCalendarAdvance(Calendar,Z1843,NDays&amp;"D")</f>
        <v>52106</v>
      </c>
      <c r="AB1843" s="92">
        <v>1.784504701506151E-2</v>
      </c>
      <c r="AC1843" s="101">
        <v>1.774677667900626E-2</v>
      </c>
    </row>
    <row r="1844" spans="25:29" x14ac:dyDescent="0.2">
      <c r="Y1844" s="105" t="str">
        <f t="shared" si="62"/>
        <v>1w</v>
      </c>
      <c r="Z1844" s="93">
        <f>_xll.qlCalendarAdvance(Calendar,Z1843,Y1844,"f",FALSE)</f>
        <v>52111</v>
      </c>
      <c r="AA1844" s="117">
        <f>_xll.qlCalendarAdvance(Calendar,Z1844,NDays&amp;"D")</f>
        <v>52113</v>
      </c>
      <c r="AB1844" s="92">
        <v>1.7845372880497656E-2</v>
      </c>
      <c r="AC1844" s="101">
        <v>1.7748196881601785E-2</v>
      </c>
    </row>
    <row r="1845" spans="25:29" x14ac:dyDescent="0.2">
      <c r="Y1845" s="105" t="str">
        <f t="shared" si="62"/>
        <v>1w</v>
      </c>
      <c r="Z1845" s="93">
        <f>_xll.qlCalendarAdvance(Calendar,Z1844,Y1845,"f",FALSE)</f>
        <v>52118</v>
      </c>
      <c r="AA1845" s="117">
        <f>_xll.qlCalendarAdvance(Calendar,Z1845,NDays&amp;"D")</f>
        <v>52120</v>
      </c>
      <c r="AB1845" s="92">
        <v>1.7846778693559197E-2</v>
      </c>
      <c r="AC1845" s="101">
        <v>1.7749615148625608E-2</v>
      </c>
    </row>
    <row r="1846" spans="25:29" x14ac:dyDescent="0.2">
      <c r="Y1846" s="105" t="str">
        <f t="shared" si="62"/>
        <v>1w</v>
      </c>
      <c r="Z1846" s="93">
        <f>_xll.qlCalendarAdvance(Calendar,Z1845,Y1846,"f",FALSE)</f>
        <v>52125</v>
      </c>
      <c r="AA1846" s="117">
        <f>_xll.qlCalendarAdvance(Calendar,Z1846,NDays&amp;"D")</f>
        <v>52127</v>
      </c>
      <c r="AB1846" s="92">
        <v>1.7848182554687758E-2</v>
      </c>
      <c r="AC1846" s="101">
        <v>1.775103147983792E-2</v>
      </c>
    </row>
    <row r="1847" spans="25:29" x14ac:dyDescent="0.2">
      <c r="Y1847" s="105" t="str">
        <f t="shared" si="62"/>
        <v>1w</v>
      </c>
      <c r="Z1847" s="93">
        <f>_xll.qlCalendarAdvance(Calendar,Z1846,Y1847,"f",FALSE)</f>
        <v>52132</v>
      </c>
      <c r="AA1847" s="117">
        <f>_xll.qlCalendarAdvance(Calendar,Z1847,NDays&amp;"D")</f>
        <v>52134</v>
      </c>
      <c r="AB1847" s="92">
        <v>1.7849584463878923E-2</v>
      </c>
      <c r="AC1847" s="101">
        <v>1.7752445875638401E-2</v>
      </c>
    </row>
    <row r="1848" spans="25:29" x14ac:dyDescent="0.2">
      <c r="Y1848" s="105" t="str">
        <f t="shared" si="62"/>
        <v>1w</v>
      </c>
      <c r="Z1848" s="93">
        <f>_xll.qlCalendarAdvance(Calendar,Z1847,Y1848,"f",FALSE)</f>
        <v>52139</v>
      </c>
      <c r="AA1848" s="117">
        <f>_xll.qlCalendarAdvance(Calendar,Z1848,NDays&amp;"D")</f>
        <v>52141</v>
      </c>
      <c r="AB1848" s="92">
        <v>1.7851525014645882E-2</v>
      </c>
      <c r="AC1848" s="101">
        <v>1.7753858335707307E-2</v>
      </c>
    </row>
    <row r="1849" spans="25:29" x14ac:dyDescent="0.2">
      <c r="Y1849" s="105" t="str">
        <f t="shared" si="62"/>
        <v>1w</v>
      </c>
      <c r="Z1849" s="93">
        <f>_xll.qlCalendarAdvance(Calendar,Z1848,Y1849,"f",FALSE)</f>
        <v>52146</v>
      </c>
      <c r="AA1849" s="117">
        <f>_xll.qlCalendarAdvance(Calendar,Z1849,NDays&amp;"D")</f>
        <v>52148</v>
      </c>
      <c r="AB1849" s="92">
        <v>1.7852922949534611E-2</v>
      </c>
      <c r="AC1849" s="101">
        <v>1.7755268860044637E-2</v>
      </c>
    </row>
    <row r="1850" spans="25:29" x14ac:dyDescent="0.2">
      <c r="Y1850" s="105" t="str">
        <f t="shared" si="62"/>
        <v>1w</v>
      </c>
      <c r="Z1850" s="93">
        <f>_xll.qlCalendarAdvance(Calendar,Z1849,Y1850,"f",FALSE)</f>
        <v>52153</v>
      </c>
      <c r="AA1850" s="117">
        <f>_xll.qlCalendarAdvance(Calendar,Z1850,NDays&amp;"D")</f>
        <v>52155</v>
      </c>
      <c r="AB1850" s="92">
        <v>1.7854318932382169E-2</v>
      </c>
      <c r="AC1850" s="101">
        <v>1.7756677448890201E-2</v>
      </c>
    </row>
    <row r="1851" spans="25:29" x14ac:dyDescent="0.2">
      <c r="Y1851" s="105" t="str">
        <f t="shared" si="62"/>
        <v>1w</v>
      </c>
      <c r="Z1851" s="93">
        <f>_xll.qlCalendarAdvance(Calendar,Z1850,Y1851,"f",FALSE)</f>
        <v>52160</v>
      </c>
      <c r="AA1851" s="117">
        <f>_xll.qlCalendarAdvance(Calendar,Z1851,NDays&amp;"D")</f>
        <v>52162</v>
      </c>
      <c r="AB1851" s="92">
        <v>1.7855712963185052E-2</v>
      </c>
      <c r="AC1851" s="101">
        <v>1.775808410200419E-2</v>
      </c>
    </row>
    <row r="1852" spans="25:29" x14ac:dyDescent="0.2">
      <c r="Y1852" s="105" t="str">
        <f t="shared" si="62"/>
        <v>1w</v>
      </c>
      <c r="Z1852" s="93">
        <f>_xll.qlCalendarAdvance(Calendar,Z1851,Y1852,"f",FALSE)</f>
        <v>52167</v>
      </c>
      <c r="AA1852" s="117">
        <f>_xll.qlCalendarAdvance(Calendar,Z1852,NDays&amp;"D")</f>
        <v>52169</v>
      </c>
      <c r="AB1852" s="92">
        <v>1.785710504193842E-2</v>
      </c>
      <c r="AC1852" s="101">
        <v>1.7759488819546476E-2</v>
      </c>
    </row>
    <row r="1853" spans="25:29" x14ac:dyDescent="0.2">
      <c r="Y1853" s="105" t="str">
        <f t="shared" si="62"/>
        <v>1w</v>
      </c>
      <c r="Z1853" s="93">
        <f>_xll.qlCalendarAdvance(Calendar,Z1852,Y1853,"f",FALSE)</f>
        <v>52174</v>
      </c>
      <c r="AA1853" s="117">
        <f>_xll.qlCalendarAdvance(Calendar,Z1853,NDays&amp;"D")</f>
        <v>52176</v>
      </c>
      <c r="AB1853" s="92">
        <v>1.7857954928108734E-2</v>
      </c>
      <c r="AC1853" s="101">
        <v>1.7760891601437123E-2</v>
      </c>
    </row>
    <row r="1854" spans="25:29" x14ac:dyDescent="0.2">
      <c r="Y1854" s="105" t="str">
        <f t="shared" si="62"/>
        <v>1w</v>
      </c>
      <c r="Z1854" s="93">
        <f>_xll.qlCalendarAdvance(Calendar,Z1853,Y1854,"f",FALSE)</f>
        <v>52181</v>
      </c>
      <c r="AA1854" s="117">
        <f>_xll.qlCalendarAdvance(Calendar,Z1854,NDays&amp;"D")</f>
        <v>52183</v>
      </c>
      <c r="AB1854" s="92">
        <v>1.7859343173623303E-2</v>
      </c>
      <c r="AC1854" s="101">
        <v>1.7762292447596195E-2</v>
      </c>
    </row>
    <row r="1855" spans="25:29" x14ac:dyDescent="0.2">
      <c r="Y1855" s="105" t="str">
        <f t="shared" si="62"/>
        <v>1w</v>
      </c>
      <c r="Z1855" s="93">
        <f>_xll.qlCalendarAdvance(Calendar,Z1854,Y1855,"f",FALSE)</f>
        <v>52188</v>
      </c>
      <c r="AA1855" s="117">
        <f>_xll.qlCalendarAdvance(Calendar,Z1855,NDays&amp;"D")</f>
        <v>52190</v>
      </c>
      <c r="AB1855" s="92">
        <v>1.7860729467167349E-2</v>
      </c>
      <c r="AC1855" s="101">
        <v>1.7763691358183564E-2</v>
      </c>
    </row>
    <row r="1856" spans="25:29" x14ac:dyDescent="0.2">
      <c r="Y1856" s="105" t="str">
        <f t="shared" si="62"/>
        <v>1w</v>
      </c>
      <c r="Z1856" s="93">
        <f>_xll.qlCalendarAdvance(Calendar,Z1855,Y1856,"f",FALSE)</f>
        <v>52195</v>
      </c>
      <c r="AA1856" s="117">
        <f>_xll.qlCalendarAdvance(Calendar,Z1856,NDays&amp;"D")</f>
        <v>52197</v>
      </c>
      <c r="AB1856" s="92">
        <v>1.7862113808737787E-2</v>
      </c>
      <c r="AC1856" s="101">
        <v>1.7765088333119294E-2</v>
      </c>
    </row>
    <row r="1857" spans="25:29" x14ac:dyDescent="0.2">
      <c r="Y1857" s="105" t="str">
        <f t="shared" si="62"/>
        <v>1w</v>
      </c>
      <c r="Z1857" s="93">
        <f>_xll.qlCalendarAdvance(Calendar,Z1856,Y1857,"f",FALSE)</f>
        <v>52202</v>
      </c>
      <c r="AA1857" s="117">
        <f>_xll.qlCalendarAdvance(Calendar,Z1857,NDays&amp;"D")</f>
        <v>52204</v>
      </c>
      <c r="AB1857" s="92">
        <v>1.786403615482381E-2</v>
      </c>
      <c r="AC1857" s="101">
        <v>1.7766483372403385E-2</v>
      </c>
    </row>
    <row r="1858" spans="25:29" x14ac:dyDescent="0.2">
      <c r="Y1858" s="105" t="str">
        <f t="shared" si="62"/>
        <v>1w</v>
      </c>
      <c r="Z1858" s="93">
        <f>_xll.qlCalendarAdvance(Calendar,Z1857,Y1858,"f",FALSE)</f>
        <v>52209</v>
      </c>
      <c r="AA1858" s="117">
        <f>_xll.qlCalendarAdvance(Calendar,Z1858,NDays&amp;"D")</f>
        <v>52211</v>
      </c>
      <c r="AB1858" s="92">
        <v>1.7865416521196227E-2</v>
      </c>
      <c r="AC1858" s="101">
        <v>1.7767876476115774E-2</v>
      </c>
    </row>
    <row r="1859" spans="25:29" x14ac:dyDescent="0.2">
      <c r="Y1859" s="105" t="str">
        <f t="shared" si="62"/>
        <v>1w</v>
      </c>
      <c r="Z1859" s="93">
        <f>_xll.qlCalendarAdvance(Calendar,Z1858,Y1859,"f",FALSE)</f>
        <v>52216</v>
      </c>
      <c r="AA1859" s="117">
        <f>_xll.qlCalendarAdvance(Calendar,Z1859,NDays&amp;"D")</f>
        <v>52218</v>
      </c>
      <c r="AB1859" s="92">
        <v>1.786679493549146E-2</v>
      </c>
      <c r="AC1859" s="101">
        <v>1.7769267644176523E-2</v>
      </c>
    </row>
    <row r="1860" spans="25:29" x14ac:dyDescent="0.2">
      <c r="Y1860" s="105" t="str">
        <f t="shared" si="62"/>
        <v>1w</v>
      </c>
      <c r="Z1860" s="93">
        <f>_xll.qlCalendarAdvance(Calendar,Z1859,Y1860,"f",FALSE)</f>
        <v>52223</v>
      </c>
      <c r="AA1860" s="117">
        <f>_xll.qlCalendarAdvance(Calendar,Z1860,NDays&amp;"D")</f>
        <v>52229</v>
      </c>
      <c r="AB1860" s="92">
        <v>1.7868957071094323E-2</v>
      </c>
      <c r="AC1860" s="101">
        <v>1.7771449854508958E-2</v>
      </c>
    </row>
    <row r="1861" spans="25:29" x14ac:dyDescent="0.2">
      <c r="Y1861" s="105" t="str">
        <f t="shared" si="62"/>
        <v>1w</v>
      </c>
      <c r="Z1861" s="93">
        <f>_xll.qlCalendarAdvance(Calendar,Z1860,Y1861,"f",FALSE)</f>
        <v>52230</v>
      </c>
      <c r="AA1861" s="117">
        <f>_xll.qlCalendarAdvance(Calendar,Z1861,NDays&amp;"D")</f>
        <v>52233</v>
      </c>
      <c r="AB1861" s="92">
        <v>1.786920244629539E-2</v>
      </c>
      <c r="AC1861" s="101">
        <v>1.7773317577365333E-2</v>
      </c>
    </row>
    <row r="1862" spans="25:29" x14ac:dyDescent="0.2">
      <c r="Y1862" s="105" t="str">
        <f t="shared" si="62"/>
        <v>1w</v>
      </c>
      <c r="Z1862" s="93">
        <f>_xll.qlCalendarAdvance(Calendar,Z1861,Y1862,"f",FALSE)</f>
        <v>52237</v>
      </c>
      <c r="AA1862" s="117">
        <f>_xll.qlCalendarAdvance(Calendar,Z1862,NDays&amp;"D")</f>
        <v>52239</v>
      </c>
      <c r="AB1862" s="92">
        <v>1.7870378866477431E-2</v>
      </c>
      <c r="AC1862" s="101">
        <v>1.7773429534369001E-2</v>
      </c>
    </row>
    <row r="1863" spans="25:29" x14ac:dyDescent="0.2">
      <c r="Y1863" s="105" t="str">
        <f t="shared" si="62"/>
        <v>1w</v>
      </c>
      <c r="Z1863" s="93">
        <f>_xll.qlCalendarAdvance(Calendar,Z1862,Y1863,"f",FALSE)</f>
        <v>52244</v>
      </c>
      <c r="AA1863" s="117">
        <f>_xll.qlCalendarAdvance(Calendar,Z1863,NDays&amp;"D")</f>
        <v>52246</v>
      </c>
      <c r="AB1863" s="92">
        <v>1.7871749544116446E-2</v>
      </c>
      <c r="AC1863" s="101">
        <v>1.7774812959823194E-2</v>
      </c>
    </row>
    <row r="1864" spans="25:29" x14ac:dyDescent="0.2">
      <c r="Y1864" s="105" t="str">
        <f t="shared" si="62"/>
        <v>1w</v>
      </c>
      <c r="Z1864" s="93">
        <f>_xll.qlCalendarAdvance(Calendar,Z1863,Y1864,"f",FALSE)</f>
        <v>52251</v>
      </c>
      <c r="AA1864" s="117">
        <f>_xll.qlCalendarAdvance(Calendar,Z1864,NDays&amp;"D")</f>
        <v>52253</v>
      </c>
      <c r="AB1864" s="92">
        <v>1.7873118269748287E-2</v>
      </c>
      <c r="AC1864" s="101">
        <v>1.7776194449625748E-2</v>
      </c>
    </row>
    <row r="1865" spans="25:29" x14ac:dyDescent="0.2">
      <c r="Y1865" s="105" t="str">
        <f t="shared" si="62"/>
        <v>1w</v>
      </c>
      <c r="Z1865" s="93">
        <f>_xll.qlCalendarAdvance(Calendar,Z1864,Y1865,"f",FALSE)</f>
        <v>52258</v>
      </c>
      <c r="AA1865" s="117">
        <f>_xll.qlCalendarAdvance(Calendar,Z1865,NDays&amp;"D")</f>
        <v>52260</v>
      </c>
      <c r="AB1865" s="92">
        <v>1.7874485043370743E-2</v>
      </c>
      <c r="AC1865" s="101">
        <v>1.77775740038566E-2</v>
      </c>
    </row>
    <row r="1866" spans="25:29" x14ac:dyDescent="0.2">
      <c r="Y1866" s="105" t="str">
        <f t="shared" si="62"/>
        <v>1w</v>
      </c>
      <c r="Z1866" s="93">
        <f>_xll.qlCalendarAdvance(Calendar,Z1865,Y1866,"f",FALSE)</f>
        <v>52265</v>
      </c>
      <c r="AA1866" s="117">
        <f>_xll.qlCalendarAdvance(Calendar,Z1866,NDays&amp;"D")</f>
        <v>52267</v>
      </c>
      <c r="AB1866" s="92">
        <v>1.7875849864978515E-2</v>
      </c>
      <c r="AC1866" s="101">
        <v>1.7778951622355876E-2</v>
      </c>
    </row>
    <row r="1867" spans="25:29" x14ac:dyDescent="0.2">
      <c r="Y1867" s="105" t="str">
        <f t="shared" si="62"/>
        <v>1w</v>
      </c>
      <c r="Z1867" s="93">
        <f>_xll.qlCalendarAdvance(Calendar,Z1866,Y1867,"f",FALSE)</f>
        <v>52272</v>
      </c>
      <c r="AA1867" s="117">
        <f>_xll.qlCalendarAdvance(Calendar,Z1867,NDays&amp;"D")</f>
        <v>52274</v>
      </c>
      <c r="AB1867" s="92">
        <v>1.7877212734568958E-2</v>
      </c>
      <c r="AC1867" s="101">
        <v>1.7780327305363386E-2</v>
      </c>
    </row>
    <row r="1868" spans="25:29" x14ac:dyDescent="0.2">
      <c r="Y1868" s="105" t="str">
        <f t="shared" si="62"/>
        <v>1w</v>
      </c>
      <c r="Z1868" s="93">
        <f>_xll.qlCalendarAdvance(Calendar,Z1867,Y1868,"f",FALSE)</f>
        <v>52279</v>
      </c>
      <c r="AA1868" s="117">
        <f>_xll.qlCalendarAdvance(Calendar,Z1868,NDays&amp;"D")</f>
        <v>52281</v>
      </c>
      <c r="AB1868" s="92">
        <v>1.7878573652136326E-2</v>
      </c>
      <c r="AC1868" s="101">
        <v>1.7781701052559384E-2</v>
      </c>
    </row>
    <row r="1869" spans="25:29" x14ac:dyDescent="0.2">
      <c r="Y1869" s="105" t="str">
        <f t="shared" si="62"/>
        <v>1w</v>
      </c>
      <c r="Z1869" s="93">
        <f>_xll.qlCalendarAdvance(Calendar,Z1868,Y1869,"f",FALSE)</f>
        <v>52286</v>
      </c>
      <c r="AA1869" s="117">
        <f>_xll.qlCalendarAdvance(Calendar,Z1869,NDays&amp;"D")</f>
        <v>52288</v>
      </c>
      <c r="AB1869" s="92">
        <v>1.7879932617677528E-2</v>
      </c>
      <c r="AC1869" s="101">
        <v>1.778307286418368E-2</v>
      </c>
    </row>
    <row r="1870" spans="25:29" x14ac:dyDescent="0.2">
      <c r="Y1870" s="105" t="str">
        <f t="shared" si="62"/>
        <v>1w</v>
      </c>
      <c r="Z1870" s="93">
        <f>_xll.qlCalendarAdvance(Calendar,Z1869,Y1870,"f",FALSE)</f>
        <v>52293</v>
      </c>
      <c r="AA1870" s="117">
        <f>_xll.qlCalendarAdvance(Calendar,Z1870,NDays&amp;"D")</f>
        <v>52295</v>
      </c>
      <c r="AB1870" s="92">
        <v>1.7883984855961484E-2</v>
      </c>
      <c r="AC1870" s="101">
        <v>1.7784442740236273E-2</v>
      </c>
    </row>
    <row r="1871" spans="25:29" x14ac:dyDescent="0.2">
      <c r="Y1871" s="105" t="str">
        <f t="shared" si="62"/>
        <v>1w</v>
      </c>
      <c r="Z1871" s="93">
        <f>_xll.qlCalendarAdvance(Calendar,Z1870,Y1871,"f",FALSE)</f>
        <v>52300</v>
      </c>
      <c r="AA1871" s="117">
        <f>_xll.qlCalendarAdvance(Calendar,Z1871,NDays&amp;"D")</f>
        <v>52302</v>
      </c>
      <c r="AB1871" s="92">
        <v>1.7885339555198575E-2</v>
      </c>
      <c r="AC1871" s="101">
        <v>1.778581068055729E-2</v>
      </c>
    </row>
    <row r="1872" spans="25:29" x14ac:dyDescent="0.2">
      <c r="Y1872" s="105" t="str">
        <f t="shared" si="62"/>
        <v>1w</v>
      </c>
      <c r="Z1872" s="93">
        <f>_xll.qlCalendarAdvance(Calendar,Z1871,Y1872,"f",FALSE)</f>
        <v>52307</v>
      </c>
      <c r="AA1872" s="117">
        <f>_xll.qlCalendarAdvance(Calendar,Z1872,NDays&amp;"D")</f>
        <v>52309</v>
      </c>
      <c r="AB1872" s="92">
        <v>1.7886692301939004E-2</v>
      </c>
      <c r="AC1872" s="101">
        <v>1.7787176685306605E-2</v>
      </c>
    </row>
    <row r="1873" spans="25:29" x14ac:dyDescent="0.2">
      <c r="Y1873" s="105" t="str">
        <f t="shared" si="62"/>
        <v>1w</v>
      </c>
      <c r="Z1873" s="93">
        <f>_xll.qlCalendarAdvance(Calendar,Z1872,Y1873,"f",FALSE)</f>
        <v>52314</v>
      </c>
      <c r="AA1873" s="117">
        <f>_xll.qlCalendarAdvance(Calendar,Z1873,NDays&amp;"D")</f>
        <v>52316</v>
      </c>
      <c r="AB1873" s="92">
        <v>1.7888043096178478E-2</v>
      </c>
      <c r="AC1873" s="101">
        <v>1.779068821373464E-2</v>
      </c>
    </row>
    <row r="1874" spans="25:29" x14ac:dyDescent="0.2">
      <c r="Y1874" s="105" t="str">
        <f t="shared" si="62"/>
        <v>1w</v>
      </c>
      <c r="Z1874" s="93">
        <f>_xll.qlCalendarAdvance(Calendar,Z1873,Y1874,"f",FALSE)</f>
        <v>52321</v>
      </c>
      <c r="AA1874" s="117">
        <f>_xll.qlCalendarAdvance(Calendar,Z1874,NDays&amp;"D")</f>
        <v>52323</v>
      </c>
      <c r="AB1874" s="92">
        <v>1.7887775641661722E-2</v>
      </c>
      <c r="AC1874" s="101">
        <v>1.7789902887770381E-2</v>
      </c>
    </row>
    <row r="1875" spans="25:29" x14ac:dyDescent="0.2">
      <c r="Y1875" s="105" t="str">
        <f t="shared" si="62"/>
        <v>1w</v>
      </c>
      <c r="Z1875" s="93">
        <f>_xll.qlCalendarAdvance(Calendar,Z1874,Y1875,"f",FALSE)</f>
        <v>52328</v>
      </c>
      <c r="AA1875" s="117">
        <f>_xll.qlCalendarAdvance(Calendar,Z1875,NDays&amp;"D")</f>
        <v>52330</v>
      </c>
      <c r="AB1875" s="92">
        <v>1.7889122749361865E-2</v>
      </c>
      <c r="AC1875" s="101">
        <v>1.7791263085564779E-2</v>
      </c>
    </row>
    <row r="1876" spans="25:29" x14ac:dyDescent="0.2">
      <c r="Y1876" s="105" t="str">
        <f t="shared" si="62"/>
        <v>1w</v>
      </c>
      <c r="Z1876" s="93">
        <f>_xll.qlCalendarAdvance(Calendar,Z1875,Y1876,"f",FALSE)</f>
        <v>52335</v>
      </c>
      <c r="AA1876" s="117">
        <f>_xll.qlCalendarAdvance(Calendar,Z1876,NDays&amp;"D")</f>
        <v>52337</v>
      </c>
      <c r="AB1876" s="92">
        <v>1.7890467904825166E-2</v>
      </c>
      <c r="AC1876" s="101">
        <v>1.7792621347787474E-2</v>
      </c>
    </row>
    <row r="1877" spans="25:29" x14ac:dyDescent="0.2">
      <c r="Y1877" s="105" t="str">
        <f t="shared" ref="Y1877:Y1940" si="63">Y1876</f>
        <v>1w</v>
      </c>
      <c r="Z1877" s="93">
        <f>_xll.qlCalendarAdvance(Calendar,Z1876,Y1877,"f",FALSE)</f>
        <v>52342</v>
      </c>
      <c r="AA1877" s="117">
        <f>_xll.qlCalendarAdvance(Calendar,Z1877,NDays&amp;"D")</f>
        <v>52344</v>
      </c>
      <c r="AB1877" s="92">
        <v>1.7891811108045507E-2</v>
      </c>
      <c r="AC1877" s="101">
        <v>1.7793977674198658E-2</v>
      </c>
    </row>
    <row r="1878" spans="25:29" x14ac:dyDescent="0.2">
      <c r="Y1878" s="105" t="str">
        <f t="shared" si="63"/>
        <v>1w</v>
      </c>
      <c r="Z1878" s="93">
        <f>_xll.qlCalendarAdvance(Calendar,Z1877,Y1878,"f",FALSE)</f>
        <v>52349</v>
      </c>
      <c r="AA1878" s="117">
        <f>_xll.qlCalendarAdvance(Calendar,Z1878,NDays&amp;"D")</f>
        <v>52351</v>
      </c>
      <c r="AB1878" s="92">
        <v>1.7893152359021149E-2</v>
      </c>
      <c r="AC1878" s="101">
        <v>1.7796941576022629E-2</v>
      </c>
    </row>
    <row r="1879" spans="25:29" x14ac:dyDescent="0.2">
      <c r="Y1879" s="105" t="str">
        <f t="shared" si="63"/>
        <v>1w</v>
      </c>
      <c r="Z1879" s="93">
        <f>_xll.qlCalendarAdvance(Calendar,Z1878,Y1879,"f",FALSE)</f>
        <v>52356</v>
      </c>
      <c r="AA1879" s="117">
        <f>_xll.qlCalendarAdvance(Calendar,Z1879,NDays&amp;"D")</f>
        <v>52358</v>
      </c>
      <c r="AB1879" s="92">
        <v>1.789610685886402E-2</v>
      </c>
      <c r="AC1879" s="101">
        <v>1.7796684520305917E-2</v>
      </c>
    </row>
    <row r="1880" spans="25:29" x14ac:dyDescent="0.2">
      <c r="Y1880" s="105" t="str">
        <f t="shared" si="63"/>
        <v>1w</v>
      </c>
      <c r="Z1880" s="93">
        <f>_xll.qlCalendarAdvance(Calendar,Z1879,Y1880,"f",FALSE)</f>
        <v>52363</v>
      </c>
      <c r="AA1880" s="117">
        <f>_xll.qlCalendarAdvance(Calendar,Z1880,NDays&amp;"D")</f>
        <v>52365</v>
      </c>
      <c r="AB1880" s="92">
        <v>1.789744398548291E-2</v>
      </c>
      <c r="AC1880" s="101">
        <v>1.7798035039922055E-2</v>
      </c>
    </row>
    <row r="1881" spans="25:29" x14ac:dyDescent="0.2">
      <c r="Y1881" s="105" t="str">
        <f t="shared" si="63"/>
        <v>1w</v>
      </c>
      <c r="Z1881" s="93">
        <f>_xll.qlCalendarAdvance(Calendar,Z1880,Y1881,"f",FALSE)</f>
        <v>52370</v>
      </c>
      <c r="AA1881" s="117">
        <f>_xll.qlCalendarAdvance(Calendar,Z1881,NDays&amp;"D")</f>
        <v>52372</v>
      </c>
      <c r="AB1881" s="92">
        <v>1.7898779159568182E-2</v>
      </c>
      <c r="AC1881" s="101">
        <v>1.7799383623886555E-2</v>
      </c>
    </row>
    <row r="1882" spans="25:29" x14ac:dyDescent="0.2">
      <c r="Y1882" s="105" t="str">
        <f t="shared" si="63"/>
        <v>1w</v>
      </c>
      <c r="Z1882" s="93">
        <f>_xll.qlCalendarAdvance(Calendar,Z1881,Y1882,"f",FALSE)</f>
        <v>52377</v>
      </c>
      <c r="AA1882" s="117">
        <f>_xll.qlCalendarAdvance(Calendar,Z1882,NDays&amp;"D")</f>
        <v>52379</v>
      </c>
      <c r="AB1882" s="92">
        <v>1.7900112381116395E-2</v>
      </c>
      <c r="AC1882" s="101">
        <v>1.7800730272199417E-2</v>
      </c>
    </row>
    <row r="1883" spans="25:29" x14ac:dyDescent="0.2">
      <c r="Y1883" s="105" t="str">
        <f t="shared" si="63"/>
        <v>1w</v>
      </c>
      <c r="Z1883" s="93">
        <f>_xll.qlCalendarAdvance(Calendar,Z1882,Y1883,"f",FALSE)</f>
        <v>52384</v>
      </c>
      <c r="AA1883" s="117">
        <f>_xll.qlCalendarAdvance(Calendar,Z1883,NDays&amp;"D")</f>
        <v>52386</v>
      </c>
      <c r="AB1883" s="92">
        <v>1.7899829330078075E-2</v>
      </c>
      <c r="AC1883" s="101">
        <v>1.7802074984860639E-2</v>
      </c>
    </row>
    <row r="1884" spans="25:29" x14ac:dyDescent="0.2">
      <c r="Y1884" s="105" t="str">
        <f t="shared" si="63"/>
        <v>1w</v>
      </c>
      <c r="Z1884" s="93">
        <f>_xll.qlCalendarAdvance(Calendar,Z1883,Y1884,"f",FALSE)</f>
        <v>52391</v>
      </c>
      <c r="AA1884" s="117">
        <f>_xll.qlCalendarAdvance(Calendar,Z1884,NDays&amp;"D")</f>
        <v>52393</v>
      </c>
      <c r="AB1884" s="92">
        <v>1.7901158867497685E-2</v>
      </c>
      <c r="AC1884" s="101">
        <v>1.7803417761870222E-2</v>
      </c>
    </row>
    <row r="1885" spans="25:29" x14ac:dyDescent="0.2">
      <c r="Y1885" s="105" t="str">
        <f t="shared" si="63"/>
        <v>1w</v>
      </c>
      <c r="Z1885" s="93">
        <f>_xll.qlCalendarAdvance(Calendar,Z1884,Y1885,"f",FALSE)</f>
        <v>52398</v>
      </c>
      <c r="AA1885" s="117">
        <f>_xll.qlCalendarAdvance(Calendar,Z1885,NDays&amp;"D")</f>
        <v>52400</v>
      </c>
      <c r="AB1885" s="92">
        <v>1.7902486452644639E-2</v>
      </c>
      <c r="AC1885" s="101">
        <v>1.7804758603388038E-2</v>
      </c>
    </row>
    <row r="1886" spans="25:29" x14ac:dyDescent="0.2">
      <c r="Y1886" s="105" t="str">
        <f t="shared" si="63"/>
        <v>1w</v>
      </c>
      <c r="Z1886" s="93">
        <f>_xll.qlCalendarAdvance(Calendar,Z1885,Y1886,"f",FALSE)</f>
        <v>52405</v>
      </c>
      <c r="AA1886" s="117">
        <f>_xll.qlCalendarAdvance(Calendar,Z1886,NDays&amp;"D")</f>
        <v>52407</v>
      </c>
      <c r="AB1886" s="92">
        <v>1.7905425741854882E-2</v>
      </c>
      <c r="AC1886" s="101">
        <v>1.7806097509014407E-2</v>
      </c>
    </row>
    <row r="1887" spans="25:29" x14ac:dyDescent="0.2">
      <c r="Y1887" s="105" t="str">
        <f t="shared" si="63"/>
        <v>1w</v>
      </c>
      <c r="Z1887" s="93">
        <f>_xll.qlCalendarAdvance(Calendar,Z1886,Y1887,"f",FALSE)</f>
        <v>52412</v>
      </c>
      <c r="AA1887" s="117">
        <f>_xll.qlCalendarAdvance(Calendar,Z1887,NDays&amp;"D")</f>
        <v>52414</v>
      </c>
      <c r="AB1887" s="92">
        <v>1.7906749200656786E-2</v>
      </c>
      <c r="AC1887" s="101">
        <v>1.7807434479228945E-2</v>
      </c>
    </row>
    <row r="1888" spans="25:29" x14ac:dyDescent="0.2">
      <c r="Y1888" s="105" t="str">
        <f t="shared" si="63"/>
        <v>1w</v>
      </c>
      <c r="Z1888" s="93">
        <f>_xll.qlCalendarAdvance(Calendar,Z1887,Y1888,"f",FALSE)</f>
        <v>52419</v>
      </c>
      <c r="AA1888" s="117">
        <f>_xll.qlCalendarAdvance(Calendar,Z1888,NDays&amp;"D")</f>
        <v>52421</v>
      </c>
      <c r="AB1888" s="92">
        <v>1.7908070706897136E-2</v>
      </c>
      <c r="AC1888" s="101">
        <v>1.7808769513631972E-2</v>
      </c>
    </row>
    <row r="1889" spans="25:29" x14ac:dyDescent="0.2">
      <c r="Y1889" s="105" t="str">
        <f t="shared" si="63"/>
        <v>1w</v>
      </c>
      <c r="Z1889" s="93">
        <f>_xll.qlCalendarAdvance(Calendar,Z1888,Y1889,"f",FALSE)</f>
        <v>52426</v>
      </c>
      <c r="AA1889" s="117">
        <f>_xll.qlCalendarAdvance(Calendar,Z1889,NDays&amp;"D")</f>
        <v>52428</v>
      </c>
      <c r="AB1889" s="92">
        <v>1.7909390260572929E-2</v>
      </c>
      <c r="AC1889" s="101">
        <v>1.7810102612543233E-2</v>
      </c>
    </row>
    <row r="1890" spans="25:29" x14ac:dyDescent="0.2">
      <c r="Y1890" s="105" t="str">
        <f t="shared" si="63"/>
        <v>1w</v>
      </c>
      <c r="Z1890" s="93">
        <f>_xll.qlCalendarAdvance(Calendar,Z1889,Y1890,"f",FALSE)</f>
        <v>52433</v>
      </c>
      <c r="AA1890" s="117">
        <f>_xll.qlCalendarAdvance(Calendar,Z1890,NDays&amp;"D")</f>
        <v>52435</v>
      </c>
      <c r="AB1890" s="92">
        <v>1.7910707861678997E-2</v>
      </c>
      <c r="AC1890" s="101">
        <v>1.7811433775642982E-2</v>
      </c>
    </row>
    <row r="1891" spans="25:29" x14ac:dyDescent="0.2">
      <c r="Y1891" s="105" t="str">
        <f t="shared" si="63"/>
        <v>1w</v>
      </c>
      <c r="Z1891" s="93">
        <f>_xll.qlCalendarAdvance(Calendar,Z1890,Y1891,"f",FALSE)</f>
        <v>52440</v>
      </c>
      <c r="AA1891" s="117">
        <f>_xll.qlCalendarAdvance(Calendar,Z1891,NDays&amp;"D")</f>
        <v>52442</v>
      </c>
      <c r="AB1891" s="92">
        <v>1.7910410965570282E-2</v>
      </c>
      <c r="AC1891" s="101">
        <v>1.7812763003250964E-2</v>
      </c>
    </row>
    <row r="1892" spans="25:29" x14ac:dyDescent="0.2">
      <c r="Y1892" s="105" t="str">
        <f t="shared" si="63"/>
        <v>1w</v>
      </c>
      <c r="Z1892" s="93">
        <f>_xll.qlCalendarAdvance(Calendar,Z1891,Y1892,"f",FALSE)</f>
        <v>52447</v>
      </c>
      <c r="AA1892" s="117">
        <f>_xll.qlCalendarAdvance(Calendar,Z1892,NDays&amp;"D")</f>
        <v>52449</v>
      </c>
      <c r="AB1892" s="92">
        <v>1.79133372061678E-2</v>
      </c>
      <c r="AC1892" s="101">
        <v>1.7814090295207308E-2</v>
      </c>
    </row>
    <row r="1893" spans="25:29" x14ac:dyDescent="0.2">
      <c r="Y1893" s="105" t="str">
        <f t="shared" si="63"/>
        <v>1w</v>
      </c>
      <c r="Z1893" s="93">
        <f>_xll.qlCalendarAdvance(Calendar,Z1892,Y1893,"f",FALSE)</f>
        <v>52454</v>
      </c>
      <c r="AA1893" s="117">
        <f>_xll.qlCalendarAdvance(Calendar,Z1893,NDays&amp;"D")</f>
        <v>52456</v>
      </c>
      <c r="AB1893" s="92">
        <v>1.7914648949543227E-2</v>
      </c>
      <c r="AC1893" s="101">
        <v>1.7815415651432076E-2</v>
      </c>
    </row>
    <row r="1894" spans="25:29" x14ac:dyDescent="0.2">
      <c r="Y1894" s="105" t="str">
        <f t="shared" si="63"/>
        <v>1w</v>
      </c>
      <c r="Z1894" s="93">
        <f>_xll.qlCalendarAdvance(Calendar,Z1893,Y1894,"f",FALSE)</f>
        <v>52461</v>
      </c>
      <c r="AA1894" s="117">
        <f>_xll.qlCalendarAdvance(Calendar,Z1894,NDays&amp;"D")</f>
        <v>52463</v>
      </c>
      <c r="AB1894" s="92">
        <v>1.791595874033346E-2</v>
      </c>
      <c r="AC1894" s="101">
        <v>1.7816739072165078E-2</v>
      </c>
    </row>
    <row r="1895" spans="25:29" x14ac:dyDescent="0.2">
      <c r="Y1895" s="105" t="str">
        <f t="shared" si="63"/>
        <v>1w</v>
      </c>
      <c r="Z1895" s="93">
        <f>_xll.qlCalendarAdvance(Calendar,Z1894,Y1895,"f",FALSE)</f>
        <v>52468</v>
      </c>
      <c r="AA1895" s="117">
        <f>_xll.qlCalendarAdvance(Calendar,Z1895,NDays&amp;"D")</f>
        <v>52470</v>
      </c>
      <c r="AB1895" s="92">
        <v>1.7917266578534211E-2</v>
      </c>
      <c r="AC1895" s="101">
        <v>1.7818060557086568E-2</v>
      </c>
    </row>
    <row r="1896" spans="25:29" x14ac:dyDescent="0.2">
      <c r="Y1896" s="105" t="str">
        <f t="shared" si="63"/>
        <v>1w</v>
      </c>
      <c r="Z1896" s="93">
        <f>_xll.qlCalendarAdvance(Calendar,Z1895,Y1896,"f",FALSE)</f>
        <v>52475</v>
      </c>
      <c r="AA1896" s="117">
        <f>_xll.qlCalendarAdvance(Calendar,Z1896,NDays&amp;"D")</f>
        <v>52477</v>
      </c>
      <c r="AB1896" s="92">
        <v>1.7916423917283323E-2</v>
      </c>
      <c r="AC1896" s="101">
        <v>1.7819380106356419E-2</v>
      </c>
    </row>
    <row r="1897" spans="25:29" x14ac:dyDescent="0.2">
      <c r="Y1897" s="105" t="str">
        <f t="shared" si="63"/>
        <v>1w</v>
      </c>
      <c r="Z1897" s="93">
        <f>_xll.qlCalendarAdvance(Calendar,Z1896,Y1897,"f",FALSE)</f>
        <v>52482</v>
      </c>
      <c r="AA1897" s="117">
        <f>_xll.qlCalendarAdvance(Calendar,Z1897,NDays&amp;"D")</f>
        <v>52484</v>
      </c>
      <c r="AB1897" s="92">
        <v>1.7917728149680567E-2</v>
      </c>
      <c r="AC1897" s="101">
        <v>1.7820697720134504E-2</v>
      </c>
    </row>
    <row r="1898" spans="25:29" x14ac:dyDescent="0.2">
      <c r="Y1898" s="105" t="str">
        <f t="shared" si="63"/>
        <v>1w</v>
      </c>
      <c r="Z1898" s="93">
        <f>_xll.qlCalendarAdvance(Calendar,Z1897,Y1898,"f",FALSE)</f>
        <v>52489</v>
      </c>
      <c r="AA1898" s="117">
        <f>_xll.qlCalendarAdvance(Calendar,Z1898,NDays&amp;"D")</f>
        <v>52491</v>
      </c>
      <c r="AB1898" s="92">
        <v>1.791903042984647E-2</v>
      </c>
      <c r="AC1898" s="101">
        <v>1.7822013398181014E-2</v>
      </c>
    </row>
    <row r="1899" spans="25:29" x14ac:dyDescent="0.2">
      <c r="Y1899" s="105" t="str">
        <f t="shared" si="63"/>
        <v>1w</v>
      </c>
      <c r="Z1899" s="93">
        <f>_xll.qlCalendarAdvance(Calendar,Z1898,Y1899,"f",FALSE)</f>
        <v>52496</v>
      </c>
      <c r="AA1899" s="117">
        <f>_xll.qlCalendarAdvance(Calendar,Z1899,NDays&amp;"D")</f>
        <v>52498</v>
      </c>
      <c r="AB1899" s="92">
        <v>1.7920330757777516E-2</v>
      </c>
      <c r="AC1899" s="101">
        <v>1.7823327140575884E-2</v>
      </c>
    </row>
    <row r="1900" spans="25:29" x14ac:dyDescent="0.2">
      <c r="Y1900" s="105" t="str">
        <f t="shared" si="63"/>
        <v>1w</v>
      </c>
      <c r="Z1900" s="93">
        <f>_xll.qlCalendarAdvance(Calendar,Z1899,Y1900,"f",FALSE)</f>
        <v>52503</v>
      </c>
      <c r="AA1900" s="117">
        <f>_xll.qlCalendarAdvance(Calendar,Z1900,NDays&amp;"D")</f>
        <v>52505</v>
      </c>
      <c r="AB1900" s="92">
        <v>1.7922165954424061E-2</v>
      </c>
      <c r="AC1900" s="101">
        <v>1.7824638947478988E-2</v>
      </c>
    </row>
    <row r="1901" spans="25:29" x14ac:dyDescent="0.2">
      <c r="Y1901" s="105" t="str">
        <f t="shared" si="63"/>
        <v>1w</v>
      </c>
      <c r="Z1901" s="93">
        <f>_xll.qlCalendarAdvance(Calendar,Z1900,Y1901,"f",FALSE)</f>
        <v>52510</v>
      </c>
      <c r="AA1901" s="117">
        <f>_xll.qlCalendarAdvance(Calendar,Z1901,NDays&amp;"D")</f>
        <v>52512</v>
      </c>
      <c r="AB1901" s="92">
        <v>1.7923462302672919E-2</v>
      </c>
      <c r="AC1901" s="101">
        <v>1.7825948818650517E-2</v>
      </c>
    </row>
    <row r="1902" spans="25:29" x14ac:dyDescent="0.2">
      <c r="Y1902" s="105" t="str">
        <f t="shared" si="63"/>
        <v>1w</v>
      </c>
      <c r="Z1902" s="93">
        <f>_xll.qlCalendarAdvance(Calendar,Z1901,Y1902,"f",FALSE)</f>
        <v>52517</v>
      </c>
      <c r="AA1902" s="117">
        <f>_xll.qlCalendarAdvance(Calendar,Z1902,NDays&amp;"D")</f>
        <v>52519</v>
      </c>
      <c r="AB1902" s="92">
        <v>1.7926903485694128E-2</v>
      </c>
      <c r="AC1902" s="101">
        <v>1.782725675409047E-2</v>
      </c>
    </row>
    <row r="1903" spans="25:29" x14ac:dyDescent="0.2">
      <c r="Y1903" s="105" t="str">
        <f t="shared" si="63"/>
        <v>1w</v>
      </c>
      <c r="Z1903" s="93">
        <f>_xll.qlCalendarAdvance(Calendar,Z1902,Y1903,"f",FALSE)</f>
        <v>52524</v>
      </c>
      <c r="AA1903" s="117">
        <f>_xll.qlCalendarAdvance(Calendar,Z1903,NDays&amp;"D")</f>
        <v>52526</v>
      </c>
      <c r="AB1903" s="92">
        <v>1.7926049142149535E-2</v>
      </c>
      <c r="AC1903" s="101">
        <v>1.7828562753958721E-2</v>
      </c>
    </row>
    <row r="1904" spans="25:29" x14ac:dyDescent="0.2">
      <c r="Y1904" s="105" t="str">
        <f t="shared" si="63"/>
        <v>1w</v>
      </c>
      <c r="Z1904" s="93">
        <f>_xll.qlCalendarAdvance(Calendar,Z1903,Y1904,"f",FALSE)</f>
        <v>52531</v>
      </c>
      <c r="AA1904" s="117">
        <f>_xll.qlCalendarAdvance(Calendar,Z1904,NDays&amp;"D")</f>
        <v>52533</v>
      </c>
      <c r="AB1904" s="92">
        <v>1.7927339633369867E-2</v>
      </c>
      <c r="AC1904" s="101">
        <v>1.7829866818255269E-2</v>
      </c>
    </row>
    <row r="1905" spans="25:29" x14ac:dyDescent="0.2">
      <c r="Y1905" s="105" t="str">
        <f t="shared" si="63"/>
        <v>1w</v>
      </c>
      <c r="Z1905" s="93">
        <f>_xll.qlCalendarAdvance(Calendar,Z1904,Y1905,"f",FALSE)</f>
        <v>52538</v>
      </c>
      <c r="AA1905" s="117">
        <f>_xll.qlCalendarAdvance(Calendar,Z1905,NDays&amp;"D")</f>
        <v>52540</v>
      </c>
      <c r="AB1905" s="92">
        <v>1.7928091728213059E-2</v>
      </c>
      <c r="AC1905" s="101">
        <v>1.783116894666037E-2</v>
      </c>
    </row>
    <row r="1906" spans="25:29" x14ac:dyDescent="0.2">
      <c r="Y1906" s="105" t="str">
        <f t="shared" si="63"/>
        <v>1w</v>
      </c>
      <c r="Z1906" s="93">
        <f>_xll.qlCalendarAdvance(Calendar,Z1905,Y1906,"f",FALSE)</f>
        <v>52545</v>
      </c>
      <c r="AA1906" s="117">
        <f>_xll.qlCalendarAdvance(Calendar,Z1906,NDays&amp;"D")</f>
        <v>52547</v>
      </c>
      <c r="AB1906" s="92">
        <v>1.7929378390392055E-2</v>
      </c>
      <c r="AC1906" s="101">
        <v>1.7832469139733576E-2</v>
      </c>
    </row>
    <row r="1907" spans="25:29" x14ac:dyDescent="0.2">
      <c r="Y1907" s="105" t="str">
        <f t="shared" si="63"/>
        <v>1w</v>
      </c>
      <c r="Z1907" s="93">
        <f>_xll.qlCalendarAdvance(Calendar,Z1906,Y1907,"f",FALSE)</f>
        <v>52552</v>
      </c>
      <c r="AA1907" s="117">
        <f>_xll.qlCalendarAdvance(Calendar,Z1907,NDays&amp;"D")</f>
        <v>52554</v>
      </c>
      <c r="AB1907" s="92">
        <v>1.7930663100306332E-2</v>
      </c>
      <c r="AC1907" s="101">
        <v>1.7833767397075206E-2</v>
      </c>
    </row>
    <row r="1908" spans="25:29" x14ac:dyDescent="0.2">
      <c r="Y1908" s="105" t="str">
        <f t="shared" si="63"/>
        <v>1w</v>
      </c>
      <c r="Z1908" s="93">
        <f>_xll.qlCalendarAdvance(Calendar,Z1907,Y1908,"f",FALSE)</f>
        <v>52559</v>
      </c>
      <c r="AA1908" s="117">
        <f>_xll.qlCalendarAdvance(Calendar,Z1908,NDays&amp;"D")</f>
        <v>52561</v>
      </c>
      <c r="AB1908" s="92">
        <v>1.7931945857950174E-2</v>
      </c>
      <c r="AC1908" s="101">
        <v>1.7835063718685262E-2</v>
      </c>
    </row>
    <row r="1909" spans="25:29" x14ac:dyDescent="0.2">
      <c r="Y1909" s="105" t="str">
        <f t="shared" si="63"/>
        <v>1w</v>
      </c>
      <c r="Z1909" s="93">
        <f>_xll.qlCalendarAdvance(Calendar,Z1908,Y1909,"f",FALSE)</f>
        <v>52566</v>
      </c>
      <c r="AA1909" s="117">
        <f>_xll.qlCalendarAdvance(Calendar,Z1909,NDays&amp;"D")</f>
        <v>52568</v>
      </c>
      <c r="AB1909" s="92">
        <v>1.7933762804140649E-2</v>
      </c>
      <c r="AC1909" s="101">
        <v>1.7836358104723615E-2</v>
      </c>
    </row>
    <row r="1910" spans="25:29" x14ac:dyDescent="0.2">
      <c r="Y1910" s="105" t="str">
        <f t="shared" si="63"/>
        <v>1w</v>
      </c>
      <c r="Z1910" s="93">
        <f>_xll.qlCalendarAdvance(Calendar,Z1909,Y1910,"f",FALSE)</f>
        <v>52573</v>
      </c>
      <c r="AA1910" s="117">
        <f>_xll.qlCalendarAdvance(Calendar,Z1910,NDays&amp;"D")</f>
        <v>52575</v>
      </c>
      <c r="AB1910" s="92">
        <v>1.7935041581202158E-2</v>
      </c>
      <c r="AC1910" s="101">
        <v>1.7837650555190265E-2</v>
      </c>
    </row>
    <row r="1911" spans="25:29" x14ac:dyDescent="0.2">
      <c r="Y1911" s="105" t="str">
        <f t="shared" si="63"/>
        <v>1w</v>
      </c>
      <c r="Z1911" s="93">
        <f>_xll.qlCalendarAdvance(Calendar,Z1910,Y1911,"f",FALSE)</f>
        <v>52580</v>
      </c>
      <c r="AA1911" s="117">
        <f>_xll.qlCalendarAdvance(Calendar,Z1911,NDays&amp;"D")</f>
        <v>52582</v>
      </c>
      <c r="AB1911" s="92">
        <v>1.7936318405890106E-2</v>
      </c>
      <c r="AC1911" s="101">
        <v>1.783894106992534E-2</v>
      </c>
    </row>
    <row r="1912" spans="25:29" x14ac:dyDescent="0.2">
      <c r="Y1912" s="105" t="str">
        <f t="shared" si="63"/>
        <v>1w</v>
      </c>
      <c r="Z1912" s="93">
        <f>_xll.qlCalendarAdvance(Calendar,Z1911,Y1912,"f",FALSE)</f>
        <v>52587</v>
      </c>
      <c r="AA1912" s="117">
        <f>_xll.qlCalendarAdvance(Calendar,Z1912,NDays&amp;"D")</f>
        <v>52589</v>
      </c>
      <c r="AB1912" s="92">
        <v>1.7937593278202307E-2</v>
      </c>
      <c r="AC1912" s="101">
        <v>1.7841831722222867E-2</v>
      </c>
    </row>
    <row r="1913" spans="25:29" x14ac:dyDescent="0.2">
      <c r="Y1913" s="105" t="str">
        <f t="shared" si="63"/>
        <v>1w</v>
      </c>
      <c r="Z1913" s="93">
        <f>_xll.qlCalendarAdvance(Calendar,Z1912,Y1913,"f",FALSE)</f>
        <v>52594</v>
      </c>
      <c r="AA1913" s="117">
        <f>_xll.qlCalendarAdvance(Calendar,Z1913,NDays&amp;"D")</f>
        <v>52596</v>
      </c>
      <c r="AB1913" s="92">
        <v>1.7938330362002642E-2</v>
      </c>
      <c r="AC1913" s="101">
        <v>1.7843118142153447E-2</v>
      </c>
    </row>
    <row r="1914" spans="25:29" x14ac:dyDescent="0.2">
      <c r="Y1914" s="105" t="str">
        <f t="shared" si="63"/>
        <v>1w</v>
      </c>
      <c r="Z1914" s="93">
        <f>_xll.qlCalendarAdvance(Calendar,Z1913,Y1914,"f",FALSE)</f>
        <v>52601</v>
      </c>
      <c r="AA1914" s="117">
        <f>_xll.qlCalendarAdvance(Calendar,Z1914,NDays&amp;"D")</f>
        <v>52603</v>
      </c>
      <c r="AB1914" s="92">
        <v>1.7939601405953173E-2</v>
      </c>
      <c r="AC1914" s="101">
        <v>1.7842801000300668E-2</v>
      </c>
    </row>
    <row r="1915" spans="25:29" x14ac:dyDescent="0.2">
      <c r="Y1915" s="105" t="str">
        <f t="shared" si="63"/>
        <v>1w</v>
      </c>
      <c r="Z1915" s="93">
        <f>_xll.qlCalendarAdvance(Calendar,Z1914,Y1915,"f",FALSE)</f>
        <v>52608</v>
      </c>
      <c r="AA1915" s="117">
        <f>_xll.qlCalendarAdvance(Calendar,Z1915,NDays&amp;"D")</f>
        <v>52610</v>
      </c>
      <c r="AB1915" s="92">
        <v>1.7940870497607796E-2</v>
      </c>
      <c r="AC1915" s="101">
        <v>1.7844083772509123E-2</v>
      </c>
    </row>
    <row r="1916" spans="25:29" x14ac:dyDescent="0.2">
      <c r="Y1916" s="105" t="str">
        <f t="shared" si="63"/>
        <v>1w</v>
      </c>
      <c r="Z1916" s="93">
        <f>_xll.qlCalendarAdvance(Calendar,Z1915,Y1916,"f",FALSE)</f>
        <v>52615</v>
      </c>
      <c r="AA1916" s="117">
        <f>_xll.qlCalendarAdvance(Calendar,Z1916,NDays&amp;"D")</f>
        <v>52617</v>
      </c>
      <c r="AB1916" s="92">
        <v>1.7942137636963874E-2</v>
      </c>
      <c r="AC1916" s="101">
        <v>1.7845364609065939E-2</v>
      </c>
    </row>
    <row r="1917" spans="25:29" x14ac:dyDescent="0.2">
      <c r="Y1917" s="105" t="str">
        <f t="shared" si="63"/>
        <v>1w</v>
      </c>
      <c r="Z1917" s="93">
        <f>_xll.qlCalendarAdvance(Calendar,Z1916,Y1917,"f",FALSE)</f>
        <v>52622</v>
      </c>
      <c r="AA1917" s="117">
        <f>_xll.qlCalendarAdvance(Calendar,Z1917,NDays&amp;"D")</f>
        <v>52624</v>
      </c>
      <c r="AB1917" s="92">
        <v>1.7943402824016144E-2</v>
      </c>
      <c r="AC1917" s="101">
        <v>1.784664350989118E-2</v>
      </c>
    </row>
    <row r="1918" spans="25:29" x14ac:dyDescent="0.2">
      <c r="Y1918" s="105" t="str">
        <f t="shared" si="63"/>
        <v>1w</v>
      </c>
      <c r="Z1918" s="93">
        <f>_xll.qlCalendarAdvance(Calendar,Z1917,Y1918,"f",FALSE)</f>
        <v>52629</v>
      </c>
      <c r="AA1918" s="117">
        <f>_xll.qlCalendarAdvance(Calendar,Z1918,NDays&amp;"D")</f>
        <v>52631</v>
      </c>
      <c r="AB1918" s="92">
        <v>1.794466605876284E-2</v>
      </c>
      <c r="AC1918" s="101">
        <v>1.7847920475224655E-2</v>
      </c>
    </row>
    <row r="1919" spans="25:29" x14ac:dyDescent="0.2">
      <c r="Y1919" s="105" t="str">
        <f t="shared" si="63"/>
        <v>1w</v>
      </c>
      <c r="Z1919" s="93">
        <f>_xll.qlCalendarAdvance(Calendar,Z1918,Y1919,"f",FALSE)</f>
        <v>52636</v>
      </c>
      <c r="AA1919" s="117">
        <f>_xll.qlCalendarAdvance(Calendar,Z1919,NDays&amp;"D")</f>
        <v>52638</v>
      </c>
      <c r="AB1919" s="92">
        <v>1.7945927341198258E-2</v>
      </c>
      <c r="AC1919" s="101">
        <v>1.7849195504826554E-2</v>
      </c>
    </row>
    <row r="1920" spans="25:29" x14ac:dyDescent="0.2">
      <c r="Y1920" s="105" t="str">
        <f t="shared" si="63"/>
        <v>1w</v>
      </c>
      <c r="Z1920" s="93">
        <f>_xll.qlCalendarAdvance(Calendar,Z1919,Y1920,"f",FALSE)</f>
        <v>52643</v>
      </c>
      <c r="AA1920" s="117">
        <f>_xll.qlCalendarAdvance(Calendar,Z1920,NDays&amp;"D")</f>
        <v>52645</v>
      </c>
      <c r="AB1920" s="92">
        <v>1.7947186671320638E-2</v>
      </c>
      <c r="AC1920" s="101">
        <v>1.7850468598776814E-2</v>
      </c>
    </row>
    <row r="1921" spans="25:29" x14ac:dyDescent="0.2">
      <c r="Y1921" s="105" t="str">
        <f t="shared" si="63"/>
        <v>1w</v>
      </c>
      <c r="Z1921" s="93">
        <f>_xll.qlCalendarAdvance(Calendar,Z1920,Y1921,"f",FALSE)</f>
        <v>52650</v>
      </c>
      <c r="AA1921" s="117">
        <f>_xll.qlCalendarAdvance(Calendar,Z1921,NDays&amp;"D")</f>
        <v>52652</v>
      </c>
      <c r="AB1921" s="92">
        <v>1.7948444049124712E-2</v>
      </c>
      <c r="AC1921" s="101">
        <v>1.7851739757235308E-2</v>
      </c>
    </row>
    <row r="1922" spans="25:29" x14ac:dyDescent="0.2">
      <c r="Y1922" s="105" t="str">
        <f t="shared" si="63"/>
        <v>1w</v>
      </c>
      <c r="Z1922" s="93">
        <f>_xll.qlCalendarAdvance(Calendar,Z1921,Y1922,"f",FALSE)</f>
        <v>52657</v>
      </c>
      <c r="AA1922" s="117">
        <f>_xll.qlCalendarAdvance(Calendar,Z1922,NDays&amp;"D")</f>
        <v>52659</v>
      </c>
      <c r="AB1922" s="92">
        <v>1.7951840117194154E-2</v>
      </c>
      <c r="AC1922" s="101">
        <v>1.785300897988229E-2</v>
      </c>
    </row>
    <row r="1923" spans="25:29" x14ac:dyDescent="0.2">
      <c r="Y1923" s="105" t="str">
        <f t="shared" si="63"/>
        <v>1w</v>
      </c>
      <c r="Z1923" s="93">
        <f>_xll.qlCalendarAdvance(Calendar,Z1922,Y1923,"f",FALSE)</f>
        <v>52664</v>
      </c>
      <c r="AA1923" s="117">
        <f>_xll.qlCalendarAdvance(Calendar,Z1923,NDays&amp;"D")</f>
        <v>52666</v>
      </c>
      <c r="AB1923" s="92">
        <v>1.7953093281336503E-2</v>
      </c>
      <c r="AC1923" s="101">
        <v>1.7854276266957569E-2</v>
      </c>
    </row>
    <row r="1924" spans="25:29" x14ac:dyDescent="0.2">
      <c r="Y1924" s="105" t="str">
        <f t="shared" si="63"/>
        <v>1w</v>
      </c>
      <c r="Z1924" s="93">
        <f>_xll.qlCalendarAdvance(Calendar,Z1923,Y1924,"f",FALSE)</f>
        <v>52671</v>
      </c>
      <c r="AA1924" s="117">
        <f>_xll.qlCalendarAdvance(Calendar,Z1924,NDays&amp;"D")</f>
        <v>52673</v>
      </c>
      <c r="AB1924" s="92">
        <v>1.7954344492778915E-2</v>
      </c>
      <c r="AC1924" s="101">
        <v>1.785554161838121E-2</v>
      </c>
    </row>
    <row r="1925" spans="25:29" x14ac:dyDescent="0.2">
      <c r="Y1925" s="105" t="str">
        <f t="shared" si="63"/>
        <v>1w</v>
      </c>
      <c r="Z1925" s="93">
        <f>_xll.qlCalendarAdvance(Calendar,Z1924,Y1925,"f",FALSE)</f>
        <v>52678</v>
      </c>
      <c r="AA1925" s="117">
        <f>_xll.qlCalendarAdvance(Calendar,Z1925,NDays&amp;"D")</f>
        <v>52680</v>
      </c>
      <c r="AB1925" s="92">
        <v>1.795559375151709E-2</v>
      </c>
      <c r="AC1925" s="101">
        <v>1.7856805034153211E-2</v>
      </c>
    </row>
    <row r="1926" spans="25:29" x14ac:dyDescent="0.2">
      <c r="Y1926" s="105" t="str">
        <f t="shared" si="63"/>
        <v>1w</v>
      </c>
      <c r="Z1926" s="93">
        <f>_xll.qlCalendarAdvance(Calendar,Z1925,Y1926,"f",FALSE)</f>
        <v>52685</v>
      </c>
      <c r="AA1926" s="117">
        <f>_xll.qlCalendarAdvance(Calendar,Z1926,NDays&amp;"D")</f>
        <v>52687</v>
      </c>
      <c r="AB1926" s="92">
        <v>1.7955236488899309E-2</v>
      </c>
      <c r="AC1926" s="101">
        <v>1.7858066514193638E-2</v>
      </c>
    </row>
    <row r="1927" spans="25:29" x14ac:dyDescent="0.2">
      <c r="Y1927" s="105" t="str">
        <f t="shared" si="63"/>
        <v>1w</v>
      </c>
      <c r="Z1927" s="93">
        <f>_xll.qlCalendarAdvance(Calendar,Z1926,Y1927,"f",FALSE)</f>
        <v>52692</v>
      </c>
      <c r="AA1927" s="117">
        <f>_xll.qlCalendarAdvance(Calendar,Z1927,NDays&amp;"D")</f>
        <v>52694</v>
      </c>
      <c r="AB1927" s="92">
        <v>1.7956482075109224E-2</v>
      </c>
      <c r="AC1927" s="101">
        <v>1.7859326058742298E-2</v>
      </c>
    </row>
    <row r="1928" spans="25:29" x14ac:dyDescent="0.2">
      <c r="Y1928" s="105" t="str">
        <f t="shared" si="63"/>
        <v>1w</v>
      </c>
      <c r="Z1928" s="93">
        <f>_xll.qlCalendarAdvance(Calendar,Z1927,Y1928,"f",FALSE)</f>
        <v>52699</v>
      </c>
      <c r="AA1928" s="117">
        <f>_xll.qlCalendarAdvance(Calendar,Z1928,NDays&amp;"D")</f>
        <v>52701</v>
      </c>
      <c r="AB1928" s="92">
        <v>1.7957725708883984E-2</v>
      </c>
      <c r="AC1928" s="101">
        <v>1.7862714973299276E-2</v>
      </c>
    </row>
    <row r="1929" spans="25:29" x14ac:dyDescent="0.2">
      <c r="Y1929" s="105" t="str">
        <f t="shared" si="63"/>
        <v>1w</v>
      </c>
      <c r="Z1929" s="93">
        <f>_xll.qlCalendarAdvance(Calendar,Z1928,Y1929,"f",FALSE)</f>
        <v>52706</v>
      </c>
      <c r="AA1929" s="117">
        <f>_xll.qlCalendarAdvance(Calendar,Z1929,NDays&amp;"D")</f>
        <v>52708</v>
      </c>
      <c r="AB1929" s="92">
        <v>1.7958967390217909E-2</v>
      </c>
      <c r="AC1929" s="101">
        <v>1.7861839340804764E-2</v>
      </c>
    </row>
    <row r="1930" spans="25:29" x14ac:dyDescent="0.2">
      <c r="Y1930" s="105" t="str">
        <f t="shared" si="63"/>
        <v>1w</v>
      </c>
      <c r="Z1930" s="93">
        <f>_xll.qlCalendarAdvance(Calendar,Z1929,Y1930,"f",FALSE)</f>
        <v>52713</v>
      </c>
      <c r="AA1930" s="117">
        <f>_xll.qlCalendarAdvance(Calendar,Z1930,NDays&amp;"D")</f>
        <v>52715</v>
      </c>
      <c r="AB1930" s="92">
        <v>1.7960207119109256E-2</v>
      </c>
      <c r="AC1930" s="101">
        <v>1.7863093078478443E-2</v>
      </c>
    </row>
    <row r="1931" spans="25:29" x14ac:dyDescent="0.2">
      <c r="Y1931" s="105" t="str">
        <f t="shared" si="63"/>
        <v>1w</v>
      </c>
      <c r="Z1931" s="93">
        <f>_xll.qlCalendarAdvance(Calendar,Z1930,Y1931,"f",FALSE)</f>
        <v>52720</v>
      </c>
      <c r="AA1931" s="117">
        <f>_xll.qlCalendarAdvance(Calendar,Z1931,NDays&amp;"D")</f>
        <v>52722</v>
      </c>
      <c r="AB1931" s="92">
        <v>1.7963048296953939E-2</v>
      </c>
      <c r="AC1931" s="101">
        <v>1.7864344880260674E-2</v>
      </c>
    </row>
    <row r="1932" spans="25:29" x14ac:dyDescent="0.2">
      <c r="Y1932" s="105" t="str">
        <f t="shared" si="63"/>
        <v>1w</v>
      </c>
      <c r="Z1932" s="93">
        <f>_xll.qlCalendarAdvance(Calendar,Z1931,Y1932,"f",FALSE)</f>
        <v>52727</v>
      </c>
      <c r="AA1932" s="117">
        <f>_xll.qlCalendarAdvance(Calendar,Z1932,NDays&amp;"D")</f>
        <v>52729</v>
      </c>
      <c r="AB1932" s="92">
        <v>1.7964283886660621E-2</v>
      </c>
      <c r="AC1932" s="101">
        <v>1.7865594746711011E-2</v>
      </c>
    </row>
    <row r="1933" spans="25:29" x14ac:dyDescent="0.2">
      <c r="Y1933" s="105" t="str">
        <f t="shared" si="63"/>
        <v>1w</v>
      </c>
      <c r="Z1933" s="93">
        <f>_xll.qlCalendarAdvance(Calendar,Z1932,Y1933,"f",FALSE)</f>
        <v>52734</v>
      </c>
      <c r="AA1933" s="117">
        <f>_xll.qlCalendarAdvance(Calendar,Z1933,NDays&amp;"D")</f>
        <v>52736</v>
      </c>
      <c r="AB1933" s="92">
        <v>1.796551752363169E-2</v>
      </c>
      <c r="AC1933" s="101">
        <v>1.7866842677269901E-2</v>
      </c>
    </row>
    <row r="1934" spans="25:29" x14ac:dyDescent="0.2">
      <c r="Y1934" s="105" t="str">
        <f t="shared" si="63"/>
        <v>1w</v>
      </c>
      <c r="Z1934" s="93">
        <f>_xll.qlCalendarAdvance(Calendar,Z1933,Y1934,"f",FALSE)</f>
        <v>52741</v>
      </c>
      <c r="AA1934" s="117">
        <f>_xll.qlCalendarAdvance(Calendar,Z1934,NDays&amp;"D")</f>
        <v>52743</v>
      </c>
      <c r="AB1934" s="92">
        <v>1.7966749207866724E-2</v>
      </c>
      <c r="AC1934" s="101">
        <v>1.7868088672337024E-2</v>
      </c>
    </row>
    <row r="1935" spans="25:29" x14ac:dyDescent="0.2">
      <c r="Y1935" s="105" t="str">
        <f t="shared" si="63"/>
        <v>1w</v>
      </c>
      <c r="Z1935" s="93">
        <f>_xll.qlCalendarAdvance(Calendar,Z1934,Y1935,"f",FALSE)</f>
        <v>52748</v>
      </c>
      <c r="AA1935" s="117">
        <f>_xll.qlCalendarAdvance(Calendar,Z1935,NDays&amp;"D")</f>
        <v>52750</v>
      </c>
      <c r="AB1935" s="92">
        <v>1.796637647677923E-2</v>
      </c>
      <c r="AC1935" s="101">
        <v>1.7869332731672571E-2</v>
      </c>
    </row>
    <row r="1936" spans="25:29" x14ac:dyDescent="0.2">
      <c r="Y1936" s="105" t="str">
        <f t="shared" si="63"/>
        <v>1w</v>
      </c>
      <c r="Z1936" s="93">
        <f>_xll.qlCalendarAdvance(Calendar,Z1935,Y1936,"f",FALSE)</f>
        <v>52755</v>
      </c>
      <c r="AA1936" s="117">
        <f>_xll.qlCalendarAdvance(Calendar,Z1936,NDays&amp;"D")</f>
        <v>52757</v>
      </c>
      <c r="AB1936" s="92">
        <v>1.7967604490930798E-2</v>
      </c>
      <c r="AC1936" s="101">
        <v>1.7870574855436416E-2</v>
      </c>
    </row>
    <row r="1937" spans="25:29" x14ac:dyDescent="0.2">
      <c r="Y1937" s="105" t="str">
        <f t="shared" si="63"/>
        <v>1w</v>
      </c>
      <c r="Z1937" s="93">
        <f>_xll.qlCalendarAdvance(Calendar,Z1936,Y1937,"f",FALSE)</f>
        <v>52762</v>
      </c>
      <c r="AA1937" s="117">
        <f>_xll.qlCalendarAdvance(Calendar,Z1937,NDays&amp;"D")</f>
        <v>52764</v>
      </c>
      <c r="AB1937" s="92">
        <v>1.7968830552613582E-2</v>
      </c>
      <c r="AC1937" s="101">
        <v>1.7871815043468686E-2</v>
      </c>
    </row>
    <row r="1938" spans="25:29" x14ac:dyDescent="0.2">
      <c r="Y1938" s="105" t="str">
        <f t="shared" si="63"/>
        <v>1w</v>
      </c>
      <c r="Z1938" s="93">
        <f>_xll.qlCalendarAdvance(Calendar,Z1937,Y1938,"f",FALSE)</f>
        <v>52769</v>
      </c>
      <c r="AA1938" s="117">
        <f>_xll.qlCalendarAdvance(Calendar,Z1938,NDays&amp;"D")</f>
        <v>52771</v>
      </c>
      <c r="AB1938" s="92">
        <v>1.7970054661823207E-2</v>
      </c>
      <c r="AC1938" s="101">
        <v>1.7873053295929253E-2</v>
      </c>
    </row>
    <row r="1939" spans="25:29" x14ac:dyDescent="0.2">
      <c r="Y1939" s="105" t="str">
        <f t="shared" si="63"/>
        <v>1w</v>
      </c>
      <c r="Z1939" s="93">
        <f>_xll.qlCalendarAdvance(Calendar,Z1938,Y1939,"f",FALSE)</f>
        <v>52776</v>
      </c>
      <c r="AA1939" s="117">
        <f>_xll.qlCalendarAdvance(Calendar,Z1939,NDays&amp;"D")</f>
        <v>52778</v>
      </c>
      <c r="AB1939" s="92">
        <v>1.797127681855749E-2</v>
      </c>
      <c r="AC1939" s="101">
        <v>1.7874289612818117E-2</v>
      </c>
    </row>
    <row r="1940" spans="25:29" x14ac:dyDescent="0.2">
      <c r="Y1940" s="105" t="str">
        <f t="shared" si="63"/>
        <v>1w</v>
      </c>
      <c r="Z1940" s="93">
        <f>_xll.qlCalendarAdvance(Calendar,Z1939,Y1940,"f",FALSE)</f>
        <v>52783</v>
      </c>
      <c r="AA1940" s="117">
        <f>_xll.qlCalendarAdvance(Calendar,Z1940,NDays&amp;"D")</f>
        <v>52785</v>
      </c>
      <c r="AB1940" s="92">
        <v>1.7974098305579472E-2</v>
      </c>
      <c r="AC1940" s="101">
        <v>1.787552399389547E-2</v>
      </c>
    </row>
    <row r="1941" spans="25:29" x14ac:dyDescent="0.2">
      <c r="Y1941" s="105" t="str">
        <f t="shared" ref="Y1941:Y2004" si="64">Y1940</f>
        <v>1w</v>
      </c>
      <c r="Z1941" s="93">
        <f>_xll.qlCalendarAdvance(Calendar,Z1940,Y1941,"f",FALSE)</f>
        <v>52790</v>
      </c>
      <c r="AA1941" s="117">
        <f>_xll.qlCalendarAdvance(Calendar,Z1941,NDays&amp;"D")</f>
        <v>52792</v>
      </c>
      <c r="AB1941" s="92">
        <v>1.7975316320549217E-2</v>
      </c>
      <c r="AC1941" s="101">
        <v>1.7876756439481056E-2</v>
      </c>
    </row>
    <row r="1942" spans="25:29" x14ac:dyDescent="0.2">
      <c r="Y1942" s="105" t="str">
        <f t="shared" si="64"/>
        <v>1w</v>
      </c>
      <c r="Z1942" s="93">
        <f>_xll.qlCalendarAdvance(Calendar,Z1941,Y1942,"f",FALSE)</f>
        <v>52797</v>
      </c>
      <c r="AA1942" s="117">
        <f>_xll.qlCalendarAdvance(Calendar,Z1942,NDays&amp;"D")</f>
        <v>52799</v>
      </c>
      <c r="AB1942" s="92">
        <v>1.7976532382751553E-2</v>
      </c>
      <c r="AC1942" s="101">
        <v>1.7877986949335067E-2</v>
      </c>
    </row>
    <row r="1943" spans="25:29" x14ac:dyDescent="0.2">
      <c r="Y1943" s="105" t="str">
        <f t="shared" si="64"/>
        <v>1w</v>
      </c>
      <c r="Z1943" s="93">
        <f>_xll.qlCalendarAdvance(Calendar,Z1942,Y1943,"f",FALSE)</f>
        <v>52804</v>
      </c>
      <c r="AA1943" s="117">
        <f>_xll.qlCalendarAdvance(Calendar,Z1943,NDays&amp;"D")</f>
        <v>52806</v>
      </c>
      <c r="AB1943" s="92">
        <v>1.7977746492183037E-2</v>
      </c>
      <c r="AC1943" s="101">
        <v>1.7879215523617376E-2</v>
      </c>
    </row>
    <row r="1944" spans="25:29" x14ac:dyDescent="0.2">
      <c r="Y1944" s="105" t="str">
        <f t="shared" si="64"/>
        <v>1w</v>
      </c>
      <c r="Z1944" s="93">
        <f>_xll.qlCalendarAdvance(Calendar,Z1943,Y1944,"f",FALSE)</f>
        <v>52811</v>
      </c>
      <c r="AA1944" s="117">
        <f>_xll.qlCalendarAdvance(Calendar,Z1944,NDays&amp;"D")</f>
        <v>52813</v>
      </c>
      <c r="AB1944" s="92">
        <v>1.7978958648840235E-2</v>
      </c>
      <c r="AC1944" s="101">
        <v>1.7880442162168109E-2</v>
      </c>
    </row>
    <row r="1945" spans="25:29" x14ac:dyDescent="0.2">
      <c r="Y1945" s="105" t="str">
        <f t="shared" si="64"/>
        <v>1w</v>
      </c>
      <c r="Z1945" s="93">
        <f>_xll.qlCalendarAdvance(Calendar,Z1944,Y1945,"f",FALSE)</f>
        <v>52818</v>
      </c>
      <c r="AA1945" s="117">
        <f>_xll.qlCalendarAdvance(Calendar,Z1945,NDays&amp;"D")</f>
        <v>52820</v>
      </c>
      <c r="AB1945" s="92">
        <v>1.7980168852719712E-2</v>
      </c>
      <c r="AC1945" s="101">
        <v>1.7881666865067203E-2</v>
      </c>
    </row>
    <row r="1946" spans="25:29" x14ac:dyDescent="0.2">
      <c r="Y1946" s="105" t="str">
        <f t="shared" si="64"/>
        <v>1w</v>
      </c>
      <c r="Z1946" s="93">
        <f>_xll.qlCalendarAdvance(Calendar,Z1945,Y1946,"f",FALSE)</f>
        <v>52825</v>
      </c>
      <c r="AA1946" s="117">
        <f>_xll.qlCalendarAdvance(Calendar,Z1946,NDays&amp;"D")</f>
        <v>52827</v>
      </c>
      <c r="AB1946" s="92">
        <v>1.7981377103818023E-2</v>
      </c>
      <c r="AC1946" s="101">
        <v>1.7882889632394594E-2</v>
      </c>
    </row>
    <row r="1947" spans="25:29" x14ac:dyDescent="0.2">
      <c r="Y1947" s="105" t="str">
        <f t="shared" si="64"/>
        <v>1w</v>
      </c>
      <c r="Z1947" s="93">
        <f>_xll.qlCalendarAdvance(Calendar,Z1946,Y1947,"f",FALSE)</f>
        <v>52832</v>
      </c>
      <c r="AA1947" s="117">
        <f>_xll.qlCalendarAdvance(Calendar,Z1947,NDays&amp;"D")</f>
        <v>52834</v>
      </c>
      <c r="AB1947" s="92">
        <v>1.7982583402131304E-2</v>
      </c>
      <c r="AC1947" s="101">
        <v>1.7884110464150282E-2</v>
      </c>
    </row>
    <row r="1948" spans="25:29" x14ac:dyDescent="0.2">
      <c r="Y1948" s="105" t="str">
        <f t="shared" si="64"/>
        <v>1w</v>
      </c>
      <c r="Z1948" s="93">
        <f>_xll.qlCalendarAdvance(Calendar,Z1947,Y1948,"f",FALSE)</f>
        <v>52839</v>
      </c>
      <c r="AA1948" s="117">
        <f>_xll.qlCalendarAdvance(Calendar,Z1948,NDays&amp;"D")</f>
        <v>52841</v>
      </c>
      <c r="AB1948" s="92">
        <v>1.7981122163736967E-2</v>
      </c>
      <c r="AC1948" s="101">
        <v>1.7885329360174396E-2</v>
      </c>
    </row>
    <row r="1949" spans="25:29" x14ac:dyDescent="0.2">
      <c r="Y1949" s="105" t="str">
        <f t="shared" si="64"/>
        <v>1w</v>
      </c>
      <c r="Z1949" s="93">
        <f>_xll.qlCalendarAdvance(Calendar,Z1948,Y1949,"f",FALSE)</f>
        <v>52846</v>
      </c>
      <c r="AA1949" s="117">
        <f>_xll.qlCalendarAdvance(Calendar,Z1949,NDays&amp;"D")</f>
        <v>52848</v>
      </c>
      <c r="AB1949" s="92">
        <v>1.7982324954816963E-2</v>
      </c>
      <c r="AC1949" s="101">
        <v>1.788654632054687E-2</v>
      </c>
    </row>
    <row r="1950" spans="25:29" x14ac:dyDescent="0.2">
      <c r="Y1950" s="105" t="str">
        <f t="shared" si="64"/>
        <v>1w</v>
      </c>
      <c r="Z1950" s="93">
        <f>_xll.qlCalendarAdvance(Calendar,Z1949,Y1950,"f",FALSE)</f>
        <v>52853</v>
      </c>
      <c r="AA1950" s="117">
        <f>_xll.qlCalendarAdvance(Calendar,Z1950,NDays&amp;"D")</f>
        <v>52855</v>
      </c>
      <c r="AB1950" s="92">
        <v>1.7983525793569155E-2</v>
      </c>
      <c r="AC1950" s="101">
        <v>1.7887761345347641E-2</v>
      </c>
    </row>
    <row r="1951" spans="25:29" x14ac:dyDescent="0.2">
      <c r="Y1951" s="105" t="str">
        <f t="shared" si="64"/>
        <v>1w</v>
      </c>
      <c r="Z1951" s="93">
        <f>_xll.qlCalendarAdvance(Calendar,Z1950,Y1951,"f",FALSE)</f>
        <v>52860</v>
      </c>
      <c r="AA1951" s="117">
        <f>_xll.qlCalendarAdvance(Calendar,Z1951,NDays&amp;"D")</f>
        <v>52862</v>
      </c>
      <c r="AB1951" s="92">
        <v>1.7984724679986921E-2</v>
      </c>
      <c r="AC1951" s="101">
        <v>1.7888974434336902E-2</v>
      </c>
    </row>
    <row r="1952" spans="25:29" x14ac:dyDescent="0.2">
      <c r="Y1952" s="105" t="str">
        <f t="shared" si="64"/>
        <v>1w</v>
      </c>
      <c r="Z1952" s="93">
        <f>_xll.qlCalendarAdvance(Calendar,Z1951,Y1952,"f",FALSE)</f>
        <v>52867</v>
      </c>
      <c r="AA1952" s="117">
        <f>_xll.qlCalendarAdvance(Calendar,Z1952,NDays&amp;"D")</f>
        <v>52869</v>
      </c>
      <c r="AB1952" s="92">
        <v>1.7985921614069818E-2</v>
      </c>
      <c r="AC1952" s="101">
        <v>1.7890185587994267E-2</v>
      </c>
    </row>
    <row r="1953" spans="25:29" x14ac:dyDescent="0.2">
      <c r="Y1953" s="105" t="str">
        <f t="shared" si="64"/>
        <v>1w</v>
      </c>
      <c r="Z1953" s="93">
        <f>_xll.qlCalendarAdvance(Calendar,Z1952,Y1953,"f",FALSE)</f>
        <v>52874</v>
      </c>
      <c r="AA1953" s="117">
        <f>_xll.qlCalendarAdvance(Calendar,Z1953,NDays&amp;"D")</f>
        <v>52876</v>
      </c>
      <c r="AB1953" s="92">
        <v>1.7987649293299778E-2</v>
      </c>
      <c r="AC1953" s="101">
        <v>1.7891394805760186E-2</v>
      </c>
    </row>
    <row r="1954" spans="25:29" x14ac:dyDescent="0.2">
      <c r="Y1954" s="105" t="str">
        <f t="shared" si="64"/>
        <v>1w</v>
      </c>
      <c r="Z1954" s="93">
        <f>_xll.qlCalendarAdvance(Calendar,Z1953,Y1954,"f",FALSE)</f>
        <v>52881</v>
      </c>
      <c r="AA1954" s="117">
        <f>_xll.qlCalendarAdvance(Calendar,Z1954,NDays&amp;"D")</f>
        <v>52883</v>
      </c>
      <c r="AB1954" s="92">
        <v>1.798884224258375E-2</v>
      </c>
      <c r="AC1954" s="101">
        <v>1.7892602087954401E-2</v>
      </c>
    </row>
    <row r="1955" spans="25:29" x14ac:dyDescent="0.2">
      <c r="Y1955" s="105" t="str">
        <f t="shared" si="64"/>
        <v>1w</v>
      </c>
      <c r="Z1955" s="93">
        <f>_xll.qlCalendarAdvance(Calendar,Z1954,Y1955,"f",FALSE)</f>
        <v>52888</v>
      </c>
      <c r="AA1955" s="117">
        <f>_xll.qlCalendarAdvance(Calendar,Z1955,NDays&amp;"D")</f>
        <v>52890</v>
      </c>
      <c r="AB1955" s="92">
        <v>1.7990033239428195E-2</v>
      </c>
      <c r="AC1955" s="101">
        <v>1.7893807434496978E-2</v>
      </c>
    </row>
    <row r="1956" spans="25:29" x14ac:dyDescent="0.2">
      <c r="Y1956" s="105" t="str">
        <f t="shared" si="64"/>
        <v>1w</v>
      </c>
      <c r="Z1956" s="93">
        <f>_xll.qlCalendarAdvance(Calendar,Z1955,Y1956,"f",FALSE)</f>
        <v>52895</v>
      </c>
      <c r="AA1956" s="117">
        <f>_xll.qlCalendarAdvance(Calendar,Z1956,NDays&amp;"D")</f>
        <v>52897</v>
      </c>
      <c r="AB1956" s="92">
        <v>1.7991222283829156E-2</v>
      </c>
      <c r="AC1956" s="101">
        <v>1.7895010845467851E-2</v>
      </c>
    </row>
    <row r="1957" spans="25:29" x14ac:dyDescent="0.2">
      <c r="Y1957" s="105" t="str">
        <f t="shared" si="64"/>
        <v>1w</v>
      </c>
      <c r="Z1957" s="93">
        <f>_xll.qlCalendarAdvance(Calendar,Z1956,Y1957,"f",FALSE)</f>
        <v>52902</v>
      </c>
      <c r="AA1957" s="117">
        <f>_xll.qlCalendarAdvance(Calendar,Z1957,NDays&amp;"D")</f>
        <v>52904</v>
      </c>
      <c r="AB1957" s="92">
        <v>1.7991876999320398E-2</v>
      </c>
      <c r="AC1957" s="101">
        <v>1.7896212320627214E-2</v>
      </c>
    </row>
    <row r="1958" spans="25:29" x14ac:dyDescent="0.2">
      <c r="Y1958" s="105" t="str">
        <f t="shared" si="64"/>
        <v>1w</v>
      </c>
      <c r="Z1958" s="93">
        <f>_xll.qlCalendarAdvance(Calendar,Z1957,Y1958,"f",FALSE)</f>
        <v>52909</v>
      </c>
      <c r="AA1958" s="117">
        <f>_xll.qlCalendarAdvance(Calendar,Z1958,NDays&amp;"D")</f>
        <v>52911</v>
      </c>
      <c r="AB1958" s="92">
        <v>1.7993062219313707E-2</v>
      </c>
      <c r="AC1958" s="101">
        <v>1.789741186029481E-2</v>
      </c>
    </row>
    <row r="1959" spans="25:29" x14ac:dyDescent="0.2">
      <c r="Y1959" s="105" t="str">
        <f t="shared" si="64"/>
        <v>1w</v>
      </c>
      <c r="Z1959" s="93">
        <f>_xll.qlCalendarAdvance(Calendar,Z1958,Y1959,"f",FALSE)</f>
        <v>52916</v>
      </c>
      <c r="AA1959" s="117">
        <f>_xll.qlCalendarAdvance(Calendar,Z1959,NDays&amp;"D")</f>
        <v>52918</v>
      </c>
      <c r="AB1959" s="92">
        <v>1.7994245486946975E-2</v>
      </c>
      <c r="AC1959" s="101">
        <v>1.7898609464310766E-2</v>
      </c>
    </row>
    <row r="1960" spans="25:29" x14ac:dyDescent="0.2">
      <c r="Y1960" s="105" t="str">
        <f t="shared" si="64"/>
        <v>1w</v>
      </c>
      <c r="Z1960" s="93">
        <f>_xll.qlCalendarAdvance(Calendar,Z1959,Y1960,"f",FALSE)</f>
        <v>52923</v>
      </c>
      <c r="AA1960" s="117">
        <f>_xll.qlCalendarAdvance(Calendar,Z1960,NDays&amp;"D")</f>
        <v>52925</v>
      </c>
      <c r="AB1960" s="92">
        <v>1.7995426802216226E-2</v>
      </c>
      <c r="AC1960" s="101">
        <v>1.7899805132595148E-2</v>
      </c>
    </row>
    <row r="1961" spans="25:29" x14ac:dyDescent="0.2">
      <c r="Y1961" s="105" t="str">
        <f t="shared" si="64"/>
        <v>1w</v>
      </c>
      <c r="Z1961" s="93">
        <f>_xll.qlCalendarAdvance(Calendar,Z1960,Y1961,"f",FALSE)</f>
        <v>52930</v>
      </c>
      <c r="AA1961" s="117">
        <f>_xll.qlCalendarAdvance(Calendar,Z1961,NDays&amp;"D")</f>
        <v>52932</v>
      </c>
      <c r="AB1961" s="92">
        <v>1.7997138219059201E-2</v>
      </c>
      <c r="AC1961" s="101">
        <v>1.7900998865387763E-2</v>
      </c>
    </row>
    <row r="1962" spans="25:29" x14ac:dyDescent="0.2">
      <c r="Y1962" s="105" t="str">
        <f t="shared" si="64"/>
        <v>1w</v>
      </c>
      <c r="Z1962" s="93">
        <f>_xll.qlCalendarAdvance(Calendar,Z1961,Y1962,"f",FALSE)</f>
        <v>52937</v>
      </c>
      <c r="AA1962" s="117">
        <f>_xll.qlCalendarAdvance(Calendar,Z1962,NDays&amp;"D")</f>
        <v>52939</v>
      </c>
      <c r="AB1962" s="92">
        <v>1.7998315548726364E-2</v>
      </c>
      <c r="AC1962" s="101">
        <v>1.790219066228893E-2</v>
      </c>
    </row>
    <row r="1963" spans="25:29" x14ac:dyDescent="0.2">
      <c r="Y1963" s="105" t="str">
        <f t="shared" si="64"/>
        <v>1w</v>
      </c>
      <c r="Z1963" s="93">
        <f>_xll.qlCalendarAdvance(Calendar,Z1962,Y1963,"f",FALSE)</f>
        <v>52944</v>
      </c>
      <c r="AA1963" s="117">
        <f>_xll.qlCalendarAdvance(Calendar,Z1963,NDays&amp;"D")</f>
        <v>52946</v>
      </c>
      <c r="AB1963" s="92">
        <v>1.7999490925925014E-2</v>
      </c>
      <c r="AC1963" s="101">
        <v>1.7903380523778267E-2</v>
      </c>
    </row>
    <row r="1964" spans="25:29" x14ac:dyDescent="0.2">
      <c r="Y1964" s="105" t="str">
        <f t="shared" si="64"/>
        <v>1w</v>
      </c>
      <c r="Z1964" s="93">
        <f>_xll.qlCalendarAdvance(Calendar,Z1963,Y1964,"f",FALSE)</f>
        <v>52951</v>
      </c>
      <c r="AA1964" s="117">
        <f>_xll.qlCalendarAdvance(Calendar,Z1964,NDays&amp;"D")</f>
        <v>52953</v>
      </c>
      <c r="AB1964" s="92">
        <v>1.8000664350653825E-2</v>
      </c>
      <c r="AC1964" s="101">
        <v>1.7904568449615965E-2</v>
      </c>
    </row>
    <row r="1965" spans="25:29" x14ac:dyDescent="0.2">
      <c r="Y1965" s="105" t="str">
        <f t="shared" si="64"/>
        <v>1w</v>
      </c>
      <c r="Z1965" s="93">
        <f>_xll.qlCalendarAdvance(Calendar,Z1964,Y1965,"f",FALSE)</f>
        <v>52958</v>
      </c>
      <c r="AA1965" s="117">
        <f>_xll.qlCalendarAdvance(Calendar,Z1965,NDays&amp;"D")</f>
        <v>52960</v>
      </c>
      <c r="AB1965" s="92">
        <v>1.8001835822906216E-2</v>
      </c>
      <c r="AC1965" s="101">
        <v>1.7905754439722088E-2</v>
      </c>
    </row>
    <row r="1966" spans="25:29" x14ac:dyDescent="0.2">
      <c r="Y1966" s="105" t="str">
        <f t="shared" si="64"/>
        <v>1w</v>
      </c>
      <c r="Z1966" s="93">
        <f>_xll.qlCalendarAdvance(Calendar,Z1965,Y1966,"f",FALSE)</f>
        <v>52965</v>
      </c>
      <c r="AA1966" s="117">
        <f>_xll.qlCalendarAdvance(Calendar,Z1966,NDays&amp;"D")</f>
        <v>52967</v>
      </c>
      <c r="AB1966" s="92">
        <v>1.8002473689828449E-2</v>
      </c>
      <c r="AC1966" s="101">
        <v>1.7906938494096636E-2</v>
      </c>
    </row>
    <row r="1967" spans="25:29" x14ac:dyDescent="0.2">
      <c r="Y1967" s="105" t="str">
        <f t="shared" si="64"/>
        <v>1w</v>
      </c>
      <c r="Z1967" s="93">
        <f>_xll.qlCalendarAdvance(Calendar,Z1966,Y1967,"f",FALSE)</f>
        <v>52972</v>
      </c>
      <c r="AA1967" s="117">
        <f>_xll.qlCalendarAdvance(Calendar,Z1967,NDays&amp;"D")</f>
        <v>52974</v>
      </c>
      <c r="AB1967" s="92">
        <v>1.8003640962761788E-2</v>
      </c>
      <c r="AC1967" s="101">
        <v>1.7908120613059353E-2</v>
      </c>
    </row>
    <row r="1968" spans="25:29" x14ac:dyDescent="0.2">
      <c r="Y1968" s="105" t="str">
        <f t="shared" si="64"/>
        <v>1w</v>
      </c>
      <c r="Z1968" s="93">
        <f>_xll.qlCalendarAdvance(Calendar,Z1967,Y1968,"f",FALSE)</f>
        <v>52979</v>
      </c>
      <c r="AA1968" s="117">
        <f>_xll.qlCalendarAdvance(Calendar,Z1968,NDays&amp;"D")</f>
        <v>52981</v>
      </c>
      <c r="AB1968" s="92">
        <v>1.8004804904548498E-2</v>
      </c>
      <c r="AC1968" s="101">
        <v>1.7909300796210559E-2</v>
      </c>
    </row>
    <row r="1969" spans="25:29" x14ac:dyDescent="0.2">
      <c r="Y1969" s="105" t="str">
        <f t="shared" si="64"/>
        <v>1w</v>
      </c>
      <c r="Z1969" s="93">
        <f>_xll.qlCalendarAdvance(Calendar,Z1968,Y1969,"f",FALSE)</f>
        <v>52986</v>
      </c>
      <c r="AA1969" s="117">
        <f>_xll.qlCalendarAdvance(Calendar,Z1969,NDays&amp;"D")</f>
        <v>52988</v>
      </c>
      <c r="AB1969" s="92">
        <v>1.8005964442815891E-2</v>
      </c>
      <c r="AC1969" s="101">
        <v>1.7910479043790062E-2</v>
      </c>
    </row>
    <row r="1970" spans="25:29" x14ac:dyDescent="0.2">
      <c r="Y1970" s="105" t="str">
        <f t="shared" si="64"/>
        <v>1w</v>
      </c>
      <c r="Z1970" s="93">
        <f>_xll.qlCalendarAdvance(Calendar,Z1969,Y1970,"f",FALSE)</f>
        <v>52993</v>
      </c>
      <c r="AA1970" s="117">
        <f>_xll.qlCalendarAdvance(Calendar,Z1970,NDays&amp;"D")</f>
        <v>52995</v>
      </c>
      <c r="AB1970" s="92">
        <v>1.8007118505190836E-2</v>
      </c>
      <c r="AC1970" s="101">
        <v>1.7911655355797862E-2</v>
      </c>
    </row>
    <row r="1971" spans="25:29" x14ac:dyDescent="0.2">
      <c r="Y1971" s="105" t="str">
        <f t="shared" si="64"/>
        <v>1w</v>
      </c>
      <c r="Z1971" s="93">
        <f>_xll.qlCalendarAdvance(Calendar,Z1970,Y1971,"f",FALSE)</f>
        <v>53000</v>
      </c>
      <c r="AA1971" s="117">
        <f>_xll.qlCalendarAdvance(Calendar,Z1971,NDays&amp;"D")</f>
        <v>53002</v>
      </c>
      <c r="AB1971" s="92">
        <v>1.800826601929623E-2</v>
      </c>
      <c r="AC1971" s="101">
        <v>1.7912829732074087E-2</v>
      </c>
    </row>
    <row r="1972" spans="25:29" x14ac:dyDescent="0.2">
      <c r="Y1972" s="105" t="str">
        <f t="shared" si="64"/>
        <v>1w</v>
      </c>
      <c r="Z1972" s="93">
        <f>_xll.qlCalendarAdvance(Calendar,Z1971,Y1972,"f",FALSE)</f>
        <v>53007</v>
      </c>
      <c r="AA1972" s="117">
        <f>_xll.qlCalendarAdvance(Calendar,Z1972,NDays&amp;"D")</f>
        <v>53009</v>
      </c>
      <c r="AB1972" s="92">
        <v>1.8009405912752321E-2</v>
      </c>
      <c r="AC1972" s="101">
        <v>1.7914002172618737E-2</v>
      </c>
    </row>
    <row r="1973" spans="25:29" x14ac:dyDescent="0.2">
      <c r="Y1973" s="105" t="str">
        <f t="shared" si="64"/>
        <v>1w</v>
      </c>
      <c r="Z1973" s="93">
        <f>_xll.qlCalendarAdvance(Calendar,Z1972,Y1973,"f",FALSE)</f>
        <v>53014</v>
      </c>
      <c r="AA1973" s="117">
        <f>_xll.qlCalendarAdvance(Calendar,Z1973,NDays&amp;"D")</f>
        <v>53016</v>
      </c>
      <c r="AB1973" s="92">
        <v>1.8010537113179351E-2</v>
      </c>
      <c r="AC1973" s="101">
        <v>1.7915172677751556E-2</v>
      </c>
    </row>
    <row r="1974" spans="25:29" x14ac:dyDescent="0.2">
      <c r="Y1974" s="105" t="str">
        <f t="shared" si="64"/>
        <v>1w</v>
      </c>
      <c r="Z1974" s="93">
        <f>_xll.qlCalendarAdvance(Calendar,Z1973,Y1974,"f",FALSE)</f>
        <v>53021</v>
      </c>
      <c r="AA1974" s="117">
        <f>_xll.qlCalendarAdvance(Calendar,Z1974,NDays&amp;"D")</f>
        <v>53023</v>
      </c>
      <c r="AB1974" s="92">
        <v>1.8014288468802282E-2</v>
      </c>
      <c r="AC1974" s="101">
        <v>1.7916341247072864E-2</v>
      </c>
    </row>
    <row r="1975" spans="25:29" x14ac:dyDescent="0.2">
      <c r="Y1975" s="105" t="str">
        <f t="shared" si="64"/>
        <v>1w</v>
      </c>
      <c r="Z1975" s="93">
        <f>_xll.qlCalendarAdvance(Calendar,Z1974,Y1975,"f",FALSE)</f>
        <v>53028</v>
      </c>
      <c r="AA1975" s="117">
        <f>_xll.qlCalendarAdvance(Calendar,Z1975,NDays&amp;"D")</f>
        <v>53030</v>
      </c>
      <c r="AB1975" s="92">
        <v>1.8015392942528949E-2</v>
      </c>
      <c r="AC1975" s="101">
        <v>1.7917507880742534E-2</v>
      </c>
    </row>
    <row r="1976" spans="25:29" x14ac:dyDescent="0.2">
      <c r="Y1976" s="105" t="str">
        <f t="shared" si="64"/>
        <v>1w</v>
      </c>
      <c r="Z1976" s="93">
        <f>_xll.qlCalendarAdvance(Calendar,Z1975,Y1976,"f",FALSE)</f>
        <v>53035</v>
      </c>
      <c r="AA1976" s="117">
        <f>_xll.qlCalendarAdvance(Calendar,Z1976,NDays&amp;"D")</f>
        <v>53037</v>
      </c>
      <c r="AB1976" s="92">
        <v>1.8016485025281782E-2</v>
      </c>
      <c r="AC1976" s="101">
        <v>1.7918672578760564E-2</v>
      </c>
    </row>
    <row r="1977" spans="25:29" x14ac:dyDescent="0.2">
      <c r="Y1977" s="105" t="str">
        <f t="shared" si="64"/>
        <v>1w</v>
      </c>
      <c r="Z1977" s="93">
        <f>_xll.qlCalendarAdvance(Calendar,Z1976,Y1977,"f",FALSE)</f>
        <v>53042</v>
      </c>
      <c r="AA1977" s="117">
        <f>_xll.qlCalendarAdvance(Calendar,Z1977,NDays&amp;"D")</f>
        <v>53044</v>
      </c>
      <c r="AB1977" s="92">
        <v>1.8017563673238111E-2</v>
      </c>
      <c r="AC1977" s="101">
        <v>1.7919835341366763E-2</v>
      </c>
    </row>
    <row r="1978" spans="25:29" x14ac:dyDescent="0.2">
      <c r="Y1978" s="105" t="str">
        <f t="shared" si="64"/>
        <v>1w</v>
      </c>
      <c r="Z1978" s="93">
        <f>_xll.qlCalendarAdvance(Calendar,Z1977,Y1978,"f",FALSE)</f>
        <v>53049</v>
      </c>
      <c r="AA1978" s="117">
        <f>_xll.qlCalendarAdvance(Calendar,Z1978,NDays&amp;"D")</f>
        <v>53051</v>
      </c>
      <c r="AB1978" s="92">
        <v>1.8017066709826779E-2</v>
      </c>
      <c r="AC1978" s="101">
        <v>1.7920996168001579E-2</v>
      </c>
    </row>
    <row r="1979" spans="25:29" x14ac:dyDescent="0.2">
      <c r="Y1979" s="105" t="str">
        <f t="shared" si="64"/>
        <v>1w</v>
      </c>
      <c r="Z1979" s="93">
        <f>_xll.qlCalendarAdvance(Calendar,Z1978,Y1979,"f",FALSE)</f>
        <v>53056</v>
      </c>
      <c r="AA1979" s="117">
        <f>_xll.qlCalendarAdvance(Calendar,Z1979,NDays&amp;"D")</f>
        <v>53058</v>
      </c>
      <c r="AB1979" s="92">
        <v>1.8018120098482644E-2</v>
      </c>
      <c r="AC1979" s="101">
        <v>1.7924270395306863E-2</v>
      </c>
    </row>
    <row r="1980" spans="25:29" x14ac:dyDescent="0.2">
      <c r="Y1980" s="105" t="str">
        <f t="shared" si="64"/>
        <v>1w</v>
      </c>
      <c r="Z1980" s="93">
        <f>_xll.qlCalendarAdvance(Calendar,Z1979,Y1980,"f",FALSE)</f>
        <v>53063</v>
      </c>
      <c r="AA1980" s="117">
        <f>_xll.qlCalendarAdvance(Calendar,Z1980,NDays&amp;"D")</f>
        <v>53065</v>
      </c>
      <c r="AB1980" s="92">
        <v>1.8019157138414607E-2</v>
      </c>
      <c r="AC1980" s="101">
        <v>1.7923312014715975E-2</v>
      </c>
    </row>
    <row r="1981" spans="25:29" x14ac:dyDescent="0.2">
      <c r="Y1981" s="105" t="str">
        <f t="shared" si="64"/>
        <v>1w</v>
      </c>
      <c r="Z1981" s="93">
        <f>_xll.qlCalendarAdvance(Calendar,Z1980,Y1981,"f",FALSE)</f>
        <v>53070</v>
      </c>
      <c r="AA1981" s="117">
        <f>_xll.qlCalendarAdvance(Calendar,Z1981,NDays&amp;"D")</f>
        <v>53072</v>
      </c>
      <c r="AB1981" s="92">
        <v>1.8020176768837104E-2</v>
      </c>
      <c r="AC1981" s="101">
        <v>1.7924467034555747E-2</v>
      </c>
    </row>
    <row r="1982" spans="25:29" x14ac:dyDescent="0.2">
      <c r="Y1982" s="105" t="str">
        <f t="shared" si="64"/>
        <v>1w</v>
      </c>
      <c r="Z1982" s="93">
        <f>_xll.qlCalendarAdvance(Calendar,Z1981,Y1982,"f",FALSE)</f>
        <v>53077</v>
      </c>
      <c r="AA1982" s="117">
        <f>_xll.qlCalendarAdvance(Calendar,Z1982,NDays&amp;"D")</f>
        <v>53079</v>
      </c>
      <c r="AB1982" s="92">
        <v>1.8021177928965019E-2</v>
      </c>
      <c r="AC1982" s="101">
        <v>1.7925620118743879E-2</v>
      </c>
    </row>
    <row r="1983" spans="25:29" x14ac:dyDescent="0.2">
      <c r="Y1983" s="105" t="str">
        <f t="shared" si="64"/>
        <v>1w</v>
      </c>
      <c r="Z1983" s="93">
        <f>_xll.qlCalendarAdvance(Calendar,Z1982,Y1983,"f",FALSE)</f>
        <v>53084</v>
      </c>
      <c r="AA1983" s="117">
        <f>_xll.qlCalendarAdvance(Calendar,Z1983,NDays&amp;"D")</f>
        <v>53086</v>
      </c>
      <c r="AB1983" s="92">
        <v>1.8023694975803126E-2</v>
      </c>
      <c r="AC1983" s="101">
        <v>1.7926771267440245E-2</v>
      </c>
    </row>
    <row r="1984" spans="25:29" x14ac:dyDescent="0.2">
      <c r="Y1984" s="105" t="str">
        <f t="shared" si="64"/>
        <v>1w</v>
      </c>
      <c r="Z1984" s="93">
        <f>_xll.qlCalendarAdvance(Calendar,Z1983,Y1984,"f",FALSE)</f>
        <v>53091</v>
      </c>
      <c r="AA1984" s="117">
        <f>_xll.qlCalendarAdvance(Calendar,Z1984,NDays&amp;"D")</f>
        <v>53093</v>
      </c>
      <c r="AB1984" s="92">
        <v>1.8024650352928065E-2</v>
      </c>
      <c r="AC1984" s="101">
        <v>1.7927920480325099E-2</v>
      </c>
    </row>
    <row r="1985" spans="25:29" x14ac:dyDescent="0.2">
      <c r="Y1985" s="105" t="str">
        <f t="shared" si="64"/>
        <v>1w</v>
      </c>
      <c r="Z1985" s="93">
        <f>_xll.qlCalendarAdvance(Calendar,Z1984,Y1985,"f",FALSE)</f>
        <v>53098</v>
      </c>
      <c r="AA1985" s="117">
        <f>_xll.qlCalendarAdvance(Calendar,Z1985,NDays&amp;"D")</f>
        <v>53100</v>
      </c>
      <c r="AB1985" s="92">
        <v>1.8025583944593117E-2</v>
      </c>
      <c r="AC1985" s="101">
        <v>1.7929067757718187E-2</v>
      </c>
    </row>
    <row r="1986" spans="25:29" x14ac:dyDescent="0.2">
      <c r="Y1986" s="105" t="str">
        <f t="shared" si="64"/>
        <v>1w</v>
      </c>
      <c r="Z1986" s="93">
        <f>_xll.qlCalendarAdvance(Calendar,Z1985,Y1986,"f",FALSE)</f>
        <v>53105</v>
      </c>
      <c r="AA1986" s="117">
        <f>_xll.qlCalendarAdvance(Calendar,Z1986,NDays&amp;"D")</f>
        <v>53107</v>
      </c>
      <c r="AB1986" s="92">
        <v>1.8026494706957996E-2</v>
      </c>
      <c r="AC1986" s="101">
        <v>1.7930213099299763E-2</v>
      </c>
    </row>
    <row r="1987" spans="25:29" x14ac:dyDescent="0.2">
      <c r="Y1987" s="105" t="str">
        <f t="shared" si="64"/>
        <v>1w</v>
      </c>
      <c r="Z1987" s="93">
        <f>_xll.qlCalendarAdvance(Calendar,Z1986,Y1987,"f",FALSE)</f>
        <v>53112</v>
      </c>
      <c r="AA1987" s="117">
        <f>_xll.qlCalendarAdvance(Calendar,Z1987,NDays&amp;"D")</f>
        <v>53114</v>
      </c>
      <c r="AB1987" s="92">
        <v>1.8025869547550668E-2</v>
      </c>
      <c r="AC1987" s="101">
        <v>1.7931356505309637E-2</v>
      </c>
    </row>
    <row r="1988" spans="25:29" x14ac:dyDescent="0.2">
      <c r="Y1988" s="105" t="str">
        <f t="shared" si="64"/>
        <v>1w</v>
      </c>
      <c r="Z1988" s="93">
        <f>_xll.qlCalendarAdvance(Calendar,Z1987,Y1988,"f",FALSE)</f>
        <v>53119</v>
      </c>
      <c r="AA1988" s="117">
        <f>_xll.qlCalendarAdvance(Calendar,Z1988,NDays&amp;"D")</f>
        <v>53121</v>
      </c>
      <c r="AB1988" s="92">
        <v>1.8026737609313032E-2</v>
      </c>
      <c r="AC1988" s="101">
        <v>1.7932497975667872E-2</v>
      </c>
    </row>
    <row r="1989" spans="25:29" x14ac:dyDescent="0.2">
      <c r="Y1989" s="105" t="str">
        <f t="shared" si="64"/>
        <v>1w</v>
      </c>
      <c r="Z1989" s="93">
        <f>_xll.qlCalendarAdvance(Calendar,Z1988,Y1989,"f",FALSE)</f>
        <v>53126</v>
      </c>
      <c r="AA1989" s="117">
        <f>_xll.qlCalendarAdvance(Calendar,Z1989,NDays&amp;"D")</f>
        <v>53128</v>
      </c>
      <c r="AB1989" s="92">
        <v>1.8027579775237789E-2</v>
      </c>
      <c r="AC1989" s="101">
        <v>1.7933637510454403E-2</v>
      </c>
    </row>
    <row r="1990" spans="25:29" x14ac:dyDescent="0.2">
      <c r="Y1990" s="105" t="str">
        <f t="shared" si="64"/>
        <v>1w</v>
      </c>
      <c r="Z1990" s="93">
        <f>_xll.qlCalendarAdvance(Calendar,Z1989,Y1990,"f",FALSE)</f>
        <v>53133</v>
      </c>
      <c r="AA1990" s="117">
        <f>_xll.qlCalendarAdvance(Calendar,Z1990,NDays&amp;"D")</f>
        <v>53135</v>
      </c>
      <c r="AB1990" s="92">
        <v>1.802839498452715E-2</v>
      </c>
      <c r="AC1990" s="101">
        <v>1.793477510950936E-2</v>
      </c>
    </row>
    <row r="1991" spans="25:29" x14ac:dyDescent="0.2">
      <c r="Y1991" s="105" t="str">
        <f t="shared" si="64"/>
        <v>1w</v>
      </c>
      <c r="Z1991" s="93">
        <f>_xll.qlCalendarAdvance(Calendar,Z1990,Y1991,"f",FALSE)</f>
        <v>53140</v>
      </c>
      <c r="AA1991" s="117">
        <f>_xll.qlCalendarAdvance(Calendar,Z1991,NDays&amp;"D")</f>
        <v>53142</v>
      </c>
      <c r="AB1991" s="92">
        <v>1.8029182176386389E-2</v>
      </c>
      <c r="AC1991" s="101">
        <v>1.7935910772912678E-2</v>
      </c>
    </row>
    <row r="1992" spans="25:29" x14ac:dyDescent="0.2">
      <c r="Y1992" s="105" t="str">
        <f t="shared" si="64"/>
        <v>1w</v>
      </c>
      <c r="Z1992" s="93">
        <f>_xll.qlCalendarAdvance(Calendar,Z1991,Y1992,"f",FALSE)</f>
        <v>53147</v>
      </c>
      <c r="AA1992" s="117">
        <f>_xll.qlCalendarAdvance(Calendar,Z1992,NDays&amp;"D")</f>
        <v>53149</v>
      </c>
      <c r="AB1992" s="92">
        <v>1.8031421424393304E-2</v>
      </c>
      <c r="AC1992" s="101">
        <v>1.7937041042230817E-2</v>
      </c>
    </row>
    <row r="1993" spans="25:29" x14ac:dyDescent="0.2">
      <c r="Y1993" s="105" t="str">
        <f t="shared" si="64"/>
        <v>1w</v>
      </c>
      <c r="Z1993" s="93">
        <f>_xll.qlCalendarAdvance(Calendar,Z1992,Y1993,"f",FALSE)</f>
        <v>53154</v>
      </c>
      <c r="AA1993" s="117">
        <f>_xll.qlCalendarAdvance(Calendar,Z1993,NDays&amp;"D")</f>
        <v>53156</v>
      </c>
      <c r="AB1993" s="92">
        <v>1.803214364756876E-2</v>
      </c>
      <c r="AC1993" s="101">
        <v>1.7938145353513235E-2</v>
      </c>
    </row>
    <row r="1994" spans="25:29" x14ac:dyDescent="0.2">
      <c r="Y1994" s="105" t="str">
        <f t="shared" si="64"/>
        <v>1w</v>
      </c>
      <c r="Z1994" s="93">
        <f>_xll.qlCalendarAdvance(Calendar,Z1993,Y1994,"f",FALSE)</f>
        <v>53161</v>
      </c>
      <c r="AA1994" s="117">
        <f>_xll.qlCalendarAdvance(Calendar,Z1994,NDays&amp;"D")</f>
        <v>53163</v>
      </c>
      <c r="AB1994" s="92">
        <v>1.8032836181856311E-2</v>
      </c>
      <c r="AC1994" s="101">
        <v>1.7939220248166521E-2</v>
      </c>
    </row>
    <row r="1995" spans="25:29" x14ac:dyDescent="0.2">
      <c r="Y1995" s="105" t="str">
        <f t="shared" si="64"/>
        <v>1w</v>
      </c>
      <c r="Z1995" s="93">
        <f>_xll.qlCalendarAdvance(Calendar,Z1994,Y1995,"f",FALSE)</f>
        <v>53168</v>
      </c>
      <c r="AA1995" s="117">
        <f>_xll.qlCalendarAdvance(Calendar,Z1995,NDays&amp;"D")</f>
        <v>53170</v>
      </c>
      <c r="AB1995" s="92">
        <v>1.8033499027224151E-2</v>
      </c>
      <c r="AC1995" s="101">
        <v>1.7940265726350546E-2</v>
      </c>
    </row>
    <row r="1996" spans="25:29" x14ac:dyDescent="0.2">
      <c r="Y1996" s="105" t="str">
        <f t="shared" si="64"/>
        <v>1w</v>
      </c>
      <c r="Z1996" s="93">
        <f>_xll.qlCalendarAdvance(Calendar,Z1995,Y1996,"f",FALSE)</f>
        <v>53175</v>
      </c>
      <c r="AA1996" s="117">
        <f>_xll.qlCalendarAdvance(Calendar,Z1996,NDays&amp;"D")</f>
        <v>53177</v>
      </c>
      <c r="AB1996" s="92">
        <v>1.803413218364177E-2</v>
      </c>
      <c r="AC1996" s="101">
        <v>1.7941281787825503E-2</v>
      </c>
    </row>
    <row r="1997" spans="25:29" x14ac:dyDescent="0.2">
      <c r="Y1997" s="105" t="str">
        <f t="shared" si="64"/>
        <v>1w</v>
      </c>
      <c r="Z1997" s="93">
        <f>_xll.qlCalendarAdvance(Calendar,Z1996,Y1997,"f",FALSE)</f>
        <v>53182</v>
      </c>
      <c r="AA1997" s="117">
        <f>_xll.qlCalendarAdvance(Calendar,Z1997,NDays&amp;"D")</f>
        <v>53184</v>
      </c>
      <c r="AB1997" s="92">
        <v>1.803473565108037E-2</v>
      </c>
      <c r="AC1997" s="101">
        <v>1.7942268432991071E-2</v>
      </c>
    </row>
    <row r="1998" spans="25:29" x14ac:dyDescent="0.2">
      <c r="Y1998" s="105" t="str">
        <f t="shared" si="64"/>
        <v>1w</v>
      </c>
      <c r="Z1998" s="93">
        <f>_xll.qlCalendarAdvance(Calendar,Z1997,Y1998,"f",FALSE)</f>
        <v>53189</v>
      </c>
      <c r="AA1998" s="117">
        <f>_xll.qlCalendarAdvance(Calendar,Z1998,NDays&amp;"D")</f>
        <v>53191</v>
      </c>
      <c r="AB1998" s="92">
        <v>1.8035309429512879E-2</v>
      </c>
      <c r="AC1998" s="101">
        <v>1.7943225661367634E-2</v>
      </c>
    </row>
    <row r="1999" spans="25:29" x14ac:dyDescent="0.2">
      <c r="Y1999" s="105" t="str">
        <f t="shared" si="64"/>
        <v>1w</v>
      </c>
      <c r="Z1999" s="93">
        <f>_xll.qlCalendarAdvance(Calendar,Z1998,Y1999,"f",FALSE)</f>
        <v>53196</v>
      </c>
      <c r="AA1999" s="117">
        <f>_xll.qlCalendarAdvance(Calendar,Z1999,NDays&amp;"D")</f>
        <v>53198</v>
      </c>
      <c r="AB1999" s="92">
        <v>1.803585351891222E-2</v>
      </c>
      <c r="AC1999" s="101">
        <v>1.7944153473195001E-2</v>
      </c>
    </row>
    <row r="2000" spans="25:29" x14ac:dyDescent="0.2">
      <c r="Y2000" s="105" t="str">
        <f t="shared" si="64"/>
        <v>1w</v>
      </c>
      <c r="Z2000" s="93">
        <f>_xll.qlCalendarAdvance(Calendar,Z1999,Y2000,"f",FALSE)</f>
        <v>53203</v>
      </c>
      <c r="AA2000" s="117">
        <f>_xll.qlCalendarAdvance(Calendar,Z2000,NDays&amp;"D")</f>
        <v>53205</v>
      </c>
      <c r="AB2000" s="92">
        <v>1.8033982043704943E-2</v>
      </c>
      <c r="AC2000" s="101">
        <v>1.7945051868633044E-2</v>
      </c>
    </row>
    <row r="2001" spans="25:29" x14ac:dyDescent="0.2">
      <c r="Y2001" s="105" t="str">
        <f t="shared" si="64"/>
        <v>1w</v>
      </c>
      <c r="Z2001" s="93">
        <f>_xll.qlCalendarAdvance(Calendar,Z2000,Y2001,"f",FALSE)</f>
        <v>53210</v>
      </c>
      <c r="AA2001" s="117">
        <f>_xll.qlCalendarAdvance(Calendar,Z2001,NDays&amp;"D")</f>
        <v>53212</v>
      </c>
      <c r="AB2001" s="92">
        <v>1.8034477234733899E-2</v>
      </c>
      <c r="AC2001" s="101">
        <v>1.7945920847362018E-2</v>
      </c>
    </row>
    <row r="2002" spans="25:29" x14ac:dyDescent="0.2">
      <c r="Y2002" s="105" t="str">
        <f t="shared" si="64"/>
        <v>1w</v>
      </c>
      <c r="Z2002" s="93">
        <f>_xll.qlCalendarAdvance(Calendar,Z2001,Y2002,"f",FALSE)</f>
        <v>53217</v>
      </c>
      <c r="AA2002" s="117">
        <f>_xll.qlCalendarAdvance(Calendar,Z2002,NDays&amp;"D")</f>
        <v>53219</v>
      </c>
      <c r="AB2002" s="92">
        <v>1.8034942744066196E-2</v>
      </c>
      <c r="AC2002" s="101">
        <v>1.7946760409541795E-2</v>
      </c>
    </row>
    <row r="2003" spans="25:29" x14ac:dyDescent="0.2">
      <c r="Y2003" s="105" t="str">
        <f t="shared" si="64"/>
        <v>1w</v>
      </c>
      <c r="Z2003" s="93">
        <f>_xll.qlCalendarAdvance(Calendar,Z2002,Y2003,"f",FALSE)</f>
        <v>53224</v>
      </c>
      <c r="AA2003" s="117">
        <f>_xll.qlCalendarAdvance(Calendar,Z2003,NDays&amp;"D")</f>
        <v>53226</v>
      </c>
      <c r="AB2003" s="92">
        <v>1.8035378571680635E-2</v>
      </c>
      <c r="AC2003" s="101">
        <v>1.7947570555252312E-2</v>
      </c>
    </row>
    <row r="2004" spans="25:29" x14ac:dyDescent="0.2">
      <c r="Y2004" s="105" t="str">
        <f t="shared" si="64"/>
        <v>1w</v>
      </c>
      <c r="Z2004" s="93">
        <f>_xll.qlCalendarAdvance(Calendar,Z2003,Y2004,"f",FALSE)</f>
        <v>53231</v>
      </c>
      <c r="AA2004" s="117">
        <f>_xll.qlCalendarAdvance(Calendar,Z2004,NDays&amp;"D")</f>
        <v>53233</v>
      </c>
      <c r="AB2004" s="92">
        <v>1.8035784717558671E-2</v>
      </c>
      <c r="AC2004" s="101">
        <v>1.7948351284413633E-2</v>
      </c>
    </row>
    <row r="2005" spans="25:29" x14ac:dyDescent="0.2">
      <c r="Y2005" s="105" t="str">
        <f t="shared" ref="Y2005:Y2068" si="65">Y2004</f>
        <v>1w</v>
      </c>
      <c r="Z2005" s="93">
        <f>_xll.qlCalendarAdvance(Calendar,Z2004,Y2005,"f",FALSE)</f>
        <v>53238</v>
      </c>
      <c r="AA2005" s="117">
        <f>_xll.qlCalendarAdvance(Calendar,Z2005,NDays&amp;"D")</f>
        <v>53240</v>
      </c>
      <c r="AB2005" s="92">
        <v>1.8036628232855779E-2</v>
      </c>
      <c r="AC2005" s="101">
        <v>1.7949102596865885E-2</v>
      </c>
    </row>
    <row r="2006" spans="25:29" x14ac:dyDescent="0.2">
      <c r="Y2006" s="105" t="str">
        <f t="shared" si="65"/>
        <v>1w</v>
      </c>
      <c r="Z2006" s="93">
        <f>_xll.qlCalendarAdvance(Calendar,Z2005,Y2006,"f",FALSE)</f>
        <v>53245</v>
      </c>
      <c r="AA2006" s="117">
        <f>_xll.qlCalendarAdvance(Calendar,Z2006,NDays&amp;"D")</f>
        <v>53247</v>
      </c>
      <c r="AB2006" s="92">
        <v>1.8036972912267826E-2</v>
      </c>
      <c r="AC2006" s="101">
        <v>1.7949824492848876E-2</v>
      </c>
    </row>
    <row r="2007" spans="25:29" x14ac:dyDescent="0.2">
      <c r="Y2007" s="105" t="str">
        <f t="shared" si="65"/>
        <v>1w</v>
      </c>
      <c r="Z2007" s="93">
        <f>_xll.qlCalendarAdvance(Calendar,Z2006,Y2007,"f",FALSE)</f>
        <v>53252</v>
      </c>
      <c r="AA2007" s="117">
        <f>_xll.qlCalendarAdvance(Calendar,Z2007,NDays&amp;"D")</f>
        <v>53254</v>
      </c>
      <c r="AB2007" s="92">
        <v>1.8037287908412598E-2</v>
      </c>
      <c r="AC2007" s="101">
        <v>1.7950516972202735E-2</v>
      </c>
    </row>
    <row r="2008" spans="25:29" x14ac:dyDescent="0.2">
      <c r="Y2008" s="105" t="str">
        <f t="shared" si="65"/>
        <v>1w</v>
      </c>
      <c r="Z2008" s="93">
        <f>_xll.qlCalendarAdvance(Calendar,Z2007,Y2008,"f",FALSE)</f>
        <v>53259</v>
      </c>
      <c r="AA2008" s="117">
        <f>_xll.qlCalendarAdvance(Calendar,Z2008,NDays&amp;"D")</f>
        <v>53261</v>
      </c>
      <c r="AB2008" s="92">
        <v>1.8037573221274285E-2</v>
      </c>
      <c r="AC2008" s="101">
        <v>1.7951180035087333E-2</v>
      </c>
    </row>
    <row r="2009" spans="25:29" x14ac:dyDescent="0.2">
      <c r="Y2009" s="105" t="str">
        <f t="shared" si="65"/>
        <v>1w</v>
      </c>
      <c r="Z2009" s="93">
        <f>_xll.qlCalendarAdvance(Calendar,Z2008,Y2009,"f",FALSE)</f>
        <v>53266</v>
      </c>
      <c r="AA2009" s="117">
        <f>_xll.qlCalendarAdvance(Calendar,Z2009,NDays&amp;"D")</f>
        <v>53268</v>
      </c>
      <c r="AB2009" s="92">
        <v>1.8037370220305663E-2</v>
      </c>
      <c r="AC2009" s="101">
        <v>1.7951813681342799E-2</v>
      </c>
    </row>
    <row r="2010" spans="25:29" x14ac:dyDescent="0.2">
      <c r="Y2010" s="105" t="str">
        <f t="shared" si="65"/>
        <v>1w</v>
      </c>
      <c r="Z2010" s="93">
        <f>_xll.qlCalendarAdvance(Calendar,Z2009,Y2010,"f",FALSE)</f>
        <v>53273</v>
      </c>
      <c r="AA2010" s="117">
        <f>_xll.qlCalendarAdvance(Calendar,Z2010,NDays&amp;"D")</f>
        <v>53275</v>
      </c>
      <c r="AB2010" s="92">
        <v>1.8037598275428737E-2</v>
      </c>
      <c r="AC2010" s="101">
        <v>1.7952417911129004E-2</v>
      </c>
    </row>
    <row r="2011" spans="25:29" x14ac:dyDescent="0.2">
      <c r="Y2011" s="105" t="str">
        <f t="shared" si="65"/>
        <v>1w</v>
      </c>
      <c r="Z2011" s="93">
        <f>_xll.qlCalendarAdvance(Calendar,Z2010,Y2011,"f",FALSE)</f>
        <v>53280</v>
      </c>
      <c r="AA2011" s="117">
        <f>_xll.qlCalendarAdvance(Calendar,Z2011,NDays&amp;"D")</f>
        <v>53282</v>
      </c>
      <c r="AB2011" s="92">
        <v>1.8037796648716478E-2</v>
      </c>
      <c r="AC2011" s="101">
        <v>1.7952992724286077E-2</v>
      </c>
    </row>
    <row r="2012" spans="25:29" x14ac:dyDescent="0.2">
      <c r="Y2012" s="105" t="str">
        <f t="shared" si="65"/>
        <v>1w</v>
      </c>
      <c r="Z2012" s="93">
        <f>_xll.qlCalendarAdvance(Calendar,Z2011,Y2012,"f",FALSE)</f>
        <v>53287</v>
      </c>
      <c r="AA2012" s="117">
        <f>_xll.qlCalendarAdvance(Calendar,Z2012,NDays&amp;"D")</f>
        <v>53289</v>
      </c>
      <c r="AB2012" s="92">
        <v>1.8037965340159171E-2</v>
      </c>
      <c r="AC2012" s="101">
        <v>1.7953538120893953E-2</v>
      </c>
    </row>
    <row r="2013" spans="25:29" x14ac:dyDescent="0.2">
      <c r="Y2013" s="105" t="str">
        <f t="shared" si="65"/>
        <v>1w</v>
      </c>
      <c r="Z2013" s="93">
        <f>_xll.qlCalendarAdvance(Calendar,Z2012,Y2013,"f",FALSE)</f>
        <v>53294</v>
      </c>
      <c r="AA2013" s="117">
        <f>_xll.qlCalendarAdvance(Calendar,Z2013,NDays&amp;"D")</f>
        <v>53296</v>
      </c>
      <c r="AB2013" s="92">
        <v>1.8038554535951715E-2</v>
      </c>
      <c r="AC2013" s="101">
        <v>1.7954054100872696E-2</v>
      </c>
    </row>
    <row r="2014" spans="25:29" x14ac:dyDescent="0.2">
      <c r="Y2014" s="105" t="str">
        <f t="shared" si="65"/>
        <v>1w</v>
      </c>
      <c r="Z2014" s="93">
        <f>_xll.qlCalendarAdvance(Calendar,Z2013,Y2014,"f",FALSE)</f>
        <v>53301</v>
      </c>
      <c r="AA2014" s="117">
        <f>_xll.qlCalendarAdvance(Calendar,Z2014,NDays&amp;"D")</f>
        <v>53303</v>
      </c>
      <c r="AB2014" s="92">
        <v>1.8038661748899683E-2</v>
      </c>
      <c r="AC2014" s="101">
        <v>1.7954540664462115E-2</v>
      </c>
    </row>
    <row r="2015" spans="25:29" x14ac:dyDescent="0.2">
      <c r="Y2015" s="105" t="str">
        <f t="shared" si="65"/>
        <v>1w</v>
      </c>
      <c r="Z2015" s="93">
        <f>_xll.qlCalendarAdvance(Calendar,Z2014,Y2015,"f",FALSE)</f>
        <v>53308</v>
      </c>
      <c r="AA2015" s="117">
        <f>_xll.qlCalendarAdvance(Calendar,Z2015,NDays&amp;"D")</f>
        <v>53310</v>
      </c>
      <c r="AB2015" s="92">
        <v>1.803873927850352E-2</v>
      </c>
      <c r="AC2015" s="101">
        <v>1.7954997811342466E-2</v>
      </c>
    </row>
    <row r="2016" spans="25:29" x14ac:dyDescent="0.2">
      <c r="Y2016" s="105" t="str">
        <f t="shared" si="65"/>
        <v>1w</v>
      </c>
      <c r="Z2016" s="93">
        <f>_xll.qlCalendarAdvance(Calendar,Z2015,Y2016,"f",FALSE)</f>
        <v>53315</v>
      </c>
      <c r="AA2016" s="117">
        <f>_xll.qlCalendarAdvance(Calendar,Z2016,NDays&amp;"D")</f>
        <v>53317</v>
      </c>
      <c r="AB2016" s="92">
        <v>1.8038787124760584E-2</v>
      </c>
      <c r="AC2016" s="101">
        <v>1.795542554167362E-2</v>
      </c>
    </row>
    <row r="2017" spans="25:29" x14ac:dyDescent="0.2">
      <c r="Y2017" s="105" t="str">
        <f t="shared" si="65"/>
        <v>1w</v>
      </c>
      <c r="Z2017" s="93">
        <f>_xll.qlCalendarAdvance(Calendar,Z2016,Y2017,"f",FALSE)</f>
        <v>53323</v>
      </c>
      <c r="AA2017" s="117">
        <f>_xll.qlCalendarAdvance(Calendar,Z2017,NDays&amp;"D")</f>
        <v>53325</v>
      </c>
      <c r="AB2017" s="92">
        <v>1.8038805459239138E-2</v>
      </c>
      <c r="AC2017" s="101">
        <v>1.7957302052740154E-2</v>
      </c>
    </row>
    <row r="2018" spans="25:29" x14ac:dyDescent="0.2">
      <c r="Y2018" s="105" t="str">
        <f t="shared" si="65"/>
        <v>1w</v>
      </c>
      <c r="Z2018" s="93">
        <f>_xll.qlCalendarAdvance(Calendar,Z2017,Y2018,"f",FALSE)</f>
        <v>53330</v>
      </c>
      <c r="AA2018" s="117">
        <f>_xll.qlCalendarAdvance(Calendar,Z2018,NDays&amp;"D")</f>
        <v>53332</v>
      </c>
      <c r="AB2018" s="92">
        <v>1.8038350403931862E-2</v>
      </c>
      <c r="AC2018" s="101">
        <v>1.7957188198254315E-2</v>
      </c>
    </row>
    <row r="2019" spans="25:29" x14ac:dyDescent="0.2">
      <c r="Y2019" s="105" t="str">
        <f t="shared" si="65"/>
        <v>1w</v>
      </c>
      <c r="Z2019" s="93">
        <f>_xll.qlCalendarAdvance(Calendar,Z2018,Y2019,"f",FALSE)</f>
        <v>53337</v>
      </c>
      <c r="AA2019" s="117">
        <f>_xll.qlCalendarAdvance(Calendar,Z2019,NDays&amp;"D")</f>
        <v>53339</v>
      </c>
      <c r="AB2019" s="92">
        <v>1.8038307082061573E-2</v>
      </c>
      <c r="AC2019" s="101">
        <v>1.7957519307207903E-2</v>
      </c>
    </row>
    <row r="2020" spans="25:29" x14ac:dyDescent="0.2">
      <c r="Y2020" s="105" t="str">
        <f t="shared" si="65"/>
        <v>1w</v>
      </c>
      <c r="Z2020" s="93">
        <f>_xll.qlCalendarAdvance(Calendar,Z2019,Y2020,"f",FALSE)</f>
        <v>53344</v>
      </c>
      <c r="AA2020" s="117">
        <f>_xll.qlCalendarAdvance(Calendar,Z2020,NDays&amp;"D")</f>
        <v>53346</v>
      </c>
      <c r="AB2020" s="92">
        <v>1.8038234078325478E-2</v>
      </c>
      <c r="AC2020" s="101">
        <v>1.7957820996707952E-2</v>
      </c>
    </row>
    <row r="2021" spans="25:29" x14ac:dyDescent="0.2">
      <c r="Y2021" s="105" t="str">
        <f t="shared" si="65"/>
        <v>1w</v>
      </c>
      <c r="Z2021" s="93">
        <f>_xll.qlCalendarAdvance(Calendar,Z2020,Y2021,"f",FALSE)</f>
        <v>53351</v>
      </c>
      <c r="AA2021" s="117">
        <f>_xll.qlCalendarAdvance(Calendar,Z2021,NDays&amp;"D")</f>
        <v>53353</v>
      </c>
      <c r="AB2021" s="92">
        <v>1.80381313927249E-2</v>
      </c>
      <c r="AC2021" s="101">
        <v>1.7958093266674524E-2</v>
      </c>
    </row>
    <row r="2022" spans="25:29" x14ac:dyDescent="0.2">
      <c r="Y2022" s="105" t="str">
        <f t="shared" si="65"/>
        <v>1w</v>
      </c>
      <c r="Z2022" s="93">
        <f>_xll.qlCalendarAdvance(Calendar,Z2021,Y2022,"f",FALSE)</f>
        <v>53358</v>
      </c>
      <c r="AA2022" s="117">
        <f>_xll.qlCalendarAdvance(Calendar,Z2022,NDays&amp;"D")</f>
        <v>53360</v>
      </c>
      <c r="AB2022" s="92">
        <v>1.8037999025265587E-2</v>
      </c>
      <c r="AC2022" s="101">
        <v>1.7958336117134266E-2</v>
      </c>
    </row>
    <row r="2023" spans="25:29" x14ac:dyDescent="0.2">
      <c r="Y2023" s="105" t="str">
        <f t="shared" si="65"/>
        <v>1w</v>
      </c>
      <c r="Z2023" s="93">
        <f>_xll.qlCalendarAdvance(Calendar,Z2022,Y2023,"f",FALSE)</f>
        <v>53365</v>
      </c>
      <c r="AA2023" s="117">
        <f>_xll.qlCalendarAdvance(Calendar,Z2023,NDays&amp;"D")</f>
        <v>53367</v>
      </c>
      <c r="AB2023" s="92">
        <v>1.8037836975951953E-2</v>
      </c>
      <c r="AC2023" s="101">
        <v>1.7958549548113822E-2</v>
      </c>
    </row>
    <row r="2024" spans="25:29" x14ac:dyDescent="0.2">
      <c r="Y2024" s="105" t="str">
        <f t="shared" si="65"/>
        <v>1w</v>
      </c>
      <c r="Z2024" s="93">
        <f>_xll.qlCalendarAdvance(Calendar,Z2023,Y2024,"f",FALSE)</f>
        <v>53372</v>
      </c>
      <c r="AA2024" s="117">
        <f>_xll.qlCalendarAdvance(Calendar,Z2024,NDays&amp;"D")</f>
        <v>53374</v>
      </c>
      <c r="AB2024" s="92">
        <v>1.8037645244793267E-2</v>
      </c>
      <c r="AC2024" s="101">
        <v>1.7958733559613194E-2</v>
      </c>
    </row>
    <row r="2025" spans="25:29" x14ac:dyDescent="0.2">
      <c r="Y2025" s="105" t="str">
        <f t="shared" si="65"/>
        <v>1w</v>
      </c>
      <c r="Z2025" s="93">
        <f>_xll.qlCalendarAdvance(Calendar,Z2024,Y2025,"f",FALSE)</f>
        <v>53379</v>
      </c>
      <c r="AA2025" s="117">
        <f>_xll.qlCalendarAdvance(Calendar,Z2025,NDays&amp;"D")</f>
        <v>53381</v>
      </c>
      <c r="AB2025" s="92">
        <v>1.803742383179616E-2</v>
      </c>
      <c r="AC2025" s="101">
        <v>1.7958888151579089E-2</v>
      </c>
    </row>
    <row r="2026" spans="25:29" x14ac:dyDescent="0.2">
      <c r="Y2026" s="105" t="str">
        <f t="shared" si="65"/>
        <v>1w</v>
      </c>
      <c r="Z2026" s="93">
        <f>_xll.qlCalendarAdvance(Calendar,Z2025,Y2026,"f",FALSE)</f>
        <v>53386</v>
      </c>
      <c r="AA2026" s="117">
        <f>_xll.qlCalendarAdvance(Calendar,Z2026,NDays&amp;"D")</f>
        <v>53388</v>
      </c>
      <c r="AB2026" s="92">
        <v>1.803886069326997E-2</v>
      </c>
      <c r="AC2026" s="101">
        <v>1.7959013324064799E-2</v>
      </c>
    </row>
    <row r="2027" spans="25:29" x14ac:dyDescent="0.2">
      <c r="Y2027" s="105" t="str">
        <f t="shared" si="65"/>
        <v>1w</v>
      </c>
      <c r="Z2027" s="93">
        <f>_xll.qlCalendarAdvance(Calendar,Z2026,Y2027,"f",FALSE)</f>
        <v>53393</v>
      </c>
      <c r="AA2027" s="117">
        <f>_xll.qlCalendarAdvance(Calendar,Z2027,NDays&amp;"D")</f>
        <v>53395</v>
      </c>
      <c r="AB2027" s="92">
        <v>1.8038571378402125E-2</v>
      </c>
      <c r="AC2027" s="101">
        <v>1.7959109077070323E-2</v>
      </c>
    </row>
    <row r="2028" spans="25:29" x14ac:dyDescent="0.2">
      <c r="Y2028" s="105" t="str">
        <f t="shared" si="65"/>
        <v>1w</v>
      </c>
      <c r="Z2028" s="93">
        <f>_xll.qlCalendarAdvance(Calendar,Z2027,Y2028,"f",FALSE)</f>
        <v>53400</v>
      </c>
      <c r="AA2028" s="117">
        <f>_xll.qlCalendarAdvance(Calendar,Z2028,NDays&amp;"D")</f>
        <v>53402</v>
      </c>
      <c r="AB2028" s="92">
        <v>1.8038252375814318E-2</v>
      </c>
      <c r="AC2028" s="101">
        <v>1.7959175410569017E-2</v>
      </c>
    </row>
    <row r="2029" spans="25:29" x14ac:dyDescent="0.2">
      <c r="Y2029" s="105" t="str">
        <f t="shared" si="65"/>
        <v>1w</v>
      </c>
      <c r="Z2029" s="93">
        <f>_xll.qlCalendarAdvance(Calendar,Z2028,Y2029,"f",FALSE)</f>
        <v>53407</v>
      </c>
      <c r="AA2029" s="117">
        <f>_xll.qlCalendarAdvance(Calendar,Z2029,NDays&amp;"D")</f>
        <v>53413</v>
      </c>
      <c r="AB2029" s="92">
        <v>1.803727703172681E-2</v>
      </c>
      <c r="AC2029" s="101">
        <v>1.795832348699733E-2</v>
      </c>
    </row>
    <row r="2030" spans="25:29" x14ac:dyDescent="0.2">
      <c r="Y2030" s="105" t="str">
        <f t="shared" si="65"/>
        <v>1w</v>
      </c>
      <c r="Z2030" s="93">
        <f>_xll.qlCalendarAdvance(Calendar,Z2029,Y2030,"f",FALSE)</f>
        <v>53414</v>
      </c>
      <c r="AA2030" s="117">
        <f>_xll.qlCalendarAdvance(Calendar,Z2030,NDays&amp;"D")</f>
        <v>53416</v>
      </c>
      <c r="AB2030" s="92">
        <v>1.8036285267558298E-2</v>
      </c>
      <c r="AC2030" s="101">
        <v>1.7959219819045913E-2</v>
      </c>
    </row>
    <row r="2031" spans="25:29" x14ac:dyDescent="0.2">
      <c r="Y2031" s="105" t="str">
        <f t="shared" si="65"/>
        <v>1w</v>
      </c>
      <c r="Z2031" s="93">
        <f>_xll.qlCalendarAdvance(Calendar,Z2030,Y2031,"f",FALSE)</f>
        <v>53421</v>
      </c>
      <c r="AA2031" s="117">
        <f>_xll.qlCalendarAdvance(Calendar,Z2031,NDays&amp;"D")</f>
        <v>53423</v>
      </c>
      <c r="AB2031" s="92">
        <v>1.8037117241874609E-2</v>
      </c>
      <c r="AC2031" s="101">
        <v>1.795919789405076E-2</v>
      </c>
    </row>
    <row r="2032" spans="25:29" x14ac:dyDescent="0.2">
      <c r="Y2032" s="105" t="str">
        <f t="shared" si="65"/>
        <v>1w</v>
      </c>
      <c r="Z2032" s="93">
        <f>_xll.qlCalendarAdvance(Calendar,Z2031,Y2032,"f",FALSE)</f>
        <v>53428</v>
      </c>
      <c r="AA2032" s="117">
        <f>_xll.qlCalendarAdvance(Calendar,Z2032,NDays&amp;"D")</f>
        <v>53430</v>
      </c>
      <c r="AB2032" s="92">
        <v>1.8036679488559932E-2</v>
      </c>
      <c r="AC2032" s="101">
        <v>1.7959146549548777E-2</v>
      </c>
    </row>
    <row r="2033" spans="25:29" x14ac:dyDescent="0.2">
      <c r="Y2033" s="105" t="str">
        <f t="shared" si="65"/>
        <v>1w</v>
      </c>
      <c r="Z2033" s="93">
        <f>_xll.qlCalendarAdvance(Calendar,Z2032,Y2033,"f",FALSE)</f>
        <v>53435</v>
      </c>
      <c r="AA2033" s="117">
        <f>_xll.qlCalendarAdvance(Calendar,Z2033,NDays&amp;"D")</f>
        <v>53437</v>
      </c>
      <c r="AB2033" s="92">
        <v>1.8036212047610415E-2</v>
      </c>
      <c r="AC2033" s="101">
        <v>1.7959065785539963E-2</v>
      </c>
    </row>
    <row r="2034" spans="25:29" x14ac:dyDescent="0.2">
      <c r="Y2034" s="105" t="str">
        <f t="shared" si="65"/>
        <v>1w</v>
      </c>
      <c r="Z2034" s="93">
        <f>_xll.qlCalendarAdvance(Calendar,Z2033,Y2034,"f",FALSE)</f>
        <v>53442</v>
      </c>
      <c r="AA2034" s="117">
        <f>_xll.qlCalendarAdvance(Calendar,Z2034,NDays&amp;"D")</f>
        <v>53444</v>
      </c>
      <c r="AB2034" s="92">
        <v>1.8035714919046372E-2</v>
      </c>
      <c r="AC2034" s="101">
        <v>1.7958955602024318E-2</v>
      </c>
    </row>
    <row r="2035" spans="25:29" x14ac:dyDescent="0.2">
      <c r="Y2035" s="105" t="str">
        <f t="shared" si="65"/>
        <v>1w</v>
      </c>
      <c r="Z2035" s="93">
        <f>_xll.qlCalendarAdvance(Calendar,Z2034,Y2035,"f",FALSE)</f>
        <v>53449</v>
      </c>
      <c r="AA2035" s="117">
        <f>_xll.qlCalendarAdvance(Calendar,Z2035,NDays&amp;"D")</f>
        <v>53451</v>
      </c>
      <c r="AB2035" s="92">
        <v>1.8035188102891564E-2</v>
      </c>
      <c r="AC2035" s="101">
        <v>1.7958815999028488E-2</v>
      </c>
    </row>
    <row r="2036" spans="25:29" x14ac:dyDescent="0.2">
      <c r="Y2036" s="105" t="str">
        <f t="shared" si="65"/>
        <v>1w</v>
      </c>
      <c r="Z2036" s="93">
        <f>_xll.qlCalendarAdvance(Calendar,Z2035,Y2036,"f",FALSE)</f>
        <v>53456</v>
      </c>
      <c r="AA2036" s="117">
        <f>_xll.qlCalendarAdvance(Calendar,Z2036,NDays&amp;"D")</f>
        <v>53458</v>
      </c>
      <c r="AB2036" s="92">
        <v>1.803463159916846E-2</v>
      </c>
      <c r="AC2036" s="101">
        <v>1.7958646976579118E-2</v>
      </c>
    </row>
    <row r="2037" spans="25:29" x14ac:dyDescent="0.2">
      <c r="Y2037" s="105" t="str">
        <f t="shared" si="65"/>
        <v>1w</v>
      </c>
      <c r="Z2037" s="93">
        <f>_xll.qlCalendarAdvance(Calendar,Z2036,Y2037,"f",FALSE)</f>
        <v>53463</v>
      </c>
      <c r="AA2037" s="117">
        <f>_xll.qlCalendarAdvance(Calendar,Z2037,NDays&amp;"D")</f>
        <v>53465</v>
      </c>
      <c r="AB2037" s="92">
        <v>1.8034045407902988E-2</v>
      </c>
      <c r="AC2037" s="101">
        <v>1.7958448534596272E-2</v>
      </c>
    </row>
    <row r="2038" spans="25:29" x14ac:dyDescent="0.2">
      <c r="Y2038" s="105" t="str">
        <f t="shared" si="65"/>
        <v>1w</v>
      </c>
      <c r="Z2038" s="93">
        <f>_xll.qlCalendarAdvance(Calendar,Z2037,Y2038,"f",FALSE)</f>
        <v>53470</v>
      </c>
      <c r="AA2038" s="117">
        <f>_xll.qlCalendarAdvance(Calendar,Z2038,NDays&amp;"D")</f>
        <v>53472</v>
      </c>
      <c r="AB2038" s="92">
        <v>1.8033429529122364E-2</v>
      </c>
      <c r="AC2038" s="101">
        <v>1.7958220673133241E-2</v>
      </c>
    </row>
    <row r="2039" spans="25:29" x14ac:dyDescent="0.2">
      <c r="Y2039" s="105" t="str">
        <f t="shared" si="65"/>
        <v>1w</v>
      </c>
      <c r="Z2039" s="93">
        <f>_xll.qlCalendarAdvance(Calendar,Z2038,Y2039,"f",FALSE)</f>
        <v>53477</v>
      </c>
      <c r="AA2039" s="117">
        <f>_xll.qlCalendarAdvance(Calendar,Z2039,NDays&amp;"D")</f>
        <v>53479</v>
      </c>
      <c r="AB2039" s="92">
        <v>1.803278396285295E-2</v>
      </c>
      <c r="AC2039" s="101">
        <v>1.7957963392136733E-2</v>
      </c>
    </row>
    <row r="2040" spans="25:29" x14ac:dyDescent="0.2">
      <c r="Y2040" s="105" t="str">
        <f t="shared" si="65"/>
        <v>1w</v>
      </c>
      <c r="Z2040" s="93">
        <f>_xll.qlCalendarAdvance(Calendar,Z2039,Y2040,"f",FALSE)</f>
        <v>53484</v>
      </c>
      <c r="AA2040" s="117">
        <f>_xll.qlCalendarAdvance(Calendar,Z2040,NDays&amp;"D")</f>
        <v>53486</v>
      </c>
      <c r="AB2040" s="92">
        <v>1.8032108709124989E-2</v>
      </c>
      <c r="AC2040" s="101">
        <v>1.7957676691633395E-2</v>
      </c>
    </row>
    <row r="2041" spans="25:29" x14ac:dyDescent="0.2">
      <c r="Y2041" s="105" t="str">
        <f t="shared" si="65"/>
        <v>1w</v>
      </c>
      <c r="Z2041" s="93">
        <f>_xll.qlCalendarAdvance(Calendar,Z2040,Y2041,"f",FALSE)</f>
        <v>53491</v>
      </c>
      <c r="AA2041" s="117">
        <f>_xll.qlCalendarAdvance(Calendar,Z2041,NDays&amp;"D")</f>
        <v>53493</v>
      </c>
      <c r="AB2041" s="92">
        <v>1.8031403767969162E-2</v>
      </c>
      <c r="AC2041" s="101">
        <v>1.7957360571623227E-2</v>
      </c>
    </row>
    <row r="2042" spans="25:29" x14ac:dyDescent="0.2">
      <c r="Y2042" s="105" t="str">
        <f t="shared" si="65"/>
        <v>1w</v>
      </c>
      <c r="Z2042" s="93">
        <f>_xll.qlCalendarAdvance(Calendar,Z2041,Y2042,"f",FALSE)</f>
        <v>53498</v>
      </c>
      <c r="AA2042" s="117">
        <f>_xll.qlCalendarAdvance(Calendar,Z2042,NDays&amp;"D")</f>
        <v>53500</v>
      </c>
      <c r="AB2042" s="92">
        <v>1.8030669139417872E-2</v>
      </c>
      <c r="AC2042" s="101">
        <v>1.7957015032186163E-2</v>
      </c>
    </row>
    <row r="2043" spans="25:29" x14ac:dyDescent="0.2">
      <c r="Y2043" s="105" t="str">
        <f t="shared" si="65"/>
        <v>1w</v>
      </c>
      <c r="Z2043" s="93">
        <f>_xll.qlCalendarAdvance(Calendar,Z2042,Y2043,"f",FALSE)</f>
        <v>53505</v>
      </c>
      <c r="AA2043" s="117">
        <f>_xll.qlCalendarAdvance(Calendar,Z2043,NDays&amp;"D")</f>
        <v>53507</v>
      </c>
      <c r="AB2043" s="92">
        <v>1.8029904823503098E-2</v>
      </c>
      <c r="AC2043" s="101">
        <v>1.7956640073215624E-2</v>
      </c>
    </row>
    <row r="2044" spans="25:29" x14ac:dyDescent="0.2">
      <c r="Y2044" s="105" t="str">
        <f t="shared" si="65"/>
        <v>1w</v>
      </c>
      <c r="Z2044" s="93">
        <f>_xll.qlCalendarAdvance(Calendar,Z2043,Y2044,"f",FALSE)</f>
        <v>53512</v>
      </c>
      <c r="AA2044" s="117">
        <f>_xll.qlCalendarAdvance(Calendar,Z2044,NDays&amp;"D")</f>
        <v>53514</v>
      </c>
      <c r="AB2044" s="92">
        <v>1.8029110820260267E-2</v>
      </c>
      <c r="AC2044" s="101">
        <v>1.7956235694738254E-2</v>
      </c>
    </row>
    <row r="2045" spans="25:29" x14ac:dyDescent="0.2">
      <c r="Y2045" s="105" t="str">
        <f t="shared" si="65"/>
        <v>1w</v>
      </c>
      <c r="Z2045" s="93">
        <f>_xll.qlCalendarAdvance(Calendar,Z2044,Y2045,"f",FALSE)</f>
        <v>53519</v>
      </c>
      <c r="AA2045" s="117">
        <f>_xll.qlCalendarAdvance(Calendar,Z2045,NDays&amp;"D")</f>
        <v>53521</v>
      </c>
      <c r="AB2045" s="92">
        <v>1.8028287129726109E-2</v>
      </c>
      <c r="AC2045" s="101">
        <v>1.7955801896807344E-2</v>
      </c>
    </row>
    <row r="2046" spans="25:29" x14ac:dyDescent="0.2">
      <c r="Y2046" s="105" t="str">
        <f t="shared" si="65"/>
        <v>1w</v>
      </c>
      <c r="Z2046" s="93">
        <f>_xll.qlCalendarAdvance(Calendar,Z2045,Y2046,"f",FALSE)</f>
        <v>53526</v>
      </c>
      <c r="AA2046" s="117">
        <f>_xll.qlCalendarAdvance(Calendar,Z2046,NDays&amp;"D")</f>
        <v>53528</v>
      </c>
      <c r="AB2046" s="92">
        <v>1.8027433751936054E-2</v>
      </c>
      <c r="AC2046" s="101">
        <v>1.7955338679316313E-2</v>
      </c>
    </row>
    <row r="2047" spans="25:29" x14ac:dyDescent="0.2">
      <c r="Y2047" s="105" t="str">
        <f t="shared" si="65"/>
        <v>1w</v>
      </c>
      <c r="Z2047" s="93">
        <f>_xll.qlCalendarAdvance(Calendar,Z2046,Y2047,"f",FALSE)</f>
        <v>53533</v>
      </c>
      <c r="AA2047" s="117">
        <f>_xll.qlCalendarAdvance(Calendar,Z2047,NDays&amp;"D")</f>
        <v>53535</v>
      </c>
      <c r="AB2047" s="92">
        <v>1.8026550686931153E-2</v>
      </c>
      <c r="AC2047" s="101">
        <v>1.7954846042398387E-2</v>
      </c>
    </row>
    <row r="2048" spans="25:29" x14ac:dyDescent="0.2">
      <c r="Y2048" s="105" t="str">
        <f t="shared" si="65"/>
        <v>1w</v>
      </c>
      <c r="Z2048" s="93">
        <f>_xll.qlCalendarAdvance(Calendar,Z2047,Y2048,"f",FALSE)</f>
        <v>53540</v>
      </c>
      <c r="AA2048" s="117">
        <f>_xll.qlCalendarAdvance(Calendar,Z2048,NDays&amp;"D")</f>
        <v>53542</v>
      </c>
      <c r="AB2048" s="92">
        <v>1.8025637934750288E-2</v>
      </c>
      <c r="AC2048" s="101">
        <v>1.7954323985946985E-2</v>
      </c>
    </row>
    <row r="2049" spans="25:29" x14ac:dyDescent="0.2">
      <c r="Y2049" s="105" t="str">
        <f t="shared" si="65"/>
        <v>1w</v>
      </c>
      <c r="Z2049" s="93">
        <f>_xll.qlCalendarAdvance(Calendar,Z2048,Y2049,"f",FALSE)</f>
        <v>53547</v>
      </c>
      <c r="AA2049" s="117">
        <f>_xll.qlCalendarAdvance(Calendar,Z2049,NDays&amp;"D")</f>
        <v>53549</v>
      </c>
      <c r="AB2049" s="92">
        <v>1.8024695495434079E-2</v>
      </c>
      <c r="AC2049" s="101">
        <v>1.7953772510015398E-2</v>
      </c>
    </row>
    <row r="2050" spans="25:29" x14ac:dyDescent="0.2">
      <c r="Y2050" s="105" t="str">
        <f t="shared" si="65"/>
        <v>1w</v>
      </c>
      <c r="Z2050" s="93">
        <f>_xll.qlCalendarAdvance(Calendar,Z2049,Y2050,"f",FALSE)</f>
        <v>53554</v>
      </c>
      <c r="AA2050" s="117">
        <f>_xll.qlCalendarAdvance(Calendar,Z2050,NDays&amp;"D")</f>
        <v>53556</v>
      </c>
      <c r="AB2050" s="92">
        <v>1.8023723369025735E-2</v>
      </c>
      <c r="AC2050" s="101">
        <v>1.7953191614550335E-2</v>
      </c>
    </row>
    <row r="2051" spans="25:29" x14ac:dyDescent="0.2">
      <c r="Y2051" s="105" t="str">
        <f t="shared" si="65"/>
        <v>1w</v>
      </c>
      <c r="Z2051" s="93">
        <f>_xll.qlCalendarAdvance(Calendar,Z2050,Y2051,"f",FALSE)</f>
        <v>53561</v>
      </c>
      <c r="AA2051" s="117">
        <f>_xll.qlCalendarAdvance(Calendar,Z2051,NDays&amp;"D")</f>
        <v>53563</v>
      </c>
      <c r="AB2051" s="92">
        <v>1.8022721555571053E-2</v>
      </c>
      <c r="AC2051" s="101">
        <v>1.7952581299631731E-2</v>
      </c>
    </row>
    <row r="2052" spans="25:29" x14ac:dyDescent="0.2">
      <c r="Y2052" s="105" t="str">
        <f t="shared" si="65"/>
        <v>1w</v>
      </c>
      <c r="Z2052" s="93">
        <f>_xll.qlCalendarAdvance(Calendar,Z2051,Y2052,"f",FALSE)</f>
        <v>53568</v>
      </c>
      <c r="AA2052" s="117">
        <f>_xll.qlCalendarAdvance(Calendar,Z2052,NDays&amp;"D")</f>
        <v>53570</v>
      </c>
      <c r="AB2052" s="92">
        <v>1.8020226013446636E-2</v>
      </c>
      <c r="AC2052" s="101">
        <v>1.7951941565232943E-2</v>
      </c>
    </row>
    <row r="2053" spans="25:29" x14ac:dyDescent="0.2">
      <c r="Y2053" s="105" t="str">
        <f t="shared" si="65"/>
        <v>1w</v>
      </c>
      <c r="Z2053" s="93">
        <f>_xll.qlCalendarAdvance(Calendar,Z2052,Y2053,"f",FALSE)</f>
        <v>53575</v>
      </c>
      <c r="AA2053" s="117">
        <f>_xll.qlCalendarAdvance(Calendar,Z2053,NDays&amp;"D")</f>
        <v>53577</v>
      </c>
      <c r="AB2053" s="92">
        <v>1.8019173517797991E-2</v>
      </c>
      <c r="AC2053" s="101">
        <v>1.7951272411327324E-2</v>
      </c>
    </row>
    <row r="2054" spans="25:29" x14ac:dyDescent="0.2">
      <c r="Y2054" s="105" t="str">
        <f t="shared" si="65"/>
        <v>1w</v>
      </c>
      <c r="Z2054" s="93">
        <f>_xll.qlCalendarAdvance(Calendar,Z2053,Y2054,"f",FALSE)</f>
        <v>53582</v>
      </c>
      <c r="AA2054" s="117">
        <f>_xll.qlCalendarAdvance(Calendar,Z2054,NDays&amp;"D")</f>
        <v>53584</v>
      </c>
      <c r="AB2054" s="92">
        <v>1.8018091341130596E-2</v>
      </c>
      <c r="AC2054" s="101">
        <v>1.7950573837914874E-2</v>
      </c>
    </row>
    <row r="2055" spans="25:29" x14ac:dyDescent="0.2">
      <c r="Y2055" s="105" t="str">
        <f t="shared" si="65"/>
        <v>1w</v>
      </c>
      <c r="Z2055" s="93">
        <f>_xll.qlCalendarAdvance(Calendar,Z2054,Y2055,"f",FALSE)</f>
        <v>53589</v>
      </c>
      <c r="AA2055" s="117">
        <f>_xll.qlCalendarAdvance(Calendar,Z2055,NDays&amp;"D")</f>
        <v>53591</v>
      </c>
      <c r="AB2055" s="92">
        <v>1.8016979483493036E-2</v>
      </c>
      <c r="AC2055" s="101">
        <v>1.7949845844995593E-2</v>
      </c>
    </row>
    <row r="2056" spans="25:29" x14ac:dyDescent="0.2">
      <c r="Y2056" s="105" t="str">
        <f t="shared" si="65"/>
        <v>1w</v>
      </c>
      <c r="Z2056" s="93">
        <f>_xll.qlCalendarAdvance(Calendar,Z2055,Y2056,"f",FALSE)</f>
        <v>53596</v>
      </c>
      <c r="AA2056" s="117">
        <f>_xll.qlCalendarAdvance(Calendar,Z2056,NDays&amp;"D")</f>
        <v>53598</v>
      </c>
      <c r="AB2056" s="92">
        <v>1.8016195549000573E-2</v>
      </c>
      <c r="AC2056" s="101">
        <v>1.7949088432649418E-2</v>
      </c>
    </row>
    <row r="2057" spans="25:29" x14ac:dyDescent="0.2">
      <c r="Y2057" s="105" t="str">
        <f t="shared" si="65"/>
        <v>1w</v>
      </c>
      <c r="Z2057" s="93">
        <f>_xll.qlCalendarAdvance(Calendar,Z2056,Y2057,"f",FALSE)</f>
        <v>53603</v>
      </c>
      <c r="AA2057" s="117">
        <f>_xll.qlCalendarAdvance(Calendar,Z2057,NDays&amp;"D")</f>
        <v>53605</v>
      </c>
      <c r="AB2057" s="92">
        <v>1.8015022151064833E-2</v>
      </c>
      <c r="AC2057" s="101">
        <v>1.7948301600743122E-2</v>
      </c>
    </row>
    <row r="2058" spans="25:29" x14ac:dyDescent="0.2">
      <c r="Y2058" s="105" t="str">
        <f t="shared" si="65"/>
        <v>1w</v>
      </c>
      <c r="Z2058" s="93">
        <f>_xll.qlCalendarAdvance(Calendar,Z2057,Y2058,"f",FALSE)</f>
        <v>53610</v>
      </c>
      <c r="AA2058" s="117">
        <f>_xll.qlCalendarAdvance(Calendar,Z2058,NDays&amp;"D")</f>
        <v>53612</v>
      </c>
      <c r="AB2058" s="92">
        <v>1.8015230087148587E-2</v>
      </c>
      <c r="AC2058" s="101">
        <v>1.7947485349383285E-2</v>
      </c>
    </row>
    <row r="2059" spans="25:29" x14ac:dyDescent="0.2">
      <c r="Y2059" s="105" t="str">
        <f t="shared" si="65"/>
        <v>1w</v>
      </c>
      <c r="Z2059" s="93">
        <f>_xll.qlCalendarAdvance(Calendar,Z2058,Y2059,"f",FALSE)</f>
        <v>53617</v>
      </c>
      <c r="AA2059" s="117">
        <f>_xll.qlCalendarAdvance(Calendar,Z2059,NDays&amp;"D")</f>
        <v>53619</v>
      </c>
      <c r="AB2059" s="92">
        <v>1.8012586308378598E-2</v>
      </c>
      <c r="AC2059" s="101">
        <v>1.7946639678543264E-2</v>
      </c>
    </row>
    <row r="2060" spans="25:29" x14ac:dyDescent="0.2">
      <c r="Y2060" s="105" t="str">
        <f t="shared" si="65"/>
        <v>1w</v>
      </c>
      <c r="Z2060" s="93">
        <f>_xll.qlCalendarAdvance(Calendar,Z2059,Y2060,"f",FALSE)</f>
        <v>53624</v>
      </c>
      <c r="AA2060" s="117">
        <f>_xll.qlCalendarAdvance(Calendar,Z2060,NDays&amp;"D")</f>
        <v>53626</v>
      </c>
      <c r="AB2060" s="92">
        <v>1.8011323863737903E-2</v>
      </c>
      <c r="AC2060" s="101">
        <v>1.7945764588169766E-2</v>
      </c>
    </row>
    <row r="2061" spans="25:29" x14ac:dyDescent="0.2">
      <c r="Y2061" s="105" t="str">
        <f t="shared" si="65"/>
        <v>1w</v>
      </c>
      <c r="Z2061" s="93">
        <f>_xll.qlCalendarAdvance(Calendar,Z2060,Y2061,"f",FALSE)</f>
        <v>53631</v>
      </c>
      <c r="AA2061" s="117">
        <f>_xll.qlCalendarAdvance(Calendar,Z2061,NDays&amp;"D")</f>
        <v>53633</v>
      </c>
      <c r="AB2061" s="92">
        <v>1.8009685040154176E-2</v>
      </c>
      <c r="AC2061" s="101">
        <v>1.7944860078369373E-2</v>
      </c>
    </row>
    <row r="2062" spans="25:29" x14ac:dyDescent="0.2">
      <c r="Y2062" s="105" t="str">
        <f t="shared" si="65"/>
        <v>1w</v>
      </c>
      <c r="Z2062" s="93">
        <f>_xll.qlCalendarAdvance(Calendar,Z2061,Y2062,"f",FALSE)</f>
        <v>53638</v>
      </c>
      <c r="AA2062" s="117">
        <f>_xll.qlCalendarAdvance(Calendar,Z2062,NDays&amp;"D")</f>
        <v>53640</v>
      </c>
      <c r="AB2062" s="92">
        <v>1.8008365417181513E-2</v>
      </c>
      <c r="AC2062" s="101">
        <v>1.7943926149035505E-2</v>
      </c>
    </row>
    <row r="2063" spans="25:29" x14ac:dyDescent="0.2">
      <c r="Y2063" s="105" t="str">
        <f t="shared" si="65"/>
        <v>1w</v>
      </c>
      <c r="Z2063" s="93">
        <f>_xll.qlCalendarAdvance(Calendar,Z2062,Y2063,"f",FALSE)</f>
        <v>53645</v>
      </c>
      <c r="AA2063" s="117">
        <f>_xll.qlCalendarAdvance(Calendar,Z2063,NDays&amp;"D")</f>
        <v>53647</v>
      </c>
      <c r="AB2063" s="92">
        <v>1.8007016113670601E-2</v>
      </c>
      <c r="AC2063" s="101">
        <v>1.7942962800194806E-2</v>
      </c>
    </row>
    <row r="2064" spans="25:29" x14ac:dyDescent="0.2">
      <c r="Y2064" s="105" t="str">
        <f t="shared" si="65"/>
        <v>1w</v>
      </c>
      <c r="Z2064" s="93">
        <f>_xll.qlCalendarAdvance(Calendar,Z2063,Y2064,"f",FALSE)</f>
        <v>53652</v>
      </c>
      <c r="AA2064" s="117">
        <f>_xll.qlCalendarAdvance(Calendar,Z2064,NDays&amp;"D")</f>
        <v>53654</v>
      </c>
      <c r="AB2064" s="92">
        <v>1.8005637129680622E-2</v>
      </c>
      <c r="AC2064" s="101">
        <v>1.7941970031927212E-2</v>
      </c>
    </row>
    <row r="2065" spans="25:29" x14ac:dyDescent="0.2">
      <c r="Y2065" s="105" t="str">
        <f t="shared" si="65"/>
        <v>1w</v>
      </c>
      <c r="Z2065" s="93">
        <f>_xll.qlCalendarAdvance(Calendar,Z2064,Y2065,"f",FALSE)</f>
        <v>53659</v>
      </c>
      <c r="AA2065" s="117">
        <f>_xll.qlCalendarAdvance(Calendar,Z2065,NDays&amp;"D")</f>
        <v>53661</v>
      </c>
      <c r="AB2065" s="92">
        <v>1.8004566409848707E-2</v>
      </c>
      <c r="AC2065" s="101">
        <v>1.7940947844152788E-2</v>
      </c>
    </row>
    <row r="2066" spans="25:29" x14ac:dyDescent="0.2">
      <c r="Y2066" s="105" t="str">
        <f t="shared" si="65"/>
        <v>1w</v>
      </c>
      <c r="Z2066" s="93">
        <f>_xll.qlCalendarAdvance(Calendar,Z2065,Y2066,"f",FALSE)</f>
        <v>53666</v>
      </c>
      <c r="AA2066" s="117">
        <f>_xll.qlCalendarAdvance(Calendar,Z2066,NDays&amp;"D")</f>
        <v>53668</v>
      </c>
      <c r="AB2066" s="92">
        <v>1.8003125873355539E-2</v>
      </c>
      <c r="AC2066" s="101">
        <v>1.7939896236871533E-2</v>
      </c>
    </row>
    <row r="2067" spans="25:29" x14ac:dyDescent="0.2">
      <c r="Y2067" s="105" t="str">
        <f t="shared" si="65"/>
        <v>1w</v>
      </c>
      <c r="Z2067" s="93">
        <f>_xll.qlCalendarAdvance(Calendar,Z2066,Y2067,"f",FALSE)</f>
        <v>53673</v>
      </c>
      <c r="AA2067" s="117">
        <f>_xll.qlCalendarAdvance(Calendar,Z2067,NDays&amp;"D")</f>
        <v>53675</v>
      </c>
      <c r="AB2067" s="92">
        <v>1.8001655655104219E-2</v>
      </c>
      <c r="AC2067" s="101">
        <v>1.7938815210136738E-2</v>
      </c>
    </row>
    <row r="2068" spans="25:29" x14ac:dyDescent="0.2">
      <c r="Y2068" s="105" t="str">
        <f t="shared" si="65"/>
        <v>1w</v>
      </c>
      <c r="Z2068" s="93">
        <f>_xll.qlCalendarAdvance(Calendar,Z2067,Y2068,"f",FALSE)</f>
        <v>53680</v>
      </c>
      <c r="AA2068" s="117">
        <f>_xll.qlCalendarAdvance(Calendar,Z2068,NDays&amp;"D")</f>
        <v>53682</v>
      </c>
      <c r="AB2068" s="92">
        <v>1.8000155755160632E-2</v>
      </c>
      <c r="AC2068" s="101">
        <v>1.7937704763921758E-2</v>
      </c>
    </row>
    <row r="2069" spans="25:29" x14ac:dyDescent="0.2">
      <c r="Y2069" s="105" t="str">
        <f t="shared" ref="Y2069:Y2132" si="66">Y2068</f>
        <v>1w</v>
      </c>
      <c r="Z2069" s="93">
        <f>_xll.qlCalendarAdvance(Calendar,Z2068,Y2069,"f",FALSE)</f>
        <v>53688</v>
      </c>
      <c r="AA2069" s="117">
        <f>_xll.qlCalendarAdvance(Calendar,Z2069,NDays&amp;"D")</f>
        <v>53692</v>
      </c>
      <c r="AB2069" s="92">
        <v>1.7996976273923798E-2</v>
      </c>
      <c r="AC2069" s="101">
        <v>1.7935704015141773E-2</v>
      </c>
    </row>
    <row r="2070" spans="25:29" x14ac:dyDescent="0.2">
      <c r="Y2070" s="105" t="str">
        <f t="shared" si="66"/>
        <v>1w</v>
      </c>
      <c r="Z2070" s="93">
        <f>_xll.qlCalendarAdvance(Calendar,Z2069,Y2070,"f",FALSE)</f>
        <v>53695</v>
      </c>
      <c r="AA2070" s="117">
        <f>_xll.qlCalendarAdvance(Calendar,Z2070,NDays&amp;"D")</f>
        <v>53699</v>
      </c>
      <c r="AB2070" s="92">
        <v>1.7996389568664336E-2</v>
      </c>
      <c r="AC2070" s="101">
        <v>1.7934162884918337E-2</v>
      </c>
    </row>
    <row r="2071" spans="25:29" x14ac:dyDescent="0.2">
      <c r="Y2071" s="105" t="str">
        <f t="shared" si="66"/>
        <v>1w</v>
      </c>
      <c r="Z2071" s="93">
        <f>_xll.qlCalendarAdvance(Calendar,Z2070,Y2071,"f",FALSE)</f>
        <v>53702</v>
      </c>
      <c r="AA2071" s="117">
        <f>_xll.qlCalendarAdvance(Calendar,Z2071,NDays&amp;"D")</f>
        <v>53706</v>
      </c>
      <c r="AB2071" s="92">
        <v>1.7994787903433566E-2</v>
      </c>
      <c r="AC2071" s="101">
        <v>1.7932955894890412E-2</v>
      </c>
    </row>
    <row r="2072" spans="25:29" x14ac:dyDescent="0.2">
      <c r="Y2072" s="105" t="str">
        <f t="shared" si="66"/>
        <v>1w</v>
      </c>
      <c r="Z2072" s="93">
        <f>_xll.qlCalendarAdvance(Calendar,Z2071,Y2072,"f",FALSE)</f>
        <v>53709</v>
      </c>
      <c r="AA2072" s="117">
        <f>_xll.qlCalendarAdvance(Calendar,Z2072,NDays&amp;"D")</f>
        <v>53713</v>
      </c>
      <c r="AB2072" s="92">
        <v>1.7993156556816211E-2</v>
      </c>
      <c r="AC2072" s="101">
        <v>1.7931719488473163E-2</v>
      </c>
    </row>
    <row r="2073" spans="25:29" x14ac:dyDescent="0.2">
      <c r="Y2073" s="105" t="str">
        <f t="shared" si="66"/>
        <v>1w</v>
      </c>
      <c r="Z2073" s="93">
        <f>_xll.qlCalendarAdvance(Calendar,Z2072,Y2073,"f",FALSE)</f>
        <v>53716</v>
      </c>
      <c r="AA2073" s="117">
        <f>_xll.qlCalendarAdvance(Calendar,Z2073,NDays&amp;"D")</f>
        <v>53720</v>
      </c>
      <c r="AB2073" s="92">
        <v>1.7991495528886067E-2</v>
      </c>
      <c r="AC2073" s="101">
        <v>1.7930453665346846E-2</v>
      </c>
    </row>
    <row r="2074" spans="25:29" x14ac:dyDescent="0.2">
      <c r="Y2074" s="105" t="str">
        <f t="shared" si="66"/>
        <v>1w</v>
      </c>
      <c r="Z2074" s="93">
        <f>_xll.qlCalendarAdvance(Calendar,Z2073,Y2074,"f",FALSE)</f>
        <v>53723</v>
      </c>
      <c r="AA2074" s="117">
        <f>_xll.qlCalendarAdvance(Calendar,Z2074,NDays&amp;"D")</f>
        <v>53727</v>
      </c>
      <c r="AB2074" s="92">
        <v>1.7989804819716477E-2</v>
      </c>
      <c r="AC2074" s="101">
        <v>1.792915842551146E-2</v>
      </c>
    </row>
    <row r="2075" spans="25:29" x14ac:dyDescent="0.2">
      <c r="Y2075" s="105" t="str">
        <f t="shared" si="66"/>
        <v>1w</v>
      </c>
      <c r="Z2075" s="93">
        <f>_xll.qlCalendarAdvance(Calendar,Z2074,Y2075,"f",FALSE)</f>
        <v>53730</v>
      </c>
      <c r="AA2075" s="117">
        <f>_xll.qlCalendarAdvance(Calendar,Z2075,NDays&amp;"D")</f>
        <v>53734</v>
      </c>
      <c r="AB2075" s="92">
        <v>1.7988084429382548E-2</v>
      </c>
      <c r="AC2075" s="101">
        <v>1.7927833769446622E-2</v>
      </c>
    </row>
    <row r="2076" spans="25:29" x14ac:dyDescent="0.2">
      <c r="Y2076" s="105" t="str">
        <f t="shared" si="66"/>
        <v>1w</v>
      </c>
      <c r="Z2076" s="93">
        <f>_xll.qlCalendarAdvance(Calendar,Z2075,Y2076,"f",FALSE)</f>
        <v>53737</v>
      </c>
      <c r="AA2076" s="117">
        <f>_xll.qlCalendarAdvance(Calendar,Z2076,NDays&amp;"D")</f>
        <v>53741</v>
      </c>
      <c r="AB2076" s="92">
        <v>1.798633435796158E-2</v>
      </c>
      <c r="AC2076" s="101">
        <v>1.7926479696752651E-2</v>
      </c>
    </row>
    <row r="2077" spans="25:29" x14ac:dyDescent="0.2">
      <c r="Y2077" s="105" t="str">
        <f t="shared" si="66"/>
        <v>1w</v>
      </c>
      <c r="Z2077" s="93">
        <f>_xll.qlCalendarAdvance(Calendar,Z2076,Y2077,"f",FALSE)</f>
        <v>53744</v>
      </c>
      <c r="AA2077" s="117">
        <f>_xll.qlCalendarAdvance(Calendar,Z2077,NDays&amp;"D")</f>
        <v>53748</v>
      </c>
      <c r="AB2077" s="92">
        <v>1.7984554605531316E-2</v>
      </c>
      <c r="AC2077" s="101">
        <v>1.7925096207349611E-2</v>
      </c>
    </row>
    <row r="2078" spans="25:29" x14ac:dyDescent="0.2">
      <c r="Y2078" s="105" t="str">
        <f t="shared" si="66"/>
        <v>1w</v>
      </c>
      <c r="Z2078" s="93">
        <f>_xll.qlCalendarAdvance(Calendar,Z2077,Y2078,"f",FALSE)</f>
        <v>53751</v>
      </c>
      <c r="AA2078" s="117">
        <f>_xll.qlCalendarAdvance(Calendar,Z2078,NDays&amp;"D")</f>
        <v>53755</v>
      </c>
      <c r="AB2078" s="92">
        <v>1.7983361350333873E-2</v>
      </c>
      <c r="AC2078" s="101">
        <v>1.7923683301557247E-2</v>
      </c>
    </row>
    <row r="2079" spans="25:29" x14ac:dyDescent="0.2">
      <c r="Y2079" s="105" t="str">
        <f t="shared" si="66"/>
        <v>1w</v>
      </c>
      <c r="Z2079" s="93">
        <f>_xll.qlCalendarAdvance(Calendar,Z2078,Y2079,"f",FALSE)</f>
        <v>53758</v>
      </c>
      <c r="AA2079" s="117">
        <f>_xll.qlCalendarAdvance(Calendar,Z2079,NDays&amp;"D")</f>
        <v>53762</v>
      </c>
      <c r="AB2079" s="92">
        <v>1.7981517812703494E-2</v>
      </c>
      <c r="AC2079" s="101">
        <v>1.7922240979055815E-2</v>
      </c>
    </row>
    <row r="2080" spans="25:29" x14ac:dyDescent="0.2">
      <c r="Y2080" s="105" t="str">
        <f t="shared" si="66"/>
        <v>1w</v>
      </c>
      <c r="Z2080" s="93">
        <f>_xll.qlCalendarAdvance(Calendar,Z2079,Y2080,"f",FALSE)</f>
        <v>53765</v>
      </c>
      <c r="AA2080" s="117">
        <f>_xll.qlCalendarAdvance(Calendar,Z2080,NDays&amp;"D")</f>
        <v>53769</v>
      </c>
      <c r="AB2080" s="92">
        <v>1.7979644591386738E-2</v>
      </c>
      <c r="AC2080" s="101">
        <v>1.7920769240085122E-2</v>
      </c>
    </row>
    <row r="2081" spans="25:29" x14ac:dyDescent="0.2">
      <c r="Y2081" s="105" t="str">
        <f t="shared" si="66"/>
        <v>1w</v>
      </c>
      <c r="Z2081" s="93">
        <f>_xll.qlCalendarAdvance(Calendar,Z2080,Y2081,"f",FALSE)</f>
        <v>53772</v>
      </c>
      <c r="AA2081" s="117">
        <f>_xll.qlCalendarAdvance(Calendar,Z2081,NDays&amp;"D")</f>
        <v>53776</v>
      </c>
      <c r="AB2081" s="92">
        <v>1.7977741686466146E-2</v>
      </c>
      <c r="AC2081" s="101">
        <v>1.7919268084565232E-2</v>
      </c>
    </row>
    <row r="2082" spans="25:29" x14ac:dyDescent="0.2">
      <c r="Y2082" s="105" t="str">
        <f t="shared" si="66"/>
        <v>1w</v>
      </c>
      <c r="Z2082" s="93">
        <f>_xll.qlCalendarAdvance(Calendar,Z2081,Y2082,"f",FALSE)</f>
        <v>53779</v>
      </c>
      <c r="AA2082" s="117">
        <f>_xll.qlCalendarAdvance(Calendar,Z2082,NDays&amp;"D")</f>
        <v>53783</v>
      </c>
      <c r="AB2082" s="92">
        <v>1.7975509965456295E-2</v>
      </c>
      <c r="AC2082" s="101">
        <v>1.791773751241621E-2</v>
      </c>
    </row>
    <row r="2083" spans="25:29" x14ac:dyDescent="0.2">
      <c r="Y2083" s="105" t="str">
        <f t="shared" si="66"/>
        <v>1w</v>
      </c>
      <c r="Z2083" s="93">
        <f>_xll.qlCalendarAdvance(Calendar,Z2082,Y2083,"f",FALSE)</f>
        <v>53786</v>
      </c>
      <c r="AA2083" s="117">
        <f>_xll.qlCalendarAdvance(Calendar,Z2083,NDays&amp;"D")</f>
        <v>53790</v>
      </c>
      <c r="AB2083" s="92">
        <v>1.7973549911244682E-2</v>
      </c>
      <c r="AC2083" s="101">
        <v>1.7916177523797927E-2</v>
      </c>
    </row>
    <row r="2084" spans="25:29" x14ac:dyDescent="0.2">
      <c r="Y2084" s="105" t="str">
        <f t="shared" si="66"/>
        <v>1w</v>
      </c>
      <c r="Z2084" s="93">
        <f>_xll.qlCalendarAdvance(Calendar,Z2083,Y2084,"f",FALSE)</f>
        <v>53793</v>
      </c>
      <c r="AA2084" s="117">
        <f>_xll.qlCalendarAdvance(Calendar,Z2084,NDays&amp;"D")</f>
        <v>53799</v>
      </c>
      <c r="AB2084" s="92">
        <v>1.7970986227359608E-2</v>
      </c>
      <c r="AC2084" s="101">
        <v>1.7914128599807455E-2</v>
      </c>
    </row>
    <row r="2085" spans="25:29" x14ac:dyDescent="0.2">
      <c r="Y2085" s="105" t="str">
        <f t="shared" si="66"/>
        <v>1w</v>
      </c>
      <c r="Z2085" s="93">
        <f>_xll.qlCalendarAdvance(Calendar,Z2084,Y2085,"f",FALSE)</f>
        <v>53800</v>
      </c>
      <c r="AA2085" s="117">
        <f>_xll.qlCalendarAdvance(Calendar,Z2085,NDays&amp;"D")</f>
        <v>53804</v>
      </c>
      <c r="AB2085" s="92">
        <v>1.7969540757259275E-2</v>
      </c>
      <c r="AC2085" s="101">
        <v>1.7912969296913772E-2</v>
      </c>
    </row>
    <row r="2086" spans="25:29" x14ac:dyDescent="0.2">
      <c r="Y2086" s="105" t="str">
        <f t="shared" si="66"/>
        <v>1w</v>
      </c>
      <c r="Z2086" s="93">
        <f>_xll.qlCalendarAdvance(Calendar,Z2085,Y2086,"f",FALSE)</f>
        <v>53807</v>
      </c>
      <c r="AA2086" s="117">
        <f>_xll.qlCalendarAdvance(Calendar,Z2086,NDays&amp;"D")</f>
        <v>53811</v>
      </c>
      <c r="AB2086" s="92">
        <v>1.7967491657665882E-2</v>
      </c>
      <c r="AC2086" s="101">
        <v>1.7911321058567964E-2</v>
      </c>
    </row>
    <row r="2087" spans="25:29" x14ac:dyDescent="0.2">
      <c r="Y2087" s="105" t="str">
        <f t="shared" si="66"/>
        <v>1w</v>
      </c>
      <c r="Z2087" s="93">
        <f>_xll.qlCalendarAdvance(Calendar,Z2086,Y2087,"f",FALSE)</f>
        <v>53814</v>
      </c>
      <c r="AA2087" s="117">
        <f>_xll.qlCalendarAdvance(Calendar,Z2087,NDays&amp;"D")</f>
        <v>53818</v>
      </c>
      <c r="AB2087" s="92">
        <v>1.7965700906183751E-2</v>
      </c>
      <c r="AC2087" s="101">
        <v>1.7909643403672959E-2</v>
      </c>
    </row>
    <row r="2088" spans="25:29" x14ac:dyDescent="0.2">
      <c r="Y2088" s="105" t="str">
        <f t="shared" si="66"/>
        <v>1w</v>
      </c>
      <c r="Z2088" s="93">
        <f>_xll.qlCalendarAdvance(Calendar,Z2087,Y2088,"f",FALSE)</f>
        <v>53821</v>
      </c>
      <c r="AA2088" s="117">
        <f>_xll.qlCalendarAdvance(Calendar,Z2088,NDays&amp;"D")</f>
        <v>53825</v>
      </c>
      <c r="AB2088" s="92">
        <v>1.7963590218521709E-2</v>
      </c>
      <c r="AC2088" s="101">
        <v>1.790793633238863E-2</v>
      </c>
    </row>
    <row r="2089" spans="25:29" x14ac:dyDescent="0.2">
      <c r="Y2089" s="105" t="str">
        <f t="shared" si="66"/>
        <v>1w</v>
      </c>
      <c r="Z2089" s="93">
        <f>_xll.qlCalendarAdvance(Calendar,Z2088,Y2089,"f",FALSE)</f>
        <v>53828</v>
      </c>
      <c r="AA2089" s="117">
        <f>_xll.qlCalendarAdvance(Calendar,Z2089,NDays&amp;"D")</f>
        <v>53832</v>
      </c>
      <c r="AB2089" s="92">
        <v>1.7961449847979601E-2</v>
      </c>
      <c r="AC2089" s="101">
        <v>1.7906199844315296E-2</v>
      </c>
    </row>
    <row r="2090" spans="25:29" x14ac:dyDescent="0.2">
      <c r="Y2090" s="105" t="str">
        <f t="shared" si="66"/>
        <v>1w</v>
      </c>
      <c r="Z2090" s="93">
        <f>_xll.qlCalendarAdvance(Calendar,Z2089,Y2090,"f",FALSE)</f>
        <v>53835</v>
      </c>
      <c r="AA2090" s="117">
        <f>_xll.qlCalendarAdvance(Calendar,Z2090,NDays&amp;"D")</f>
        <v>53839</v>
      </c>
      <c r="AB2090" s="92">
        <v>1.795927979465561E-2</v>
      </c>
      <c r="AC2090" s="101">
        <v>1.7904433939772701E-2</v>
      </c>
    </row>
    <row r="2091" spans="25:29" x14ac:dyDescent="0.2">
      <c r="Y2091" s="105" t="str">
        <f t="shared" si="66"/>
        <v>1w</v>
      </c>
      <c r="Z2091" s="93">
        <f>_xll.qlCalendarAdvance(Calendar,Z2090,Y2091,"f",FALSE)</f>
        <v>53842</v>
      </c>
      <c r="AA2091" s="117">
        <f>_xll.qlCalendarAdvance(Calendar,Z2091,NDays&amp;"D")</f>
        <v>53846</v>
      </c>
      <c r="AB2091" s="92">
        <v>1.7956800937407102E-2</v>
      </c>
      <c r="AC2091" s="101">
        <v>1.7902638618920719E-2</v>
      </c>
    </row>
    <row r="2092" spans="25:29" x14ac:dyDescent="0.2">
      <c r="Y2092" s="105" t="str">
        <f t="shared" si="66"/>
        <v>1w</v>
      </c>
      <c r="Z2092" s="93">
        <f>_xll.qlCalendarAdvance(Calendar,Z2091,Y2092,"f",FALSE)</f>
        <v>53849</v>
      </c>
      <c r="AA2092" s="117">
        <f>_xll.qlCalendarAdvance(Calendar,Z2092,NDays&amp;"D")</f>
        <v>53853</v>
      </c>
      <c r="AB2092" s="92">
        <v>1.7954573749568794E-2</v>
      </c>
      <c r="AC2092" s="101">
        <v>1.7900813881199795E-2</v>
      </c>
    </row>
    <row r="2093" spans="25:29" x14ac:dyDescent="0.2">
      <c r="Y2093" s="105" t="str">
        <f t="shared" si="66"/>
        <v>1w</v>
      </c>
      <c r="Z2093" s="93">
        <f>_xll.qlCalendarAdvance(Calendar,Z2092,Y2093,"f",FALSE)</f>
        <v>53856</v>
      </c>
      <c r="AA2093" s="117">
        <f>_xll.qlCalendarAdvance(Calendar,Z2093,NDays&amp;"D")</f>
        <v>53860</v>
      </c>
      <c r="AB2093" s="92">
        <v>1.7952316880698208E-2</v>
      </c>
      <c r="AC2093" s="101">
        <v>1.7898959727169483E-2</v>
      </c>
    </row>
    <row r="2094" spans="25:29" x14ac:dyDescent="0.2">
      <c r="Y2094" s="105" t="str">
        <f t="shared" si="66"/>
        <v>1w</v>
      </c>
      <c r="Z2094" s="93">
        <f>_xll.qlCalendarAdvance(Calendar,Z2093,Y2094,"f",FALSE)</f>
        <v>53863</v>
      </c>
      <c r="AA2094" s="117">
        <f>_xll.qlCalendarAdvance(Calendar,Z2094,NDays&amp;"D")</f>
        <v>53867</v>
      </c>
      <c r="AB2094" s="92">
        <v>1.7950030330895813E-2</v>
      </c>
      <c r="AC2094" s="101">
        <v>1.7897076156430103E-2</v>
      </c>
    </row>
    <row r="2095" spans="25:29" x14ac:dyDescent="0.2">
      <c r="Y2095" s="105" t="str">
        <f t="shared" si="66"/>
        <v>1w</v>
      </c>
      <c r="Z2095" s="93">
        <f>_xll.qlCalendarAdvance(Calendar,Z2094,Y2095,"f",FALSE)</f>
        <v>53870</v>
      </c>
      <c r="AA2095" s="117">
        <f>_xll.qlCalendarAdvance(Calendar,Z2095,NDays&amp;"D")</f>
        <v>53874</v>
      </c>
      <c r="AB2095" s="92">
        <v>1.7948254274665076E-2</v>
      </c>
      <c r="AC2095" s="101">
        <v>1.7895163169141526E-2</v>
      </c>
    </row>
    <row r="2096" spans="25:29" x14ac:dyDescent="0.2">
      <c r="Y2096" s="105" t="str">
        <f t="shared" si="66"/>
        <v>1w</v>
      </c>
      <c r="Z2096" s="93">
        <f>_xll.qlCalendarAdvance(Calendar,Z2095,Y2096,"f",FALSE)</f>
        <v>53877</v>
      </c>
      <c r="AA2096" s="117">
        <f>_xll.qlCalendarAdvance(Calendar,Z2096,NDays&amp;"D")</f>
        <v>53881</v>
      </c>
      <c r="AB2096" s="92">
        <v>1.7945636141859369E-2</v>
      </c>
      <c r="AC2096" s="101">
        <v>1.7893220765303752E-2</v>
      </c>
    </row>
    <row r="2097" spans="25:29" x14ac:dyDescent="0.2">
      <c r="Y2097" s="105" t="str">
        <f t="shared" si="66"/>
        <v>1w</v>
      </c>
      <c r="Z2097" s="93">
        <f>_xll.qlCalendarAdvance(Calendar,Z2096,Y2097,"f",FALSE)</f>
        <v>53884</v>
      </c>
      <c r="AA2097" s="117">
        <f>_xll.qlCalendarAdvance(Calendar,Z2097,NDays&amp;"D")</f>
        <v>53888</v>
      </c>
      <c r="AB2097" s="92">
        <v>1.7943258311874717E-2</v>
      </c>
      <c r="AC2097" s="101">
        <v>1.7891248944916782E-2</v>
      </c>
    </row>
    <row r="2098" spans="25:29" x14ac:dyDescent="0.2">
      <c r="Y2098" s="105" t="str">
        <f t="shared" si="66"/>
        <v>1w</v>
      </c>
      <c r="Z2098" s="93">
        <f>_xll.qlCalendarAdvance(Calendar,Z2097,Y2098,"f",FALSE)</f>
        <v>53891</v>
      </c>
      <c r="AA2098" s="117">
        <f>_xll.qlCalendarAdvance(Calendar,Z2098,NDays&amp;"D")</f>
        <v>53895</v>
      </c>
      <c r="AB2098" s="92">
        <v>1.7940850799928829E-2</v>
      </c>
      <c r="AC2098" s="101">
        <v>1.7889247708140488E-2</v>
      </c>
    </row>
    <row r="2099" spans="25:29" x14ac:dyDescent="0.2">
      <c r="Y2099" s="105" t="str">
        <f t="shared" si="66"/>
        <v>1w</v>
      </c>
      <c r="Z2099" s="93">
        <f>_xll.qlCalendarAdvance(Calendar,Z2098,Y2099,"f",FALSE)</f>
        <v>53898</v>
      </c>
      <c r="AA2099" s="117">
        <f>_xll.qlCalendarAdvance(Calendar,Z2099,NDays&amp;"D")</f>
        <v>53902</v>
      </c>
      <c r="AB2099" s="92">
        <v>1.7938413606129008E-2</v>
      </c>
      <c r="AC2099" s="101">
        <v>1.7887217054655125E-2</v>
      </c>
    </row>
    <row r="2100" spans="25:29" x14ac:dyDescent="0.2">
      <c r="Y2100" s="105" t="str">
        <f t="shared" si="66"/>
        <v>1w</v>
      </c>
      <c r="Z2100" s="93">
        <f>_xll.qlCalendarAdvance(Calendar,Z2099,Y2100,"f",FALSE)</f>
        <v>53905</v>
      </c>
      <c r="AA2100" s="117">
        <f>_xll.qlCalendarAdvance(Calendar,Z2100,NDays&amp;"D")</f>
        <v>53909</v>
      </c>
      <c r="AB2100" s="92">
        <v>1.793594673058517E-2</v>
      </c>
      <c r="AC2100" s="101">
        <v>1.7885156984540629E-2</v>
      </c>
    </row>
    <row r="2101" spans="25:29" x14ac:dyDescent="0.2">
      <c r="Y2101" s="105" t="str">
        <f t="shared" si="66"/>
        <v>1w</v>
      </c>
      <c r="Z2101" s="93">
        <f>_xll.qlCalendarAdvance(Calendar,Z2100,Y2101,"f",FALSE)</f>
        <v>53912</v>
      </c>
      <c r="AA2101" s="117">
        <f>_xll.qlCalendarAdvance(Calendar,Z2101,NDays&amp;"D")</f>
        <v>53916</v>
      </c>
      <c r="AB2101" s="92">
        <v>1.7933450173410265E-2</v>
      </c>
      <c r="AC2101" s="101">
        <v>1.7883067498196681E-2</v>
      </c>
    </row>
    <row r="2102" spans="25:29" x14ac:dyDescent="0.2">
      <c r="Y2102" s="105" t="str">
        <f t="shared" si="66"/>
        <v>1w</v>
      </c>
      <c r="Z2102" s="93">
        <f>_xll.qlCalendarAdvance(Calendar,Z2101,Y2102,"f",FALSE)</f>
        <v>53919</v>
      </c>
      <c r="AA2102" s="117">
        <f>_xll.qlCalendarAdvance(Calendar,Z2102,NDays&amp;"D")</f>
        <v>53923</v>
      </c>
      <c r="AB2102" s="92">
        <v>1.7930923934716379E-2</v>
      </c>
      <c r="AC2102" s="101">
        <v>1.7880948595143664E-2</v>
      </c>
    </row>
    <row r="2103" spans="25:29" x14ac:dyDescent="0.2">
      <c r="Y2103" s="105" t="str">
        <f t="shared" si="66"/>
        <v>1w</v>
      </c>
      <c r="Z2103" s="93">
        <f>_xll.qlCalendarAdvance(Calendar,Z2102,Y2103,"f",FALSE)</f>
        <v>53926</v>
      </c>
      <c r="AA2103" s="117">
        <f>_xll.qlCalendarAdvance(Calendar,Z2103,NDays&amp;"D")</f>
        <v>53930</v>
      </c>
      <c r="AB2103" s="92">
        <v>1.7928368014616464E-2</v>
      </c>
      <c r="AC2103" s="101">
        <v>1.7878800275461515E-2</v>
      </c>
    </row>
    <row r="2104" spans="25:29" x14ac:dyDescent="0.2">
      <c r="Y2104" s="105" t="str">
        <f t="shared" si="66"/>
        <v>1w</v>
      </c>
      <c r="Z2104" s="93">
        <f>_xll.qlCalendarAdvance(Calendar,Z2103,Y2104,"f",FALSE)</f>
        <v>53933</v>
      </c>
      <c r="AA2104" s="117">
        <f>_xll.qlCalendarAdvance(Calendar,Z2104,NDays&amp;"D")</f>
        <v>53937</v>
      </c>
      <c r="AB2104" s="92">
        <v>1.7925282190060603E-2</v>
      </c>
      <c r="AC2104" s="101">
        <v>1.7876622539390041E-2</v>
      </c>
    </row>
    <row r="2105" spans="25:29" x14ac:dyDescent="0.2">
      <c r="Y2105" s="105" t="str">
        <f t="shared" si="66"/>
        <v>1w</v>
      </c>
      <c r="Z2105" s="93">
        <f>_xll.qlCalendarAdvance(Calendar,Z2104,Y2105,"f",FALSE)</f>
        <v>53940</v>
      </c>
      <c r="AA2105" s="117">
        <f>_xll.qlCalendarAdvance(Calendar,Z2105,NDays&amp;"D")</f>
        <v>53944</v>
      </c>
      <c r="AB2105" s="92">
        <v>1.792267140644976E-2</v>
      </c>
      <c r="AC2105" s="101">
        <v>1.7874415386689435E-2</v>
      </c>
    </row>
    <row r="2106" spans="25:29" x14ac:dyDescent="0.2">
      <c r="Y2106" s="105" t="str">
        <f t="shared" si="66"/>
        <v>1w</v>
      </c>
      <c r="Z2106" s="93">
        <f>_xll.qlCalendarAdvance(Calendar,Z2105,Y2106,"f",FALSE)</f>
        <v>53947</v>
      </c>
      <c r="AA2106" s="117">
        <f>_xll.qlCalendarAdvance(Calendar,Z2106,NDays&amp;"D")</f>
        <v>53951</v>
      </c>
      <c r="AB2106" s="92">
        <v>1.7920030944670866E-2</v>
      </c>
      <c r="AC2106" s="101">
        <v>1.7872178817359696E-2</v>
      </c>
    </row>
    <row r="2107" spans="25:29" x14ac:dyDescent="0.2">
      <c r="Y2107" s="105" t="str">
        <f t="shared" si="66"/>
        <v>1w</v>
      </c>
      <c r="Z2107" s="93">
        <f>_xll.qlCalendarAdvance(Calendar,Z2106,Y2107,"f",FALSE)</f>
        <v>53954</v>
      </c>
      <c r="AA2107" s="117">
        <f>_xll.qlCalendarAdvance(Calendar,Z2107,NDays&amp;"D")</f>
        <v>53958</v>
      </c>
      <c r="AB2107" s="92">
        <v>1.7917360804840309E-2</v>
      </c>
      <c r="AC2107" s="101">
        <v>1.7869912831560697E-2</v>
      </c>
    </row>
    <row r="2108" spans="25:29" x14ac:dyDescent="0.2">
      <c r="Y2108" s="105" t="str">
        <f t="shared" si="66"/>
        <v>1w</v>
      </c>
      <c r="Z2108" s="93">
        <f>_xll.qlCalendarAdvance(Calendar,Z2107,Y2108,"f",FALSE)</f>
        <v>53961</v>
      </c>
      <c r="AA2108" s="117">
        <f>_xll.qlCalendarAdvance(Calendar,Z2108,NDays&amp;"D")</f>
        <v>53965</v>
      </c>
      <c r="AB2108" s="92">
        <v>1.791490219577507E-2</v>
      </c>
      <c r="AC2108" s="101">
        <v>1.7867617429212501E-2</v>
      </c>
    </row>
    <row r="2109" spans="25:29" x14ac:dyDescent="0.2">
      <c r="Y2109" s="105" t="str">
        <f t="shared" si="66"/>
        <v>1w</v>
      </c>
      <c r="Z2109" s="93">
        <f>_xll.qlCalendarAdvance(Calendar,Z2108,Y2109,"f",FALSE)</f>
        <v>53968</v>
      </c>
      <c r="AA2109" s="117">
        <f>_xll.qlCalendarAdvance(Calendar,Z2109,NDays&amp;"D")</f>
        <v>53972</v>
      </c>
      <c r="AB2109" s="92">
        <v>1.7912170445061781E-2</v>
      </c>
      <c r="AC2109" s="101">
        <v>1.7865292610474981E-2</v>
      </c>
    </row>
    <row r="2110" spans="25:29" x14ac:dyDescent="0.2">
      <c r="Y2110" s="105" t="str">
        <f t="shared" si="66"/>
        <v>1w</v>
      </c>
      <c r="Z2110" s="93">
        <f>_xll.qlCalendarAdvance(Calendar,Z2109,Y2110,"f",FALSE)</f>
        <v>53975</v>
      </c>
      <c r="AA2110" s="117">
        <f>_xll.qlCalendarAdvance(Calendar,Z2110,NDays&amp;"D")</f>
        <v>53979</v>
      </c>
      <c r="AB2110" s="92">
        <v>1.7909409015218522E-2</v>
      </c>
      <c r="AC2110" s="101">
        <v>1.7862938375028392E-2</v>
      </c>
    </row>
    <row r="2111" spans="25:29" x14ac:dyDescent="0.2">
      <c r="Y2111" s="105" t="str">
        <f t="shared" si="66"/>
        <v>1w</v>
      </c>
      <c r="Z2111" s="93">
        <f>_xll.qlCalendarAdvance(Calendar,Z2110,Y2111,"f",FALSE)</f>
        <v>53982</v>
      </c>
      <c r="AA2111" s="117">
        <f>_xll.qlCalendarAdvance(Calendar,Z2111,NDays&amp;"D")</f>
        <v>53986</v>
      </c>
      <c r="AB2111" s="92">
        <v>1.7906617906368032E-2</v>
      </c>
      <c r="AC2111" s="101">
        <v>1.7860554723032607E-2</v>
      </c>
    </row>
    <row r="2112" spans="25:29" x14ac:dyDescent="0.2">
      <c r="Y2112" s="105" t="str">
        <f t="shared" si="66"/>
        <v>1w</v>
      </c>
      <c r="Z2112" s="93">
        <f>_xll.qlCalendarAdvance(Calendar,Z2111,Y2112,"f",FALSE)</f>
        <v>53989</v>
      </c>
      <c r="AA2112" s="117">
        <f>_xll.qlCalendarAdvance(Calendar,Z2112,NDays&amp;"D")</f>
        <v>53993</v>
      </c>
      <c r="AB2112" s="92">
        <v>1.7903797118637425E-2</v>
      </c>
      <c r="AC2112" s="101">
        <v>1.7858141654647497E-2</v>
      </c>
    </row>
    <row r="2113" spans="25:29" x14ac:dyDescent="0.2">
      <c r="Y2113" s="105" t="str">
        <f t="shared" si="66"/>
        <v>1w</v>
      </c>
      <c r="Z2113" s="93">
        <f>_xll.qlCalendarAdvance(Calendar,Z2112,Y2113,"f",FALSE)</f>
        <v>53996</v>
      </c>
      <c r="AA2113" s="117">
        <f>_xll.qlCalendarAdvance(Calendar,Z2113,NDays&amp;"D")</f>
        <v>54000</v>
      </c>
      <c r="AB2113" s="92">
        <v>1.7900716733545919E-2</v>
      </c>
      <c r="AC2113" s="101">
        <v>1.7855699169633255E-2</v>
      </c>
    </row>
    <row r="2114" spans="25:29" x14ac:dyDescent="0.2">
      <c r="Y2114" s="105" t="str">
        <f t="shared" si="66"/>
        <v>1w</v>
      </c>
      <c r="Z2114" s="93">
        <f>_xll.qlCalendarAdvance(Calendar,Z2113,Y2114,"f",FALSE)</f>
        <v>54003</v>
      </c>
      <c r="AA2114" s="117">
        <f>_xll.qlCalendarAdvance(Calendar,Z2114,NDays&amp;"D")</f>
        <v>54007</v>
      </c>
      <c r="AB2114" s="92">
        <v>1.7897838850767241E-2</v>
      </c>
      <c r="AC2114" s="101">
        <v>1.785322726798988E-2</v>
      </c>
    </row>
    <row r="2115" spans="25:29" x14ac:dyDescent="0.2">
      <c r="Y2115" s="105" t="str">
        <f t="shared" si="66"/>
        <v>1w</v>
      </c>
      <c r="Z2115" s="93">
        <f>_xll.qlCalendarAdvance(Calendar,Z2114,Y2115,"f",FALSE)</f>
        <v>54010</v>
      </c>
      <c r="AA2115" s="117">
        <f>_xll.qlCalendarAdvance(Calendar,Z2115,NDays&amp;"D")</f>
        <v>54014</v>
      </c>
      <c r="AB2115" s="92">
        <v>1.7894931290926435E-2</v>
      </c>
      <c r="AC2115" s="101">
        <v>1.7850725949877244E-2</v>
      </c>
    </row>
    <row r="2116" spans="25:29" x14ac:dyDescent="0.2">
      <c r="Y2116" s="105" t="str">
        <f t="shared" si="66"/>
        <v>1w</v>
      </c>
      <c r="Z2116" s="93">
        <f>_xll.qlCalendarAdvance(Calendar,Z2115,Y2116,"f",FALSE)</f>
        <v>54017</v>
      </c>
      <c r="AA2116" s="117">
        <f>_xll.qlCalendarAdvance(Calendar,Z2116,NDays&amp;"D")</f>
        <v>54021</v>
      </c>
      <c r="AB2116" s="92">
        <v>1.7891994054154391E-2</v>
      </c>
      <c r="AC2116" s="101">
        <v>1.7848195215375284E-2</v>
      </c>
    </row>
    <row r="2117" spans="25:29" x14ac:dyDescent="0.2">
      <c r="Y2117" s="105" t="str">
        <f t="shared" si="66"/>
        <v>1w</v>
      </c>
      <c r="Z2117" s="93">
        <f>_xll.qlCalendarAdvance(Calendar,Z2116,Y2117,"f",FALSE)</f>
        <v>54024</v>
      </c>
      <c r="AA2117" s="117">
        <f>_xll.qlCalendarAdvance(Calendar,Z2117,NDays&amp;"D")</f>
        <v>54028</v>
      </c>
      <c r="AB2117" s="92">
        <v>1.7889248001239366E-2</v>
      </c>
      <c r="AC2117" s="101">
        <v>1.784563506408432E-2</v>
      </c>
    </row>
    <row r="2118" spans="25:29" x14ac:dyDescent="0.2">
      <c r="Y2118" s="105" t="str">
        <f t="shared" si="66"/>
        <v>1w</v>
      </c>
      <c r="Z2118" s="93">
        <f>_xll.qlCalendarAdvance(Calendar,Z2117,Y2118,"f",FALSE)</f>
        <v>54031</v>
      </c>
      <c r="AA2118" s="117">
        <f>_xll.qlCalendarAdvance(Calendar,Z2118,NDays&amp;"D")</f>
        <v>54035</v>
      </c>
      <c r="AB2118" s="92">
        <v>1.7886249142924908E-2</v>
      </c>
      <c r="AC2118" s="101">
        <v>1.7843045496404031E-2</v>
      </c>
    </row>
    <row r="2119" spans="25:29" x14ac:dyDescent="0.2">
      <c r="Y2119" s="105" t="str">
        <f t="shared" si="66"/>
        <v>1w</v>
      </c>
      <c r="Z2119" s="93">
        <f>_xll.qlCalendarAdvance(Calendar,Z2118,Y2119,"f",FALSE)</f>
        <v>54038</v>
      </c>
      <c r="AA2119" s="117">
        <f>_xll.qlCalendarAdvance(Calendar,Z2119,NDays&amp;"D")</f>
        <v>54042</v>
      </c>
      <c r="AB2119" s="92">
        <v>1.7883220606643258E-2</v>
      </c>
      <c r="AC2119" s="101">
        <v>1.7840426512174545E-2</v>
      </c>
    </row>
    <row r="2120" spans="25:29" x14ac:dyDescent="0.2">
      <c r="Y2120" s="105" t="str">
        <f t="shared" si="66"/>
        <v>1w</v>
      </c>
      <c r="Z2120" s="93">
        <f>_xll.qlCalendarAdvance(Calendar,Z2119,Y2120,"f",FALSE)</f>
        <v>54045</v>
      </c>
      <c r="AA2120" s="117">
        <f>_xll.qlCalendarAdvance(Calendar,Z2120,NDays&amp;"D")</f>
        <v>54049</v>
      </c>
      <c r="AB2120" s="92">
        <v>1.788016239253027E-2</v>
      </c>
      <c r="AC2120" s="101">
        <v>1.7837778111395863E-2</v>
      </c>
    </row>
    <row r="2121" spans="25:29" x14ac:dyDescent="0.2">
      <c r="Y2121" s="105" t="str">
        <f t="shared" si="66"/>
        <v>1w</v>
      </c>
      <c r="Z2121" s="93">
        <f>_xll.qlCalendarAdvance(Calendar,Z2120,Y2121,"f",FALSE)</f>
        <v>54053</v>
      </c>
      <c r="AA2121" s="117">
        <f>_xll.qlCalendarAdvance(Calendar,Z2121,NDays&amp;"D")</f>
        <v>54057</v>
      </c>
      <c r="AB2121" s="92">
        <v>1.7876419495635044E-2</v>
      </c>
      <c r="AC2121" s="101">
        <v>1.7834964338061532E-2</v>
      </c>
    </row>
    <row r="2122" spans="25:29" x14ac:dyDescent="0.2">
      <c r="Y2122" s="105" t="str">
        <f t="shared" si="66"/>
        <v>1w</v>
      </c>
      <c r="Z2122" s="93">
        <f>_xll.qlCalendarAdvance(Calendar,Z2121,Y2122,"f",FALSE)</f>
        <v>54060</v>
      </c>
      <c r="AA2122" s="117">
        <f>_xll.qlCalendarAdvance(Calendar,Z2122,NDays&amp;"D")</f>
        <v>54064</v>
      </c>
      <c r="AB2122" s="92">
        <v>1.7873299960637693E-2</v>
      </c>
      <c r="AC2122" s="101">
        <v>1.7832003911317784E-2</v>
      </c>
    </row>
    <row r="2123" spans="25:29" x14ac:dyDescent="0.2">
      <c r="Y2123" s="105" t="str">
        <f t="shared" si="66"/>
        <v>1w</v>
      </c>
      <c r="Z2123" s="93">
        <f>_xll.qlCalendarAdvance(Calendar,Z2122,Y2123,"f",FALSE)</f>
        <v>54067</v>
      </c>
      <c r="AA2123" s="117">
        <f>_xll.qlCalendarAdvance(Calendar,Z2123,NDays&amp;"D")</f>
        <v>54071</v>
      </c>
      <c r="AB2123" s="92">
        <v>1.7870150749673162E-2</v>
      </c>
      <c r="AC2123" s="101">
        <v>1.7829263058493083E-2</v>
      </c>
    </row>
    <row r="2124" spans="25:29" x14ac:dyDescent="0.2">
      <c r="Y2124" s="105" t="str">
        <f t="shared" si="66"/>
        <v>1w</v>
      </c>
      <c r="Z2124" s="93">
        <f>_xll.qlCalendarAdvance(Calendar,Z2123,Y2124,"f",FALSE)</f>
        <v>54074</v>
      </c>
      <c r="AA2124" s="117">
        <f>_xll.qlCalendarAdvance(Calendar,Z2124,NDays&amp;"D")</f>
        <v>54078</v>
      </c>
      <c r="AB2124" s="92">
        <v>1.7866971862882438E-2</v>
      </c>
      <c r="AC2124" s="101">
        <v>1.7826492789199122E-2</v>
      </c>
    </row>
    <row r="2125" spans="25:29" x14ac:dyDescent="0.2">
      <c r="Y2125" s="105" t="str">
        <f t="shared" si="66"/>
        <v>1w</v>
      </c>
      <c r="Z2125" s="93">
        <f>_xll.qlCalendarAdvance(Calendar,Z2124,Y2125,"f",FALSE)</f>
        <v>54081</v>
      </c>
      <c r="AA2125" s="117">
        <f>_xll.qlCalendarAdvance(Calendar,Z2125,NDays&amp;"D")</f>
        <v>54085</v>
      </c>
      <c r="AB2125" s="92">
        <v>1.7863763300408265E-2</v>
      </c>
      <c r="AC2125" s="101">
        <v>1.78236931034359E-2</v>
      </c>
    </row>
    <row r="2126" spans="25:29" x14ac:dyDescent="0.2">
      <c r="Y2126" s="105" t="str">
        <f t="shared" si="66"/>
        <v>1w</v>
      </c>
      <c r="Z2126" s="93">
        <f>_xll.qlCalendarAdvance(Calendar,Z2125,Y2126,"f",FALSE)</f>
        <v>54088</v>
      </c>
      <c r="AA2126" s="117">
        <f>_xll.qlCalendarAdvance(Calendar,Z2126,NDays&amp;"D")</f>
        <v>54092</v>
      </c>
      <c r="AB2126" s="92">
        <v>1.7860525062392947E-2</v>
      </c>
      <c r="AC2126" s="101">
        <v>1.7820864001043546E-2</v>
      </c>
    </row>
    <row r="2127" spans="25:29" x14ac:dyDescent="0.2">
      <c r="Y2127" s="105" t="str">
        <f t="shared" si="66"/>
        <v>1w</v>
      </c>
      <c r="Z2127" s="93">
        <f>_xll.qlCalendarAdvance(Calendar,Z2126,Y2127,"f",FALSE)</f>
        <v>54095</v>
      </c>
      <c r="AA2127" s="117">
        <f>_xll.qlCalendarAdvance(Calendar,Z2127,NDays&amp;"D")</f>
        <v>54099</v>
      </c>
      <c r="AB2127" s="92">
        <v>1.7857257148980985E-2</v>
      </c>
      <c r="AC2127" s="101">
        <v>1.7818005482181931E-2</v>
      </c>
    </row>
    <row r="2128" spans="25:29" x14ac:dyDescent="0.2">
      <c r="Y2128" s="105" t="str">
        <f t="shared" si="66"/>
        <v>1w</v>
      </c>
      <c r="Z2128" s="93">
        <f>_xll.qlCalendarAdvance(Calendar,Z2127,Y2128,"f",FALSE)</f>
        <v>54102</v>
      </c>
      <c r="AA2128" s="117">
        <f>_xll.qlCalendarAdvance(Calendar,Z2128,NDays&amp;"D")</f>
        <v>54106</v>
      </c>
      <c r="AB2128" s="92">
        <v>1.7853959560317757E-2</v>
      </c>
      <c r="AC2128" s="101">
        <v>1.781511754677112E-2</v>
      </c>
    </row>
    <row r="2129" spans="25:29" x14ac:dyDescent="0.2">
      <c r="Y2129" s="105" t="str">
        <f t="shared" si="66"/>
        <v>1w</v>
      </c>
      <c r="Z2129" s="93">
        <f>_xll.qlCalendarAdvance(Calendar,Z2128,Y2129,"f",FALSE)</f>
        <v>54109</v>
      </c>
      <c r="AA2129" s="117">
        <f>_xll.qlCalendarAdvance(Calendar,Z2129,NDays&amp;"D")</f>
        <v>54113</v>
      </c>
      <c r="AB2129" s="92">
        <v>1.7850632296551712E-2</v>
      </c>
      <c r="AC2129" s="101">
        <v>1.781220019505092E-2</v>
      </c>
    </row>
    <row r="2130" spans="25:29" x14ac:dyDescent="0.2">
      <c r="Y2130" s="105" t="str">
        <f t="shared" si="66"/>
        <v>1w</v>
      </c>
      <c r="Z2130" s="93">
        <f>_xll.qlCalendarAdvance(Calendar,Z2129,Y2130,"f",FALSE)</f>
        <v>54116</v>
      </c>
      <c r="AA2130" s="117">
        <f>_xll.qlCalendarAdvance(Calendar,Z2130,NDays&amp;"D")</f>
        <v>54120</v>
      </c>
      <c r="AB2130" s="92">
        <v>1.784765702094105E-2</v>
      </c>
      <c r="AC2130" s="101">
        <v>1.780925342646178E-2</v>
      </c>
    </row>
    <row r="2131" spans="25:29" x14ac:dyDescent="0.2">
      <c r="Y2131" s="105" t="str">
        <f t="shared" si="66"/>
        <v>1w</v>
      </c>
      <c r="Z2131" s="93">
        <f>_xll.qlCalendarAdvance(Calendar,Z2130,Y2131,"f",FALSE)</f>
        <v>54123</v>
      </c>
      <c r="AA2131" s="117">
        <f>_xll.qlCalendarAdvance(Calendar,Z2131,NDays&amp;"D")</f>
        <v>54127</v>
      </c>
      <c r="AB2131" s="92">
        <v>1.7844265833523214E-2</v>
      </c>
      <c r="AC2131" s="101">
        <v>1.7806277241483315E-2</v>
      </c>
    </row>
    <row r="2132" spans="25:29" x14ac:dyDescent="0.2">
      <c r="Y2132" s="105" t="str">
        <f t="shared" si="66"/>
        <v>1w</v>
      </c>
      <c r="Z2132" s="93">
        <f>_xll.qlCalendarAdvance(Calendar,Z2131,Y2132,"f",FALSE)</f>
        <v>54130</v>
      </c>
      <c r="AA2132" s="117">
        <f>_xll.qlCalendarAdvance(Calendar,Z2132,NDays&amp;"D")</f>
        <v>54134</v>
      </c>
      <c r="AB2132" s="92">
        <v>1.7840844968608834E-2</v>
      </c>
      <c r="AC2132" s="101">
        <v>1.7803271640035589E-2</v>
      </c>
    </row>
    <row r="2133" spans="25:29" x14ac:dyDescent="0.2">
      <c r="Y2133" s="105" t="str">
        <f t="shared" ref="Y2133:Y2196" si="67">Y2132</f>
        <v>1w</v>
      </c>
      <c r="Z2133" s="93">
        <f>_xll.qlCalendarAdvance(Calendar,Z2132,Y2133,"f",FALSE)</f>
        <v>54137</v>
      </c>
      <c r="AA2133" s="117">
        <f>_xll.qlCalendarAdvance(Calendar,Z2133,NDays&amp;"D")</f>
        <v>54141</v>
      </c>
      <c r="AB2133" s="92">
        <v>1.7837394426351259E-2</v>
      </c>
      <c r="AC2133" s="101">
        <v>1.7800236622038668E-2</v>
      </c>
    </row>
    <row r="2134" spans="25:29" x14ac:dyDescent="0.2">
      <c r="Y2134" s="105" t="str">
        <f t="shared" si="67"/>
        <v>1w</v>
      </c>
      <c r="Z2134" s="93">
        <f>_xll.qlCalendarAdvance(Calendar,Z2133,Y2134,"f",FALSE)</f>
        <v>54144</v>
      </c>
      <c r="AA2134" s="117">
        <f>_xll.qlCalendarAdvance(Calendar,Z2134,NDays&amp;"D")</f>
        <v>54148</v>
      </c>
      <c r="AB2134" s="92">
        <v>1.7833732638110975E-2</v>
      </c>
      <c r="AC2134" s="101">
        <v>1.7797172187492549E-2</v>
      </c>
    </row>
    <row r="2135" spans="25:29" x14ac:dyDescent="0.2">
      <c r="Y2135" s="105" t="str">
        <f t="shared" si="67"/>
        <v>1w</v>
      </c>
      <c r="Z2135" s="93">
        <f>_xll.qlCalendarAdvance(Calendar,Z2134,Y2135,"f",FALSE)</f>
        <v>54155</v>
      </c>
      <c r="AA2135" s="117">
        <f>_xll.qlCalendarAdvance(Calendar,Z2135,NDays&amp;"D")</f>
        <v>54157</v>
      </c>
      <c r="AB2135" s="92">
        <v>1.7829217411267632E-2</v>
      </c>
      <c r="AC2135" s="101">
        <v>1.779318897597193E-2</v>
      </c>
    </row>
    <row r="2136" spans="25:29" x14ac:dyDescent="0.2">
      <c r="Y2136" s="105" t="str">
        <f t="shared" si="67"/>
        <v>1w</v>
      </c>
      <c r="Z2136" s="93">
        <f>_xll.qlCalendarAdvance(Calendar,Z2135,Y2136,"f",FALSE)</f>
        <v>54162</v>
      </c>
      <c r="AA2136" s="117">
        <f>_xll.qlCalendarAdvance(Calendar,Z2136,NDays&amp;"D")</f>
        <v>54164</v>
      </c>
      <c r="AB2136" s="92">
        <v>1.7825671653396272E-2</v>
      </c>
      <c r="AC2136" s="101">
        <v>1.7790057303610496E-2</v>
      </c>
    </row>
    <row r="2137" spans="25:29" x14ac:dyDescent="0.2">
      <c r="Y2137" s="105" t="str">
        <f t="shared" si="67"/>
        <v>1w</v>
      </c>
      <c r="Z2137" s="93">
        <f>_xll.qlCalendarAdvance(Calendar,Z2136,Y2137,"f",FALSE)</f>
        <v>54169</v>
      </c>
      <c r="AA2137" s="117">
        <f>_xll.qlCalendarAdvance(Calendar,Z2137,NDays&amp;"D")</f>
        <v>54171</v>
      </c>
      <c r="AB2137" s="92">
        <v>1.782209622027468E-2</v>
      </c>
      <c r="AC2137" s="101">
        <v>1.7786896214779802E-2</v>
      </c>
    </row>
    <row r="2138" spans="25:29" x14ac:dyDescent="0.2">
      <c r="Y2138" s="105" t="str">
        <f t="shared" si="67"/>
        <v>1w</v>
      </c>
      <c r="Z2138" s="93">
        <f>_xll.qlCalendarAdvance(Calendar,Z2137,Y2138,"f",FALSE)</f>
        <v>54176</v>
      </c>
      <c r="AA2138" s="117">
        <f>_xll.qlCalendarAdvance(Calendar,Z2138,NDays&amp;"D")</f>
        <v>54178</v>
      </c>
      <c r="AB2138" s="92">
        <v>1.7818491112063597E-2</v>
      </c>
      <c r="AC2138" s="101">
        <v>1.7784335519623884E-2</v>
      </c>
    </row>
    <row r="2139" spans="25:29" x14ac:dyDescent="0.2">
      <c r="Y2139" s="105" t="str">
        <f t="shared" si="67"/>
        <v>1w</v>
      </c>
      <c r="Z2139" s="93">
        <f>_xll.qlCalendarAdvance(Calendar,Z2138,Y2139,"f",FALSE)</f>
        <v>54183</v>
      </c>
      <c r="AA2139" s="117">
        <f>_xll.qlCalendarAdvance(Calendar,Z2139,NDays&amp;"D")</f>
        <v>54185</v>
      </c>
      <c r="AB2139" s="92">
        <v>1.7815363988808217E-2</v>
      </c>
      <c r="AC2139" s="101">
        <v>1.7780485787550759E-2</v>
      </c>
    </row>
    <row r="2140" spans="25:29" x14ac:dyDescent="0.2">
      <c r="Y2140" s="105" t="str">
        <f t="shared" si="67"/>
        <v>1w</v>
      </c>
      <c r="Z2140" s="93">
        <f>_xll.qlCalendarAdvance(Calendar,Z2139,Y2140,"f",FALSE)</f>
        <v>54190</v>
      </c>
      <c r="AA2140" s="117">
        <f>_xll.qlCalendarAdvance(Calendar,Z2140,NDays&amp;"D")</f>
        <v>54192</v>
      </c>
      <c r="AB2140" s="92">
        <v>1.7811692629632406E-2</v>
      </c>
      <c r="AC2140" s="101">
        <v>1.7777236449152412E-2</v>
      </c>
    </row>
    <row r="2141" spans="25:29" x14ac:dyDescent="0.2">
      <c r="Y2141" s="105" t="str">
        <f t="shared" si="67"/>
        <v>1w</v>
      </c>
      <c r="Z2141" s="93">
        <f>_xll.qlCalendarAdvance(Calendar,Z2140,Y2141,"f",FALSE)</f>
        <v>54197</v>
      </c>
      <c r="AA2141" s="117">
        <f>_xll.qlCalendarAdvance(Calendar,Z2141,NDays&amp;"D")</f>
        <v>54199</v>
      </c>
      <c r="AB2141" s="92">
        <v>1.7807991591619571E-2</v>
      </c>
      <c r="AC2141" s="101">
        <v>1.7773957694284803E-2</v>
      </c>
    </row>
    <row r="2142" spans="25:29" x14ac:dyDescent="0.2">
      <c r="Y2142" s="105" t="str">
        <f t="shared" si="67"/>
        <v>1w</v>
      </c>
      <c r="Z2142" s="93">
        <f>_xll.qlCalendarAdvance(Calendar,Z2141,Y2142,"f",FALSE)</f>
        <v>54204</v>
      </c>
      <c r="AA2142" s="117">
        <f>_xll.qlCalendarAdvance(Calendar,Z2142,NDays&amp;"D")</f>
        <v>54206</v>
      </c>
      <c r="AB2142" s="92">
        <v>1.7804260874937323E-2</v>
      </c>
      <c r="AC2142" s="101">
        <v>1.7770649522947934E-2</v>
      </c>
    </row>
    <row r="2143" spans="25:29" x14ac:dyDescent="0.2">
      <c r="Y2143" s="105" t="str">
        <f t="shared" si="67"/>
        <v>1w</v>
      </c>
      <c r="Z2143" s="93">
        <f>_xll.qlCalendarAdvance(Calendar,Z2142,Y2143,"f",FALSE)</f>
        <v>54211</v>
      </c>
      <c r="AA2143" s="117">
        <f>_xll.qlCalendarAdvance(Calendar,Z2143,NDays&amp;"D")</f>
        <v>54213</v>
      </c>
      <c r="AB2143" s="92">
        <v>1.7800020450365321E-2</v>
      </c>
      <c r="AC2143" s="101">
        <v>1.7767311934981933E-2</v>
      </c>
    </row>
    <row r="2144" spans="25:29" x14ac:dyDescent="0.2">
      <c r="Y2144" s="105" t="str">
        <f t="shared" si="67"/>
        <v>1w</v>
      </c>
      <c r="Z2144" s="93">
        <f>_xll.qlCalendarAdvance(Calendar,Z2143,Y2144,"f",FALSE)</f>
        <v>54218</v>
      </c>
      <c r="AA2144" s="117">
        <f>_xll.qlCalendarAdvance(Calendar,Z2144,NDays&amp;"D")</f>
        <v>54220</v>
      </c>
      <c r="AB2144" s="92">
        <v>1.7796237295057169E-2</v>
      </c>
      <c r="AC2144" s="101">
        <v>1.7763944930466735E-2</v>
      </c>
    </row>
    <row r="2145" spans="25:29" x14ac:dyDescent="0.2">
      <c r="Y2145" s="105" t="str">
        <f t="shared" si="67"/>
        <v>1w</v>
      </c>
      <c r="Z2145" s="93">
        <f>_xll.qlCalendarAdvance(Calendar,Z2144,Y2145,"f",FALSE)</f>
        <v>54225</v>
      </c>
      <c r="AA2145" s="117">
        <f>_xll.qlCalendarAdvance(Calendar,Z2145,NDays&amp;"D")</f>
        <v>54227</v>
      </c>
      <c r="AB2145" s="92">
        <v>1.7792424465819259E-2</v>
      </c>
      <c r="AC2145" s="101">
        <v>1.7760548509562213E-2</v>
      </c>
    </row>
    <row r="2146" spans="25:29" x14ac:dyDescent="0.2">
      <c r="Y2146" s="105" t="str">
        <f t="shared" si="67"/>
        <v>1w</v>
      </c>
      <c r="Z2146" s="93">
        <f>_xll.qlCalendarAdvance(Calendar,Z2145,Y2146,"f",FALSE)</f>
        <v>54232</v>
      </c>
      <c r="AA2146" s="117">
        <f>_xll.qlCalendarAdvance(Calendar,Z2146,NDays&amp;"D")</f>
        <v>54234</v>
      </c>
      <c r="AB2146" s="92">
        <v>1.778904122494198E-2</v>
      </c>
      <c r="AC2146" s="101">
        <v>1.7757122672028558E-2</v>
      </c>
    </row>
    <row r="2147" spans="25:29" x14ac:dyDescent="0.2">
      <c r="Y2147" s="105" t="str">
        <f t="shared" si="67"/>
        <v>1w</v>
      </c>
      <c r="Z2147" s="93">
        <f>_xll.qlCalendarAdvance(Calendar,Z2146,Y2147,"f",FALSE)</f>
        <v>54239</v>
      </c>
      <c r="AA2147" s="117">
        <f>_xll.qlCalendarAdvance(Calendar,Z2147,NDays&amp;"D")</f>
        <v>54241</v>
      </c>
      <c r="AB2147" s="92">
        <v>1.778516211749382E-2</v>
      </c>
      <c r="AC2147" s="101">
        <v>1.7753667418105579E-2</v>
      </c>
    </row>
    <row r="2148" spans="25:29" x14ac:dyDescent="0.2">
      <c r="Y2148" s="105" t="str">
        <f t="shared" si="67"/>
        <v>1w</v>
      </c>
      <c r="Z2148" s="93">
        <f>_xll.qlCalendarAdvance(Calendar,Z2147,Y2148,"f",FALSE)</f>
        <v>54246</v>
      </c>
      <c r="AA2148" s="117">
        <f>_xll.qlCalendarAdvance(Calendar,Z2148,NDays&amp;"D")</f>
        <v>54248</v>
      </c>
      <c r="AB2148" s="92">
        <v>1.7781253332417563E-2</v>
      </c>
      <c r="AC2148" s="101">
        <v>1.7750182747553467E-2</v>
      </c>
    </row>
    <row r="2149" spans="25:29" x14ac:dyDescent="0.2">
      <c r="Y2149" s="105" t="str">
        <f t="shared" si="67"/>
        <v>1w</v>
      </c>
      <c r="Z2149" s="93">
        <f>_xll.qlCalendarAdvance(Calendar,Z2148,Y2149,"f",FALSE)</f>
        <v>54253</v>
      </c>
      <c r="AA2149" s="117">
        <f>_xll.qlCalendarAdvance(Calendar,Z2149,NDays&amp;"D")</f>
        <v>54255</v>
      </c>
      <c r="AB2149" s="92">
        <v>1.777731486989156E-2</v>
      </c>
      <c r="AC2149" s="101">
        <v>1.7746668660532094E-2</v>
      </c>
    </row>
    <row r="2150" spans="25:29" x14ac:dyDescent="0.2">
      <c r="Y2150" s="105" t="str">
        <f t="shared" si="67"/>
        <v>1w</v>
      </c>
      <c r="Z2150" s="93">
        <f>_xll.qlCalendarAdvance(Calendar,Z2149,Y2150,"f",FALSE)</f>
        <v>54260</v>
      </c>
      <c r="AA2150" s="117">
        <f>_xll.qlCalendarAdvance(Calendar,Z2150,NDays&amp;"D")</f>
        <v>54262</v>
      </c>
      <c r="AB2150" s="92">
        <v>1.7773346730095025E-2</v>
      </c>
      <c r="AC2150" s="101">
        <v>1.774312515688159E-2</v>
      </c>
    </row>
    <row r="2151" spans="25:29" x14ac:dyDescent="0.2">
      <c r="Y2151" s="105" t="str">
        <f t="shared" si="67"/>
        <v>1w</v>
      </c>
      <c r="Z2151" s="93">
        <f>_xll.qlCalendarAdvance(Calendar,Z2150,Y2151,"f",FALSE)</f>
        <v>54267</v>
      </c>
      <c r="AA2151" s="117">
        <f>_xll.qlCalendarAdvance(Calendar,Z2151,NDays&amp;"D")</f>
        <v>54269</v>
      </c>
      <c r="AB2151" s="92">
        <v>1.7768924347531204E-2</v>
      </c>
      <c r="AC2151" s="101">
        <v>1.7739552237001632E-2</v>
      </c>
    </row>
    <row r="2152" spans="25:29" x14ac:dyDescent="0.2">
      <c r="Y2152" s="105" t="str">
        <f t="shared" si="67"/>
        <v>1w</v>
      </c>
      <c r="Z2152" s="93">
        <f>_xll.qlCalendarAdvance(Calendar,Z2151,Y2152,"f",FALSE)</f>
        <v>54274</v>
      </c>
      <c r="AA2152" s="117">
        <f>_xll.qlCalendarAdvance(Calendar,Z2152,NDays&amp;"D")</f>
        <v>54276</v>
      </c>
      <c r="AB2152" s="92">
        <v>1.7765321419417082E-2</v>
      </c>
      <c r="AC2152" s="101">
        <v>1.7735949900252734E-2</v>
      </c>
    </row>
    <row r="2153" spans="25:29" x14ac:dyDescent="0.2">
      <c r="Y2153" s="105" t="str">
        <f t="shared" si="67"/>
        <v>1w</v>
      </c>
      <c r="Z2153" s="93">
        <f>_xll.qlCalendarAdvance(Calendar,Z2152,Y2153,"f",FALSE)</f>
        <v>54281</v>
      </c>
      <c r="AA2153" s="117">
        <f>_xll.qlCalendarAdvance(Calendar,Z2153,NDays&amp;"D")</f>
        <v>54283</v>
      </c>
      <c r="AB2153" s="92">
        <v>1.7761264248900545E-2</v>
      </c>
      <c r="AC2153" s="101">
        <v>1.773231814735432E-2</v>
      </c>
    </row>
    <row r="2154" spans="25:29" x14ac:dyDescent="0.2">
      <c r="Y2154" s="105" t="str">
        <f t="shared" si="67"/>
        <v>1w</v>
      </c>
      <c r="Z2154" s="93">
        <f>_xll.qlCalendarAdvance(Calendar,Z2153,Y2154,"f",FALSE)</f>
        <v>54288</v>
      </c>
      <c r="AA2154" s="117">
        <f>_xll.qlCalendarAdvance(Calendar,Z2154,NDays&amp;"D")</f>
        <v>54290</v>
      </c>
      <c r="AB2154" s="92">
        <v>1.7757177401846222E-2</v>
      </c>
      <c r="AC2154" s="101">
        <v>1.7728656977826773E-2</v>
      </c>
    </row>
    <row r="2155" spans="25:29" x14ac:dyDescent="0.2">
      <c r="Y2155" s="105" t="str">
        <f t="shared" si="67"/>
        <v>1w</v>
      </c>
      <c r="Z2155" s="93">
        <f>_xll.qlCalendarAdvance(Calendar,Z2154,Y2155,"f",FALSE)</f>
        <v>54295</v>
      </c>
      <c r="AA2155" s="117">
        <f>_xll.qlCalendarAdvance(Calendar,Z2155,NDays&amp;"D")</f>
        <v>54297</v>
      </c>
      <c r="AB2155" s="92">
        <v>1.7752664145571678E-2</v>
      </c>
      <c r="AC2155" s="101">
        <v>1.7724966391590158E-2</v>
      </c>
    </row>
    <row r="2156" spans="25:29" x14ac:dyDescent="0.2">
      <c r="Y2156" s="105" t="str">
        <f t="shared" si="67"/>
        <v>1w</v>
      </c>
      <c r="Z2156" s="93">
        <f>_xll.qlCalendarAdvance(Calendar,Z2155,Y2156,"f",FALSE)</f>
        <v>54302</v>
      </c>
      <c r="AA2156" s="117">
        <f>_xll.qlCalendarAdvance(Calendar,Z2156,NDays&amp;"D")</f>
        <v>54304</v>
      </c>
      <c r="AB2156" s="92">
        <v>1.7748263983792551E-2</v>
      </c>
      <c r="AC2156" s="101">
        <v>1.772124638912409E-2</v>
      </c>
    </row>
    <row r="2157" spans="25:29" x14ac:dyDescent="0.2">
      <c r="Y2157" s="105" t="str">
        <f t="shared" si="67"/>
        <v>1w</v>
      </c>
      <c r="Z2157" s="93">
        <f>_xll.qlCalendarAdvance(Calendar,Z2156,Y2157,"f",FALSE)</f>
        <v>54309</v>
      </c>
      <c r="AA2157" s="117">
        <f>_xll.qlCalendarAdvance(Calendar,Z2157,NDays&amp;"D")</f>
        <v>54311</v>
      </c>
      <c r="AB2157" s="92">
        <v>1.774409972864455E-2</v>
      </c>
      <c r="AC2157" s="101">
        <v>1.771749697002889E-2</v>
      </c>
    </row>
    <row r="2158" spans="25:29" x14ac:dyDescent="0.2">
      <c r="Y2158" s="105" t="str">
        <f t="shared" si="67"/>
        <v>1w</v>
      </c>
      <c r="Z2158" s="93">
        <f>_xll.qlCalendarAdvance(Calendar,Z2157,Y2158,"f",FALSE)</f>
        <v>54316</v>
      </c>
      <c r="AA2158" s="117">
        <f>_xll.qlCalendarAdvance(Calendar,Z2158,NDays&amp;"D")</f>
        <v>54318</v>
      </c>
      <c r="AB2158" s="92">
        <v>1.7739905804682401E-2</v>
      </c>
      <c r="AC2158" s="101">
        <v>1.7713718134304557E-2</v>
      </c>
    </row>
    <row r="2159" spans="25:29" x14ac:dyDescent="0.2">
      <c r="Y2159" s="105" t="str">
        <f t="shared" si="67"/>
        <v>1w</v>
      </c>
      <c r="Z2159" s="93">
        <f>_xll.qlCalendarAdvance(Calendar,Z2158,Y2159,"f",FALSE)</f>
        <v>54323</v>
      </c>
      <c r="AA2159" s="117">
        <f>_xll.qlCalendarAdvance(Calendar,Z2159,NDays&amp;"D")</f>
        <v>54325</v>
      </c>
      <c r="AB2159" s="92">
        <v>1.7735682212092038E-2</v>
      </c>
      <c r="AC2159" s="101">
        <v>1.77099098821909E-2</v>
      </c>
    </row>
    <row r="2160" spans="25:29" x14ac:dyDescent="0.2">
      <c r="Y2160" s="105" t="str">
        <f t="shared" si="67"/>
        <v>1w</v>
      </c>
      <c r="Z2160" s="93">
        <f>_xll.qlCalendarAdvance(Calendar,Z2159,Y2160,"f",FALSE)</f>
        <v>54330</v>
      </c>
      <c r="AA2160" s="117">
        <f>_xll.qlCalendarAdvance(Calendar,Z2160,NDays&amp;"D")</f>
        <v>54332</v>
      </c>
      <c r="AB2160" s="92">
        <v>1.7731550222295833E-2</v>
      </c>
      <c r="AC2160" s="101">
        <v>1.7706072213687918E-2</v>
      </c>
    </row>
    <row r="2161" spans="25:29" x14ac:dyDescent="0.2">
      <c r="Y2161" s="105" t="str">
        <f t="shared" si="67"/>
        <v>1w</v>
      </c>
      <c r="Z2161" s="93">
        <f>_xll.qlCalendarAdvance(Calendar,Z2160,Y2161,"f",FALSE)</f>
        <v>54337</v>
      </c>
      <c r="AA2161" s="117">
        <f>_xll.qlCalendarAdvance(Calendar,Z2161,NDays&amp;"D")</f>
        <v>54339</v>
      </c>
      <c r="AB2161" s="92">
        <v>1.7727264963781644E-2</v>
      </c>
      <c r="AC2161" s="101">
        <v>1.770220512863574E-2</v>
      </c>
    </row>
    <row r="2162" spans="25:29" x14ac:dyDescent="0.2">
      <c r="Y2162" s="105" t="str">
        <f t="shared" si="67"/>
        <v>1w</v>
      </c>
      <c r="Z2162" s="93">
        <f>_xll.qlCalendarAdvance(Calendar,Z2161,Y2162,"f",FALSE)</f>
        <v>54344</v>
      </c>
      <c r="AA2162" s="117">
        <f>_xll.qlCalendarAdvance(Calendar,Z2162,NDays&amp;"D")</f>
        <v>54346</v>
      </c>
      <c r="AB2162" s="92">
        <v>1.7722950035815942E-2</v>
      </c>
      <c r="AC2162" s="101">
        <v>1.7698308627034365E-2</v>
      </c>
    </row>
    <row r="2163" spans="25:29" x14ac:dyDescent="0.2">
      <c r="Y2163" s="105" t="str">
        <f t="shared" si="67"/>
        <v>1w</v>
      </c>
      <c r="Z2163" s="93">
        <f>_xll.qlCalendarAdvance(Calendar,Z2162,Y2163,"f",FALSE)</f>
        <v>54351</v>
      </c>
      <c r="AA2163" s="117">
        <f>_xll.qlCalendarAdvance(Calendar,Z2163,NDays&amp;"D")</f>
        <v>54353</v>
      </c>
      <c r="AB2163" s="92">
        <v>1.7718605438590225E-2</v>
      </c>
      <c r="AC2163" s="101">
        <v>1.7694382708803857E-2</v>
      </c>
    </row>
    <row r="2164" spans="25:29" x14ac:dyDescent="0.2">
      <c r="Y2164" s="105" t="str">
        <f t="shared" si="67"/>
        <v>1w</v>
      </c>
      <c r="Z2164" s="93">
        <f>_xll.qlCalendarAdvance(Calendar,Z2163,Y2164,"f",FALSE)</f>
        <v>54358</v>
      </c>
      <c r="AA2164" s="117">
        <f>_xll.qlCalendarAdvance(Calendar,Z2164,NDays&amp;"D")</f>
        <v>54360</v>
      </c>
      <c r="AB2164" s="92">
        <v>1.7714231172299942E-2</v>
      </c>
      <c r="AC2164" s="101">
        <v>1.7690427374263962E-2</v>
      </c>
    </row>
    <row r="2165" spans="25:29" x14ac:dyDescent="0.2">
      <c r="Y2165" s="105" t="str">
        <f t="shared" si="67"/>
        <v>1w</v>
      </c>
      <c r="Z2165" s="93">
        <f>_xll.qlCalendarAdvance(Calendar,Z2164,Y2165,"f",FALSE)</f>
        <v>54365</v>
      </c>
      <c r="AA2165" s="117">
        <f>_xll.qlCalendarAdvance(Calendar,Z2165,NDays&amp;"D")</f>
        <v>54367</v>
      </c>
      <c r="AB2165" s="92">
        <v>1.7709717625943294E-2</v>
      </c>
      <c r="AC2165" s="101">
        <v>1.7686442623254806E-2</v>
      </c>
    </row>
    <row r="2166" spans="25:29" x14ac:dyDescent="0.2">
      <c r="Y2166" s="105" t="str">
        <f t="shared" si="67"/>
        <v>1w</v>
      </c>
      <c r="Z2166" s="93">
        <f>_xll.qlCalendarAdvance(Calendar,Z2165,Y2166,"f",FALSE)</f>
        <v>54372</v>
      </c>
      <c r="AA2166" s="117">
        <f>_xll.qlCalendarAdvance(Calendar,Z2166,NDays&amp;"D")</f>
        <v>54374</v>
      </c>
      <c r="AB2166" s="92">
        <v>1.7705286358275351E-2</v>
      </c>
      <c r="AC2166" s="101">
        <v>1.7682428455616517E-2</v>
      </c>
    </row>
    <row r="2167" spans="25:29" x14ac:dyDescent="0.2">
      <c r="Y2167" s="105" t="str">
        <f t="shared" si="67"/>
        <v>1w</v>
      </c>
      <c r="Z2167" s="93">
        <f>_xll.qlCalendarAdvance(Calendar,Z2166,Y2167,"f",FALSE)</f>
        <v>54379</v>
      </c>
      <c r="AA2167" s="117">
        <f>_xll.qlCalendarAdvance(Calendar,Z2167,NDays&amp;"D")</f>
        <v>54381</v>
      </c>
      <c r="AB2167" s="92">
        <v>1.7700825423515643E-2</v>
      </c>
      <c r="AC2167" s="101">
        <v>1.7678384871508968E-2</v>
      </c>
    </row>
    <row r="2168" spans="25:29" x14ac:dyDescent="0.2">
      <c r="Y2168" s="105" t="str">
        <f t="shared" si="67"/>
        <v>1w</v>
      </c>
      <c r="Z2168" s="93">
        <f>_xll.qlCalendarAdvance(Calendar,Z2167,Y2168,"f",FALSE)</f>
        <v>54386</v>
      </c>
      <c r="AA2168" s="117">
        <f>_xll.qlCalendarAdvance(Calendar,Z2168,NDays&amp;"D")</f>
        <v>54388</v>
      </c>
      <c r="AB2168" s="92">
        <v>1.7696334821861136E-2</v>
      </c>
      <c r="AC2168" s="101">
        <v>1.7674311870932158E-2</v>
      </c>
    </row>
    <row r="2169" spans="25:29" x14ac:dyDescent="0.2">
      <c r="Y2169" s="105" t="str">
        <f t="shared" si="67"/>
        <v>1w</v>
      </c>
      <c r="Z2169" s="93">
        <f>_xll.qlCalendarAdvance(Calendar,Z2168,Y2169,"f",FALSE)</f>
        <v>54393</v>
      </c>
      <c r="AA2169" s="117">
        <f>_xll.qlCalendarAdvance(Calendar,Z2169,NDays&amp;"D")</f>
        <v>54395</v>
      </c>
      <c r="AB2169" s="92">
        <v>1.7691914811736056E-2</v>
      </c>
      <c r="AC2169" s="101">
        <v>1.7670209453806152E-2</v>
      </c>
    </row>
    <row r="2170" spans="25:29" x14ac:dyDescent="0.2">
      <c r="Y2170" s="105" t="str">
        <f t="shared" si="67"/>
        <v>1w</v>
      </c>
      <c r="Z2170" s="93">
        <f>_xll.qlCalendarAdvance(Calendar,Z2169,Y2170,"f",FALSE)</f>
        <v>54400</v>
      </c>
      <c r="AA2170" s="117">
        <f>_xll.qlCalendarAdvance(Calendar,Z2170,NDays&amp;"D")</f>
        <v>54402</v>
      </c>
      <c r="AB2170" s="92">
        <v>1.7687362535195275E-2</v>
      </c>
      <c r="AC2170" s="101">
        <v>1.7666077620290821E-2</v>
      </c>
    </row>
    <row r="2171" spans="25:29" x14ac:dyDescent="0.2">
      <c r="Y2171" s="105" t="str">
        <f t="shared" si="67"/>
        <v>1w</v>
      </c>
      <c r="Z2171" s="93">
        <f>_xll.qlCalendarAdvance(Calendar,Z2170,Y2171,"f",FALSE)</f>
        <v>54407</v>
      </c>
      <c r="AA2171" s="117">
        <f>_xll.qlCalendarAdvance(Calendar,Z2171,NDays&amp;"D")</f>
        <v>54409</v>
      </c>
      <c r="AB2171" s="92">
        <v>1.768278059098222E-2</v>
      </c>
      <c r="AC2171" s="101">
        <v>1.7661916370226294E-2</v>
      </c>
    </row>
    <row r="2172" spans="25:29" x14ac:dyDescent="0.2">
      <c r="Y2172" s="105" t="str">
        <f t="shared" si="67"/>
        <v>1w</v>
      </c>
      <c r="Z2172" s="93">
        <f>_xll.qlCalendarAdvance(Calendar,Z2171,Y2172,"f",FALSE)</f>
        <v>54414</v>
      </c>
      <c r="AA2172" s="117">
        <f>_xll.qlCalendarAdvance(Calendar,Z2172,NDays&amp;"D")</f>
        <v>54416</v>
      </c>
      <c r="AB2172" s="92">
        <v>1.767816897930112E-2</v>
      </c>
      <c r="AC2172" s="101">
        <v>1.7658122558061873E-2</v>
      </c>
    </row>
    <row r="2173" spans="25:29" x14ac:dyDescent="0.2">
      <c r="Y2173" s="105" t="str">
        <f t="shared" si="67"/>
        <v>1w</v>
      </c>
      <c r="Z2173" s="93">
        <f>_xll.qlCalendarAdvance(Calendar,Z2172,Y2173,"f",FALSE)</f>
        <v>54421</v>
      </c>
      <c r="AA2173" s="117">
        <f>_xll.qlCalendarAdvance(Calendar,Z2173,NDays&amp;"D")</f>
        <v>54423</v>
      </c>
      <c r="AB2173" s="92">
        <v>1.7673436817189542E-2</v>
      </c>
      <c r="AC2173" s="101">
        <v>1.7653895549658571E-2</v>
      </c>
    </row>
    <row r="2174" spans="25:29" x14ac:dyDescent="0.2">
      <c r="Y2174" s="105" t="str">
        <f t="shared" si="67"/>
        <v>1w</v>
      </c>
      <c r="Z2174" s="93">
        <f>_xll.qlCalendarAdvance(Calendar,Z2173,Y2174,"f",FALSE)</f>
        <v>54428</v>
      </c>
      <c r="AA2174" s="117">
        <f>_xll.qlCalendarAdvance(Calendar,Z2174,NDays&amp;"D")</f>
        <v>54430</v>
      </c>
      <c r="AB2174" s="92">
        <v>1.7668768218397565E-2</v>
      </c>
      <c r="AC2174" s="101">
        <v>1.7649256121217149E-2</v>
      </c>
    </row>
    <row r="2175" spans="25:29" x14ac:dyDescent="0.2">
      <c r="Y2175" s="105" t="str">
        <f t="shared" si="67"/>
        <v>1w</v>
      </c>
      <c r="Z2175" s="93">
        <f>_xll.qlCalendarAdvance(Calendar,Z2174,Y2175,"f",FALSE)</f>
        <v>54435</v>
      </c>
      <c r="AA2175" s="117">
        <f>_xll.qlCalendarAdvance(Calendar,Z2175,NDays&amp;"D")</f>
        <v>54437</v>
      </c>
      <c r="AB2175" s="92">
        <v>1.7664069954133301E-2</v>
      </c>
      <c r="AC2175" s="101">
        <v>1.7644977205115708E-2</v>
      </c>
    </row>
    <row r="2176" spans="25:29" x14ac:dyDescent="0.2">
      <c r="Y2176" s="105" t="str">
        <f t="shared" si="67"/>
        <v>1w</v>
      </c>
      <c r="Z2176" s="93">
        <f>_xll.qlCalendarAdvance(Calendar,Z2175,Y2176,"f",FALSE)</f>
        <v>54442</v>
      </c>
      <c r="AA2176" s="117">
        <f>_xll.qlCalendarAdvance(Calendar,Z2176,NDays&amp;"D")</f>
        <v>54444</v>
      </c>
      <c r="AB2176" s="92">
        <v>1.7659342024605198E-2</v>
      </c>
      <c r="AC2176" s="101">
        <v>1.7640668872545007E-2</v>
      </c>
    </row>
    <row r="2177" spans="25:29" x14ac:dyDescent="0.2">
      <c r="Y2177" s="105" t="str">
        <f t="shared" si="67"/>
        <v>1w</v>
      </c>
      <c r="Z2177" s="93">
        <f>_xll.qlCalendarAdvance(Calendar,Z2176,Y2177,"f",FALSE)</f>
        <v>54449</v>
      </c>
      <c r="AA2177" s="117">
        <f>_xll.qlCalendarAdvance(Calendar,Z2177,NDays&amp;"D")</f>
        <v>54451</v>
      </c>
      <c r="AB2177" s="92">
        <v>1.7654584430022595E-2</v>
      </c>
      <c r="AC2177" s="101">
        <v>1.7636331123584981E-2</v>
      </c>
    </row>
    <row r="2178" spans="25:29" x14ac:dyDescent="0.2">
      <c r="Y2178" s="105" t="str">
        <f t="shared" si="67"/>
        <v>1w</v>
      </c>
      <c r="Z2178" s="93">
        <f>_xll.qlCalendarAdvance(Calendar,Z2177,Y2178,"f",FALSE)</f>
        <v>54456</v>
      </c>
      <c r="AA2178" s="117">
        <f>_xll.qlCalendarAdvance(Calendar,Z2178,NDays&amp;"D")</f>
        <v>54458</v>
      </c>
      <c r="AB2178" s="92">
        <v>1.7649797170597035E-2</v>
      </c>
      <c r="AC2178" s="101">
        <v>1.7631963958155694E-2</v>
      </c>
    </row>
    <row r="2179" spans="25:29" x14ac:dyDescent="0.2">
      <c r="Y2179" s="105" t="str">
        <f t="shared" si="67"/>
        <v>1w</v>
      </c>
      <c r="Z2179" s="93">
        <f>_xll.qlCalendarAdvance(Calendar,Z2178,Y2179,"f",FALSE)</f>
        <v>54463</v>
      </c>
      <c r="AA2179" s="117">
        <f>_xll.qlCalendarAdvance(Calendar,Z2179,NDays&amp;"D")</f>
        <v>54465</v>
      </c>
      <c r="AB2179" s="92">
        <v>1.7644980246540942E-2</v>
      </c>
      <c r="AC2179" s="101">
        <v>1.7627567376257147E-2</v>
      </c>
    </row>
    <row r="2180" spans="25:29" x14ac:dyDescent="0.2">
      <c r="Y2180" s="105" t="str">
        <f t="shared" si="67"/>
        <v>1w</v>
      </c>
      <c r="Z2180" s="93">
        <f>_xll.qlCalendarAdvance(Calendar,Z2179,Y2180,"f",FALSE)</f>
        <v>54470</v>
      </c>
      <c r="AA2180" s="117">
        <f>_xll.qlCalendarAdvance(Calendar,Z2180,NDays&amp;"D")</f>
        <v>54472</v>
      </c>
      <c r="AB2180" s="92">
        <v>1.764013365806763E-2</v>
      </c>
      <c r="AC2180" s="101">
        <v>1.7623141377729468E-2</v>
      </c>
    </row>
    <row r="2181" spans="25:29" x14ac:dyDescent="0.2">
      <c r="Y2181" s="105" t="str">
        <f t="shared" si="67"/>
        <v>1w</v>
      </c>
      <c r="Z2181" s="93">
        <f>_xll.qlCalendarAdvance(Calendar,Z2180,Y2181,"f",FALSE)</f>
        <v>54477</v>
      </c>
      <c r="AA2181" s="117">
        <f>_xll.qlCalendarAdvance(Calendar,Z2181,NDays&amp;"D")</f>
        <v>54479</v>
      </c>
      <c r="AB2181" s="92">
        <v>1.7635257405392173E-2</v>
      </c>
      <c r="AC2181" s="101">
        <v>1.76186859628924E-2</v>
      </c>
    </row>
    <row r="2182" spans="25:29" x14ac:dyDescent="0.2">
      <c r="Y2182" s="105" t="str">
        <f t="shared" si="67"/>
        <v>1w</v>
      </c>
      <c r="Z2182" s="93">
        <f>_xll.qlCalendarAdvance(Calendar,Z2181,Y2182,"f",FALSE)</f>
        <v>54484</v>
      </c>
      <c r="AA2182" s="117">
        <f>_xll.qlCalendarAdvance(Calendar,Z2182,NDays&amp;"D")</f>
        <v>54486</v>
      </c>
      <c r="AB2182" s="92">
        <v>1.7630697803168813E-2</v>
      </c>
      <c r="AC2182" s="101">
        <v>1.7614201131426199E-2</v>
      </c>
    </row>
    <row r="2183" spans="25:29" x14ac:dyDescent="0.2">
      <c r="Y2183" s="105" t="str">
        <f t="shared" si="67"/>
        <v>1w</v>
      </c>
      <c r="Z2183" s="93">
        <f>_xll.qlCalendarAdvance(Calendar,Z2182,Y2183,"f",FALSE)</f>
        <v>54491</v>
      </c>
      <c r="AA2183" s="117">
        <f>_xll.qlCalendarAdvance(Calendar,Z2183,NDays&amp;"D")</f>
        <v>54493</v>
      </c>
      <c r="AB2183" s="92">
        <v>1.7625750423034429E-2</v>
      </c>
      <c r="AC2183" s="101">
        <v>1.760968688365061E-2</v>
      </c>
    </row>
    <row r="2184" spans="25:29" x14ac:dyDescent="0.2">
      <c r="Y2184" s="105" t="str">
        <f t="shared" si="67"/>
        <v>1w</v>
      </c>
      <c r="Z2184" s="93">
        <f>_xll.qlCalendarAdvance(Calendar,Z2183,Y2184,"f",FALSE)</f>
        <v>54498</v>
      </c>
      <c r="AA2184" s="117">
        <f>_xll.qlCalendarAdvance(Calendar,Z2184,NDays&amp;"D")</f>
        <v>54500</v>
      </c>
      <c r="AB2184" s="92">
        <v>1.7620773372539682E-2</v>
      </c>
      <c r="AC2184" s="101">
        <v>1.7605143219245889E-2</v>
      </c>
    </row>
    <row r="2185" spans="25:29" x14ac:dyDescent="0.2">
      <c r="Y2185" s="105" t="str">
        <f t="shared" si="67"/>
        <v>1w</v>
      </c>
      <c r="Z2185" s="93">
        <f>_xll.qlCalendarAdvance(Calendar,Z2184,Y2185,"f",FALSE)</f>
        <v>54505</v>
      </c>
      <c r="AA2185" s="117">
        <f>_xll.qlCalendarAdvance(Calendar,Z2185,NDays&amp;"D")</f>
        <v>54507</v>
      </c>
      <c r="AB2185" s="92">
        <v>1.7615766651911058E-2</v>
      </c>
      <c r="AC2185" s="101">
        <v>1.7600570138371907E-2</v>
      </c>
    </row>
    <row r="2186" spans="25:29" x14ac:dyDescent="0.2">
      <c r="Y2186" s="105" t="str">
        <f t="shared" si="67"/>
        <v>1w</v>
      </c>
      <c r="Z2186" s="93">
        <f>_xll.qlCalendarAdvance(Calendar,Z2185,Y2186,"f",FALSE)</f>
        <v>54512</v>
      </c>
      <c r="AA2186" s="117">
        <f>_xll.qlCalendarAdvance(Calendar,Z2186,NDays&amp;"D")</f>
        <v>54514</v>
      </c>
      <c r="AB2186" s="92">
        <v>1.7610551488134795E-2</v>
      </c>
      <c r="AC2186" s="101">
        <v>1.7595967641188537E-2</v>
      </c>
    </row>
    <row r="2187" spans="25:29" x14ac:dyDescent="0.2">
      <c r="Y2187" s="105" t="str">
        <f t="shared" si="67"/>
        <v>1w</v>
      </c>
      <c r="Z2187" s="93">
        <f>_xll.qlCalendarAdvance(Calendar,Z2186,Y2187,"f",FALSE)</f>
        <v>54519</v>
      </c>
      <c r="AA2187" s="117">
        <f>_xll.qlCalendarAdvance(Calendar,Z2187,NDays&amp;"D")</f>
        <v>54521</v>
      </c>
      <c r="AB2187" s="92">
        <v>1.7605492524691225E-2</v>
      </c>
      <c r="AC2187" s="101">
        <v>1.7591335727376034E-2</v>
      </c>
    </row>
    <row r="2188" spans="25:29" x14ac:dyDescent="0.2">
      <c r="Y2188" s="105" t="str">
        <f t="shared" si="67"/>
        <v>1w</v>
      </c>
      <c r="Z2188" s="93">
        <f>_xll.qlCalendarAdvance(Calendar,Z2187,Y2188,"f",FALSE)</f>
        <v>54526</v>
      </c>
      <c r="AA2188" s="117">
        <f>_xll.qlCalendarAdvance(Calendar,Z2188,NDays&amp;"D")</f>
        <v>54528</v>
      </c>
      <c r="AB2188" s="92">
        <v>1.7600403895874108E-2</v>
      </c>
      <c r="AC2188" s="101">
        <v>1.7587054691594162E-2</v>
      </c>
    </row>
    <row r="2189" spans="25:29" x14ac:dyDescent="0.2">
      <c r="Y2189" s="105" t="str">
        <f t="shared" si="67"/>
        <v>1w</v>
      </c>
      <c r="Z2189" s="93">
        <f>_xll.qlCalendarAdvance(Calendar,Z2188,Y2189,"f",FALSE)</f>
        <v>54533</v>
      </c>
      <c r="AA2189" s="117">
        <f>_xll.qlCalendarAdvance(Calendar,Z2189,NDays&amp;"D")</f>
        <v>54535</v>
      </c>
      <c r="AB2189" s="92">
        <v>1.7595285601909712E-2</v>
      </c>
      <c r="AC2189" s="101">
        <v>1.7581983650423183E-2</v>
      </c>
    </row>
    <row r="2190" spans="25:29" x14ac:dyDescent="0.2">
      <c r="Y2190" s="105" t="str">
        <f t="shared" si="67"/>
        <v>1w</v>
      </c>
      <c r="Z2190" s="93">
        <f>_xll.qlCalendarAdvance(Calendar,Z2189,Y2190,"f",FALSE)</f>
        <v>54540</v>
      </c>
      <c r="AA2190" s="117">
        <f>_xll.qlCalendarAdvance(Calendar,Z2190,NDays&amp;"D")</f>
        <v>54542</v>
      </c>
      <c r="AB2190" s="92">
        <v>1.7590137643027803E-2</v>
      </c>
      <c r="AC2190" s="101">
        <v>1.7577263487202899E-2</v>
      </c>
    </row>
    <row r="2191" spans="25:29" x14ac:dyDescent="0.2">
      <c r="Y2191" s="105" t="str">
        <f t="shared" si="67"/>
        <v>1w</v>
      </c>
      <c r="Z2191" s="93">
        <f>_xll.qlCalendarAdvance(Calendar,Z2190,Y2191,"f",FALSE)</f>
        <v>54547</v>
      </c>
      <c r="AA2191" s="117">
        <f>_xll.qlCalendarAdvance(Calendar,Z2191,NDays&amp;"D")</f>
        <v>54549</v>
      </c>
      <c r="AB2191" s="92">
        <v>1.7585103268203197E-2</v>
      </c>
      <c r="AC2191" s="101">
        <v>1.7572513907513354E-2</v>
      </c>
    </row>
    <row r="2192" spans="25:29" x14ac:dyDescent="0.2">
      <c r="Y2192" s="105" t="str">
        <f t="shared" si="67"/>
        <v>1w</v>
      </c>
      <c r="Z2192" s="93">
        <f>_xll.qlCalendarAdvance(Calendar,Z2191,Y2192,"f",FALSE)</f>
        <v>54554</v>
      </c>
      <c r="AA2192" s="117">
        <f>_xll.qlCalendarAdvance(Calendar,Z2192,NDays&amp;"D")</f>
        <v>54556</v>
      </c>
      <c r="AB2192" s="92">
        <v>1.757988886310409E-2</v>
      </c>
      <c r="AC2192" s="101">
        <v>1.7567734911354549E-2</v>
      </c>
    </row>
    <row r="2193" spans="25:29" x14ac:dyDescent="0.2">
      <c r="Y2193" s="105" t="str">
        <f t="shared" si="67"/>
        <v>1w</v>
      </c>
      <c r="Z2193" s="93">
        <f>_xll.qlCalendarAdvance(Calendar,Z2192,Y2193,"f",FALSE)</f>
        <v>54561</v>
      </c>
      <c r="AA2193" s="117">
        <f>_xll.qlCalendarAdvance(Calendar,Z2193,NDays&amp;"D")</f>
        <v>54563</v>
      </c>
      <c r="AB2193" s="92">
        <v>1.7574644789735423E-2</v>
      </c>
      <c r="AC2193" s="101">
        <v>1.7562926498886355E-2</v>
      </c>
    </row>
    <row r="2194" spans="25:29" x14ac:dyDescent="0.2">
      <c r="Y2194" s="105" t="str">
        <f t="shared" si="67"/>
        <v>1w</v>
      </c>
      <c r="Z2194" s="93">
        <f>_xll.qlCalendarAdvance(Calendar,Z2193,Y2194,"f",FALSE)</f>
        <v>54568</v>
      </c>
      <c r="AA2194" s="117">
        <f>_xll.qlCalendarAdvance(Calendar,Z2194,NDays&amp;"D")</f>
        <v>54570</v>
      </c>
      <c r="AB2194" s="92">
        <v>1.7569371048334424E-2</v>
      </c>
      <c r="AC2194" s="101">
        <v>1.7558088669789029E-2</v>
      </c>
    </row>
    <row r="2195" spans="25:29" x14ac:dyDescent="0.2">
      <c r="Y2195" s="105" t="str">
        <f t="shared" si="67"/>
        <v>1w</v>
      </c>
      <c r="Z2195" s="93">
        <f>_xll.qlCalendarAdvance(Calendar,Z2194,Y2195,"f",FALSE)</f>
        <v>54575</v>
      </c>
      <c r="AA2195" s="117">
        <f>_xll.qlCalendarAdvance(Calendar,Z2195,NDays&amp;"D")</f>
        <v>54577</v>
      </c>
      <c r="AB2195" s="92">
        <v>1.7563952882999796E-2</v>
      </c>
      <c r="AC2195" s="101">
        <v>1.7553221424142507E-2</v>
      </c>
    </row>
    <row r="2196" spans="25:29" x14ac:dyDescent="0.2">
      <c r="Y2196" s="105" t="str">
        <f t="shared" si="67"/>
        <v>1w</v>
      </c>
      <c r="Z2196" s="93">
        <f>_xll.qlCalendarAdvance(Calendar,Z2195,Y2196,"f",FALSE)</f>
        <v>54582</v>
      </c>
      <c r="AA2196" s="117">
        <f>_xll.qlCalendarAdvance(Calendar,Z2196,NDays&amp;"D")</f>
        <v>54584</v>
      </c>
      <c r="AB2196" s="92">
        <v>1.755862693951378E-2</v>
      </c>
      <c r="AC2196" s="101">
        <v>1.7548324762186596E-2</v>
      </c>
    </row>
    <row r="2197" spans="25:29" x14ac:dyDescent="0.2">
      <c r="Y2197" s="105" t="str">
        <f t="shared" ref="Y2197:Y2260" si="68">Y2196</f>
        <v>1w</v>
      </c>
      <c r="Z2197" s="93">
        <f>_xll.qlCalendarAdvance(Calendar,Z2196,Y2197,"f",FALSE)</f>
        <v>54589</v>
      </c>
      <c r="AA2197" s="117">
        <f>_xll.qlCalendarAdvance(Calendar,Z2197,NDays&amp;"D")</f>
        <v>54591</v>
      </c>
      <c r="AB2197" s="92">
        <v>1.755327133275527E-2</v>
      </c>
      <c r="AC2197" s="101">
        <v>1.7543398683681488E-2</v>
      </c>
    </row>
    <row r="2198" spans="25:29" x14ac:dyDescent="0.2">
      <c r="Y2198" s="105" t="str">
        <f t="shared" si="68"/>
        <v>1w</v>
      </c>
      <c r="Z2198" s="93">
        <f>_xll.qlCalendarAdvance(Calendar,Z2197,Y2198,"f",FALSE)</f>
        <v>54596</v>
      </c>
      <c r="AA2198" s="117">
        <f>_xll.qlCalendarAdvance(Calendar,Z2198,NDays&amp;"D")</f>
        <v>54598</v>
      </c>
      <c r="AB2198" s="92">
        <v>1.7547886062964511E-2</v>
      </c>
      <c r="AC2198" s="101">
        <v>1.7538443188866992E-2</v>
      </c>
    </row>
    <row r="2199" spans="25:29" x14ac:dyDescent="0.2">
      <c r="Y2199" s="105" t="str">
        <f t="shared" si="68"/>
        <v>1w</v>
      </c>
      <c r="Z2199" s="93">
        <f>_xll.qlCalendarAdvance(Calendar,Z2198,Y2199,"f",FALSE)</f>
        <v>54603</v>
      </c>
      <c r="AA2199" s="117">
        <f>_xll.qlCalendarAdvance(Calendar,Z2199,NDays&amp;"D")</f>
        <v>54605</v>
      </c>
      <c r="AB2199" s="92">
        <v>1.7542557329329276E-2</v>
      </c>
      <c r="AC2199" s="101">
        <v>1.7533458277423364E-2</v>
      </c>
    </row>
    <row r="2200" spans="25:29" x14ac:dyDescent="0.2">
      <c r="Y2200" s="105" t="str">
        <f t="shared" si="68"/>
        <v>1w</v>
      </c>
      <c r="Z2200" s="93">
        <f>_xll.qlCalendarAdvance(Calendar,Z2199,Y2200,"f",FALSE)</f>
        <v>54610</v>
      </c>
      <c r="AA2200" s="117">
        <f>_xll.qlCalendarAdvance(Calendar,Z2200,NDays&amp;"D")</f>
        <v>54612</v>
      </c>
      <c r="AB2200" s="92">
        <v>1.7537105584839022E-2</v>
      </c>
      <c r="AC2200" s="101">
        <v>1.7528443949750283E-2</v>
      </c>
    </row>
    <row r="2201" spans="25:29" x14ac:dyDescent="0.2">
      <c r="Y2201" s="105" t="str">
        <f t="shared" si="68"/>
        <v>1w</v>
      </c>
      <c r="Z2201" s="93">
        <f>_xll.qlCalendarAdvance(Calendar,Z2200,Y2201,"f",FALSE)</f>
        <v>54617</v>
      </c>
      <c r="AA2201" s="117">
        <f>_xll.qlCalendarAdvance(Calendar,Z2201,NDays&amp;"D")</f>
        <v>54619</v>
      </c>
      <c r="AB2201" s="92">
        <v>1.753162417402818E-2</v>
      </c>
      <c r="AC2201" s="101">
        <v>1.7523400205288198E-2</v>
      </c>
    </row>
    <row r="2202" spans="25:29" x14ac:dyDescent="0.2">
      <c r="Y2202" s="105" t="str">
        <f t="shared" si="68"/>
        <v>1w</v>
      </c>
      <c r="Z2202" s="93">
        <f>_xll.qlCalendarAdvance(Calendar,Z2201,Y2202,"f",FALSE)</f>
        <v>54624</v>
      </c>
      <c r="AA2202" s="117">
        <f>_xll.qlCalendarAdvance(Calendar,Z2202,NDays&amp;"D")</f>
        <v>54626</v>
      </c>
      <c r="AB2202" s="92">
        <v>1.7526113097147741E-2</v>
      </c>
      <c r="AC2202" s="101">
        <v>1.751832704459666E-2</v>
      </c>
    </row>
    <row r="2203" spans="25:29" x14ac:dyDescent="0.2">
      <c r="Y2203" s="105" t="str">
        <f t="shared" si="68"/>
        <v>1w</v>
      </c>
      <c r="Z2203" s="93">
        <f>_xll.qlCalendarAdvance(Calendar,Z2202,Y2203,"f",FALSE)</f>
        <v>54631</v>
      </c>
      <c r="AA2203" s="117">
        <f>_xll.qlCalendarAdvance(Calendar,Z2203,NDays&amp;"D")</f>
        <v>54633</v>
      </c>
      <c r="AB2203" s="92">
        <v>1.752057235444868E-2</v>
      </c>
      <c r="AC2203" s="101">
        <v>1.7513224467435862E-2</v>
      </c>
    </row>
    <row r="2204" spans="25:29" x14ac:dyDescent="0.2">
      <c r="Y2204" s="105" t="str">
        <f t="shared" si="68"/>
        <v>1w</v>
      </c>
      <c r="Z2204" s="93">
        <f>_xll.qlCalendarAdvance(Calendar,Z2203,Y2204,"f",FALSE)</f>
        <v>54638</v>
      </c>
      <c r="AA2204" s="117">
        <f>_xll.qlCalendarAdvance(Calendar,Z2204,NDays&amp;"D")</f>
        <v>54640</v>
      </c>
      <c r="AB2204" s="92">
        <v>1.7515001946183703E-2</v>
      </c>
      <c r="AC2204" s="101">
        <v>1.7508092473725867E-2</v>
      </c>
    </row>
    <row r="2205" spans="25:29" x14ac:dyDescent="0.2">
      <c r="Y2205" s="105" t="str">
        <f t="shared" si="68"/>
        <v>1w</v>
      </c>
      <c r="Z2205" s="93">
        <f>_xll.qlCalendarAdvance(Calendar,Z2204,Y2205,"f",FALSE)</f>
        <v>54645</v>
      </c>
      <c r="AA2205" s="117">
        <f>_xll.qlCalendarAdvance(Calendar,Z2205,NDays&amp;"D")</f>
        <v>54647</v>
      </c>
      <c r="AB2205" s="92">
        <v>1.750940187260637E-2</v>
      </c>
      <c r="AC2205" s="101">
        <v>1.7502931063626548E-2</v>
      </c>
    </row>
    <row r="2206" spans="25:29" x14ac:dyDescent="0.2">
      <c r="Y2206" s="105" t="str">
        <f t="shared" si="68"/>
        <v>1w</v>
      </c>
      <c r="Z2206" s="93">
        <f>_xll.qlCalendarAdvance(Calendar,Z2205,Y2206,"f",FALSE)</f>
        <v>54652</v>
      </c>
      <c r="AA2206" s="117">
        <f>_xll.qlCalendarAdvance(Calendar,Z2206,NDays&amp;"D")</f>
        <v>54654</v>
      </c>
      <c r="AB2206" s="92">
        <v>1.750377213397282E-2</v>
      </c>
      <c r="AC2206" s="101">
        <v>1.7497740237057968E-2</v>
      </c>
    </row>
    <row r="2207" spans="25:29" x14ac:dyDescent="0.2">
      <c r="Y2207" s="105" t="str">
        <f t="shared" si="68"/>
        <v>1w</v>
      </c>
      <c r="Z2207" s="93">
        <f>_xll.qlCalendarAdvance(Calendar,Z2206,Y2207,"f",FALSE)</f>
        <v>54659</v>
      </c>
      <c r="AA2207" s="117">
        <f>_xll.qlCalendarAdvance(Calendar,Z2207,NDays&amp;"D")</f>
        <v>54661</v>
      </c>
      <c r="AB2207" s="92">
        <v>1.7498112730538327E-2</v>
      </c>
      <c r="AC2207" s="101">
        <v>1.7492519994100064E-2</v>
      </c>
    </row>
    <row r="2208" spans="25:29" x14ac:dyDescent="0.2">
      <c r="Y2208" s="105" t="str">
        <f t="shared" si="68"/>
        <v>1w</v>
      </c>
      <c r="Z2208" s="93">
        <f>_xll.qlCalendarAdvance(Calendar,Z2207,Y2208,"f",FALSE)</f>
        <v>54666</v>
      </c>
      <c r="AA2208" s="117">
        <f>_xll.qlCalendarAdvance(Calendar,Z2208,NDays&amp;"D")</f>
        <v>54668</v>
      </c>
      <c r="AB2208" s="92">
        <v>1.7492386336450696E-2</v>
      </c>
      <c r="AC2208" s="101">
        <v>1.7487270334592964E-2</v>
      </c>
    </row>
    <row r="2209" spans="25:29" x14ac:dyDescent="0.2">
      <c r="Y2209" s="105" t="str">
        <f t="shared" si="68"/>
        <v>1w</v>
      </c>
      <c r="Z2209" s="93">
        <f>_xll.qlCalendarAdvance(Calendar,Z2208,Y2209,"f",FALSE)</f>
        <v>54673</v>
      </c>
      <c r="AA2209" s="117">
        <f>_xll.qlCalendarAdvance(Calendar,Z2209,NDays&amp;"D")</f>
        <v>54675</v>
      </c>
      <c r="AB2209" s="92">
        <v>1.7486679578750487E-2</v>
      </c>
      <c r="AC2209" s="101">
        <v>1.7481991258696539E-2</v>
      </c>
    </row>
    <row r="2210" spans="25:29" x14ac:dyDescent="0.2">
      <c r="Y2210" s="105" t="str">
        <f t="shared" si="68"/>
        <v>1w</v>
      </c>
      <c r="Z2210" s="93">
        <f>_xll.qlCalendarAdvance(Calendar,Z2209,Y2210,"f",FALSE)</f>
        <v>54680</v>
      </c>
      <c r="AA2210" s="117">
        <f>_xll.qlCalendarAdvance(Calendar,Z2210,NDays&amp;"D")</f>
        <v>54682</v>
      </c>
      <c r="AB2210" s="92">
        <v>1.7480943163654623E-2</v>
      </c>
      <c r="AC2210" s="101">
        <v>1.7476682766410789E-2</v>
      </c>
    </row>
    <row r="2211" spans="25:29" x14ac:dyDescent="0.2">
      <c r="Y2211" s="105" t="str">
        <f t="shared" si="68"/>
        <v>1w</v>
      </c>
      <c r="Z2211" s="93">
        <f>_xll.qlCalendarAdvance(Calendar,Z2210,Y2211,"f",FALSE)</f>
        <v>54687</v>
      </c>
      <c r="AA2211" s="117">
        <f>_xll.qlCalendarAdvance(Calendar,Z2211,NDays&amp;"D")</f>
        <v>54689</v>
      </c>
      <c r="AB2211" s="92">
        <v>1.7475177091419252E-2</v>
      </c>
      <c r="AC2211" s="101">
        <v>1.7471344857655779E-2</v>
      </c>
    </row>
    <row r="2212" spans="25:29" x14ac:dyDescent="0.2">
      <c r="Y2212" s="105" t="str">
        <f t="shared" si="68"/>
        <v>1w</v>
      </c>
      <c r="Z2212" s="93">
        <f>_xll.qlCalendarAdvance(Calendar,Z2211,Y2212,"f",FALSE)</f>
        <v>54694</v>
      </c>
      <c r="AA2212" s="117">
        <f>_xll.qlCalendarAdvance(Calendar,Z2212,NDays&amp;"D")</f>
        <v>54696</v>
      </c>
      <c r="AB2212" s="92">
        <v>1.7469379698318546E-2</v>
      </c>
      <c r="AC2212" s="101">
        <v>1.7465977532351573E-2</v>
      </c>
    </row>
    <row r="2213" spans="25:29" x14ac:dyDescent="0.2">
      <c r="Y2213" s="105" t="str">
        <f t="shared" si="68"/>
        <v>1w</v>
      </c>
      <c r="Z2213" s="93">
        <f>_xll.qlCalendarAdvance(Calendar,Z2212,Y2213,"f",FALSE)</f>
        <v>54701</v>
      </c>
      <c r="AA2213" s="117">
        <f>_xll.qlCalendarAdvance(Calendar,Z2213,NDays&amp;"D")</f>
        <v>54703</v>
      </c>
      <c r="AB2213" s="92">
        <v>1.7463551912772095E-2</v>
      </c>
      <c r="AC2213" s="101">
        <v>1.7460580790578106E-2</v>
      </c>
    </row>
    <row r="2214" spans="25:29" x14ac:dyDescent="0.2">
      <c r="Y2214" s="105" t="str">
        <f t="shared" si="68"/>
        <v>1w</v>
      </c>
      <c r="Z2214" s="93">
        <f>_xll.qlCalendarAdvance(Calendar,Z2213,Y2214,"f",FALSE)</f>
        <v>54708</v>
      </c>
      <c r="AA2214" s="117">
        <f>_xll.qlCalendarAdvance(Calendar,Z2214,NDays&amp;"D")</f>
        <v>54710</v>
      </c>
      <c r="AB2214" s="92">
        <v>1.7457694469537034E-2</v>
      </c>
      <c r="AC2214" s="101">
        <v>1.7455154632495251E-2</v>
      </c>
    </row>
    <row r="2215" spans="25:29" x14ac:dyDescent="0.2">
      <c r="Y2215" s="105" t="str">
        <f t="shared" si="68"/>
        <v>1w</v>
      </c>
      <c r="Z2215" s="93">
        <f>_xll.qlCalendarAdvance(Calendar,Z2214,Y2215,"f",FALSE)</f>
        <v>54715</v>
      </c>
      <c r="AA2215" s="117">
        <f>_xll.qlCalendarAdvance(Calendar,Z2215,NDays&amp;"D")</f>
        <v>54717</v>
      </c>
      <c r="AB2215" s="92">
        <v>1.7451807368876006E-2</v>
      </c>
      <c r="AC2215" s="101">
        <v>1.7449699058103008E-2</v>
      </c>
    </row>
    <row r="2216" spans="25:29" x14ac:dyDescent="0.2">
      <c r="Y2216" s="105" t="str">
        <f t="shared" si="68"/>
        <v>1w</v>
      </c>
      <c r="Z2216" s="93">
        <f>_xll.qlCalendarAdvance(Calendar,Z2215,Y2216,"f",FALSE)</f>
        <v>54722</v>
      </c>
      <c r="AA2216" s="117">
        <f>_xll.qlCalendarAdvance(Calendar,Z2216,NDays&amp;"D")</f>
        <v>54724</v>
      </c>
      <c r="AB2216" s="92">
        <v>1.7445890611048585E-2</v>
      </c>
      <c r="AC2216" s="101">
        <v>1.7444214066841823E-2</v>
      </c>
    </row>
    <row r="2217" spans="25:29" x14ac:dyDescent="0.2">
      <c r="Y2217" s="105" t="str">
        <f t="shared" si="68"/>
        <v>1w</v>
      </c>
      <c r="Z2217" s="93">
        <f>_xll.qlCalendarAdvance(Calendar,Z2216,Y2217,"f",FALSE)</f>
        <v>54729</v>
      </c>
      <c r="AA2217" s="117">
        <f>_xll.qlCalendarAdvance(Calendar,Z2217,NDays&amp;"D")</f>
        <v>54731</v>
      </c>
      <c r="AB2217" s="92">
        <v>1.743995787247471E-2</v>
      </c>
      <c r="AC2217" s="101">
        <v>1.7438699659511059E-2</v>
      </c>
    </row>
    <row r="2218" spans="25:29" x14ac:dyDescent="0.2">
      <c r="Y2218" s="105" t="str">
        <f t="shared" si="68"/>
        <v>1w</v>
      </c>
      <c r="Z2218" s="93">
        <f>_xll.qlCalendarAdvance(Calendar,Z2217,Y2218,"f",FALSE)</f>
        <v>54736</v>
      </c>
      <c r="AA2218" s="117">
        <f>_xll.qlCalendarAdvance(Calendar,Z2218,NDays&amp;"D")</f>
        <v>54738</v>
      </c>
      <c r="AB2218" s="92">
        <v>1.7433984207493251E-2</v>
      </c>
      <c r="AC2218" s="101">
        <v>1.7433155835631098E-2</v>
      </c>
    </row>
    <row r="2219" spans="25:29" x14ac:dyDescent="0.2">
      <c r="Y2219" s="105" t="str">
        <f t="shared" si="68"/>
        <v>1w</v>
      </c>
      <c r="Z2219" s="93">
        <f>_xll.qlCalendarAdvance(Calendar,Z2218,Y2219,"f",FALSE)</f>
        <v>54743</v>
      </c>
      <c r="AA2219" s="117">
        <f>_xll.qlCalendarAdvance(Calendar,Z2219,NDays&amp;"D")</f>
        <v>54745</v>
      </c>
      <c r="AB2219" s="92">
        <v>1.7427980887453717E-2</v>
      </c>
      <c r="AC2219" s="101">
        <v>1.7427582595361812E-2</v>
      </c>
    </row>
    <row r="2220" spans="25:29" x14ac:dyDescent="0.2">
      <c r="Y2220" s="105" t="str">
        <f t="shared" si="68"/>
        <v>1w</v>
      </c>
      <c r="Z2220" s="93">
        <f>_xll.qlCalendarAdvance(Calendar,Z2219,Y2220,"f",FALSE)</f>
        <v>54750</v>
      </c>
      <c r="AA2220" s="117">
        <f>_xll.qlCalendarAdvance(Calendar,Z2220,NDays&amp;"D")</f>
        <v>54752</v>
      </c>
      <c r="AB2220" s="92">
        <v>1.7421947912622852E-2</v>
      </c>
      <c r="AC2220" s="101">
        <v>1.742197993854333E-2</v>
      </c>
    </row>
    <row r="2221" spans="25:29" x14ac:dyDescent="0.2">
      <c r="Y2221" s="105" t="str">
        <f t="shared" si="68"/>
        <v>1w</v>
      </c>
      <c r="Z2221" s="93">
        <f>_xll.qlCalendarAdvance(Calendar,Z2220,Y2221,"f",FALSE)</f>
        <v>54757</v>
      </c>
      <c r="AA2221" s="117">
        <f>_xll.qlCalendarAdvance(Calendar,Z2221,NDays&amp;"D")</f>
        <v>54759</v>
      </c>
      <c r="AB2221" s="92">
        <v>1.7415861973724623E-2</v>
      </c>
      <c r="AC2221" s="101">
        <v>1.7416347865495396E-2</v>
      </c>
    </row>
    <row r="2222" spans="25:29" x14ac:dyDescent="0.2">
      <c r="Y2222" s="105" t="str">
        <f t="shared" si="68"/>
        <v>1w</v>
      </c>
      <c r="Z2222" s="93">
        <f>_xll.qlCalendarAdvance(Calendar,Z2221,Y2222,"f",FALSE)</f>
        <v>54764</v>
      </c>
      <c r="AA2222" s="117">
        <f>_xll.qlCalendarAdvance(Calendar,Z2222,NDays&amp;"D")</f>
        <v>54766</v>
      </c>
      <c r="AB2222" s="92">
        <v>1.7409767278497003E-2</v>
      </c>
      <c r="AC2222" s="101">
        <v>1.7410686375818329E-2</v>
      </c>
    </row>
    <row r="2223" spans="25:29" x14ac:dyDescent="0.2">
      <c r="Y2223" s="105" t="str">
        <f t="shared" si="68"/>
        <v>1w</v>
      </c>
      <c r="Z2223" s="93">
        <f>_xll.qlCalendarAdvance(Calendar,Z2222,Y2223,"f",FALSE)</f>
        <v>54771</v>
      </c>
      <c r="AA2223" s="117">
        <f>_xll.qlCalendarAdvance(Calendar,Z2223,NDays&amp;"D")</f>
        <v>54773</v>
      </c>
      <c r="AB2223" s="92">
        <v>1.7403642927979732E-2</v>
      </c>
      <c r="AC2223" s="101">
        <v>1.7404995469831874E-2</v>
      </c>
    </row>
    <row r="2224" spans="25:29" x14ac:dyDescent="0.2">
      <c r="Y2224" s="105" t="str">
        <f t="shared" si="68"/>
        <v>1w</v>
      </c>
      <c r="Z2224" s="93">
        <f>_xll.qlCalendarAdvance(Calendar,Z2223,Y2224,"f",FALSE)</f>
        <v>54778</v>
      </c>
      <c r="AA2224" s="117">
        <f>_xll.qlCalendarAdvance(Calendar,Z2224,NDays&amp;"D")</f>
        <v>54780</v>
      </c>
      <c r="AB2224" s="92">
        <v>1.7397488922446434E-2</v>
      </c>
      <c r="AC2224" s="101">
        <v>1.7399275147296223E-2</v>
      </c>
    </row>
    <row r="2225" spans="25:29" x14ac:dyDescent="0.2">
      <c r="Y2225" s="105" t="str">
        <f t="shared" si="68"/>
        <v>1w</v>
      </c>
      <c r="Z2225" s="93">
        <f>_xll.qlCalendarAdvance(Calendar,Z2224,Y2225,"f",FALSE)</f>
        <v>54785</v>
      </c>
      <c r="AA2225" s="117">
        <f>_xll.qlCalendarAdvance(Calendar,Z2225,NDays&amp;"D")</f>
        <v>54787</v>
      </c>
      <c r="AB2225" s="92">
        <v>1.7391305262170299E-2</v>
      </c>
      <c r="AC2225" s="101">
        <v>1.7393525408451183E-2</v>
      </c>
    </row>
    <row r="2226" spans="25:29" x14ac:dyDescent="0.2">
      <c r="Y2226" s="105" t="str">
        <f t="shared" si="68"/>
        <v>1w</v>
      </c>
      <c r="Z2226" s="93">
        <f>_xll.qlCalendarAdvance(Calendar,Z2225,Y2226,"f",FALSE)</f>
        <v>54792</v>
      </c>
      <c r="AA2226" s="117">
        <f>_xll.qlCalendarAdvance(Calendar,Z2226,NDays&amp;"D")</f>
        <v>54794</v>
      </c>
      <c r="AB2226" s="92">
        <v>1.7385127336485603E-2</v>
      </c>
      <c r="AC2226" s="101">
        <v>1.7387746253216818E-2</v>
      </c>
    </row>
    <row r="2227" spans="25:29" x14ac:dyDescent="0.2">
      <c r="Y2227" s="105" t="str">
        <f t="shared" si="68"/>
        <v>1w</v>
      </c>
      <c r="Z2227" s="93">
        <f>_xll.qlCalendarAdvance(Calendar,Z2226,Y2227,"f",FALSE)</f>
        <v>54799</v>
      </c>
      <c r="AA2227" s="117">
        <f>_xll.qlCalendarAdvance(Calendar,Z2227,NDays&amp;"D")</f>
        <v>54801</v>
      </c>
      <c r="AB2227" s="92">
        <v>1.737888754030795E-2</v>
      </c>
      <c r="AC2227" s="101">
        <v>1.7381937681433257E-2</v>
      </c>
    </row>
    <row r="2228" spans="25:29" x14ac:dyDescent="0.2">
      <c r="Y2228" s="105" t="str">
        <f t="shared" si="68"/>
        <v>1w</v>
      </c>
      <c r="Z2228" s="93">
        <f>_xll.qlCalendarAdvance(Calendar,Z2227,Y2228,"f",FALSE)</f>
        <v>54806</v>
      </c>
      <c r="AA2228" s="117">
        <f>_xll.qlCalendarAdvance(Calendar,Z2228,NDays&amp;"D")</f>
        <v>54808</v>
      </c>
      <c r="AB2228" s="92">
        <v>1.7372620860894326E-2</v>
      </c>
      <c r="AC2228" s="101">
        <v>1.7376099693260372E-2</v>
      </c>
    </row>
    <row r="2229" spans="25:29" x14ac:dyDescent="0.2">
      <c r="Y2229" s="105" t="str">
        <f t="shared" si="68"/>
        <v>1w</v>
      </c>
      <c r="Z2229" s="93">
        <f>_xll.qlCalendarAdvance(Calendar,Z2228,Y2229,"f",FALSE)</f>
        <v>54813</v>
      </c>
      <c r="AA2229" s="117">
        <f>_xll.qlCalendarAdvance(Calendar,Z2229,NDays&amp;"D")</f>
        <v>54815</v>
      </c>
      <c r="AB2229" s="92">
        <v>1.736632945245304E-2</v>
      </c>
      <c r="AC2229" s="101">
        <v>1.7370232288698162E-2</v>
      </c>
    </row>
    <row r="2230" spans="25:29" x14ac:dyDescent="0.2">
      <c r="Y2230" s="105" t="str">
        <f t="shared" si="68"/>
        <v>1w</v>
      </c>
      <c r="Z2230" s="93">
        <f>_xll.qlCalendarAdvance(Calendar,Z2229,Y2230,"f",FALSE)</f>
        <v>54820</v>
      </c>
      <c r="AA2230" s="117">
        <f>_xll.qlCalendarAdvance(Calendar,Z2230,NDays&amp;"D")</f>
        <v>54822</v>
      </c>
      <c r="AB2230" s="92">
        <v>1.7360015469167215E-2</v>
      </c>
      <c r="AC2230" s="101">
        <v>1.7364335467666692E-2</v>
      </c>
    </row>
    <row r="2231" spans="25:29" x14ac:dyDescent="0.2">
      <c r="Y2231" s="105" t="str">
        <f t="shared" si="68"/>
        <v>1w</v>
      </c>
      <c r="Z2231" s="93">
        <f>_xll.qlCalendarAdvance(Calendar,Z2230,Y2231,"f",FALSE)</f>
        <v>54827</v>
      </c>
      <c r="AA2231" s="117">
        <f>_xll.qlCalendarAdvance(Calendar,Z2231,NDays&amp;"D")</f>
        <v>54829</v>
      </c>
      <c r="AB2231" s="92">
        <v>1.7353681065191723E-2</v>
      </c>
      <c r="AC2231" s="101">
        <v>1.7358409230165961E-2</v>
      </c>
    </row>
    <row r="2232" spans="25:29" x14ac:dyDescent="0.2">
      <c r="Y2232" s="105" t="str">
        <f t="shared" si="68"/>
        <v>1w</v>
      </c>
      <c r="Z2232" s="93">
        <f>_xll.qlCalendarAdvance(Calendar,Z2231,Y2232,"f",FALSE)</f>
        <v>54834</v>
      </c>
      <c r="AA2232" s="117">
        <f>_xll.qlCalendarAdvance(Calendar,Z2232,NDays&amp;"D")</f>
        <v>54836</v>
      </c>
      <c r="AB2232" s="92">
        <v>1.7347328394658017E-2</v>
      </c>
      <c r="AC2232" s="101">
        <v>1.7352453576355842E-2</v>
      </c>
    </row>
    <row r="2233" spans="25:29" x14ac:dyDescent="0.2">
      <c r="Y2233" s="105" t="str">
        <f t="shared" si="68"/>
        <v>1w</v>
      </c>
      <c r="Z2233" s="93">
        <f>_xll.qlCalendarAdvance(Calendar,Z2232,Y2233,"f",FALSE)</f>
        <v>54841</v>
      </c>
      <c r="AA2233" s="117">
        <f>_xll.qlCalendarAdvance(Calendar,Z2233,NDays&amp;"D")</f>
        <v>54843</v>
      </c>
      <c r="AB2233" s="92">
        <v>1.7340959611669739E-2</v>
      </c>
      <c r="AC2233" s="101">
        <v>1.7346468506236334E-2</v>
      </c>
    </row>
    <row r="2234" spans="25:29" x14ac:dyDescent="0.2">
      <c r="Y2234" s="105" t="str">
        <f t="shared" si="68"/>
        <v>1w</v>
      </c>
      <c r="Z2234" s="93">
        <f>_xll.qlCalendarAdvance(Calendar,Z2233,Y2234,"f",FALSE)</f>
        <v>54848</v>
      </c>
      <c r="AA2234" s="117">
        <f>_xll.qlCalendarAdvance(Calendar,Z2234,NDays&amp;"D")</f>
        <v>54850</v>
      </c>
      <c r="AB2234" s="92">
        <v>1.7334351245444159E-2</v>
      </c>
      <c r="AC2234" s="101">
        <v>1.7340454019487694E-2</v>
      </c>
    </row>
    <row r="2235" spans="25:29" x14ac:dyDescent="0.2">
      <c r="Y2235" s="105" t="str">
        <f t="shared" si="68"/>
        <v>1w</v>
      </c>
      <c r="Z2235" s="93">
        <f>_xll.qlCalendarAdvance(Calendar,Z2234,Y2235,"f",FALSE)</f>
        <v>54855</v>
      </c>
      <c r="AA2235" s="117">
        <f>_xll.qlCalendarAdvance(Calendar,Z2235,NDays&amp;"D")</f>
        <v>54857</v>
      </c>
      <c r="AB2235" s="92">
        <v>1.7327956029012038E-2</v>
      </c>
      <c r="AC2235" s="101">
        <v>1.7334410116509602E-2</v>
      </c>
    </row>
    <row r="2236" spans="25:29" x14ac:dyDescent="0.2">
      <c r="Y2236" s="105" t="str">
        <f t="shared" si="68"/>
        <v>1w</v>
      </c>
      <c r="Z2236" s="93">
        <f>_xll.qlCalendarAdvance(Calendar,Z2235,Y2236,"f",FALSE)</f>
        <v>54862</v>
      </c>
      <c r="AA2236" s="117">
        <f>_xll.qlCalendarAdvance(Calendar,Z2236,NDays&amp;"D")</f>
        <v>54864</v>
      </c>
      <c r="AB2236" s="92">
        <v>1.7321552120255639E-2</v>
      </c>
      <c r="AC2236" s="101">
        <v>1.7328336796902377E-2</v>
      </c>
    </row>
    <row r="2237" spans="25:29" x14ac:dyDescent="0.2">
      <c r="Y2237" s="105" t="str">
        <f t="shared" si="68"/>
        <v>1w</v>
      </c>
      <c r="Z2237" s="93">
        <f>_xll.qlCalendarAdvance(Calendar,Z2236,Y2237,"f",FALSE)</f>
        <v>54869</v>
      </c>
      <c r="AA2237" s="117">
        <f>_xll.qlCalendarAdvance(Calendar,Z2237,NDays&amp;"D")</f>
        <v>54871</v>
      </c>
      <c r="AB2237" s="92">
        <v>1.7315141615762811E-2</v>
      </c>
      <c r="AC2237" s="101">
        <v>1.7322234061225572E-2</v>
      </c>
    </row>
    <row r="2238" spans="25:29" x14ac:dyDescent="0.2">
      <c r="Y2238" s="105" t="str">
        <f t="shared" si="68"/>
        <v>1w</v>
      </c>
      <c r="Z2238" s="93">
        <f>_xll.qlCalendarAdvance(Calendar,Z2237,Y2238,"f",FALSE)</f>
        <v>54876</v>
      </c>
      <c r="AA2238" s="117">
        <f>_xll.qlCalendarAdvance(Calendar,Z2238,NDays&amp;"D")</f>
        <v>54878</v>
      </c>
      <c r="AB2238" s="92">
        <v>1.7308860004757825E-2</v>
      </c>
      <c r="AC2238" s="101">
        <v>1.7316101908839698E-2</v>
      </c>
    </row>
    <row r="2239" spans="25:29" x14ac:dyDescent="0.2">
      <c r="Y2239" s="105" t="str">
        <f t="shared" si="68"/>
        <v>1w</v>
      </c>
      <c r="Z2239" s="93">
        <f>_xll.qlCalendarAdvance(Calendar,Z2238,Y2239,"f",FALSE)</f>
        <v>54883</v>
      </c>
      <c r="AA2239" s="117">
        <f>_xll.qlCalendarAdvance(Calendar,Z2239,NDays&amp;"D")</f>
        <v>54885</v>
      </c>
      <c r="AB2239" s="92">
        <v>1.7302440875678612E-2</v>
      </c>
      <c r="AC2239" s="101">
        <v>1.7309838262390187E-2</v>
      </c>
    </row>
    <row r="2240" spans="25:29" x14ac:dyDescent="0.2">
      <c r="Y2240" s="105" t="str">
        <f t="shared" si="68"/>
        <v>1w</v>
      </c>
      <c r="Z2240" s="93">
        <f>_xll.qlCalendarAdvance(Calendar,Z2239,Y2240,"f",FALSE)</f>
        <v>54890</v>
      </c>
      <c r="AA2240" s="117">
        <f>_xll.qlCalendarAdvance(Calendar,Z2240,NDays&amp;"D")</f>
        <v>54892</v>
      </c>
      <c r="AB2240" s="92">
        <v>1.7296021008177179E-2</v>
      </c>
      <c r="AC2240" s="101">
        <v>1.7303749354979914E-2</v>
      </c>
    </row>
    <row r="2241" spans="25:29" x14ac:dyDescent="0.2">
      <c r="Y2241" s="105" t="str">
        <f t="shared" si="68"/>
        <v>1w</v>
      </c>
      <c r="Z2241" s="93">
        <f>_xll.qlCalendarAdvance(Calendar,Z2240,Y2241,"f",FALSE)</f>
        <v>54897</v>
      </c>
      <c r="AA2241" s="117">
        <f>_xll.qlCalendarAdvance(Calendar,Z2241,NDays&amp;"D")</f>
        <v>54899</v>
      </c>
      <c r="AB2241" s="92">
        <v>1.7289602532798452E-2</v>
      </c>
      <c r="AC2241" s="101">
        <v>1.7297528953506003E-2</v>
      </c>
    </row>
    <row r="2242" spans="25:29" x14ac:dyDescent="0.2">
      <c r="Y2242" s="105" t="str">
        <f t="shared" si="68"/>
        <v>1w</v>
      </c>
      <c r="Z2242" s="93">
        <f>_xll.qlCalendarAdvance(Calendar,Z2241,Y2242,"f",FALSE)</f>
        <v>54904</v>
      </c>
      <c r="AA2242" s="117">
        <f>_xll.qlCalendarAdvance(Calendar,Z2242,NDays&amp;"D")</f>
        <v>54906</v>
      </c>
      <c r="AB2242" s="92">
        <v>1.7283187580060262E-2</v>
      </c>
      <c r="AC2242" s="101">
        <v>1.7291279135642768E-2</v>
      </c>
    </row>
    <row r="2243" spans="25:29" x14ac:dyDescent="0.2">
      <c r="Y2243" s="105" t="str">
        <f t="shared" si="68"/>
        <v>1w</v>
      </c>
      <c r="Z2243" s="93">
        <f>_xll.qlCalendarAdvance(Calendar,Z2242,Y2243,"f",FALSE)</f>
        <v>54911</v>
      </c>
      <c r="AA2243" s="117">
        <f>_xll.qlCalendarAdvance(Calendar,Z2243,NDays&amp;"D")</f>
        <v>54913</v>
      </c>
      <c r="AB2243" s="92">
        <v>1.727665748369377E-2</v>
      </c>
      <c r="AC2243" s="101">
        <v>1.7284999901310272E-2</v>
      </c>
    </row>
    <row r="2244" spans="25:29" x14ac:dyDescent="0.2">
      <c r="Y2244" s="105" t="str">
        <f t="shared" si="68"/>
        <v>1w</v>
      </c>
      <c r="Z2244" s="93">
        <f>_xll.qlCalendarAdvance(Calendar,Z2243,Y2244,"f",FALSE)</f>
        <v>54918</v>
      </c>
      <c r="AA2244" s="117">
        <f>_xll.qlCalendarAdvance(Calendar,Z2244,NDays&amp;"D")</f>
        <v>54920</v>
      </c>
      <c r="AB2244" s="92">
        <v>1.7270259511150184E-2</v>
      </c>
      <c r="AC2244" s="101">
        <v>1.7278691250668388E-2</v>
      </c>
    </row>
    <row r="2245" spans="25:29" x14ac:dyDescent="0.2">
      <c r="Y2245" s="105" t="str">
        <f t="shared" si="68"/>
        <v>1w</v>
      </c>
      <c r="Z2245" s="93">
        <f>_xll.qlCalendarAdvance(Calendar,Z2244,Y2245,"f",FALSE)</f>
        <v>54925</v>
      </c>
      <c r="AA2245" s="117">
        <f>_xll.qlCalendarAdvance(Calendar,Z2245,NDays&amp;"D")</f>
        <v>54927</v>
      </c>
      <c r="AB2245" s="92">
        <v>1.7263871714570323E-2</v>
      </c>
      <c r="AC2245" s="101">
        <v>1.7272353183477307E-2</v>
      </c>
    </row>
    <row r="2246" spans="25:29" x14ac:dyDescent="0.2">
      <c r="Y2246" s="105" t="str">
        <f t="shared" si="68"/>
        <v>1w</v>
      </c>
      <c r="Z2246" s="93">
        <f>_xll.qlCalendarAdvance(Calendar,Z2245,Y2246,"f",FALSE)</f>
        <v>54932</v>
      </c>
      <c r="AA2246" s="117">
        <f>_xll.qlCalendarAdvance(Calendar,Z2246,NDays&amp;"D")</f>
        <v>54934</v>
      </c>
      <c r="AB2246" s="92">
        <v>1.7257496190295357E-2</v>
      </c>
      <c r="AC2246" s="101">
        <v>1.726598570013671E-2</v>
      </c>
    </row>
    <row r="2247" spans="25:29" x14ac:dyDescent="0.2">
      <c r="Y2247" s="105" t="str">
        <f t="shared" si="68"/>
        <v>1w</v>
      </c>
      <c r="Z2247" s="93">
        <f>_xll.qlCalendarAdvance(Calendar,Z2246,Y2247,"f",FALSE)</f>
        <v>54939</v>
      </c>
      <c r="AA2247" s="117">
        <f>_xll.qlCalendarAdvance(Calendar,Z2247,NDays&amp;"D")</f>
        <v>54941</v>
      </c>
      <c r="AB2247" s="92">
        <v>1.7251240222153595E-2</v>
      </c>
      <c r="AC2247" s="101">
        <v>1.7259588800166981E-2</v>
      </c>
    </row>
    <row r="2248" spans="25:29" x14ac:dyDescent="0.2">
      <c r="Y2248" s="105" t="str">
        <f t="shared" si="68"/>
        <v>1w</v>
      </c>
      <c r="Z2248" s="93">
        <f>_xll.qlCalendarAdvance(Calendar,Z2247,Y2248,"f",FALSE)</f>
        <v>54946</v>
      </c>
      <c r="AA2248" s="117">
        <f>_xll.qlCalendarAdvance(Calendar,Z2248,NDays&amp;"D")</f>
        <v>54948</v>
      </c>
      <c r="AB2248" s="92">
        <v>1.7244891144583458E-2</v>
      </c>
      <c r="AC2248" s="101">
        <v>1.7253162483887863E-2</v>
      </c>
    </row>
    <row r="2249" spans="25:29" x14ac:dyDescent="0.2">
      <c r="Y2249" s="105" t="str">
        <f t="shared" si="68"/>
        <v>1w</v>
      </c>
      <c r="Z2249" s="93">
        <f>_xll.qlCalendarAdvance(Calendar,Z2248,Y2249,"f",FALSE)</f>
        <v>54953</v>
      </c>
      <c r="AA2249" s="117">
        <f>_xll.qlCalendarAdvance(Calendar,Z2249,NDays&amp;"D")</f>
        <v>54955</v>
      </c>
      <c r="AB2249" s="92">
        <v>1.7238560502507761E-2</v>
      </c>
      <c r="AC2249" s="101">
        <v>1.7246706751299357E-2</v>
      </c>
    </row>
    <row r="2250" spans="25:29" x14ac:dyDescent="0.2">
      <c r="Y2250" s="105" t="str">
        <f t="shared" si="68"/>
        <v>1w</v>
      </c>
      <c r="Z2250" s="93">
        <f>_xll.qlCalendarAdvance(Calendar,Z2249,Y2250,"f",FALSE)</f>
        <v>54960</v>
      </c>
      <c r="AA2250" s="117">
        <f>_xll.qlCalendarAdvance(Calendar,Z2250,NDays&amp;"D")</f>
        <v>54962</v>
      </c>
      <c r="AB2250" s="92">
        <v>1.7232250426226382E-2</v>
      </c>
      <c r="AC2250" s="101">
        <v>1.7240221602081718E-2</v>
      </c>
    </row>
    <row r="2251" spans="25:29" x14ac:dyDescent="0.2">
      <c r="Y2251" s="105" t="str">
        <f t="shared" si="68"/>
        <v>1w</v>
      </c>
      <c r="Z2251" s="93">
        <f>_xll.qlCalendarAdvance(Calendar,Z2250,Y2251,"f",FALSE)</f>
        <v>54967</v>
      </c>
      <c r="AA2251" s="117">
        <f>_xll.qlCalendarAdvance(Calendar,Z2251,NDays&amp;"D")</f>
        <v>54969</v>
      </c>
      <c r="AB2251" s="92">
        <v>1.7225963046012975E-2</v>
      </c>
      <c r="AC2251" s="101">
        <v>1.7233707036714563E-2</v>
      </c>
    </row>
    <row r="2252" spans="25:29" x14ac:dyDescent="0.2">
      <c r="Y2252" s="105" t="str">
        <f t="shared" si="68"/>
        <v>1w</v>
      </c>
      <c r="Z2252" s="93">
        <f>_xll.qlCalendarAdvance(Calendar,Z2251,Y2252,"f",FALSE)</f>
        <v>54974</v>
      </c>
      <c r="AA2252" s="117">
        <f>_xll.qlCalendarAdvance(Calendar,Z2252,NDays&amp;"D")</f>
        <v>54976</v>
      </c>
      <c r="AB2252" s="92">
        <v>1.7219618127109138E-2</v>
      </c>
      <c r="AC2252" s="101">
        <v>1.722717000371965E-2</v>
      </c>
    </row>
    <row r="2253" spans="25:29" x14ac:dyDescent="0.2">
      <c r="Y2253" s="105" t="str">
        <f t="shared" si="68"/>
        <v>1w</v>
      </c>
      <c r="Z2253" s="93">
        <f>_xll.qlCalendarAdvance(Calendar,Z2252,Y2253,"f",FALSE)</f>
        <v>54981</v>
      </c>
      <c r="AA2253" s="117">
        <f>_xll.qlCalendarAdvance(Calendar,Z2253,NDays&amp;"D")</f>
        <v>54983</v>
      </c>
      <c r="AB2253" s="92">
        <v>1.7213386213046068E-2</v>
      </c>
      <c r="AC2253" s="101">
        <v>1.7220651821325816E-2</v>
      </c>
    </row>
    <row r="2254" spans="25:29" x14ac:dyDescent="0.2">
      <c r="Y2254" s="105" t="str">
        <f t="shared" si="68"/>
        <v>1w</v>
      </c>
      <c r="Z2254" s="93">
        <f>_xll.qlCalendarAdvance(Calendar,Z2253,Y2254,"f",FALSE)</f>
        <v>54988</v>
      </c>
      <c r="AA2254" s="117">
        <f>_xll.qlCalendarAdvance(Calendar,Z2254,NDays&amp;"D")</f>
        <v>54990</v>
      </c>
      <c r="AB2254" s="92">
        <v>1.7207180346208446E-2</v>
      </c>
      <c r="AC2254" s="101">
        <v>1.7214159438214693E-2</v>
      </c>
    </row>
    <row r="2255" spans="25:29" x14ac:dyDescent="0.2">
      <c r="Y2255" s="105" t="str">
        <f t="shared" si="68"/>
        <v>1w</v>
      </c>
      <c r="Z2255" s="93">
        <f>_xll.qlCalendarAdvance(Calendar,Z2254,Y2255,"f",FALSE)</f>
        <v>54995</v>
      </c>
      <c r="AA2255" s="117">
        <f>_xll.qlCalendarAdvance(Calendar,Z2255,NDays&amp;"D")</f>
        <v>54997</v>
      </c>
      <c r="AB2255" s="92">
        <v>1.7201000526347446E-2</v>
      </c>
      <c r="AC2255" s="101">
        <v>1.7207692854386281E-2</v>
      </c>
    </row>
    <row r="2256" spans="25:29" x14ac:dyDescent="0.2">
      <c r="Y2256" s="105" t="str">
        <f t="shared" si="68"/>
        <v>1w</v>
      </c>
      <c r="Z2256" s="93">
        <f>_xll.qlCalendarAdvance(Calendar,Z2255,Y2256,"f",FALSE)</f>
        <v>55002</v>
      </c>
      <c r="AA2256" s="117">
        <f>_xll.qlCalendarAdvance(Calendar,Z2256,NDays&amp;"D")</f>
        <v>55004</v>
      </c>
      <c r="AB2256" s="92">
        <v>1.7194846753215517E-2</v>
      </c>
      <c r="AC2256" s="101">
        <v>1.7201252069760642E-2</v>
      </c>
    </row>
    <row r="2257" spans="25:29" x14ac:dyDescent="0.2">
      <c r="Y2257" s="105" t="str">
        <f t="shared" si="68"/>
        <v>1w</v>
      </c>
      <c r="Z2257" s="93">
        <f>_xll.qlCalendarAdvance(Calendar,Z2256,Y2257,"f",FALSE)</f>
        <v>55009</v>
      </c>
      <c r="AA2257" s="117">
        <f>_xll.qlCalendarAdvance(Calendar,Z2257,NDays&amp;"D")</f>
        <v>55011</v>
      </c>
      <c r="AB2257" s="92">
        <v>1.7188719026568128E-2</v>
      </c>
      <c r="AC2257" s="101">
        <v>1.7194837084577586E-2</v>
      </c>
    </row>
    <row r="2258" spans="25:29" x14ac:dyDescent="0.2">
      <c r="Y2258" s="105" t="str">
        <f t="shared" si="68"/>
        <v>1w</v>
      </c>
      <c r="Z2258" s="93">
        <f>_xll.qlCalendarAdvance(Calendar,Z2257,Y2258,"f",FALSE)</f>
        <v>55016</v>
      </c>
      <c r="AA2258" s="117">
        <f>_xll.qlCalendarAdvance(Calendar,Z2258,NDays&amp;"D")</f>
        <v>55018</v>
      </c>
      <c r="AB2258" s="92">
        <v>1.7182617346159026E-2</v>
      </c>
      <c r="AC2258" s="101">
        <v>1.7188447898917047E-2</v>
      </c>
    </row>
    <row r="2259" spans="25:29" x14ac:dyDescent="0.2">
      <c r="Y2259" s="105" t="str">
        <f t="shared" si="68"/>
        <v>1w</v>
      </c>
      <c r="Z2259" s="93">
        <f>_xll.qlCalendarAdvance(Calendar,Z2258,Y2259,"f",FALSE)</f>
        <v>55023</v>
      </c>
      <c r="AA2259" s="117">
        <f>_xll.qlCalendarAdvance(Calendar,Z2259,NDays&amp;"D")</f>
        <v>55025</v>
      </c>
      <c r="AB2259" s="92">
        <v>1.7176541711744101E-2</v>
      </c>
      <c r="AC2259" s="101">
        <v>1.7182084512299411E-2</v>
      </c>
    </row>
    <row r="2260" spans="25:29" x14ac:dyDescent="0.2">
      <c r="Y2260" s="105" t="str">
        <f t="shared" si="68"/>
        <v>1w</v>
      </c>
      <c r="Z2260" s="93">
        <f>_xll.qlCalendarAdvance(Calendar,Z2259,Y2260,"f",FALSE)</f>
        <v>55030</v>
      </c>
      <c r="AA2260" s="117">
        <f>_xll.qlCalendarAdvance(Calendar,Z2260,NDays&amp;"D")</f>
        <v>55032</v>
      </c>
      <c r="AB2260" s="92">
        <v>1.7170567374288834E-2</v>
      </c>
      <c r="AC2260" s="101">
        <v>1.7175746925124358E-2</v>
      </c>
    </row>
    <row r="2261" spans="25:29" x14ac:dyDescent="0.2">
      <c r="Y2261" s="105" t="str">
        <f t="shared" ref="Y2261:Y2324" si="69">Y2260</f>
        <v>1w</v>
      </c>
      <c r="Z2261" s="93">
        <f>_xll.qlCalendarAdvance(Calendar,Z2260,Y2261,"f",FALSE)</f>
        <v>55037</v>
      </c>
      <c r="AA2261" s="117">
        <f>_xll.qlCalendarAdvance(Calendar,Z2261,NDays&amp;"D")</f>
        <v>55039</v>
      </c>
      <c r="AB2261" s="92">
        <v>1.7164535961438569E-2</v>
      </c>
      <c r="AC2261" s="101">
        <v>1.716943513731195E-2</v>
      </c>
    </row>
    <row r="2262" spans="25:29" x14ac:dyDescent="0.2">
      <c r="Y2262" s="105" t="str">
        <f t="shared" si="69"/>
        <v>1w</v>
      </c>
      <c r="Z2262" s="93">
        <f>_xll.qlCalendarAdvance(Calendar,Z2261,Y2262,"f",FALSE)</f>
        <v>55044</v>
      </c>
      <c r="AA2262" s="117">
        <f>_xll.qlCalendarAdvance(Calendar,Z2262,NDays&amp;"D")</f>
        <v>55046</v>
      </c>
      <c r="AB2262" s="92">
        <v>1.7158530587261842E-2</v>
      </c>
      <c r="AC2262" s="101">
        <v>1.7163149148782253E-2</v>
      </c>
    </row>
    <row r="2263" spans="25:29" x14ac:dyDescent="0.2">
      <c r="Y2263" s="105" t="str">
        <f t="shared" si="69"/>
        <v>1w</v>
      </c>
      <c r="Z2263" s="93">
        <f>_xll.qlCalendarAdvance(Calendar,Z2262,Y2263,"f",FALSE)</f>
        <v>55051</v>
      </c>
      <c r="AA2263" s="117">
        <f>_xll.qlCalendarAdvance(Calendar,Z2263,NDays&amp;"D")</f>
        <v>55053</v>
      </c>
      <c r="AB2263" s="92">
        <v>1.7152551251524584E-2</v>
      </c>
      <c r="AC2263" s="101">
        <v>1.7156888959535266E-2</v>
      </c>
    </row>
    <row r="2264" spans="25:29" x14ac:dyDescent="0.2">
      <c r="Y2264" s="105" t="str">
        <f t="shared" si="69"/>
        <v>1w</v>
      </c>
      <c r="Z2264" s="93">
        <f>_xll.qlCalendarAdvance(Calendar,Z2263,Y2264,"f",FALSE)</f>
        <v>55058</v>
      </c>
      <c r="AA2264" s="117">
        <f>_xll.qlCalendarAdvance(Calendar,Z2264,NDays&amp;"D")</f>
        <v>55060</v>
      </c>
      <c r="AB2264" s="92">
        <v>1.7146597953994498E-2</v>
      </c>
      <c r="AC2264" s="101">
        <v>1.7150654569570989E-2</v>
      </c>
    </row>
    <row r="2265" spans="25:29" x14ac:dyDescent="0.2">
      <c r="Y2265" s="105" t="str">
        <f t="shared" si="69"/>
        <v>1w</v>
      </c>
      <c r="Z2265" s="93">
        <f>_xll.qlCalendarAdvance(Calendar,Z2264,Y2265,"f",FALSE)</f>
        <v>55065</v>
      </c>
      <c r="AA2265" s="117">
        <f>_xll.qlCalendarAdvance(Calendar,Z2265,NDays&amp;"D")</f>
        <v>55067</v>
      </c>
      <c r="AB2265" s="92">
        <v>1.7140663225639886E-2</v>
      </c>
      <c r="AC2265" s="101">
        <v>1.714444597912923E-2</v>
      </c>
    </row>
    <row r="2266" spans="25:29" x14ac:dyDescent="0.2">
      <c r="Y2266" s="105" t="str">
        <f t="shared" si="69"/>
        <v>1w</v>
      </c>
      <c r="Z2266" s="93">
        <f>_xll.qlCalendarAdvance(Calendar,Z2265,Y2266,"f",FALSE)</f>
        <v>55072</v>
      </c>
      <c r="AA2266" s="117">
        <f>_xll.qlCalendarAdvance(Calendar,Z2266,NDays&amp;"D")</f>
        <v>55074</v>
      </c>
      <c r="AB2266" s="92">
        <v>1.7134763584001809E-2</v>
      </c>
      <c r="AC2266" s="101">
        <v>1.7138263187890246E-2</v>
      </c>
    </row>
    <row r="2267" spans="25:29" x14ac:dyDescent="0.2">
      <c r="Y2267" s="105" t="str">
        <f t="shared" si="69"/>
        <v>1w</v>
      </c>
      <c r="Z2267" s="93">
        <f>_xll.qlCalendarAdvance(Calendar,Z2266,Y2267,"f",FALSE)</f>
        <v>55079</v>
      </c>
      <c r="AA2267" s="117">
        <f>_xll.qlCalendarAdvance(Calendar,Z2267,NDays&amp;"D")</f>
        <v>55081</v>
      </c>
      <c r="AB2267" s="92">
        <v>1.7128889981190214E-2</v>
      </c>
      <c r="AC2267" s="101">
        <v>1.7132106195854035E-2</v>
      </c>
    </row>
    <row r="2268" spans="25:29" x14ac:dyDescent="0.2">
      <c r="Y2268" s="105" t="str">
        <f t="shared" si="69"/>
        <v>1w</v>
      </c>
      <c r="Z2268" s="93">
        <f>_xll.qlCalendarAdvance(Calendar,Z2267,Y2268,"f",FALSE)</f>
        <v>55086</v>
      </c>
      <c r="AA2268" s="117">
        <f>_xll.qlCalendarAdvance(Calendar,Z2268,NDays&amp;"D")</f>
        <v>55088</v>
      </c>
      <c r="AB2268" s="92">
        <v>1.7123042416978464E-2</v>
      </c>
      <c r="AC2268" s="101">
        <v>1.7125975003340344E-2</v>
      </c>
    </row>
    <row r="2269" spans="25:29" x14ac:dyDescent="0.2">
      <c r="Y2269" s="105" t="str">
        <f t="shared" si="69"/>
        <v>1w</v>
      </c>
      <c r="Z2269" s="93">
        <f>_xll.qlCalendarAdvance(Calendar,Z2268,Y2269,"f",FALSE)</f>
        <v>55093</v>
      </c>
      <c r="AA2269" s="117">
        <f>_xll.qlCalendarAdvance(Calendar,Z2269,NDays&amp;"D")</f>
        <v>55095</v>
      </c>
      <c r="AB2269" s="92">
        <v>1.711722203137455E-2</v>
      </c>
      <c r="AC2269" s="101">
        <v>1.7119869610029426E-2</v>
      </c>
    </row>
    <row r="2270" spans="25:29" x14ac:dyDescent="0.2">
      <c r="Y2270" s="105" t="str">
        <f t="shared" si="69"/>
        <v>1w</v>
      </c>
      <c r="Z2270" s="93">
        <f>_xll.qlCalendarAdvance(Calendar,Z2269,Y2270,"f",FALSE)</f>
        <v>55100</v>
      </c>
      <c r="AA2270" s="117">
        <f>_xll.qlCalendarAdvance(Calendar,Z2270,NDays&amp;"D")</f>
        <v>55102</v>
      </c>
      <c r="AB2270" s="92">
        <v>1.7111424958255107E-2</v>
      </c>
      <c r="AC2270" s="101">
        <v>1.7113790015921282E-2</v>
      </c>
    </row>
    <row r="2271" spans="25:29" x14ac:dyDescent="0.2">
      <c r="Y2271" s="105" t="str">
        <f t="shared" si="69"/>
        <v>1w</v>
      </c>
      <c r="Z2271" s="93">
        <f>_xll.qlCalendarAdvance(Calendar,Z2270,Y2271,"f",FALSE)</f>
        <v>55107</v>
      </c>
      <c r="AA2271" s="117">
        <f>_xll.qlCalendarAdvance(Calendar,Z2271,NDays&amp;"D")</f>
        <v>55109</v>
      </c>
      <c r="AB2271" s="92">
        <v>1.7105653921742792E-2</v>
      </c>
      <c r="AC2271" s="101">
        <v>1.710773622125572E-2</v>
      </c>
    </row>
    <row r="2272" spans="25:29" x14ac:dyDescent="0.2">
      <c r="Y2272" s="105" t="str">
        <f t="shared" si="69"/>
        <v>1w</v>
      </c>
      <c r="Z2272" s="93">
        <f>_xll.qlCalendarAdvance(Calendar,Z2271,Y2272,"f",FALSE)</f>
        <v>55114</v>
      </c>
      <c r="AA2272" s="117">
        <f>_xll.qlCalendarAdvance(Calendar,Z2272,NDays&amp;"D")</f>
        <v>55116</v>
      </c>
      <c r="AB2272" s="92">
        <v>1.7099908921612367E-2</v>
      </c>
      <c r="AC2272" s="101">
        <v>1.7101708225872869E-2</v>
      </c>
    </row>
    <row r="2273" spans="25:29" x14ac:dyDescent="0.2">
      <c r="Y2273" s="105" t="str">
        <f t="shared" si="69"/>
        <v>1w</v>
      </c>
      <c r="Z2273" s="93">
        <f>_xll.qlCalendarAdvance(Calendar,Z2272,Y2273,"f",FALSE)</f>
        <v>55121</v>
      </c>
      <c r="AA2273" s="117">
        <f>_xll.qlCalendarAdvance(Calendar,Z2273,NDays&amp;"D")</f>
        <v>55123</v>
      </c>
      <c r="AB2273" s="92">
        <v>1.7094195166915929E-2</v>
      </c>
      <c r="AC2273" s="101">
        <v>1.7095706029772728E-2</v>
      </c>
    </row>
    <row r="2274" spans="25:29" x14ac:dyDescent="0.2">
      <c r="Y2274" s="105" t="str">
        <f t="shared" si="69"/>
        <v>1w</v>
      </c>
      <c r="Z2274" s="93">
        <f>_xll.qlCalendarAdvance(Calendar,Z2273,Y2274,"f",FALSE)</f>
        <v>55128</v>
      </c>
      <c r="AA2274" s="117">
        <f>_xll.qlCalendarAdvance(Calendar,Z2274,NDays&amp;"D")</f>
        <v>55130</v>
      </c>
      <c r="AB2274" s="92">
        <v>1.7088503829522036E-2</v>
      </c>
      <c r="AC2274" s="101">
        <v>1.7089729633035233E-2</v>
      </c>
    </row>
    <row r="2275" spans="25:29" x14ac:dyDescent="0.2">
      <c r="Y2275" s="105" t="str">
        <f t="shared" si="69"/>
        <v>1w</v>
      </c>
      <c r="Z2275" s="93">
        <f>_xll.qlCalendarAdvance(Calendar,Z2274,Y2275,"f",FALSE)</f>
        <v>55135</v>
      </c>
      <c r="AA2275" s="117">
        <f>_xll.qlCalendarAdvance(Calendar,Z2275,NDays&amp;"D")</f>
        <v>55137</v>
      </c>
      <c r="AB2275" s="92">
        <v>1.7082838529145959E-2</v>
      </c>
      <c r="AC2275" s="101">
        <v>1.7083779035580449E-2</v>
      </c>
    </row>
    <row r="2276" spans="25:29" x14ac:dyDescent="0.2">
      <c r="Y2276" s="105" t="str">
        <f t="shared" si="69"/>
        <v>1w</v>
      </c>
      <c r="Z2276" s="93">
        <f>_xll.qlCalendarAdvance(Calendar,Z2275,Y2276,"f",FALSE)</f>
        <v>55142</v>
      </c>
      <c r="AA2276" s="117">
        <f>_xll.qlCalendarAdvance(Calendar,Z2276,NDays&amp;"D")</f>
        <v>55144</v>
      </c>
      <c r="AB2276" s="92">
        <v>1.7077199265566338E-2</v>
      </c>
      <c r="AC2276" s="101">
        <v>1.7077854237568246E-2</v>
      </c>
    </row>
    <row r="2277" spans="25:29" x14ac:dyDescent="0.2">
      <c r="Y2277" s="105" t="str">
        <f t="shared" si="69"/>
        <v>1w</v>
      </c>
      <c r="Z2277" s="93">
        <f>_xll.qlCalendarAdvance(Calendar,Z2276,Y2277,"f",FALSE)</f>
        <v>55149</v>
      </c>
      <c r="AA2277" s="117">
        <f>_xll.qlCalendarAdvance(Calendar,Z2277,NDays&amp;"D")</f>
        <v>55151</v>
      </c>
      <c r="AB2277" s="92">
        <v>1.7071586038562687E-2</v>
      </c>
      <c r="AC2277" s="101">
        <v>1.7071955238678882E-2</v>
      </c>
    </row>
    <row r="2278" spans="25:29" x14ac:dyDescent="0.2">
      <c r="Y2278" s="105" t="str">
        <f t="shared" si="69"/>
        <v>1w</v>
      </c>
      <c r="Z2278" s="93">
        <f>_xll.qlCalendarAdvance(Calendar,Z2277,Y2278,"f",FALSE)</f>
        <v>55156</v>
      </c>
      <c r="AA2278" s="117">
        <f>_xll.qlCalendarAdvance(Calendar,Z2278,NDays&amp;"D")</f>
        <v>55158</v>
      </c>
      <c r="AB2278" s="92">
        <v>1.7065985672393612E-2</v>
      </c>
      <c r="AC2278" s="101">
        <v>1.7066082039072228E-2</v>
      </c>
    </row>
    <row r="2279" spans="25:29" x14ac:dyDescent="0.2">
      <c r="Y2279" s="105" t="str">
        <f t="shared" si="69"/>
        <v>1w</v>
      </c>
      <c r="Z2279" s="93">
        <f>_xll.qlCalendarAdvance(Calendar,Z2278,Y2279,"f",FALSE)</f>
        <v>55163</v>
      </c>
      <c r="AA2279" s="117">
        <f>_xll.qlCalendarAdvance(Calendar,Z2279,NDays&amp;"D")</f>
        <v>55165</v>
      </c>
      <c r="AB2279" s="92">
        <v>1.7060422920731438E-2</v>
      </c>
      <c r="AC2279" s="101">
        <v>1.7060234638908156E-2</v>
      </c>
    </row>
    <row r="2280" spans="25:29" x14ac:dyDescent="0.2">
      <c r="Y2280" s="105" t="str">
        <f t="shared" si="69"/>
        <v>1w</v>
      </c>
      <c r="Z2280" s="93">
        <f>_xll.qlCalendarAdvance(Calendar,Z2279,Y2280,"f",FALSE)</f>
        <v>55170</v>
      </c>
      <c r="AA2280" s="117">
        <f>_xll.qlCalendarAdvance(Calendar,Z2280,NDays&amp;"D")</f>
        <v>55172</v>
      </c>
      <c r="AB2280" s="92">
        <v>1.7054886203689466E-2</v>
      </c>
      <c r="AC2280" s="101">
        <v>1.7054413037866922E-2</v>
      </c>
    </row>
    <row r="2281" spans="25:29" x14ac:dyDescent="0.2">
      <c r="Y2281" s="105" t="str">
        <f t="shared" si="69"/>
        <v>1w</v>
      </c>
      <c r="Z2281" s="93">
        <f>_xll.qlCalendarAdvance(Calendar,Z2280,Y2281,"f",FALSE)</f>
        <v>55177</v>
      </c>
      <c r="AA2281" s="117">
        <f>_xll.qlCalendarAdvance(Calendar,Z2281,NDays&amp;"D")</f>
        <v>55179</v>
      </c>
      <c r="AB2281" s="92">
        <v>1.7049375521053511E-2</v>
      </c>
      <c r="AC2281" s="101">
        <v>1.7048617236348207E-2</v>
      </c>
    </row>
    <row r="2282" spans="25:29" x14ac:dyDescent="0.2">
      <c r="Y2282" s="105" t="str">
        <f t="shared" si="69"/>
        <v>1w</v>
      </c>
      <c r="Z2282" s="93">
        <f>_xll.qlCalendarAdvance(Calendar,Z2281,Y2282,"f",FALSE)</f>
        <v>55184</v>
      </c>
      <c r="AA2282" s="117">
        <f>_xll.qlCalendarAdvance(Calendar,Z2282,NDays&amp;"D")</f>
        <v>55186</v>
      </c>
      <c r="AB2282" s="92">
        <v>1.7043890872609373E-2</v>
      </c>
      <c r="AC2282" s="101">
        <v>1.704284723395233E-2</v>
      </c>
    </row>
    <row r="2283" spans="25:29" x14ac:dyDescent="0.2">
      <c r="Y2283" s="105" t="str">
        <f t="shared" si="69"/>
        <v>1w</v>
      </c>
      <c r="Z2283" s="93">
        <f>_xll.qlCalendarAdvance(Calendar,Z2282,Y2283,"f",FALSE)</f>
        <v>55191</v>
      </c>
      <c r="AA2283" s="117">
        <f>_xll.qlCalendarAdvance(Calendar,Z2283,NDays&amp;"D")</f>
        <v>55193</v>
      </c>
      <c r="AB2283" s="92">
        <v>1.7038432258143742E-2</v>
      </c>
      <c r="AC2283" s="101">
        <v>1.7037103030999035E-2</v>
      </c>
    </row>
    <row r="2284" spans="25:29" x14ac:dyDescent="0.2">
      <c r="Y2284" s="105" t="str">
        <f t="shared" si="69"/>
        <v>1w</v>
      </c>
      <c r="Z2284" s="93">
        <f>_xll.qlCalendarAdvance(Calendar,Z2283,Y2284,"f",FALSE)</f>
        <v>55198</v>
      </c>
      <c r="AA2284" s="117">
        <f>_xll.qlCalendarAdvance(Calendar,Z2284,NDays&amp;"D")</f>
        <v>55200</v>
      </c>
      <c r="AB2284" s="92">
        <v>1.703299967744331E-2</v>
      </c>
      <c r="AC2284" s="101">
        <v>1.7031384627168578E-2</v>
      </c>
    </row>
    <row r="2285" spans="25:29" x14ac:dyDescent="0.2">
      <c r="Y2285" s="105" t="str">
        <f t="shared" si="69"/>
        <v>1w</v>
      </c>
      <c r="Z2285" s="93">
        <f>_xll.qlCalendarAdvance(Calendar,Z2284,Y2285,"f",FALSE)</f>
        <v>55205</v>
      </c>
      <c r="AA2285" s="117">
        <f>_xll.qlCalendarAdvance(Calendar,Z2285,NDays&amp;"D")</f>
        <v>55207</v>
      </c>
      <c r="AB2285" s="92">
        <v>1.702759313029565E-2</v>
      </c>
      <c r="AC2285" s="101">
        <v>1.7025692022700767E-2</v>
      </c>
    </row>
    <row r="2286" spans="25:29" x14ac:dyDescent="0.2">
      <c r="Y2286" s="105" t="str">
        <f t="shared" si="69"/>
        <v>1w</v>
      </c>
      <c r="Z2286" s="93">
        <f>_xll.qlCalendarAdvance(Calendar,Z2285,Y2286,"f",FALSE)</f>
        <v>55212</v>
      </c>
      <c r="AA2286" s="117">
        <f>_xll.qlCalendarAdvance(Calendar,Z2286,NDays&amp;"D")</f>
        <v>55214</v>
      </c>
      <c r="AB2286" s="92">
        <v>1.7022344105254265E-2</v>
      </c>
      <c r="AC2286" s="101">
        <v>1.7020025217595602E-2</v>
      </c>
    </row>
    <row r="2287" spans="25:29" x14ac:dyDescent="0.2">
      <c r="Y2287" s="105" t="str">
        <f t="shared" si="69"/>
        <v>1w</v>
      </c>
      <c r="Z2287" s="93">
        <f>_xll.qlCalendarAdvance(Calendar,Z2286,Y2287,"f",FALSE)</f>
        <v>55219</v>
      </c>
      <c r="AA2287" s="117">
        <f>_xll.qlCalendarAdvance(Calendar,Z2287,NDays&amp;"D")</f>
        <v>55221</v>
      </c>
      <c r="AB2287" s="92">
        <v>1.7016997663830923E-2</v>
      </c>
      <c r="AC2287" s="101">
        <v>1.7014384211613276E-2</v>
      </c>
    </row>
    <row r="2288" spans="25:29" x14ac:dyDescent="0.2">
      <c r="Y2288" s="105" t="str">
        <f t="shared" si="69"/>
        <v>1w</v>
      </c>
      <c r="Z2288" s="93">
        <f>_xll.qlCalendarAdvance(Calendar,Z2287,Y2288,"f",FALSE)</f>
        <v>55226</v>
      </c>
      <c r="AA2288" s="117">
        <f>_xll.qlCalendarAdvance(Calendar,Z2288,NDays&amp;"D")</f>
        <v>55228</v>
      </c>
      <c r="AB2288" s="92">
        <v>1.7011677261779094E-2</v>
      </c>
      <c r="AC2288" s="101">
        <v>1.7008769004993596E-2</v>
      </c>
    </row>
    <row r="2289" spans="25:29" x14ac:dyDescent="0.2">
      <c r="Y2289" s="105" t="str">
        <f t="shared" si="69"/>
        <v>1w</v>
      </c>
      <c r="Z2289" s="93">
        <f>_xll.qlCalendarAdvance(Calendar,Z2288,Y2289,"f",FALSE)</f>
        <v>55233</v>
      </c>
      <c r="AA2289" s="117">
        <f>_xll.qlCalendarAdvance(Calendar,Z2289,NDays&amp;"D")</f>
        <v>55235</v>
      </c>
      <c r="AB2289" s="92">
        <v>1.7006382898884766E-2</v>
      </c>
      <c r="AC2289" s="101">
        <v>1.7003179597736562E-2</v>
      </c>
    </row>
    <row r="2290" spans="25:29" x14ac:dyDescent="0.2">
      <c r="Y2290" s="105" t="str">
        <f t="shared" si="69"/>
        <v>1w</v>
      </c>
      <c r="Z2290" s="93">
        <f>_xll.qlCalendarAdvance(Calendar,Z2289,Y2290,"f",FALSE)</f>
        <v>55240</v>
      </c>
      <c r="AA2290" s="117">
        <f>_xll.qlCalendarAdvance(Calendar,Z2290,NDays&amp;"D")</f>
        <v>55242</v>
      </c>
      <c r="AB2290" s="92">
        <v>1.7001015899079815E-2</v>
      </c>
      <c r="AC2290" s="101">
        <v>1.6997636534464178E-2</v>
      </c>
    </row>
    <row r="2291" spans="25:29" x14ac:dyDescent="0.2">
      <c r="Y2291" s="105" t="str">
        <f t="shared" si="69"/>
        <v>1w</v>
      </c>
      <c r="Z2291" s="93">
        <f>_xll.qlCalendarAdvance(Calendar,Z2290,Y2291,"f",FALSE)</f>
        <v>55247</v>
      </c>
      <c r="AA2291" s="117">
        <f>_xll.qlCalendarAdvance(Calendar,Z2291,NDays&amp;"D")</f>
        <v>55249</v>
      </c>
      <c r="AB2291" s="92">
        <v>1.6995768774352972E-2</v>
      </c>
      <c r="AC2291" s="101">
        <v>1.6992078180990688E-2</v>
      </c>
    </row>
    <row r="2292" spans="25:29" x14ac:dyDescent="0.2">
      <c r="Y2292" s="105" t="str">
        <f t="shared" si="69"/>
        <v>1w</v>
      </c>
      <c r="Z2292" s="93">
        <f>_xll.qlCalendarAdvance(Calendar,Z2291,Y2292,"f",FALSE)</f>
        <v>55254</v>
      </c>
      <c r="AA2292" s="117">
        <f>_xll.qlCalendarAdvance(Calendar,Z2292,NDays&amp;"D")</f>
        <v>55256</v>
      </c>
      <c r="AB2292" s="92">
        <v>1.6990547684297374E-2</v>
      </c>
      <c r="AC2292" s="101">
        <v>1.6986566171581785E-2</v>
      </c>
    </row>
    <row r="2293" spans="25:29" x14ac:dyDescent="0.2">
      <c r="Y2293" s="105" t="str">
        <f t="shared" si="69"/>
        <v>1w</v>
      </c>
      <c r="Z2293" s="93">
        <f>_xll.qlCalendarAdvance(Calendar,Z2292,Y2293,"f",FALSE)</f>
        <v>55261</v>
      </c>
      <c r="AA2293" s="117">
        <f>_xll.qlCalendarAdvance(Calendar,Z2293,NDays&amp;"D")</f>
        <v>55263</v>
      </c>
      <c r="AB2293" s="92">
        <v>1.6985352628709476E-2</v>
      </c>
      <c r="AC2293" s="101">
        <v>1.6981079961455592E-2</v>
      </c>
    </row>
    <row r="2294" spans="25:29" x14ac:dyDescent="0.2">
      <c r="Y2294" s="105" t="str">
        <f t="shared" si="69"/>
        <v>1w</v>
      </c>
      <c r="Z2294" s="93">
        <f>_xll.qlCalendarAdvance(Calendar,Z2293,Y2294,"f",FALSE)</f>
        <v>55268</v>
      </c>
      <c r="AA2294" s="117">
        <f>_xll.qlCalendarAdvance(Calendar,Z2294,NDays&amp;"D")</f>
        <v>55270</v>
      </c>
      <c r="AB2294" s="92">
        <v>1.6980183607382224E-2</v>
      </c>
      <c r="AC2294" s="101">
        <v>1.6975619550532173E-2</v>
      </c>
    </row>
    <row r="2295" spans="25:29" x14ac:dyDescent="0.2">
      <c r="Y2295" s="105" t="str">
        <f t="shared" si="69"/>
        <v>1w</v>
      </c>
      <c r="Z2295" s="93">
        <f>_xll.qlCalendarAdvance(Calendar,Z2294,Y2295,"f",FALSE)</f>
        <v>55275</v>
      </c>
      <c r="AA2295" s="117">
        <f>_xll.qlCalendarAdvance(Calendar,Z2295,NDays&amp;"D")</f>
        <v>55277</v>
      </c>
      <c r="AB2295" s="92">
        <v>1.6975163532043824E-2</v>
      </c>
      <c r="AC2295" s="101">
        <v>1.6970184939051336E-2</v>
      </c>
    </row>
    <row r="2296" spans="25:29" x14ac:dyDescent="0.2">
      <c r="Y2296" s="105" t="str">
        <f t="shared" si="69"/>
        <v>1w</v>
      </c>
      <c r="Z2296" s="93">
        <f>_xll.qlCalendarAdvance(Calendar,Z2295,Y2296,"f",FALSE)</f>
        <v>55282</v>
      </c>
      <c r="AA2296" s="117">
        <f>_xll.qlCalendarAdvance(Calendar,Z2296,NDays&amp;"D")</f>
        <v>55284</v>
      </c>
      <c r="AB2296" s="92">
        <v>1.6970051437381402E-2</v>
      </c>
      <c r="AC2296" s="101">
        <v>1.6964776126613401E-2</v>
      </c>
    </row>
    <row r="2297" spans="25:29" x14ac:dyDescent="0.2">
      <c r="Y2297" s="105" t="str">
        <f t="shared" si="69"/>
        <v>1w</v>
      </c>
      <c r="Z2297" s="93">
        <f>_xll.qlCalendarAdvance(Calendar,Z2296,Y2297,"f",FALSE)</f>
        <v>55289</v>
      </c>
      <c r="AA2297" s="117">
        <f>_xll.qlCalendarAdvance(Calendar,Z2297,NDays&amp;"D")</f>
        <v>55291</v>
      </c>
      <c r="AB2297" s="92">
        <v>1.6964965380213286E-2</v>
      </c>
      <c r="AC2297" s="101">
        <v>1.6959393113618049E-2</v>
      </c>
    </row>
    <row r="2298" spans="25:29" x14ac:dyDescent="0.2">
      <c r="Y2298" s="105" t="str">
        <f t="shared" si="69"/>
        <v>1w</v>
      </c>
      <c r="Z2298" s="93">
        <f>_xll.qlCalendarAdvance(Calendar,Z2297,Y2298,"f",FALSE)</f>
        <v>55296</v>
      </c>
      <c r="AA2298" s="117">
        <f>_xll.qlCalendarAdvance(Calendar,Z2298,NDays&amp;"D")</f>
        <v>55298</v>
      </c>
      <c r="AB2298" s="92">
        <v>1.6959905360334059E-2</v>
      </c>
      <c r="AC2298" s="101">
        <v>1.6954035899985342E-2</v>
      </c>
    </row>
    <row r="2299" spans="25:29" x14ac:dyDescent="0.2">
      <c r="Y2299" s="105" t="str">
        <f t="shared" si="69"/>
        <v>1w</v>
      </c>
      <c r="Z2299" s="93">
        <f>_xll.qlCalendarAdvance(Calendar,Z2298,Y2299,"f",FALSE)</f>
        <v>55303</v>
      </c>
      <c r="AA2299" s="117">
        <f>_xll.qlCalendarAdvance(Calendar,Z2299,NDays&amp;"D")</f>
        <v>55305</v>
      </c>
      <c r="AB2299" s="92">
        <v>1.6954729007595558E-2</v>
      </c>
      <c r="AC2299" s="101">
        <v>1.6948704485395538E-2</v>
      </c>
    </row>
    <row r="2300" spans="25:29" x14ac:dyDescent="0.2">
      <c r="Y2300" s="105" t="str">
        <f t="shared" si="69"/>
        <v>1w</v>
      </c>
      <c r="Z2300" s="93">
        <f>_xll.qlCalendarAdvance(Calendar,Z2299,Y2300,"f",FALSE)</f>
        <v>55310</v>
      </c>
      <c r="AA2300" s="117">
        <f>_xll.qlCalendarAdvance(Calendar,Z2300,NDays&amp;"D")</f>
        <v>55312</v>
      </c>
      <c r="AB2300" s="92">
        <v>1.6949716187605633E-2</v>
      </c>
      <c r="AC2300" s="101">
        <v>1.6943398870248316E-2</v>
      </c>
    </row>
    <row r="2301" spans="25:29" x14ac:dyDescent="0.2">
      <c r="Y2301" s="105" t="str">
        <f t="shared" si="69"/>
        <v>1w</v>
      </c>
      <c r="Z2301" s="93">
        <f>_xll.qlCalendarAdvance(Calendar,Z2300,Y2301,"f",FALSE)</f>
        <v>55317</v>
      </c>
      <c r="AA2301" s="117">
        <f>_xll.qlCalendarAdvance(Calendar,Z2301,NDays&amp;"D")</f>
        <v>55319</v>
      </c>
      <c r="AB2301" s="92">
        <v>1.694472940047595E-2</v>
      </c>
      <c r="AC2301" s="101">
        <v>1.6938119054303868E-2</v>
      </c>
    </row>
    <row r="2302" spans="25:29" x14ac:dyDescent="0.2">
      <c r="Y2302" s="105" t="str">
        <f t="shared" si="69"/>
        <v>1w</v>
      </c>
      <c r="Z2302" s="93">
        <f>_xll.qlCalendarAdvance(Calendar,Z2301,Y2302,"f",FALSE)</f>
        <v>55324</v>
      </c>
      <c r="AA2302" s="117">
        <f>_xll.qlCalendarAdvance(Calendar,Z2302,NDays&amp;"D")</f>
        <v>55326</v>
      </c>
      <c r="AB2302" s="92">
        <v>1.6939768646009944E-2</v>
      </c>
      <c r="AC2302" s="101">
        <v>1.6932865037722067E-2</v>
      </c>
    </row>
    <row r="2303" spans="25:29" x14ac:dyDescent="0.2">
      <c r="Y2303" s="105" t="str">
        <f t="shared" si="69"/>
        <v>1w</v>
      </c>
      <c r="Z2303" s="93">
        <f>_xll.qlCalendarAdvance(Calendar,Z2302,Y2303,"f",FALSE)</f>
        <v>55331</v>
      </c>
      <c r="AA2303" s="117">
        <f>_xll.qlCalendarAdvance(Calendar,Z2303,NDays&amp;"D")</f>
        <v>55333</v>
      </c>
      <c r="AB2303" s="92">
        <v>1.6934833924010611E-2</v>
      </c>
      <c r="AC2303" s="101">
        <v>1.6927636820183167E-2</v>
      </c>
    </row>
    <row r="2304" spans="25:29" x14ac:dyDescent="0.2">
      <c r="Y2304" s="105" t="str">
        <f t="shared" si="69"/>
        <v>1w</v>
      </c>
      <c r="Z2304" s="93">
        <f>_xll.qlCalendarAdvance(Calendar,Z2303,Y2304,"f",FALSE)</f>
        <v>55338</v>
      </c>
      <c r="AA2304" s="117">
        <f>_xll.qlCalendarAdvance(Calendar,Z2304,NDays&amp;"D")</f>
        <v>55340</v>
      </c>
      <c r="AB2304" s="92">
        <v>1.6930092012876187E-2</v>
      </c>
      <c r="AC2304" s="101">
        <v>1.6922434402246722E-2</v>
      </c>
    </row>
    <row r="2305" spans="25:29" x14ac:dyDescent="0.2">
      <c r="Y2305" s="105" t="str">
        <f t="shared" si="69"/>
        <v>1w</v>
      </c>
      <c r="Z2305" s="93">
        <f>_xll.qlCalendarAdvance(Calendar,Z2304,Y2305,"f",FALSE)</f>
        <v>55345</v>
      </c>
      <c r="AA2305" s="117">
        <f>_xll.qlCalendarAdvance(Calendar,Z2305,NDays&amp;"D")</f>
        <v>55347</v>
      </c>
      <c r="AB2305" s="92">
        <v>1.6925214248415029E-2</v>
      </c>
      <c r="AC2305" s="101">
        <v>1.6917257783353179E-2</v>
      </c>
    </row>
    <row r="2306" spans="25:29" x14ac:dyDescent="0.2">
      <c r="Y2306" s="105" t="str">
        <f t="shared" si="69"/>
        <v>1w</v>
      </c>
      <c r="Z2306" s="93">
        <f>_xll.qlCalendarAdvance(Calendar,Z2305,Y2306,"f",FALSE)</f>
        <v>55352</v>
      </c>
      <c r="AA2306" s="117">
        <f>_xll.qlCalendarAdvance(Calendar,Z2306,NDays&amp;"D")</f>
        <v>55354</v>
      </c>
      <c r="AB2306" s="92">
        <v>1.6920362519653058E-2</v>
      </c>
      <c r="AC2306" s="101">
        <v>1.6912106963822282E-2</v>
      </c>
    </row>
    <row r="2307" spans="25:29" x14ac:dyDescent="0.2">
      <c r="Y2307" s="105" t="str">
        <f t="shared" si="69"/>
        <v>1w</v>
      </c>
      <c r="Z2307" s="93">
        <f>_xll.qlCalendarAdvance(Calendar,Z2306,Y2307,"f",FALSE)</f>
        <v>55359</v>
      </c>
      <c r="AA2307" s="117">
        <f>_xll.qlCalendarAdvance(Calendar,Z2307,NDays&amp;"D")</f>
        <v>55361</v>
      </c>
      <c r="AB2307" s="92">
        <v>1.691553682639645E-2</v>
      </c>
      <c r="AC2307" s="101">
        <v>1.6906981943494159E-2</v>
      </c>
    </row>
    <row r="2308" spans="25:29" x14ac:dyDescent="0.2">
      <c r="Y2308" s="105" t="str">
        <f t="shared" si="69"/>
        <v>1w</v>
      </c>
      <c r="Z2308" s="93">
        <f>_xll.qlCalendarAdvance(Calendar,Z2307,Y2308,"f",FALSE)</f>
        <v>55366</v>
      </c>
      <c r="AA2308" s="117">
        <f>_xll.qlCalendarAdvance(Calendar,Z2308,NDays&amp;"D")</f>
        <v>55368</v>
      </c>
      <c r="AB2308" s="92">
        <v>1.6910737168453534E-2</v>
      </c>
      <c r="AC2308" s="101">
        <v>1.6901882722528683E-2</v>
      </c>
    </row>
    <row r="2309" spans="25:29" x14ac:dyDescent="0.2">
      <c r="Y2309" s="105" t="str">
        <f t="shared" si="69"/>
        <v>1w</v>
      </c>
      <c r="Z2309" s="93">
        <f>_xll.qlCalendarAdvance(Calendar,Z2308,Y2309,"f",FALSE)</f>
        <v>55373</v>
      </c>
      <c r="AA2309" s="117">
        <f>_xll.qlCalendarAdvance(Calendar,Z2309,NDays&amp;"D")</f>
        <v>55375</v>
      </c>
      <c r="AB2309" s="92">
        <v>1.6905963545630915E-2</v>
      </c>
      <c r="AC2309" s="101">
        <v>1.689680930076598E-2</v>
      </c>
    </row>
    <row r="2310" spans="25:29" x14ac:dyDescent="0.2">
      <c r="Y2310" s="105" t="str">
        <f t="shared" si="69"/>
        <v>1w</v>
      </c>
      <c r="Z2310" s="93">
        <f>_xll.qlCalendarAdvance(Calendar,Z2309,Y2310,"f",FALSE)</f>
        <v>55380</v>
      </c>
      <c r="AA2310" s="117">
        <f>_xll.qlCalendarAdvance(Calendar,Z2310,NDays&amp;"D")</f>
        <v>55382</v>
      </c>
      <c r="AB2310" s="92">
        <v>1.6901215957737345E-2</v>
      </c>
      <c r="AC2310" s="101">
        <v>1.6891761678285988E-2</v>
      </c>
    </row>
    <row r="2311" spans="25:29" x14ac:dyDescent="0.2">
      <c r="Y2311" s="105" t="str">
        <f t="shared" si="69"/>
        <v>1w</v>
      </c>
      <c r="Z2311" s="93">
        <f>_xll.qlCalendarAdvance(Calendar,Z2310,Y2311,"f",FALSE)</f>
        <v>55387</v>
      </c>
      <c r="AA2311" s="117">
        <f>_xll.qlCalendarAdvance(Calendar,Z2311,NDays&amp;"D")</f>
        <v>55389</v>
      </c>
      <c r="AB2311" s="92">
        <v>1.6896494404584159E-2</v>
      </c>
      <c r="AC2311" s="101">
        <v>1.6886739854928834E-2</v>
      </c>
    </row>
    <row r="2312" spans="25:29" x14ac:dyDescent="0.2">
      <c r="Y2312" s="105" t="str">
        <f t="shared" si="69"/>
        <v>1w</v>
      </c>
      <c r="Z2312" s="93">
        <f>_xll.qlCalendarAdvance(Calendar,Z2311,Y2312,"f",FALSE)</f>
        <v>55394</v>
      </c>
      <c r="AA2312" s="117">
        <f>_xll.qlCalendarAdvance(Calendar,Z2312,NDays&amp;"D")</f>
        <v>55396</v>
      </c>
      <c r="AB2312" s="92">
        <v>1.6891524496266908E-2</v>
      </c>
      <c r="AC2312" s="101">
        <v>1.6881743831094198E-2</v>
      </c>
    </row>
    <row r="2313" spans="25:29" x14ac:dyDescent="0.2">
      <c r="Y2313" s="105" t="str">
        <f t="shared" si="69"/>
        <v>1w</v>
      </c>
      <c r="Z2313" s="93">
        <f>_xll.qlCalendarAdvance(Calendar,Z2312,Y2313,"f",FALSE)</f>
        <v>55401</v>
      </c>
      <c r="AA2313" s="117">
        <f>_xll.qlCalendarAdvance(Calendar,Z2313,NDays&amp;"D")</f>
        <v>55403</v>
      </c>
      <c r="AB2313" s="92">
        <v>1.6886848447588095E-2</v>
      </c>
      <c r="AC2313" s="101">
        <v>1.68767736063824E-2</v>
      </c>
    </row>
    <row r="2314" spans="25:29" x14ac:dyDescent="0.2">
      <c r="Y2314" s="105" t="str">
        <f t="shared" si="69"/>
        <v>1w</v>
      </c>
      <c r="Z2314" s="93">
        <f>_xll.qlCalendarAdvance(Calendar,Z2313,Y2314,"f",FALSE)</f>
        <v>55408</v>
      </c>
      <c r="AA2314" s="117">
        <f>_xll.qlCalendarAdvance(Calendar,Z2314,NDays&amp;"D")</f>
        <v>55410</v>
      </c>
      <c r="AB2314" s="92">
        <v>1.6882198428035827E-2</v>
      </c>
      <c r="AC2314" s="101">
        <v>1.6871829180873377E-2</v>
      </c>
    </row>
    <row r="2315" spans="25:29" x14ac:dyDescent="0.2">
      <c r="Y2315" s="105" t="str">
        <f t="shared" si="69"/>
        <v>1w</v>
      </c>
      <c r="Z2315" s="93">
        <f>_xll.qlCalendarAdvance(Calendar,Z2314,Y2315,"f",FALSE)</f>
        <v>55415</v>
      </c>
      <c r="AA2315" s="117">
        <f>_xll.qlCalendarAdvance(Calendar,Z2315,NDays&amp;"D")</f>
        <v>55417</v>
      </c>
      <c r="AB2315" s="92">
        <v>1.6877574437427396E-2</v>
      </c>
      <c r="AC2315" s="101">
        <v>1.6866910554647063E-2</v>
      </c>
    </row>
    <row r="2316" spans="25:29" x14ac:dyDescent="0.2">
      <c r="Y2316" s="105" t="str">
        <f t="shared" si="69"/>
        <v>1w</v>
      </c>
      <c r="Z2316" s="93">
        <f>_xll.qlCalendarAdvance(Calendar,Z2315,Y2316,"f",FALSE)</f>
        <v>55422</v>
      </c>
      <c r="AA2316" s="117">
        <f>_xll.qlCalendarAdvance(Calendar,Z2316,NDays&amp;"D")</f>
        <v>55424</v>
      </c>
      <c r="AB2316" s="92">
        <v>1.6872976475582283E-2</v>
      </c>
      <c r="AC2316" s="101">
        <v>1.6862017727783396E-2</v>
      </c>
    </row>
    <row r="2317" spans="25:29" x14ac:dyDescent="0.2">
      <c r="Y2317" s="105" t="str">
        <f t="shared" si="69"/>
        <v>1w</v>
      </c>
      <c r="Z2317" s="93">
        <f>_xll.qlCalendarAdvance(Calendar,Z2316,Y2317,"f",FALSE)</f>
        <v>55429</v>
      </c>
      <c r="AA2317" s="117">
        <f>_xll.qlCalendarAdvance(Calendar,Z2317,NDays&amp;"D")</f>
        <v>55431</v>
      </c>
      <c r="AB2317" s="92">
        <v>1.6868481118343645E-2</v>
      </c>
      <c r="AC2317" s="101">
        <v>1.6857150699962631E-2</v>
      </c>
    </row>
    <row r="2318" spans="25:29" x14ac:dyDescent="0.2">
      <c r="Y2318" s="105" t="str">
        <f t="shared" si="69"/>
        <v>1w</v>
      </c>
      <c r="Z2318" s="93">
        <f>_xll.qlCalendarAdvance(Calendar,Z2317,Y2318,"f",FALSE)</f>
        <v>55436</v>
      </c>
      <c r="AA2318" s="117">
        <f>_xll.qlCalendarAdvance(Calendar,Z2318,NDays&amp;"D")</f>
        <v>55438</v>
      </c>
      <c r="AB2318" s="92">
        <v>1.6863936860644767E-2</v>
      </c>
      <c r="AC2318" s="101">
        <v>1.6852309471584448E-2</v>
      </c>
    </row>
    <row r="2319" spans="25:29" x14ac:dyDescent="0.2">
      <c r="Y2319" s="105" t="str">
        <f t="shared" si="69"/>
        <v>1w</v>
      </c>
      <c r="Z2319" s="93">
        <f>_xll.qlCalendarAdvance(Calendar,Z2318,Y2319,"f",FALSE)</f>
        <v>55443</v>
      </c>
      <c r="AA2319" s="117">
        <f>_xll.qlCalendarAdvance(Calendar,Z2319,NDays&amp;"D")</f>
        <v>55445</v>
      </c>
      <c r="AB2319" s="92">
        <v>1.6859739719451695E-2</v>
      </c>
      <c r="AC2319" s="101">
        <v>1.6847494042488975E-2</v>
      </c>
    </row>
    <row r="2320" spans="25:29" x14ac:dyDescent="0.2">
      <c r="Y2320" s="105" t="str">
        <f t="shared" si="69"/>
        <v>1w</v>
      </c>
      <c r="Z2320" s="93">
        <f>_xll.qlCalendarAdvance(Calendar,Z2319,Y2320,"f",FALSE)</f>
        <v>55450</v>
      </c>
      <c r="AA2320" s="117">
        <f>_xll.qlCalendarAdvance(Calendar,Z2320,NDays&amp;"D")</f>
        <v>55452</v>
      </c>
      <c r="AB2320" s="92">
        <v>1.6854926433521218E-2</v>
      </c>
      <c r="AC2320" s="101">
        <v>1.6842704412516341E-2</v>
      </c>
    </row>
    <row r="2321" spans="25:29" x14ac:dyDescent="0.2">
      <c r="Y2321" s="105" t="str">
        <f t="shared" si="69"/>
        <v>1w</v>
      </c>
      <c r="Z2321" s="93">
        <f>_xll.qlCalendarAdvance(Calendar,Z2320,Y2321,"f",FALSE)</f>
        <v>55457</v>
      </c>
      <c r="AA2321" s="117">
        <f>_xll.qlCalendarAdvance(Calendar,Z2321,NDays&amp;"D")</f>
        <v>55459</v>
      </c>
      <c r="AB2321" s="92">
        <v>1.6850377091543852E-2</v>
      </c>
      <c r="AC2321" s="101">
        <v>1.6837940581826416E-2</v>
      </c>
    </row>
    <row r="2322" spans="25:29" x14ac:dyDescent="0.2">
      <c r="Y2322" s="105" t="str">
        <f t="shared" si="69"/>
        <v>1w</v>
      </c>
      <c r="Z2322" s="93">
        <f>_xll.qlCalendarAdvance(Calendar,Z2321,Y2322,"f",FALSE)</f>
        <v>55464</v>
      </c>
      <c r="AA2322" s="117">
        <f>_xll.qlCalendarAdvance(Calendar,Z2322,NDays&amp;"D")</f>
        <v>55466</v>
      </c>
      <c r="AB2322" s="92">
        <v>1.6845935298535283E-2</v>
      </c>
      <c r="AC2322" s="101">
        <v>1.6833202550579074E-2</v>
      </c>
    </row>
    <row r="2323" spans="25:29" x14ac:dyDescent="0.2">
      <c r="Y2323" s="105" t="str">
        <f t="shared" si="69"/>
        <v>1w</v>
      </c>
      <c r="Z2323" s="93">
        <f>_xll.qlCalendarAdvance(Calendar,Z2322,Y2323,"f",FALSE)</f>
        <v>55471</v>
      </c>
      <c r="AA2323" s="117">
        <f>_xll.qlCalendarAdvance(Calendar,Z2323,NDays&amp;"D")</f>
        <v>55473</v>
      </c>
      <c r="AB2323" s="92">
        <v>1.6841519533051907E-2</v>
      </c>
      <c r="AC2323" s="101">
        <v>1.682849031845457E-2</v>
      </c>
    </row>
    <row r="2324" spans="25:29" x14ac:dyDescent="0.2">
      <c r="Y2324" s="105" t="str">
        <f t="shared" si="69"/>
        <v>1w</v>
      </c>
      <c r="Z2324" s="93">
        <f>_xll.qlCalendarAdvance(Calendar,Z2323,Y2324,"f",FALSE)</f>
        <v>55478</v>
      </c>
      <c r="AA2324" s="117">
        <f>_xll.qlCalendarAdvance(Calendar,Z2324,NDays&amp;"D")</f>
        <v>55480</v>
      </c>
      <c r="AB2324" s="92">
        <v>1.6837129794921111E-2</v>
      </c>
      <c r="AC2324" s="101">
        <v>1.6823803885452904E-2</v>
      </c>
    </row>
    <row r="2325" spans="25:29" x14ac:dyDescent="0.2">
      <c r="Y2325" s="105" t="str">
        <f t="shared" ref="Y2325:Y2388" si="70">Y2324</f>
        <v>1w</v>
      </c>
      <c r="Z2325" s="93">
        <f>_xll.qlCalendarAdvance(Calendar,Z2324,Y2325,"f",FALSE)</f>
        <v>55485</v>
      </c>
      <c r="AA2325" s="117">
        <f>_xll.qlCalendarAdvance(Calendar,Z2325,NDays&amp;"D")</f>
        <v>55487</v>
      </c>
      <c r="AB2325" s="92">
        <v>1.6832855872432776E-2</v>
      </c>
      <c r="AC2325" s="101">
        <v>1.6819143251733948E-2</v>
      </c>
    </row>
    <row r="2326" spans="25:29" x14ac:dyDescent="0.2">
      <c r="Y2326" s="105" t="str">
        <f t="shared" si="70"/>
        <v>1w</v>
      </c>
      <c r="Z2326" s="93">
        <f>_xll.qlCalendarAdvance(Calendar,Z2325,Y2326,"f",FALSE)</f>
        <v>55492</v>
      </c>
      <c r="AA2326" s="117">
        <f>_xll.qlCalendarAdvance(Calendar,Z2326,NDays&amp;"D")</f>
        <v>55494</v>
      </c>
      <c r="AB2326" s="92">
        <v>1.6828519845688998E-2</v>
      </c>
      <c r="AC2326" s="101">
        <v>1.6814508417297702E-2</v>
      </c>
    </row>
    <row r="2327" spans="25:29" x14ac:dyDescent="0.2">
      <c r="Y2327" s="105" t="str">
        <f t="shared" si="70"/>
        <v>1w</v>
      </c>
      <c r="Z2327" s="93">
        <f>_xll.qlCalendarAdvance(Calendar,Z2326,Y2327,"f",FALSE)</f>
        <v>55499</v>
      </c>
      <c r="AA2327" s="117">
        <f>_xll.qlCalendarAdvance(Calendar,Z2327,NDays&amp;"D")</f>
        <v>55501</v>
      </c>
      <c r="AB2327" s="92">
        <v>1.6824209847036815E-2</v>
      </c>
      <c r="AC2327" s="101">
        <v>1.6809899382224103E-2</v>
      </c>
    </row>
    <row r="2328" spans="25:29" x14ac:dyDescent="0.2">
      <c r="Y2328" s="105" t="str">
        <f t="shared" si="70"/>
        <v>1w</v>
      </c>
      <c r="Z2328" s="93">
        <f>_xll.qlCalendarAdvance(Calendar,Z2327,Y2328,"f",FALSE)</f>
        <v>55506</v>
      </c>
      <c r="AA2328" s="117">
        <f>_xll.qlCalendarAdvance(Calendar,Z2328,NDays&amp;"D")</f>
        <v>55508</v>
      </c>
      <c r="AB2328" s="92">
        <v>1.6819925876305875E-2</v>
      </c>
      <c r="AC2328" s="101">
        <v>1.6805316146353277E-2</v>
      </c>
    </row>
    <row r="2329" spans="25:29" x14ac:dyDescent="0.2">
      <c r="Y2329" s="105" t="str">
        <f t="shared" si="70"/>
        <v>1w</v>
      </c>
      <c r="Z2329" s="93">
        <f>_xll.qlCalendarAdvance(Calendar,Z2328,Y2329,"f",FALSE)</f>
        <v>55514</v>
      </c>
      <c r="AA2329" s="117">
        <f>_xll.qlCalendarAdvance(Calendar,Z2329,NDays&amp;"D")</f>
        <v>55516</v>
      </c>
      <c r="AB2329" s="92">
        <v>1.6814965118329861E-2</v>
      </c>
      <c r="AC2329" s="101">
        <v>1.6800313550975332E-2</v>
      </c>
    </row>
    <row r="2330" spans="25:29" x14ac:dyDescent="0.2">
      <c r="Y2330" s="105" t="str">
        <f t="shared" si="70"/>
        <v>1w</v>
      </c>
      <c r="Z2330" s="93">
        <f>_xll.qlCalendarAdvance(Calendar,Z2329,Y2330,"f",FALSE)</f>
        <v>55521</v>
      </c>
      <c r="AA2330" s="117">
        <f>_xll.qlCalendarAdvance(Calendar,Z2330,NDays&amp;"D")</f>
        <v>55523</v>
      </c>
      <c r="AB2330" s="92">
        <v>1.6810735258774936E-2</v>
      </c>
      <c r="AC2330" s="101">
        <v>1.6795720772551093E-2</v>
      </c>
    </row>
    <row r="2331" spans="25:29" x14ac:dyDescent="0.2">
      <c r="Y2331" s="105" t="str">
        <f t="shared" si="70"/>
        <v>1w</v>
      </c>
      <c r="Z2331" s="93">
        <f>_xll.qlCalendarAdvance(Calendar,Z2330,Y2331,"f",FALSE)</f>
        <v>55528</v>
      </c>
      <c r="AA2331" s="117">
        <f>_xll.qlCalendarAdvance(Calendar,Z2331,NDays&amp;"D")</f>
        <v>55530</v>
      </c>
      <c r="AB2331" s="92">
        <v>1.6806531425368722E-2</v>
      </c>
      <c r="AC2331" s="101">
        <v>1.6791221885874563E-2</v>
      </c>
    </row>
    <row r="2332" spans="25:29" x14ac:dyDescent="0.2">
      <c r="Y2332" s="105" t="str">
        <f t="shared" si="70"/>
        <v>1w</v>
      </c>
      <c r="Z2332" s="93">
        <f>_xll.qlCalendarAdvance(Calendar,Z2331,Y2332,"f",FALSE)</f>
        <v>55535</v>
      </c>
      <c r="AA2332" s="117">
        <f>_xll.qlCalendarAdvance(Calendar,Z2332,NDays&amp;"D")</f>
        <v>55537</v>
      </c>
      <c r="AB2332" s="92">
        <v>1.6802353617944316E-2</v>
      </c>
      <c r="AC2332" s="101">
        <v>1.6786748800985407E-2</v>
      </c>
    </row>
    <row r="2333" spans="25:29" x14ac:dyDescent="0.2">
      <c r="Y2333" s="105" t="str">
        <f t="shared" si="70"/>
        <v>1w</v>
      </c>
      <c r="Z2333" s="93">
        <f>_xll.qlCalendarAdvance(Calendar,Z2332,Y2333,"f",FALSE)</f>
        <v>55542</v>
      </c>
      <c r="AA2333" s="117">
        <f>_xll.qlCalendarAdvance(Calendar,Z2333,NDays&amp;"D")</f>
        <v>55544</v>
      </c>
      <c r="AB2333" s="92">
        <v>1.6798201836341408E-2</v>
      </c>
      <c r="AC2333" s="101">
        <v>1.6782301517856979E-2</v>
      </c>
    </row>
    <row r="2334" spans="25:29" x14ac:dyDescent="0.2">
      <c r="Y2334" s="105" t="str">
        <f t="shared" si="70"/>
        <v>1w</v>
      </c>
      <c r="Z2334" s="93">
        <f>_xll.qlCalendarAdvance(Calendar,Z2333,Y2334,"f",FALSE)</f>
        <v>55549</v>
      </c>
      <c r="AA2334" s="117">
        <f>_xll.qlCalendarAdvance(Calendar,Z2334,NDays&amp;"D")</f>
        <v>55551</v>
      </c>
      <c r="AB2334" s="92">
        <v>1.6794076080393974E-2</v>
      </c>
      <c r="AC2334" s="101">
        <v>1.6777880036435988E-2</v>
      </c>
    </row>
    <row r="2335" spans="25:29" x14ac:dyDescent="0.2">
      <c r="Y2335" s="105" t="str">
        <f t="shared" si="70"/>
        <v>1w</v>
      </c>
      <c r="Z2335" s="93">
        <f>_xll.qlCalendarAdvance(Calendar,Z2334,Y2335,"f",FALSE)</f>
        <v>55556</v>
      </c>
      <c r="AA2335" s="117">
        <f>_xll.qlCalendarAdvance(Calendar,Z2335,NDays&amp;"D")</f>
        <v>55558</v>
      </c>
      <c r="AB2335" s="92">
        <v>1.6789976349943468E-2</v>
      </c>
      <c r="AC2335" s="101">
        <v>1.6773484356855661E-2</v>
      </c>
    </row>
    <row r="2336" spans="25:29" x14ac:dyDescent="0.2">
      <c r="Y2336" s="105" t="str">
        <f t="shared" si="70"/>
        <v>1w</v>
      </c>
      <c r="Z2336" s="93">
        <f>_xll.qlCalendarAdvance(Calendar,Z2335,Y2336,"f",FALSE)</f>
        <v>55563</v>
      </c>
      <c r="AA2336" s="117">
        <f>_xll.qlCalendarAdvance(Calendar,Z2336,NDays&amp;"D")</f>
        <v>55565</v>
      </c>
      <c r="AB2336" s="92">
        <v>1.6785902644827811E-2</v>
      </c>
      <c r="AC2336" s="101">
        <v>1.6769114478929481E-2</v>
      </c>
    </row>
    <row r="2337" spans="25:29" x14ac:dyDescent="0.2">
      <c r="Y2337" s="105" t="str">
        <f t="shared" si="70"/>
        <v>1w</v>
      </c>
      <c r="Z2337" s="93">
        <f>_xll.qlCalendarAdvance(Calendar,Z2336,Y2337,"f",FALSE)</f>
        <v>55570</v>
      </c>
      <c r="AA2337" s="117">
        <f>_xll.qlCalendarAdvance(Calendar,Z2337,NDays&amp;"D")</f>
        <v>55572</v>
      </c>
      <c r="AB2337" s="92">
        <v>1.6781854964888019E-2</v>
      </c>
      <c r="AC2337" s="101">
        <v>1.6764770402790674E-2</v>
      </c>
    </row>
    <row r="2338" spans="25:29" x14ac:dyDescent="0.2">
      <c r="Y2338" s="105" t="str">
        <f t="shared" si="70"/>
        <v>1w</v>
      </c>
      <c r="Z2338" s="93">
        <f>_xll.qlCalendarAdvance(Calendar,Z2337,Y2338,"f",FALSE)</f>
        <v>55577</v>
      </c>
      <c r="AA2338" s="117">
        <f>_xll.qlCalendarAdvance(Calendar,Z2338,NDays&amp;"D")</f>
        <v>55579</v>
      </c>
      <c r="AB2338" s="92">
        <v>1.6778168804894359E-2</v>
      </c>
      <c r="AC2338" s="101">
        <v>1.6760452128412595E-2</v>
      </c>
    </row>
    <row r="2339" spans="25:29" x14ac:dyDescent="0.2">
      <c r="Y2339" s="105" t="str">
        <f t="shared" si="70"/>
        <v>1w</v>
      </c>
      <c r="Z2339" s="93">
        <f>_xll.qlCalendarAdvance(Calendar,Z2338,Y2339,"f",FALSE)</f>
        <v>55584</v>
      </c>
      <c r="AA2339" s="117">
        <f>_xll.qlCalendarAdvance(Calendar,Z2339,NDays&amp;"D")</f>
        <v>55586</v>
      </c>
      <c r="AB2339" s="92">
        <v>1.6774178196055957E-2</v>
      </c>
      <c r="AC2339" s="101">
        <v>1.6756159655768599E-2</v>
      </c>
    </row>
    <row r="2340" spans="25:29" x14ac:dyDescent="0.2">
      <c r="Y2340" s="105" t="str">
        <f t="shared" si="70"/>
        <v>1w</v>
      </c>
      <c r="Z2340" s="93">
        <f>_xll.qlCalendarAdvance(Calendar,Z2339,Y2340,"f",FALSE)</f>
        <v>55591</v>
      </c>
      <c r="AA2340" s="117">
        <f>_xll.qlCalendarAdvance(Calendar,Z2340,NDays&amp;"D")</f>
        <v>55593</v>
      </c>
      <c r="AB2340" s="92">
        <v>1.6770213615641506E-2</v>
      </c>
      <c r="AC2340" s="101">
        <v>1.6751892984858685E-2</v>
      </c>
    </row>
    <row r="2341" spans="25:29" x14ac:dyDescent="0.2">
      <c r="Y2341" s="105" t="str">
        <f t="shared" si="70"/>
        <v>1w</v>
      </c>
      <c r="Z2341" s="93">
        <f>_xll.qlCalendarAdvance(Calendar,Z2340,Y2341,"f",FALSE)</f>
        <v>55598</v>
      </c>
      <c r="AA2341" s="117">
        <f>_xll.qlCalendarAdvance(Calendar,Z2341,NDays&amp;"D")</f>
        <v>55600</v>
      </c>
      <c r="AB2341" s="92">
        <v>1.6766275063493305E-2</v>
      </c>
      <c r="AC2341" s="101">
        <v>1.6747652115656209E-2</v>
      </c>
    </row>
    <row r="2342" spans="25:29" x14ac:dyDescent="0.2">
      <c r="Y2342" s="105" t="str">
        <f t="shared" si="70"/>
        <v>1w</v>
      </c>
      <c r="Z2342" s="93">
        <f>_xll.qlCalendarAdvance(Calendar,Z2341,Y2342,"f",FALSE)</f>
        <v>55605</v>
      </c>
      <c r="AA2342" s="117">
        <f>_xll.qlCalendarAdvance(Calendar,Z2342,NDays&amp;"D")</f>
        <v>55607</v>
      </c>
      <c r="AB2342" s="92">
        <v>1.6762362539454498E-2</v>
      </c>
      <c r="AC2342" s="101">
        <v>1.6743437048241105E-2</v>
      </c>
    </row>
    <row r="2343" spans="25:29" x14ac:dyDescent="0.2">
      <c r="Y2343" s="105" t="str">
        <f t="shared" si="70"/>
        <v>1w</v>
      </c>
      <c r="Z2343" s="93">
        <f>_xll.qlCalendarAdvance(Calendar,Z2342,Y2343,"f",FALSE)</f>
        <v>55612</v>
      </c>
      <c r="AA2343" s="117">
        <f>_xll.qlCalendarAdvance(Calendar,Z2343,NDays&amp;"D")</f>
        <v>55614</v>
      </c>
      <c r="AB2343" s="92">
        <v>1.6758476043370836E-2</v>
      </c>
      <c r="AC2343" s="101">
        <v>1.673924778253344E-2</v>
      </c>
    </row>
    <row r="2344" spans="25:29" x14ac:dyDescent="0.2">
      <c r="Y2344" s="105" t="str">
        <f t="shared" si="70"/>
        <v>1w</v>
      </c>
      <c r="Z2344" s="93">
        <f>_xll.qlCalendarAdvance(Calendar,Z2343,Y2344,"f",FALSE)</f>
        <v>55619</v>
      </c>
      <c r="AA2344" s="117">
        <f>_xll.qlCalendarAdvance(Calendar,Z2344,NDays&amp;"D")</f>
        <v>55621</v>
      </c>
      <c r="AB2344" s="92">
        <v>1.6754615575085466E-2</v>
      </c>
      <c r="AC2344" s="101">
        <v>1.6735084318533211E-2</v>
      </c>
    </row>
    <row r="2345" spans="25:29" x14ac:dyDescent="0.2">
      <c r="Y2345" s="105" t="str">
        <f t="shared" si="70"/>
        <v>1w</v>
      </c>
      <c r="Z2345" s="93">
        <f>_xll.qlCalendarAdvance(Calendar,Z2344,Y2345,"f",FALSE)</f>
        <v>55626</v>
      </c>
      <c r="AA2345" s="117">
        <f>_xll.qlCalendarAdvance(Calendar,Z2345,NDays&amp;"D")</f>
        <v>55632</v>
      </c>
      <c r="AB2345" s="92">
        <v>1.6748352476621497E-2</v>
      </c>
      <c r="AC2345" s="101">
        <v>1.6728403751580245E-2</v>
      </c>
    </row>
    <row r="2346" spans="25:29" x14ac:dyDescent="0.2">
      <c r="Y2346" s="105" t="str">
        <f t="shared" si="70"/>
        <v>1w</v>
      </c>
      <c r="Z2346" s="93">
        <f>_xll.qlCalendarAdvance(Calendar,Z2345,Y2346,"f",FALSE)</f>
        <v>55633</v>
      </c>
      <c r="AA2346" s="117">
        <f>_xll.qlCalendarAdvance(Calendar,Z2346,NDays&amp;"D")</f>
        <v>55635</v>
      </c>
      <c r="AB2346" s="92">
        <v>1.6746972721301236E-2</v>
      </c>
      <c r="AC2346" s="101">
        <v>1.6726834795708356E-2</v>
      </c>
    </row>
    <row r="2347" spans="25:29" x14ac:dyDescent="0.2">
      <c r="Y2347" s="105" t="str">
        <f t="shared" si="70"/>
        <v>1w</v>
      </c>
      <c r="Z2347" s="93">
        <f>_xll.qlCalendarAdvance(Calendar,Z2346,Y2347,"f",FALSE)</f>
        <v>55641</v>
      </c>
      <c r="AA2347" s="117">
        <f>_xll.qlCalendarAdvance(Calendar,Z2347,NDays&amp;"D")</f>
        <v>55645</v>
      </c>
      <c r="AB2347" s="92">
        <v>1.6741449453801349E-2</v>
      </c>
      <c r="AC2347" s="101">
        <v>1.6720809216819177E-2</v>
      </c>
    </row>
    <row r="2348" spans="25:29" x14ac:dyDescent="0.2">
      <c r="Y2348" s="105" t="str">
        <f t="shared" si="70"/>
        <v>1w</v>
      </c>
      <c r="Z2348" s="93">
        <f>_xll.qlCalendarAdvance(Calendar,Z2347,Y2348,"f",FALSE)</f>
        <v>55648</v>
      </c>
      <c r="AA2348" s="117">
        <f>_xll.qlCalendarAdvance(Calendar,Z2348,NDays&amp;"D")</f>
        <v>55652</v>
      </c>
      <c r="AB2348" s="92">
        <v>1.6737702564082857E-2</v>
      </c>
      <c r="AC2348" s="101">
        <v>1.6716756708090585E-2</v>
      </c>
    </row>
    <row r="2349" spans="25:29" x14ac:dyDescent="0.2">
      <c r="Y2349" s="105" t="str">
        <f t="shared" si="70"/>
        <v>1w</v>
      </c>
      <c r="Z2349" s="93">
        <f>_xll.qlCalendarAdvance(Calendar,Z2348,Y2349,"f",FALSE)</f>
        <v>55655</v>
      </c>
      <c r="AA2349" s="117">
        <f>_xll.qlCalendarAdvance(Calendar,Z2349,NDays&amp;"D")</f>
        <v>55659</v>
      </c>
      <c r="AB2349" s="92">
        <v>1.6733981700109399E-2</v>
      </c>
      <c r="AC2349" s="101">
        <v>1.6712729998484832E-2</v>
      </c>
    </row>
    <row r="2350" spans="25:29" x14ac:dyDescent="0.2">
      <c r="Y2350" s="105" t="str">
        <f t="shared" si="70"/>
        <v>1w</v>
      </c>
      <c r="Z2350" s="93">
        <f>_xll.qlCalendarAdvance(Calendar,Z2349,Y2350,"f",FALSE)</f>
        <v>55662</v>
      </c>
      <c r="AA2350" s="117">
        <f>_xll.qlCalendarAdvance(Calendar,Z2350,NDays&amp;"D")</f>
        <v>55666</v>
      </c>
      <c r="AB2350" s="92">
        <v>1.673028686173458E-2</v>
      </c>
      <c r="AC2350" s="101">
        <v>1.6708729088081853E-2</v>
      </c>
    </row>
    <row r="2351" spans="25:29" x14ac:dyDescent="0.2">
      <c r="Y2351" s="105" t="str">
        <f t="shared" si="70"/>
        <v>1w</v>
      </c>
      <c r="Z2351" s="93">
        <f>_xll.qlCalendarAdvance(Calendar,Z2350,Y2351,"f",FALSE)</f>
        <v>55669</v>
      </c>
      <c r="AA2351" s="117">
        <f>_xll.qlCalendarAdvance(Calendar,Z2351,NDays&amp;"D")</f>
        <v>55673</v>
      </c>
      <c r="AB2351" s="92">
        <v>1.672648363798775E-2</v>
      </c>
      <c r="AC2351" s="101">
        <v>1.670475397704152E-2</v>
      </c>
    </row>
    <row r="2352" spans="25:29" x14ac:dyDescent="0.2">
      <c r="Y2352" s="105" t="str">
        <f t="shared" si="70"/>
        <v>1w</v>
      </c>
      <c r="Z2352" s="93">
        <f>_xll.qlCalendarAdvance(Calendar,Z2351,Y2352,"f",FALSE)</f>
        <v>55676</v>
      </c>
      <c r="AA2352" s="117">
        <f>_xll.qlCalendarAdvance(Calendar,Z2352,NDays&amp;"D")</f>
        <v>55680</v>
      </c>
      <c r="AB2352" s="92">
        <v>1.6722839160042528E-2</v>
      </c>
      <c r="AC2352" s="101">
        <v>1.6700804665124025E-2</v>
      </c>
    </row>
    <row r="2353" spans="25:29" x14ac:dyDescent="0.2">
      <c r="Y2353" s="105" t="str">
        <f t="shared" si="70"/>
        <v>1w</v>
      </c>
      <c r="Z2353" s="93">
        <f>_xll.qlCalendarAdvance(Calendar,Z2352,Y2353,"f",FALSE)</f>
        <v>55683</v>
      </c>
      <c r="AA2353" s="117">
        <f>_xll.qlCalendarAdvance(Calendar,Z2353,NDays&amp;"D")</f>
        <v>55687</v>
      </c>
      <c r="AB2353" s="92">
        <v>1.6719220706030914E-2</v>
      </c>
      <c r="AC2353" s="101">
        <v>1.6696881152569176E-2</v>
      </c>
    </row>
    <row r="2354" spans="25:29" x14ac:dyDescent="0.2">
      <c r="Y2354" s="105" t="str">
        <f t="shared" si="70"/>
        <v>1w</v>
      </c>
      <c r="Z2354" s="93">
        <f>_xll.qlCalendarAdvance(Calendar,Z2353,Y2354,"f",FALSE)</f>
        <v>55690</v>
      </c>
      <c r="AA2354" s="117">
        <f>_xll.qlCalendarAdvance(Calendar,Z2354,NDays&amp;"D")</f>
        <v>55694</v>
      </c>
      <c r="AB2354" s="92">
        <v>1.6715628275808761E-2</v>
      </c>
      <c r="AC2354" s="101">
        <v>1.6692983438977294E-2</v>
      </c>
    </row>
    <row r="2355" spans="25:29" x14ac:dyDescent="0.2">
      <c r="Y2355" s="105" t="str">
        <f t="shared" si="70"/>
        <v>1w</v>
      </c>
      <c r="Z2355" s="93">
        <f>_xll.qlCalendarAdvance(Calendar,Z2354,Y2355,"f",FALSE)</f>
        <v>55697</v>
      </c>
      <c r="AA2355" s="117">
        <f>_xll.qlCalendarAdvance(Calendar,Z2355,NDays&amp;"D")</f>
        <v>55701</v>
      </c>
      <c r="AB2355" s="92">
        <v>1.6712344394527852E-2</v>
      </c>
      <c r="AC2355" s="101">
        <v>1.6689111524827993E-2</v>
      </c>
    </row>
    <row r="2356" spans="25:29" x14ac:dyDescent="0.2">
      <c r="Y2356" s="105" t="str">
        <f t="shared" si="70"/>
        <v>1w</v>
      </c>
      <c r="Z2356" s="93">
        <f>_xll.qlCalendarAdvance(Calendar,Z2355,Y2356,"f",FALSE)</f>
        <v>55704</v>
      </c>
      <c r="AA2356" s="117">
        <f>_xll.qlCalendarAdvance(Calendar,Z2356,NDays&amp;"D")</f>
        <v>55708</v>
      </c>
      <c r="AB2356" s="92">
        <v>1.6708664360936036E-2</v>
      </c>
      <c r="AC2356" s="101">
        <v>1.6685265409881467E-2</v>
      </c>
    </row>
    <row r="2357" spans="25:29" x14ac:dyDescent="0.2">
      <c r="Y2357" s="105" t="str">
        <f t="shared" si="70"/>
        <v>1w</v>
      </c>
      <c r="Z2357" s="93">
        <f>_xll.qlCalendarAdvance(Calendar,Z2356,Y2357,"f",FALSE)</f>
        <v>55711</v>
      </c>
      <c r="AA2357" s="117">
        <f>_xll.qlCalendarAdvance(Calendar,Z2357,NDays&amp;"D")</f>
        <v>55715</v>
      </c>
      <c r="AB2357" s="92">
        <v>1.670515169771444E-2</v>
      </c>
      <c r="AC2357" s="101">
        <v>1.6681445094137715E-2</v>
      </c>
    </row>
    <row r="2358" spans="25:29" x14ac:dyDescent="0.2">
      <c r="Y2358" s="105" t="str">
        <f t="shared" si="70"/>
        <v>1w</v>
      </c>
      <c r="Z2358" s="93">
        <f>_xll.qlCalendarAdvance(Calendar,Z2357,Y2358,"f",FALSE)</f>
        <v>55718</v>
      </c>
      <c r="AA2358" s="117">
        <f>_xll.qlCalendarAdvance(Calendar,Z2358,NDays&amp;"D")</f>
        <v>55722</v>
      </c>
      <c r="AB2358" s="92">
        <v>1.6701665058950647E-2</v>
      </c>
      <c r="AC2358" s="101">
        <v>1.66776505775168E-2</v>
      </c>
    </row>
    <row r="2359" spans="25:29" x14ac:dyDescent="0.2">
      <c r="Y2359" s="105" t="str">
        <f t="shared" si="70"/>
        <v>1w</v>
      </c>
      <c r="Z2359" s="93">
        <f>_xll.qlCalendarAdvance(Calendar,Z2358,Y2359,"f",FALSE)</f>
        <v>55725</v>
      </c>
      <c r="AA2359" s="117">
        <f>_xll.qlCalendarAdvance(Calendar,Z2359,NDays&amp;"D")</f>
        <v>55729</v>
      </c>
      <c r="AB2359" s="92">
        <v>1.6698204444506076E-2</v>
      </c>
      <c r="AC2359" s="101">
        <v>1.667388186009866E-2</v>
      </c>
    </row>
    <row r="2360" spans="25:29" x14ac:dyDescent="0.2">
      <c r="Y2360" s="105" t="str">
        <f t="shared" si="70"/>
        <v>1w</v>
      </c>
      <c r="Z2360" s="93">
        <f>_xll.qlCalendarAdvance(Calendar,Z2359,Y2360,"f",FALSE)</f>
        <v>55732</v>
      </c>
      <c r="AA2360" s="117">
        <f>_xll.qlCalendarAdvance(Calendar,Z2360,NDays&amp;"D")</f>
        <v>55736</v>
      </c>
      <c r="AB2360" s="92">
        <v>1.6694769854244746E-2</v>
      </c>
      <c r="AC2360" s="101">
        <v>1.6670138942043167E-2</v>
      </c>
    </row>
    <row r="2361" spans="25:29" x14ac:dyDescent="0.2">
      <c r="Y2361" s="105" t="str">
        <f t="shared" si="70"/>
        <v>1w</v>
      </c>
      <c r="Z2361" s="93">
        <f>_xll.qlCalendarAdvance(Calendar,Z2360,Y2361,"f",FALSE)</f>
        <v>55739</v>
      </c>
      <c r="AA2361" s="117">
        <f>_xll.qlCalendarAdvance(Calendar,Z2361,NDays&amp;"D")</f>
        <v>55743</v>
      </c>
      <c r="AB2361" s="92">
        <v>1.6691361288031118E-2</v>
      </c>
      <c r="AC2361" s="101">
        <v>1.6666421823270383E-2</v>
      </c>
    </row>
    <row r="2362" spans="25:29" x14ac:dyDescent="0.2">
      <c r="Y2362" s="105" t="str">
        <f t="shared" si="70"/>
        <v>1w</v>
      </c>
      <c r="Z2362" s="93">
        <f>_xll.qlCalendarAdvance(Calendar,Z2361,Y2362,"f",FALSE)</f>
        <v>55746</v>
      </c>
      <c r="AA2362" s="117">
        <f>_xll.qlCalendarAdvance(Calendar,Z2362,NDays&amp;"D")</f>
        <v>55750</v>
      </c>
      <c r="AB2362" s="92">
        <v>1.668797874572921E-2</v>
      </c>
      <c r="AC2362" s="101">
        <v>1.6662730503540502E-2</v>
      </c>
    </row>
    <row r="2363" spans="25:29" x14ac:dyDescent="0.2">
      <c r="Y2363" s="105" t="str">
        <f t="shared" si="70"/>
        <v>1w</v>
      </c>
      <c r="Z2363" s="93">
        <f>_xll.qlCalendarAdvance(Calendar,Z2362,Y2363,"f",FALSE)</f>
        <v>55753</v>
      </c>
      <c r="AA2363" s="117">
        <f>_xll.qlCalendarAdvance(Calendar,Z2363,NDays&amp;"D")</f>
        <v>55757</v>
      </c>
      <c r="AB2363" s="92">
        <v>1.6684622227205653E-2</v>
      </c>
      <c r="AC2363" s="101">
        <v>1.6659064983013394E-2</v>
      </c>
    </row>
    <row r="2364" spans="25:29" x14ac:dyDescent="0.2">
      <c r="Y2364" s="105" t="str">
        <f t="shared" si="70"/>
        <v>1w</v>
      </c>
      <c r="Z2364" s="93">
        <f>_xll.qlCalendarAdvance(Calendar,Z2363,Y2364,"f",FALSE)</f>
        <v>55760</v>
      </c>
      <c r="AA2364" s="117">
        <f>_xll.qlCalendarAdvance(Calendar,Z2364,NDays&amp;"D")</f>
        <v>55764</v>
      </c>
      <c r="AB2364" s="92">
        <v>1.6680978938378888E-2</v>
      </c>
      <c r="AC2364" s="101">
        <v>1.6655425261689061E-2</v>
      </c>
    </row>
    <row r="2365" spans="25:29" x14ac:dyDescent="0.2">
      <c r="Y2365" s="105" t="str">
        <f t="shared" si="70"/>
        <v>1w</v>
      </c>
      <c r="Z2365" s="93">
        <f>_xll.qlCalendarAdvance(Calendar,Z2364,Y2365,"f",FALSE)</f>
        <v>55767</v>
      </c>
      <c r="AA2365" s="117">
        <f>_xll.qlCalendarAdvance(Calendar,Z2365,NDays&amp;"D")</f>
        <v>55771</v>
      </c>
      <c r="AB2365" s="92">
        <v>1.6677671054651514E-2</v>
      </c>
      <c r="AC2365" s="101">
        <v>1.6651811339647438E-2</v>
      </c>
    </row>
    <row r="2366" spans="25:29" x14ac:dyDescent="0.2">
      <c r="Y2366" s="105" t="str">
        <f t="shared" si="70"/>
        <v>1w</v>
      </c>
      <c r="Z2366" s="93">
        <f>_xll.qlCalendarAdvance(Calendar,Z2365,Y2366,"f",FALSE)</f>
        <v>55774</v>
      </c>
      <c r="AA2366" s="117">
        <f>_xll.qlCalendarAdvance(Calendar,Z2366,NDays&amp;"D")</f>
        <v>55778</v>
      </c>
      <c r="AB2366" s="92">
        <v>1.6674389191866906E-2</v>
      </c>
      <c r="AC2366" s="101">
        <v>1.6648223216808589E-2</v>
      </c>
    </row>
    <row r="2367" spans="25:29" x14ac:dyDescent="0.2">
      <c r="Y2367" s="105" t="str">
        <f t="shared" si="70"/>
        <v>1w</v>
      </c>
      <c r="Z2367" s="93">
        <f>_xll.qlCalendarAdvance(Calendar,Z2366,Y2367,"f",FALSE)</f>
        <v>55781</v>
      </c>
      <c r="AA2367" s="117">
        <f>_xll.qlCalendarAdvance(Calendar,Z2367,NDays&amp;"D")</f>
        <v>55785</v>
      </c>
      <c r="AB2367" s="92">
        <v>1.6671133349893296E-2</v>
      </c>
      <c r="AC2367" s="101">
        <v>1.6644660893172514E-2</v>
      </c>
    </row>
    <row r="2368" spans="25:29" x14ac:dyDescent="0.2">
      <c r="Y2368" s="105" t="str">
        <f t="shared" si="70"/>
        <v>1w</v>
      </c>
      <c r="Z2368" s="93">
        <f>_xll.qlCalendarAdvance(Calendar,Z2367,Y2368,"f",FALSE)</f>
        <v>55788</v>
      </c>
      <c r="AA2368" s="117">
        <f>_xll.qlCalendarAdvance(Calendar,Z2368,NDays&amp;"D")</f>
        <v>55792</v>
      </c>
      <c r="AB2368" s="92">
        <v>1.6667903528605074E-2</v>
      </c>
      <c r="AC2368" s="101">
        <v>1.6641124368899085E-2</v>
      </c>
    </row>
    <row r="2369" spans="25:29" x14ac:dyDescent="0.2">
      <c r="Y2369" s="105" t="str">
        <f t="shared" si="70"/>
        <v>1w</v>
      </c>
      <c r="Z2369" s="93">
        <f>_xll.qlCalendarAdvance(Calendar,Z2368,Y2369,"f",FALSE)</f>
        <v>55795</v>
      </c>
      <c r="AA2369" s="117">
        <f>_xll.qlCalendarAdvance(Calendar,Z2369,NDays&amp;"D")</f>
        <v>55799</v>
      </c>
      <c r="AB2369" s="92">
        <v>1.6664864583670599E-2</v>
      </c>
      <c r="AC2369" s="101">
        <v>1.6637613643668558E-2</v>
      </c>
    </row>
    <row r="2370" spans="25:29" x14ac:dyDescent="0.2">
      <c r="Y2370" s="105" t="str">
        <f t="shared" si="70"/>
        <v>1w</v>
      </c>
      <c r="Z2370" s="93">
        <f>_xll.qlCalendarAdvance(Calendar,Z2369,Y2370,"f",FALSE)</f>
        <v>55802</v>
      </c>
      <c r="AA2370" s="117">
        <f>_xll.qlCalendarAdvance(Calendar,Z2370,NDays&amp;"D")</f>
        <v>55806</v>
      </c>
      <c r="AB2370" s="92">
        <v>1.6661521947578382E-2</v>
      </c>
      <c r="AC2370" s="101">
        <v>1.663412871756087E-2</v>
      </c>
    </row>
    <row r="2371" spans="25:29" x14ac:dyDescent="0.2">
      <c r="Y2371" s="105" t="str">
        <f t="shared" si="70"/>
        <v>1w</v>
      </c>
      <c r="Z2371" s="93">
        <f>_xll.qlCalendarAdvance(Calendar,Z2370,Y2371,"f",FALSE)</f>
        <v>55809</v>
      </c>
      <c r="AA2371" s="117">
        <f>_xll.qlCalendarAdvance(Calendar,Z2371,NDays&amp;"D")</f>
        <v>55813</v>
      </c>
      <c r="AB2371" s="92">
        <v>1.665837018759132E-2</v>
      </c>
      <c r="AC2371" s="101">
        <v>1.66306695909757E-2</v>
      </c>
    </row>
    <row r="2372" spans="25:29" x14ac:dyDescent="0.2">
      <c r="Y2372" s="105" t="str">
        <f t="shared" si="70"/>
        <v>1w</v>
      </c>
      <c r="Z2372" s="93">
        <f>_xll.qlCalendarAdvance(Calendar,Z2371,Y2372,"f",FALSE)</f>
        <v>55816</v>
      </c>
      <c r="AA2372" s="117">
        <f>_xll.qlCalendarAdvance(Calendar,Z2372,NDays&amp;"D")</f>
        <v>55820</v>
      </c>
      <c r="AB2372" s="92">
        <v>1.6655244447788507E-2</v>
      </c>
      <c r="AC2372" s="101">
        <v>1.6627236263193623E-2</v>
      </c>
    </row>
    <row r="2373" spans="25:29" x14ac:dyDescent="0.2">
      <c r="Y2373" s="105" t="str">
        <f t="shared" si="70"/>
        <v>1w</v>
      </c>
      <c r="Z2373" s="93">
        <f>_xll.qlCalendarAdvance(Calendar,Z2372,Y2373,"f",FALSE)</f>
        <v>55823</v>
      </c>
      <c r="AA2373" s="117">
        <f>_xll.qlCalendarAdvance(Calendar,Z2373,NDays&amp;"D")</f>
        <v>55827</v>
      </c>
      <c r="AB2373" s="92">
        <v>1.6652144728050038E-2</v>
      </c>
      <c r="AC2373" s="101">
        <v>1.6623828734934065E-2</v>
      </c>
    </row>
    <row r="2374" spans="25:29" x14ac:dyDescent="0.2">
      <c r="Y2374" s="105" t="str">
        <f t="shared" si="70"/>
        <v>1w</v>
      </c>
      <c r="Z2374" s="93">
        <f>_xll.qlCalendarAdvance(Calendar,Z2373,Y2374,"f",FALSE)</f>
        <v>55830</v>
      </c>
      <c r="AA2374" s="117">
        <f>_xll.qlCalendarAdvance(Calendar,Z2374,NDays&amp;"D")</f>
        <v>55834</v>
      </c>
      <c r="AB2374" s="92">
        <v>1.6649071028252936E-2</v>
      </c>
      <c r="AC2374" s="101">
        <v>1.6620447005717409E-2</v>
      </c>
    </row>
    <row r="2375" spans="25:29" x14ac:dyDescent="0.2">
      <c r="Y2375" s="105" t="str">
        <f t="shared" si="70"/>
        <v>1w</v>
      </c>
      <c r="Z2375" s="93">
        <f>_xll.qlCalendarAdvance(Calendar,Z2374,Y2375,"f",FALSE)</f>
        <v>55837</v>
      </c>
      <c r="AA2375" s="117">
        <f>_xll.qlCalendarAdvance(Calendar,Z2375,NDays&amp;"D")</f>
        <v>55841</v>
      </c>
      <c r="AB2375" s="92">
        <v>1.6646023348277295E-2</v>
      </c>
      <c r="AC2375" s="101">
        <v>1.6617091075783463E-2</v>
      </c>
    </row>
    <row r="2376" spans="25:29" x14ac:dyDescent="0.2">
      <c r="Y2376" s="105" t="str">
        <f t="shared" si="70"/>
        <v>1w</v>
      </c>
      <c r="Z2376" s="93">
        <f>_xll.qlCalendarAdvance(Calendar,Z2375,Y2376,"f",FALSE)</f>
        <v>55844</v>
      </c>
      <c r="AA2376" s="117">
        <f>_xll.qlCalendarAdvance(Calendar,Z2376,NDays&amp;"D")</f>
        <v>55848</v>
      </c>
      <c r="AB2376" s="92">
        <v>1.6643001688005407E-2</v>
      </c>
      <c r="AC2376" s="101">
        <v>1.6613760945052292E-2</v>
      </c>
    </row>
    <row r="2377" spans="25:29" x14ac:dyDescent="0.2">
      <c r="Y2377" s="105" t="str">
        <f t="shared" si="70"/>
        <v>1w</v>
      </c>
      <c r="Z2377" s="93">
        <f>_xll.qlCalendarAdvance(Calendar,Z2376,Y2377,"f",FALSE)</f>
        <v>55851</v>
      </c>
      <c r="AA2377" s="117">
        <f>_xll.qlCalendarAdvance(Calendar,Z2377,NDays&amp;"D")</f>
        <v>55855</v>
      </c>
      <c r="AB2377" s="92">
        <v>1.6640006047316056E-2</v>
      </c>
      <c r="AC2377" s="101">
        <v>1.6610456613364022E-2</v>
      </c>
    </row>
    <row r="2378" spans="25:29" x14ac:dyDescent="0.2">
      <c r="Y2378" s="105" t="str">
        <f t="shared" si="70"/>
        <v>1w</v>
      </c>
      <c r="Z2378" s="93">
        <f>_xll.qlCalendarAdvance(Calendar,Z2377,Y2378,"f",FALSE)</f>
        <v>55858</v>
      </c>
      <c r="AA2378" s="117">
        <f>_xll.qlCalendarAdvance(Calendar,Z2378,NDays&amp;"D")</f>
        <v>55862</v>
      </c>
      <c r="AB2378" s="92">
        <v>1.6637036426094601E-2</v>
      </c>
      <c r="AC2378" s="101">
        <v>1.6607178081038398E-2</v>
      </c>
    </row>
    <row r="2379" spans="25:29" x14ac:dyDescent="0.2">
      <c r="Y2379" s="105" t="str">
        <f t="shared" si="70"/>
        <v>1w</v>
      </c>
      <c r="Z2379" s="93">
        <f>_xll.qlCalendarAdvance(Calendar,Z2378,Y2379,"f",FALSE)</f>
        <v>55865</v>
      </c>
      <c r="AA2379" s="117">
        <f>_xll.qlCalendarAdvance(Calendar,Z2379,NDays&amp;"D")</f>
        <v>55869</v>
      </c>
      <c r="AB2379" s="92">
        <v>1.6634092824223776E-2</v>
      </c>
      <c r="AC2379" s="101">
        <v>1.6603925347995485E-2</v>
      </c>
    </row>
    <row r="2380" spans="25:29" x14ac:dyDescent="0.2">
      <c r="Y2380" s="105" t="str">
        <f t="shared" si="70"/>
        <v>1w</v>
      </c>
      <c r="Z2380" s="93">
        <f>_xll.qlCalendarAdvance(Calendar,Z2379,Y2380,"f",FALSE)</f>
        <v>55872</v>
      </c>
      <c r="AA2380" s="117">
        <f>_xll.qlCalendarAdvance(Calendar,Z2380,NDays&amp;"D")</f>
        <v>55876</v>
      </c>
      <c r="AB2380" s="92">
        <v>1.6631175241588948E-2</v>
      </c>
      <c r="AC2380" s="101">
        <v>1.660069841407541E-2</v>
      </c>
    </row>
    <row r="2381" spans="25:29" x14ac:dyDescent="0.2">
      <c r="Y2381" s="105" t="str">
        <f t="shared" si="70"/>
        <v>1w</v>
      </c>
      <c r="Z2381" s="93">
        <f>_xll.qlCalendarAdvance(Calendar,Z2380,Y2381,"f",FALSE)</f>
        <v>55880</v>
      </c>
      <c r="AA2381" s="117">
        <f>_xll.qlCalendarAdvance(Calendar,Z2381,NDays&amp;"D")</f>
        <v>55884</v>
      </c>
      <c r="AB2381" s="92">
        <v>1.6627687163142162E-2</v>
      </c>
      <c r="AC2381" s="101">
        <v>1.6597197319581092E-2</v>
      </c>
    </row>
    <row r="2382" spans="25:29" x14ac:dyDescent="0.2">
      <c r="Y2382" s="105" t="str">
        <f t="shared" si="70"/>
        <v>1w</v>
      </c>
      <c r="Z2382" s="93">
        <f>_xll.qlCalendarAdvance(Calendar,Z2381,Y2382,"f",FALSE)</f>
        <v>55887</v>
      </c>
      <c r="AA2382" s="117">
        <f>_xll.qlCalendarAdvance(Calendar,Z2382,NDays&amp;"D")</f>
        <v>55891</v>
      </c>
      <c r="AB2382" s="92">
        <v>1.6624823608848146E-2</v>
      </c>
      <c r="AC2382" s="101">
        <v>1.6593870430376967E-2</v>
      </c>
    </row>
    <row r="2383" spans="25:29" x14ac:dyDescent="0.2">
      <c r="Y2383" s="105" t="str">
        <f t="shared" si="70"/>
        <v>1w</v>
      </c>
      <c r="Z2383" s="93">
        <f>_xll.qlCalendarAdvance(Calendar,Z2382,Y2383,"f",FALSE)</f>
        <v>55894</v>
      </c>
      <c r="AA2383" s="117">
        <f>_xll.qlCalendarAdvance(Calendar,Z2383,NDays&amp;"D")</f>
        <v>55898</v>
      </c>
      <c r="AB2383" s="92">
        <v>1.6621986072223472E-2</v>
      </c>
      <c r="AC2383" s="101">
        <v>1.6590724579597094E-2</v>
      </c>
    </row>
    <row r="2384" spans="25:29" x14ac:dyDescent="0.2">
      <c r="Y2384" s="105" t="str">
        <f t="shared" si="70"/>
        <v>1w</v>
      </c>
      <c r="Z2384" s="93">
        <f>_xll.qlCalendarAdvance(Calendar,Z2383,Y2384,"f",FALSE)</f>
        <v>55901</v>
      </c>
      <c r="AA2384" s="117">
        <f>_xll.qlCalendarAdvance(Calendar,Z2384,NDays&amp;"D")</f>
        <v>55905</v>
      </c>
      <c r="AB2384" s="92">
        <v>1.6619174553157295E-2</v>
      </c>
      <c r="AC2384" s="101">
        <v>1.6587604528099931E-2</v>
      </c>
    </row>
    <row r="2385" spans="25:29" x14ac:dyDescent="0.2">
      <c r="Y2385" s="105" t="str">
        <f t="shared" si="70"/>
        <v>1w</v>
      </c>
      <c r="Z2385" s="93">
        <f>_xll.qlCalendarAdvance(Calendar,Z2384,Y2385,"f",FALSE)</f>
        <v>55908</v>
      </c>
      <c r="AA2385" s="117">
        <f>_xll.qlCalendarAdvance(Calendar,Z2385,NDays&amp;"D")</f>
        <v>55912</v>
      </c>
      <c r="AB2385" s="92">
        <v>1.6616389051540968E-2</v>
      </c>
      <c r="AC2385" s="101">
        <v>1.6584510275885478E-2</v>
      </c>
    </row>
    <row r="2386" spans="25:29" x14ac:dyDescent="0.2">
      <c r="Y2386" s="105" t="str">
        <f t="shared" si="70"/>
        <v>1w</v>
      </c>
      <c r="Z2386" s="93">
        <f>_xll.qlCalendarAdvance(Calendar,Z2385,Y2386,"f",FALSE)</f>
        <v>55915</v>
      </c>
      <c r="AA2386" s="117">
        <f>_xll.qlCalendarAdvance(Calendar,Z2386,NDays&amp;"D")</f>
        <v>55919</v>
      </c>
      <c r="AB2386" s="92">
        <v>1.661362956726541E-2</v>
      </c>
      <c r="AC2386" s="101">
        <v>1.6581441822633991E-2</v>
      </c>
    </row>
    <row r="2387" spans="25:29" x14ac:dyDescent="0.2">
      <c r="Y2387" s="105" t="str">
        <f t="shared" si="70"/>
        <v>1w</v>
      </c>
      <c r="Z2387" s="93">
        <f>_xll.qlCalendarAdvance(Calendar,Z2386,Y2387,"f",FALSE)</f>
        <v>55922</v>
      </c>
      <c r="AA2387" s="117">
        <f>_xll.qlCalendarAdvance(Calendar,Z2387,NDays&amp;"D")</f>
        <v>55926</v>
      </c>
      <c r="AB2387" s="92">
        <v>1.6610896100223746E-2</v>
      </c>
      <c r="AC2387" s="101">
        <v>1.657839916874515E-2</v>
      </c>
    </row>
    <row r="2388" spans="25:29" x14ac:dyDescent="0.2">
      <c r="Y2388" s="105" t="str">
        <f t="shared" si="70"/>
        <v>1w</v>
      </c>
      <c r="Z2388" s="93">
        <f>_xll.qlCalendarAdvance(Calendar,Z2387,Y2388,"f",FALSE)</f>
        <v>55929</v>
      </c>
      <c r="AA2388" s="117">
        <f>_xll.qlCalendarAdvance(Calendar,Z2388,NDays&amp;"D")</f>
        <v>55933</v>
      </c>
      <c r="AB2388" s="92">
        <v>1.6608188650308654E-2</v>
      </c>
      <c r="AC2388" s="101">
        <v>1.6575382313979148E-2</v>
      </c>
    </row>
    <row r="2389" spans="25:29" x14ac:dyDescent="0.2">
      <c r="Y2389" s="105" t="str">
        <f t="shared" ref="Y2389:Y2452" si="71">Y2388</f>
        <v>1w</v>
      </c>
      <c r="Z2389" s="93">
        <f>_xll.qlCalendarAdvance(Calendar,Z2388,Y2389,"f",FALSE)</f>
        <v>55936</v>
      </c>
      <c r="AA2389" s="117">
        <f>_xll.qlCalendarAdvance(Calendar,Z2389,NDays&amp;"D")</f>
        <v>55940</v>
      </c>
      <c r="AB2389" s="92">
        <v>1.6605507217416351E-2</v>
      </c>
      <c r="AC2389" s="101">
        <v>1.6572391258415919E-2</v>
      </c>
    </row>
    <row r="2390" spans="25:29" x14ac:dyDescent="0.2">
      <c r="Y2390" s="105" t="str">
        <f t="shared" si="71"/>
        <v>1w</v>
      </c>
      <c r="Z2390" s="93">
        <f>_xll.qlCalendarAdvance(Calendar,Z2389,Y2390,"f",FALSE)</f>
        <v>55943</v>
      </c>
      <c r="AA2390" s="117">
        <f>_xll.qlCalendarAdvance(Calendar,Z2390,NDays&amp;"D")</f>
        <v>55947</v>
      </c>
      <c r="AB2390" s="92">
        <v>1.6603455746792346E-2</v>
      </c>
      <c r="AC2390" s="101">
        <v>1.6569426002055465E-2</v>
      </c>
    </row>
    <row r="2391" spans="25:29" x14ac:dyDescent="0.2">
      <c r="Y2391" s="105" t="str">
        <f t="shared" si="71"/>
        <v>1w</v>
      </c>
      <c r="Z2391" s="93">
        <f>_xll.qlCalendarAdvance(Calendar,Z2390,Y2391,"f",FALSE)</f>
        <v>55950</v>
      </c>
      <c r="AA2391" s="117">
        <f>_xll.qlCalendarAdvance(Calendar,Z2391,NDays&amp;"D")</f>
        <v>55954</v>
      </c>
      <c r="AB2391" s="92">
        <v>1.6600831561114891E-2</v>
      </c>
      <c r="AC2391" s="101">
        <v>1.6566486544897785E-2</v>
      </c>
    </row>
    <row r="2392" spans="25:29" x14ac:dyDescent="0.2">
      <c r="Y2392" s="105" t="str">
        <f t="shared" si="71"/>
        <v>1w</v>
      </c>
      <c r="Z2392" s="93">
        <f>_xll.qlCalendarAdvance(Calendar,Z2391,Y2392,"f",FALSE)</f>
        <v>55957</v>
      </c>
      <c r="AA2392" s="117">
        <f>_xll.qlCalendarAdvance(Calendar,Z2392,NDays&amp;"D")</f>
        <v>55961</v>
      </c>
      <c r="AB2392" s="92">
        <v>1.659823339576811E-2</v>
      </c>
      <c r="AC2392" s="101">
        <v>1.6563572886862943E-2</v>
      </c>
    </row>
    <row r="2393" spans="25:29" x14ac:dyDescent="0.2">
      <c r="Y2393" s="105" t="str">
        <f t="shared" si="71"/>
        <v>1w</v>
      </c>
      <c r="Z2393" s="93">
        <f>_xll.qlCalendarAdvance(Calendar,Z2392,Y2393,"f",FALSE)</f>
        <v>55964</v>
      </c>
      <c r="AA2393" s="117">
        <f>_xll.qlCalendarAdvance(Calendar,Z2393,NDays&amp;"D")</f>
        <v>55968</v>
      </c>
      <c r="AB2393" s="92">
        <v>1.6595661250649912E-2</v>
      </c>
      <c r="AC2393" s="101">
        <v>1.6560685028110811E-2</v>
      </c>
    </row>
    <row r="2394" spans="25:29" x14ac:dyDescent="0.2">
      <c r="Y2394" s="105" t="str">
        <f t="shared" si="71"/>
        <v>1w</v>
      </c>
      <c r="Z2394" s="93">
        <f>_xll.qlCalendarAdvance(Calendar,Z2393,Y2394,"f",FALSE)</f>
        <v>55971</v>
      </c>
      <c r="AA2394" s="117">
        <f>_xll.qlCalendarAdvance(Calendar,Z2394,NDays&amp;"D")</f>
        <v>55975</v>
      </c>
      <c r="AB2394" s="92">
        <v>1.6592906679211102E-2</v>
      </c>
      <c r="AC2394" s="101">
        <v>1.6557822968481517E-2</v>
      </c>
    </row>
    <row r="2395" spans="25:29" x14ac:dyDescent="0.2">
      <c r="Y2395" s="105" t="str">
        <f t="shared" si="71"/>
        <v>1w</v>
      </c>
      <c r="Z2395" s="93">
        <f>_xll.qlCalendarAdvance(Calendar,Z2394,Y2395,"f",FALSE)</f>
        <v>55982</v>
      </c>
      <c r="AA2395" s="117">
        <f>_xll.qlCalendarAdvance(Calendar,Z2395,NDays&amp;"D")</f>
        <v>55984</v>
      </c>
      <c r="AB2395" s="92">
        <v>1.6589669082442061E-2</v>
      </c>
      <c r="AC2395" s="101">
        <v>1.6554181086645414E-2</v>
      </c>
    </row>
    <row r="2396" spans="25:29" x14ac:dyDescent="0.2">
      <c r="Y2396" s="105" t="str">
        <f t="shared" si="71"/>
        <v>1w</v>
      </c>
      <c r="Z2396" s="93">
        <f>_xll.qlCalendarAdvance(Calendar,Z2395,Y2396,"f",FALSE)</f>
        <v>55989</v>
      </c>
      <c r="AA2396" s="117">
        <f>_xll.qlCalendarAdvance(Calendar,Z2396,NDays&amp;"D")</f>
        <v>55991</v>
      </c>
      <c r="AB2396" s="92">
        <v>1.6587180687282189E-2</v>
      </c>
      <c r="AC2396" s="101">
        <v>1.6551377996565364E-2</v>
      </c>
    </row>
    <row r="2397" spans="25:29" x14ac:dyDescent="0.2">
      <c r="Y2397" s="105" t="str">
        <f t="shared" si="71"/>
        <v>1w</v>
      </c>
      <c r="Z2397" s="93">
        <f>_xll.qlCalendarAdvance(Calendar,Z2396,Y2397,"f",FALSE)</f>
        <v>55996</v>
      </c>
      <c r="AA2397" s="117">
        <f>_xll.qlCalendarAdvance(Calendar,Z2397,NDays&amp;"D")</f>
        <v>55998</v>
      </c>
      <c r="AB2397" s="92">
        <v>1.6584718310717683E-2</v>
      </c>
      <c r="AC2397" s="101">
        <v>1.6548600705768024E-2</v>
      </c>
    </row>
    <row r="2398" spans="25:29" x14ac:dyDescent="0.2">
      <c r="Y2398" s="105" t="str">
        <f t="shared" si="71"/>
        <v>1w</v>
      </c>
      <c r="Z2398" s="93">
        <f>_xll.qlCalendarAdvance(Calendar,Z2397,Y2398,"f",FALSE)</f>
        <v>56003</v>
      </c>
      <c r="AA2398" s="117">
        <f>_xll.qlCalendarAdvance(Calendar,Z2398,NDays&amp;"D")</f>
        <v>56006</v>
      </c>
      <c r="AB2398" s="92">
        <v>1.6582368546570071E-2</v>
      </c>
      <c r="AC2398" s="101">
        <v>1.6545828386327344E-2</v>
      </c>
    </row>
    <row r="2399" spans="25:29" x14ac:dyDescent="0.2">
      <c r="Y2399" s="105" t="str">
        <f t="shared" si="71"/>
        <v>1w</v>
      </c>
      <c r="Z2399" s="93">
        <f>_xll.qlCalendarAdvance(Calendar,Z2398,Y2399,"f",FALSE)</f>
        <v>56010</v>
      </c>
      <c r="AA2399" s="117">
        <f>_xll.qlCalendarAdvance(Calendar,Z2399,NDays&amp;"D")</f>
        <v>56012</v>
      </c>
      <c r="AB2399" s="92">
        <v>1.6580525150466138E-2</v>
      </c>
      <c r="AC2399" s="101">
        <v>1.6543123521781666E-2</v>
      </c>
    </row>
    <row r="2400" spans="25:29" x14ac:dyDescent="0.2">
      <c r="Y2400" s="105" t="str">
        <f t="shared" si="71"/>
        <v>1w</v>
      </c>
      <c r="Z2400" s="93">
        <f>_xll.qlCalendarAdvance(Calendar,Z2399,Y2400,"f",FALSE)</f>
        <v>56017</v>
      </c>
      <c r="AA2400" s="117">
        <f>_xll.qlCalendarAdvance(Calendar,Z2400,NDays&amp;"D")</f>
        <v>56019</v>
      </c>
      <c r="AB2400" s="92">
        <v>1.6578146077148435E-2</v>
      </c>
      <c r="AC2400" s="101">
        <v>1.6540423628432777E-2</v>
      </c>
    </row>
    <row r="2401" spans="25:29" x14ac:dyDescent="0.2">
      <c r="Y2401" s="105" t="str">
        <f t="shared" si="71"/>
        <v>1w</v>
      </c>
      <c r="Z2401" s="93">
        <f>_xll.qlCalendarAdvance(Calendar,Z2400,Y2401,"f",FALSE)</f>
        <v>56024</v>
      </c>
      <c r="AA2401" s="117">
        <f>_xll.qlCalendarAdvance(Calendar,Z2401,NDays&amp;"D")</f>
        <v>56026</v>
      </c>
      <c r="AB2401" s="92">
        <v>1.6575793025651129E-2</v>
      </c>
      <c r="AC2401" s="101">
        <v>1.6537749534446533E-2</v>
      </c>
    </row>
    <row r="2402" spans="25:29" x14ac:dyDescent="0.2">
      <c r="Y2402" s="105" t="str">
        <f t="shared" si="71"/>
        <v>1w</v>
      </c>
      <c r="Z2402" s="93">
        <f>_xll.qlCalendarAdvance(Calendar,Z2401,Y2402,"f",FALSE)</f>
        <v>56031</v>
      </c>
      <c r="AA2402" s="117">
        <f>_xll.qlCalendarAdvance(Calendar,Z2402,NDays&amp;"D")</f>
        <v>56033</v>
      </c>
      <c r="AB2402" s="92">
        <v>1.6572796703474432E-2</v>
      </c>
      <c r="AC2402" s="101">
        <v>1.6535101239423255E-2</v>
      </c>
    </row>
    <row r="2403" spans="25:29" x14ac:dyDescent="0.2">
      <c r="Y2403" s="105" t="str">
        <f t="shared" si="71"/>
        <v>1w</v>
      </c>
      <c r="Z2403" s="93">
        <f>_xll.qlCalendarAdvance(Calendar,Z2402,Y2403,"f",FALSE)</f>
        <v>56038</v>
      </c>
      <c r="AA2403" s="117">
        <f>_xll.qlCalendarAdvance(Calendar,Z2403,NDays&amp;"D")</f>
        <v>56040</v>
      </c>
      <c r="AB2403" s="92">
        <v>1.6570490436484588E-2</v>
      </c>
      <c r="AC2403" s="101">
        <v>1.6532478743762624E-2</v>
      </c>
    </row>
    <row r="2404" spans="25:29" x14ac:dyDescent="0.2">
      <c r="Y2404" s="105" t="str">
        <f t="shared" si="71"/>
        <v>1w</v>
      </c>
      <c r="Z2404" s="93">
        <f>_xll.qlCalendarAdvance(Calendar,Z2403,Y2404,"f",FALSE)</f>
        <v>56045</v>
      </c>
      <c r="AA2404" s="117">
        <f>_xll.qlCalendarAdvance(Calendar,Z2404,NDays&amp;"D")</f>
        <v>56047</v>
      </c>
      <c r="AB2404" s="92">
        <v>1.6568210187434027E-2</v>
      </c>
      <c r="AC2404" s="101">
        <v>1.6529882047384703E-2</v>
      </c>
    </row>
    <row r="2405" spans="25:29" x14ac:dyDescent="0.2">
      <c r="Y2405" s="105" t="str">
        <f t="shared" si="71"/>
        <v>1w</v>
      </c>
      <c r="Z2405" s="93">
        <f>_xll.qlCalendarAdvance(Calendar,Z2404,Y2405,"f",FALSE)</f>
        <v>56052</v>
      </c>
      <c r="AA2405" s="117">
        <f>_xll.qlCalendarAdvance(Calendar,Z2405,NDays&amp;"D")</f>
        <v>56054</v>
      </c>
      <c r="AB2405" s="92">
        <v>1.656595595623276E-2</v>
      </c>
      <c r="AC2405" s="101">
        <v>1.6527311149969748E-2</v>
      </c>
    </row>
    <row r="2406" spans="25:29" x14ac:dyDescent="0.2">
      <c r="Y2406" s="105" t="str">
        <f t="shared" si="71"/>
        <v>1w</v>
      </c>
      <c r="Z2406" s="93">
        <f>_xll.qlCalendarAdvance(Calendar,Z2405,Y2406,"f",FALSE)</f>
        <v>56059</v>
      </c>
      <c r="AA2406" s="117">
        <f>_xll.qlCalendarAdvance(Calendar,Z2406,NDays&amp;"D")</f>
        <v>56061</v>
      </c>
      <c r="AB2406" s="92">
        <v>1.6564418092207364E-2</v>
      </c>
      <c r="AC2406" s="101">
        <v>1.6524766051917439E-2</v>
      </c>
    </row>
    <row r="2407" spans="25:29" x14ac:dyDescent="0.2">
      <c r="Y2407" s="105" t="str">
        <f t="shared" si="71"/>
        <v>1w</v>
      </c>
      <c r="Z2407" s="93">
        <f>_xll.qlCalendarAdvance(Calendar,Z2406,Y2407,"f",FALSE)</f>
        <v>56066</v>
      </c>
      <c r="AA2407" s="117">
        <f>_xll.qlCalendarAdvance(Calendar,Z2407,NDays&amp;"D")</f>
        <v>56068</v>
      </c>
      <c r="AB2407" s="92">
        <v>1.656222116969077E-2</v>
      </c>
      <c r="AC2407" s="101">
        <v>1.6522246752908032E-2</v>
      </c>
    </row>
    <row r="2408" spans="25:29" x14ac:dyDescent="0.2">
      <c r="Y2408" s="105" t="str">
        <f t="shared" si="71"/>
        <v>1w</v>
      </c>
      <c r="Z2408" s="93">
        <f>_xll.qlCalendarAdvance(Calendar,Z2407,Y2408,"f",FALSE)</f>
        <v>56073</v>
      </c>
      <c r="AA2408" s="117">
        <f>_xll.qlCalendarAdvance(Calendar,Z2408,NDays&amp;"D")</f>
        <v>56075</v>
      </c>
      <c r="AB2408" s="92">
        <v>1.6560050268358092E-2</v>
      </c>
      <c r="AC2408" s="101">
        <v>1.6519753253261271E-2</v>
      </c>
    </row>
    <row r="2409" spans="25:29" x14ac:dyDescent="0.2">
      <c r="Y2409" s="105" t="str">
        <f t="shared" si="71"/>
        <v>1w</v>
      </c>
      <c r="Z2409" s="93">
        <f>_xll.qlCalendarAdvance(Calendar,Z2408,Y2409,"f",FALSE)</f>
        <v>56080</v>
      </c>
      <c r="AA2409" s="117">
        <f>_xll.qlCalendarAdvance(Calendar,Z2409,NDays&amp;"D")</f>
        <v>56082</v>
      </c>
      <c r="AB2409" s="92">
        <v>1.6557905388120801E-2</v>
      </c>
      <c r="AC2409" s="101">
        <v>1.6517285552657412E-2</v>
      </c>
    </row>
    <row r="2410" spans="25:29" x14ac:dyDescent="0.2">
      <c r="Y2410" s="105" t="str">
        <f t="shared" si="71"/>
        <v>1w</v>
      </c>
      <c r="Z2410" s="93">
        <f>_xll.qlCalendarAdvance(Calendar,Z2409,Y2410,"f",FALSE)</f>
        <v>56087</v>
      </c>
      <c r="AA2410" s="117">
        <f>_xll.qlCalendarAdvance(Calendar,Z2410,NDays&amp;"D")</f>
        <v>56089</v>
      </c>
      <c r="AB2410" s="92">
        <v>1.655578652889509E-2</v>
      </c>
      <c r="AC2410" s="101">
        <v>1.6514843651176392E-2</v>
      </c>
    </row>
    <row r="2411" spans="25:29" x14ac:dyDescent="0.2">
      <c r="Y2411" s="105" t="str">
        <f t="shared" si="71"/>
        <v>1w</v>
      </c>
      <c r="Z2411" s="93">
        <f>_xll.qlCalendarAdvance(Calendar,Z2410,Y2411,"f",FALSE)</f>
        <v>56094</v>
      </c>
      <c r="AA2411" s="117">
        <f>_xll.qlCalendarAdvance(Calendar,Z2411,NDays&amp;"D")</f>
        <v>56096</v>
      </c>
      <c r="AB2411" s="92">
        <v>1.6552976938958935E-2</v>
      </c>
      <c r="AC2411" s="101">
        <v>1.6512427548818209E-2</v>
      </c>
    </row>
    <row r="2412" spans="25:29" x14ac:dyDescent="0.2">
      <c r="Y2412" s="105" t="str">
        <f t="shared" si="71"/>
        <v>1w</v>
      </c>
      <c r="Z2412" s="93">
        <f>_xll.qlCalendarAdvance(Calendar,Z2411,Y2412,"f",FALSE)</f>
        <v>56101</v>
      </c>
      <c r="AA2412" s="117">
        <f>_xll.qlCalendarAdvance(Calendar,Z2412,NDays&amp;"D")</f>
        <v>56103</v>
      </c>
      <c r="AB2412" s="92">
        <v>1.6551626873138048E-2</v>
      </c>
      <c r="AC2412" s="101">
        <v>1.6510037245902609E-2</v>
      </c>
    </row>
    <row r="2413" spans="25:29" x14ac:dyDescent="0.2">
      <c r="Y2413" s="105" t="str">
        <f t="shared" si="71"/>
        <v>1w</v>
      </c>
      <c r="Z2413" s="93">
        <f>_xll.qlCalendarAdvance(Calendar,Z2412,Y2413,"f",FALSE)</f>
        <v>56108</v>
      </c>
      <c r="AA2413" s="117">
        <f>_xll.qlCalendarAdvance(Calendar,Z2413,NDays&amp;"D")</f>
        <v>56110</v>
      </c>
      <c r="AB2413" s="92">
        <v>1.654958607643996E-2</v>
      </c>
      <c r="AC2413" s="101">
        <v>1.6507672742109847E-2</v>
      </c>
    </row>
    <row r="2414" spans="25:29" x14ac:dyDescent="0.2">
      <c r="Y2414" s="105" t="str">
        <f t="shared" si="71"/>
        <v>1w</v>
      </c>
      <c r="Z2414" s="93">
        <f>_xll.qlCalendarAdvance(Calendar,Z2413,Y2414,"f",FALSE)</f>
        <v>56115</v>
      </c>
      <c r="AA2414" s="117">
        <f>_xll.qlCalendarAdvance(Calendar,Z2414,NDays&amp;"D")</f>
        <v>56117</v>
      </c>
      <c r="AB2414" s="92">
        <v>1.6547571300419964E-2</v>
      </c>
      <c r="AC2414" s="101">
        <v>1.6505334037439923E-2</v>
      </c>
    </row>
    <row r="2415" spans="25:29" x14ac:dyDescent="0.2">
      <c r="Y2415" s="105" t="str">
        <f t="shared" si="71"/>
        <v>1w</v>
      </c>
      <c r="Z2415" s="93">
        <f>_xll.qlCalendarAdvance(Calendar,Z2414,Y2415,"f",FALSE)</f>
        <v>56122</v>
      </c>
      <c r="AA2415" s="117">
        <f>_xll.qlCalendarAdvance(Calendar,Z2415,NDays&amp;"D")</f>
        <v>56124</v>
      </c>
      <c r="AB2415" s="92">
        <v>1.6544844606914001E-2</v>
      </c>
      <c r="AC2415" s="101">
        <v>1.6503021131892837E-2</v>
      </c>
    </row>
    <row r="2416" spans="25:29" x14ac:dyDescent="0.2">
      <c r="Y2416" s="105" t="str">
        <f t="shared" si="71"/>
        <v>1w</v>
      </c>
      <c r="Z2416" s="93">
        <f>_xll.qlCalendarAdvance(Calendar,Z2415,Y2416,"f",FALSE)</f>
        <v>56129</v>
      </c>
      <c r="AA2416" s="117">
        <f>_xll.qlCalendarAdvance(Calendar,Z2416,NDays&amp;"D")</f>
        <v>56131</v>
      </c>
      <c r="AB2416" s="92">
        <v>1.6542381953248236E-2</v>
      </c>
      <c r="AC2416" s="101">
        <v>1.6500734025628461E-2</v>
      </c>
    </row>
    <row r="2417" spans="25:29" x14ac:dyDescent="0.2">
      <c r="Y2417" s="105" t="str">
        <f t="shared" si="71"/>
        <v>1w</v>
      </c>
      <c r="Z2417" s="93">
        <f>_xll.qlCalendarAdvance(Calendar,Z2416,Y2417,"f",FALSE)</f>
        <v>56136</v>
      </c>
      <c r="AA2417" s="117">
        <f>_xll.qlCalendarAdvance(Calendar,Z2417,NDays&amp;"D")</f>
        <v>56138</v>
      </c>
      <c r="AB2417" s="92">
        <v>1.6540436390998586E-2</v>
      </c>
      <c r="AC2417" s="101">
        <v>1.6498472718566859E-2</v>
      </c>
    </row>
    <row r="2418" spans="25:29" x14ac:dyDescent="0.2">
      <c r="Y2418" s="105" t="str">
        <f t="shared" si="71"/>
        <v>1w</v>
      </c>
      <c r="Z2418" s="93">
        <f>_xll.qlCalendarAdvance(Calendar,Z2417,Y2418,"f",FALSE)</f>
        <v>56143</v>
      </c>
      <c r="AA2418" s="117">
        <f>_xll.qlCalendarAdvance(Calendar,Z2418,NDays&amp;"D")</f>
        <v>56145</v>
      </c>
      <c r="AB2418" s="92">
        <v>1.653851684313384E-2</v>
      </c>
      <c r="AC2418" s="101">
        <v>1.6496237210548159E-2</v>
      </c>
    </row>
    <row r="2419" spans="25:29" x14ac:dyDescent="0.2">
      <c r="Y2419" s="105" t="str">
        <f t="shared" si="71"/>
        <v>1w</v>
      </c>
      <c r="Z2419" s="93">
        <f>_xll.qlCalendarAdvance(Calendar,Z2418,Y2419,"f",FALSE)</f>
        <v>56150</v>
      </c>
      <c r="AA2419" s="117">
        <f>_xll.qlCalendarAdvance(Calendar,Z2419,NDays&amp;"D")</f>
        <v>56152</v>
      </c>
      <c r="AB2419" s="92">
        <v>1.653662330958024E-2</v>
      </c>
      <c r="AC2419" s="101">
        <v>1.649402750181217E-2</v>
      </c>
    </row>
    <row r="2420" spans="25:29" x14ac:dyDescent="0.2">
      <c r="Y2420" s="105" t="str">
        <f t="shared" si="71"/>
        <v>1w</v>
      </c>
      <c r="Z2420" s="93">
        <f>_xll.qlCalendarAdvance(Calendar,Z2419,Y2420,"f",FALSE)</f>
        <v>56157</v>
      </c>
      <c r="AA2420" s="117">
        <f>_xll.qlCalendarAdvance(Calendar,Z2420,NDays&amp;"D")</f>
        <v>56159</v>
      </c>
      <c r="AB2420" s="92">
        <v>1.6535010092669375E-2</v>
      </c>
      <c r="AC2420" s="101">
        <v>1.6491843592119082E-2</v>
      </c>
    </row>
    <row r="2421" spans="25:29" x14ac:dyDescent="0.2">
      <c r="Y2421" s="105" t="str">
        <f t="shared" si="71"/>
        <v>1w</v>
      </c>
      <c r="Z2421" s="93">
        <f>_xll.qlCalendarAdvance(Calendar,Z2420,Y2421,"f",FALSE)</f>
        <v>56164</v>
      </c>
      <c r="AA2421" s="117">
        <f>_xll.qlCalendarAdvance(Calendar,Z2421,NDays&amp;"D")</f>
        <v>56166</v>
      </c>
      <c r="AB2421" s="92">
        <v>1.6533170361519096E-2</v>
      </c>
      <c r="AC2421" s="101">
        <v>1.6489685481788641E-2</v>
      </c>
    </row>
    <row r="2422" spans="25:29" x14ac:dyDescent="0.2">
      <c r="Y2422" s="105" t="str">
        <f t="shared" si="71"/>
        <v>1w</v>
      </c>
      <c r="Z2422" s="93">
        <f>_xll.qlCalendarAdvance(Calendar,Z2421,Y2422,"f",FALSE)</f>
        <v>56171</v>
      </c>
      <c r="AA2422" s="117">
        <f>_xll.qlCalendarAdvance(Calendar,Z2422,NDays&amp;"D")</f>
        <v>56173</v>
      </c>
      <c r="AB2422" s="92">
        <v>1.6531356645655887E-2</v>
      </c>
      <c r="AC2422" s="101">
        <v>1.6487553170501101E-2</v>
      </c>
    </row>
    <row r="2423" spans="25:29" x14ac:dyDescent="0.2">
      <c r="Y2423" s="105" t="str">
        <f t="shared" si="71"/>
        <v>1w</v>
      </c>
      <c r="Z2423" s="93">
        <f>_xll.qlCalendarAdvance(Calendar,Z2422,Y2423,"f",FALSE)</f>
        <v>56178</v>
      </c>
      <c r="AA2423" s="117">
        <f>_xll.qlCalendarAdvance(Calendar,Z2423,NDays&amp;"D")</f>
        <v>56180</v>
      </c>
      <c r="AB2423" s="92">
        <v>1.6529568945007712E-2</v>
      </c>
      <c r="AC2423" s="101">
        <v>1.6485446658416336E-2</v>
      </c>
    </row>
    <row r="2424" spans="25:29" x14ac:dyDescent="0.2">
      <c r="Y2424" s="105" t="str">
        <f t="shared" si="71"/>
        <v>1w</v>
      </c>
      <c r="Z2424" s="93">
        <f>_xll.qlCalendarAdvance(Calendar,Z2423,Y2424,"f",FALSE)</f>
        <v>56185</v>
      </c>
      <c r="AA2424" s="117">
        <f>_xll.qlCalendarAdvance(Calendar,Z2424,NDays&amp;"D")</f>
        <v>56187</v>
      </c>
      <c r="AB2424" s="92">
        <v>1.6527807259506058E-2</v>
      </c>
      <c r="AC2424" s="101">
        <v>1.6483365945694217E-2</v>
      </c>
    </row>
    <row r="2425" spans="25:29" x14ac:dyDescent="0.2">
      <c r="Y2425" s="105" t="str">
        <f t="shared" si="71"/>
        <v>1w</v>
      </c>
      <c r="Z2425" s="93">
        <f>_xll.qlCalendarAdvance(Calendar,Z2424,Y2425,"f",FALSE)</f>
        <v>56192</v>
      </c>
      <c r="AA2425" s="117">
        <f>_xll.qlCalendarAdvance(Calendar,Z2425,NDays&amp;"D")</f>
        <v>56194</v>
      </c>
      <c r="AB2425" s="92">
        <v>1.6525808404725704E-2</v>
      </c>
      <c r="AC2425" s="101">
        <v>1.6481311031935064E-2</v>
      </c>
    </row>
    <row r="2426" spans="25:29" x14ac:dyDescent="0.2">
      <c r="Y2426" s="105" t="str">
        <f t="shared" si="71"/>
        <v>1w</v>
      </c>
      <c r="Z2426" s="93">
        <f>_xll.qlCalendarAdvance(Calendar,Z2425,Y2426,"f",FALSE)</f>
        <v>56199</v>
      </c>
      <c r="AA2426" s="117">
        <f>_xll.qlCalendarAdvance(Calendar,Z2426,NDays&amp;"D")</f>
        <v>56201</v>
      </c>
      <c r="AB2426" s="92">
        <v>1.6524096969340252E-2</v>
      </c>
      <c r="AC2426" s="101">
        <v>1.6479281917458621E-2</v>
      </c>
    </row>
    <row r="2427" spans="25:29" x14ac:dyDescent="0.2">
      <c r="Y2427" s="105" t="str">
        <f t="shared" si="71"/>
        <v>1w</v>
      </c>
      <c r="Z2427" s="93">
        <f>_xll.qlCalendarAdvance(Calendar,Z2426,Y2427,"f",FALSE)</f>
        <v>56206</v>
      </c>
      <c r="AA2427" s="117">
        <f>_xll.qlCalendarAdvance(Calendar,Z2427,NDays&amp;"D")</f>
        <v>56208</v>
      </c>
      <c r="AB2427" s="92">
        <v>1.6522411547704185E-2</v>
      </c>
      <c r="AC2427" s="101">
        <v>1.6477278601945144E-2</v>
      </c>
    </row>
    <row r="2428" spans="25:29" x14ac:dyDescent="0.2">
      <c r="Y2428" s="105" t="str">
        <f t="shared" si="71"/>
        <v>1w</v>
      </c>
      <c r="Z2428" s="93">
        <f>_xll.qlCalendarAdvance(Calendar,Z2427,Y2428,"f",FALSE)</f>
        <v>56213</v>
      </c>
      <c r="AA2428" s="117">
        <f>_xll.qlCalendarAdvance(Calendar,Z2428,NDays&amp;"D")</f>
        <v>56215</v>
      </c>
      <c r="AB2428" s="92">
        <v>1.6520752139751699E-2</v>
      </c>
      <c r="AC2428" s="101">
        <v>1.6475301085794314E-2</v>
      </c>
    </row>
    <row r="2429" spans="25:29" x14ac:dyDescent="0.2">
      <c r="Y2429" s="105" t="str">
        <f t="shared" si="71"/>
        <v>1w</v>
      </c>
      <c r="Z2429" s="93">
        <f>_xll.qlCalendarAdvance(Calendar,Z2428,Y2429,"f",FALSE)</f>
        <v>56220</v>
      </c>
      <c r="AA2429" s="117">
        <f>_xll.qlCalendarAdvance(Calendar,Z2429,NDays&amp;"D")</f>
        <v>56222</v>
      </c>
      <c r="AB2429" s="92">
        <v>1.6519389056804543E-2</v>
      </c>
      <c r="AC2429" s="101">
        <v>1.6473349368766321E-2</v>
      </c>
    </row>
    <row r="2430" spans="25:29" x14ac:dyDescent="0.2">
      <c r="Y2430" s="105" t="str">
        <f t="shared" si="71"/>
        <v>1w</v>
      </c>
      <c r="Z2430" s="93">
        <f>_xll.qlCalendarAdvance(Calendar,Z2429,Y2430,"f",FALSE)</f>
        <v>56227</v>
      </c>
      <c r="AA2430" s="117">
        <f>_xll.qlCalendarAdvance(Calendar,Z2430,NDays&amp;"D")</f>
        <v>56229</v>
      </c>
      <c r="AB2430" s="92">
        <v>1.6517783460765562E-2</v>
      </c>
      <c r="AC2430" s="101">
        <v>1.6471423451021039E-2</v>
      </c>
    </row>
    <row r="2431" spans="25:29" x14ac:dyDescent="0.2">
      <c r="Y2431" s="105" t="str">
        <f t="shared" si="71"/>
        <v>1w</v>
      </c>
      <c r="Z2431" s="93">
        <f>_xll.qlCalendarAdvance(Calendar,Z2430,Y2431,"f",FALSE)</f>
        <v>56234</v>
      </c>
      <c r="AA2431" s="117">
        <f>_xll.qlCalendarAdvance(Calendar,Z2431,NDays&amp;"D")</f>
        <v>56236</v>
      </c>
      <c r="AB2431" s="92">
        <v>1.6516203879411055E-2</v>
      </c>
      <c r="AC2431" s="101">
        <v>1.6469523332398595E-2</v>
      </c>
    </row>
    <row r="2432" spans="25:29" x14ac:dyDescent="0.2">
      <c r="Y2432" s="105" t="str">
        <f t="shared" si="71"/>
        <v>1w</v>
      </c>
      <c r="Z2432" s="93">
        <f>_xll.qlCalendarAdvance(Calendar,Z2431,Y2432,"f",FALSE)</f>
        <v>56241</v>
      </c>
      <c r="AA2432" s="117">
        <f>_xll.qlCalendarAdvance(Calendar,Z2432,NDays&amp;"D")</f>
        <v>56247</v>
      </c>
      <c r="AB2432" s="92">
        <v>1.6513774240271947E-2</v>
      </c>
      <c r="AC2432" s="101">
        <v>1.6466589556456412E-2</v>
      </c>
    </row>
    <row r="2433" spans="25:29" x14ac:dyDescent="0.2">
      <c r="Y2433" s="105" t="str">
        <f t="shared" si="71"/>
        <v>1w</v>
      </c>
      <c r="Z2433" s="93">
        <f>_xll.qlCalendarAdvance(Calendar,Z2432,Y2433,"f",FALSE)</f>
        <v>56248</v>
      </c>
      <c r="AA2433" s="117">
        <f>_xll.qlCalendarAdvance(Calendar,Z2433,NDays&amp;"D")</f>
        <v>56251</v>
      </c>
      <c r="AB2433" s="92">
        <v>1.6512628949352914E-2</v>
      </c>
      <c r="AC2433" s="101">
        <v>1.646603033986338E-2</v>
      </c>
    </row>
    <row r="2434" spans="25:29" x14ac:dyDescent="0.2">
      <c r="Y2434" s="105" t="str">
        <f t="shared" si="71"/>
        <v>1w</v>
      </c>
      <c r="Z2434" s="93">
        <f>_xll.qlCalendarAdvance(Calendar,Z2433,Y2434,"f",FALSE)</f>
        <v>56255</v>
      </c>
      <c r="AA2434" s="117">
        <f>_xll.qlCalendarAdvance(Calendar,Z2434,NDays&amp;"D")</f>
        <v>56257</v>
      </c>
      <c r="AB2434" s="92">
        <v>1.6511341975858948E-2</v>
      </c>
      <c r="AC2434" s="101">
        <v>1.646397777126829E-2</v>
      </c>
    </row>
    <row r="2435" spans="25:29" x14ac:dyDescent="0.2">
      <c r="Y2435" s="105" t="str">
        <f t="shared" si="71"/>
        <v>1w</v>
      </c>
      <c r="Z2435" s="93">
        <f>_xll.qlCalendarAdvance(Calendar,Z2434,Y2435,"f",FALSE)</f>
        <v>56262</v>
      </c>
      <c r="AA2435" s="117">
        <f>_xll.qlCalendarAdvance(Calendar,Z2435,NDays&amp;"D")</f>
        <v>56264</v>
      </c>
      <c r="AB2435" s="92">
        <v>1.6509864661943551E-2</v>
      </c>
      <c r="AC2435" s="101">
        <v>1.6462180849377006E-2</v>
      </c>
    </row>
    <row r="2436" spans="25:29" x14ac:dyDescent="0.2">
      <c r="Y2436" s="105" t="str">
        <f t="shared" si="71"/>
        <v>1w</v>
      </c>
      <c r="Z2436" s="93">
        <f>_xll.qlCalendarAdvance(Calendar,Z2435,Y2436,"f",FALSE)</f>
        <v>56269</v>
      </c>
      <c r="AA2436" s="117">
        <f>_xll.qlCalendarAdvance(Calendar,Z2436,NDays&amp;"D")</f>
        <v>56271</v>
      </c>
      <c r="AB2436" s="92">
        <v>1.6508413361223731E-2</v>
      </c>
      <c r="AC2436" s="101">
        <v>1.6460409726448688E-2</v>
      </c>
    </row>
    <row r="2437" spans="25:29" x14ac:dyDescent="0.2">
      <c r="Y2437" s="105" t="str">
        <f t="shared" si="71"/>
        <v>1w</v>
      </c>
      <c r="Z2437" s="93">
        <f>_xll.qlCalendarAdvance(Calendar,Z2436,Y2437,"f",FALSE)</f>
        <v>56276</v>
      </c>
      <c r="AA2437" s="117">
        <f>_xll.qlCalendarAdvance(Calendar,Z2437,NDays&amp;"D")</f>
        <v>56278</v>
      </c>
      <c r="AB2437" s="92">
        <v>1.6506988073643838E-2</v>
      </c>
      <c r="AC2437" s="101">
        <v>1.6458664402962953E-2</v>
      </c>
    </row>
    <row r="2438" spans="25:29" x14ac:dyDescent="0.2">
      <c r="Y2438" s="105" t="str">
        <f t="shared" si="71"/>
        <v>1w</v>
      </c>
      <c r="Z2438" s="93">
        <f>_xll.qlCalendarAdvance(Calendar,Z2437,Y2438,"f",FALSE)</f>
        <v>56283</v>
      </c>
      <c r="AA2438" s="117">
        <f>_xll.qlCalendarAdvance(Calendar,Z2438,NDays&amp;"D")</f>
        <v>56285</v>
      </c>
      <c r="AB2438" s="92">
        <v>1.6505588799147344E-2</v>
      </c>
      <c r="AC2438" s="101">
        <v>1.6456944878440183E-2</v>
      </c>
    </row>
    <row r="2439" spans="25:29" x14ac:dyDescent="0.2">
      <c r="Y2439" s="105" t="str">
        <f t="shared" si="71"/>
        <v>1w</v>
      </c>
      <c r="Z2439" s="93">
        <f>_xll.qlCalendarAdvance(Calendar,Z2438,Y2439,"f",FALSE)</f>
        <v>56290</v>
      </c>
      <c r="AA2439" s="117">
        <f>_xll.qlCalendarAdvance(Calendar,Z2439,NDays&amp;"D")</f>
        <v>56292</v>
      </c>
      <c r="AB2439" s="92">
        <v>1.6504215537679931E-2</v>
      </c>
      <c r="AC2439" s="101">
        <v>1.6455251153120187E-2</v>
      </c>
    </row>
    <row r="2440" spans="25:29" x14ac:dyDescent="0.2">
      <c r="Y2440" s="105" t="str">
        <f t="shared" si="71"/>
        <v>1w</v>
      </c>
      <c r="Z2440" s="93">
        <f>_xll.qlCalendarAdvance(Calendar,Z2439,Y2440,"f",FALSE)</f>
        <v>56297</v>
      </c>
      <c r="AA2440" s="117">
        <f>_xll.qlCalendarAdvance(Calendar,Z2440,NDays&amp;"D")</f>
        <v>56299</v>
      </c>
      <c r="AB2440" s="92">
        <v>1.6502868289189041E-2</v>
      </c>
      <c r="AC2440" s="101">
        <v>1.6453583227082902E-2</v>
      </c>
    </row>
    <row r="2441" spans="25:29" x14ac:dyDescent="0.2">
      <c r="Y2441" s="105" t="str">
        <f t="shared" si="71"/>
        <v>1w</v>
      </c>
      <c r="Z2441" s="93">
        <f>_xll.qlCalendarAdvance(Calendar,Z2440,Y2441,"f",FALSE)</f>
        <v>56304</v>
      </c>
      <c r="AA2441" s="117">
        <f>_xll.qlCalendarAdvance(Calendar,Z2441,NDays&amp;"D")</f>
        <v>56306</v>
      </c>
      <c r="AB2441" s="92">
        <v>1.6501547053622119E-2</v>
      </c>
      <c r="AC2441" s="101">
        <v>1.6451941100248391E-2</v>
      </c>
    </row>
    <row r="2442" spans="25:29" x14ac:dyDescent="0.2">
      <c r="Y2442" s="105" t="str">
        <f t="shared" si="71"/>
        <v>1w</v>
      </c>
      <c r="Z2442" s="93">
        <f>_xll.qlCalendarAdvance(Calendar,Z2441,Y2442,"f",FALSE)</f>
        <v>56311</v>
      </c>
      <c r="AA2442" s="117">
        <f>_xll.qlCalendarAdvance(Calendar,Z2442,NDays&amp;"D")</f>
        <v>56313</v>
      </c>
      <c r="AB2442" s="92">
        <v>1.6501721668581687E-2</v>
      </c>
      <c r="AC2442" s="101">
        <v>1.6450324772376845E-2</v>
      </c>
    </row>
    <row r="2443" spans="25:29" x14ac:dyDescent="0.2">
      <c r="Y2443" s="105" t="str">
        <f t="shared" si="71"/>
        <v>1w</v>
      </c>
      <c r="Z2443" s="93">
        <f>_xll.qlCalendarAdvance(Calendar,Z2442,Y2443,"f",FALSE)</f>
        <v>56318</v>
      </c>
      <c r="AA2443" s="117">
        <f>_xll.qlCalendarAdvance(Calendar,Z2443,NDays&amp;"D")</f>
        <v>56320</v>
      </c>
      <c r="AB2443" s="92">
        <v>1.6500461461404364E-2</v>
      </c>
      <c r="AC2443" s="101">
        <v>1.644873424378801E-2</v>
      </c>
    </row>
    <row r="2444" spans="25:29" x14ac:dyDescent="0.2">
      <c r="Y2444" s="105" t="str">
        <f t="shared" si="71"/>
        <v>1w</v>
      </c>
      <c r="Z2444" s="93">
        <f>_xll.qlCalendarAdvance(Calendar,Z2443,Y2444,"f",FALSE)</f>
        <v>56325</v>
      </c>
      <c r="AA2444" s="117">
        <f>_xll.qlCalendarAdvance(Calendar,Z2444,NDays&amp;"D")</f>
        <v>56327</v>
      </c>
      <c r="AB2444" s="92">
        <v>1.6499227272940679E-2</v>
      </c>
      <c r="AC2444" s="101">
        <v>1.6447169514322013E-2</v>
      </c>
    </row>
    <row r="2445" spans="25:29" x14ac:dyDescent="0.2">
      <c r="Y2445" s="105" t="str">
        <f t="shared" si="71"/>
        <v>1w</v>
      </c>
      <c r="Z2445" s="93">
        <f>_xll.qlCalendarAdvance(Calendar,Z2444,Y2445,"f",FALSE)</f>
        <v>56332</v>
      </c>
      <c r="AA2445" s="117">
        <f>_xll.qlCalendarAdvance(Calendar,Z2445,NDays&amp;"D")</f>
        <v>56334</v>
      </c>
      <c r="AB2445" s="92">
        <v>1.6498019103141637E-2</v>
      </c>
      <c r="AC2445" s="101">
        <v>1.6446698692732298E-2</v>
      </c>
    </row>
    <row r="2446" spans="25:29" x14ac:dyDescent="0.2">
      <c r="Y2446" s="105" t="str">
        <f t="shared" si="71"/>
        <v>1w</v>
      </c>
      <c r="Z2446" s="93">
        <f>_xll.qlCalendarAdvance(Calendar,Z2445,Y2446,"f",FALSE)</f>
        <v>56339</v>
      </c>
      <c r="AA2446" s="117">
        <f>_xll.qlCalendarAdvance(Calendar,Z2446,NDays&amp;"D")</f>
        <v>56341</v>
      </c>
      <c r="AB2446" s="92">
        <v>1.6495932876902226E-2</v>
      </c>
      <c r="AC2446" s="101">
        <v>1.6444117452838469E-2</v>
      </c>
    </row>
    <row r="2447" spans="25:29" x14ac:dyDescent="0.2">
      <c r="Y2447" s="105" t="str">
        <f t="shared" si="71"/>
        <v>1w</v>
      </c>
      <c r="Z2447" s="93">
        <f>_xll.qlCalendarAdvance(Calendar,Z2446,Y2447,"f",FALSE)</f>
        <v>56346</v>
      </c>
      <c r="AA2447" s="117">
        <f>_xll.qlCalendarAdvance(Calendar,Z2447,NDays&amp;"D")</f>
        <v>56348</v>
      </c>
      <c r="AB2447" s="92">
        <v>1.6494771327911901E-2</v>
      </c>
      <c r="AC2447" s="101">
        <v>1.6442630120980795E-2</v>
      </c>
    </row>
    <row r="2448" spans="25:29" x14ac:dyDescent="0.2">
      <c r="Y2448" s="105" t="str">
        <f t="shared" si="71"/>
        <v>1w</v>
      </c>
      <c r="Z2448" s="93">
        <f>_xll.qlCalendarAdvance(Calendar,Z2447,Y2448,"f",FALSE)</f>
        <v>56353</v>
      </c>
      <c r="AA2448" s="117">
        <f>_xll.qlCalendarAdvance(Calendar,Z2448,NDays&amp;"D")</f>
        <v>56355</v>
      </c>
      <c r="AB2448" s="92">
        <v>1.649363579388138E-2</v>
      </c>
      <c r="AC2448" s="101">
        <v>1.6441168588245958E-2</v>
      </c>
    </row>
    <row r="2449" spans="25:29" x14ac:dyDescent="0.2">
      <c r="Y2449" s="105" t="str">
        <f t="shared" si="71"/>
        <v>1w</v>
      </c>
      <c r="Z2449" s="93">
        <f>_xll.qlCalendarAdvance(Calendar,Z2448,Y2449,"f",FALSE)</f>
        <v>56360</v>
      </c>
      <c r="AA2449" s="117">
        <f>_xll.qlCalendarAdvance(Calendar,Z2449,NDays&amp;"D")</f>
        <v>56362</v>
      </c>
      <c r="AB2449" s="92">
        <v>1.649252627476611E-2</v>
      </c>
      <c r="AC2449" s="101">
        <v>1.6439732854633959E-2</v>
      </c>
    </row>
    <row r="2450" spans="25:29" x14ac:dyDescent="0.2">
      <c r="Y2450" s="105" t="str">
        <f t="shared" si="71"/>
        <v>1w</v>
      </c>
      <c r="Z2450" s="93">
        <f>_xll.qlCalendarAdvance(Calendar,Z2449,Y2450,"f",FALSE)</f>
        <v>56367</v>
      </c>
      <c r="AA2450" s="117">
        <f>_xll.qlCalendarAdvance(Calendar,Z2450,NDays&amp;"D")</f>
        <v>56369</v>
      </c>
      <c r="AB2450" s="92">
        <v>1.6491442770522405E-2</v>
      </c>
      <c r="AC2450" s="101">
        <v>1.6439150380564982E-2</v>
      </c>
    </row>
    <row r="2451" spans="25:29" x14ac:dyDescent="0.2">
      <c r="Y2451" s="105" t="str">
        <f t="shared" si="71"/>
        <v>1w</v>
      </c>
      <c r="Z2451" s="93">
        <f>_xll.qlCalendarAdvance(Calendar,Z2450,Y2451,"f",FALSE)</f>
        <v>56374</v>
      </c>
      <c r="AA2451" s="117">
        <f>_xll.qlCalendarAdvance(Calendar,Z2451,NDays&amp;"D")</f>
        <v>56376</v>
      </c>
      <c r="AB2451" s="92">
        <v>1.6491316473663531E-2</v>
      </c>
      <c r="AC2451" s="101">
        <v>1.6436938784858413E-2</v>
      </c>
    </row>
    <row r="2452" spans="25:29" x14ac:dyDescent="0.2">
      <c r="Y2452" s="105" t="str">
        <f t="shared" si="71"/>
        <v>1w</v>
      </c>
      <c r="Z2452" s="93">
        <f>_xll.qlCalendarAdvance(Calendar,Z2451,Y2452,"f",FALSE)</f>
        <v>56381</v>
      </c>
      <c r="AA2452" s="117">
        <f>_xll.qlCalendarAdvance(Calendar,Z2452,NDays&amp;"D")</f>
        <v>56383</v>
      </c>
      <c r="AB2452" s="92">
        <v>1.6490290433219954E-2</v>
      </c>
      <c r="AC2452" s="101">
        <v>1.6435580448614928E-2</v>
      </c>
    </row>
    <row r="2453" spans="25:29" x14ac:dyDescent="0.2">
      <c r="Y2453" s="105" t="str">
        <f t="shared" ref="Y2453:Y2516" si="72">Y2452</f>
        <v>1w</v>
      </c>
      <c r="Z2453" s="93">
        <f>_xll.qlCalendarAdvance(Calendar,Z2452,Y2453,"f",FALSE)</f>
        <v>56388</v>
      </c>
      <c r="AA2453" s="117">
        <f>_xll.qlCalendarAdvance(Calendar,Z2453,NDays&amp;"D")</f>
        <v>56390</v>
      </c>
      <c r="AB2453" s="92">
        <v>1.6489290411083456E-2</v>
      </c>
      <c r="AC2453" s="101">
        <v>1.6434247911893962E-2</v>
      </c>
    </row>
    <row r="2454" spans="25:29" x14ac:dyDescent="0.2">
      <c r="Y2454" s="105" t="str">
        <f t="shared" si="72"/>
        <v>1w</v>
      </c>
      <c r="Z2454" s="93">
        <f>_xll.qlCalendarAdvance(Calendar,Z2453,Y2454,"f",FALSE)</f>
        <v>56395</v>
      </c>
      <c r="AA2454" s="117">
        <f>_xll.qlCalendarAdvance(Calendar,Z2454,NDays&amp;"D")</f>
        <v>56397</v>
      </c>
      <c r="AB2454" s="92">
        <v>1.6488316407214071E-2</v>
      </c>
      <c r="AC2454" s="101">
        <v>1.643294117397609E-2</v>
      </c>
    </row>
    <row r="2455" spans="25:29" x14ac:dyDescent="0.2">
      <c r="Y2455" s="105" t="str">
        <f t="shared" si="72"/>
        <v>1w</v>
      </c>
      <c r="Z2455" s="93">
        <f>_xll.qlCalendarAdvance(Calendar,Z2454,Y2455,"f",FALSE)</f>
        <v>56402</v>
      </c>
      <c r="AA2455" s="117">
        <f>_xll.qlCalendarAdvance(Calendar,Z2455,NDays&amp;"D")</f>
        <v>56404</v>
      </c>
      <c r="AB2455" s="92">
        <v>1.6486415470919783E-2</v>
      </c>
      <c r="AC2455" s="101">
        <v>1.64316602355008E-2</v>
      </c>
    </row>
    <row r="2456" spans="25:29" x14ac:dyDescent="0.2">
      <c r="Y2456" s="105" t="str">
        <f t="shared" si="72"/>
        <v>1w</v>
      </c>
      <c r="Z2456" s="93">
        <f>_xll.qlCalendarAdvance(Calendar,Z2455,Y2456,"f",FALSE)</f>
        <v>56409</v>
      </c>
      <c r="AA2456" s="117">
        <f>_xll.qlCalendarAdvance(Calendar,Z2456,NDays&amp;"D")</f>
        <v>56411</v>
      </c>
      <c r="AB2456" s="92">
        <v>1.6485488055044975E-2</v>
      </c>
      <c r="AC2456" s="101">
        <v>1.643040509590854E-2</v>
      </c>
    </row>
    <row r="2457" spans="25:29" x14ac:dyDescent="0.2">
      <c r="Y2457" s="105" t="str">
        <f t="shared" si="72"/>
        <v>1w</v>
      </c>
      <c r="Z2457" s="93">
        <f>_xll.qlCalendarAdvance(Calendar,Z2456,Y2457,"f",FALSE)</f>
        <v>56416</v>
      </c>
      <c r="AA2457" s="117">
        <f>_xll.qlCalendarAdvance(Calendar,Z2457,NDays&amp;"D")</f>
        <v>56418</v>
      </c>
      <c r="AB2457" s="92">
        <v>1.6484586653765673E-2</v>
      </c>
      <c r="AC2457" s="101">
        <v>1.642917575559899E-2</v>
      </c>
    </row>
    <row r="2458" spans="25:29" x14ac:dyDescent="0.2">
      <c r="Y2458" s="105" t="str">
        <f t="shared" si="72"/>
        <v>1w</v>
      </c>
      <c r="Z2458" s="93">
        <f>_xll.qlCalendarAdvance(Calendar,Z2457,Y2458,"f",FALSE)</f>
        <v>56423</v>
      </c>
      <c r="AA2458" s="117">
        <f>_xll.qlCalendarAdvance(Calendar,Z2458,NDays&amp;"D")</f>
        <v>56425</v>
      </c>
      <c r="AB2458" s="92">
        <v>1.6484680573642652E-2</v>
      </c>
      <c r="AC2458" s="101">
        <v>1.6427972214492215E-2</v>
      </c>
    </row>
    <row r="2459" spans="25:29" x14ac:dyDescent="0.2">
      <c r="Y2459" s="105" t="str">
        <f t="shared" si="72"/>
        <v>1w</v>
      </c>
      <c r="Z2459" s="93">
        <f>_xll.qlCalendarAdvance(Calendar,Z2458,Y2459,"f",FALSE)</f>
        <v>56430</v>
      </c>
      <c r="AA2459" s="117">
        <f>_xll.qlCalendarAdvance(Calendar,Z2459,NDays&amp;"D")</f>
        <v>56432</v>
      </c>
      <c r="AB2459" s="92">
        <v>1.6483836660544968E-2</v>
      </c>
      <c r="AC2459" s="101">
        <v>1.6426794472588213E-2</v>
      </c>
    </row>
    <row r="2460" spans="25:29" x14ac:dyDescent="0.2">
      <c r="Y2460" s="105" t="str">
        <f t="shared" si="72"/>
        <v>1w</v>
      </c>
      <c r="Z2460" s="93">
        <f>_xll.qlCalendarAdvance(Calendar,Z2459,Y2460,"f",FALSE)</f>
        <v>56437</v>
      </c>
      <c r="AA2460" s="117">
        <f>_xll.qlCalendarAdvance(Calendar,Z2460,NDays&amp;"D")</f>
        <v>56439</v>
      </c>
      <c r="AB2460" s="92">
        <v>1.6483018765496935E-2</v>
      </c>
      <c r="AC2460" s="101">
        <v>1.6425642529966922E-2</v>
      </c>
    </row>
    <row r="2461" spans="25:29" x14ac:dyDescent="0.2">
      <c r="Y2461" s="105" t="str">
        <f t="shared" si="72"/>
        <v>1w</v>
      </c>
      <c r="Z2461" s="93">
        <f>_xll.qlCalendarAdvance(Calendar,Z2460,Y2461,"f",FALSE)</f>
        <v>56444</v>
      </c>
      <c r="AA2461" s="117">
        <f>_xll.qlCalendarAdvance(Calendar,Z2461,NDays&amp;"D")</f>
        <v>56446</v>
      </c>
      <c r="AB2461" s="92">
        <v>1.6482226888463312E-2</v>
      </c>
      <c r="AC2461" s="101">
        <v>1.6424516386148724E-2</v>
      </c>
    </row>
    <row r="2462" spans="25:29" x14ac:dyDescent="0.2">
      <c r="Y2462" s="105" t="str">
        <f t="shared" si="72"/>
        <v>1w</v>
      </c>
      <c r="Z2462" s="93">
        <f>_xll.qlCalendarAdvance(Calendar,Z2461,Y2462,"f",FALSE)</f>
        <v>56451</v>
      </c>
      <c r="AA2462" s="117">
        <f>_xll.qlCalendarAdvance(Calendar,Z2462,NDays&amp;"D")</f>
        <v>56453</v>
      </c>
      <c r="AB2462" s="92">
        <v>1.6481461029415306E-2</v>
      </c>
      <c r="AC2462" s="101">
        <v>1.6423416041693173E-2</v>
      </c>
    </row>
    <row r="2463" spans="25:29" x14ac:dyDescent="0.2">
      <c r="Y2463" s="105" t="str">
        <f t="shared" si="72"/>
        <v>1w</v>
      </c>
      <c r="Z2463" s="93">
        <f>_xll.qlCalendarAdvance(Calendar,Z2462,Y2463,"f",FALSE)</f>
        <v>56458</v>
      </c>
      <c r="AA2463" s="117">
        <f>_xll.qlCalendarAdvance(Calendar,Z2463,NDays&amp;"D")</f>
        <v>56460</v>
      </c>
      <c r="AB2463" s="92">
        <v>1.6479724550662593E-2</v>
      </c>
      <c r="AC2463" s="101">
        <v>1.6422341496440396E-2</v>
      </c>
    </row>
    <row r="2464" spans="25:29" x14ac:dyDescent="0.2">
      <c r="Y2464" s="105" t="str">
        <f t="shared" si="72"/>
        <v>1w</v>
      </c>
      <c r="Z2464" s="93">
        <f>_xll.qlCalendarAdvance(Calendar,Z2463,Y2464,"f",FALSE)</f>
        <v>56465</v>
      </c>
      <c r="AA2464" s="117">
        <f>_xll.qlCalendarAdvance(Calendar,Z2464,NDays&amp;"D")</f>
        <v>56467</v>
      </c>
      <c r="AB2464" s="92">
        <v>1.6480007365151504E-2</v>
      </c>
      <c r="AC2464" s="101">
        <v>1.6421292750310457E-2</v>
      </c>
    </row>
    <row r="2465" spans="25:29" x14ac:dyDescent="0.2">
      <c r="Y2465" s="105" t="str">
        <f t="shared" si="72"/>
        <v>1w</v>
      </c>
      <c r="Z2465" s="93">
        <f>_xll.qlCalendarAdvance(Calendar,Z2464,Y2465,"f",FALSE)</f>
        <v>56472</v>
      </c>
      <c r="AA2465" s="117">
        <f>_xll.qlCalendarAdvance(Calendar,Z2465,NDays&amp;"D")</f>
        <v>56474</v>
      </c>
      <c r="AB2465" s="92">
        <v>1.6479319559876835E-2</v>
      </c>
      <c r="AC2465" s="101">
        <v>1.642026980322342E-2</v>
      </c>
    </row>
    <row r="2466" spans="25:29" x14ac:dyDescent="0.2">
      <c r="Y2466" s="105" t="str">
        <f t="shared" si="72"/>
        <v>1w</v>
      </c>
      <c r="Z2466" s="93">
        <f>_xll.qlCalendarAdvance(Calendar,Z2465,Y2466,"f",FALSE)</f>
        <v>56479</v>
      </c>
      <c r="AA2466" s="117">
        <f>_xll.qlCalendarAdvance(Calendar,Z2466,NDays&amp;"D")</f>
        <v>56481</v>
      </c>
      <c r="AB2466" s="92">
        <v>1.6478657772471313E-2</v>
      </c>
      <c r="AC2466" s="101">
        <v>1.6419272655499029E-2</v>
      </c>
    </row>
    <row r="2467" spans="25:29" x14ac:dyDescent="0.2">
      <c r="Y2467" s="105" t="str">
        <f t="shared" si="72"/>
        <v>1w</v>
      </c>
      <c r="Z2467" s="93">
        <f>_xll.qlCalendarAdvance(Calendar,Z2466,Y2467,"f",FALSE)</f>
        <v>56486</v>
      </c>
      <c r="AA2467" s="117">
        <f>_xll.qlCalendarAdvance(Calendar,Z2467,NDays&amp;"D")</f>
        <v>56488</v>
      </c>
      <c r="AB2467" s="92">
        <v>1.6477003436381806E-2</v>
      </c>
      <c r="AC2467" s="101">
        <v>1.6418301306897476E-2</v>
      </c>
    </row>
    <row r="2468" spans="25:29" x14ac:dyDescent="0.2">
      <c r="Y2468" s="105" t="str">
        <f t="shared" si="72"/>
        <v>1w</v>
      </c>
      <c r="Z2468" s="93">
        <f>_xll.qlCalendarAdvance(Calendar,Z2467,Y2468,"f",FALSE)</f>
        <v>56493</v>
      </c>
      <c r="AA2468" s="117">
        <f>_xll.qlCalendarAdvance(Calendar,Z2468,NDays&amp;"D")</f>
        <v>56495</v>
      </c>
      <c r="AB2468" s="92">
        <v>1.6475706414562873E-2</v>
      </c>
      <c r="AC2468" s="101">
        <v>1.6417355757258889E-2</v>
      </c>
    </row>
    <row r="2469" spans="25:29" x14ac:dyDescent="0.2">
      <c r="Y2469" s="105" t="str">
        <f t="shared" si="72"/>
        <v>1w</v>
      </c>
      <c r="Z2469" s="93">
        <f>_xll.qlCalendarAdvance(Calendar,Z2468,Y2469,"f",FALSE)</f>
        <v>56500</v>
      </c>
      <c r="AA2469" s="117">
        <f>_xll.qlCalendarAdvance(Calendar,Z2469,NDays&amp;"D")</f>
        <v>56502</v>
      </c>
      <c r="AB2469" s="92">
        <v>1.6475113523678642E-2</v>
      </c>
      <c r="AC2469" s="101">
        <v>1.6416436006982948E-2</v>
      </c>
    </row>
    <row r="2470" spans="25:29" x14ac:dyDescent="0.2">
      <c r="Y2470" s="105" t="str">
        <f t="shared" si="72"/>
        <v>1w</v>
      </c>
      <c r="Z2470" s="93">
        <f>_xll.qlCalendarAdvance(Calendar,Z2469,Y2470,"f",FALSE)</f>
        <v>56507</v>
      </c>
      <c r="AA2470" s="117">
        <f>_xll.qlCalendarAdvance(Calendar,Z2470,NDays&amp;"D")</f>
        <v>56509</v>
      </c>
      <c r="AB2470" s="92">
        <v>1.6474546644638138E-2</v>
      </c>
      <c r="AC2470" s="101">
        <v>1.6415542055829846E-2</v>
      </c>
    </row>
    <row r="2471" spans="25:29" x14ac:dyDescent="0.2">
      <c r="Y2471" s="105" t="str">
        <f t="shared" si="72"/>
        <v>1w</v>
      </c>
      <c r="Z2471" s="93">
        <f>_xll.qlCalendarAdvance(Calendar,Z2470,Y2471,"f",FALSE)</f>
        <v>56514</v>
      </c>
      <c r="AA2471" s="117">
        <f>_xll.qlCalendarAdvance(Calendar,Z2471,NDays&amp;"D")</f>
        <v>56516</v>
      </c>
      <c r="AB2471" s="92">
        <v>1.6474005777419278E-2</v>
      </c>
      <c r="AC2471" s="101">
        <v>1.6414673903879518E-2</v>
      </c>
    </row>
    <row r="2472" spans="25:29" x14ac:dyDescent="0.2">
      <c r="Y2472" s="105" t="str">
        <f t="shared" si="72"/>
        <v>1w</v>
      </c>
      <c r="Z2472" s="93">
        <f>_xll.qlCalendarAdvance(Calendar,Z2471,Y2472,"f",FALSE)</f>
        <v>56521</v>
      </c>
      <c r="AA2472" s="117">
        <f>_xll.qlCalendarAdvance(Calendar,Z2472,NDays&amp;"D")</f>
        <v>56523</v>
      </c>
      <c r="AB2472" s="92">
        <v>1.6473839050194037E-2</v>
      </c>
      <c r="AC2472" s="101">
        <v>1.6413831550892155E-2</v>
      </c>
    </row>
    <row r="2473" spans="25:29" x14ac:dyDescent="0.2">
      <c r="Y2473" s="105" t="str">
        <f t="shared" si="72"/>
        <v>1w</v>
      </c>
      <c r="Z2473" s="93">
        <f>_xll.qlCalendarAdvance(Calendar,Z2472,Y2473,"f",FALSE)</f>
        <v>56528</v>
      </c>
      <c r="AA2473" s="117">
        <f>_xll.qlCalendarAdvance(Calendar,Z2473,NDays&amp;"D")</f>
        <v>56530</v>
      </c>
      <c r="AB2473" s="92">
        <v>1.6473352042344604E-2</v>
      </c>
      <c r="AC2473" s="101">
        <v>1.6413014997267439E-2</v>
      </c>
    </row>
    <row r="2474" spans="25:29" x14ac:dyDescent="0.2">
      <c r="Y2474" s="105" t="str">
        <f t="shared" si="72"/>
        <v>1w</v>
      </c>
      <c r="Z2474" s="93">
        <f>_xll.qlCalendarAdvance(Calendar,Z2473,Y2474,"f",FALSE)</f>
        <v>56535</v>
      </c>
      <c r="AA2474" s="117">
        <f>_xll.qlCalendarAdvance(Calendar,Z2474,NDays&amp;"D")</f>
        <v>56537</v>
      </c>
      <c r="AB2474" s="92">
        <v>1.6472891047441693E-2</v>
      </c>
      <c r="AC2474" s="101">
        <v>1.6412224242765561E-2</v>
      </c>
    </row>
    <row r="2475" spans="25:29" x14ac:dyDescent="0.2">
      <c r="Y2475" s="105" t="str">
        <f t="shared" si="72"/>
        <v>1w</v>
      </c>
      <c r="Z2475" s="93">
        <f>_xll.qlCalendarAdvance(Calendar,Z2474,Y2475,"f",FALSE)</f>
        <v>56542</v>
      </c>
      <c r="AA2475" s="117">
        <f>_xll.qlCalendarAdvance(Calendar,Z2475,NDays&amp;"D")</f>
        <v>56544</v>
      </c>
      <c r="AB2475" s="92">
        <v>1.647245606546598E-2</v>
      </c>
      <c r="AC2475" s="101">
        <v>1.6411459287386521E-2</v>
      </c>
    </row>
    <row r="2476" spans="25:29" x14ac:dyDescent="0.2">
      <c r="Y2476" s="105" t="str">
        <f t="shared" si="72"/>
        <v>1w</v>
      </c>
      <c r="Z2476" s="93">
        <f>_xll.qlCalendarAdvance(Calendar,Z2475,Y2476,"f",FALSE)</f>
        <v>56549</v>
      </c>
      <c r="AA2476" s="117">
        <f>_xll.qlCalendarAdvance(Calendar,Z2476,NDays&amp;"D")</f>
        <v>56551</v>
      </c>
      <c r="AB2476" s="92">
        <v>1.6472047096402091E-2</v>
      </c>
      <c r="AC2476" s="101">
        <v>1.6410720131290191E-2</v>
      </c>
    </row>
    <row r="2477" spans="25:29" x14ac:dyDescent="0.2">
      <c r="Y2477" s="105" t="str">
        <f t="shared" si="72"/>
        <v>1w</v>
      </c>
      <c r="Z2477" s="93">
        <f>_xll.qlCalendarAdvance(Calendar,Z2476,Y2477,"f",FALSE)</f>
        <v>56556</v>
      </c>
      <c r="AA2477" s="117">
        <f>_xll.qlCalendarAdvance(Calendar,Z2477,NDays&amp;"D")</f>
        <v>56558</v>
      </c>
      <c r="AB2477" s="92">
        <v>1.6471306821246912E-2</v>
      </c>
      <c r="AC2477" s="101">
        <v>1.6410006774156827E-2</v>
      </c>
    </row>
    <row r="2478" spans="25:29" x14ac:dyDescent="0.2">
      <c r="Y2478" s="105" t="str">
        <f t="shared" si="72"/>
        <v>1w</v>
      </c>
      <c r="Z2478" s="93">
        <f>_xll.qlCalendarAdvance(Calendar,Z2477,Y2478,"f",FALSE)</f>
        <v>56563</v>
      </c>
      <c r="AA2478" s="117">
        <f>_xll.qlCalendarAdvance(Calendar,Z2478,NDays&amp;"D")</f>
        <v>56565</v>
      </c>
      <c r="AB2478" s="92">
        <v>1.6470948036245648E-2</v>
      </c>
      <c r="AC2478" s="101">
        <v>1.6409319216386109E-2</v>
      </c>
    </row>
    <row r="2479" spans="25:29" x14ac:dyDescent="0.2">
      <c r="Y2479" s="105" t="str">
        <f t="shared" si="72"/>
        <v>1w</v>
      </c>
      <c r="Z2479" s="93">
        <f>_xll.qlCalendarAdvance(Calendar,Z2478,Y2479,"f",FALSE)</f>
        <v>56570</v>
      </c>
      <c r="AA2479" s="117">
        <f>_xll.qlCalendarAdvance(Calendar,Z2479,NDays&amp;"D")</f>
        <v>56572</v>
      </c>
      <c r="AB2479" s="92">
        <v>1.6470615262925144E-2</v>
      </c>
      <c r="AC2479" s="101">
        <v>1.6408657457498421E-2</v>
      </c>
    </row>
    <row r="2480" spans="25:29" x14ac:dyDescent="0.2">
      <c r="Y2480" s="105" t="str">
        <f t="shared" si="72"/>
        <v>1w</v>
      </c>
      <c r="Z2480" s="93">
        <f>_xll.qlCalendarAdvance(Calendar,Z2479,Y2480,"f",FALSE)</f>
        <v>56577</v>
      </c>
      <c r="AA2480" s="117">
        <f>_xll.qlCalendarAdvance(Calendar,Z2480,NDays&amp;"D")</f>
        <v>56579</v>
      </c>
      <c r="AB2480" s="92">
        <v>1.6470308501273925E-2</v>
      </c>
      <c r="AC2480" s="101">
        <v>1.6408021498053316E-2</v>
      </c>
    </row>
    <row r="2481" spans="25:29" x14ac:dyDescent="0.2">
      <c r="Y2481" s="105" t="str">
        <f t="shared" si="72"/>
        <v>1w</v>
      </c>
      <c r="Z2481" s="93">
        <f>_xll.qlCalendarAdvance(Calendar,Z2480,Y2481,"f",FALSE)</f>
        <v>56584</v>
      </c>
      <c r="AA2481" s="117">
        <f>_xll.qlCalendarAdvance(Calendar,Z2481,NDays&amp;"D")</f>
        <v>56586</v>
      </c>
      <c r="AB2481" s="92">
        <v>1.6470392444223301E-2</v>
      </c>
      <c r="AC2481" s="101">
        <v>1.6407411337651112E-2</v>
      </c>
    </row>
    <row r="2482" spans="25:29" x14ac:dyDescent="0.2">
      <c r="Y2482" s="105" t="str">
        <f t="shared" si="72"/>
        <v>1w</v>
      </c>
      <c r="Z2482" s="93">
        <f>_xll.qlCalendarAdvance(Calendar,Z2481,Y2482,"f",FALSE)</f>
        <v>56591</v>
      </c>
      <c r="AA2482" s="117">
        <f>_xll.qlCalendarAdvance(Calendar,Z2482,NDays&amp;"D")</f>
        <v>56593</v>
      </c>
      <c r="AB2482" s="92">
        <v>1.6470139552325989E-2</v>
      </c>
      <c r="AC2482" s="101">
        <v>1.6406826976371747E-2</v>
      </c>
    </row>
    <row r="2483" spans="25:29" x14ac:dyDescent="0.2">
      <c r="Y2483" s="105" t="str">
        <f t="shared" si="72"/>
        <v>1w</v>
      </c>
      <c r="Z2483" s="93">
        <f>_xll.qlCalendarAdvance(Calendar,Z2482,Y2483,"f",FALSE)</f>
        <v>56598</v>
      </c>
      <c r="AA2483" s="117">
        <f>_xll.qlCalendarAdvance(Calendar,Z2483,NDays&amp;"D")</f>
        <v>56600</v>
      </c>
      <c r="AB2483" s="92">
        <v>1.6469912673248266E-2</v>
      </c>
      <c r="AC2483" s="101">
        <v>1.6406268414295155E-2</v>
      </c>
    </row>
    <row r="2484" spans="25:29" x14ac:dyDescent="0.2">
      <c r="Y2484" s="105" t="str">
        <f t="shared" si="72"/>
        <v>1w</v>
      </c>
      <c r="Z2484" s="93">
        <f>_xll.qlCalendarAdvance(Calendar,Z2483,Y2484,"f",FALSE)</f>
        <v>56605</v>
      </c>
      <c r="AA2484" s="117">
        <f>_xll.qlCalendarAdvance(Calendar,Z2484,NDays&amp;"D")</f>
        <v>56607</v>
      </c>
      <c r="AB2484" s="92">
        <v>1.6469711806981788E-2</v>
      </c>
      <c r="AC2484" s="101">
        <v>1.6406746643111703E-2</v>
      </c>
    </row>
    <row r="2485" spans="25:29" x14ac:dyDescent="0.2">
      <c r="Y2485" s="105" t="str">
        <f t="shared" si="72"/>
        <v>1w</v>
      </c>
      <c r="Z2485" s="93">
        <f>_xll.qlCalendarAdvance(Calendar,Z2484,Y2485,"f",FALSE)</f>
        <v>56612</v>
      </c>
      <c r="AA2485" s="117">
        <f>_xll.qlCalendarAdvance(Calendar,Z2485,NDays&amp;"D")</f>
        <v>56614</v>
      </c>
      <c r="AB2485" s="92">
        <v>1.6469164867660039E-2</v>
      </c>
      <c r="AC2485" s="101">
        <v>1.640624513919331E-2</v>
      </c>
    </row>
    <row r="2486" spans="25:29" x14ac:dyDescent="0.2">
      <c r="Y2486" s="105" t="str">
        <f t="shared" si="72"/>
        <v>1w</v>
      </c>
      <c r="Z2486" s="93">
        <f>_xll.qlCalendarAdvance(Calendar,Z2485,Y2486,"f",FALSE)</f>
        <v>56619</v>
      </c>
      <c r="AA2486" s="117">
        <f>_xll.qlCalendarAdvance(Calendar,Z2486,NDays&amp;"D")</f>
        <v>56621</v>
      </c>
      <c r="AB2486" s="92">
        <v>1.6469013896954932E-2</v>
      </c>
      <c r="AC2486" s="101">
        <v>1.6404747523122154E-2</v>
      </c>
    </row>
    <row r="2487" spans="25:29" x14ac:dyDescent="0.2">
      <c r="Y2487" s="105" t="str">
        <f t="shared" si="72"/>
        <v>1w</v>
      </c>
      <c r="Z2487" s="93">
        <f>_xll.qlCalendarAdvance(Calendar,Z2486,Y2487,"f",FALSE)</f>
        <v>56626</v>
      </c>
      <c r="AA2487" s="117">
        <f>_xll.qlCalendarAdvance(Calendar,Z2487,NDays&amp;"D")</f>
        <v>56628</v>
      </c>
      <c r="AB2487" s="92">
        <v>1.6468885640737351E-2</v>
      </c>
      <c r="AC2487" s="101">
        <v>1.6404292157536915E-2</v>
      </c>
    </row>
    <row r="2488" spans="25:29" x14ac:dyDescent="0.2">
      <c r="Y2488" s="105" t="str">
        <f t="shared" si="72"/>
        <v>1w</v>
      </c>
      <c r="Z2488" s="93">
        <f>_xll.qlCalendarAdvance(Calendar,Z2487,Y2488,"f",FALSE)</f>
        <v>56633</v>
      </c>
      <c r="AA2488" s="117">
        <f>_xll.qlCalendarAdvance(Calendar,Z2488,NDays&amp;"D")</f>
        <v>56635</v>
      </c>
      <c r="AB2488" s="92">
        <v>1.6468775525872059E-2</v>
      </c>
      <c r="AC2488" s="101">
        <v>1.6403862591234386E-2</v>
      </c>
    </row>
    <row r="2489" spans="25:29" x14ac:dyDescent="0.2">
      <c r="Y2489" s="105" t="str">
        <f t="shared" si="72"/>
        <v>1w</v>
      </c>
      <c r="Z2489" s="93">
        <f>_xll.qlCalendarAdvance(Calendar,Z2488,Y2489,"f",FALSE)</f>
        <v>56640</v>
      </c>
      <c r="AA2489" s="117">
        <f>_xll.qlCalendarAdvance(Calendar,Z2489,NDays&amp;"D")</f>
        <v>56642</v>
      </c>
      <c r="AB2489" s="92">
        <v>1.6468678961375549E-2</v>
      </c>
      <c r="AC2489" s="101">
        <v>1.6403458824054695E-2</v>
      </c>
    </row>
    <row r="2490" spans="25:29" x14ac:dyDescent="0.2">
      <c r="Y2490" s="105" t="str">
        <f t="shared" si="72"/>
        <v>1w</v>
      </c>
      <c r="Z2490" s="93">
        <f>_xll.qlCalendarAdvance(Calendar,Z2489,Y2490,"f",FALSE)</f>
        <v>56647</v>
      </c>
      <c r="AA2490" s="117">
        <f>_xll.qlCalendarAdvance(Calendar,Z2490,NDays&amp;"D")</f>
        <v>56649</v>
      </c>
      <c r="AB2490" s="92">
        <v>1.6468591356268734E-2</v>
      </c>
      <c r="AC2490" s="101">
        <v>1.6403080856077779E-2</v>
      </c>
    </row>
    <row r="2491" spans="25:29" x14ac:dyDescent="0.2">
      <c r="Y2491" s="105" t="str">
        <f t="shared" si="72"/>
        <v>1w</v>
      </c>
      <c r="Z2491" s="93">
        <f>_xll.qlCalendarAdvance(Calendar,Z2490,Y2491,"f",FALSE)</f>
        <v>56654</v>
      </c>
      <c r="AA2491" s="117">
        <f>_xll.qlCalendarAdvance(Calendar,Z2491,NDays&amp;"D")</f>
        <v>56656</v>
      </c>
      <c r="AB2491" s="92">
        <v>1.6468508119569875E-2</v>
      </c>
      <c r="AC2491" s="101">
        <v>1.6402728687383572E-2</v>
      </c>
    </row>
    <row r="2492" spans="25:29" x14ac:dyDescent="0.2">
      <c r="Y2492" s="105" t="str">
        <f t="shared" si="72"/>
        <v>1w</v>
      </c>
      <c r="Z2492" s="93">
        <f>_xll.qlCalendarAdvance(Calendar,Z2491,Y2492,"f",FALSE)</f>
        <v>56661</v>
      </c>
      <c r="AA2492" s="117">
        <f>_xll.qlCalendarAdvance(Calendar,Z2492,NDays&amp;"D")</f>
        <v>56663</v>
      </c>
      <c r="AB2492" s="92">
        <v>1.6468424660301208E-2</v>
      </c>
      <c r="AC2492" s="101">
        <v>1.6402402317732268E-2</v>
      </c>
    </row>
    <row r="2493" spans="25:29" x14ac:dyDescent="0.2">
      <c r="Y2493" s="105" t="str">
        <f t="shared" si="72"/>
        <v>1w</v>
      </c>
      <c r="Z2493" s="93">
        <f>_xll.qlCalendarAdvance(Calendar,Z2492,Y2493,"f",FALSE)</f>
        <v>56668</v>
      </c>
      <c r="AA2493" s="117">
        <f>_xll.qlCalendarAdvance(Calendar,Z2493,NDays&amp;"D")</f>
        <v>56670</v>
      </c>
      <c r="AB2493" s="92">
        <v>1.6468336387484087E-2</v>
      </c>
      <c r="AC2493" s="101">
        <v>1.6402101747123865E-2</v>
      </c>
    </row>
    <row r="2494" spans="25:29" x14ac:dyDescent="0.2">
      <c r="Y2494" s="105" t="str">
        <f t="shared" si="72"/>
        <v>1w</v>
      </c>
      <c r="Z2494" s="93">
        <f>_xll.qlCalendarAdvance(Calendar,Z2493,Y2494,"f",FALSE)</f>
        <v>56675</v>
      </c>
      <c r="AA2494" s="117">
        <f>_xll.qlCalendarAdvance(Calendar,Z2494,NDays&amp;"D")</f>
        <v>56677</v>
      </c>
      <c r="AB2494" s="92">
        <v>1.6470066653994909E-2</v>
      </c>
      <c r="AC2494" s="101">
        <v>1.6401826975878109E-2</v>
      </c>
    </row>
    <row r="2495" spans="25:29" x14ac:dyDescent="0.2">
      <c r="Y2495" s="105" t="str">
        <f t="shared" si="72"/>
        <v>1w</v>
      </c>
      <c r="Z2495" s="93">
        <f>_xll.qlCalendarAdvance(Calendar,Z2494,Y2495,"f",FALSE)</f>
        <v>56682</v>
      </c>
      <c r="AA2495" s="117">
        <f>_xll.qlCalendarAdvance(Calendar,Z2495,NDays&amp;"D")</f>
        <v>56684</v>
      </c>
      <c r="AB2495" s="92">
        <v>1.6469938942594315E-2</v>
      </c>
      <c r="AC2495" s="101">
        <v>1.6401578003675255E-2</v>
      </c>
    </row>
    <row r="2496" spans="25:29" x14ac:dyDescent="0.2">
      <c r="Y2496" s="105" t="str">
        <f t="shared" si="72"/>
        <v>1w</v>
      </c>
      <c r="Z2496" s="93">
        <f>_xll.qlCalendarAdvance(Calendar,Z2495,Y2496,"f",FALSE)</f>
        <v>56689</v>
      </c>
      <c r="AA2496" s="117">
        <f>_xll.qlCalendarAdvance(Calendar,Z2496,NDays&amp;"D")</f>
        <v>56691</v>
      </c>
      <c r="AB2496" s="92">
        <v>1.6469790647786482E-2</v>
      </c>
      <c r="AC2496" s="101">
        <v>1.6401354830675174E-2</v>
      </c>
    </row>
    <row r="2497" spans="25:29" x14ac:dyDescent="0.2">
      <c r="Y2497" s="105" t="str">
        <f t="shared" si="72"/>
        <v>1w</v>
      </c>
      <c r="Z2497" s="93">
        <f>_xll.qlCalendarAdvance(Calendar,Z2496,Y2497,"f",FALSE)</f>
        <v>56696</v>
      </c>
      <c r="AA2497" s="117">
        <f>_xll.qlCalendarAdvance(Calendar,Z2497,NDays&amp;"D")</f>
        <v>56698</v>
      </c>
      <c r="AB2497" s="92">
        <v>1.6469617300994936E-2</v>
      </c>
      <c r="AC2497" s="101">
        <v>1.6401157456717996E-2</v>
      </c>
    </row>
    <row r="2498" spans="25:29" x14ac:dyDescent="0.2">
      <c r="Y2498" s="105" t="str">
        <f t="shared" si="72"/>
        <v>1w</v>
      </c>
      <c r="Z2498" s="93">
        <f>_xll.qlCalendarAdvance(Calendar,Z2497,Y2498,"f",FALSE)</f>
        <v>56703</v>
      </c>
      <c r="AA2498" s="117">
        <f>_xll.qlCalendarAdvance(Calendar,Z2498,NDays&amp;"D")</f>
        <v>56705</v>
      </c>
      <c r="AB2498" s="92">
        <v>1.646836461342864E-2</v>
      </c>
      <c r="AC2498" s="101">
        <v>1.6400985882123464E-2</v>
      </c>
    </row>
    <row r="2499" spans="25:29" x14ac:dyDescent="0.2">
      <c r="Y2499" s="105" t="str">
        <f t="shared" si="72"/>
        <v>1w</v>
      </c>
      <c r="Z2499" s="93">
        <f>_xll.qlCalendarAdvance(Calendar,Z2498,Y2499,"f",FALSE)</f>
        <v>56710</v>
      </c>
      <c r="AA2499" s="117">
        <f>_xll.qlCalendarAdvance(Calendar,Z2499,NDays&amp;"D")</f>
        <v>56712</v>
      </c>
      <c r="AB2499" s="92">
        <v>1.6468141798073405E-2</v>
      </c>
      <c r="AC2499" s="101">
        <v>1.6400840106651771E-2</v>
      </c>
    </row>
    <row r="2500" spans="25:29" x14ac:dyDescent="0.2">
      <c r="Y2500" s="105" t="str">
        <f t="shared" si="72"/>
        <v>1w</v>
      </c>
      <c r="Z2500" s="93">
        <f>_xll.qlCalendarAdvance(Calendar,Z2499,Y2500,"f",FALSE)</f>
        <v>56717</v>
      </c>
      <c r="AA2500" s="117">
        <f>_xll.qlCalendarAdvance(Calendar,Z2500,NDays&amp;"D")</f>
        <v>56719</v>
      </c>
      <c r="AB2500" s="92">
        <v>1.6467881419679586E-2</v>
      </c>
      <c r="AC2500" s="101">
        <v>1.6402185532566449E-2</v>
      </c>
    </row>
    <row r="2501" spans="25:29" x14ac:dyDescent="0.2">
      <c r="Y2501" s="105" t="str">
        <f t="shared" si="72"/>
        <v>1w</v>
      </c>
      <c r="Z2501" s="93">
        <f>_xll.qlCalendarAdvance(Calendar,Z2500,Y2501,"f",FALSE)</f>
        <v>56724</v>
      </c>
      <c r="AA2501" s="117">
        <f>_xll.qlCalendarAdvance(Calendar,Z2501,NDays&amp;"D")</f>
        <v>56726</v>
      </c>
      <c r="AB2501" s="92">
        <v>1.6467578937049605E-2</v>
      </c>
      <c r="AC2501" s="101">
        <v>1.6400625952917025E-2</v>
      </c>
    </row>
    <row r="2502" spans="25:29" x14ac:dyDescent="0.2">
      <c r="Y2502" s="105" t="str">
        <f t="shared" si="72"/>
        <v>1w</v>
      </c>
      <c r="Z2502" s="93">
        <f>_xll.qlCalendarAdvance(Calendar,Z2501,Y2502,"f",FALSE)</f>
        <v>56731</v>
      </c>
      <c r="AA2502" s="117">
        <f>_xll.qlCalendarAdvance(Calendar,Z2502,NDays&amp;"D")</f>
        <v>56733</v>
      </c>
      <c r="AB2502" s="92">
        <v>1.6467229808988498E-2</v>
      </c>
      <c r="AC2502" s="101">
        <v>1.6400557574973718E-2</v>
      </c>
    </row>
    <row r="2503" spans="25:29" x14ac:dyDescent="0.2">
      <c r="Y2503" s="105" t="str">
        <f t="shared" si="72"/>
        <v>1w</v>
      </c>
      <c r="Z2503" s="93">
        <f>_xll.qlCalendarAdvance(Calendar,Z2502,Y2503,"f",FALSE)</f>
        <v>56738</v>
      </c>
      <c r="AA2503" s="117">
        <f>_xll.qlCalendarAdvance(Calendar,Z2503,NDays&amp;"D")</f>
        <v>56740</v>
      </c>
      <c r="AB2503" s="92">
        <v>1.6467800888702963E-2</v>
      </c>
      <c r="AC2503" s="101">
        <v>1.640051499591344E-2</v>
      </c>
    </row>
    <row r="2504" spans="25:29" x14ac:dyDescent="0.2">
      <c r="Y2504" s="105" t="str">
        <f t="shared" si="72"/>
        <v>1w</v>
      </c>
      <c r="Z2504" s="93">
        <f>_xll.qlCalendarAdvance(Calendar,Z2503,Y2504,"f",FALSE)</f>
        <v>56745</v>
      </c>
      <c r="AA2504" s="117">
        <f>_xll.qlCalendarAdvance(Calendar,Z2504,NDays&amp;"D")</f>
        <v>56747</v>
      </c>
      <c r="AB2504" s="92">
        <v>1.6467327058180187E-2</v>
      </c>
      <c r="AC2504" s="101">
        <v>1.6400498216135873E-2</v>
      </c>
    </row>
    <row r="2505" spans="25:29" x14ac:dyDescent="0.2">
      <c r="Y2505" s="105" t="str">
        <f t="shared" si="72"/>
        <v>1w</v>
      </c>
      <c r="Z2505" s="93">
        <f>_xll.qlCalendarAdvance(Calendar,Z2504,Y2505,"f",FALSE)</f>
        <v>56752</v>
      </c>
      <c r="AA2505" s="117">
        <f>_xll.qlCalendarAdvance(Calendar,Z2505,NDays&amp;"D")</f>
        <v>56754</v>
      </c>
      <c r="AB2505" s="92">
        <v>1.6466792427215313E-2</v>
      </c>
      <c r="AC2505" s="101">
        <v>1.6400507235561079E-2</v>
      </c>
    </row>
    <row r="2506" spans="25:29" x14ac:dyDescent="0.2">
      <c r="Y2506" s="105" t="str">
        <f t="shared" si="72"/>
        <v>1w</v>
      </c>
      <c r="Z2506" s="93">
        <f>_xll.qlCalendarAdvance(Calendar,Z2505,Y2506,"f",FALSE)</f>
        <v>56759</v>
      </c>
      <c r="AA2506" s="117">
        <f>_xll.qlCalendarAdvance(Calendar,Z2506,NDays&amp;"D")</f>
        <v>56761</v>
      </c>
      <c r="AB2506" s="92">
        <v>1.646619252728429E-2</v>
      </c>
      <c r="AC2506" s="101">
        <v>1.640054205418906E-2</v>
      </c>
    </row>
    <row r="2507" spans="25:29" x14ac:dyDescent="0.2">
      <c r="Y2507" s="105" t="str">
        <f t="shared" si="72"/>
        <v>1w</v>
      </c>
      <c r="Z2507" s="93">
        <f>_xll.qlCalendarAdvance(Calendar,Z2506,Y2507,"f",FALSE)</f>
        <v>56766</v>
      </c>
      <c r="AA2507" s="117">
        <f>_xll.qlCalendarAdvance(Calendar,Z2507,NDays&amp;"D")</f>
        <v>56768</v>
      </c>
      <c r="AB2507" s="92">
        <v>1.6464625545936733E-2</v>
      </c>
      <c r="AC2507" s="101">
        <v>1.6400602671939879E-2</v>
      </c>
    </row>
    <row r="2508" spans="25:29" x14ac:dyDescent="0.2">
      <c r="Y2508" s="105" t="str">
        <f t="shared" si="72"/>
        <v>1w</v>
      </c>
      <c r="Z2508" s="93">
        <f>_xll.qlCalendarAdvance(Calendar,Z2507,Y2508,"f",FALSE)</f>
        <v>56773</v>
      </c>
      <c r="AA2508" s="117">
        <f>_xll.qlCalendarAdvance(Calendar,Z2508,NDays&amp;"D")</f>
        <v>56775</v>
      </c>
      <c r="AB2508" s="92">
        <v>1.6463901180653783E-2</v>
      </c>
      <c r="AC2508" s="101">
        <v>1.64006890887336E-2</v>
      </c>
    </row>
    <row r="2509" spans="25:29" x14ac:dyDescent="0.2">
      <c r="Y2509" s="105" t="str">
        <f t="shared" si="72"/>
        <v>1w</v>
      </c>
      <c r="Z2509" s="93">
        <f>_xll.qlCalendarAdvance(Calendar,Z2508,Y2509,"f",FALSE)</f>
        <v>56780</v>
      </c>
      <c r="AA2509" s="117">
        <f>_xll.qlCalendarAdvance(Calendar,Z2509,NDays&amp;"D")</f>
        <v>56782</v>
      </c>
      <c r="AB2509" s="92">
        <v>1.6463098381828772E-2</v>
      </c>
      <c r="AC2509" s="101">
        <v>1.6400801304810031E-2</v>
      </c>
    </row>
    <row r="2510" spans="25:29" x14ac:dyDescent="0.2">
      <c r="Y2510" s="105" t="str">
        <f t="shared" si="72"/>
        <v>1w</v>
      </c>
      <c r="Z2510" s="93">
        <f>_xll.qlCalendarAdvance(Calendar,Z2509,Y2510,"f",FALSE)</f>
        <v>56787</v>
      </c>
      <c r="AA2510" s="117">
        <f>_xll.qlCalendarAdvance(Calendar,Z2510,NDays&amp;"D")</f>
        <v>56789</v>
      </c>
      <c r="AB2510" s="92">
        <v>1.6462212608355405E-2</v>
      </c>
      <c r="AC2510" s="101">
        <v>1.64009393200093E-2</v>
      </c>
    </row>
    <row r="2511" spans="25:29" x14ac:dyDescent="0.2">
      <c r="Y2511" s="105" t="str">
        <f t="shared" si="72"/>
        <v>1w</v>
      </c>
      <c r="Z2511" s="93">
        <f>_xll.qlCalendarAdvance(Calendar,Z2510,Y2511,"f",FALSE)</f>
        <v>56794</v>
      </c>
      <c r="AA2511" s="117">
        <f>_xll.qlCalendarAdvance(Calendar,Z2511,NDays&amp;"D")</f>
        <v>56796</v>
      </c>
      <c r="AB2511" s="92">
        <v>1.6462057595727997E-2</v>
      </c>
      <c r="AC2511" s="101">
        <v>1.6401103134331407E-2</v>
      </c>
    </row>
    <row r="2512" spans="25:29" x14ac:dyDescent="0.2">
      <c r="Y2512" s="105" t="str">
        <f t="shared" si="72"/>
        <v>1w</v>
      </c>
      <c r="Z2512" s="93">
        <f>_xll.qlCalendarAdvance(Calendar,Z2511,Y2512,"f",FALSE)</f>
        <v>56801</v>
      </c>
      <c r="AA2512" s="117">
        <f>_xll.qlCalendarAdvance(Calendar,Z2512,NDays&amp;"D")</f>
        <v>56803</v>
      </c>
      <c r="AB2512" s="92">
        <v>1.6460972712782799E-2</v>
      </c>
      <c r="AC2512" s="101">
        <v>1.6401241887260554E-2</v>
      </c>
    </row>
    <row r="2513" spans="25:29" x14ac:dyDescent="0.2">
      <c r="Y2513" s="105" t="str">
        <f t="shared" si="72"/>
        <v>1w</v>
      </c>
      <c r="Z2513" s="93">
        <f>_xll.qlCalendarAdvance(Calendar,Z2512,Y2513,"f",FALSE)</f>
        <v>56808</v>
      </c>
      <c r="AA2513" s="117">
        <f>_xll.qlCalendarAdvance(Calendar,Z2513,NDays&amp;"D")</f>
        <v>56810</v>
      </c>
      <c r="AB2513" s="92">
        <v>1.6459795113994424E-2</v>
      </c>
      <c r="AC2513" s="101">
        <v>1.640128909981442E-2</v>
      </c>
    </row>
    <row r="2514" spans="25:29" x14ac:dyDescent="0.2">
      <c r="Y2514" s="105" t="str">
        <f t="shared" si="72"/>
        <v>1w</v>
      </c>
      <c r="Z2514" s="93">
        <f>_xll.qlCalendarAdvance(Calendar,Z2513,Y2514,"f",FALSE)</f>
        <v>56815</v>
      </c>
      <c r="AA2514" s="117">
        <f>_xll.qlCalendarAdvance(Calendar,Z2514,NDays&amp;"D")</f>
        <v>56817</v>
      </c>
      <c r="AB2514" s="92">
        <v>1.6458524797358456E-2</v>
      </c>
      <c r="AC2514" s="101">
        <v>1.6401244371353485E-2</v>
      </c>
    </row>
    <row r="2515" spans="25:29" x14ac:dyDescent="0.2">
      <c r="Y2515" s="105" t="str">
        <f t="shared" si="72"/>
        <v>1w</v>
      </c>
      <c r="Z2515" s="93">
        <f>_xll.qlCalendarAdvance(Calendar,Z2514,Y2515,"f",FALSE)</f>
        <v>56822</v>
      </c>
      <c r="AA2515" s="117">
        <f>_xll.qlCalendarAdvance(Calendar,Z2515,NDays&amp;"D")</f>
        <v>56824</v>
      </c>
      <c r="AB2515" s="92">
        <v>1.6457161763056255E-2</v>
      </c>
      <c r="AC2515" s="101">
        <v>1.6401107701957685E-2</v>
      </c>
    </row>
    <row r="2516" spans="25:29" x14ac:dyDescent="0.2">
      <c r="Y2516" s="105" t="str">
        <f t="shared" si="72"/>
        <v>1w</v>
      </c>
      <c r="Z2516" s="93">
        <f>_xll.qlCalendarAdvance(Calendar,Z2515,Y2516,"f",FALSE)</f>
        <v>56829</v>
      </c>
      <c r="AA2516" s="117">
        <f>_xll.qlCalendarAdvance(Calendar,Z2516,NDays&amp;"D")</f>
        <v>56831</v>
      </c>
      <c r="AB2516" s="92">
        <v>1.6455706011282933E-2</v>
      </c>
      <c r="AC2516" s="101">
        <v>1.6400879091627019E-2</v>
      </c>
    </row>
    <row r="2517" spans="25:29" x14ac:dyDescent="0.2">
      <c r="Y2517" s="105" t="str">
        <f t="shared" ref="Y2517:Y2580" si="73">Y2516</f>
        <v>1w</v>
      </c>
      <c r="Z2517" s="93">
        <f>_xll.qlCalendarAdvance(Calendar,Z2516,Y2517,"f",FALSE)</f>
        <v>56836</v>
      </c>
      <c r="AA2517" s="117">
        <f>_xll.qlCalendarAdvance(Calendar,Z2517,NDays&amp;"D")</f>
        <v>56838</v>
      </c>
      <c r="AB2517" s="92">
        <v>1.6454157542244781E-2</v>
      </c>
      <c r="AC2517" s="101">
        <v>1.6400558540361487E-2</v>
      </c>
    </row>
    <row r="2518" spans="25:29" x14ac:dyDescent="0.2">
      <c r="Y2518" s="105" t="str">
        <f t="shared" si="73"/>
        <v>1w</v>
      </c>
      <c r="Z2518" s="93">
        <f>_xll.qlCalendarAdvance(Calendar,Z2517,Y2518,"f",FALSE)</f>
        <v>56843</v>
      </c>
      <c r="AA2518" s="117">
        <f>_xll.qlCalendarAdvance(Calendar,Z2518,NDays&amp;"D")</f>
        <v>56845</v>
      </c>
      <c r="AB2518" s="92">
        <v>1.645251635616269E-2</v>
      </c>
      <c r="AC2518" s="101">
        <v>1.6400146048081155E-2</v>
      </c>
    </row>
    <row r="2519" spans="25:29" x14ac:dyDescent="0.2">
      <c r="Y2519" s="105" t="str">
        <f t="shared" si="73"/>
        <v>1w</v>
      </c>
      <c r="Z2519" s="93">
        <f>_xll.qlCalendarAdvance(Calendar,Z2518,Y2519,"f",FALSE)</f>
        <v>56850</v>
      </c>
      <c r="AA2519" s="117">
        <f>_xll.qlCalendarAdvance(Calendar,Z2519,NDays&amp;"D")</f>
        <v>56852</v>
      </c>
      <c r="AB2519" s="92">
        <v>1.6450782453270887E-2</v>
      </c>
      <c r="AC2519" s="101">
        <v>1.6399641614865956E-2</v>
      </c>
    </row>
    <row r="2520" spans="25:29" x14ac:dyDescent="0.2">
      <c r="Y2520" s="105" t="str">
        <f t="shared" si="73"/>
        <v>1w</v>
      </c>
      <c r="Z2520" s="93">
        <f>_xll.qlCalendarAdvance(Calendar,Z2519,Y2520,"f",FALSE)</f>
        <v>56857</v>
      </c>
      <c r="AA2520" s="117">
        <f>_xll.qlCalendarAdvance(Calendar,Z2520,NDays&amp;"D")</f>
        <v>56859</v>
      </c>
      <c r="AB2520" s="92">
        <v>1.6448104298341874E-2</v>
      </c>
      <c r="AC2520" s="101">
        <v>1.6399045240715893E-2</v>
      </c>
    </row>
    <row r="2521" spans="25:29" x14ac:dyDescent="0.2">
      <c r="Y2521" s="105" t="str">
        <f t="shared" si="73"/>
        <v>1w</v>
      </c>
      <c r="Z2521" s="93">
        <f>_xll.qlCalendarAdvance(Calendar,Z2520,Y2521,"f",FALSE)</f>
        <v>56864</v>
      </c>
      <c r="AA2521" s="117">
        <f>_xll.qlCalendarAdvance(Calendar,Z2521,NDays&amp;"D")</f>
        <v>56866</v>
      </c>
      <c r="AB2521" s="92">
        <v>1.6446211797266023E-2</v>
      </c>
      <c r="AC2521" s="101">
        <v>1.6398356925630964E-2</v>
      </c>
    </row>
    <row r="2522" spans="25:29" x14ac:dyDescent="0.2">
      <c r="Y2522" s="105" t="str">
        <f t="shared" si="73"/>
        <v>1w</v>
      </c>
      <c r="Z2522" s="93">
        <f>_xll.qlCalendarAdvance(Calendar,Z2521,Y2522,"f",FALSE)</f>
        <v>56871</v>
      </c>
      <c r="AA2522" s="117">
        <f>_xll.qlCalendarAdvance(Calendar,Z2522,NDays&amp;"D")</f>
        <v>56873</v>
      </c>
      <c r="AB2522" s="92">
        <v>1.6444226596905E-2</v>
      </c>
      <c r="AC2522" s="101">
        <v>1.6397576669611169E-2</v>
      </c>
    </row>
    <row r="2523" spans="25:29" x14ac:dyDescent="0.2">
      <c r="Y2523" s="105" t="str">
        <f t="shared" si="73"/>
        <v>1w</v>
      </c>
      <c r="Z2523" s="93">
        <f>_xll.qlCalendarAdvance(Calendar,Z2522,Y2523,"f",FALSE)</f>
        <v>56878</v>
      </c>
      <c r="AA2523" s="117">
        <f>_xll.qlCalendarAdvance(Calendar,Z2523,NDays&amp;"D")</f>
        <v>56880</v>
      </c>
      <c r="AB2523" s="92">
        <v>1.644214869753639E-2</v>
      </c>
      <c r="AC2523" s="101">
        <v>1.6396704472496637E-2</v>
      </c>
    </row>
    <row r="2524" spans="25:29" x14ac:dyDescent="0.2">
      <c r="Y2524" s="105" t="str">
        <f t="shared" si="73"/>
        <v>1w</v>
      </c>
      <c r="Z2524" s="93">
        <f>_xll.qlCalendarAdvance(Calendar,Z2523,Y2524,"f",FALSE)</f>
        <v>56885</v>
      </c>
      <c r="AA2524" s="117">
        <f>_xll.qlCalendarAdvance(Calendar,Z2524,NDays&amp;"D")</f>
        <v>56887</v>
      </c>
      <c r="AB2524" s="92">
        <v>1.6439978099449623E-2</v>
      </c>
      <c r="AC2524" s="101">
        <v>1.6395740334607112E-2</v>
      </c>
    </row>
    <row r="2525" spans="25:29" x14ac:dyDescent="0.2">
      <c r="Y2525" s="105" t="str">
        <f t="shared" si="73"/>
        <v>1w</v>
      </c>
      <c r="Z2525" s="93">
        <f>_xll.qlCalendarAdvance(Calendar,Z2524,Y2525,"f",FALSE)</f>
        <v>56892</v>
      </c>
      <c r="AA2525" s="117">
        <f>_xll.qlCalendarAdvance(Calendar,Z2525,NDays&amp;"D")</f>
        <v>56894</v>
      </c>
      <c r="AB2525" s="92">
        <v>1.6437895057132893E-2</v>
      </c>
      <c r="AC2525" s="101">
        <v>1.6394684255702785E-2</v>
      </c>
    </row>
    <row r="2526" spans="25:29" x14ac:dyDescent="0.2">
      <c r="Y2526" s="105" t="str">
        <f t="shared" si="73"/>
        <v>1w</v>
      </c>
      <c r="Z2526" s="93">
        <f>_xll.qlCalendarAdvance(Calendar,Z2525,Y2526,"f",FALSE)</f>
        <v>56899</v>
      </c>
      <c r="AA2526" s="117">
        <f>_xll.qlCalendarAdvance(Calendar,Z2526,NDays&amp;"D")</f>
        <v>56901</v>
      </c>
      <c r="AB2526" s="92">
        <v>1.6435532333859471E-2</v>
      </c>
      <c r="AC2526" s="101">
        <v>1.6393536235783657E-2</v>
      </c>
    </row>
    <row r="2527" spans="25:29" x14ac:dyDescent="0.2">
      <c r="Y2527" s="105" t="str">
        <f t="shared" si="73"/>
        <v>1w</v>
      </c>
      <c r="Z2527" s="93">
        <f>_xll.qlCalendarAdvance(Calendar,Z2526,Y2527,"f",FALSE)</f>
        <v>56906</v>
      </c>
      <c r="AA2527" s="117">
        <f>_xll.qlCalendarAdvance(Calendar,Z2527,NDays&amp;"D")</f>
        <v>56908</v>
      </c>
      <c r="AB2527" s="92">
        <v>1.6433076908642003E-2</v>
      </c>
      <c r="AC2527" s="101">
        <v>1.6392296275009599E-2</v>
      </c>
    </row>
    <row r="2528" spans="25:29" x14ac:dyDescent="0.2">
      <c r="Y2528" s="105" t="str">
        <f t="shared" si="73"/>
        <v>1w</v>
      </c>
      <c r="Z2528" s="93">
        <f>_xll.qlCalendarAdvance(Calendar,Z2527,Y2528,"f",FALSE)</f>
        <v>56913</v>
      </c>
      <c r="AA2528" s="117">
        <f>_xll.qlCalendarAdvance(Calendar,Z2528,NDays&amp;"D")</f>
        <v>56915</v>
      </c>
      <c r="AB2528" s="92">
        <v>1.6430528781823384E-2</v>
      </c>
      <c r="AC2528" s="101">
        <v>1.639096437322074E-2</v>
      </c>
    </row>
    <row r="2529" spans="25:29" x14ac:dyDescent="0.2">
      <c r="Y2529" s="105" t="str">
        <f t="shared" si="73"/>
        <v>1w</v>
      </c>
      <c r="Z2529" s="93">
        <f>_xll.qlCalendarAdvance(Calendar,Z2528,Y2529,"f",FALSE)</f>
        <v>56920</v>
      </c>
      <c r="AA2529" s="117">
        <f>_xll.qlCalendarAdvance(Calendar,Z2529,NDays&amp;"D")</f>
        <v>56922</v>
      </c>
      <c r="AB2529" s="92">
        <v>1.6427734639293142E-2</v>
      </c>
      <c r="AC2529" s="101">
        <v>1.6389540530576951E-2</v>
      </c>
    </row>
    <row r="2530" spans="25:29" x14ac:dyDescent="0.2">
      <c r="Y2530" s="105" t="str">
        <f t="shared" si="73"/>
        <v>1w</v>
      </c>
      <c r="Z2530" s="93">
        <f>_xll.qlCalendarAdvance(Calendar,Z2529,Y2530,"f",FALSE)</f>
        <v>56927</v>
      </c>
      <c r="AA2530" s="117">
        <f>_xll.qlCalendarAdvance(Calendar,Z2530,NDays&amp;"D")</f>
        <v>56929</v>
      </c>
      <c r="AB2530" s="92">
        <v>1.6425007855706962E-2</v>
      </c>
      <c r="AC2530" s="101">
        <v>1.6388024746918362E-2</v>
      </c>
    </row>
    <row r="2531" spans="25:29" x14ac:dyDescent="0.2">
      <c r="Y2531" s="105" t="str">
        <f t="shared" si="73"/>
        <v>1w</v>
      </c>
      <c r="Z2531" s="93">
        <f>_xll.qlCalendarAdvance(Calendar,Z2530,Y2531,"f",FALSE)</f>
        <v>56934</v>
      </c>
      <c r="AA2531" s="117">
        <f>_xll.qlCalendarAdvance(Calendar,Z2531,NDays&amp;"D")</f>
        <v>56936</v>
      </c>
      <c r="AB2531" s="92">
        <v>1.6422188375792807E-2</v>
      </c>
      <c r="AC2531" s="101">
        <v>1.6386417022324906E-2</v>
      </c>
    </row>
    <row r="2532" spans="25:29" x14ac:dyDescent="0.2">
      <c r="Y2532" s="105" t="str">
        <f t="shared" si="73"/>
        <v>1w</v>
      </c>
      <c r="Z2532" s="93">
        <f>_xll.qlCalendarAdvance(Calendar,Z2531,Y2532,"f",FALSE)</f>
        <v>56941</v>
      </c>
      <c r="AA2532" s="117">
        <f>_xll.qlCalendarAdvance(Calendar,Z2532,NDays&amp;"D")</f>
        <v>56943</v>
      </c>
      <c r="AB2532" s="92">
        <v>1.6419276199944207E-2</v>
      </c>
      <c r="AC2532" s="101">
        <v>1.6384717356796585E-2</v>
      </c>
    </row>
    <row r="2533" spans="25:29" x14ac:dyDescent="0.2">
      <c r="Y2533" s="105" t="str">
        <f t="shared" si="73"/>
        <v>1w</v>
      </c>
      <c r="Z2533" s="93">
        <f>_xll.qlCalendarAdvance(Calendar,Z2532,Y2533,"f",FALSE)</f>
        <v>56948</v>
      </c>
      <c r="AA2533" s="117">
        <f>_xll.qlCalendarAdvance(Calendar,Z2533,NDays&amp;"D")</f>
        <v>56950</v>
      </c>
      <c r="AB2533" s="92">
        <v>1.6416397636687594E-2</v>
      </c>
      <c r="AC2533" s="101">
        <v>1.6382925750333399E-2</v>
      </c>
    </row>
    <row r="2534" spans="25:29" x14ac:dyDescent="0.2">
      <c r="Y2534" s="105" t="str">
        <f t="shared" si="73"/>
        <v>1w</v>
      </c>
      <c r="Z2534" s="93">
        <f>_xll.qlCalendarAdvance(Calendar,Z2533,Y2534,"f",FALSE)</f>
        <v>56955</v>
      </c>
      <c r="AA2534" s="117">
        <f>_xll.qlCalendarAdvance(Calendar,Z2534,NDays&amp;"D")</f>
        <v>56957</v>
      </c>
      <c r="AB2534" s="92">
        <v>1.6413293308225545E-2</v>
      </c>
      <c r="AC2534" s="101">
        <v>1.6381042202855411E-2</v>
      </c>
    </row>
    <row r="2535" spans="25:29" x14ac:dyDescent="0.2">
      <c r="Y2535" s="105" t="str">
        <f t="shared" si="73"/>
        <v>1w</v>
      </c>
      <c r="Z2535" s="93">
        <f>_xll.qlCalendarAdvance(Calendar,Z2534,Y2535,"f",FALSE)</f>
        <v>56962</v>
      </c>
      <c r="AA2535" s="117">
        <f>_xll.qlCalendarAdvance(Calendar,Z2535,NDays&amp;"D")</f>
        <v>56964</v>
      </c>
      <c r="AB2535" s="92">
        <v>1.6410096280936082E-2</v>
      </c>
      <c r="AC2535" s="101">
        <v>1.637906671460243E-2</v>
      </c>
    </row>
    <row r="2536" spans="25:29" x14ac:dyDescent="0.2">
      <c r="Y2536" s="105" t="str">
        <f t="shared" si="73"/>
        <v>1w</v>
      </c>
      <c r="Z2536" s="93">
        <f>_xll.qlCalendarAdvance(Calendar,Z2535,Y2536,"f",FALSE)</f>
        <v>56969</v>
      </c>
      <c r="AA2536" s="117">
        <f>_xll.qlCalendarAdvance(Calendar,Z2536,NDays&amp;"D")</f>
        <v>56971</v>
      </c>
      <c r="AB2536" s="92">
        <v>1.6406806555269125E-2</v>
      </c>
      <c r="AC2536" s="101">
        <v>1.6376999285334648E-2</v>
      </c>
    </row>
    <row r="2537" spans="25:29" x14ac:dyDescent="0.2">
      <c r="Y2537" s="105" t="str">
        <f t="shared" si="73"/>
        <v>1w</v>
      </c>
      <c r="Z2537" s="93">
        <f>_xll.qlCalendarAdvance(Calendar,Z2536,Y2537,"f",FALSE)</f>
        <v>56976</v>
      </c>
      <c r="AA2537" s="117">
        <f>_xll.qlCalendarAdvance(Calendar,Z2537,NDays&amp;"D")</f>
        <v>56978</v>
      </c>
      <c r="AB2537" s="92">
        <v>1.6403424131684191E-2</v>
      </c>
      <c r="AC2537" s="101">
        <v>1.6374839915052064E-2</v>
      </c>
    </row>
    <row r="2538" spans="25:29" x14ac:dyDescent="0.2">
      <c r="Y2538" s="105" t="str">
        <f t="shared" si="73"/>
        <v>1w</v>
      </c>
      <c r="Z2538" s="93">
        <f>_xll.qlCalendarAdvance(Calendar,Z2537,Y2538,"f",FALSE)</f>
        <v>56983</v>
      </c>
      <c r="AA2538" s="117">
        <f>_xll.qlCalendarAdvance(Calendar,Z2538,NDays&amp;"D")</f>
        <v>56985</v>
      </c>
      <c r="AB2538" s="92">
        <v>1.6399856553863546E-2</v>
      </c>
      <c r="AC2538" s="101">
        <v>1.6372588603914551E-2</v>
      </c>
    </row>
    <row r="2539" spans="25:29" x14ac:dyDescent="0.2">
      <c r="Y2539" s="105" t="str">
        <f t="shared" si="73"/>
        <v>1w</v>
      </c>
      <c r="Z2539" s="93">
        <f>_xll.qlCalendarAdvance(Calendar,Z2538,Y2539,"f",FALSE)</f>
        <v>56990</v>
      </c>
      <c r="AA2539" s="117">
        <f>_xll.qlCalendarAdvance(Calendar,Z2539,NDays&amp;"D")</f>
        <v>56992</v>
      </c>
      <c r="AB2539" s="92">
        <v>1.6396295518564381E-2</v>
      </c>
      <c r="AC2539" s="101">
        <v>1.6370245351842172E-2</v>
      </c>
    </row>
    <row r="2540" spans="25:29" x14ac:dyDescent="0.2">
      <c r="Y2540" s="105" t="str">
        <f t="shared" si="73"/>
        <v>1w</v>
      </c>
      <c r="Z2540" s="93">
        <f>_xll.qlCalendarAdvance(Calendar,Z2539,Y2540,"f",FALSE)</f>
        <v>56997</v>
      </c>
      <c r="AA2540" s="117">
        <f>_xll.qlCalendarAdvance(Calendar,Z2540,NDays&amp;"D")</f>
        <v>56999</v>
      </c>
      <c r="AB2540" s="92">
        <v>1.639264179094151E-2</v>
      </c>
      <c r="AC2540" s="101">
        <v>1.6367810158834928E-2</v>
      </c>
    </row>
    <row r="2541" spans="25:29" x14ac:dyDescent="0.2">
      <c r="Y2541" s="105" t="str">
        <f t="shared" si="73"/>
        <v>1w</v>
      </c>
      <c r="Z2541" s="93">
        <f>_xll.qlCalendarAdvance(Calendar,Z2540,Y2541,"f",FALSE)</f>
        <v>57004</v>
      </c>
      <c r="AA2541" s="117">
        <f>_xll.qlCalendarAdvance(Calendar,Z2541,NDays&amp;"D")</f>
        <v>57006</v>
      </c>
      <c r="AB2541" s="92">
        <v>1.6388895371502656E-2</v>
      </c>
      <c r="AC2541" s="101">
        <v>1.6365283024892818E-2</v>
      </c>
    </row>
    <row r="2542" spans="25:29" x14ac:dyDescent="0.2">
      <c r="Y2542" s="105" t="str">
        <f t="shared" si="73"/>
        <v>1w</v>
      </c>
      <c r="Z2542" s="93">
        <f>_xll.qlCalendarAdvance(Calendar,Z2541,Y2542,"f",FALSE)</f>
        <v>57011</v>
      </c>
      <c r="AA2542" s="117">
        <f>_xll.qlCalendarAdvance(Calendar,Z2542,NDays&amp;"D")</f>
        <v>57013</v>
      </c>
      <c r="AB2542" s="92">
        <v>1.6385056260771799E-2</v>
      </c>
      <c r="AC2542" s="101">
        <v>1.6362663950095779E-2</v>
      </c>
    </row>
    <row r="2543" spans="25:29" x14ac:dyDescent="0.2">
      <c r="Y2543" s="105" t="str">
        <f t="shared" si="73"/>
        <v>1w</v>
      </c>
      <c r="Z2543" s="93">
        <f>_xll.qlCalendarAdvance(Calendar,Z2542,Y2543,"f",FALSE)</f>
        <v>57018</v>
      </c>
      <c r="AA2543" s="117">
        <f>_xll.qlCalendarAdvance(Calendar,Z2543,NDays&amp;"D")</f>
        <v>57020</v>
      </c>
      <c r="AB2543" s="92">
        <v>1.6381124459283015E-2</v>
      </c>
      <c r="AC2543" s="101">
        <v>1.6359952934204003E-2</v>
      </c>
    </row>
    <row r="2544" spans="25:29" x14ac:dyDescent="0.2">
      <c r="Y2544" s="105" t="str">
        <f t="shared" si="73"/>
        <v>1w</v>
      </c>
      <c r="Z2544" s="93">
        <f>_xll.qlCalendarAdvance(Calendar,Z2543,Y2544,"f",FALSE)</f>
        <v>57025</v>
      </c>
      <c r="AA2544" s="117">
        <f>_xll.qlCalendarAdvance(Calendar,Z2544,NDays&amp;"D")</f>
        <v>57027</v>
      </c>
      <c r="AB2544" s="92">
        <v>1.6377099967586194E-2</v>
      </c>
      <c r="AC2544" s="101">
        <v>1.6357149977537233E-2</v>
      </c>
    </row>
    <row r="2545" spans="25:29" x14ac:dyDescent="0.2">
      <c r="Y2545" s="105" t="str">
        <f t="shared" si="73"/>
        <v>1w</v>
      </c>
      <c r="Z2545" s="93">
        <f>_xll.qlCalendarAdvance(Calendar,Z2544,Y2545,"f",FALSE)</f>
        <v>57032</v>
      </c>
      <c r="AA2545" s="117">
        <f>_xll.qlCalendarAdvance(Calendar,Z2545,NDays&amp;"D")</f>
        <v>57034</v>
      </c>
      <c r="AB2545" s="92">
        <v>1.6372982786240452E-2</v>
      </c>
      <c r="AC2545" s="101">
        <v>1.6354255079935598E-2</v>
      </c>
    </row>
    <row r="2546" spans="25:29" x14ac:dyDescent="0.2">
      <c r="Y2546" s="105" t="str">
        <f t="shared" si="73"/>
        <v>1w</v>
      </c>
      <c r="Z2546" s="93">
        <f>_xll.qlCalendarAdvance(Calendar,Z2545,Y2546,"f",FALSE)</f>
        <v>57039</v>
      </c>
      <c r="AA2546" s="117">
        <f>_xll.qlCalendarAdvance(Calendar,Z2546,NDays&amp;"D")</f>
        <v>57041</v>
      </c>
      <c r="AB2546" s="92">
        <v>1.6368921337669894E-2</v>
      </c>
      <c r="AC2546" s="101">
        <v>1.6351268241479033E-2</v>
      </c>
    </row>
    <row r="2547" spans="25:29" x14ac:dyDescent="0.2">
      <c r="Y2547" s="105" t="str">
        <f t="shared" si="73"/>
        <v>1w</v>
      </c>
      <c r="Z2547" s="93">
        <f>_xll.qlCalendarAdvance(Calendar,Z2546,Y2547,"f",FALSE)</f>
        <v>57046</v>
      </c>
      <c r="AA2547" s="117">
        <f>_xll.qlCalendarAdvance(Calendar,Z2547,NDays&amp;"D")</f>
        <v>57048</v>
      </c>
      <c r="AB2547" s="92">
        <v>1.6364591512691339E-2</v>
      </c>
      <c r="AC2547" s="101">
        <v>1.6348189461927731E-2</v>
      </c>
    </row>
    <row r="2548" spans="25:29" x14ac:dyDescent="0.2">
      <c r="Y2548" s="105" t="str">
        <f t="shared" si="73"/>
        <v>1w</v>
      </c>
      <c r="Z2548" s="93">
        <f>_xll.qlCalendarAdvance(Calendar,Z2547,Y2548,"f",FALSE)</f>
        <v>57053</v>
      </c>
      <c r="AA2548" s="117">
        <f>_xll.qlCalendarAdvance(Calendar,Z2548,NDays&amp;"D")</f>
        <v>57055</v>
      </c>
      <c r="AB2548" s="92">
        <v>1.6360168983431542E-2</v>
      </c>
      <c r="AC2548" s="101">
        <v>1.6345018741601436E-2</v>
      </c>
    </row>
    <row r="2549" spans="25:29" x14ac:dyDescent="0.2">
      <c r="Y2549" s="105" t="str">
        <f t="shared" si="73"/>
        <v>1w</v>
      </c>
      <c r="Z2549" s="93">
        <f>_xll.qlCalendarAdvance(Calendar,Z2548,Y2549,"f",FALSE)</f>
        <v>57060</v>
      </c>
      <c r="AA2549" s="117">
        <f>_xll.qlCalendarAdvance(Calendar,Z2549,NDays&amp;"D")</f>
        <v>57062</v>
      </c>
      <c r="AB2549" s="92">
        <v>1.63556537505214E-2</v>
      </c>
      <c r="AC2549" s="101">
        <v>1.6341756080340275E-2</v>
      </c>
    </row>
    <row r="2550" spans="25:29" x14ac:dyDescent="0.2">
      <c r="Y2550" s="105" t="str">
        <f t="shared" si="73"/>
        <v>1w</v>
      </c>
      <c r="Z2550" s="93">
        <f>_xll.qlCalendarAdvance(Calendar,Z2549,Y2550,"f",FALSE)</f>
        <v>57067</v>
      </c>
      <c r="AA2550" s="117">
        <f>_xll.qlCalendarAdvance(Calendar,Z2550,NDays&amp;"D")</f>
        <v>57069</v>
      </c>
      <c r="AB2550" s="92">
        <v>1.6351017348138833E-2</v>
      </c>
      <c r="AC2550" s="101">
        <v>1.6338907165492245E-2</v>
      </c>
    </row>
    <row r="2551" spans="25:29" x14ac:dyDescent="0.2">
      <c r="Y2551" s="105" t="str">
        <f t="shared" si="73"/>
        <v>1w</v>
      </c>
      <c r="Z2551" s="93">
        <f>_xll.qlCalendarAdvance(Calendar,Z2550,Y2551,"f",FALSE)</f>
        <v>57074</v>
      </c>
      <c r="AA2551" s="117">
        <f>_xll.qlCalendarAdvance(Calendar,Z2551,NDays&amp;"D")</f>
        <v>57076</v>
      </c>
      <c r="AB2551" s="92">
        <v>1.6346337209420293E-2</v>
      </c>
      <c r="AC2551" s="101">
        <v>1.6334954934933421E-2</v>
      </c>
    </row>
    <row r="2552" spans="25:29" x14ac:dyDescent="0.2">
      <c r="Y2552" s="105" t="str">
        <f t="shared" si="73"/>
        <v>1w</v>
      </c>
      <c r="Z2552" s="93">
        <f>_xll.qlCalendarAdvance(Calendar,Z2551,Y2552,"f",FALSE)</f>
        <v>57081</v>
      </c>
      <c r="AA2552" s="117">
        <f>_xll.qlCalendarAdvance(Calendar,Z2552,NDays&amp;"D")</f>
        <v>57083</v>
      </c>
      <c r="AB2552" s="92">
        <v>1.6341564381263118E-2</v>
      </c>
      <c r="AC2552" s="101">
        <v>1.6331416451027536E-2</v>
      </c>
    </row>
    <row r="2553" spans="25:29" x14ac:dyDescent="0.2">
      <c r="Y2553" s="105" t="str">
        <f t="shared" si="73"/>
        <v>1w</v>
      </c>
      <c r="Z2553" s="93">
        <f>_xll.qlCalendarAdvance(Calendar,Z2552,Y2553,"f",FALSE)</f>
        <v>57088</v>
      </c>
      <c r="AA2553" s="117">
        <f>_xll.qlCalendarAdvance(Calendar,Z2553,NDays&amp;"D")</f>
        <v>57090</v>
      </c>
      <c r="AB2553" s="92">
        <v>1.6336698864335621E-2</v>
      </c>
      <c r="AC2553" s="101">
        <v>1.6327786026186786E-2</v>
      </c>
    </row>
    <row r="2554" spans="25:29" x14ac:dyDescent="0.2">
      <c r="Y2554" s="105" t="str">
        <f t="shared" si="73"/>
        <v>1w</v>
      </c>
      <c r="Z2554" s="93">
        <f>_xll.qlCalendarAdvance(Calendar,Z2553,Y2554,"f",FALSE)</f>
        <v>57095</v>
      </c>
      <c r="AA2554" s="117">
        <f>_xll.qlCalendarAdvance(Calendar,Z2554,NDays&amp;"D")</f>
        <v>57097</v>
      </c>
      <c r="AB2554" s="92">
        <v>1.6331740659320099E-2</v>
      </c>
      <c r="AC2554" s="101">
        <v>1.632406366041117E-2</v>
      </c>
    </row>
    <row r="2555" spans="25:29" x14ac:dyDescent="0.2">
      <c r="Y2555" s="105" t="str">
        <f t="shared" si="73"/>
        <v>1w</v>
      </c>
      <c r="Z2555" s="93">
        <f>_xll.qlCalendarAdvance(Calendar,Z2554,Y2555,"f",FALSE)</f>
        <v>57102</v>
      </c>
      <c r="AA2555" s="117">
        <f>_xll.qlCalendarAdvance(Calendar,Z2555,NDays&amp;"D")</f>
        <v>57104</v>
      </c>
      <c r="AB2555" s="92">
        <v>1.6326615613354755E-2</v>
      </c>
      <c r="AC2555" s="101">
        <v>1.6320249353620753E-2</v>
      </c>
    </row>
    <row r="2556" spans="25:29" x14ac:dyDescent="0.2">
      <c r="Y2556" s="105" t="str">
        <f t="shared" si="73"/>
        <v>1w</v>
      </c>
      <c r="Z2556" s="93">
        <f>_xll.qlCalendarAdvance(Calendar,Z2555,Y2556,"f",FALSE)</f>
        <v>57109</v>
      </c>
      <c r="AA2556" s="117">
        <f>_xll.qlCalendarAdvance(Calendar,Z2556,NDays&amp;"D")</f>
        <v>57111</v>
      </c>
      <c r="AB2556" s="92">
        <v>1.632145147364664E-2</v>
      </c>
      <c r="AC2556" s="101">
        <v>1.6316343106135278E-2</v>
      </c>
    </row>
    <row r="2557" spans="25:29" x14ac:dyDescent="0.2">
      <c r="Y2557" s="105" t="str">
        <f t="shared" si="73"/>
        <v>1w</v>
      </c>
      <c r="Z2557" s="93">
        <f>_xll.qlCalendarAdvance(Calendar,Z2556,Y2557,"f",FALSE)</f>
        <v>57116</v>
      </c>
      <c r="AA2557" s="117">
        <f>_xll.qlCalendarAdvance(Calendar,Z2557,NDays&amp;"D")</f>
        <v>57118</v>
      </c>
      <c r="AB2557" s="92">
        <v>1.6316194635804193E-2</v>
      </c>
      <c r="AC2557" s="101">
        <v>1.6312344917555066E-2</v>
      </c>
    </row>
    <row r="2558" spans="25:29" x14ac:dyDescent="0.2">
      <c r="Y2558" s="105" t="str">
        <f t="shared" si="73"/>
        <v>1w</v>
      </c>
      <c r="Z2558" s="93">
        <f>_xll.qlCalendarAdvance(Calendar,Z2557,Y2558,"f",FALSE)</f>
        <v>57123</v>
      </c>
      <c r="AA2558" s="117">
        <f>_xll.qlCalendarAdvance(Calendar,Z2558,NDays&amp;"D")</f>
        <v>57125</v>
      </c>
      <c r="AB2558" s="92">
        <v>1.6310845100577356E-2</v>
      </c>
      <c r="AC2558" s="101">
        <v>1.6308254788199861E-2</v>
      </c>
    </row>
    <row r="2559" spans="25:29" x14ac:dyDescent="0.2">
      <c r="Y2559" s="105" t="str">
        <f t="shared" si="73"/>
        <v>1w</v>
      </c>
      <c r="Z2559" s="93">
        <f>_xll.qlCalendarAdvance(Calendar,Z2558,Y2559,"f",FALSE)</f>
        <v>57130</v>
      </c>
      <c r="AA2559" s="117">
        <f>_xll.qlCalendarAdvance(Calendar,Z2559,NDays&amp;"D")</f>
        <v>57132</v>
      </c>
      <c r="AB2559" s="92">
        <v>1.630555933770449E-2</v>
      </c>
      <c r="AC2559" s="101">
        <v>1.6304072718069662E-2</v>
      </c>
    </row>
    <row r="2560" spans="25:29" x14ac:dyDescent="0.2">
      <c r="Y2560" s="105" t="str">
        <f t="shared" si="73"/>
        <v>1w</v>
      </c>
      <c r="Z2560" s="93">
        <f>_xll.qlCalendarAdvance(Calendar,Z2559,Y2560,"f",FALSE)</f>
        <v>57137</v>
      </c>
      <c r="AA2560" s="117">
        <f>_xll.qlCalendarAdvance(Calendar,Z2560,NDays&amp;"D")</f>
        <v>57139</v>
      </c>
      <c r="AB2560" s="92">
        <v>1.6300045019212825E-2</v>
      </c>
      <c r="AC2560" s="101">
        <v>1.6299798707004598E-2</v>
      </c>
    </row>
    <row r="2561" spans="25:29" x14ac:dyDescent="0.2">
      <c r="Y2561" s="105" t="str">
        <f t="shared" si="73"/>
        <v>1w</v>
      </c>
      <c r="Z2561" s="93">
        <f>_xll.qlCalendarAdvance(Calendar,Z2560,Y2561,"f",FALSE)</f>
        <v>57144</v>
      </c>
      <c r="AA2561" s="117">
        <f>_xll.qlCalendarAdvance(Calendar,Z2561,NDays&amp;"D")</f>
        <v>57146</v>
      </c>
      <c r="AB2561" s="92">
        <v>1.6294438017771758E-2</v>
      </c>
      <c r="AC2561" s="101">
        <v>1.6295432755004668E-2</v>
      </c>
    </row>
    <row r="2562" spans="25:29" x14ac:dyDescent="0.2">
      <c r="Y2562" s="105" t="str">
        <f t="shared" si="73"/>
        <v>1w</v>
      </c>
      <c r="Z2562" s="93">
        <f>_xll.qlCalendarAdvance(Calendar,Z2561,Y2562,"f",FALSE)</f>
        <v>57151</v>
      </c>
      <c r="AA2562" s="117">
        <f>_xll.qlCalendarAdvance(Calendar,Z2562,NDays&amp;"D")</f>
        <v>57153</v>
      </c>
      <c r="AB2562" s="92">
        <v>1.6288738334167108E-2</v>
      </c>
      <c r="AC2562" s="101">
        <v>1.6290974862069874E-2</v>
      </c>
    </row>
    <row r="2563" spans="25:29" x14ac:dyDescent="0.2">
      <c r="Y2563" s="105" t="str">
        <f t="shared" si="73"/>
        <v>1w</v>
      </c>
      <c r="Z2563" s="93">
        <f>_xll.qlCalendarAdvance(Calendar,Z2562,Y2563,"f",FALSE)</f>
        <v>57158</v>
      </c>
      <c r="AA2563" s="117">
        <f>_xll.qlCalendarAdvance(Calendar,Z2563,NDays&amp;"D")</f>
        <v>57160</v>
      </c>
      <c r="AB2563" s="92">
        <v>1.6282945969199106E-2</v>
      </c>
      <c r="AC2563" s="101">
        <v>1.6286425028360085E-2</v>
      </c>
    </row>
    <row r="2564" spans="25:29" x14ac:dyDescent="0.2">
      <c r="Y2564" s="105" t="str">
        <f t="shared" si="73"/>
        <v>1w</v>
      </c>
      <c r="Z2564" s="93">
        <f>_xll.qlCalendarAdvance(Calendar,Z2563,Y2564,"f",FALSE)</f>
        <v>57165</v>
      </c>
      <c r="AA2564" s="117">
        <f>_xll.qlCalendarAdvance(Calendar,Z2564,NDays&amp;"D")</f>
        <v>57167</v>
      </c>
      <c r="AB2564" s="92">
        <v>1.6276801287759525E-2</v>
      </c>
      <c r="AC2564" s="101">
        <v>1.6281783253875304E-2</v>
      </c>
    </row>
    <row r="2565" spans="25:29" x14ac:dyDescent="0.2">
      <c r="Y2565" s="105" t="str">
        <f t="shared" si="73"/>
        <v>1w</v>
      </c>
      <c r="Z2565" s="93">
        <f>_xll.qlCalendarAdvance(Calendar,Z2564,Y2565,"f",FALSE)</f>
        <v>57172</v>
      </c>
      <c r="AA2565" s="117">
        <f>_xll.qlCalendarAdvance(Calendar,Z2565,NDays&amp;"D")</f>
        <v>57174</v>
      </c>
      <c r="AB2565" s="92">
        <v>1.6270802892925783E-2</v>
      </c>
      <c r="AC2565" s="101">
        <v>1.6277049538375721E-2</v>
      </c>
    </row>
    <row r="2566" spans="25:29" x14ac:dyDescent="0.2">
      <c r="Y2566" s="105" t="str">
        <f t="shared" si="73"/>
        <v>1w</v>
      </c>
      <c r="Z2566" s="93">
        <f>_xll.qlCalendarAdvance(Calendar,Z2565,Y2566,"f",FALSE)</f>
        <v>57179</v>
      </c>
      <c r="AA2566" s="117">
        <f>_xll.qlCalendarAdvance(Calendar,Z2566,NDays&amp;"D")</f>
        <v>57181</v>
      </c>
      <c r="AB2566" s="92">
        <v>1.6264711807175165E-2</v>
      </c>
      <c r="AC2566" s="101">
        <v>1.6272223882021208E-2</v>
      </c>
    </row>
    <row r="2567" spans="25:29" x14ac:dyDescent="0.2">
      <c r="Y2567" s="105" t="str">
        <f t="shared" si="73"/>
        <v>1w</v>
      </c>
      <c r="Z2567" s="93">
        <f>_xll.qlCalendarAdvance(Calendar,Z2566,Y2567,"f",FALSE)</f>
        <v>57186</v>
      </c>
      <c r="AA2567" s="117">
        <f>_xll.qlCalendarAdvance(Calendar,Z2567,NDays&amp;"D")</f>
        <v>57188</v>
      </c>
      <c r="AB2567" s="92">
        <v>1.6258528031377079E-2</v>
      </c>
      <c r="AC2567" s="101">
        <v>1.6267306284891703E-2</v>
      </c>
    </row>
    <row r="2568" spans="25:29" x14ac:dyDescent="0.2">
      <c r="Y2568" s="105" t="str">
        <f t="shared" si="73"/>
        <v>1w</v>
      </c>
      <c r="Z2568" s="93">
        <f>_xll.qlCalendarAdvance(Calendar,Z2567,Y2568,"f",FALSE)</f>
        <v>57193</v>
      </c>
      <c r="AA2568" s="117">
        <f>_xll.qlCalendarAdvance(Calendar,Z2568,NDays&amp;"D")</f>
        <v>57195</v>
      </c>
      <c r="AB2568" s="92">
        <v>1.6252251566411684E-2</v>
      </c>
      <c r="AC2568" s="101">
        <v>1.6262296746907268E-2</v>
      </c>
    </row>
    <row r="2569" spans="25:29" x14ac:dyDescent="0.2">
      <c r="Y2569" s="105" t="str">
        <f t="shared" si="73"/>
        <v>1w</v>
      </c>
      <c r="Z2569" s="93">
        <f>_xll.qlCalendarAdvance(Calendar,Z2568,Y2569,"f",FALSE)</f>
        <v>57200</v>
      </c>
      <c r="AA2569" s="117">
        <f>_xll.qlCalendarAdvance(Calendar,Z2569,NDays&amp;"D")</f>
        <v>57202</v>
      </c>
      <c r="AB2569" s="92">
        <v>1.6245882413173318E-2</v>
      </c>
      <c r="AC2569" s="101">
        <v>1.6257195267987967E-2</v>
      </c>
    </row>
    <row r="2570" spans="25:29" x14ac:dyDescent="0.2">
      <c r="Y2570" s="105" t="str">
        <f t="shared" si="73"/>
        <v>1w</v>
      </c>
      <c r="Z2570" s="93">
        <f>_xll.qlCalendarAdvance(Calendar,Z2569,Y2570,"f",FALSE)</f>
        <v>57207</v>
      </c>
      <c r="AA2570" s="117">
        <f>_xll.qlCalendarAdvance(Calendar,Z2570,NDays&amp;"D")</f>
        <v>57209</v>
      </c>
      <c r="AB2570" s="92">
        <v>1.6239420572568785E-2</v>
      </c>
      <c r="AC2570" s="101">
        <v>1.6252001848213737E-2</v>
      </c>
    </row>
    <row r="2571" spans="25:29" x14ac:dyDescent="0.2">
      <c r="Y2571" s="105" t="str">
        <f t="shared" si="73"/>
        <v>1w</v>
      </c>
      <c r="Z2571" s="93">
        <f>_xll.qlCalendarAdvance(Calendar,Z2570,Y2571,"f",FALSE)</f>
        <v>57214</v>
      </c>
      <c r="AA2571" s="117">
        <f>_xll.qlCalendarAdvance(Calendar,Z2571,NDays&amp;"D")</f>
        <v>57216</v>
      </c>
      <c r="AB2571" s="92">
        <v>1.6232866045520784E-2</v>
      </c>
      <c r="AC2571" s="101">
        <v>1.6246716487824386E-2</v>
      </c>
    </row>
    <row r="2572" spans="25:29" x14ac:dyDescent="0.2">
      <c r="Y2572" s="105" t="str">
        <f t="shared" si="73"/>
        <v>1w</v>
      </c>
      <c r="Z2572" s="93">
        <f>_xll.qlCalendarAdvance(Calendar,Z2571,Y2572,"f",FALSE)</f>
        <v>57221</v>
      </c>
      <c r="AA2572" s="117">
        <f>_xll.qlCalendarAdvance(Calendar,Z2572,NDays&amp;"D")</f>
        <v>57223</v>
      </c>
      <c r="AB2572" s="92">
        <v>1.6226924388955836E-2</v>
      </c>
      <c r="AC2572" s="101">
        <v>1.6241339186340298E-2</v>
      </c>
    </row>
    <row r="2573" spans="25:29" x14ac:dyDescent="0.2">
      <c r="Y2573" s="105" t="str">
        <f t="shared" si="73"/>
        <v>1w</v>
      </c>
      <c r="Z2573" s="93">
        <f>_xll.qlCalendarAdvance(Calendar,Z2572,Y2573,"f",FALSE)</f>
        <v>57228</v>
      </c>
      <c r="AA2573" s="117">
        <f>_xll.qlCalendarAdvance(Calendar,Z2573,NDays&amp;"D")</f>
        <v>57230</v>
      </c>
      <c r="AB2573" s="92">
        <v>1.6220219097782262E-2</v>
      </c>
      <c r="AC2573" s="101">
        <v>1.6235869944161152E-2</v>
      </c>
    </row>
    <row r="2574" spans="25:29" x14ac:dyDescent="0.2">
      <c r="Y2574" s="105" t="str">
        <f t="shared" si="73"/>
        <v>1w</v>
      </c>
      <c r="Z2574" s="93">
        <f>_xll.qlCalendarAdvance(Calendar,Z2573,Y2574,"f",FALSE)</f>
        <v>57235</v>
      </c>
      <c r="AA2574" s="117">
        <f>_xll.qlCalendarAdvance(Calendar,Z2574,NDays&amp;"D")</f>
        <v>57237</v>
      </c>
      <c r="AB2574" s="92">
        <v>1.621342114281956E-2</v>
      </c>
      <c r="AC2574" s="101">
        <v>1.6230308761127077E-2</v>
      </c>
    </row>
    <row r="2575" spans="25:29" x14ac:dyDescent="0.2">
      <c r="Y2575" s="105" t="str">
        <f t="shared" si="73"/>
        <v>1w</v>
      </c>
      <c r="Z2575" s="93">
        <f>_xll.qlCalendarAdvance(Calendar,Z2574,Y2575,"f",FALSE)</f>
        <v>57242</v>
      </c>
      <c r="AA2575" s="117">
        <f>_xll.qlCalendarAdvance(Calendar,Z2575,NDays&amp;"D")</f>
        <v>57244</v>
      </c>
      <c r="AB2575" s="92">
        <v>1.6206530525008856E-2</v>
      </c>
      <c r="AC2575" s="101">
        <v>1.6224655637318008E-2</v>
      </c>
    </row>
    <row r="2576" spans="25:29" x14ac:dyDescent="0.2">
      <c r="Y2576" s="105" t="str">
        <f t="shared" si="73"/>
        <v>1w</v>
      </c>
      <c r="Z2576" s="93">
        <f>_xll.qlCalendarAdvance(Calendar,Z2575,Y2576,"f",FALSE)</f>
        <v>57249</v>
      </c>
      <c r="AA2576" s="117">
        <f>_xll.qlCalendarAdvance(Calendar,Z2576,NDays&amp;"D")</f>
        <v>57251</v>
      </c>
      <c r="AB2576" s="92">
        <v>1.6199547245307616E-2</v>
      </c>
      <c r="AC2576" s="101">
        <v>1.6218910572654011E-2</v>
      </c>
    </row>
    <row r="2577" spans="25:29" x14ac:dyDescent="0.2">
      <c r="Y2577" s="105" t="str">
        <f t="shared" si="73"/>
        <v>1w</v>
      </c>
      <c r="Z2577" s="93">
        <f>_xll.qlCalendarAdvance(Calendar,Z2576,Y2577,"f",FALSE)</f>
        <v>57256</v>
      </c>
      <c r="AA2577" s="117">
        <f>_xll.qlCalendarAdvance(Calendar,Z2577,NDays&amp;"D")</f>
        <v>57258</v>
      </c>
      <c r="AB2577" s="92">
        <v>1.6192296883608053E-2</v>
      </c>
      <c r="AC2577" s="101">
        <v>1.6213073567135083E-2</v>
      </c>
    </row>
    <row r="2578" spans="25:29" x14ac:dyDescent="0.2">
      <c r="Y2578" s="105" t="str">
        <f t="shared" si="73"/>
        <v>1w</v>
      </c>
      <c r="Z2578" s="93">
        <f>_xll.qlCalendarAdvance(Calendar,Z2577,Y2578,"f",FALSE)</f>
        <v>57263</v>
      </c>
      <c r="AA2578" s="117">
        <f>_xll.qlCalendarAdvance(Calendar,Z2578,NDays&amp;"D")</f>
        <v>57265</v>
      </c>
      <c r="AB2578" s="92">
        <v>1.6185121343260216E-2</v>
      </c>
      <c r="AC2578" s="101">
        <v>1.6207144620841163E-2</v>
      </c>
    </row>
    <row r="2579" spans="25:29" x14ac:dyDescent="0.2">
      <c r="Y2579" s="105" t="str">
        <f t="shared" si="73"/>
        <v>1w</v>
      </c>
      <c r="Z2579" s="93">
        <f>_xll.qlCalendarAdvance(Calendar,Z2578,Y2579,"f",FALSE)</f>
        <v>57270</v>
      </c>
      <c r="AA2579" s="117">
        <f>_xll.qlCalendarAdvance(Calendar,Z2579,NDays&amp;"D")</f>
        <v>57272</v>
      </c>
      <c r="AB2579" s="92">
        <v>1.6177853140031933E-2</v>
      </c>
      <c r="AC2579" s="101">
        <v>1.6201123733772249E-2</v>
      </c>
    </row>
    <row r="2580" spans="25:29" x14ac:dyDescent="0.2">
      <c r="Y2580" s="105" t="str">
        <f t="shared" si="73"/>
        <v>1w</v>
      </c>
      <c r="Z2580" s="93">
        <f>_xll.qlCalendarAdvance(Calendar,Z2579,Y2580,"f",FALSE)</f>
        <v>57277</v>
      </c>
      <c r="AA2580" s="117">
        <f>_xll.qlCalendarAdvance(Calendar,Z2580,NDays&amp;"D")</f>
        <v>57279</v>
      </c>
      <c r="AB2580" s="92">
        <v>1.6170492274935579E-2</v>
      </c>
      <c r="AC2580" s="101">
        <v>1.619501090576847E-2</v>
      </c>
    </row>
    <row r="2581" spans="25:29" x14ac:dyDescent="0.2">
      <c r="Y2581" s="105" t="str">
        <f t="shared" ref="Y2581:Y2644" si="74">Y2580</f>
        <v>1w</v>
      </c>
      <c r="Z2581" s="93">
        <f>_xll.qlCalendarAdvance(Calendar,Z2580,Y2581,"f",FALSE)</f>
        <v>57284</v>
      </c>
      <c r="AA2581" s="117">
        <f>_xll.qlCalendarAdvance(Calendar,Z2581,NDays&amp;"D")</f>
        <v>57286</v>
      </c>
      <c r="AB2581" s="92">
        <v>1.6163240952764203E-2</v>
      </c>
      <c r="AC2581" s="101">
        <v>1.6188806137069633E-2</v>
      </c>
    </row>
    <row r="2582" spans="25:29" x14ac:dyDescent="0.2">
      <c r="Y2582" s="105" t="str">
        <f t="shared" si="74"/>
        <v>1w</v>
      </c>
      <c r="Z2582" s="93">
        <f>_xll.qlCalendarAdvance(Calendar,Z2581,Y2582,"f",FALSE)</f>
        <v>57291</v>
      </c>
      <c r="AA2582" s="117">
        <f>_xll.qlCalendarAdvance(Calendar,Z2582,NDays&amp;"D")</f>
        <v>57293</v>
      </c>
      <c r="AB2582" s="92">
        <v>1.6155701722496935E-2</v>
      </c>
      <c r="AC2582" s="101">
        <v>1.618250942767574E-2</v>
      </c>
    </row>
    <row r="2583" spans="25:29" x14ac:dyDescent="0.2">
      <c r="Y2583" s="105" t="str">
        <f t="shared" si="74"/>
        <v>1w</v>
      </c>
      <c r="Z2583" s="93">
        <f>_xll.qlCalendarAdvance(Calendar,Z2582,Y2583,"f",FALSE)</f>
        <v>57298</v>
      </c>
      <c r="AA2583" s="117">
        <f>_xll.qlCalendarAdvance(Calendar,Z2583,NDays&amp;"D")</f>
        <v>57300</v>
      </c>
      <c r="AB2583" s="92">
        <v>1.6148069837386314E-2</v>
      </c>
      <c r="AC2583" s="101">
        <v>1.6176120777346981E-2</v>
      </c>
    </row>
    <row r="2584" spans="25:29" x14ac:dyDescent="0.2">
      <c r="Y2584" s="105" t="str">
        <f t="shared" si="74"/>
        <v>1w</v>
      </c>
      <c r="Z2584" s="93">
        <f>_xll.qlCalendarAdvance(Calendar,Z2583,Y2584,"f",FALSE)</f>
        <v>57305</v>
      </c>
      <c r="AA2584" s="117">
        <f>_xll.qlCalendarAdvance(Calendar,Z2584,NDays&amp;"D")</f>
        <v>57307</v>
      </c>
      <c r="AB2584" s="92">
        <v>1.6140345298489171E-2</v>
      </c>
      <c r="AC2584" s="101">
        <v>1.6169640186323164E-2</v>
      </c>
    </row>
    <row r="2585" spans="25:29" x14ac:dyDescent="0.2">
      <c r="Y2585" s="105" t="str">
        <f t="shared" si="74"/>
        <v>1w</v>
      </c>
      <c r="Z2585" s="93">
        <f>_xll.qlCalendarAdvance(Calendar,Z2584,Y2585,"f",FALSE)</f>
        <v>57312</v>
      </c>
      <c r="AA2585" s="117">
        <f>_xll.qlCalendarAdvance(Calendar,Z2585,NDays&amp;"D")</f>
        <v>57314</v>
      </c>
      <c r="AB2585" s="92">
        <v>1.6132298057819947E-2</v>
      </c>
      <c r="AC2585" s="101">
        <v>1.6163067654444419E-2</v>
      </c>
    </row>
    <row r="2586" spans="25:29" x14ac:dyDescent="0.2">
      <c r="Y2586" s="105" t="str">
        <f t="shared" si="74"/>
        <v>1w</v>
      </c>
      <c r="Z2586" s="93">
        <f>_xll.qlCalendarAdvance(Calendar,Z2585,Y2586,"f",FALSE)</f>
        <v>57319</v>
      </c>
      <c r="AA2586" s="117">
        <f>_xll.qlCalendarAdvance(Calendar,Z2586,NDays&amp;"D")</f>
        <v>57321</v>
      </c>
      <c r="AB2586" s="92">
        <v>1.6124381243524832E-2</v>
      </c>
      <c r="AC2586" s="101">
        <v>1.6156403181870616E-2</v>
      </c>
    </row>
    <row r="2587" spans="25:29" x14ac:dyDescent="0.2">
      <c r="Y2587" s="105" t="str">
        <f t="shared" si="74"/>
        <v>1w</v>
      </c>
      <c r="Z2587" s="93">
        <f>_xll.qlCalendarAdvance(Calendar,Z2586,Y2587,"f",FALSE)</f>
        <v>57326</v>
      </c>
      <c r="AA2587" s="117">
        <f>_xll.qlCalendarAdvance(Calendar,Z2587,NDays&amp;"D")</f>
        <v>57328</v>
      </c>
      <c r="AB2587" s="92">
        <v>1.6116371774817659E-2</v>
      </c>
      <c r="AC2587" s="101">
        <v>1.6149646768521819E-2</v>
      </c>
    </row>
    <row r="2588" spans="25:29" x14ac:dyDescent="0.2">
      <c r="Y2588" s="105" t="str">
        <f t="shared" si="74"/>
        <v>1w</v>
      </c>
      <c r="Z2588" s="93">
        <f>_xll.qlCalendarAdvance(Calendar,Z2587,Y2588,"f",FALSE)</f>
        <v>57333</v>
      </c>
      <c r="AA2588" s="117">
        <f>_xll.qlCalendarAdvance(Calendar,Z2588,NDays&amp;"D")</f>
        <v>57335</v>
      </c>
      <c r="AB2588" s="92">
        <v>1.6108269652815341E-2</v>
      </c>
      <c r="AC2588" s="101">
        <v>1.614279841439803E-2</v>
      </c>
    </row>
    <row r="2589" spans="25:29" x14ac:dyDescent="0.2">
      <c r="Y2589" s="105" t="str">
        <f t="shared" si="74"/>
        <v>1w</v>
      </c>
      <c r="Z2589" s="93">
        <f>_xll.qlCalendarAdvance(Calendar,Z2588,Y2589,"f",FALSE)</f>
        <v>57341</v>
      </c>
      <c r="AA2589" s="117">
        <f>_xll.qlCalendarAdvance(Calendar,Z2589,NDays&amp;"D")</f>
        <v>57343</v>
      </c>
      <c r="AB2589" s="92">
        <v>1.6098896633247376E-2</v>
      </c>
      <c r="AC2589" s="101">
        <v>1.6134440542463491E-2</v>
      </c>
    </row>
    <row r="2590" spans="25:29" x14ac:dyDescent="0.2">
      <c r="Y2590" s="105" t="str">
        <f t="shared" si="74"/>
        <v>1w</v>
      </c>
      <c r="Z2590" s="93">
        <f>_xll.qlCalendarAdvance(Calendar,Z2589,Y2590,"f",FALSE)</f>
        <v>57348</v>
      </c>
      <c r="AA2590" s="117">
        <f>_xll.qlCalendarAdvance(Calendar,Z2590,NDays&amp;"D")</f>
        <v>57350</v>
      </c>
      <c r="AB2590" s="92">
        <v>1.6090861913714689E-2</v>
      </c>
      <c r="AC2590" s="101">
        <v>1.6127521598798822E-2</v>
      </c>
    </row>
    <row r="2591" spans="25:29" x14ac:dyDescent="0.2">
      <c r="Y2591" s="105" t="str">
        <f t="shared" si="74"/>
        <v>1w</v>
      </c>
      <c r="Z2591" s="93">
        <f>_xll.qlCalendarAdvance(Calendar,Z2590,Y2591,"f",FALSE)</f>
        <v>57355</v>
      </c>
      <c r="AA2591" s="117">
        <f>_xll.qlCalendarAdvance(Calendar,Z2591,NDays&amp;"D")</f>
        <v>57357</v>
      </c>
      <c r="AB2591" s="92">
        <v>1.6082475593977474E-2</v>
      </c>
      <c r="AC2591" s="101">
        <v>1.6120370513128535E-2</v>
      </c>
    </row>
    <row r="2592" spans="25:29" x14ac:dyDescent="0.2">
      <c r="Y2592" s="105" t="str">
        <f t="shared" si="74"/>
        <v>1w</v>
      </c>
      <c r="Z2592" s="93">
        <f>_xll.qlCalendarAdvance(Calendar,Z2591,Y2592,"f",FALSE)</f>
        <v>57362</v>
      </c>
      <c r="AA2592" s="117">
        <f>_xll.qlCalendarAdvance(Calendar,Z2592,NDays&amp;"D")</f>
        <v>57364</v>
      </c>
      <c r="AB2592" s="92">
        <v>1.6073996629549222E-2</v>
      </c>
      <c r="AC2592" s="101">
        <v>1.6113127478769584E-2</v>
      </c>
    </row>
    <row r="2593" spans="25:29" x14ac:dyDescent="0.2">
      <c r="Y2593" s="105" t="str">
        <f t="shared" si="74"/>
        <v>1w</v>
      </c>
      <c r="Z2593" s="93">
        <f>_xll.qlCalendarAdvance(Calendar,Z2592,Y2593,"f",FALSE)</f>
        <v>57369</v>
      </c>
      <c r="AA2593" s="117">
        <f>_xll.qlCalendarAdvance(Calendar,Z2593,NDays&amp;"D")</f>
        <v>57371</v>
      </c>
      <c r="AB2593" s="92">
        <v>1.6065425021606013E-2</v>
      </c>
      <c r="AC2593" s="101">
        <v>1.6105792495775262E-2</v>
      </c>
    </row>
    <row r="2594" spans="25:29" x14ac:dyDescent="0.2">
      <c r="Y2594" s="105" t="str">
        <f t="shared" si="74"/>
        <v>1w</v>
      </c>
      <c r="Z2594" s="93">
        <f>_xll.qlCalendarAdvance(Calendar,Z2593,Y2594,"f",FALSE)</f>
        <v>57376</v>
      </c>
      <c r="AA2594" s="117">
        <f>_xll.qlCalendarAdvance(Calendar,Z2594,NDays&amp;"D")</f>
        <v>57378</v>
      </c>
      <c r="AB2594" s="92">
        <v>1.6056760771337168E-2</v>
      </c>
      <c r="AC2594" s="101">
        <v>1.6098365564092276E-2</v>
      </c>
    </row>
    <row r="2595" spans="25:29" x14ac:dyDescent="0.2">
      <c r="Y2595" s="105" t="str">
        <f t="shared" si="74"/>
        <v>1w</v>
      </c>
      <c r="Z2595" s="93">
        <f>_xll.qlCalendarAdvance(Calendar,Z2594,Y2595,"f",FALSE)</f>
        <v>57383</v>
      </c>
      <c r="AA2595" s="117">
        <f>_xll.qlCalendarAdvance(Calendar,Z2595,NDays&amp;"D")</f>
        <v>57385</v>
      </c>
      <c r="AB2595" s="92">
        <v>1.6048003879943058E-2</v>
      </c>
      <c r="AC2595" s="101">
        <v>1.6090846683827209E-2</v>
      </c>
    </row>
    <row r="2596" spans="25:29" x14ac:dyDescent="0.2">
      <c r="Y2596" s="105" t="str">
        <f t="shared" si="74"/>
        <v>1w</v>
      </c>
      <c r="Z2596" s="93">
        <f>_xll.qlCalendarAdvance(Calendar,Z2595,Y2596,"f",FALSE)</f>
        <v>57390</v>
      </c>
      <c r="AA2596" s="117">
        <f>_xll.qlCalendarAdvance(Calendar,Z2596,NDays&amp;"D")</f>
        <v>57392</v>
      </c>
      <c r="AB2596" s="92">
        <v>1.6039154348636848E-2</v>
      </c>
      <c r="AC2596" s="101">
        <v>1.6083235854900124E-2</v>
      </c>
    </row>
    <row r="2597" spans="25:29" x14ac:dyDescent="0.2">
      <c r="Y2597" s="105" t="str">
        <f t="shared" si="74"/>
        <v>1w</v>
      </c>
      <c r="Z2597" s="93">
        <f>_xll.qlCalendarAdvance(Calendar,Z2596,Y2597,"f",FALSE)</f>
        <v>57397</v>
      </c>
      <c r="AA2597" s="117">
        <f>_xll.qlCalendarAdvance(Calendar,Z2597,NDays&amp;"D")</f>
        <v>57399</v>
      </c>
      <c r="AB2597" s="92">
        <v>1.603021217864762E-2</v>
      </c>
      <c r="AC2597" s="101">
        <v>1.6075533077390958E-2</v>
      </c>
    </row>
    <row r="2598" spans="25:29" x14ac:dyDescent="0.2">
      <c r="Y2598" s="105" t="str">
        <f t="shared" si="74"/>
        <v>1w</v>
      </c>
      <c r="Z2598" s="93">
        <f>_xll.qlCalendarAdvance(Calendar,Z2597,Y2598,"f",FALSE)</f>
        <v>57404</v>
      </c>
      <c r="AA2598" s="117">
        <f>_xll.qlCalendarAdvance(Calendar,Z2598,NDays&amp;"D")</f>
        <v>57406</v>
      </c>
      <c r="AB2598" s="92">
        <v>1.6019885388196878E-2</v>
      </c>
      <c r="AC2598" s="101">
        <v>1.606773835129971E-2</v>
      </c>
    </row>
    <row r="2599" spans="25:29" x14ac:dyDescent="0.2">
      <c r="Y2599" s="105" t="str">
        <f t="shared" si="74"/>
        <v>1w</v>
      </c>
      <c r="Z2599" s="93">
        <f>_xll.qlCalendarAdvance(Calendar,Z2598,Y2599,"f",FALSE)</f>
        <v>57411</v>
      </c>
      <c r="AA2599" s="117">
        <f>_xll.qlCalendarAdvance(Calendar,Z2599,NDays&amp;"D")</f>
        <v>57413</v>
      </c>
      <c r="AB2599" s="92">
        <v>1.6010729855451534E-2</v>
      </c>
      <c r="AC2599" s="101">
        <v>1.6059851676679671E-2</v>
      </c>
    </row>
    <row r="2600" spans="25:29" x14ac:dyDescent="0.2">
      <c r="Y2600" s="105" t="str">
        <f t="shared" si="74"/>
        <v>1w</v>
      </c>
      <c r="Z2600" s="93">
        <f>_xll.qlCalendarAdvance(Calendar,Z2599,Y2600,"f",FALSE)</f>
        <v>57418</v>
      </c>
      <c r="AA2600" s="117">
        <f>_xll.qlCalendarAdvance(Calendar,Z2600,NDays&amp;"D")</f>
        <v>57420</v>
      </c>
      <c r="AB2600" s="92">
        <v>1.6001481672669352E-2</v>
      </c>
      <c r="AC2600" s="101">
        <v>1.605187305347755E-2</v>
      </c>
    </row>
    <row r="2601" spans="25:29" x14ac:dyDescent="0.2">
      <c r="Y2601" s="105" t="str">
        <f t="shared" si="74"/>
        <v>1w</v>
      </c>
      <c r="Z2601" s="93">
        <f>_xll.qlCalendarAdvance(Calendar,Z2600,Y2601,"f",FALSE)</f>
        <v>57425</v>
      </c>
      <c r="AA2601" s="117">
        <f>_xll.qlCalendarAdvance(Calendar,Z2601,NDays&amp;"D")</f>
        <v>57427</v>
      </c>
      <c r="AB2601" s="92">
        <v>1.5992140841160428E-2</v>
      </c>
      <c r="AC2601" s="101">
        <v>1.6043802481746638E-2</v>
      </c>
    </row>
    <row r="2602" spans="25:29" x14ac:dyDescent="0.2">
      <c r="Y2602" s="105" t="str">
        <f t="shared" si="74"/>
        <v>1w</v>
      </c>
      <c r="Z2602" s="93">
        <f>_xll.qlCalendarAdvance(Calendar,Z2601,Y2602,"f",FALSE)</f>
        <v>57432</v>
      </c>
      <c r="AA2602" s="117">
        <f>_xll.qlCalendarAdvance(Calendar,Z2602,NDays&amp;"D")</f>
        <v>57434</v>
      </c>
      <c r="AB2602" s="92">
        <v>1.5983761707972791E-2</v>
      </c>
      <c r="AC2602" s="101">
        <v>1.6035639961513581E-2</v>
      </c>
    </row>
    <row r="2603" spans="25:29" x14ac:dyDescent="0.2">
      <c r="Y2603" s="105" t="str">
        <f t="shared" si="74"/>
        <v>1w</v>
      </c>
      <c r="Z2603" s="93">
        <f>_xll.qlCalendarAdvance(Calendar,Z2602,Y2603,"f",FALSE)</f>
        <v>57439</v>
      </c>
      <c r="AA2603" s="117">
        <f>_xll.qlCalendarAdvance(Calendar,Z2603,NDays&amp;"D")</f>
        <v>57441</v>
      </c>
      <c r="AB2603" s="92">
        <v>1.5973181237272264E-2</v>
      </c>
      <c r="AC2603" s="101">
        <v>1.6027385492778379E-2</v>
      </c>
    </row>
    <row r="2604" spans="25:29" x14ac:dyDescent="0.2">
      <c r="Y2604" s="105" t="str">
        <f t="shared" si="74"/>
        <v>1w</v>
      </c>
      <c r="Z2604" s="93">
        <f>_xll.qlCalendarAdvance(Calendar,Z2603,Y2604,"f",FALSE)</f>
        <v>57446</v>
      </c>
      <c r="AA2604" s="117">
        <f>_xll.qlCalendarAdvance(Calendar,Z2604,NDays&amp;"D")</f>
        <v>57448</v>
      </c>
      <c r="AB2604" s="92">
        <v>1.5963562467579306E-2</v>
      </c>
      <c r="AC2604" s="101">
        <v>1.6019039075620967E-2</v>
      </c>
    </row>
    <row r="2605" spans="25:29" x14ac:dyDescent="0.2">
      <c r="Y2605" s="105" t="str">
        <f t="shared" si="74"/>
        <v>1w</v>
      </c>
      <c r="Z2605" s="93">
        <f>_xll.qlCalendarAdvance(Calendar,Z2604,Y2605,"f",FALSE)</f>
        <v>57453</v>
      </c>
      <c r="AA2605" s="117">
        <f>_xll.qlCalendarAdvance(Calendar,Z2605,NDays&amp;"D")</f>
        <v>57459</v>
      </c>
      <c r="AB2605" s="92">
        <v>1.5949013965607925E-2</v>
      </c>
      <c r="AC2605" s="101">
        <v>1.6006245068647118E-2</v>
      </c>
    </row>
    <row r="2606" spans="25:29" x14ac:dyDescent="0.2">
      <c r="Y2606" s="105" t="str">
        <f t="shared" si="74"/>
        <v>1w</v>
      </c>
      <c r="Z2606" s="93">
        <f>_xll.qlCalendarAdvance(Calendar,Z2605,Y2606,"f",FALSE)</f>
        <v>57460</v>
      </c>
      <c r="AA2606" s="117">
        <f>_xll.qlCalendarAdvance(Calendar,Z2606,NDays&amp;"D")</f>
        <v>57462</v>
      </c>
      <c r="AB2606" s="92">
        <v>1.5944046999511803E-2</v>
      </c>
      <c r="AC2606" s="101">
        <v>1.6002070395906287E-2</v>
      </c>
    </row>
    <row r="2607" spans="25:29" x14ac:dyDescent="0.2">
      <c r="Y2607" s="105" t="str">
        <f t="shared" si="74"/>
        <v>1w</v>
      </c>
      <c r="Z2607" s="93">
        <f>_xll.qlCalendarAdvance(Calendar,Z2606,Y2607,"f",FALSE)</f>
        <v>57467</v>
      </c>
      <c r="AA2607" s="117">
        <f>_xll.qlCalendarAdvance(Calendar,Z2607,NDays&amp;"D")</f>
        <v>57469</v>
      </c>
      <c r="AB2607" s="92">
        <v>1.593415030390305E-2</v>
      </c>
      <c r="AC2607" s="101">
        <v>1.5993448133428956E-2</v>
      </c>
    </row>
    <row r="2608" spans="25:29" x14ac:dyDescent="0.2">
      <c r="Y2608" s="105" t="str">
        <f t="shared" si="74"/>
        <v>1w</v>
      </c>
      <c r="Z2608" s="93">
        <f>_xll.qlCalendarAdvance(Calendar,Z2607,Y2608,"f",FALSE)</f>
        <v>57474</v>
      </c>
      <c r="AA2608" s="117">
        <f>_xll.qlCalendarAdvance(Calendar,Z2608,NDays&amp;"D")</f>
        <v>57476</v>
      </c>
      <c r="AB2608" s="92">
        <v>1.5924160969109324E-2</v>
      </c>
      <c r="AC2608" s="101">
        <v>1.598473392255606E-2</v>
      </c>
    </row>
    <row r="2609" spans="25:29" x14ac:dyDescent="0.2">
      <c r="Y2609" s="105" t="str">
        <f t="shared" si="74"/>
        <v>1w</v>
      </c>
      <c r="Z2609" s="93">
        <f>_xll.qlCalendarAdvance(Calendar,Z2608,Y2609,"f",FALSE)</f>
        <v>57481</v>
      </c>
      <c r="AA2609" s="117">
        <f>_xll.qlCalendarAdvance(Calendar,Z2609,NDays&amp;"D")</f>
        <v>57483</v>
      </c>
      <c r="AB2609" s="92">
        <v>1.5914078996546576E-2</v>
      </c>
      <c r="AC2609" s="101">
        <v>1.5975927763314246E-2</v>
      </c>
    </row>
    <row r="2610" spans="25:29" x14ac:dyDescent="0.2">
      <c r="Y2610" s="105" t="str">
        <f t="shared" si="74"/>
        <v>1w</v>
      </c>
      <c r="Z2610" s="93">
        <f>_xll.qlCalendarAdvance(Calendar,Z2609,Y2610,"f",FALSE)</f>
        <v>57488</v>
      </c>
      <c r="AA2610" s="117">
        <f>_xll.qlCalendarAdvance(Calendar,Z2610,NDays&amp;"D")</f>
        <v>57490</v>
      </c>
      <c r="AB2610" s="92">
        <v>1.5903904387643282E-2</v>
      </c>
      <c r="AC2610" s="101">
        <v>1.5967029655703513E-2</v>
      </c>
    </row>
    <row r="2611" spans="25:29" x14ac:dyDescent="0.2">
      <c r="Y2611" s="105" t="str">
        <f t="shared" si="74"/>
        <v>1w</v>
      </c>
      <c r="Z2611" s="93">
        <f>_xll.qlCalendarAdvance(Calendar,Z2610,Y2611,"f",FALSE)</f>
        <v>57495</v>
      </c>
      <c r="AA2611" s="117">
        <f>_xll.qlCalendarAdvance(Calendar,Z2611,NDays&amp;"D")</f>
        <v>57497</v>
      </c>
      <c r="AB2611" s="92">
        <v>1.589363714384218E-2</v>
      </c>
      <c r="AC2611" s="101">
        <v>1.5958039599803797E-2</v>
      </c>
    </row>
    <row r="2612" spans="25:29" x14ac:dyDescent="0.2">
      <c r="Y2612" s="105" t="str">
        <f t="shared" si="74"/>
        <v>1w</v>
      </c>
      <c r="Z2612" s="93">
        <f>_xll.qlCalendarAdvance(Calendar,Z2611,Y2612,"f",FALSE)</f>
        <v>57502</v>
      </c>
      <c r="AA2612" s="117">
        <f>_xll.qlCalendarAdvance(Calendar,Z2612,NDays&amp;"D")</f>
        <v>57504</v>
      </c>
      <c r="AB2612" s="92">
        <v>1.5883277266596815E-2</v>
      </c>
      <c r="AC2612" s="101">
        <v>1.5948957595561808E-2</v>
      </c>
    </row>
    <row r="2613" spans="25:29" x14ac:dyDescent="0.2">
      <c r="Y2613" s="105" t="str">
        <f t="shared" si="74"/>
        <v>1w</v>
      </c>
      <c r="Z2613" s="93">
        <f>_xll.qlCalendarAdvance(Calendar,Z2612,Y2613,"f",FALSE)</f>
        <v>57509</v>
      </c>
      <c r="AA2613" s="117">
        <f>_xll.qlCalendarAdvance(Calendar,Z2613,NDays&amp;"D")</f>
        <v>57511</v>
      </c>
      <c r="AB2613" s="92">
        <v>1.5872824757376277E-2</v>
      </c>
      <c r="AC2613" s="101">
        <v>1.5939783643030836E-2</v>
      </c>
    </row>
    <row r="2614" spans="25:29" x14ac:dyDescent="0.2">
      <c r="Y2614" s="105" t="str">
        <f t="shared" si="74"/>
        <v>1w</v>
      </c>
      <c r="Z2614" s="93">
        <f>_xll.qlCalendarAdvance(Calendar,Z2613,Y2614,"f",FALSE)</f>
        <v>57516</v>
      </c>
      <c r="AA2614" s="117">
        <f>_xll.qlCalendarAdvance(Calendar,Z2614,NDays&amp;"D")</f>
        <v>57518</v>
      </c>
      <c r="AB2614" s="92">
        <v>1.5862279617660895E-2</v>
      </c>
      <c r="AC2614" s="101">
        <v>1.5930517742237527E-2</v>
      </c>
    </row>
    <row r="2615" spans="25:29" x14ac:dyDescent="0.2">
      <c r="Y2615" s="105" t="str">
        <f t="shared" si="74"/>
        <v>1w</v>
      </c>
      <c r="Z2615" s="93">
        <f>_xll.qlCalendarAdvance(Calendar,Z2614,Y2615,"f",FALSE)</f>
        <v>57523</v>
      </c>
      <c r="AA2615" s="117">
        <f>_xll.qlCalendarAdvance(Calendar,Z2615,NDays&amp;"D")</f>
        <v>57525</v>
      </c>
      <c r="AB2615" s="92">
        <v>1.5851641848946125E-2</v>
      </c>
      <c r="AC2615" s="101">
        <v>1.592115989318188E-2</v>
      </c>
    </row>
    <row r="2616" spans="25:29" x14ac:dyDescent="0.2">
      <c r="Y2616" s="105" t="str">
        <f t="shared" si="74"/>
        <v>1w</v>
      </c>
      <c r="Z2616" s="93">
        <f>_xll.qlCalendarAdvance(Calendar,Z2615,Y2616,"f",FALSE)</f>
        <v>57530</v>
      </c>
      <c r="AA2616" s="117">
        <f>_xll.qlCalendarAdvance(Calendar,Z2616,NDays&amp;"D")</f>
        <v>57532</v>
      </c>
      <c r="AB2616" s="92">
        <v>1.5840911452739085E-2</v>
      </c>
      <c r="AC2616" s="101">
        <v>1.5911710095943832E-2</v>
      </c>
    </row>
    <row r="2617" spans="25:29" x14ac:dyDescent="0.2">
      <c r="Y2617" s="105" t="str">
        <f t="shared" si="74"/>
        <v>1w</v>
      </c>
      <c r="Z2617" s="93">
        <f>_xll.qlCalendarAdvance(Calendar,Z2616,Y2617,"f",FALSE)</f>
        <v>57537</v>
      </c>
      <c r="AA2617" s="117">
        <f>_xll.qlCalendarAdvance(Calendar,Z2617,NDays&amp;"D")</f>
        <v>57539</v>
      </c>
      <c r="AB2617" s="92">
        <v>1.5830088430559421E-2</v>
      </c>
      <c r="AC2617" s="101">
        <v>1.5902168350470092E-2</v>
      </c>
    </row>
    <row r="2618" spans="25:29" x14ac:dyDescent="0.2">
      <c r="Y2618" s="105" t="str">
        <f t="shared" si="74"/>
        <v>1w</v>
      </c>
      <c r="Z2618" s="93">
        <f>_xll.qlCalendarAdvance(Calendar,Z2617,Y2618,"f",FALSE)</f>
        <v>57544</v>
      </c>
      <c r="AA2618" s="117">
        <f>_xll.qlCalendarAdvance(Calendar,Z2618,NDays&amp;"D")</f>
        <v>57546</v>
      </c>
      <c r="AB2618" s="92">
        <v>1.5819172783941477E-2</v>
      </c>
      <c r="AC2618" s="101">
        <v>1.5892534656787305E-2</v>
      </c>
    </row>
    <row r="2619" spans="25:29" x14ac:dyDescent="0.2">
      <c r="Y2619" s="105" t="str">
        <f t="shared" si="74"/>
        <v>1w</v>
      </c>
      <c r="Z2619" s="93">
        <f>_xll.qlCalendarAdvance(Calendar,Z2618,Y2619,"f",FALSE)</f>
        <v>57551</v>
      </c>
      <c r="AA2619" s="117">
        <f>_xll.qlCalendarAdvance(Calendar,Z2619,NDays&amp;"D")</f>
        <v>57553</v>
      </c>
      <c r="AB2619" s="92">
        <v>1.5808164514432555E-2</v>
      </c>
      <c r="AC2619" s="101">
        <v>1.5882809015002053E-2</v>
      </c>
    </row>
    <row r="2620" spans="25:29" x14ac:dyDescent="0.2">
      <c r="Y2620" s="105" t="str">
        <f t="shared" si="74"/>
        <v>1w</v>
      </c>
      <c r="Z2620" s="93">
        <f>_xll.qlCalendarAdvance(Calendar,Z2619,Y2620,"f",FALSE)</f>
        <v>57558</v>
      </c>
      <c r="AA2620" s="117">
        <f>_xll.qlCalendarAdvance(Calendar,Z2620,NDays&amp;"D")</f>
        <v>57560</v>
      </c>
      <c r="AB2620" s="92">
        <v>1.5797063623591623E-2</v>
      </c>
      <c r="AC2620" s="101">
        <v>1.58729914250344E-2</v>
      </c>
    </row>
    <row r="2621" spans="25:29" x14ac:dyDescent="0.2">
      <c r="Y2621" s="105" t="str">
        <f t="shared" si="74"/>
        <v>1w</v>
      </c>
      <c r="Z2621" s="93">
        <f>_xll.qlCalendarAdvance(Calendar,Z2620,Y2621,"f",FALSE)</f>
        <v>57565</v>
      </c>
      <c r="AA2621" s="117">
        <f>_xll.qlCalendarAdvance(Calendar,Z2621,NDays&amp;"D")</f>
        <v>57567</v>
      </c>
      <c r="AB2621" s="92">
        <v>1.5785870112992342E-2</v>
      </c>
      <c r="AC2621" s="101">
        <v>1.5863081886964281E-2</v>
      </c>
    </row>
    <row r="2622" spans="25:29" x14ac:dyDescent="0.2">
      <c r="Y2622" s="105" t="str">
        <f t="shared" si="74"/>
        <v>1w</v>
      </c>
      <c r="Z2622" s="93">
        <f>_xll.qlCalendarAdvance(Calendar,Z2621,Y2622,"f",FALSE)</f>
        <v>57572</v>
      </c>
      <c r="AA2622" s="117">
        <f>_xll.qlCalendarAdvance(Calendar,Z2622,NDays&amp;"D")</f>
        <v>57574</v>
      </c>
      <c r="AB2622" s="92">
        <v>1.5774583984221335E-2</v>
      </c>
      <c r="AC2622" s="101">
        <v>1.5853080400844988E-2</v>
      </c>
    </row>
    <row r="2623" spans="25:29" x14ac:dyDescent="0.2">
      <c r="Y2623" s="105" t="str">
        <f t="shared" si="74"/>
        <v>1w</v>
      </c>
      <c r="Z2623" s="93">
        <f>_xll.qlCalendarAdvance(Calendar,Z2622,Y2623,"f",FALSE)</f>
        <v>57579</v>
      </c>
      <c r="AA2623" s="117">
        <f>_xll.qlCalendarAdvance(Calendar,Z2623,NDays&amp;"D")</f>
        <v>57581</v>
      </c>
      <c r="AB2623" s="92">
        <v>1.5763205238876022E-2</v>
      </c>
      <c r="AC2623" s="101">
        <v>1.5842986966596584E-2</v>
      </c>
    </row>
    <row r="2624" spans="25:29" x14ac:dyDescent="0.2">
      <c r="Y2624" s="105" t="str">
        <f t="shared" si="74"/>
        <v>1w</v>
      </c>
      <c r="Z2624" s="93">
        <f>_xll.qlCalendarAdvance(Calendar,Z2623,Y2624,"f",FALSE)</f>
        <v>57586</v>
      </c>
      <c r="AA2624" s="117">
        <f>_xll.qlCalendarAdvance(Calendar,Z2624,NDays&amp;"D")</f>
        <v>57588</v>
      </c>
      <c r="AB2624" s="92">
        <v>1.5753761001735853E-2</v>
      </c>
      <c r="AC2624" s="101">
        <v>1.5832801584325651E-2</v>
      </c>
    </row>
    <row r="2625" spans="25:29" x14ac:dyDescent="0.2">
      <c r="Y2625" s="105" t="str">
        <f t="shared" si="74"/>
        <v>1w</v>
      </c>
      <c r="Z2625" s="93">
        <f>_xll.qlCalendarAdvance(Calendar,Z2624,Y2625,"f",FALSE)</f>
        <v>57593</v>
      </c>
      <c r="AA2625" s="117">
        <f>_xll.qlCalendarAdvance(Calendar,Z2625,NDays&amp;"D")</f>
        <v>57595</v>
      </c>
      <c r="AB2625" s="92">
        <v>1.5742225498885019E-2</v>
      </c>
      <c r="AC2625" s="101">
        <v>1.5822524254005543E-2</v>
      </c>
    </row>
    <row r="2626" spans="25:29" x14ac:dyDescent="0.2">
      <c r="Y2626" s="105" t="str">
        <f t="shared" si="74"/>
        <v>1w</v>
      </c>
      <c r="Z2626" s="93">
        <f>_xll.qlCalendarAdvance(Calendar,Z2625,Y2626,"f",FALSE)</f>
        <v>57600</v>
      </c>
      <c r="AA2626" s="117">
        <f>_xll.qlCalendarAdvance(Calendar,Z2626,NDays&amp;"D")</f>
        <v>57602</v>
      </c>
      <c r="AB2626" s="92">
        <v>1.5730597398518228E-2</v>
      </c>
      <c r="AC2626" s="101">
        <v>1.5812154975742843E-2</v>
      </c>
    </row>
    <row r="2627" spans="25:29" x14ac:dyDescent="0.2">
      <c r="Y2627" s="105" t="str">
        <f t="shared" si="74"/>
        <v>1w</v>
      </c>
      <c r="Z2627" s="93">
        <f>_xll.qlCalendarAdvance(Calendar,Z2626,Y2627,"f",FALSE)</f>
        <v>57607</v>
      </c>
      <c r="AA2627" s="117">
        <f>_xll.qlCalendarAdvance(Calendar,Z2627,NDays&amp;"D")</f>
        <v>57609</v>
      </c>
      <c r="AB2627" s="92">
        <v>1.5718876702247017E-2</v>
      </c>
      <c r="AC2627" s="101">
        <v>1.5801693749510903E-2</v>
      </c>
    </row>
    <row r="2628" spans="25:29" x14ac:dyDescent="0.2">
      <c r="Y2628" s="105" t="str">
        <f t="shared" si="74"/>
        <v>1w</v>
      </c>
      <c r="Z2628" s="93">
        <f>_xll.qlCalendarAdvance(Calendar,Z2627,Y2628,"f",FALSE)</f>
        <v>57614</v>
      </c>
      <c r="AA2628" s="117">
        <f>_xll.qlCalendarAdvance(Calendar,Z2628,NDays&amp;"D")</f>
        <v>57616</v>
      </c>
      <c r="AB2628" s="92">
        <v>1.5706529183350543E-2</v>
      </c>
      <c r="AC2628" s="101">
        <v>1.579114057528308E-2</v>
      </c>
    </row>
    <row r="2629" spans="25:29" x14ac:dyDescent="0.2">
      <c r="Y2629" s="105" t="str">
        <f t="shared" si="74"/>
        <v>1w</v>
      </c>
      <c r="Z2629" s="93">
        <f>_xll.qlCalendarAdvance(Calendar,Z2628,Y2629,"f",FALSE)</f>
        <v>57621</v>
      </c>
      <c r="AA2629" s="117">
        <f>_xll.qlCalendarAdvance(Calendar,Z2629,NDays&amp;"D")</f>
        <v>57623</v>
      </c>
      <c r="AB2629" s="92">
        <v>1.5694616169134559E-2</v>
      </c>
      <c r="AC2629" s="101">
        <v>1.5780495453139309E-2</v>
      </c>
    </row>
    <row r="2630" spans="25:29" x14ac:dyDescent="0.2">
      <c r="Y2630" s="105" t="str">
        <f t="shared" si="74"/>
        <v>1w</v>
      </c>
      <c r="Z2630" s="93">
        <f>_xll.qlCalendarAdvance(Calendar,Z2629,Y2630,"f",FALSE)</f>
        <v>57628</v>
      </c>
      <c r="AA2630" s="117">
        <f>_xll.qlCalendarAdvance(Calendar,Z2630,NDays&amp;"D")</f>
        <v>57630</v>
      </c>
      <c r="AB2630" s="92">
        <v>1.5680409610872883E-2</v>
      </c>
      <c r="AC2630" s="101">
        <v>1.5769758383106236E-2</v>
      </c>
    </row>
    <row r="2631" spans="25:29" x14ac:dyDescent="0.2">
      <c r="Y2631" s="105" t="str">
        <f t="shared" si="74"/>
        <v>1w</v>
      </c>
      <c r="Z2631" s="93">
        <f>_xll.qlCalendarAdvance(Calendar,Z2630,Y2631,"f",FALSE)</f>
        <v>57635</v>
      </c>
      <c r="AA2631" s="117">
        <f>_xll.qlCalendarAdvance(Calendar,Z2631,NDays&amp;"D")</f>
        <v>57637</v>
      </c>
      <c r="AB2631" s="92">
        <v>1.5670512358883511E-2</v>
      </c>
      <c r="AC2631" s="101">
        <v>1.5758929365157215E-2</v>
      </c>
    </row>
    <row r="2632" spans="25:29" x14ac:dyDescent="0.2">
      <c r="Y2632" s="105" t="str">
        <f t="shared" si="74"/>
        <v>1w</v>
      </c>
      <c r="Z2632" s="93">
        <f>_xll.qlCalendarAdvance(Calendar,Z2631,Y2632,"f",FALSE)</f>
        <v>57642</v>
      </c>
      <c r="AA2632" s="117">
        <f>_xll.qlCalendarAdvance(Calendar,Z2632,NDays&amp;"D")</f>
        <v>57644</v>
      </c>
      <c r="AB2632" s="92">
        <v>1.5658321566207955E-2</v>
      </c>
      <c r="AC2632" s="101">
        <v>1.5748008399372182E-2</v>
      </c>
    </row>
    <row r="2633" spans="25:29" x14ac:dyDescent="0.2">
      <c r="Y2633" s="105" t="str">
        <f t="shared" si="74"/>
        <v>1w</v>
      </c>
      <c r="Z2633" s="93">
        <f>_xll.qlCalendarAdvance(Calendar,Z2632,Y2633,"f",FALSE)</f>
        <v>57649</v>
      </c>
      <c r="AA2633" s="117">
        <f>_xll.qlCalendarAdvance(Calendar,Z2633,NDays&amp;"D")</f>
        <v>57651</v>
      </c>
      <c r="AB2633" s="92">
        <v>1.5646608102523697E-2</v>
      </c>
      <c r="AC2633" s="101">
        <v>1.5736995485777783E-2</v>
      </c>
    </row>
    <row r="2634" spans="25:29" x14ac:dyDescent="0.2">
      <c r="Y2634" s="105" t="str">
        <f t="shared" si="74"/>
        <v>1w</v>
      </c>
      <c r="Z2634" s="93">
        <f>_xll.qlCalendarAdvance(Calendar,Z2633,Y2634,"f",FALSE)</f>
        <v>57656</v>
      </c>
      <c r="AA2634" s="117">
        <f>_xll.qlCalendarAdvance(Calendar,Z2634,NDays&amp;"D")</f>
        <v>57658</v>
      </c>
      <c r="AB2634" s="92">
        <v>1.5634239281139568E-2</v>
      </c>
      <c r="AC2634" s="101">
        <v>1.5725890624374017E-2</v>
      </c>
    </row>
    <row r="2635" spans="25:29" x14ac:dyDescent="0.2">
      <c r="Y2635" s="105" t="str">
        <f t="shared" si="74"/>
        <v>1w</v>
      </c>
      <c r="Z2635" s="93">
        <f>_xll.qlCalendarAdvance(Calendar,Z2634,Y2635,"f",FALSE)</f>
        <v>57663</v>
      </c>
      <c r="AA2635" s="117">
        <f>_xll.qlCalendarAdvance(Calendar,Z2635,NDays&amp;"D")</f>
        <v>57665</v>
      </c>
      <c r="AB2635" s="92">
        <v>1.562177787720961E-2</v>
      </c>
      <c r="AC2635" s="101">
        <v>1.571469381518753E-2</v>
      </c>
    </row>
    <row r="2636" spans="25:29" x14ac:dyDescent="0.2">
      <c r="Y2636" s="105" t="str">
        <f t="shared" si="74"/>
        <v>1w</v>
      </c>
      <c r="Z2636" s="93">
        <f>_xll.qlCalendarAdvance(Calendar,Z2635,Y2636,"f",FALSE)</f>
        <v>57670</v>
      </c>
      <c r="AA2636" s="117">
        <f>_xll.qlCalendarAdvance(Calendar,Z2636,NDays&amp;"D")</f>
        <v>57672</v>
      </c>
      <c r="AB2636" s="92">
        <v>1.5609223892461062E-2</v>
      </c>
      <c r="AC2636" s="101">
        <v>1.5703405058218323E-2</v>
      </c>
    </row>
    <row r="2637" spans="25:29" x14ac:dyDescent="0.2">
      <c r="Y2637" s="105" t="str">
        <f t="shared" si="74"/>
        <v>1w</v>
      </c>
      <c r="Z2637" s="93">
        <f>_xll.qlCalendarAdvance(Calendar,Z2636,Y2637,"f",FALSE)</f>
        <v>57677</v>
      </c>
      <c r="AA2637" s="117">
        <f>_xll.qlCalendarAdvance(Calendar,Z2637,NDays&amp;"D")</f>
        <v>57679</v>
      </c>
      <c r="AB2637" s="92">
        <v>1.5595978795694502E-2</v>
      </c>
      <c r="AC2637" s="101">
        <v>1.5692024353599621E-2</v>
      </c>
    </row>
    <row r="2638" spans="25:29" x14ac:dyDescent="0.2">
      <c r="Y2638" s="105" t="str">
        <f t="shared" si="74"/>
        <v>1w</v>
      </c>
      <c r="Z2638" s="93">
        <f>_xll.qlCalendarAdvance(Calendar,Z2637,Y2638,"f",FALSE)</f>
        <v>57684</v>
      </c>
      <c r="AA2638" s="117">
        <f>_xll.qlCalendarAdvance(Calendar,Z2638,NDays&amp;"D")</f>
        <v>57686</v>
      </c>
      <c r="AB2638" s="92">
        <v>1.5583232492330946E-2</v>
      </c>
      <c r="AC2638" s="101">
        <v>1.5680551701224843E-2</v>
      </c>
    </row>
    <row r="2639" spans="25:29" x14ac:dyDescent="0.2">
      <c r="Y2639" s="105" t="str">
        <f t="shared" si="74"/>
        <v>1w</v>
      </c>
      <c r="Z2639" s="93">
        <f>_xll.qlCalendarAdvance(Calendar,Z2638,Y2639,"f",FALSE)</f>
        <v>57691</v>
      </c>
      <c r="AA2639" s="117">
        <f>_xll.qlCalendarAdvance(Calendar,Z2639,NDays&amp;"D")</f>
        <v>57693</v>
      </c>
      <c r="AB2639" s="92">
        <v>1.5570393609996966E-2</v>
      </c>
      <c r="AC2639" s="101">
        <v>1.5668987101173926E-2</v>
      </c>
    </row>
    <row r="2640" spans="25:29" x14ac:dyDescent="0.2">
      <c r="Y2640" s="105" t="str">
        <f t="shared" si="74"/>
        <v>1w</v>
      </c>
      <c r="Z2640" s="93">
        <f>_xll.qlCalendarAdvance(Calendar,Z2639,Y2640,"f",FALSE)</f>
        <v>57698</v>
      </c>
      <c r="AA2640" s="117">
        <f>_xll.qlCalendarAdvance(Calendar,Z2640,NDays&amp;"D")</f>
        <v>57700</v>
      </c>
      <c r="AB2640" s="92">
        <v>1.5557462150481023E-2</v>
      </c>
      <c r="AC2640" s="101">
        <v>1.5657330553500159E-2</v>
      </c>
    </row>
    <row r="2641" spans="25:29" x14ac:dyDescent="0.2">
      <c r="Y2641" s="105" t="str">
        <f t="shared" si="74"/>
        <v>1w</v>
      </c>
      <c r="Z2641" s="93">
        <f>_xll.qlCalendarAdvance(Calendar,Z2640,Y2641,"f",FALSE)</f>
        <v>57706</v>
      </c>
      <c r="AA2641" s="117">
        <f>_xll.qlCalendarAdvance(Calendar,Z2641,NDays&amp;"D")</f>
        <v>57710</v>
      </c>
      <c r="AB2641" s="92">
        <v>1.554071676938131E-2</v>
      </c>
      <c r="AC2641" s="101">
        <v>1.5641024499619682E-2</v>
      </c>
    </row>
    <row r="2642" spans="25:29" x14ac:dyDescent="0.2">
      <c r="Y2642" s="105" t="str">
        <f t="shared" si="74"/>
        <v>1w</v>
      </c>
      <c r="Z2642" s="93">
        <f>_xll.qlCalendarAdvance(Calendar,Z2641,Y2642,"f",FALSE)</f>
        <v>57713</v>
      </c>
      <c r="AA2642" s="117">
        <f>_xll.qlCalendarAdvance(Calendar,Z2642,NDays&amp;"D")</f>
        <v>57717</v>
      </c>
      <c r="AB2642" s="92">
        <v>1.5525671765110712E-2</v>
      </c>
      <c r="AC2642" s="101">
        <v>1.5629663785690084E-2</v>
      </c>
    </row>
    <row r="2643" spans="25:29" x14ac:dyDescent="0.2">
      <c r="Y2643" s="105" t="str">
        <f t="shared" si="74"/>
        <v>1w</v>
      </c>
      <c r="Z2643" s="93">
        <f>_xll.qlCalendarAdvance(Calendar,Z2642,Y2643,"f",FALSE)</f>
        <v>57720</v>
      </c>
      <c r="AA2643" s="117">
        <f>_xll.qlCalendarAdvance(Calendar,Z2643,NDays&amp;"D")</f>
        <v>57724</v>
      </c>
      <c r="AB2643" s="92">
        <v>1.5512422911880819E-2</v>
      </c>
      <c r="AC2643" s="101">
        <v>1.5617706162478484E-2</v>
      </c>
    </row>
    <row r="2644" spans="25:29" x14ac:dyDescent="0.2">
      <c r="Y2644" s="105" t="str">
        <f t="shared" si="74"/>
        <v>1w</v>
      </c>
      <c r="Z2644" s="93">
        <f>_xll.qlCalendarAdvance(Calendar,Z2643,Y2644,"f",FALSE)</f>
        <v>57727</v>
      </c>
      <c r="AA2644" s="117">
        <f>_xll.qlCalendarAdvance(Calendar,Z2644,NDays&amp;"D")</f>
        <v>57731</v>
      </c>
      <c r="AB2644" s="92">
        <v>1.5499081489549092E-2</v>
      </c>
      <c r="AC2644" s="101">
        <v>1.5605656598811635E-2</v>
      </c>
    </row>
    <row r="2645" spans="25:29" x14ac:dyDescent="0.2">
      <c r="Y2645" s="105" t="str">
        <f t="shared" ref="Y2645:Y2708" si="75">Y2644</f>
        <v>1w</v>
      </c>
      <c r="Z2645" s="93">
        <f>_xll.qlCalendarAdvance(Calendar,Z2644,Y2645,"f",FALSE)</f>
        <v>57734</v>
      </c>
      <c r="AA2645" s="117">
        <f>_xll.qlCalendarAdvance(Calendar,Z2645,NDays&amp;"D")</f>
        <v>57738</v>
      </c>
      <c r="AB2645" s="92">
        <v>1.5485647499977339E-2</v>
      </c>
      <c r="AC2645" s="101">
        <v>1.5593515094849408E-2</v>
      </c>
    </row>
    <row r="2646" spans="25:29" x14ac:dyDescent="0.2">
      <c r="Y2646" s="105" t="str">
        <f t="shared" si="75"/>
        <v>1w</v>
      </c>
      <c r="Z2646" s="93">
        <f>_xll.qlCalendarAdvance(Calendar,Z2645,Y2646,"f",FALSE)</f>
        <v>57741</v>
      </c>
      <c r="AA2646" s="117">
        <f>_xll.qlCalendarAdvance(Calendar,Z2646,NDays&amp;"D")</f>
        <v>57745</v>
      </c>
      <c r="AB2646" s="92">
        <v>1.5472120945036588E-2</v>
      </c>
      <c r="AC2646" s="101">
        <v>1.5581281650591805E-2</v>
      </c>
    </row>
    <row r="2647" spans="25:29" x14ac:dyDescent="0.2">
      <c r="Y2647" s="105" t="str">
        <f t="shared" si="75"/>
        <v>1w</v>
      </c>
      <c r="Z2647" s="93">
        <f>_xll.qlCalendarAdvance(Calendar,Z2646,Y2647,"f",FALSE)</f>
        <v>57748</v>
      </c>
      <c r="AA2647" s="117">
        <f>_xll.qlCalendarAdvance(Calendar,Z2647,NDays&amp;"D")</f>
        <v>57752</v>
      </c>
      <c r="AB2647" s="92">
        <v>1.5458501826613244E-2</v>
      </c>
      <c r="AC2647" s="101">
        <v>1.5568956265958889E-2</v>
      </c>
    </row>
    <row r="2648" spans="25:29" x14ac:dyDescent="0.2">
      <c r="Y2648" s="105" t="str">
        <f t="shared" si="75"/>
        <v>1w</v>
      </c>
      <c r="Z2648" s="93">
        <f>_xll.qlCalendarAdvance(Calendar,Z2647,Y2648,"f",FALSE)</f>
        <v>57755</v>
      </c>
      <c r="AA2648" s="117">
        <f>_xll.qlCalendarAdvance(Calendar,Z2648,NDays&amp;"D")</f>
        <v>57759</v>
      </c>
      <c r="AB2648" s="92">
        <v>1.544479014660557E-2</v>
      </c>
      <c r="AC2648" s="101">
        <v>1.5556538941030595E-2</v>
      </c>
    </row>
    <row r="2649" spans="25:29" x14ac:dyDescent="0.2">
      <c r="Y2649" s="105" t="str">
        <f t="shared" si="75"/>
        <v>1w</v>
      </c>
      <c r="Z2649" s="93">
        <f>_xll.qlCalendarAdvance(Calendar,Z2648,Y2649,"f",FALSE)</f>
        <v>57762</v>
      </c>
      <c r="AA2649" s="117">
        <f>_xll.qlCalendarAdvance(Calendar,Z2649,NDays&amp;"D")</f>
        <v>57766</v>
      </c>
      <c r="AB2649" s="92">
        <v>1.5430985906924563E-2</v>
      </c>
      <c r="AC2649" s="101">
        <v>1.5544029675886861E-2</v>
      </c>
    </row>
    <row r="2650" spans="25:29" x14ac:dyDescent="0.2">
      <c r="Y2650" s="105" t="str">
        <f t="shared" si="75"/>
        <v>1w</v>
      </c>
      <c r="Z2650" s="93">
        <f>_xll.qlCalendarAdvance(Calendar,Z2649,Y2650,"f",FALSE)</f>
        <v>57769</v>
      </c>
      <c r="AA2650" s="117">
        <f>_xll.qlCalendarAdvance(Calendar,Z2650,NDays&amp;"D")</f>
        <v>57773</v>
      </c>
      <c r="AB2650" s="92">
        <v>1.5415697000944377E-2</v>
      </c>
      <c r="AC2650" s="101">
        <v>1.5531428470287878E-2</v>
      </c>
    </row>
    <row r="2651" spans="25:29" x14ac:dyDescent="0.2">
      <c r="Y2651" s="105" t="str">
        <f t="shared" si="75"/>
        <v>1w</v>
      </c>
      <c r="Z2651" s="93">
        <f>_xll.qlCalendarAdvance(Calendar,Z2650,Y2651,"f",FALSE)</f>
        <v>57776</v>
      </c>
      <c r="AA2651" s="117">
        <f>_xll.qlCalendarAdvance(Calendar,Z2651,NDays&amp;"D")</f>
        <v>57780</v>
      </c>
      <c r="AB2651" s="92">
        <v>1.5401693231976904E-2</v>
      </c>
      <c r="AC2651" s="101">
        <v>1.5518735324393518E-2</v>
      </c>
    </row>
    <row r="2652" spans="25:29" x14ac:dyDescent="0.2">
      <c r="Y2652" s="105" t="str">
        <f t="shared" si="75"/>
        <v>1w</v>
      </c>
      <c r="Z2652" s="93">
        <f>_xll.qlCalendarAdvance(Calendar,Z2651,Y2652,"f",FALSE)</f>
        <v>57783</v>
      </c>
      <c r="AA2652" s="117">
        <f>_xll.qlCalendarAdvance(Calendar,Z2652,NDays&amp;"D")</f>
        <v>57787</v>
      </c>
      <c r="AB2652" s="92">
        <v>1.538759690263007E-2</v>
      </c>
      <c r="AC2652" s="101">
        <v>1.5505950238363653E-2</v>
      </c>
    </row>
    <row r="2653" spans="25:29" x14ac:dyDescent="0.2">
      <c r="Y2653" s="105" t="str">
        <f t="shared" si="75"/>
        <v>1w</v>
      </c>
      <c r="Z2653" s="93">
        <f>_xll.qlCalendarAdvance(Calendar,Z2652,Y2653,"f",FALSE)</f>
        <v>57790</v>
      </c>
      <c r="AA2653" s="117">
        <f>_xll.qlCalendarAdvance(Calendar,Z2653,NDays&amp;"D")</f>
        <v>57794</v>
      </c>
      <c r="AB2653" s="92">
        <v>1.5373408014889676E-2</v>
      </c>
      <c r="AC2653" s="101">
        <v>1.5493073212038411E-2</v>
      </c>
    </row>
    <row r="2654" spans="25:29" x14ac:dyDescent="0.2">
      <c r="Y2654" s="105" t="str">
        <f t="shared" si="75"/>
        <v>1w</v>
      </c>
      <c r="Z2654" s="93">
        <f>_xll.qlCalendarAdvance(Calendar,Z2653,Y2654,"f",FALSE)</f>
        <v>57797</v>
      </c>
      <c r="AA2654" s="117">
        <f>_xll.qlCalendarAdvance(Calendar,Z2654,NDays&amp;"D")</f>
        <v>57801</v>
      </c>
      <c r="AB2654" s="92">
        <v>1.5359851830925249E-2</v>
      </c>
      <c r="AC2654" s="101">
        <v>1.5480104245337856E-2</v>
      </c>
    </row>
    <row r="2655" spans="25:29" x14ac:dyDescent="0.2">
      <c r="Y2655" s="105" t="str">
        <f t="shared" si="75"/>
        <v>1w</v>
      </c>
      <c r="Z2655" s="93">
        <f>_xll.qlCalendarAdvance(Calendar,Z2654,Y2655,"f",FALSE)</f>
        <v>57804</v>
      </c>
      <c r="AA2655" s="117">
        <f>_xll.qlCalendarAdvance(Calendar,Z2655,NDays&amp;"D")</f>
        <v>57808</v>
      </c>
      <c r="AB2655" s="92">
        <v>1.5345485053482349E-2</v>
      </c>
      <c r="AC2655" s="101">
        <v>1.5467043338501796E-2</v>
      </c>
    </row>
    <row r="2656" spans="25:29" x14ac:dyDescent="0.2">
      <c r="Y2656" s="105" t="str">
        <f t="shared" si="75"/>
        <v>1w</v>
      </c>
      <c r="Z2656" s="93">
        <f>_xll.qlCalendarAdvance(Calendar,Z2655,Y2656,"f",FALSE)</f>
        <v>57811</v>
      </c>
      <c r="AA2656" s="117">
        <f>_xll.qlCalendarAdvance(Calendar,Z2656,NDays&amp;"D")</f>
        <v>57817</v>
      </c>
      <c r="AB2656" s="92">
        <v>1.5326877492186405E-2</v>
      </c>
      <c r="AC2656" s="101">
        <v>1.5450115648052432E-2</v>
      </c>
    </row>
    <row r="2657" spans="25:29" x14ac:dyDescent="0.2">
      <c r="Y2657" s="105" t="str">
        <f t="shared" si="75"/>
        <v>1w</v>
      </c>
      <c r="Z2657" s="93">
        <f>_xll.qlCalendarAdvance(Calendar,Z2656,Y2657,"f",FALSE)</f>
        <v>57818</v>
      </c>
      <c r="AA2657" s="117">
        <f>_xll.qlCalendarAdvance(Calendar,Z2657,NDays&amp;"D")</f>
        <v>57822</v>
      </c>
      <c r="AB2657" s="92">
        <v>1.5316473853186062E-2</v>
      </c>
      <c r="AC2657" s="101">
        <v>1.5440645704103417E-2</v>
      </c>
    </row>
    <row r="2658" spans="25:29" x14ac:dyDescent="0.2">
      <c r="Y2658" s="105" t="str">
        <f t="shared" si="75"/>
        <v>1w</v>
      </c>
      <c r="Z2658" s="93">
        <f>_xll.qlCalendarAdvance(Calendar,Z2657,Y2658,"f",FALSE)</f>
        <v>57825</v>
      </c>
      <c r="AA2658" s="117">
        <f>_xll.qlCalendarAdvance(Calendar,Z2658,NDays&amp;"D")</f>
        <v>57829</v>
      </c>
      <c r="AB2658" s="92">
        <v>1.5301829434398492E-2</v>
      </c>
      <c r="AC2658" s="101">
        <v>1.5427308976541099E-2</v>
      </c>
    </row>
    <row r="2659" spans="25:29" x14ac:dyDescent="0.2">
      <c r="Y2659" s="105" t="str">
        <f t="shared" si="75"/>
        <v>1w</v>
      </c>
      <c r="Z2659" s="93">
        <f>_xll.qlCalendarAdvance(Calendar,Z2658,Y2659,"f",FALSE)</f>
        <v>57832</v>
      </c>
      <c r="AA2659" s="117">
        <f>_xll.qlCalendarAdvance(Calendar,Z2659,NDays&amp;"D")</f>
        <v>57836</v>
      </c>
      <c r="AB2659" s="92">
        <v>1.5286331075056654E-2</v>
      </c>
      <c r="AC2659" s="101">
        <v>1.5413880308843275E-2</v>
      </c>
    </row>
    <row r="2660" spans="25:29" x14ac:dyDescent="0.2">
      <c r="Y2660" s="105" t="str">
        <f t="shared" si="75"/>
        <v>1w</v>
      </c>
      <c r="Z2660" s="93">
        <f>_xll.qlCalendarAdvance(Calendar,Z2659,Y2660,"f",FALSE)</f>
        <v>57839</v>
      </c>
      <c r="AA2660" s="117">
        <f>_xll.qlCalendarAdvance(Calendar,Z2660,NDays&amp;"D")</f>
        <v>57843</v>
      </c>
      <c r="AB2660" s="92">
        <v>1.5271494335274248E-2</v>
      </c>
      <c r="AC2660" s="101">
        <v>1.5400359700850075E-2</v>
      </c>
    </row>
    <row r="2661" spans="25:29" x14ac:dyDescent="0.2">
      <c r="Y2661" s="105" t="str">
        <f t="shared" si="75"/>
        <v>1w</v>
      </c>
      <c r="Z2661" s="93">
        <f>_xll.qlCalendarAdvance(Calendar,Z2660,Y2661,"f",FALSE)</f>
        <v>57846</v>
      </c>
      <c r="AA2661" s="117">
        <f>_xll.qlCalendarAdvance(Calendar,Z2661,NDays&amp;"D")</f>
        <v>57850</v>
      </c>
      <c r="AB2661" s="92">
        <v>1.5256565053458241E-2</v>
      </c>
      <c r="AC2661" s="101">
        <v>1.538674715272137E-2</v>
      </c>
    </row>
    <row r="2662" spans="25:29" x14ac:dyDescent="0.2">
      <c r="Y2662" s="105" t="str">
        <f t="shared" si="75"/>
        <v>1w</v>
      </c>
      <c r="Z2662" s="93">
        <f>_xll.qlCalendarAdvance(Calendar,Z2661,Y2662,"f",FALSE)</f>
        <v>57853</v>
      </c>
      <c r="AA2662" s="117">
        <f>_xll.qlCalendarAdvance(Calendar,Z2662,NDays&amp;"D")</f>
        <v>57857</v>
      </c>
      <c r="AB2662" s="92">
        <v>1.5241543231712602E-2</v>
      </c>
      <c r="AC2662" s="101">
        <v>1.5373042664377223E-2</v>
      </c>
    </row>
    <row r="2663" spans="25:29" x14ac:dyDescent="0.2">
      <c r="Y2663" s="105" t="str">
        <f t="shared" si="75"/>
        <v>1w</v>
      </c>
      <c r="Z2663" s="93">
        <f>_xll.qlCalendarAdvance(Calendar,Z2662,Y2663,"f",FALSE)</f>
        <v>57860</v>
      </c>
      <c r="AA2663" s="117">
        <f>_xll.qlCalendarAdvance(Calendar,Z2663,NDays&amp;"D")</f>
        <v>57864</v>
      </c>
      <c r="AB2663" s="92">
        <v>1.5227219236554292E-2</v>
      </c>
      <c r="AC2663" s="101">
        <v>1.5359246235897572E-2</v>
      </c>
    </row>
    <row r="2664" spans="25:29" x14ac:dyDescent="0.2">
      <c r="Y2664" s="105" t="str">
        <f t="shared" si="75"/>
        <v>1w</v>
      </c>
      <c r="Z2664" s="93">
        <f>_xll.qlCalendarAdvance(Calendar,Z2663,Y2664,"f",FALSE)</f>
        <v>57867</v>
      </c>
      <c r="AA2664" s="117">
        <f>_xll.qlCalendarAdvance(Calendar,Z2664,NDays&amp;"D")</f>
        <v>57871</v>
      </c>
      <c r="AB2664" s="92">
        <v>1.521201959084305E-2</v>
      </c>
      <c r="AC2664" s="101">
        <v>1.5345357867282416E-2</v>
      </c>
    </row>
    <row r="2665" spans="25:29" x14ac:dyDescent="0.2">
      <c r="Y2665" s="105" t="str">
        <f t="shared" si="75"/>
        <v>1w</v>
      </c>
      <c r="Z2665" s="93">
        <f>_xll.qlCalendarAdvance(Calendar,Z2664,Y2665,"f",FALSE)</f>
        <v>57874</v>
      </c>
      <c r="AA2665" s="117">
        <f>_xll.qlCalendarAdvance(Calendar,Z2665,NDays&amp;"D")</f>
        <v>57878</v>
      </c>
      <c r="AB2665" s="92">
        <v>1.5196727414690357E-2</v>
      </c>
      <c r="AC2665" s="101">
        <v>1.533137755845182E-2</v>
      </c>
    </row>
    <row r="2666" spans="25:29" x14ac:dyDescent="0.2">
      <c r="Y2666" s="105" t="str">
        <f t="shared" si="75"/>
        <v>1w</v>
      </c>
      <c r="Z2666" s="93">
        <f>_xll.qlCalendarAdvance(Calendar,Z2665,Y2666,"f",FALSE)</f>
        <v>57881</v>
      </c>
      <c r="AA2666" s="117">
        <f>_xll.qlCalendarAdvance(Calendar,Z2666,NDays&amp;"D")</f>
        <v>57885</v>
      </c>
      <c r="AB2666" s="92">
        <v>1.5181342710240946E-2</v>
      </c>
      <c r="AC2666" s="101">
        <v>1.5317305309485718E-2</v>
      </c>
    </row>
    <row r="2667" spans="25:29" x14ac:dyDescent="0.2">
      <c r="Y2667" s="105" t="str">
        <f t="shared" si="75"/>
        <v>1w</v>
      </c>
      <c r="Z2667" s="93">
        <f>_xll.qlCalendarAdvance(Calendar,Z2666,Y2667,"f",FALSE)</f>
        <v>57888</v>
      </c>
      <c r="AA2667" s="117">
        <f>_xll.qlCalendarAdvance(Calendar,Z2667,NDays&amp;"D")</f>
        <v>57892</v>
      </c>
      <c r="AB2667" s="92">
        <v>1.5164226001297597E-2</v>
      </c>
      <c r="AC2667" s="101">
        <v>1.5303141120543984E-2</v>
      </c>
    </row>
    <row r="2668" spans="25:29" x14ac:dyDescent="0.2">
      <c r="Y2668" s="105" t="str">
        <f t="shared" si="75"/>
        <v>1w</v>
      </c>
      <c r="Z2668" s="93">
        <f>_xll.qlCalendarAdvance(Calendar,Z2667,Y2668,"f",FALSE)</f>
        <v>57895</v>
      </c>
      <c r="AA2668" s="117">
        <f>_xll.qlCalendarAdvance(Calendar,Z2668,NDays&amp;"D")</f>
        <v>57899</v>
      </c>
      <c r="AB2668" s="92">
        <v>1.5149469082172674E-2</v>
      </c>
      <c r="AC2668" s="101">
        <v>1.5288884991386809E-2</v>
      </c>
    </row>
    <row r="2669" spans="25:29" x14ac:dyDescent="0.2">
      <c r="Y2669" s="105" t="str">
        <f t="shared" si="75"/>
        <v>1w</v>
      </c>
      <c r="Z2669" s="93">
        <f>_xll.qlCalendarAdvance(Calendar,Z2668,Y2669,"f",FALSE)</f>
        <v>57902</v>
      </c>
      <c r="AA2669" s="117">
        <f>_xll.qlCalendarAdvance(Calendar,Z2669,NDays&amp;"D")</f>
        <v>57906</v>
      </c>
      <c r="AB2669" s="92">
        <v>1.5133799540919873E-2</v>
      </c>
      <c r="AC2669" s="101">
        <v>1.5274536922094128E-2</v>
      </c>
    </row>
    <row r="2670" spans="25:29" x14ac:dyDescent="0.2">
      <c r="Y2670" s="105" t="str">
        <f t="shared" si="75"/>
        <v>1w</v>
      </c>
      <c r="Z2670" s="93">
        <f>_xll.qlCalendarAdvance(Calendar,Z2669,Y2670,"f",FALSE)</f>
        <v>57909</v>
      </c>
      <c r="AA2670" s="117">
        <f>_xll.qlCalendarAdvance(Calendar,Z2670,NDays&amp;"D")</f>
        <v>57913</v>
      </c>
      <c r="AB2670" s="92">
        <v>1.5118037477036213E-2</v>
      </c>
      <c r="AC2670" s="101">
        <v>1.526009691274588E-2</v>
      </c>
    </row>
    <row r="2671" spans="25:29" x14ac:dyDescent="0.2">
      <c r="Y2671" s="105" t="str">
        <f t="shared" si="75"/>
        <v>1w</v>
      </c>
      <c r="Z2671" s="93">
        <f>_xll.qlCalendarAdvance(Calendar,Z2670,Y2671,"f",FALSE)</f>
        <v>57916</v>
      </c>
      <c r="AA2671" s="117">
        <f>_xll.qlCalendarAdvance(Calendar,Z2671,NDays&amp;"D")</f>
        <v>57920</v>
      </c>
      <c r="AB2671" s="92">
        <v>1.5102182892743392E-2</v>
      </c>
      <c r="AC2671" s="101">
        <v>1.5245564963421998E-2</v>
      </c>
    </row>
    <row r="2672" spans="25:29" x14ac:dyDescent="0.2">
      <c r="Y2672" s="105" t="str">
        <f t="shared" si="75"/>
        <v>1w</v>
      </c>
      <c r="Z2672" s="93">
        <f>_xll.qlCalendarAdvance(Calendar,Z2671,Y2672,"f",FALSE)</f>
        <v>57923</v>
      </c>
      <c r="AA2672" s="117">
        <f>_xll.qlCalendarAdvance(Calendar,Z2672,NDays&amp;"D")</f>
        <v>57927</v>
      </c>
      <c r="AB2672" s="92">
        <v>1.5086235790273975E-2</v>
      </c>
      <c r="AC2672" s="101">
        <v>1.5230941073962612E-2</v>
      </c>
    </row>
    <row r="2673" spans="25:29" x14ac:dyDescent="0.2">
      <c r="Y2673" s="105" t="str">
        <f t="shared" si="75"/>
        <v>1w</v>
      </c>
      <c r="Z2673" s="93">
        <f>_xll.qlCalendarAdvance(Calendar,Z2672,Y2673,"f",FALSE)</f>
        <v>57930</v>
      </c>
      <c r="AA2673" s="117">
        <f>_xll.qlCalendarAdvance(Calendar,Z2673,NDays&amp;"D")</f>
        <v>57934</v>
      </c>
      <c r="AB2673" s="92">
        <v>1.5070196171876594E-2</v>
      </c>
      <c r="AC2673" s="101">
        <v>1.521622524436772E-2</v>
      </c>
    </row>
    <row r="2674" spans="25:29" x14ac:dyDescent="0.2">
      <c r="Y2674" s="105" t="str">
        <f t="shared" si="75"/>
        <v>1w</v>
      </c>
      <c r="Z2674" s="93">
        <f>_xll.qlCalendarAdvance(Calendar,Z2673,Y2674,"f",FALSE)</f>
        <v>57937</v>
      </c>
      <c r="AA2674" s="117">
        <f>_xll.qlCalendarAdvance(Calendar,Z2674,NDays&amp;"D")</f>
        <v>57941</v>
      </c>
      <c r="AB2674" s="92">
        <v>1.5054064039809878E-2</v>
      </c>
      <c r="AC2674" s="101">
        <v>1.5201417474797196E-2</v>
      </c>
    </row>
    <row r="2675" spans="25:29" x14ac:dyDescent="0.2">
      <c r="Y2675" s="105" t="str">
        <f t="shared" si="75"/>
        <v>1w</v>
      </c>
      <c r="Z2675" s="93">
        <f>_xll.qlCalendarAdvance(Calendar,Z2674,Y2675,"f",FALSE)</f>
        <v>57944</v>
      </c>
      <c r="AA2675" s="117">
        <f>_xll.qlCalendarAdvance(Calendar,Z2675,NDays&amp;"D")</f>
        <v>57948</v>
      </c>
      <c r="AB2675" s="92">
        <v>1.5037839396348533E-2</v>
      </c>
      <c r="AC2675" s="101">
        <v>1.5186517765171104E-2</v>
      </c>
    </row>
    <row r="2676" spans="25:29" x14ac:dyDescent="0.2">
      <c r="Y2676" s="105" t="str">
        <f t="shared" si="75"/>
        <v>1w</v>
      </c>
      <c r="Z2676" s="93">
        <f>_xll.qlCalendarAdvance(Calendar,Z2675,Y2676,"f",FALSE)</f>
        <v>57951</v>
      </c>
      <c r="AA2676" s="117">
        <f>_xll.qlCalendarAdvance(Calendar,Z2676,NDays&amp;"D")</f>
        <v>57955</v>
      </c>
      <c r="AB2676" s="92">
        <v>1.5023291216131031E-2</v>
      </c>
      <c r="AC2676" s="101">
        <v>1.5171526115489442E-2</v>
      </c>
    </row>
    <row r="2677" spans="25:29" x14ac:dyDescent="0.2">
      <c r="Y2677" s="105" t="str">
        <f t="shared" si="75"/>
        <v>1w</v>
      </c>
      <c r="Z2677" s="93">
        <f>_xll.qlCalendarAdvance(Calendar,Z2676,Y2677,"f",FALSE)</f>
        <v>57958</v>
      </c>
      <c r="AA2677" s="117">
        <f>_xll.qlCalendarAdvance(Calendar,Z2677,NDays&amp;"D")</f>
        <v>57962</v>
      </c>
      <c r="AB2677" s="92">
        <v>1.5006896133910834E-2</v>
      </c>
      <c r="AC2677" s="101">
        <v>1.5156442525832148E-2</v>
      </c>
    </row>
    <row r="2678" spans="25:29" x14ac:dyDescent="0.2">
      <c r="Y2678" s="105" t="str">
        <f t="shared" si="75"/>
        <v>1w</v>
      </c>
      <c r="Z2678" s="93">
        <f>_xll.qlCalendarAdvance(Calendar,Z2677,Y2678,"f",FALSE)</f>
        <v>57965</v>
      </c>
      <c r="AA2678" s="117">
        <f>_xll.qlCalendarAdvance(Calendar,Z2678,NDays&amp;"D")</f>
        <v>57969</v>
      </c>
      <c r="AB2678" s="92">
        <v>1.4990408553050684E-2</v>
      </c>
      <c r="AC2678" s="101">
        <v>1.5141266996279157E-2</v>
      </c>
    </row>
    <row r="2679" spans="25:29" x14ac:dyDescent="0.2">
      <c r="Y2679" s="105" t="str">
        <f t="shared" si="75"/>
        <v>1w</v>
      </c>
      <c r="Z2679" s="93">
        <f>_xll.qlCalendarAdvance(Calendar,Z2678,Y2679,"f",FALSE)</f>
        <v>57972</v>
      </c>
      <c r="AA2679" s="117">
        <f>_xll.qlCalendarAdvance(Calendar,Z2679,NDays&amp;"D")</f>
        <v>57976</v>
      </c>
      <c r="AB2679" s="92">
        <v>1.4973828475848078E-2</v>
      </c>
      <c r="AC2679" s="101">
        <v>1.5125999526590661E-2</v>
      </c>
    </row>
    <row r="2680" spans="25:29" x14ac:dyDescent="0.2">
      <c r="Y2680" s="105" t="str">
        <f t="shared" si="75"/>
        <v>1w</v>
      </c>
      <c r="Z2680" s="93">
        <f>_xll.qlCalendarAdvance(Calendar,Z2679,Y2680,"f",FALSE)</f>
        <v>57979</v>
      </c>
      <c r="AA2680" s="117">
        <f>_xll.qlCalendarAdvance(Calendar,Z2680,NDays&amp;"D")</f>
        <v>57983</v>
      </c>
      <c r="AB2680" s="92">
        <v>1.4960801872377503E-2</v>
      </c>
      <c r="AC2680" s="101">
        <v>1.5110640117006469E-2</v>
      </c>
    </row>
    <row r="2681" spans="25:29" x14ac:dyDescent="0.2">
      <c r="Y2681" s="105" t="str">
        <f t="shared" si="75"/>
        <v>1w</v>
      </c>
      <c r="Z2681" s="93">
        <f>_xll.qlCalendarAdvance(Calendar,Z2680,Y2681,"f",FALSE)</f>
        <v>57986</v>
      </c>
      <c r="AA2681" s="117">
        <f>_xll.qlCalendarAdvance(Calendar,Z2681,NDays&amp;"D")</f>
        <v>57990</v>
      </c>
      <c r="AB2681" s="92">
        <v>1.4940390841674473E-2</v>
      </c>
      <c r="AC2681" s="101">
        <v>1.5095188767366707E-2</v>
      </c>
    </row>
    <row r="2682" spans="25:29" x14ac:dyDescent="0.2">
      <c r="Y2682" s="105" t="str">
        <f t="shared" si="75"/>
        <v>1w</v>
      </c>
      <c r="Z2682" s="93">
        <f>_xll.qlCalendarAdvance(Calendar,Z2681,Y2682,"f",FALSE)</f>
        <v>57993</v>
      </c>
      <c r="AA2682" s="117">
        <f>_xll.qlCalendarAdvance(Calendar,Z2682,NDays&amp;"D")</f>
        <v>57997</v>
      </c>
      <c r="AB2682" s="92">
        <v>1.4923533289362604E-2</v>
      </c>
      <c r="AC2682" s="101">
        <v>1.5079645477911185E-2</v>
      </c>
    </row>
    <row r="2683" spans="25:29" x14ac:dyDescent="0.2">
      <c r="Y2683" s="105" t="str">
        <f t="shared" si="75"/>
        <v>1w</v>
      </c>
      <c r="Z2683" s="93">
        <f>_xll.qlCalendarAdvance(Calendar,Z2682,Y2683,"f",FALSE)</f>
        <v>58000</v>
      </c>
      <c r="AA2683" s="117">
        <f>_xll.qlCalendarAdvance(Calendar,Z2683,NDays&amp;"D")</f>
        <v>58004</v>
      </c>
      <c r="AB2683" s="92">
        <v>1.4906583250029618E-2</v>
      </c>
      <c r="AC2683" s="101">
        <v>1.5064010248320159E-2</v>
      </c>
    </row>
    <row r="2684" spans="25:29" x14ac:dyDescent="0.2">
      <c r="Y2684" s="105" t="str">
        <f t="shared" si="75"/>
        <v>1w</v>
      </c>
      <c r="Z2684" s="93">
        <f>_xll.qlCalendarAdvance(Calendar,Z2683,Y2684,"f",FALSE)</f>
        <v>58007</v>
      </c>
      <c r="AA2684" s="117">
        <f>_xll.qlCalendarAdvance(Calendar,Z2684,NDays&amp;"D")</f>
        <v>58011</v>
      </c>
      <c r="AB2684" s="92">
        <v>1.4889540726036699E-2</v>
      </c>
      <c r="AC2684" s="101">
        <v>1.5048283078913371E-2</v>
      </c>
    </row>
    <row r="2685" spans="25:29" x14ac:dyDescent="0.2">
      <c r="Y2685" s="105" t="str">
        <f t="shared" si="75"/>
        <v>1w</v>
      </c>
      <c r="Z2685" s="93">
        <f>_xll.qlCalendarAdvance(Calendar,Z2684,Y2685,"f",FALSE)</f>
        <v>58014</v>
      </c>
      <c r="AA2685" s="117">
        <f>_xll.qlCalendarAdvance(Calendar,Z2685,NDays&amp;"D")</f>
        <v>58018</v>
      </c>
      <c r="AB2685" s="92">
        <v>1.4872405719759974E-2</v>
      </c>
      <c r="AC2685" s="101">
        <v>1.5032463969690824E-2</v>
      </c>
    </row>
    <row r="2686" spans="25:29" x14ac:dyDescent="0.2">
      <c r="Y2686" s="105" t="str">
        <f t="shared" si="75"/>
        <v>1w</v>
      </c>
      <c r="Z2686" s="93">
        <f>_xll.qlCalendarAdvance(Calendar,Z2685,Y2686,"f",FALSE)</f>
        <v>58021</v>
      </c>
      <c r="AA2686" s="117">
        <f>_xll.qlCalendarAdvance(Calendar,Z2686,NDays&amp;"D")</f>
        <v>58025</v>
      </c>
      <c r="AB2686" s="92">
        <v>1.4855178233586539E-2</v>
      </c>
      <c r="AC2686" s="101">
        <v>1.5016552920412707E-2</v>
      </c>
    </row>
    <row r="2687" spans="25:29" x14ac:dyDescent="0.2">
      <c r="Y2687" s="105" t="str">
        <f t="shared" si="75"/>
        <v>1w</v>
      </c>
      <c r="Z2687" s="93">
        <f>_xll.qlCalendarAdvance(Calendar,Z2686,Y2687,"f",FALSE)</f>
        <v>58028</v>
      </c>
      <c r="AA2687" s="117">
        <f>_xll.qlCalendarAdvance(Calendar,Z2687,NDays&amp;"D")</f>
        <v>58032</v>
      </c>
      <c r="AB2687" s="92">
        <v>1.4837858269917552E-2</v>
      </c>
      <c r="AC2687" s="101">
        <v>1.500054993131883E-2</v>
      </c>
    </row>
    <row r="2688" spans="25:29" x14ac:dyDescent="0.2">
      <c r="Y2688" s="105" t="str">
        <f t="shared" si="75"/>
        <v>1w</v>
      </c>
      <c r="Z2688" s="93">
        <f>_xll.qlCalendarAdvance(Calendar,Z2687,Y2688,"f",FALSE)</f>
        <v>58035</v>
      </c>
      <c r="AA2688" s="117">
        <f>_xll.qlCalendarAdvance(Calendar,Z2688,NDays&amp;"D")</f>
        <v>58039</v>
      </c>
      <c r="AB2688" s="92">
        <v>1.4820445831167348E-2</v>
      </c>
      <c r="AC2688" s="101">
        <v>1.4984455002329256E-2</v>
      </c>
    </row>
    <row r="2689" spans="25:29" x14ac:dyDescent="0.2">
      <c r="Y2689" s="105" t="str">
        <f t="shared" si="75"/>
        <v>1w</v>
      </c>
      <c r="Z2689" s="93">
        <f>_xll.qlCalendarAdvance(Calendar,Z2688,Y2689,"f",FALSE)</f>
        <v>58042</v>
      </c>
      <c r="AA2689" s="117">
        <f>_xll.qlCalendarAdvance(Calendar,Z2689,NDays&amp;"D")</f>
        <v>58046</v>
      </c>
      <c r="AB2689" s="92">
        <v>1.4802940919761677E-2</v>
      </c>
      <c r="AC2689" s="101">
        <v>1.4968268133523921E-2</v>
      </c>
    </row>
    <row r="2690" spans="25:29" x14ac:dyDescent="0.2">
      <c r="Y2690" s="105" t="str">
        <f t="shared" si="75"/>
        <v>1w</v>
      </c>
      <c r="Z2690" s="93">
        <f>_xll.qlCalendarAdvance(Calendar,Z2689,Y2690,"f",FALSE)</f>
        <v>58049</v>
      </c>
      <c r="AA2690" s="117">
        <f>_xll.qlCalendarAdvance(Calendar,Z2690,NDays&amp;"D")</f>
        <v>58053</v>
      </c>
      <c r="AB2690" s="92">
        <v>1.4785343538140785E-2</v>
      </c>
      <c r="AC2690" s="101">
        <v>1.4951989324742954E-2</v>
      </c>
    </row>
    <row r="2691" spans="25:29" x14ac:dyDescent="0.2">
      <c r="Y2691" s="105" t="str">
        <f t="shared" si="75"/>
        <v>1w</v>
      </c>
      <c r="Z2691" s="93">
        <f>_xll.qlCalendarAdvance(Calendar,Z2690,Y2691,"f",FALSE)</f>
        <v>58056</v>
      </c>
      <c r="AA2691" s="117">
        <f>_xll.qlCalendarAdvance(Calendar,Z2691,NDays&amp;"D")</f>
        <v>58060</v>
      </c>
      <c r="AB2691" s="92">
        <v>1.4767653688756335E-2</v>
      </c>
      <c r="AC2691" s="101">
        <v>1.4935618576146226E-2</v>
      </c>
    </row>
    <row r="2692" spans="25:29" x14ac:dyDescent="0.2">
      <c r="Y2692" s="105" t="str">
        <f t="shared" si="75"/>
        <v>1w</v>
      </c>
      <c r="Z2692" s="93">
        <f>_xll.qlCalendarAdvance(Calendar,Z2691,Y2692,"f",FALSE)</f>
        <v>58063</v>
      </c>
      <c r="AA2692" s="117">
        <f>_xll.qlCalendarAdvance(Calendar,Z2692,NDays&amp;"D")</f>
        <v>58067</v>
      </c>
      <c r="AB2692" s="92">
        <v>1.4749871374074051E-2</v>
      </c>
      <c r="AC2692" s="101">
        <v>1.4919155887813673E-2</v>
      </c>
    </row>
    <row r="2693" spans="25:29" x14ac:dyDescent="0.2">
      <c r="Y2693" s="105" t="str">
        <f t="shared" si="75"/>
        <v>1w</v>
      </c>
      <c r="Z2693" s="93">
        <f>_xll.qlCalendarAdvance(Calendar,Z2692,Y2693,"f",FALSE)</f>
        <v>58071</v>
      </c>
      <c r="AA2693" s="117">
        <f>_xll.qlCalendarAdvance(Calendar,Z2693,NDays&amp;"D")</f>
        <v>58075</v>
      </c>
      <c r="AB2693" s="92">
        <v>1.4730444246214646E-2</v>
      </c>
      <c r="AC2693" s="101">
        <v>1.4899349950723284E-2</v>
      </c>
    </row>
    <row r="2694" spans="25:29" x14ac:dyDescent="0.2">
      <c r="Y2694" s="105" t="str">
        <f t="shared" si="75"/>
        <v>1w</v>
      </c>
      <c r="Z2694" s="93">
        <f>_xll.qlCalendarAdvance(Calendar,Z2693,Y2694,"f",FALSE)</f>
        <v>58078</v>
      </c>
      <c r="AA2694" s="117">
        <f>_xll.qlCalendarAdvance(Calendar,Z2694,NDays&amp;"D")</f>
        <v>58082</v>
      </c>
      <c r="AB2694" s="92">
        <v>1.4712471136193818E-2</v>
      </c>
      <c r="AC2694" s="101">
        <v>1.4883569105093031E-2</v>
      </c>
    </row>
    <row r="2695" spans="25:29" x14ac:dyDescent="0.2">
      <c r="Y2695" s="105" t="str">
        <f t="shared" si="75"/>
        <v>1w</v>
      </c>
      <c r="Z2695" s="93">
        <f>_xll.qlCalendarAdvance(Calendar,Z2694,Y2695,"f",FALSE)</f>
        <v>58085</v>
      </c>
      <c r="AA2695" s="117">
        <f>_xll.qlCalendarAdvance(Calendar,Z2695,NDays&amp;"D")</f>
        <v>58089</v>
      </c>
      <c r="AB2695" s="92">
        <v>1.4694405571395456E-2</v>
      </c>
      <c r="AC2695" s="101">
        <v>1.486681746309948E-2</v>
      </c>
    </row>
    <row r="2696" spans="25:29" x14ac:dyDescent="0.2">
      <c r="Y2696" s="105" t="str">
        <f t="shared" si="75"/>
        <v>1w</v>
      </c>
      <c r="Z2696" s="93">
        <f>_xll.qlCalendarAdvance(Calendar,Z2695,Y2696,"f",FALSE)</f>
        <v>58092</v>
      </c>
      <c r="AA2696" s="117">
        <f>_xll.qlCalendarAdvance(Calendar,Z2696,NDays&amp;"D")</f>
        <v>58096</v>
      </c>
      <c r="AB2696" s="92">
        <v>1.4676247554322307E-2</v>
      </c>
      <c r="AC2696" s="101">
        <v>1.4849973881210232E-2</v>
      </c>
    </row>
    <row r="2697" spans="25:29" x14ac:dyDescent="0.2">
      <c r="Y2697" s="105" t="str">
        <f t="shared" si="75"/>
        <v>1w</v>
      </c>
      <c r="Z2697" s="93">
        <f>_xll.qlCalendarAdvance(Calendar,Z2696,Y2697,"f",FALSE)</f>
        <v>58099</v>
      </c>
      <c r="AA2697" s="117">
        <f>_xll.qlCalendarAdvance(Calendar,Z2697,NDays&amp;"D")</f>
        <v>58103</v>
      </c>
      <c r="AB2697" s="92">
        <v>1.4657997087492578E-2</v>
      </c>
      <c r="AC2697" s="101">
        <v>1.4833038359665096E-2</v>
      </c>
    </row>
    <row r="2698" spans="25:29" x14ac:dyDescent="0.2">
      <c r="Y2698" s="105" t="str">
        <f t="shared" si="75"/>
        <v>1w</v>
      </c>
      <c r="Z2698" s="93">
        <f>_xll.qlCalendarAdvance(Calendar,Z2697,Y2698,"f",FALSE)</f>
        <v>58106</v>
      </c>
      <c r="AA2698" s="117">
        <f>_xll.qlCalendarAdvance(Calendar,Z2698,NDays&amp;"D")</f>
        <v>58110</v>
      </c>
      <c r="AB2698" s="92">
        <v>1.4639654173433752E-2</v>
      </c>
      <c r="AC2698" s="101">
        <v>1.4816010898304199E-2</v>
      </c>
    </row>
    <row r="2699" spans="25:29" x14ac:dyDescent="0.2">
      <c r="Y2699" s="105" t="str">
        <f t="shared" si="75"/>
        <v>1w</v>
      </c>
      <c r="Z2699" s="93">
        <f>_xll.qlCalendarAdvance(Calendar,Z2698,Y2699,"f",FALSE)</f>
        <v>58113</v>
      </c>
      <c r="AA2699" s="117">
        <f>_xll.qlCalendarAdvance(Calendar,Z2699,NDays&amp;"D")</f>
        <v>58117</v>
      </c>
      <c r="AB2699" s="92">
        <v>1.4621218814689207E-2</v>
      </c>
      <c r="AC2699" s="101">
        <v>1.4798891497207478E-2</v>
      </c>
    </row>
    <row r="2700" spans="25:29" x14ac:dyDescent="0.2">
      <c r="Y2700" s="105" t="str">
        <f t="shared" si="75"/>
        <v>1w</v>
      </c>
      <c r="Z2700" s="93">
        <f>_xll.qlCalendarAdvance(Calendar,Z2699,Y2700,"f",FALSE)</f>
        <v>58120</v>
      </c>
      <c r="AA2700" s="117">
        <f>_xll.qlCalendarAdvance(Calendar,Z2700,NDays&amp;"D")</f>
        <v>58124</v>
      </c>
      <c r="AB2700" s="92">
        <v>1.460269101381248E-2</v>
      </c>
      <c r="AC2700" s="101">
        <v>1.4781680156294996E-2</v>
      </c>
    </row>
    <row r="2701" spans="25:29" x14ac:dyDescent="0.2">
      <c r="Y2701" s="105" t="str">
        <f t="shared" si="75"/>
        <v>1w</v>
      </c>
      <c r="Z2701" s="93">
        <f>_xll.qlCalendarAdvance(Calendar,Z2700,Y2701,"f",FALSE)</f>
        <v>58127</v>
      </c>
      <c r="AA2701" s="117">
        <f>_xll.qlCalendarAdvance(Calendar,Z2701,NDays&amp;"D")</f>
        <v>58131</v>
      </c>
      <c r="AB2701" s="92">
        <v>1.4584070773373451E-2</v>
      </c>
      <c r="AC2701" s="101">
        <v>1.4764376875886498E-2</v>
      </c>
    </row>
    <row r="2702" spans="25:29" x14ac:dyDescent="0.2">
      <c r="Y2702" s="105" t="str">
        <f t="shared" si="75"/>
        <v>1w</v>
      </c>
      <c r="Z2702" s="93">
        <f>_xll.qlCalendarAdvance(Calendar,Z2701,Y2702,"f",FALSE)</f>
        <v>58134</v>
      </c>
      <c r="AA2702" s="117">
        <f>_xll.qlCalendarAdvance(Calendar,Z2702,NDays&amp;"D")</f>
        <v>58138</v>
      </c>
      <c r="AB2702" s="92">
        <v>1.4562131325188495E-2</v>
      </c>
      <c r="AC2702" s="101">
        <v>1.4746981655582303E-2</v>
      </c>
    </row>
    <row r="2703" spans="25:29" x14ac:dyDescent="0.2">
      <c r="Y2703" s="105" t="str">
        <f t="shared" si="75"/>
        <v>1w</v>
      </c>
      <c r="Z2703" s="93">
        <f>_xll.qlCalendarAdvance(Calendar,Z2702,Y2703,"f",FALSE)</f>
        <v>58141</v>
      </c>
      <c r="AA2703" s="117">
        <f>_xll.qlCalendarAdvance(Calendar,Z2703,NDays&amp;"D")</f>
        <v>58145</v>
      </c>
      <c r="AB2703" s="92">
        <v>1.4543304132519268E-2</v>
      </c>
      <c r="AC2703" s="101">
        <v>1.4729494495702156E-2</v>
      </c>
    </row>
    <row r="2704" spans="25:29" x14ac:dyDescent="0.2">
      <c r="Y2704" s="105" t="str">
        <f t="shared" si="75"/>
        <v>1w</v>
      </c>
      <c r="Z2704" s="93">
        <f>_xll.qlCalendarAdvance(Calendar,Z2703,Y2704,"f",FALSE)</f>
        <v>58148</v>
      </c>
      <c r="AA2704" s="117">
        <f>_xll.qlCalendarAdvance(Calendar,Z2704,NDays&amp;"D")</f>
        <v>58152</v>
      </c>
      <c r="AB2704" s="92">
        <v>1.4524384500415238E-2</v>
      </c>
      <c r="AC2704" s="101">
        <v>1.471191539616612E-2</v>
      </c>
    </row>
    <row r="2705" spans="25:29" x14ac:dyDescent="0.2">
      <c r="Y2705" s="105" t="str">
        <f t="shared" si="75"/>
        <v>1w</v>
      </c>
      <c r="Z2705" s="93">
        <f>_xll.qlCalendarAdvance(Calendar,Z2704,Y2705,"f",FALSE)</f>
        <v>58155</v>
      </c>
      <c r="AA2705" s="117">
        <f>_xll.qlCalendarAdvance(Calendar,Z2705,NDays&amp;"D")</f>
        <v>58159</v>
      </c>
      <c r="AB2705" s="92">
        <v>1.45053724315421E-2</v>
      </c>
      <c r="AC2705" s="101">
        <v>1.4694244356814323E-2</v>
      </c>
    </row>
    <row r="2706" spans="25:29" x14ac:dyDescent="0.2">
      <c r="Y2706" s="105" t="str">
        <f t="shared" si="75"/>
        <v>1w</v>
      </c>
      <c r="Z2706" s="93">
        <f>_xll.qlCalendarAdvance(Calendar,Z2705,Y2706,"f",FALSE)</f>
        <v>58166</v>
      </c>
      <c r="AA2706" s="117">
        <f>_xll.qlCalendarAdvance(Calendar,Z2706,NDays&amp;"D")</f>
        <v>58168</v>
      </c>
      <c r="AB2706" s="92">
        <v>1.4481900407372265E-2</v>
      </c>
      <c r="AC2706" s="101">
        <v>1.4671389354203868E-2</v>
      </c>
    </row>
    <row r="2707" spans="25:29" x14ac:dyDescent="0.2">
      <c r="Y2707" s="105" t="str">
        <f t="shared" si="75"/>
        <v>1w</v>
      </c>
      <c r="Z2707" s="93">
        <f>_xll.qlCalendarAdvance(Calendar,Z2706,Y2707,"f",FALSE)</f>
        <v>58173</v>
      </c>
      <c r="AA2707" s="117">
        <f>_xll.qlCalendarAdvance(Calendar,Z2707,NDays&amp;"D")</f>
        <v>58175</v>
      </c>
      <c r="AB2707" s="92">
        <v>1.4462684436035284E-2</v>
      </c>
      <c r="AC2707" s="101">
        <v>1.4653508167272733E-2</v>
      </c>
    </row>
    <row r="2708" spans="25:29" x14ac:dyDescent="0.2">
      <c r="Y2708" s="105" t="str">
        <f t="shared" si="75"/>
        <v>1w</v>
      </c>
      <c r="Z2708" s="93">
        <f>_xll.qlCalendarAdvance(Calendar,Z2707,Y2708,"f",FALSE)</f>
        <v>58180</v>
      </c>
      <c r="AA2708" s="117">
        <f>_xll.qlCalendarAdvance(Calendar,Z2708,NDays&amp;"D")</f>
        <v>58182</v>
      </c>
      <c r="AB2708" s="92">
        <v>1.4443376039259635E-2</v>
      </c>
      <c r="AC2708" s="101">
        <v>1.463553504068571E-2</v>
      </c>
    </row>
    <row r="2709" spans="25:29" x14ac:dyDescent="0.2">
      <c r="Y2709" s="105" t="str">
        <f t="shared" ref="Y2709:Y2772" si="76">Y2708</f>
        <v>1w</v>
      </c>
      <c r="Z2709" s="93">
        <f>_xll.qlCalendarAdvance(Calendar,Z2708,Y2709,"f",FALSE)</f>
        <v>58187</v>
      </c>
      <c r="AA2709" s="117">
        <f>_xll.qlCalendarAdvance(Calendar,Z2709,NDays&amp;"D")</f>
        <v>58189</v>
      </c>
      <c r="AB2709" s="92">
        <v>1.4423975219749603E-2</v>
      </c>
      <c r="AC2709" s="101">
        <v>1.4617469974362862E-2</v>
      </c>
    </row>
    <row r="2710" spans="25:29" x14ac:dyDescent="0.2">
      <c r="Y2710" s="105" t="str">
        <f t="shared" si="76"/>
        <v>1w</v>
      </c>
      <c r="Z2710" s="93">
        <f>_xll.qlCalendarAdvance(Calendar,Z2709,Y2710,"f",FALSE)</f>
        <v>58194</v>
      </c>
      <c r="AA2710" s="117">
        <f>_xll.qlCalendarAdvance(Calendar,Z2710,NDays&amp;"D")</f>
        <v>58197</v>
      </c>
      <c r="AB2710" s="92">
        <v>1.4399412070990884E-2</v>
      </c>
      <c r="AC2710" s="101">
        <v>1.4594699381724752E-2</v>
      </c>
    </row>
    <row r="2711" spans="25:29" x14ac:dyDescent="0.2">
      <c r="Y2711" s="105" t="str">
        <f t="shared" si="76"/>
        <v>1w</v>
      </c>
      <c r="Z2711" s="93">
        <f>_xll.qlCalendarAdvance(Calendar,Z2710,Y2711,"f",FALSE)</f>
        <v>58201</v>
      </c>
      <c r="AA2711" s="117">
        <f>_xll.qlCalendarAdvance(Calendar,Z2711,NDays&amp;"D")</f>
        <v>58203</v>
      </c>
      <c r="AB2711" s="92">
        <v>1.4381459814203714E-2</v>
      </c>
      <c r="AC2711" s="101">
        <v>1.4581064023309054E-2</v>
      </c>
    </row>
    <row r="2712" spans="25:29" x14ac:dyDescent="0.2">
      <c r="Y2712" s="105" t="str">
        <f t="shared" si="76"/>
        <v>1w</v>
      </c>
      <c r="Z2712" s="93">
        <f>_xll.qlCalendarAdvance(Calendar,Z2711,Y2712,"f",FALSE)</f>
        <v>58208</v>
      </c>
      <c r="AA2712" s="117">
        <f>_xll.qlCalendarAdvance(Calendar,Z2712,NDays&amp;"D")</f>
        <v>58210</v>
      </c>
      <c r="AB2712" s="92">
        <v>1.4361759590454201E-2</v>
      </c>
      <c r="AC2712" s="101">
        <v>1.4562723138418221E-2</v>
      </c>
    </row>
    <row r="2713" spans="25:29" x14ac:dyDescent="0.2">
      <c r="Y2713" s="105" t="str">
        <f t="shared" si="76"/>
        <v>1w</v>
      </c>
      <c r="Z2713" s="93">
        <f>_xll.qlCalendarAdvance(Calendar,Z2712,Y2713,"f",FALSE)</f>
        <v>58215</v>
      </c>
      <c r="AA2713" s="117">
        <f>_xll.qlCalendarAdvance(Calendar,Z2713,NDays&amp;"D")</f>
        <v>58217</v>
      </c>
      <c r="AB2713" s="92">
        <v>1.4341966947723404E-2</v>
      </c>
      <c r="AC2713" s="101">
        <v>1.45442903138715E-2</v>
      </c>
    </row>
    <row r="2714" spans="25:29" x14ac:dyDescent="0.2">
      <c r="Y2714" s="105" t="str">
        <f t="shared" si="76"/>
        <v>1w</v>
      </c>
      <c r="Z2714" s="93">
        <f>_xll.qlCalendarAdvance(Calendar,Z2713,Y2714,"f",FALSE)</f>
        <v>58222</v>
      </c>
      <c r="AA2714" s="117">
        <f>_xll.qlCalendarAdvance(Calendar,Z2714,NDays&amp;"D")</f>
        <v>58224</v>
      </c>
      <c r="AB2714" s="92">
        <v>1.4325584876789392E-2</v>
      </c>
      <c r="AC2714" s="101">
        <v>1.4525765549988634E-2</v>
      </c>
    </row>
    <row r="2715" spans="25:29" x14ac:dyDescent="0.2">
      <c r="Y2715" s="105" t="str">
        <f t="shared" si="76"/>
        <v>1w</v>
      </c>
      <c r="Z2715" s="93">
        <f>_xll.qlCalendarAdvance(Calendar,Z2714,Y2715,"f",FALSE)</f>
        <v>58229</v>
      </c>
      <c r="AA2715" s="117">
        <f>_xll.qlCalendarAdvance(Calendar,Z2715,NDays&amp;"D")</f>
        <v>58231</v>
      </c>
      <c r="AB2715" s="92">
        <v>1.4305629578413477E-2</v>
      </c>
      <c r="AC2715" s="101">
        <v>1.450714884644988E-2</v>
      </c>
    </row>
    <row r="2716" spans="25:29" x14ac:dyDescent="0.2">
      <c r="Y2716" s="105" t="str">
        <f t="shared" si="76"/>
        <v>1w</v>
      </c>
      <c r="Z2716" s="93">
        <f>_xll.qlCalendarAdvance(Calendar,Z2715,Y2716,"f",FALSE)</f>
        <v>58236</v>
      </c>
      <c r="AA2716" s="117">
        <f>_xll.qlCalendarAdvance(Calendar,Z2716,NDays&amp;"D")</f>
        <v>58238</v>
      </c>
      <c r="AB2716" s="92">
        <v>1.4285581876602714E-2</v>
      </c>
      <c r="AC2716" s="101">
        <v>1.4488440203415109E-2</v>
      </c>
    </row>
    <row r="2717" spans="25:29" x14ac:dyDescent="0.2">
      <c r="Y2717" s="105" t="str">
        <f t="shared" si="76"/>
        <v>1w</v>
      </c>
      <c r="Z2717" s="93">
        <f>_xll.qlCalendarAdvance(Calendar,Z2716,Y2717,"f",FALSE)</f>
        <v>58243</v>
      </c>
      <c r="AA2717" s="117">
        <f>_xll.qlCalendarAdvance(Calendar,Z2717,NDays&amp;"D")</f>
        <v>58245</v>
      </c>
      <c r="AB2717" s="92">
        <v>1.4265441774167094E-2</v>
      </c>
      <c r="AC2717" s="101">
        <v>1.4469639620964259E-2</v>
      </c>
    </row>
    <row r="2718" spans="25:29" x14ac:dyDescent="0.2">
      <c r="Y2718" s="105" t="str">
        <f t="shared" si="76"/>
        <v>1w</v>
      </c>
      <c r="Z2718" s="93">
        <f>_xll.qlCalendarAdvance(Calendar,Z2717,Y2718,"f",FALSE)</f>
        <v>58250</v>
      </c>
      <c r="AA2718" s="117">
        <f>_xll.qlCalendarAdvance(Calendar,Z2718,NDays&amp;"D")</f>
        <v>58252</v>
      </c>
      <c r="AB2718" s="92">
        <v>1.4241617548463545E-2</v>
      </c>
      <c r="AC2718" s="101">
        <v>1.4450747099017391E-2</v>
      </c>
    </row>
    <row r="2719" spans="25:29" x14ac:dyDescent="0.2">
      <c r="Y2719" s="105" t="str">
        <f t="shared" si="76"/>
        <v>1w</v>
      </c>
      <c r="Z2719" s="93">
        <f>_xll.qlCalendarAdvance(Calendar,Z2718,Y2719,"f",FALSE)</f>
        <v>58257</v>
      </c>
      <c r="AA2719" s="117">
        <f>_xll.qlCalendarAdvance(Calendar,Z2719,NDays&amp;"D")</f>
        <v>58259</v>
      </c>
      <c r="AB2719" s="92">
        <v>1.4221270451495387E-2</v>
      </c>
      <c r="AC2719" s="101">
        <v>1.4431762637494572E-2</v>
      </c>
    </row>
    <row r="2720" spans="25:29" x14ac:dyDescent="0.2">
      <c r="Y2720" s="105" t="str">
        <f t="shared" si="76"/>
        <v>1w</v>
      </c>
      <c r="Z2720" s="93">
        <f>_xll.qlCalendarAdvance(Calendar,Z2719,Y2720,"f",FALSE)</f>
        <v>58264</v>
      </c>
      <c r="AA2720" s="117">
        <f>_xll.qlCalendarAdvance(Calendar,Z2720,NDays&amp;"D")</f>
        <v>58266</v>
      </c>
      <c r="AB2720" s="92">
        <v>1.4200830955551016E-2</v>
      </c>
      <c r="AC2720" s="101">
        <v>1.4412686236635608E-2</v>
      </c>
    </row>
    <row r="2721" spans="25:29" x14ac:dyDescent="0.2">
      <c r="Y2721" s="105" t="str">
        <f t="shared" si="76"/>
        <v>1w</v>
      </c>
      <c r="Z2721" s="93">
        <f>_xll.qlCalendarAdvance(Calendar,Z2720,Y2721,"f",FALSE)</f>
        <v>58271</v>
      </c>
      <c r="AA2721" s="117">
        <f>_xll.qlCalendarAdvance(Calendar,Z2721,NDays&amp;"D")</f>
        <v>58273</v>
      </c>
      <c r="AB2721" s="92">
        <v>1.4180299063541223E-2</v>
      </c>
      <c r="AC2721" s="101">
        <v>1.4393517896360564E-2</v>
      </c>
    </row>
    <row r="2722" spans="25:29" x14ac:dyDescent="0.2">
      <c r="Y2722" s="105" t="str">
        <f t="shared" si="76"/>
        <v>1w</v>
      </c>
      <c r="Z2722" s="93">
        <f>_xll.qlCalendarAdvance(Calendar,Z2721,Y2722,"f",FALSE)</f>
        <v>58278</v>
      </c>
      <c r="AA2722" s="117">
        <f>_xll.qlCalendarAdvance(Calendar,Z2722,NDays&amp;"D")</f>
        <v>58280</v>
      </c>
      <c r="AB2722" s="92">
        <v>1.415967477838969E-2</v>
      </c>
      <c r="AC2722" s="101">
        <v>1.4374257616509567E-2</v>
      </c>
    </row>
    <row r="2723" spans="25:29" x14ac:dyDescent="0.2">
      <c r="Y2723" s="105" t="str">
        <f t="shared" si="76"/>
        <v>1w</v>
      </c>
      <c r="Z2723" s="93">
        <f>_xll.qlCalendarAdvance(Calendar,Z2722,Y2723,"f",FALSE)</f>
        <v>58285</v>
      </c>
      <c r="AA2723" s="117">
        <f>_xll.qlCalendarAdvance(Calendar,Z2723,NDays&amp;"D")</f>
        <v>58287</v>
      </c>
      <c r="AB2723" s="92">
        <v>1.4142660905320684E-2</v>
      </c>
      <c r="AC2723" s="101">
        <v>1.4354905397562234E-2</v>
      </c>
    </row>
    <row r="2724" spans="25:29" x14ac:dyDescent="0.2">
      <c r="Y2724" s="105" t="str">
        <f t="shared" si="76"/>
        <v>1w</v>
      </c>
      <c r="Z2724" s="93">
        <f>_xll.qlCalendarAdvance(Calendar,Z2723,Y2724,"f",FALSE)</f>
        <v>58292</v>
      </c>
      <c r="AA2724" s="117">
        <f>_xll.qlCalendarAdvance(Calendar,Z2724,NDays&amp;"D")</f>
        <v>58294</v>
      </c>
      <c r="AB2724" s="92">
        <v>1.4118149040421031E-2</v>
      </c>
      <c r="AC2724" s="101">
        <v>1.4335461238959013E-2</v>
      </c>
    </row>
    <row r="2725" spans="25:29" x14ac:dyDescent="0.2">
      <c r="Y2725" s="105" t="str">
        <f t="shared" si="76"/>
        <v>1w</v>
      </c>
      <c r="Z2725" s="93">
        <f>_xll.qlCalendarAdvance(Calendar,Z2724,Y2725,"f",FALSE)</f>
        <v>58299</v>
      </c>
      <c r="AA2725" s="117">
        <f>_xll.qlCalendarAdvance(Calendar,Z2725,NDays&amp;"D")</f>
        <v>58301</v>
      </c>
      <c r="AB2725" s="92">
        <v>1.4097247593516595E-2</v>
      </c>
      <c r="AC2725" s="101">
        <v>1.4315925141099584E-2</v>
      </c>
    </row>
    <row r="2726" spans="25:29" x14ac:dyDescent="0.2">
      <c r="Y2726" s="105" t="str">
        <f t="shared" si="76"/>
        <v>1w</v>
      </c>
      <c r="Z2726" s="93">
        <f>_xll.qlCalendarAdvance(Calendar,Z2725,Y2726,"f",FALSE)</f>
        <v>58306</v>
      </c>
      <c r="AA2726" s="117">
        <f>_xll.qlCalendarAdvance(Calendar,Z2726,NDays&amp;"D")</f>
        <v>58308</v>
      </c>
      <c r="AB2726" s="92">
        <v>1.4076253765295799E-2</v>
      </c>
      <c r="AC2726" s="101">
        <v>1.429629710390401E-2</v>
      </c>
    </row>
    <row r="2727" spans="25:29" x14ac:dyDescent="0.2">
      <c r="Y2727" s="105" t="str">
        <f t="shared" si="76"/>
        <v>1w</v>
      </c>
      <c r="Z2727" s="93">
        <f>_xll.qlCalendarAdvance(Calendar,Z2726,Y2727,"f",FALSE)</f>
        <v>58313</v>
      </c>
      <c r="AA2727" s="117">
        <f>_xll.qlCalendarAdvance(Calendar,Z2727,NDays&amp;"D")</f>
        <v>58315</v>
      </c>
      <c r="AB2727" s="92">
        <v>1.4058959342535175E-2</v>
      </c>
      <c r="AC2727" s="101">
        <v>1.4276577127292356E-2</v>
      </c>
    </row>
    <row r="2728" spans="25:29" x14ac:dyDescent="0.2">
      <c r="Y2728" s="105" t="str">
        <f t="shared" si="76"/>
        <v>1w</v>
      </c>
      <c r="Z2728" s="93">
        <f>_xll.qlCalendarAdvance(Calendar,Z2727,Y2728,"f",FALSE)</f>
        <v>58320</v>
      </c>
      <c r="AA2728" s="117">
        <f>_xll.qlCalendarAdvance(Calendar,Z2728,NDays&amp;"D")</f>
        <v>58322</v>
      </c>
      <c r="AB2728" s="92">
        <v>1.4039072887609721E-2</v>
      </c>
      <c r="AC2728" s="101">
        <v>1.4256765211424494E-2</v>
      </c>
    </row>
    <row r="2729" spans="25:29" x14ac:dyDescent="0.2">
      <c r="Y2729" s="105" t="str">
        <f t="shared" si="76"/>
        <v>1w</v>
      </c>
      <c r="Z2729" s="93">
        <f>_xll.qlCalendarAdvance(Calendar,Z2728,Y2729,"f",FALSE)</f>
        <v>58327</v>
      </c>
      <c r="AA2729" s="117">
        <f>_xll.qlCalendarAdvance(Calendar,Z2729,NDays&amp;"D")</f>
        <v>58329</v>
      </c>
      <c r="AB2729" s="92">
        <v>1.4017831623426987E-2</v>
      </c>
      <c r="AC2729" s="101">
        <v>1.4236861356220487E-2</v>
      </c>
    </row>
    <row r="2730" spans="25:29" x14ac:dyDescent="0.2">
      <c r="Y2730" s="105" t="str">
        <f t="shared" si="76"/>
        <v>1w</v>
      </c>
      <c r="Z2730" s="93">
        <f>_xll.qlCalendarAdvance(Calendar,Z2729,Y2730,"f",FALSE)</f>
        <v>58334</v>
      </c>
      <c r="AA2730" s="117">
        <f>_xll.qlCalendarAdvance(Calendar,Z2730,NDays&amp;"D")</f>
        <v>58336</v>
      </c>
      <c r="AB2730" s="92">
        <v>1.3996497998427676E-2</v>
      </c>
      <c r="AC2730" s="101">
        <v>1.4216865561680336E-2</v>
      </c>
    </row>
    <row r="2731" spans="25:29" x14ac:dyDescent="0.2">
      <c r="Y2731" s="105" t="str">
        <f t="shared" si="76"/>
        <v>1w</v>
      </c>
      <c r="Z2731" s="93">
        <f>_xll.qlCalendarAdvance(Calendar,Z2730,Y2731,"f",FALSE)</f>
        <v>58341</v>
      </c>
      <c r="AA2731" s="117">
        <f>_xll.qlCalendarAdvance(Calendar,Z2731,NDays&amp;"D")</f>
        <v>58343</v>
      </c>
      <c r="AB2731" s="92">
        <v>1.3975072015583036E-2</v>
      </c>
      <c r="AC2731" s="101">
        <v>1.4196777827883977E-2</v>
      </c>
    </row>
    <row r="2732" spans="25:29" x14ac:dyDescent="0.2">
      <c r="Y2732" s="105" t="str">
        <f t="shared" si="76"/>
        <v>1w</v>
      </c>
      <c r="Z2732" s="93">
        <f>_xll.qlCalendarAdvance(Calendar,Z2731,Y2732,"f",FALSE)</f>
        <v>58348</v>
      </c>
      <c r="AA2732" s="117">
        <f>_xll.qlCalendarAdvance(Calendar,Z2732,NDays&amp;"D")</f>
        <v>58350</v>
      </c>
      <c r="AB2732" s="92">
        <v>1.3952254111982958E-2</v>
      </c>
      <c r="AC2732" s="101">
        <v>1.417659815483141E-2</v>
      </c>
    </row>
    <row r="2733" spans="25:29" x14ac:dyDescent="0.2">
      <c r="Y2733" s="105" t="str">
        <f t="shared" si="76"/>
        <v>1w</v>
      </c>
      <c r="Z2733" s="93">
        <f>_xll.qlCalendarAdvance(Calendar,Z2732,Y2733,"f",FALSE)</f>
        <v>58355</v>
      </c>
      <c r="AA2733" s="117">
        <f>_xll.qlCalendarAdvance(Calendar,Z2733,NDays&amp;"D")</f>
        <v>58357</v>
      </c>
      <c r="AB2733" s="92">
        <v>1.3930635992061888E-2</v>
      </c>
      <c r="AC2733" s="101">
        <v>1.4156326542602571E-2</v>
      </c>
    </row>
    <row r="2734" spans="25:29" x14ac:dyDescent="0.2">
      <c r="Y2734" s="105" t="str">
        <f t="shared" si="76"/>
        <v>1w</v>
      </c>
      <c r="Z2734" s="93">
        <f>_xll.qlCalendarAdvance(Calendar,Z2733,Y2734,"f",FALSE)</f>
        <v>58362</v>
      </c>
      <c r="AA2734" s="117">
        <f>_xll.qlCalendarAdvance(Calendar,Z2734,NDays&amp;"D")</f>
        <v>58364</v>
      </c>
      <c r="AB2734" s="92">
        <v>1.3903660370319799E-2</v>
      </c>
      <c r="AC2734" s="101">
        <v>1.4135962991037587E-2</v>
      </c>
    </row>
    <row r="2735" spans="25:29" x14ac:dyDescent="0.2">
      <c r="Y2735" s="105" t="str">
        <f t="shared" si="76"/>
        <v>1w</v>
      </c>
      <c r="Z2735" s="93">
        <f>_xll.qlCalendarAdvance(Calendar,Z2734,Y2735,"f",FALSE)</f>
        <v>58369</v>
      </c>
      <c r="AA2735" s="117">
        <f>_xll.qlCalendarAdvance(Calendar,Z2735,NDays&amp;"D")</f>
        <v>58371</v>
      </c>
      <c r="AB2735" s="92">
        <v>1.3887122702560031E-2</v>
      </c>
      <c r="AC2735" s="101">
        <v>1.4115507500296332E-2</v>
      </c>
    </row>
    <row r="2736" spans="25:29" x14ac:dyDescent="0.2">
      <c r="Y2736" s="105" t="str">
        <f t="shared" si="76"/>
        <v>1w</v>
      </c>
      <c r="Z2736" s="93">
        <f>_xll.qlCalendarAdvance(Calendar,Z2735,Y2736,"f",FALSE)</f>
        <v>58376</v>
      </c>
      <c r="AA2736" s="117">
        <f>_xll.qlCalendarAdvance(Calendar,Z2736,NDays&amp;"D")</f>
        <v>58378</v>
      </c>
      <c r="AB2736" s="92">
        <v>1.3865227539074477E-2</v>
      </c>
      <c r="AC2736" s="101">
        <v>1.4094960070378804E-2</v>
      </c>
    </row>
    <row r="2737" spans="25:29" x14ac:dyDescent="0.2">
      <c r="Y2737" s="105" t="str">
        <f t="shared" si="76"/>
        <v>1w</v>
      </c>
      <c r="Z2737" s="93">
        <f>_xll.qlCalendarAdvance(Calendar,Z2736,Y2737,"f",FALSE)</f>
        <v>58383</v>
      </c>
      <c r="AA2737" s="117">
        <f>_xll.qlCalendarAdvance(Calendar,Z2737,NDays&amp;"D")</f>
        <v>58385</v>
      </c>
      <c r="AB2737" s="92">
        <v>1.3844576771836786E-2</v>
      </c>
      <c r="AC2737" s="101">
        <v>1.4074320701285004E-2</v>
      </c>
    </row>
    <row r="2738" spans="25:29" x14ac:dyDescent="0.2">
      <c r="Y2738" s="105" t="str">
        <f t="shared" si="76"/>
        <v>1w</v>
      </c>
      <c r="Z2738" s="93">
        <f>_xll.qlCalendarAdvance(Calendar,Z2737,Y2738,"f",FALSE)</f>
        <v>58390</v>
      </c>
      <c r="AA2738" s="117">
        <f>_xll.qlCalendarAdvance(Calendar,Z2738,NDays&amp;"D")</f>
        <v>58392</v>
      </c>
      <c r="AB2738" s="92">
        <v>1.3822504368379285E-2</v>
      </c>
      <c r="AC2738" s="101">
        <v>1.4053589392934995E-2</v>
      </c>
    </row>
    <row r="2739" spans="25:29" x14ac:dyDescent="0.2">
      <c r="Y2739" s="105" t="str">
        <f t="shared" si="76"/>
        <v>1w</v>
      </c>
      <c r="Z2739" s="93">
        <f>_xll.qlCalendarAdvance(Calendar,Z2738,Y2739,"f",FALSE)</f>
        <v>58397</v>
      </c>
      <c r="AA2739" s="117">
        <f>_xll.qlCalendarAdvance(Calendar,Z2739,NDays&amp;"D")</f>
        <v>58399</v>
      </c>
      <c r="AB2739" s="92">
        <v>1.3800339631317726E-2</v>
      </c>
      <c r="AC2739" s="101">
        <v>1.4032766145408715E-2</v>
      </c>
    </row>
    <row r="2740" spans="25:29" x14ac:dyDescent="0.2">
      <c r="Y2740" s="105" t="str">
        <f t="shared" si="76"/>
        <v>1w</v>
      </c>
      <c r="Z2740" s="93">
        <f>_xll.qlCalendarAdvance(Calendar,Z2739,Y2740,"f",FALSE)</f>
        <v>58404</v>
      </c>
      <c r="AA2740" s="117">
        <f>_xll.qlCalendarAdvance(Calendar,Z2740,NDays&amp;"D")</f>
        <v>58406</v>
      </c>
      <c r="AB2740" s="92">
        <v>1.3778082563739745E-2</v>
      </c>
      <c r="AC2740" s="101">
        <v>1.4011850958866034E-2</v>
      </c>
    </row>
    <row r="2741" spans="25:29" x14ac:dyDescent="0.2">
      <c r="Y2741" s="105" t="str">
        <f t="shared" si="76"/>
        <v>1w</v>
      </c>
      <c r="Z2741" s="93">
        <f>_xll.qlCalendarAdvance(Calendar,Z2740,Y2741,"f",FALSE)</f>
        <v>58411</v>
      </c>
      <c r="AA2741" s="117">
        <f>_xll.qlCalendarAdvance(Calendar,Z2741,NDays&amp;"D")</f>
        <v>58413</v>
      </c>
      <c r="AB2741" s="92">
        <v>1.3754366657366611E-2</v>
      </c>
      <c r="AC2741" s="101">
        <v>1.3990843833147082E-2</v>
      </c>
    </row>
    <row r="2742" spans="25:29" x14ac:dyDescent="0.2">
      <c r="Y2742" s="105" t="str">
        <f t="shared" si="76"/>
        <v>1w</v>
      </c>
      <c r="Z2742" s="93">
        <f>_xll.qlCalendarAdvance(Calendar,Z2741,Y2742,"f",FALSE)</f>
        <v>58418</v>
      </c>
      <c r="AA2742" s="117">
        <f>_xll.qlCalendarAdvance(Calendar,Z2742,NDays&amp;"D")</f>
        <v>58420</v>
      </c>
      <c r="AB2742" s="92">
        <v>1.3731917489910053E-2</v>
      </c>
      <c r="AC2742" s="101">
        <v>1.3969744768331793E-2</v>
      </c>
    </row>
    <row r="2743" spans="25:29" x14ac:dyDescent="0.2">
      <c r="Y2743" s="105" t="str">
        <f t="shared" si="76"/>
        <v>1w</v>
      </c>
      <c r="Z2743" s="93">
        <f>_xll.qlCalendarAdvance(Calendar,Z2742,Y2743,"f",FALSE)</f>
        <v>58425</v>
      </c>
      <c r="AA2743" s="117">
        <f>_xll.qlCalendarAdvance(Calendar,Z2743,NDays&amp;"D")</f>
        <v>58427</v>
      </c>
      <c r="AB2743" s="92">
        <v>1.3709375999389766E-2</v>
      </c>
      <c r="AC2743" s="101">
        <v>1.3948553764420168E-2</v>
      </c>
    </row>
    <row r="2744" spans="25:29" x14ac:dyDescent="0.2">
      <c r="Y2744" s="105" t="str">
        <f t="shared" si="76"/>
        <v>1w</v>
      </c>
      <c r="Z2744" s="93">
        <f>_xll.qlCalendarAdvance(Calendar,Z2743,Y2744,"f",FALSE)</f>
        <v>58432</v>
      </c>
      <c r="AA2744" s="117">
        <f>_xll.qlCalendarAdvance(Calendar,Z2744,NDays&amp;"D")</f>
        <v>58438</v>
      </c>
      <c r="AB2744" s="92">
        <v>1.3673767134469449E-2</v>
      </c>
      <c r="AC2744" s="101">
        <v>1.3915067860930108E-2</v>
      </c>
    </row>
    <row r="2745" spans="25:29" x14ac:dyDescent="0.2">
      <c r="Y2745" s="105" t="str">
        <f t="shared" si="76"/>
        <v>1w</v>
      </c>
      <c r="Z2745" s="93">
        <f>_xll.qlCalendarAdvance(Calendar,Z2744,Y2745,"f",FALSE)</f>
        <v>58439</v>
      </c>
      <c r="AA2745" s="117">
        <f>_xll.qlCalendarAdvance(Calendar,Z2745,NDays&amp;"D")</f>
        <v>58442</v>
      </c>
      <c r="AB2745" s="92">
        <v>1.3662159316577391E-2</v>
      </c>
      <c r="AC2745" s="101">
        <v>1.3900308001701944E-2</v>
      </c>
    </row>
    <row r="2746" spans="25:29" x14ac:dyDescent="0.2">
      <c r="Y2746" s="105" t="str">
        <f t="shared" si="76"/>
        <v>1w</v>
      </c>
      <c r="Z2746" s="93">
        <f>_xll.qlCalendarAdvance(Calendar,Z2745,Y2746,"f",FALSE)</f>
        <v>58446</v>
      </c>
      <c r="AA2746" s="117">
        <f>_xll.qlCalendarAdvance(Calendar,Z2746,NDays&amp;"D")</f>
        <v>58448</v>
      </c>
      <c r="AB2746" s="92">
        <v>1.3642602397771675E-2</v>
      </c>
      <c r="AC2746" s="101">
        <v>1.388442911826715E-2</v>
      </c>
    </row>
    <row r="2747" spans="25:29" x14ac:dyDescent="0.2">
      <c r="Y2747" s="105" t="str">
        <f t="shared" si="76"/>
        <v>1w</v>
      </c>
      <c r="Z2747" s="93">
        <f>_xll.qlCalendarAdvance(Calendar,Z2746,Y2747,"f",FALSE)</f>
        <v>58453</v>
      </c>
      <c r="AA2747" s="117">
        <f>_xll.qlCalendarAdvance(Calendar,Z2747,NDays&amp;"D")</f>
        <v>58455</v>
      </c>
      <c r="AB2747" s="92">
        <v>1.3619708328612543E-2</v>
      </c>
      <c r="AC2747" s="101">
        <v>1.3862870358209989E-2</v>
      </c>
    </row>
    <row r="2748" spans="25:29" x14ac:dyDescent="0.2">
      <c r="Y2748" s="105" t="str">
        <f t="shared" si="76"/>
        <v>1w</v>
      </c>
      <c r="Z2748" s="93">
        <f>_xll.qlCalendarAdvance(Calendar,Z2747,Y2748,"f",FALSE)</f>
        <v>58460</v>
      </c>
      <c r="AA2748" s="117">
        <f>_xll.qlCalendarAdvance(Calendar,Z2748,NDays&amp;"D")</f>
        <v>58462</v>
      </c>
      <c r="AB2748" s="92">
        <v>1.3596739750791752E-2</v>
      </c>
      <c r="AC2748" s="101">
        <v>1.3841219659056492E-2</v>
      </c>
    </row>
    <row r="2749" spans="25:29" x14ac:dyDescent="0.2">
      <c r="Y2749" s="105" t="str">
        <f t="shared" si="76"/>
        <v>1w</v>
      </c>
      <c r="Z2749" s="93">
        <f>_xll.qlCalendarAdvance(Calendar,Z2748,Y2749,"f",FALSE)</f>
        <v>58467</v>
      </c>
      <c r="AA2749" s="117">
        <f>_xll.qlCalendarAdvance(Calendar,Z2749,NDays&amp;"D")</f>
        <v>58469</v>
      </c>
      <c r="AB2749" s="92">
        <v>1.357370624973055E-2</v>
      </c>
      <c r="AC2749" s="101">
        <v>1.3819477020966531E-2</v>
      </c>
    </row>
    <row r="2750" spans="25:29" x14ac:dyDescent="0.2">
      <c r="Y2750" s="105" t="str">
        <f t="shared" si="76"/>
        <v>1w</v>
      </c>
      <c r="Z2750" s="93">
        <f>_xll.qlCalendarAdvance(Calendar,Z2749,Y2750,"f",FALSE)</f>
        <v>58474</v>
      </c>
      <c r="AA2750" s="117">
        <f>_xll.qlCalendarAdvance(Calendar,Z2750,NDays&amp;"D")</f>
        <v>58476</v>
      </c>
      <c r="AB2750" s="92">
        <v>1.3550617410412734E-2</v>
      </c>
      <c r="AC2750" s="101">
        <v>1.379764244386017E-2</v>
      </c>
    </row>
    <row r="2751" spans="25:29" x14ac:dyDescent="0.2">
      <c r="Y2751" s="105" t="str">
        <f t="shared" si="76"/>
        <v>1w</v>
      </c>
      <c r="Z2751" s="93">
        <f>_xll.qlCalendarAdvance(Calendar,Z2750,Y2751,"f",FALSE)</f>
        <v>58481</v>
      </c>
      <c r="AA2751" s="117">
        <f>_xll.qlCalendarAdvance(Calendar,Z2751,NDays&amp;"D")</f>
        <v>58483</v>
      </c>
      <c r="AB2751" s="92">
        <v>1.3527482817385526E-2</v>
      </c>
      <c r="AC2751" s="101">
        <v>1.3775715927817345E-2</v>
      </c>
    </row>
    <row r="2752" spans="25:29" x14ac:dyDescent="0.2">
      <c r="Y2752" s="105" t="str">
        <f t="shared" si="76"/>
        <v>1w</v>
      </c>
      <c r="Z2752" s="93">
        <f>_xll.qlCalendarAdvance(Calendar,Z2751,Y2752,"f",FALSE)</f>
        <v>58488</v>
      </c>
      <c r="AA2752" s="117">
        <f>_xll.qlCalendarAdvance(Calendar,Z2752,NDays&amp;"D")</f>
        <v>58490</v>
      </c>
      <c r="AB2752" s="92">
        <v>1.3504312054751668E-2</v>
      </c>
      <c r="AC2752" s="101">
        <v>1.3753697472838056E-2</v>
      </c>
    </row>
    <row r="2753" spans="25:29" x14ac:dyDescent="0.2">
      <c r="Y2753" s="105" t="str">
        <f t="shared" si="76"/>
        <v>1w</v>
      </c>
      <c r="Z2753" s="93">
        <f>_xll.qlCalendarAdvance(Calendar,Z2752,Y2753,"f",FALSE)</f>
        <v>58495</v>
      </c>
      <c r="AA2753" s="117">
        <f>_xll.qlCalendarAdvance(Calendar,Z2753,NDays&amp;"D")</f>
        <v>58497</v>
      </c>
      <c r="AB2753" s="92">
        <v>1.3481114706171617E-2</v>
      </c>
      <c r="AC2753" s="101">
        <v>1.3731587078842367E-2</v>
      </c>
    </row>
    <row r="2754" spans="25:29" x14ac:dyDescent="0.2">
      <c r="Y2754" s="105" t="str">
        <f t="shared" si="76"/>
        <v>1w</v>
      </c>
      <c r="Z2754" s="93">
        <f>_xll.qlCalendarAdvance(Calendar,Z2753,Y2754,"f",FALSE)</f>
        <v>58502</v>
      </c>
      <c r="AA2754" s="117">
        <f>_xll.qlCalendarAdvance(Calendar,Z2754,NDays&amp;"D")</f>
        <v>58504</v>
      </c>
      <c r="AB2754" s="92">
        <v>1.3452242273423936E-2</v>
      </c>
      <c r="AC2754" s="101">
        <v>1.3709384746070086E-2</v>
      </c>
    </row>
    <row r="2755" spans="25:29" x14ac:dyDescent="0.2">
      <c r="Y2755" s="105" t="str">
        <f t="shared" si="76"/>
        <v>1w</v>
      </c>
      <c r="Z2755" s="93">
        <f>_xll.qlCalendarAdvance(Calendar,Z2754,Y2755,"f",FALSE)</f>
        <v>58509</v>
      </c>
      <c r="AA2755" s="117">
        <f>_xll.qlCalendarAdvance(Calendar,Z2755,NDays&amp;"D")</f>
        <v>58511</v>
      </c>
      <c r="AB2755" s="92">
        <v>1.3429033314288316E-2</v>
      </c>
      <c r="AC2755" s="101">
        <v>1.3687090474441277E-2</v>
      </c>
    </row>
    <row r="2756" spans="25:29" x14ac:dyDescent="0.2">
      <c r="Y2756" s="105" t="str">
        <f t="shared" si="76"/>
        <v>1w</v>
      </c>
      <c r="Z2756" s="93">
        <f>_xll.qlCalendarAdvance(Calendar,Z2755,Y2756,"f",FALSE)</f>
        <v>58516</v>
      </c>
      <c r="AA2756" s="117">
        <f>_xll.qlCalendarAdvance(Calendar,Z2756,NDays&amp;"D")</f>
        <v>58518</v>
      </c>
      <c r="AB2756" s="92">
        <v>1.3405829850364722E-2</v>
      </c>
      <c r="AC2756" s="101">
        <v>1.3664704263716132E-2</v>
      </c>
    </row>
    <row r="2757" spans="25:29" x14ac:dyDescent="0.2">
      <c r="Y2757" s="105" t="str">
        <f t="shared" si="76"/>
        <v>1w</v>
      </c>
      <c r="Z2757" s="93">
        <f>_xll.qlCalendarAdvance(Calendar,Z2756,Y2757,"f",FALSE)</f>
        <v>58523</v>
      </c>
      <c r="AA2757" s="117">
        <f>_xll.qlCalendarAdvance(Calendar,Z2757,NDays&amp;"D")</f>
        <v>58525</v>
      </c>
      <c r="AB2757" s="92">
        <v>1.338264125870412E-2</v>
      </c>
      <c r="AC2757" s="101">
        <v>1.3642226114214395E-2</v>
      </c>
    </row>
    <row r="2758" spans="25:29" x14ac:dyDescent="0.2">
      <c r="Y2758" s="105" t="str">
        <f t="shared" si="76"/>
        <v>1w</v>
      </c>
      <c r="Z2758" s="93">
        <f>_xll.qlCalendarAdvance(Calendar,Z2757,Y2758,"f",FALSE)</f>
        <v>58530</v>
      </c>
      <c r="AA2758" s="117">
        <f>_xll.qlCalendarAdvance(Calendar,Z2758,NDays&amp;"D")</f>
        <v>58532</v>
      </c>
      <c r="AB2758" s="92">
        <v>1.3363666550329001E-2</v>
      </c>
      <c r="AC2758" s="101">
        <v>1.3619656026095939E-2</v>
      </c>
    </row>
    <row r="2759" spans="25:29" x14ac:dyDescent="0.2">
      <c r="Y2759" s="105" t="str">
        <f t="shared" si="76"/>
        <v>1w</v>
      </c>
      <c r="Z2759" s="93">
        <f>_xll.qlCalendarAdvance(Calendar,Z2758,Y2759,"f",FALSE)</f>
        <v>58537</v>
      </c>
      <c r="AA2759" s="117">
        <f>_xll.qlCalendarAdvance(Calendar,Z2759,NDays&amp;"D")</f>
        <v>58539</v>
      </c>
      <c r="AB2759" s="92">
        <v>1.3340517078062891E-2</v>
      </c>
      <c r="AC2759" s="101">
        <v>1.3596993998961082E-2</v>
      </c>
    </row>
    <row r="2760" spans="25:29" x14ac:dyDescent="0.2">
      <c r="Y2760" s="105" t="str">
        <f t="shared" si="76"/>
        <v>1w</v>
      </c>
      <c r="Z2760" s="93">
        <f>_xll.qlCalendarAdvance(Calendar,Z2759,Y2760,"f",FALSE)</f>
        <v>58544</v>
      </c>
      <c r="AA2760" s="117">
        <f>_xll.qlCalendarAdvance(Calendar,Z2760,NDays&amp;"D")</f>
        <v>58546</v>
      </c>
      <c r="AB2760" s="92">
        <v>1.3317408731563181E-2</v>
      </c>
      <c r="AC2760" s="101">
        <v>1.3568742858893756E-2</v>
      </c>
    </row>
    <row r="2761" spans="25:29" x14ac:dyDescent="0.2">
      <c r="Y2761" s="105" t="str">
        <f t="shared" si="76"/>
        <v>1w</v>
      </c>
      <c r="Z2761" s="93">
        <f>_xll.qlCalendarAdvance(Calendar,Z2760,Y2761,"f",FALSE)</f>
        <v>58551</v>
      </c>
      <c r="AA2761" s="117">
        <f>_xll.qlCalendarAdvance(Calendar,Z2761,NDays&amp;"D")</f>
        <v>58553</v>
      </c>
      <c r="AB2761" s="92">
        <v>1.3294351038882095E-2</v>
      </c>
      <c r="AC2761" s="101">
        <v>1.3551394128281657E-2</v>
      </c>
    </row>
    <row r="2762" spans="25:29" x14ac:dyDescent="0.2">
      <c r="Y2762" s="105" t="str">
        <f t="shared" si="76"/>
        <v>1w</v>
      </c>
      <c r="Z2762" s="93">
        <f>_xll.qlCalendarAdvance(Calendar,Z2761,Y2762,"f",FALSE)</f>
        <v>58558</v>
      </c>
      <c r="AA2762" s="117">
        <f>_xll.qlCalendarAdvance(Calendar,Z2762,NDays&amp;"D")</f>
        <v>58560</v>
      </c>
      <c r="AB2762" s="92">
        <v>1.3271353527631122E-2</v>
      </c>
      <c r="AC2762" s="101">
        <v>1.3528456284976897E-2</v>
      </c>
    </row>
    <row r="2763" spans="25:29" x14ac:dyDescent="0.2">
      <c r="Y2763" s="105" t="str">
        <f t="shared" si="76"/>
        <v>1w</v>
      </c>
      <c r="Z2763" s="93">
        <f>_xll.qlCalendarAdvance(Calendar,Z2762,Y2763,"f",FALSE)</f>
        <v>58565</v>
      </c>
      <c r="AA2763" s="117">
        <f>_xll.qlCalendarAdvance(Calendar,Z2763,NDays&amp;"D")</f>
        <v>58567</v>
      </c>
      <c r="AB2763" s="92">
        <v>1.3244347085023228E-2</v>
      </c>
      <c r="AC2763" s="101">
        <v>1.3505426502655737E-2</v>
      </c>
    </row>
    <row r="2764" spans="25:29" x14ac:dyDescent="0.2">
      <c r="Y2764" s="105" t="str">
        <f t="shared" si="76"/>
        <v>1w</v>
      </c>
      <c r="Z2764" s="93">
        <f>_xll.qlCalendarAdvance(Calendar,Z2763,Y2764,"f",FALSE)</f>
        <v>58572</v>
      </c>
      <c r="AA2764" s="117">
        <f>_xll.qlCalendarAdvance(Calendar,Z2764,NDays&amp;"D")</f>
        <v>58574</v>
      </c>
      <c r="AB2764" s="92">
        <v>1.322152511931287E-2</v>
      </c>
      <c r="AC2764" s="101">
        <v>1.3482304781717858E-2</v>
      </c>
    </row>
    <row r="2765" spans="25:29" x14ac:dyDescent="0.2">
      <c r="Y2765" s="105" t="str">
        <f t="shared" si="76"/>
        <v>1w</v>
      </c>
      <c r="Z2765" s="93">
        <f>_xll.qlCalendarAdvance(Calendar,Z2764,Y2765,"f",FALSE)</f>
        <v>58579</v>
      </c>
      <c r="AA2765" s="117">
        <f>_xll.qlCalendarAdvance(Calendar,Z2765,NDays&amp;"D")</f>
        <v>58581</v>
      </c>
      <c r="AB2765" s="92">
        <v>1.3198793026343587E-2</v>
      </c>
      <c r="AC2765" s="101">
        <v>1.3459091122003386E-2</v>
      </c>
    </row>
    <row r="2766" spans="25:29" x14ac:dyDescent="0.2">
      <c r="Y2766" s="105" t="str">
        <f t="shared" si="76"/>
        <v>1w</v>
      </c>
      <c r="Z2766" s="93">
        <f>_xll.qlCalendarAdvance(Calendar,Z2765,Y2766,"f",FALSE)</f>
        <v>58586</v>
      </c>
      <c r="AA2766" s="117">
        <f>_xll.qlCalendarAdvance(Calendar,Z2766,NDays&amp;"D")</f>
        <v>58588</v>
      </c>
      <c r="AB2766" s="92">
        <v>1.3176160179223266E-2</v>
      </c>
      <c r="AC2766" s="101">
        <v>1.3435785523672195E-2</v>
      </c>
    </row>
    <row r="2767" spans="25:29" x14ac:dyDescent="0.2">
      <c r="Y2767" s="105" t="str">
        <f t="shared" si="76"/>
        <v>1w</v>
      </c>
      <c r="Z2767" s="93">
        <f>_xll.qlCalendarAdvance(Calendar,Z2766,Y2767,"f",FALSE)</f>
        <v>58593</v>
      </c>
      <c r="AA2767" s="117">
        <f>_xll.qlCalendarAdvance(Calendar,Z2767,NDays&amp;"D")</f>
        <v>58595</v>
      </c>
      <c r="AB2767" s="92">
        <v>1.3157602128749883E-2</v>
      </c>
      <c r="AC2767" s="101">
        <v>1.3412387986564411E-2</v>
      </c>
    </row>
    <row r="2768" spans="25:29" x14ac:dyDescent="0.2">
      <c r="Y2768" s="105" t="str">
        <f t="shared" si="76"/>
        <v>1w</v>
      </c>
      <c r="Z2768" s="93">
        <f>_xll.qlCalendarAdvance(Calendar,Z2767,Y2768,"f",FALSE)</f>
        <v>58600</v>
      </c>
      <c r="AA2768" s="117">
        <f>_xll.qlCalendarAdvance(Calendar,Z2768,NDays&amp;"D")</f>
        <v>58602</v>
      </c>
      <c r="AB2768" s="92">
        <v>1.3135165761641211E-2</v>
      </c>
      <c r="AC2768" s="101">
        <v>1.3388898510839908E-2</v>
      </c>
    </row>
    <row r="2769" spans="25:29" x14ac:dyDescent="0.2">
      <c r="Y2769" s="105" t="str">
        <f t="shared" si="76"/>
        <v>1w</v>
      </c>
      <c r="Z2769" s="93">
        <f>_xll.qlCalendarAdvance(Calendar,Z2768,Y2769,"f",FALSE)</f>
        <v>58607</v>
      </c>
      <c r="AA2769" s="117">
        <f>_xll.qlCalendarAdvance(Calendar,Z2769,NDays&amp;"D")</f>
        <v>58609</v>
      </c>
      <c r="AB2769" s="92">
        <v>1.3112856257191932E-2</v>
      </c>
      <c r="AC2769" s="101">
        <v>1.3365317096578622E-2</v>
      </c>
    </row>
    <row r="2770" spans="25:29" x14ac:dyDescent="0.2">
      <c r="Y2770" s="105" t="str">
        <f t="shared" si="76"/>
        <v>1w</v>
      </c>
      <c r="Z2770" s="93">
        <f>_xll.qlCalendarAdvance(Calendar,Z2769,Y2770,"f",FALSE)</f>
        <v>58614</v>
      </c>
      <c r="AA2770" s="117">
        <f>_xll.qlCalendarAdvance(Calendar,Z2770,NDays&amp;"D")</f>
        <v>58616</v>
      </c>
      <c r="AB2770" s="92">
        <v>1.3090683139623459E-2</v>
      </c>
      <c r="AC2770" s="101">
        <v>1.3341643743540743E-2</v>
      </c>
    </row>
    <row r="2771" spans="25:29" x14ac:dyDescent="0.2">
      <c r="Y2771" s="105" t="str">
        <f t="shared" si="76"/>
        <v>1w</v>
      </c>
      <c r="Z2771" s="93">
        <f>_xll.qlCalendarAdvance(Calendar,Z2770,Y2771,"f",FALSE)</f>
        <v>58621</v>
      </c>
      <c r="AA2771" s="117">
        <f>_xll.qlCalendarAdvance(Calendar,Z2771,NDays&amp;"D")</f>
        <v>58623</v>
      </c>
      <c r="AB2771" s="92">
        <v>1.3064812660909225E-2</v>
      </c>
      <c r="AC2771" s="101">
        <v>1.3317878451966081E-2</v>
      </c>
    </row>
    <row r="2772" spans="25:29" x14ac:dyDescent="0.2">
      <c r="Y2772" s="105" t="str">
        <f t="shared" si="76"/>
        <v>1w</v>
      </c>
      <c r="Z2772" s="93">
        <f>_xll.qlCalendarAdvance(Calendar,Z2771,Y2772,"f",FALSE)</f>
        <v>58628</v>
      </c>
      <c r="AA2772" s="117">
        <f>_xll.qlCalendarAdvance(Calendar,Z2772,NDays&amp;"D")</f>
        <v>58630</v>
      </c>
      <c r="AB2772" s="92">
        <v>1.3042971116887217E-2</v>
      </c>
      <c r="AC2772" s="101">
        <v>1.3294128119785142E-2</v>
      </c>
    </row>
    <row r="2773" spans="25:29" x14ac:dyDescent="0.2">
      <c r="Y2773" s="105" t="str">
        <f t="shared" ref="Y2773:Y2836" si="77">Y2772</f>
        <v>1w</v>
      </c>
      <c r="Z2773" s="93">
        <f>_xll.qlCalendarAdvance(Calendar,Z2772,Y2773,"f",FALSE)</f>
        <v>58635</v>
      </c>
      <c r="AA2773" s="117">
        <f>_xll.qlCalendarAdvance(Calendar,Z2773,NDays&amp;"D")</f>
        <v>58637</v>
      </c>
      <c r="AB2773" s="92">
        <v>1.3021286378301801E-2</v>
      </c>
      <c r="AC2773" s="101">
        <v>1.3270532472189345E-2</v>
      </c>
    </row>
    <row r="2774" spans="25:29" x14ac:dyDescent="0.2">
      <c r="Y2774" s="105" t="str">
        <f t="shared" si="77"/>
        <v>1w</v>
      </c>
      <c r="Z2774" s="93">
        <f>_xll.qlCalendarAdvance(Calendar,Z2773,Y2774,"f",FALSE)</f>
        <v>58642</v>
      </c>
      <c r="AA2774" s="117">
        <f>_xll.qlCalendarAdvance(Calendar,Z2774,NDays&amp;"D")</f>
        <v>58644</v>
      </c>
      <c r="AB2774" s="92">
        <v>1.2999758444477819E-2</v>
      </c>
      <c r="AC2774" s="101">
        <v>1.3247092350665568E-2</v>
      </c>
    </row>
    <row r="2775" spans="25:29" x14ac:dyDescent="0.2">
      <c r="Y2775" s="105" t="str">
        <f t="shared" si="77"/>
        <v>1w</v>
      </c>
      <c r="Z2775" s="93">
        <f>_xll.qlCalendarAdvance(Calendar,Z2774,Y2775,"f",FALSE)</f>
        <v>58649</v>
      </c>
      <c r="AA2775" s="117">
        <f>_xll.qlCalendarAdvance(Calendar,Z2775,NDays&amp;"D")</f>
        <v>58651</v>
      </c>
      <c r="AB2775" s="92">
        <v>1.2978387310223724E-2</v>
      </c>
      <c r="AC2775" s="101">
        <v>1.3223807755293748E-2</v>
      </c>
    </row>
    <row r="2776" spans="25:29" x14ac:dyDescent="0.2">
      <c r="Y2776" s="105" t="str">
        <f t="shared" si="77"/>
        <v>1w</v>
      </c>
      <c r="Z2776" s="93">
        <f>_xll.qlCalendarAdvance(Calendar,Z2775,Y2776,"f",FALSE)</f>
        <v>58656</v>
      </c>
      <c r="AA2776" s="117">
        <f>_xll.qlCalendarAdvance(Calendar,Z2776,NDays&amp;"D")</f>
        <v>58658</v>
      </c>
      <c r="AB2776" s="92">
        <v>1.2957172970387081E-2</v>
      </c>
      <c r="AC2776" s="101">
        <v>1.3200678686153822E-2</v>
      </c>
    </row>
    <row r="2777" spans="25:29" x14ac:dyDescent="0.2">
      <c r="Y2777" s="105" t="str">
        <f t="shared" si="77"/>
        <v>1w</v>
      </c>
      <c r="Z2777" s="93">
        <f>_xll.qlCalendarAdvance(Calendar,Z2776,Y2777,"f",FALSE)</f>
        <v>58663</v>
      </c>
      <c r="AA2777" s="117">
        <f>_xll.qlCalendarAdvance(Calendar,Z2777,NDays&amp;"D")</f>
        <v>58665</v>
      </c>
      <c r="AB2777" s="92">
        <v>1.2936115419848968E-2</v>
      </c>
      <c r="AC2777" s="101">
        <v>1.3177705142926044E-2</v>
      </c>
    </row>
    <row r="2778" spans="25:29" x14ac:dyDescent="0.2">
      <c r="Y2778" s="105" t="str">
        <f t="shared" si="77"/>
        <v>1w</v>
      </c>
      <c r="Z2778" s="93">
        <f>_xll.qlCalendarAdvance(Calendar,Z2777,Y2778,"f",FALSE)</f>
        <v>58670</v>
      </c>
      <c r="AA2778" s="117">
        <f>_xll.qlCalendarAdvance(Calendar,Z2778,NDays&amp;"D")</f>
        <v>58672</v>
      </c>
      <c r="AB2778" s="92">
        <v>1.2915214653532162E-2</v>
      </c>
      <c r="AC2778" s="101">
        <v>1.3154887125850223E-2</v>
      </c>
    </row>
    <row r="2779" spans="25:29" x14ac:dyDescent="0.2">
      <c r="Y2779" s="105" t="str">
        <f t="shared" si="77"/>
        <v>1w</v>
      </c>
      <c r="Z2779" s="93">
        <f>_xll.qlCalendarAdvance(Calendar,Z2778,Y2779,"f",FALSE)</f>
        <v>58677</v>
      </c>
      <c r="AA2779" s="117">
        <f>_xll.qlCalendarAdvance(Calendar,Z2779,NDays&amp;"D")</f>
        <v>58679</v>
      </c>
      <c r="AB2779" s="92">
        <v>1.2894470666396391E-2</v>
      </c>
      <c r="AC2779" s="101">
        <v>1.3132224634686551E-2</v>
      </c>
    </row>
    <row r="2780" spans="25:29" x14ac:dyDescent="0.2">
      <c r="Y2780" s="105" t="str">
        <f t="shared" si="77"/>
        <v>1w</v>
      </c>
      <c r="Z2780" s="93">
        <f>_xll.qlCalendarAdvance(Calendar,Z2779,Y2780,"f",FALSE)</f>
        <v>58684</v>
      </c>
      <c r="AA2780" s="117">
        <f>_xll.qlCalendarAdvance(Calendar,Z2780,NDays&amp;"D")</f>
        <v>58686</v>
      </c>
      <c r="AB2780" s="92">
        <v>1.2879824147421032E-2</v>
      </c>
      <c r="AC2780" s="101">
        <v>1.31097176695949E-2</v>
      </c>
    </row>
    <row r="2781" spans="25:29" x14ac:dyDescent="0.2">
      <c r="Y2781" s="105" t="str">
        <f t="shared" si="77"/>
        <v>1w</v>
      </c>
      <c r="Z2781" s="93">
        <f>_xll.qlCalendarAdvance(Calendar,Z2780,Y2781,"f",FALSE)</f>
        <v>58691</v>
      </c>
      <c r="AA2781" s="117">
        <f>_xll.qlCalendarAdvance(Calendar,Z2781,NDays&amp;"D")</f>
        <v>58693</v>
      </c>
      <c r="AB2781" s="92">
        <v>1.2859341367516581E-2</v>
      </c>
      <c r="AC2781" s="101">
        <v>1.3087366230335462E-2</v>
      </c>
    </row>
    <row r="2782" spans="25:29" x14ac:dyDescent="0.2">
      <c r="Y2782" s="105" t="str">
        <f t="shared" si="77"/>
        <v>1w</v>
      </c>
      <c r="Z2782" s="93">
        <f>_xll.qlCalendarAdvance(Calendar,Z2781,Y2782,"f",FALSE)</f>
        <v>58698</v>
      </c>
      <c r="AA2782" s="117">
        <f>_xll.qlCalendarAdvance(Calendar,Z2782,NDays&amp;"D")</f>
        <v>58700</v>
      </c>
      <c r="AB2782" s="92">
        <v>1.2839015319981977E-2</v>
      </c>
      <c r="AC2782" s="101">
        <v>1.3065170317148045E-2</v>
      </c>
    </row>
    <row r="2783" spans="25:29" x14ac:dyDescent="0.2">
      <c r="Y2783" s="105" t="str">
        <f t="shared" si="77"/>
        <v>1w</v>
      </c>
      <c r="Z2783" s="93">
        <f>_xll.qlCalendarAdvance(Calendar,Z2782,Y2783,"f",FALSE)</f>
        <v>58705</v>
      </c>
      <c r="AA2783" s="117">
        <f>_xll.qlCalendarAdvance(Calendar,Z2783,NDays&amp;"D")</f>
        <v>58707</v>
      </c>
      <c r="AB2783" s="92">
        <v>1.2818846000047551E-2</v>
      </c>
      <c r="AC2783" s="101">
        <v>1.3043129929872777E-2</v>
      </c>
    </row>
    <row r="2784" spans="25:29" x14ac:dyDescent="0.2">
      <c r="Y2784" s="105" t="str">
        <f t="shared" si="77"/>
        <v>1w</v>
      </c>
      <c r="Z2784" s="93">
        <f>_xll.qlCalendarAdvance(Calendar,Z2783,Y2784,"f",FALSE)</f>
        <v>58712</v>
      </c>
      <c r="AA2784" s="117">
        <f>_xll.qlCalendarAdvance(Calendar,Z2784,NDays&amp;"D")</f>
        <v>58714</v>
      </c>
      <c r="AB2784" s="92">
        <v>1.2797685223693948E-2</v>
      </c>
      <c r="AC2784" s="101">
        <v>1.3021245068269849E-2</v>
      </c>
    </row>
    <row r="2785" spans="25:29" x14ac:dyDescent="0.2">
      <c r="Y2785" s="105" t="str">
        <f t="shared" si="77"/>
        <v>1w</v>
      </c>
      <c r="Z2785" s="93">
        <f>_xll.qlCalendarAdvance(Calendar,Z2784,Y2785,"f",FALSE)</f>
        <v>58719</v>
      </c>
      <c r="AA2785" s="117">
        <f>_xll.qlCalendarAdvance(Calendar,Z2785,NDays&amp;"D")</f>
        <v>58721</v>
      </c>
      <c r="AB2785" s="92">
        <v>1.2777839835634913E-2</v>
      </c>
      <c r="AC2785" s="101">
        <v>1.299951573257907E-2</v>
      </c>
    </row>
    <row r="2786" spans="25:29" x14ac:dyDescent="0.2">
      <c r="Y2786" s="105" t="str">
        <f t="shared" si="77"/>
        <v>1w</v>
      </c>
      <c r="Z2786" s="93">
        <f>_xll.qlCalendarAdvance(Calendar,Z2785,Y2786,"f",FALSE)</f>
        <v>58726</v>
      </c>
      <c r="AA2786" s="117">
        <f>_xll.qlCalendarAdvance(Calendar,Z2786,NDays&amp;"D")</f>
        <v>58728</v>
      </c>
      <c r="AB2786" s="92">
        <v>1.2758151167382681E-2</v>
      </c>
      <c r="AC2786" s="101">
        <v>1.297794192280044E-2</v>
      </c>
    </row>
    <row r="2787" spans="25:29" x14ac:dyDescent="0.2">
      <c r="Y2787" s="105" t="str">
        <f t="shared" si="77"/>
        <v>1w</v>
      </c>
      <c r="Z2787" s="93">
        <f>_xll.qlCalendarAdvance(Calendar,Z2786,Y2787,"f",FALSE)</f>
        <v>58733</v>
      </c>
      <c r="AA2787" s="117">
        <f>_xll.qlCalendarAdvance(Calendar,Z2787,NDays&amp;"D")</f>
        <v>58735</v>
      </c>
      <c r="AB2787" s="92">
        <v>1.2738619214289541E-2</v>
      </c>
      <c r="AC2787" s="101">
        <v>1.2956523638694151E-2</v>
      </c>
    </row>
    <row r="2788" spans="25:29" x14ac:dyDescent="0.2">
      <c r="Y2788" s="105" t="str">
        <f t="shared" si="77"/>
        <v>1w</v>
      </c>
      <c r="Z2788" s="93">
        <f>_xll.qlCalendarAdvance(Calendar,Z2787,Y2788,"f",FALSE)</f>
        <v>58740</v>
      </c>
      <c r="AA2788" s="117">
        <f>_xll.qlCalendarAdvance(Calendar,Z2788,NDays&amp;"D")</f>
        <v>58742</v>
      </c>
      <c r="AB2788" s="92">
        <v>1.2719243971748187E-2</v>
      </c>
      <c r="AC2788" s="101">
        <v>1.293526088050001E-2</v>
      </c>
    </row>
    <row r="2789" spans="25:29" x14ac:dyDescent="0.2">
      <c r="Y2789" s="105" t="str">
        <f t="shared" si="77"/>
        <v>1w</v>
      </c>
      <c r="Z2789" s="93">
        <f>_xll.qlCalendarAdvance(Calendar,Z2788,Y2789,"f",FALSE)</f>
        <v>58747</v>
      </c>
      <c r="AA2789" s="117">
        <f>_xll.qlCalendarAdvance(Calendar,Z2789,NDays&amp;"D")</f>
        <v>58749</v>
      </c>
      <c r="AB2789" s="92">
        <v>1.2701121097549332E-2</v>
      </c>
      <c r="AC2789" s="101">
        <v>1.2914153647818338E-2</v>
      </c>
    </row>
    <row r="2790" spans="25:29" x14ac:dyDescent="0.2">
      <c r="Y2790" s="105" t="str">
        <f t="shared" si="77"/>
        <v>1w</v>
      </c>
      <c r="Z2790" s="93">
        <f>_xll.qlCalendarAdvance(Calendar,Z2789,Y2790,"f",FALSE)</f>
        <v>58754</v>
      </c>
      <c r="AA2790" s="117">
        <f>_xll.qlCalendarAdvance(Calendar,Z2790,NDays&amp;"D")</f>
        <v>58756</v>
      </c>
      <c r="AB2790" s="92">
        <v>1.2682048740344178E-2</v>
      </c>
      <c r="AC2790" s="101">
        <v>1.2893201941048815E-2</v>
      </c>
    </row>
    <row r="2791" spans="25:29" x14ac:dyDescent="0.2">
      <c r="Y2791" s="105" t="str">
        <f t="shared" si="77"/>
        <v>1w</v>
      </c>
      <c r="Z2791" s="93">
        <f>_xll.qlCalendarAdvance(Calendar,Z2790,Y2791,"f",FALSE)</f>
        <v>58761</v>
      </c>
      <c r="AA2791" s="117">
        <f>_xll.qlCalendarAdvance(Calendar,Z2791,NDays&amp;"D")</f>
        <v>58763</v>
      </c>
      <c r="AB2791" s="92">
        <v>1.2663133073903255E-2</v>
      </c>
      <c r="AC2791" s="101">
        <v>1.2872405759871697E-2</v>
      </c>
    </row>
    <row r="2792" spans="25:29" x14ac:dyDescent="0.2">
      <c r="Y2792" s="105" t="str">
        <f t="shared" si="77"/>
        <v>1w</v>
      </c>
      <c r="Z2792" s="93">
        <f>_xll.qlCalendarAdvance(Calendar,Z2791,Y2792,"f",FALSE)</f>
        <v>58768</v>
      </c>
      <c r="AA2792" s="117">
        <f>_xll.qlCalendarAdvance(Calendar,Z2792,NDays&amp;"D")</f>
        <v>58770</v>
      </c>
      <c r="AB2792" s="92">
        <v>1.2644374093787242E-2</v>
      </c>
      <c r="AC2792" s="101">
        <v>1.2851765104286983E-2</v>
      </c>
    </row>
    <row r="2793" spans="25:29" x14ac:dyDescent="0.2">
      <c r="Y2793" s="105" t="str">
        <f t="shared" si="77"/>
        <v>1w</v>
      </c>
      <c r="Z2793" s="93">
        <f>_xll.qlCalendarAdvance(Calendar,Z2792,Y2793,"f",FALSE)</f>
        <v>58775</v>
      </c>
      <c r="AA2793" s="117">
        <f>_xll.qlCalendarAdvance(Calendar,Z2793,NDays&amp;"D")</f>
        <v>58777</v>
      </c>
      <c r="AB2793" s="92">
        <v>1.2624718258585873E-2</v>
      </c>
      <c r="AC2793" s="101">
        <v>1.283127997437461E-2</v>
      </c>
    </row>
    <row r="2794" spans="25:29" x14ac:dyDescent="0.2">
      <c r="Y2794" s="105" t="str">
        <f t="shared" si="77"/>
        <v>1w</v>
      </c>
      <c r="Z2794" s="93">
        <f>_xll.qlCalendarAdvance(Calendar,Z2793,Y2794,"f",FALSE)</f>
        <v>58782</v>
      </c>
      <c r="AA2794" s="117">
        <f>_xll.qlCalendarAdvance(Calendar,Z2794,NDays&amp;"D")</f>
        <v>58784</v>
      </c>
      <c r="AB2794" s="92">
        <v>1.2606283184636729E-2</v>
      </c>
      <c r="AC2794" s="101">
        <v>1.2810950370054641E-2</v>
      </c>
    </row>
    <row r="2795" spans="25:29" x14ac:dyDescent="0.2">
      <c r="Y2795" s="105" t="str">
        <f t="shared" si="77"/>
        <v>1w</v>
      </c>
      <c r="Z2795" s="93">
        <f>_xll.qlCalendarAdvance(Calendar,Z2794,Y2795,"f",FALSE)</f>
        <v>58789</v>
      </c>
      <c r="AA2795" s="117">
        <f>_xll.qlCalendarAdvance(Calendar,Z2795,NDays&amp;"D")</f>
        <v>58791</v>
      </c>
      <c r="AB2795" s="92">
        <v>1.2588004790012484E-2</v>
      </c>
      <c r="AC2795" s="101">
        <v>1.2790776291327077E-2</v>
      </c>
    </row>
    <row r="2796" spans="25:29" x14ac:dyDescent="0.2">
      <c r="Y2796" s="105" t="str">
        <f t="shared" si="77"/>
        <v>1w</v>
      </c>
      <c r="Z2796" s="93">
        <f>_xll.qlCalendarAdvance(Calendar,Z2795,Y2796,"f",FALSE)</f>
        <v>58796</v>
      </c>
      <c r="AA2796" s="117">
        <f>_xll.qlCalendarAdvance(Calendar,Z2796,NDays&amp;"D")</f>
        <v>58798</v>
      </c>
      <c r="AB2796" s="92">
        <v>1.2569883070400105E-2</v>
      </c>
      <c r="AC2796" s="101">
        <v>1.2770757738032046E-2</v>
      </c>
    </row>
    <row r="2797" spans="25:29" x14ac:dyDescent="0.2">
      <c r="Y2797" s="105" t="str">
        <f t="shared" si="77"/>
        <v>1w</v>
      </c>
      <c r="Z2797" s="93">
        <f>_xll.qlCalendarAdvance(Calendar,Z2796,Y2797,"f",FALSE)</f>
        <v>58803</v>
      </c>
      <c r="AA2797" s="117">
        <f>_xll.qlCalendarAdvance(Calendar,Z2797,NDays&amp;"D")</f>
        <v>58805</v>
      </c>
      <c r="AB2797" s="92">
        <v>1.2551918021524328E-2</v>
      </c>
      <c r="AC2797" s="101">
        <v>1.2750894710409355E-2</v>
      </c>
    </row>
    <row r="2798" spans="25:29" x14ac:dyDescent="0.2">
      <c r="Y2798" s="105" t="str">
        <f t="shared" si="77"/>
        <v>1w</v>
      </c>
      <c r="Z2798" s="93">
        <f>_xll.qlCalendarAdvance(Calendar,Z2797,Y2798,"f",FALSE)</f>
        <v>58810</v>
      </c>
      <c r="AA2798" s="117">
        <f>_xll.qlCalendarAdvance(Calendar,Z2798,NDays&amp;"D")</f>
        <v>58812</v>
      </c>
      <c r="AB2798" s="92">
        <v>1.2535110381993123E-2</v>
      </c>
      <c r="AC2798" s="101">
        <v>1.2731187208219197E-2</v>
      </c>
    </row>
    <row r="2799" spans="25:29" x14ac:dyDescent="0.2">
      <c r="Y2799" s="105" t="str">
        <f t="shared" si="77"/>
        <v>1w</v>
      </c>
      <c r="Z2799" s="93">
        <f>_xll.qlCalendarAdvance(Calendar,Z2798,Y2799,"f",FALSE)</f>
        <v>58817</v>
      </c>
      <c r="AA2799" s="117">
        <f>_xll.qlCalendarAdvance(Calendar,Z2799,NDays&amp;"D")</f>
        <v>58819</v>
      </c>
      <c r="AB2799" s="92">
        <v>1.2517448084960019E-2</v>
      </c>
      <c r="AC2799" s="101">
        <v>1.2711635231461571E-2</v>
      </c>
    </row>
    <row r="2800" spans="25:29" x14ac:dyDescent="0.2">
      <c r="Y2800" s="105" t="str">
        <f t="shared" si="77"/>
        <v>1w</v>
      </c>
      <c r="Z2800" s="93">
        <f>_xll.qlCalendarAdvance(Calendar,Z2799,Y2800,"f",FALSE)</f>
        <v>58824</v>
      </c>
      <c r="AA2800" s="117">
        <f>_xll.qlCalendarAdvance(Calendar,Z2800,NDays&amp;"D")</f>
        <v>58826</v>
      </c>
      <c r="AB2800" s="92">
        <v>1.2499942440066131E-2</v>
      </c>
      <c r="AC2800" s="101">
        <v>1.2692238780136478E-2</v>
      </c>
    </row>
    <row r="2801" spans="25:29" x14ac:dyDescent="0.2">
      <c r="Y2801" s="105" t="str">
        <f t="shared" si="77"/>
        <v>1w</v>
      </c>
      <c r="Z2801" s="93">
        <f>_xll.qlCalendarAdvance(Calendar,Z2800,Y2801,"f",FALSE)</f>
        <v>58831</v>
      </c>
      <c r="AA2801" s="117">
        <f>_xll.qlCalendarAdvance(Calendar,Z2801,NDays&amp;"D")</f>
        <v>58833</v>
      </c>
      <c r="AB2801" s="92">
        <v>1.2482593443205573E-2</v>
      </c>
      <c r="AC2801" s="101">
        <v>1.2672997854323853E-2</v>
      </c>
    </row>
    <row r="2802" spans="25:29" x14ac:dyDescent="0.2">
      <c r="Y2802" s="105" t="str">
        <f t="shared" si="77"/>
        <v>1w</v>
      </c>
      <c r="Z2802" s="93">
        <f>_xll.qlCalendarAdvance(Calendar,Z2801,Y2802,"f",FALSE)</f>
        <v>58838</v>
      </c>
      <c r="AA2802" s="117">
        <f>_xll.qlCalendarAdvance(Calendar,Z2802,NDays&amp;"D")</f>
        <v>58840</v>
      </c>
      <c r="AB2802" s="92">
        <v>1.2465401090304695E-2</v>
      </c>
      <c r="AC2802" s="101">
        <v>1.2653912453783889E-2</v>
      </c>
    </row>
    <row r="2803" spans="25:29" x14ac:dyDescent="0.2">
      <c r="Y2803" s="105" t="str">
        <f t="shared" si="77"/>
        <v>1w</v>
      </c>
      <c r="Z2803" s="93">
        <f>_xll.qlCalendarAdvance(Calendar,Z2802,Y2803,"f",FALSE)</f>
        <v>58845</v>
      </c>
      <c r="AA2803" s="117">
        <f>_xll.qlCalendarAdvance(Calendar,Z2803,NDays&amp;"D")</f>
        <v>58847</v>
      </c>
      <c r="AB2803" s="92">
        <v>1.2448365377330925E-2</v>
      </c>
      <c r="AC2803" s="101">
        <v>1.2634982578596521E-2</v>
      </c>
    </row>
    <row r="2804" spans="25:29" x14ac:dyDescent="0.2">
      <c r="Y2804" s="105" t="str">
        <f t="shared" si="77"/>
        <v>1w</v>
      </c>
      <c r="Z2804" s="93">
        <f>_xll.qlCalendarAdvance(Calendar,Z2803,Y2804,"f",FALSE)</f>
        <v>58852</v>
      </c>
      <c r="AA2804" s="117">
        <f>_xll.qlCalendarAdvance(Calendar,Z2804,NDays&amp;"D")</f>
        <v>58854</v>
      </c>
      <c r="AB2804" s="92">
        <v>1.2431486300286575E-2</v>
      </c>
      <c r="AC2804" s="101">
        <v>1.2616208228841685E-2</v>
      </c>
    </row>
    <row r="2805" spans="25:29" x14ac:dyDescent="0.2">
      <c r="Y2805" s="105" t="str">
        <f t="shared" si="77"/>
        <v>1w</v>
      </c>
      <c r="Z2805" s="93">
        <f>_xll.qlCalendarAdvance(Calendar,Z2804,Y2805,"f",FALSE)</f>
        <v>58859</v>
      </c>
      <c r="AA2805" s="117">
        <f>_xll.qlCalendarAdvance(Calendar,Z2805,NDays&amp;"D")</f>
        <v>58861</v>
      </c>
      <c r="AB2805" s="92">
        <v>1.2414763855211057E-2</v>
      </c>
      <c r="AC2805" s="101">
        <v>1.259758940435951E-2</v>
      </c>
    </row>
    <row r="2806" spans="25:29" x14ac:dyDescent="0.2">
      <c r="Y2806" s="105" t="str">
        <f t="shared" si="77"/>
        <v>1w</v>
      </c>
      <c r="Z2806" s="93">
        <f>_xll.qlCalendarAdvance(Calendar,Z2805,Y2806,"f",FALSE)</f>
        <v>58866</v>
      </c>
      <c r="AA2806" s="117">
        <f>_xll.qlCalendarAdvance(Calendar,Z2806,NDays&amp;"D")</f>
        <v>58868</v>
      </c>
      <c r="AB2806" s="92">
        <v>1.2393628162434904E-2</v>
      </c>
      <c r="AC2806" s="101">
        <v>1.2579126105149996E-2</v>
      </c>
    </row>
    <row r="2807" spans="25:29" x14ac:dyDescent="0.2">
      <c r="Y2807" s="105" t="str">
        <f t="shared" si="77"/>
        <v>1w</v>
      </c>
      <c r="Z2807" s="93">
        <f>_xll.qlCalendarAdvance(Calendar,Z2806,Y2807,"f",FALSE)</f>
        <v>58873</v>
      </c>
      <c r="AA2807" s="117">
        <f>_xll.qlCalendarAdvance(Calendar,Z2807,NDays&amp;"D")</f>
        <v>58875</v>
      </c>
      <c r="AB2807" s="92">
        <v>1.2377272099463365E-2</v>
      </c>
      <c r="AC2807" s="101">
        <v>1.2560818331213142E-2</v>
      </c>
    </row>
    <row r="2808" spans="25:29" x14ac:dyDescent="0.2">
      <c r="Y2808" s="105" t="str">
        <f t="shared" si="77"/>
        <v>1w</v>
      </c>
      <c r="Z2808" s="93">
        <f>_xll.qlCalendarAdvance(Calendar,Z2807,Y2808,"f",FALSE)</f>
        <v>58880</v>
      </c>
      <c r="AA2808" s="117">
        <f>_xll.qlCalendarAdvance(Calendar,Z2808,NDays&amp;"D")</f>
        <v>58882</v>
      </c>
      <c r="AB2808" s="92">
        <v>1.2361072685949962E-2</v>
      </c>
      <c r="AC2808" s="101">
        <v>1.2542666082548948E-2</v>
      </c>
    </row>
    <row r="2809" spans="25:29" x14ac:dyDescent="0.2">
      <c r="Y2809" s="105" t="str">
        <f t="shared" si="77"/>
        <v>1w</v>
      </c>
      <c r="Z2809" s="93">
        <f>_xll.qlCalendarAdvance(Calendar,Z2808,Y2809,"f",FALSE)</f>
        <v>58887</v>
      </c>
      <c r="AA2809" s="117">
        <f>_xll.qlCalendarAdvance(Calendar,Z2809,NDays&amp;"D")</f>
        <v>58889</v>
      </c>
      <c r="AB2809" s="92">
        <v>1.2345029917987714E-2</v>
      </c>
      <c r="AC2809" s="101">
        <v>1.2524669359077478E-2</v>
      </c>
    </row>
    <row r="2810" spans="25:29" x14ac:dyDescent="0.2">
      <c r="Y2810" s="105" t="str">
        <f t="shared" si="77"/>
        <v>1w</v>
      </c>
      <c r="Z2810" s="93">
        <f>_xll.qlCalendarAdvance(Calendar,Z2809,Y2810,"f",FALSE)</f>
        <v>58894</v>
      </c>
      <c r="AA2810" s="117">
        <f>_xll.qlCalendarAdvance(Calendar,Z2810,NDays&amp;"D")</f>
        <v>58896</v>
      </c>
      <c r="AB2810" s="92">
        <v>1.2331755112463922E-2</v>
      </c>
      <c r="AC2810" s="101">
        <v>1.2506828160798733E-2</v>
      </c>
    </row>
    <row r="2811" spans="25:29" x14ac:dyDescent="0.2">
      <c r="Y2811" s="105" t="str">
        <f t="shared" si="77"/>
        <v>1w</v>
      </c>
      <c r="Z2811" s="93">
        <f>_xll.qlCalendarAdvance(Calendar,Z2810,Y2811,"f",FALSE)</f>
        <v>58901</v>
      </c>
      <c r="AA2811" s="117">
        <f>_xll.qlCalendarAdvance(Calendar,Z2811,NDays&amp;"D")</f>
        <v>58903</v>
      </c>
      <c r="AB2811" s="92">
        <v>1.2315993674014012E-2</v>
      </c>
      <c r="AC2811" s="101">
        <v>1.2484987059711017E-2</v>
      </c>
    </row>
    <row r="2812" spans="25:29" x14ac:dyDescent="0.2">
      <c r="Y2812" s="105" t="str">
        <f t="shared" si="77"/>
        <v>1w</v>
      </c>
      <c r="Z2812" s="93">
        <f>_xll.qlCalendarAdvance(Calendar,Z2811,Y2812,"f",FALSE)</f>
        <v>58908</v>
      </c>
      <c r="AA2812" s="117">
        <f>_xll.qlCalendarAdvance(Calendar,Z2812,NDays&amp;"D")</f>
        <v>58910</v>
      </c>
      <c r="AB2812" s="92">
        <v>1.2300388852358827E-2</v>
      </c>
      <c r="AC2812" s="101">
        <v>1.2471612339819416E-2</v>
      </c>
    </row>
    <row r="2813" spans="25:29" x14ac:dyDescent="0.2">
      <c r="Y2813" s="105" t="str">
        <f t="shared" si="77"/>
        <v>1w</v>
      </c>
      <c r="Z2813" s="93">
        <f>_xll.qlCalendarAdvance(Calendar,Z2812,Y2813,"f",FALSE)</f>
        <v>58915</v>
      </c>
      <c r="AA2813" s="117">
        <f>_xll.qlCalendarAdvance(Calendar,Z2813,NDays&amp;"D")</f>
        <v>58917</v>
      </c>
      <c r="AB2813" s="92">
        <v>1.2284940643798592E-2</v>
      </c>
      <c r="AC2813" s="101">
        <v>1.2454237716958971E-2</v>
      </c>
    </row>
    <row r="2814" spans="25:29" x14ac:dyDescent="0.2">
      <c r="Y2814" s="105" t="str">
        <f t="shared" si="77"/>
        <v>1w</v>
      </c>
      <c r="Z2814" s="93">
        <f>_xll.qlCalendarAdvance(Calendar,Z2813,Y2814,"f",FALSE)</f>
        <v>58922</v>
      </c>
      <c r="AA2814" s="117">
        <f>_xll.qlCalendarAdvance(Calendar,Z2814,NDays&amp;"D")</f>
        <v>58924</v>
      </c>
      <c r="AB2814" s="92">
        <v>1.2269649044667172E-2</v>
      </c>
      <c r="AC2814" s="101">
        <v>1.2437018619291251E-2</v>
      </c>
    </row>
    <row r="2815" spans="25:29" x14ac:dyDescent="0.2">
      <c r="Y2815" s="105" t="str">
        <f t="shared" si="77"/>
        <v>1w</v>
      </c>
      <c r="Z2815" s="93">
        <f>_xll.qlCalendarAdvance(Calendar,Z2814,Y2815,"f",FALSE)</f>
        <v>58929</v>
      </c>
      <c r="AA2815" s="117">
        <f>_xll.qlCalendarAdvance(Calendar,Z2815,NDays&amp;"D")</f>
        <v>58931</v>
      </c>
      <c r="AB2815" s="92">
        <v>1.2252062652821976E-2</v>
      </c>
      <c r="AC2815" s="101">
        <v>1.241995504673632E-2</v>
      </c>
    </row>
    <row r="2816" spans="25:29" x14ac:dyDescent="0.2">
      <c r="Y2816" s="105" t="str">
        <f t="shared" si="77"/>
        <v>1w</v>
      </c>
      <c r="Z2816" s="93">
        <f>_xll.qlCalendarAdvance(Calendar,Z2815,Y2816,"f",FALSE)</f>
        <v>58936</v>
      </c>
      <c r="AA2816" s="117">
        <f>_xll.qlCalendarAdvance(Calendar,Z2816,NDays&amp;"D")</f>
        <v>58938</v>
      </c>
      <c r="AB2816" s="92">
        <v>1.2237116297526192E-2</v>
      </c>
      <c r="AC2816" s="101">
        <v>1.240304699921424E-2</v>
      </c>
    </row>
    <row r="2817" spans="25:29" x14ac:dyDescent="0.2">
      <c r="Y2817" s="105" t="str">
        <f t="shared" si="77"/>
        <v>1w</v>
      </c>
      <c r="Z2817" s="93">
        <f>_xll.qlCalendarAdvance(Calendar,Z2816,Y2817,"f",FALSE)</f>
        <v>58943</v>
      </c>
      <c r="AA2817" s="117">
        <f>_xll.qlCalendarAdvance(Calendar,Z2817,NDays&amp;"D")</f>
        <v>58945</v>
      </c>
      <c r="AB2817" s="92">
        <v>1.222232655789407E-2</v>
      </c>
      <c r="AC2817" s="101">
        <v>1.2386294476645077E-2</v>
      </c>
    </row>
    <row r="2818" spans="25:29" x14ac:dyDescent="0.2">
      <c r="Y2818" s="105" t="str">
        <f t="shared" si="77"/>
        <v>1w</v>
      </c>
      <c r="Z2818" s="93">
        <f>_xll.qlCalendarAdvance(Calendar,Z2817,Y2818,"f",FALSE)</f>
        <v>58950</v>
      </c>
      <c r="AA2818" s="117">
        <f>_xll.qlCalendarAdvance(Calendar,Z2818,NDays&amp;"D")</f>
        <v>58952</v>
      </c>
      <c r="AB2818" s="92">
        <v>1.2207693430359004E-2</v>
      </c>
      <c r="AC2818" s="101">
        <v>1.2369697479108765E-2</v>
      </c>
    </row>
    <row r="2819" spans="25:29" x14ac:dyDescent="0.2">
      <c r="Y2819" s="105" t="str">
        <f t="shared" si="77"/>
        <v>1w</v>
      </c>
      <c r="Z2819" s="93">
        <f>_xll.qlCalendarAdvance(Calendar,Z2818,Y2819,"f",FALSE)</f>
        <v>58957</v>
      </c>
      <c r="AA2819" s="117">
        <f>_xll.qlCalendarAdvance(Calendar,Z2819,NDays&amp;"D")</f>
        <v>58959</v>
      </c>
      <c r="AB2819" s="92">
        <v>1.2195540064786717E-2</v>
      </c>
      <c r="AC2819" s="101">
        <v>1.2353256006605307E-2</v>
      </c>
    </row>
    <row r="2820" spans="25:29" x14ac:dyDescent="0.2">
      <c r="Y2820" s="105" t="str">
        <f t="shared" si="77"/>
        <v>1w</v>
      </c>
      <c r="Z2820" s="93">
        <f>_xll.qlCalendarAdvance(Calendar,Z2819,Y2820,"f",FALSE)</f>
        <v>58964</v>
      </c>
      <c r="AA2820" s="117">
        <f>_xll.qlCalendarAdvance(Calendar,Z2820,NDays&amp;"D")</f>
        <v>58966</v>
      </c>
      <c r="AB2820" s="92">
        <v>1.2181188047352989E-2</v>
      </c>
      <c r="AC2820" s="101">
        <v>1.23369700591347E-2</v>
      </c>
    </row>
    <row r="2821" spans="25:29" x14ac:dyDescent="0.2">
      <c r="Y2821" s="105" t="str">
        <f t="shared" si="77"/>
        <v>1w</v>
      </c>
      <c r="Z2821" s="93">
        <f>_xll.qlCalendarAdvance(Calendar,Z2820,Y2821,"f",FALSE)</f>
        <v>58971</v>
      </c>
      <c r="AA2821" s="117">
        <f>_xll.qlCalendarAdvance(Calendar,Z2821,NDays&amp;"D")</f>
        <v>58973</v>
      </c>
      <c r="AB2821" s="92">
        <v>1.2166992614736503E-2</v>
      </c>
      <c r="AC2821" s="101">
        <v>1.2320839636537073E-2</v>
      </c>
    </row>
    <row r="2822" spans="25:29" x14ac:dyDescent="0.2">
      <c r="Y2822" s="105" t="str">
        <f t="shared" si="77"/>
        <v>1w</v>
      </c>
      <c r="Z2822" s="93">
        <f>_xll.qlCalendarAdvance(Calendar,Z2821,Y2822,"f",FALSE)</f>
        <v>58978</v>
      </c>
      <c r="AA2822" s="117">
        <f>_xll.qlCalendarAdvance(Calendar,Z2822,NDays&amp;"D")</f>
        <v>58980</v>
      </c>
      <c r="AB2822" s="92">
        <v>1.2152953763569462E-2</v>
      </c>
      <c r="AC2822" s="101">
        <v>1.2304864738892363E-2</v>
      </c>
    </row>
    <row r="2823" spans="25:29" x14ac:dyDescent="0.2">
      <c r="Y2823" s="105" t="str">
        <f t="shared" si="77"/>
        <v>1w</v>
      </c>
      <c r="Z2823" s="93">
        <f>_xll.qlCalendarAdvance(Calendar,Z2822,Y2823,"f",FALSE)</f>
        <v>58985</v>
      </c>
      <c r="AA2823" s="117">
        <f>_xll.qlCalendarAdvance(Calendar,Z2823,NDays&amp;"D")</f>
        <v>58987</v>
      </c>
      <c r="AB2823" s="92">
        <v>1.21390714905212E-2</v>
      </c>
      <c r="AC2823" s="101">
        <v>1.2289045366120632E-2</v>
      </c>
    </row>
    <row r="2824" spans="25:29" x14ac:dyDescent="0.2">
      <c r="Y2824" s="105" t="str">
        <f t="shared" si="77"/>
        <v>1w</v>
      </c>
      <c r="Z2824" s="93">
        <f>_xll.qlCalendarAdvance(Calendar,Z2823,Y2824,"f",FALSE)</f>
        <v>58992</v>
      </c>
      <c r="AA2824" s="117">
        <f>_xll.qlCalendarAdvance(Calendar,Z2824,NDays&amp;"D")</f>
        <v>58994</v>
      </c>
      <c r="AB2824" s="92">
        <v>1.2123183324265673E-2</v>
      </c>
      <c r="AC2824" s="101">
        <v>1.2273381518381754E-2</v>
      </c>
    </row>
    <row r="2825" spans="25:29" x14ac:dyDescent="0.2">
      <c r="Y2825" s="105" t="str">
        <f t="shared" si="77"/>
        <v>1w</v>
      </c>
      <c r="Z2825" s="93">
        <f>_xll.qlCalendarAdvance(Calendar,Z2824,Y2825,"f",FALSE)</f>
        <v>58999</v>
      </c>
      <c r="AA2825" s="117">
        <f>_xll.qlCalendarAdvance(Calendar,Z2825,NDays&amp;"D")</f>
        <v>59001</v>
      </c>
      <c r="AB2825" s="92">
        <v>1.2109646384739787E-2</v>
      </c>
      <c r="AC2825" s="101">
        <v>1.2257873195355984E-2</v>
      </c>
    </row>
    <row r="2826" spans="25:29" x14ac:dyDescent="0.2">
      <c r="Y2826" s="105" t="str">
        <f t="shared" si="77"/>
        <v>1w</v>
      </c>
      <c r="Z2826" s="93">
        <f>_xll.qlCalendarAdvance(Calendar,Z2825,Y2826,"f",FALSE)</f>
        <v>59006</v>
      </c>
      <c r="AA2826" s="117">
        <f>_xll.qlCalendarAdvance(Calendar,Z2826,NDays&amp;"D")</f>
        <v>59008</v>
      </c>
      <c r="AB2826" s="92">
        <v>1.2096266030144298E-2</v>
      </c>
      <c r="AC2826" s="101">
        <v>1.2242520397203194E-2</v>
      </c>
    </row>
    <row r="2827" spans="25:29" x14ac:dyDescent="0.2">
      <c r="Y2827" s="105" t="str">
        <f t="shared" si="77"/>
        <v>1w</v>
      </c>
      <c r="Z2827" s="93">
        <f>_xll.qlCalendarAdvance(Calendar,Z2826,Y2827,"f",FALSE)</f>
        <v>59013</v>
      </c>
      <c r="AA2827" s="117">
        <f>_xll.qlCalendarAdvance(Calendar,Z2827,NDays&amp;"D")</f>
        <v>59015</v>
      </c>
      <c r="AB2827" s="92">
        <v>1.2083042257251684E-2</v>
      </c>
      <c r="AC2827" s="101">
        <v>1.2227323123923384E-2</v>
      </c>
    </row>
    <row r="2828" spans="25:29" x14ac:dyDescent="0.2">
      <c r="Y2828" s="105" t="str">
        <f t="shared" si="77"/>
        <v>1w</v>
      </c>
      <c r="Z2828" s="93">
        <f>_xll.qlCalendarAdvance(Calendar,Z2827,Y2828,"f",FALSE)</f>
        <v>59020</v>
      </c>
      <c r="AA2828" s="117">
        <f>_xll.qlCalendarAdvance(Calendar,Z2828,NDays&amp;"D")</f>
        <v>59022</v>
      </c>
      <c r="AB2828" s="92">
        <v>1.2069975062874813E-2</v>
      </c>
      <c r="AC2828" s="101">
        <v>1.2212281375516554E-2</v>
      </c>
    </row>
    <row r="2829" spans="25:29" x14ac:dyDescent="0.2">
      <c r="Y2829" s="105" t="str">
        <f t="shared" si="77"/>
        <v>1w</v>
      </c>
      <c r="Z2829" s="93">
        <f>_xll.qlCalendarAdvance(Calendar,Z2828,Y2829,"f",FALSE)</f>
        <v>59027</v>
      </c>
      <c r="AA2829" s="117">
        <f>_xll.qlCalendarAdvance(Calendar,Z2829,NDays&amp;"D")</f>
        <v>59029</v>
      </c>
      <c r="AB2829" s="92">
        <v>1.2057064443862229E-2</v>
      </c>
      <c r="AC2829" s="101">
        <v>1.2197395151822832E-2</v>
      </c>
    </row>
    <row r="2830" spans="25:29" x14ac:dyDescent="0.2">
      <c r="Y2830" s="105" t="str">
        <f t="shared" si="77"/>
        <v>1w</v>
      </c>
      <c r="Z2830" s="93">
        <f>_xll.qlCalendarAdvance(Calendar,Z2829,Y2830,"f",FALSE)</f>
        <v>59034</v>
      </c>
      <c r="AA2830" s="117">
        <f>_xll.qlCalendarAdvance(Calendar,Z2830,NDays&amp;"D")</f>
        <v>59036</v>
      </c>
      <c r="AB2830" s="92">
        <v>1.2044310397102444E-2</v>
      </c>
      <c r="AC2830" s="101">
        <v>1.2182664452922154E-2</v>
      </c>
    </row>
    <row r="2831" spans="25:29" x14ac:dyDescent="0.2">
      <c r="Y2831" s="105" t="str">
        <f t="shared" si="77"/>
        <v>1w</v>
      </c>
      <c r="Z2831" s="93">
        <f>_xll.qlCalendarAdvance(Calendar,Z2830,Y2831,"f",FALSE)</f>
        <v>59041</v>
      </c>
      <c r="AA2831" s="117">
        <f>_xll.qlCalendarAdvance(Calendar,Z2831,NDays&amp;"D")</f>
        <v>59043</v>
      </c>
      <c r="AB2831" s="92">
        <v>1.2031712919519636E-2</v>
      </c>
      <c r="AC2831" s="101">
        <v>1.2168089278734584E-2</v>
      </c>
    </row>
    <row r="2832" spans="25:29" x14ac:dyDescent="0.2">
      <c r="Y2832" s="105" t="str">
        <f t="shared" si="77"/>
        <v>1w</v>
      </c>
      <c r="Z2832" s="93">
        <f>_xll.qlCalendarAdvance(Calendar,Z2831,Y2832,"f",FALSE)</f>
        <v>59048</v>
      </c>
      <c r="AA2832" s="117">
        <f>_xll.qlCalendarAdvance(Calendar,Z2832,NDays&amp;"D")</f>
        <v>59050</v>
      </c>
      <c r="AB2832" s="92">
        <v>1.2022451257947122E-2</v>
      </c>
      <c r="AC2832" s="101">
        <v>1.2153669629340058E-2</v>
      </c>
    </row>
    <row r="2833" spans="25:29" x14ac:dyDescent="0.2">
      <c r="Y2833" s="105" t="str">
        <f t="shared" si="77"/>
        <v>1w</v>
      </c>
      <c r="Z2833" s="93">
        <f>_xll.qlCalendarAdvance(Calendar,Z2832,Y2833,"f",FALSE)</f>
        <v>59055</v>
      </c>
      <c r="AA2833" s="117">
        <f>_xll.qlCalendarAdvance(Calendar,Z2833,NDays&amp;"D")</f>
        <v>59057</v>
      </c>
      <c r="AB2833" s="92">
        <v>1.2010113049260784E-2</v>
      </c>
      <c r="AC2833" s="101">
        <v>1.2139405504578704E-2</v>
      </c>
    </row>
    <row r="2834" spans="25:29" x14ac:dyDescent="0.2">
      <c r="Y2834" s="105" t="str">
        <f t="shared" si="77"/>
        <v>1w</v>
      </c>
      <c r="Z2834" s="93">
        <f>_xll.qlCalendarAdvance(Calendar,Z2833,Y2834,"f",FALSE)</f>
        <v>59062</v>
      </c>
      <c r="AA2834" s="117">
        <f>_xll.qlCalendarAdvance(Calendar,Z2834,NDays&amp;"D")</f>
        <v>59064</v>
      </c>
      <c r="AB2834" s="92">
        <v>1.1997931373676949E-2</v>
      </c>
      <c r="AC2834" s="101">
        <v>1.2125296904610394E-2</v>
      </c>
    </row>
    <row r="2835" spans="25:29" x14ac:dyDescent="0.2">
      <c r="Y2835" s="105" t="str">
        <f t="shared" si="77"/>
        <v>1w</v>
      </c>
      <c r="Z2835" s="93">
        <f>_xll.qlCalendarAdvance(Calendar,Z2834,Y2835,"f",FALSE)</f>
        <v>59069</v>
      </c>
      <c r="AA2835" s="117">
        <f>_xll.qlCalendarAdvance(Calendar,Z2835,NDays&amp;"D")</f>
        <v>59071</v>
      </c>
      <c r="AB2835" s="92">
        <v>1.1985906228337348E-2</v>
      </c>
      <c r="AC2835" s="101">
        <v>1.2111343829355192E-2</v>
      </c>
    </row>
    <row r="2836" spans="25:29" x14ac:dyDescent="0.2">
      <c r="Y2836" s="105" t="str">
        <f t="shared" si="77"/>
        <v>1w</v>
      </c>
      <c r="Z2836" s="93">
        <f>_xll.qlCalendarAdvance(Calendar,Z2835,Y2836,"f",FALSE)</f>
        <v>59076</v>
      </c>
      <c r="AA2836" s="117">
        <f>_xll.qlCalendarAdvance(Calendar,Z2836,NDays&amp;"D")</f>
        <v>59078</v>
      </c>
      <c r="AB2836" s="92">
        <v>1.1974037610421259E-2</v>
      </c>
      <c r="AC2836" s="101">
        <v>1.2097546278653226E-2</v>
      </c>
    </row>
    <row r="2837" spans="25:29" x14ac:dyDescent="0.2">
      <c r="Y2837" s="105" t="str">
        <f t="shared" ref="Y2837:Y2900" si="78">Y2836</f>
        <v>1w</v>
      </c>
      <c r="Z2837" s="93">
        <f>_xll.qlCalendarAdvance(Calendar,Z2836,Y2837,"f",FALSE)</f>
        <v>59083</v>
      </c>
      <c r="AA2837" s="117">
        <f>_xll.qlCalendarAdvance(Calendar,Z2837,NDays&amp;"D")</f>
        <v>59085</v>
      </c>
      <c r="AB2837" s="92">
        <v>1.1961741546877959E-2</v>
      </c>
      <c r="AC2837" s="101">
        <v>1.2083904252664368E-2</v>
      </c>
    </row>
    <row r="2838" spans="25:29" x14ac:dyDescent="0.2">
      <c r="Y2838" s="105" t="str">
        <f t="shared" si="78"/>
        <v>1w</v>
      </c>
      <c r="Z2838" s="93">
        <f>_xll.qlCalendarAdvance(Calendar,Z2837,Y2838,"f",FALSE)</f>
        <v>59090</v>
      </c>
      <c r="AA2838" s="117">
        <f>_xll.qlCalendarAdvance(Calendar,Z2838,NDays&amp;"D")</f>
        <v>59092</v>
      </c>
      <c r="AB2838" s="92">
        <v>1.1950196772991197E-2</v>
      </c>
      <c r="AC2838" s="101">
        <v>1.2070417751228746E-2</v>
      </c>
    </row>
    <row r="2839" spans="25:29" x14ac:dyDescent="0.2">
      <c r="Y2839" s="105" t="str">
        <f t="shared" si="78"/>
        <v>1w</v>
      </c>
      <c r="Z2839" s="93">
        <f>_xll.qlCalendarAdvance(Calendar,Z2838,Y2839,"f",FALSE)</f>
        <v>59097</v>
      </c>
      <c r="AA2839" s="117">
        <f>_xll.qlCalendarAdvance(Calendar,Z2839,NDays&amp;"D")</f>
        <v>59099</v>
      </c>
      <c r="AB2839" s="92">
        <v>1.1938808523639743E-2</v>
      </c>
      <c r="AC2839" s="101">
        <v>1.2057086774426296E-2</v>
      </c>
    </row>
    <row r="2840" spans="25:29" x14ac:dyDescent="0.2">
      <c r="Y2840" s="105" t="str">
        <f t="shared" si="78"/>
        <v>1w</v>
      </c>
      <c r="Z2840" s="93">
        <f>_xll.qlCalendarAdvance(Calendar,Z2839,Y2840,"f",FALSE)</f>
        <v>59104</v>
      </c>
      <c r="AA2840" s="117">
        <f>_xll.qlCalendarAdvance(Calendar,Z2840,NDays&amp;"D")</f>
        <v>59106</v>
      </c>
      <c r="AB2840" s="92">
        <v>1.192757679613652E-2</v>
      </c>
      <c r="AC2840" s="101">
        <v>1.2043911322257017E-2</v>
      </c>
    </row>
    <row r="2841" spans="25:29" x14ac:dyDescent="0.2">
      <c r="Y2841" s="105" t="str">
        <f t="shared" si="78"/>
        <v>1w</v>
      </c>
      <c r="Z2841" s="93">
        <f>_xll.qlCalendarAdvance(Calendar,Z2840,Y2841,"f",FALSE)</f>
        <v>59111</v>
      </c>
      <c r="AA2841" s="117">
        <f>_xll.qlCalendarAdvance(Calendar,Z2841,NDays&amp;"D")</f>
        <v>59113</v>
      </c>
      <c r="AB2841" s="92">
        <v>1.1917042336023293E-2</v>
      </c>
      <c r="AC2841" s="101">
        <v>1.2030891394640975E-2</v>
      </c>
    </row>
    <row r="2842" spans="25:29" x14ac:dyDescent="0.2">
      <c r="Y2842" s="105" t="str">
        <f t="shared" si="78"/>
        <v>1w</v>
      </c>
      <c r="Z2842" s="93">
        <f>_xll.qlCalendarAdvance(Calendar,Z2841,Y2842,"f",FALSE)</f>
        <v>59118</v>
      </c>
      <c r="AA2842" s="117">
        <f>_xll.qlCalendarAdvance(Calendar,Z2842,NDays&amp;"D")</f>
        <v>59120</v>
      </c>
      <c r="AB2842" s="92">
        <v>1.1906112825459969E-2</v>
      </c>
      <c r="AC2842" s="101">
        <v>1.2018026991658104E-2</v>
      </c>
    </row>
    <row r="2843" spans="25:29" x14ac:dyDescent="0.2">
      <c r="Y2843" s="105" t="str">
        <f t="shared" si="78"/>
        <v>1w</v>
      </c>
      <c r="Z2843" s="93">
        <f>_xll.qlCalendarAdvance(Calendar,Z2842,Y2843,"f",FALSE)</f>
        <v>59125</v>
      </c>
      <c r="AA2843" s="117">
        <f>_xll.qlCalendarAdvance(Calendar,Z2843,NDays&amp;"D")</f>
        <v>59127</v>
      </c>
      <c r="AB2843" s="92">
        <v>1.1895339823599659E-2</v>
      </c>
      <c r="AC2843" s="101">
        <v>1.2005318112988661E-2</v>
      </c>
    </row>
    <row r="2844" spans="25:29" x14ac:dyDescent="0.2">
      <c r="Y2844" s="105" t="str">
        <f t="shared" si="78"/>
        <v>1w</v>
      </c>
      <c r="Z2844" s="93">
        <f>_xll.qlCalendarAdvance(Calendar,Z2843,Y2844,"f",FALSE)</f>
        <v>59132</v>
      </c>
      <c r="AA2844" s="117">
        <f>_xll.qlCalendarAdvance(Calendar,Z2844,NDays&amp;"D")</f>
        <v>59134</v>
      </c>
      <c r="AB2844" s="92">
        <v>1.1884723327915321E-2</v>
      </c>
      <c r="AC2844" s="101">
        <v>1.1992764759032326E-2</v>
      </c>
    </row>
    <row r="2845" spans="25:29" x14ac:dyDescent="0.2">
      <c r="Y2845" s="105" t="str">
        <f t="shared" si="78"/>
        <v>1w</v>
      </c>
      <c r="Z2845" s="93">
        <f>_xll.qlCalendarAdvance(Calendar,Z2844,Y2845,"f",FALSE)</f>
        <v>59139</v>
      </c>
      <c r="AA2845" s="117">
        <f>_xll.qlCalendarAdvance(Calendar,Z2845,NDays&amp;"D")</f>
        <v>59141</v>
      </c>
      <c r="AB2845" s="92">
        <v>1.1873765894902272E-2</v>
      </c>
      <c r="AC2845" s="101">
        <v>1.1980366929549291E-2</v>
      </c>
    </row>
    <row r="2846" spans="25:29" x14ac:dyDescent="0.2">
      <c r="Y2846" s="105" t="str">
        <f t="shared" si="78"/>
        <v>1w</v>
      </c>
      <c r="Z2846" s="93">
        <f>_xll.qlCalendarAdvance(Calendar,Z2845,Y2846,"f",FALSE)</f>
        <v>59146</v>
      </c>
      <c r="AA2846" s="117">
        <f>_xll.qlCalendarAdvance(Calendar,Z2846,NDays&amp;"D")</f>
        <v>59148</v>
      </c>
      <c r="AB2846" s="92">
        <v>1.1863473244140691E-2</v>
      </c>
      <c r="AC2846" s="101">
        <v>1.1968124624539556E-2</v>
      </c>
    </row>
    <row r="2847" spans="25:29" x14ac:dyDescent="0.2">
      <c r="Y2847" s="105" t="str">
        <f t="shared" si="78"/>
        <v>1w</v>
      </c>
      <c r="Z2847" s="93">
        <f>_xll.qlCalendarAdvance(Calendar,Z2846,Y2847,"f",FALSE)</f>
        <v>59153</v>
      </c>
      <c r="AA2847" s="117">
        <f>_xll.qlCalendarAdvance(Calendar,Z2847,NDays&amp;"D")</f>
        <v>59155</v>
      </c>
      <c r="AB2847" s="92">
        <v>1.1853337097455624E-2</v>
      </c>
      <c r="AC2847" s="101">
        <v>1.1956037844083056E-2</v>
      </c>
    </row>
    <row r="2848" spans="25:29" x14ac:dyDescent="0.2">
      <c r="Y2848" s="105" t="str">
        <f t="shared" si="78"/>
        <v>1w</v>
      </c>
      <c r="Z2848" s="93">
        <f>_xll.qlCalendarAdvance(Calendar,Z2847,Y2848,"f",FALSE)</f>
        <v>59160</v>
      </c>
      <c r="AA2848" s="117">
        <f>_xll.qlCalendarAdvance(Calendar,Z2848,NDays&amp;"D")</f>
        <v>59162</v>
      </c>
      <c r="AB2848" s="92">
        <v>1.1843357452456012E-2</v>
      </c>
      <c r="AC2848" s="101">
        <v>1.1944106588099856E-2</v>
      </c>
    </row>
    <row r="2849" spans="25:29" x14ac:dyDescent="0.2">
      <c r="Y2849" s="105" t="str">
        <f t="shared" si="78"/>
        <v>1w</v>
      </c>
      <c r="Z2849" s="93">
        <f>_xll.qlCalendarAdvance(Calendar,Z2848,Y2849,"f",FALSE)</f>
        <v>59167</v>
      </c>
      <c r="AA2849" s="117">
        <f>_xll.qlCalendarAdvance(Calendar,Z2849,NDays&amp;"D")</f>
        <v>59169</v>
      </c>
      <c r="AB2849" s="92">
        <v>1.1833534306788577E-2</v>
      </c>
      <c r="AC2849" s="101">
        <v>1.1932330856430085E-2</v>
      </c>
    </row>
    <row r="2850" spans="25:29" x14ac:dyDescent="0.2">
      <c r="Y2850" s="105" t="str">
        <f t="shared" si="78"/>
        <v>1w</v>
      </c>
      <c r="Z2850" s="93">
        <f>_xll.qlCalendarAdvance(Calendar,Z2849,Y2850,"f",FALSE)</f>
        <v>59174</v>
      </c>
      <c r="AA2850" s="117">
        <f>_xll.qlCalendarAdvance(Calendar,Z2850,NDays&amp;"D")</f>
        <v>59176</v>
      </c>
      <c r="AB2850" s="92">
        <v>1.1824310846601249E-2</v>
      </c>
      <c r="AC2850" s="101">
        <v>1.1920710649153676E-2</v>
      </c>
    </row>
    <row r="2851" spans="25:29" x14ac:dyDescent="0.2">
      <c r="Y2851" s="105" t="str">
        <f t="shared" si="78"/>
        <v>1w</v>
      </c>
      <c r="Z2851" s="93">
        <f>_xll.qlCalendarAdvance(Calendar,Z2850,Y2851,"f",FALSE)</f>
        <v>59181</v>
      </c>
      <c r="AA2851" s="117">
        <f>_xll.qlCalendarAdvance(Calendar,Z2851,NDays&amp;"D")</f>
        <v>59183</v>
      </c>
      <c r="AB2851" s="92">
        <v>1.1814789826467628E-2</v>
      </c>
      <c r="AC2851" s="101">
        <v>1.1909245966430504E-2</v>
      </c>
    </row>
    <row r="2852" spans="25:29" x14ac:dyDescent="0.2">
      <c r="Y2852" s="105" t="str">
        <f t="shared" si="78"/>
        <v>1w</v>
      </c>
      <c r="Z2852" s="93">
        <f>_xll.qlCalendarAdvance(Calendar,Z2851,Y2852,"f",FALSE)</f>
        <v>59188</v>
      </c>
      <c r="AA2852" s="117">
        <f>_xll.qlCalendarAdvance(Calendar,Z2852,NDays&amp;"D")</f>
        <v>59190</v>
      </c>
      <c r="AB2852" s="92">
        <v>1.1805425293612389E-2</v>
      </c>
      <c r="AC2852" s="101">
        <v>1.1897936808020759E-2</v>
      </c>
    </row>
    <row r="2853" spans="25:29" x14ac:dyDescent="0.2">
      <c r="Y2853" s="105" t="str">
        <f t="shared" si="78"/>
        <v>1w</v>
      </c>
      <c r="Z2853" s="93">
        <f>_xll.qlCalendarAdvance(Calendar,Z2852,Y2853,"f",FALSE)</f>
        <v>59195</v>
      </c>
      <c r="AA2853" s="117">
        <f>_xll.qlCalendarAdvance(Calendar,Z2853,NDays&amp;"D")</f>
        <v>59197</v>
      </c>
      <c r="AB2853" s="92">
        <v>1.1796217245840164E-2</v>
      </c>
      <c r="AC2853" s="101">
        <v>1.1886783174004378E-2</v>
      </c>
    </row>
    <row r="2854" spans="25:29" x14ac:dyDescent="0.2">
      <c r="Y2854" s="105" t="str">
        <f t="shared" si="78"/>
        <v>1w</v>
      </c>
      <c r="Z2854" s="93">
        <f>_xll.qlCalendarAdvance(Calendar,Z2853,Y2854,"f",FALSE)</f>
        <v>59202</v>
      </c>
      <c r="AA2854" s="117">
        <f>_xll.qlCalendarAdvance(Calendar,Z2854,NDays&amp;"D")</f>
        <v>59204</v>
      </c>
      <c r="AB2854" s="92">
        <v>1.1787165680989146E-2</v>
      </c>
      <c r="AC2854" s="101">
        <v>1.1875785064381361E-2</v>
      </c>
    </row>
    <row r="2855" spans="25:29" x14ac:dyDescent="0.2">
      <c r="Y2855" s="105" t="str">
        <f t="shared" si="78"/>
        <v>1w</v>
      </c>
      <c r="Z2855" s="93">
        <f>_xll.qlCalendarAdvance(Calendar,Z2854,Y2855,"f",FALSE)</f>
        <v>59209</v>
      </c>
      <c r="AA2855" s="117">
        <f>_xll.qlCalendarAdvance(Calendar,Z2855,NDays&amp;"D")</f>
        <v>59211</v>
      </c>
      <c r="AB2855" s="92">
        <v>1.1778270596937274E-2</v>
      </c>
      <c r="AC2855" s="101">
        <v>1.1864942479071772E-2</v>
      </c>
    </row>
    <row r="2856" spans="25:29" x14ac:dyDescent="0.2">
      <c r="Y2856" s="105" t="str">
        <f t="shared" si="78"/>
        <v>1w</v>
      </c>
      <c r="Z2856" s="93">
        <f>_xll.qlCalendarAdvance(Calendar,Z2855,Y2856,"f",FALSE)</f>
        <v>59216</v>
      </c>
      <c r="AA2856" s="117">
        <f>_xll.qlCalendarAdvance(Calendar,Z2856,NDays&amp;"D")</f>
        <v>59218</v>
      </c>
      <c r="AB2856" s="92">
        <v>1.176953199159694E-2</v>
      </c>
      <c r="AC2856" s="101">
        <v>1.1854255418315418E-2</v>
      </c>
    </row>
    <row r="2857" spans="25:29" x14ac:dyDescent="0.2">
      <c r="Y2857" s="105" t="str">
        <f t="shared" si="78"/>
        <v>1w</v>
      </c>
      <c r="Z2857" s="93">
        <f>_xll.qlCalendarAdvance(Calendar,Z2856,Y2857,"f",FALSE)</f>
        <v>59223</v>
      </c>
      <c r="AA2857" s="117">
        <f>_xll.qlCalendarAdvance(Calendar,Z2857,NDays&amp;"D")</f>
        <v>59225</v>
      </c>
      <c r="AB2857" s="92">
        <v>1.1760949862918065E-2</v>
      </c>
      <c r="AC2857" s="101">
        <v>1.1843723881552748E-2</v>
      </c>
    </row>
    <row r="2858" spans="25:29" x14ac:dyDescent="0.2">
      <c r="Y2858" s="105" t="str">
        <f t="shared" si="78"/>
        <v>1w</v>
      </c>
      <c r="Z2858" s="93">
        <f>_xll.qlCalendarAdvance(Calendar,Z2857,Y2858,"f",FALSE)</f>
        <v>59230</v>
      </c>
      <c r="AA2858" s="117">
        <f>_xll.qlCalendarAdvance(Calendar,Z2858,NDays&amp;"D")</f>
        <v>59232</v>
      </c>
      <c r="AB2858" s="92">
        <v>1.1750753972530694E-2</v>
      </c>
      <c r="AC2858" s="101">
        <v>1.1833347869343314E-2</v>
      </c>
    </row>
    <row r="2859" spans="25:29" x14ac:dyDescent="0.2">
      <c r="Y2859" s="105" t="str">
        <f t="shared" si="78"/>
        <v>1w</v>
      </c>
      <c r="Z2859" s="93">
        <f>_xll.qlCalendarAdvance(Calendar,Z2858,Y2859,"f",FALSE)</f>
        <v>59237</v>
      </c>
      <c r="AA2859" s="117">
        <f>_xll.qlCalendarAdvance(Calendar,Z2859,NDays&amp;"D")</f>
        <v>59239</v>
      </c>
      <c r="AB2859" s="92">
        <v>1.1742539336754359E-2</v>
      </c>
      <c r="AC2859" s="101">
        <v>1.1823127381447307E-2</v>
      </c>
    </row>
    <row r="2860" spans="25:29" x14ac:dyDescent="0.2">
      <c r="Y2860" s="105" t="str">
        <f t="shared" si="78"/>
        <v>1w</v>
      </c>
      <c r="Z2860" s="93">
        <f>_xll.qlCalendarAdvance(Calendar,Z2859,Y2860,"f",FALSE)</f>
        <v>59244</v>
      </c>
      <c r="AA2860" s="117">
        <f>_xll.qlCalendarAdvance(Calendar,Z2860,NDays&amp;"D")</f>
        <v>59246</v>
      </c>
      <c r="AB2860" s="92">
        <v>1.1734481197403304E-2</v>
      </c>
      <c r="AC2860" s="101">
        <v>1.1813062417784792E-2</v>
      </c>
    </row>
    <row r="2861" spans="25:29" x14ac:dyDescent="0.2">
      <c r="Y2861" s="105" t="str">
        <f t="shared" si="78"/>
        <v>1w</v>
      </c>
      <c r="Z2861" s="93">
        <f>_xll.qlCalendarAdvance(Calendar,Z2860,Y2861,"f",FALSE)</f>
        <v>59251</v>
      </c>
      <c r="AA2861" s="117">
        <f>_xll.qlCalendarAdvance(Calendar,Z2861,NDays&amp;"D")</f>
        <v>59253</v>
      </c>
      <c r="AB2861" s="92">
        <v>1.1726579552533279E-2</v>
      </c>
      <c r="AC2861" s="101">
        <v>1.1801127076765283E-2</v>
      </c>
    </row>
    <row r="2862" spans="25:29" x14ac:dyDescent="0.2">
      <c r="Y2862" s="105" t="str">
        <f t="shared" si="78"/>
        <v>1w</v>
      </c>
      <c r="Z2862" s="93">
        <f>_xll.qlCalendarAdvance(Calendar,Z2861,Y2862,"f",FALSE)</f>
        <v>59258</v>
      </c>
      <c r="AA2862" s="117">
        <f>_xll.qlCalendarAdvance(Calendar,Z2862,NDays&amp;"D")</f>
        <v>59260</v>
      </c>
      <c r="AB2862" s="92">
        <v>1.1719762432271179E-2</v>
      </c>
      <c r="AC2862" s="101">
        <v>1.1793399063080301E-2</v>
      </c>
    </row>
    <row r="2863" spans="25:29" x14ac:dyDescent="0.2">
      <c r="Y2863" s="105" t="str">
        <f t="shared" si="78"/>
        <v>1w</v>
      </c>
      <c r="Z2863" s="93">
        <f>_xll.qlCalendarAdvance(Calendar,Z2862,Y2863,"f",FALSE)</f>
        <v>59265</v>
      </c>
      <c r="AA2863" s="117">
        <f>_xll.qlCalendarAdvance(Calendar,Z2863,NDays&amp;"D")</f>
        <v>59267</v>
      </c>
      <c r="AB2863" s="92">
        <v>1.1712140979632347E-2</v>
      </c>
      <c r="AC2863" s="101">
        <v>1.1783800672278133E-2</v>
      </c>
    </row>
    <row r="2864" spans="25:29" x14ac:dyDescent="0.2">
      <c r="Y2864" s="105" t="str">
        <f t="shared" si="78"/>
        <v>1w</v>
      </c>
      <c r="Z2864" s="93">
        <f>_xll.qlCalendarAdvance(Calendar,Z2863,Y2864,"f",FALSE)</f>
        <v>59272</v>
      </c>
      <c r="AA2864" s="117">
        <f>_xll.qlCalendarAdvance(Calendar,Z2864,NDays&amp;"D")</f>
        <v>59274</v>
      </c>
      <c r="AB2864" s="92">
        <v>1.1704676000552434E-2</v>
      </c>
      <c r="AC2864" s="101">
        <v>1.1774357805549585E-2</v>
      </c>
    </row>
    <row r="2865" spans="25:29" x14ac:dyDescent="0.2">
      <c r="Y2865" s="105" t="str">
        <f t="shared" si="78"/>
        <v>1w</v>
      </c>
      <c r="Z2865" s="93">
        <f>_xll.qlCalendarAdvance(Calendar,Z2864,Y2865,"f",FALSE)</f>
        <v>59279</v>
      </c>
      <c r="AA2865" s="117">
        <f>_xll.qlCalendarAdvance(Calendar,Z2865,NDays&amp;"D")</f>
        <v>59281</v>
      </c>
      <c r="AB2865" s="92">
        <v>1.1697367493260179E-2</v>
      </c>
      <c r="AC2865" s="101">
        <v>1.1765070463054528E-2</v>
      </c>
    </row>
    <row r="2866" spans="25:29" x14ac:dyDescent="0.2">
      <c r="Y2866" s="105" t="str">
        <f t="shared" si="78"/>
        <v>1w</v>
      </c>
      <c r="Z2866" s="93">
        <f>_xll.qlCalendarAdvance(Calendar,Z2865,Y2866,"f",FALSE)</f>
        <v>59286</v>
      </c>
      <c r="AA2866" s="117">
        <f>_xll.qlCalendarAdvance(Calendar,Z2866,NDays&amp;"D")</f>
        <v>59288</v>
      </c>
      <c r="AB2866" s="92">
        <v>1.1690215456024071E-2</v>
      </c>
      <c r="AC2866" s="101">
        <v>1.1755938644872899E-2</v>
      </c>
    </row>
    <row r="2867" spans="25:29" x14ac:dyDescent="0.2">
      <c r="Y2867" s="105" t="str">
        <f t="shared" si="78"/>
        <v>1w</v>
      </c>
      <c r="Z2867" s="93">
        <f>_xll.qlCalendarAdvance(Calendar,Z2866,Y2867,"f",FALSE)</f>
        <v>59293</v>
      </c>
      <c r="AA2867" s="117">
        <f>_xll.qlCalendarAdvance(Calendar,Z2867,NDays&amp;"D")</f>
        <v>59295</v>
      </c>
      <c r="AB2867" s="92">
        <v>1.1682455963417515E-2</v>
      </c>
      <c r="AC2867" s="101">
        <v>1.1746962350844825E-2</v>
      </c>
    </row>
    <row r="2868" spans="25:29" x14ac:dyDescent="0.2">
      <c r="Y2868" s="105" t="str">
        <f t="shared" si="78"/>
        <v>1w</v>
      </c>
      <c r="Z2868" s="93">
        <f>_xll.qlCalendarAdvance(Calendar,Z2867,Y2868,"f",FALSE)</f>
        <v>59300</v>
      </c>
      <c r="AA2868" s="117">
        <f>_xll.qlCalendarAdvance(Calendar,Z2868,NDays&amp;"D")</f>
        <v>59302</v>
      </c>
      <c r="AB2868" s="92">
        <v>1.1675649728701902E-2</v>
      </c>
      <c r="AC2868" s="101">
        <v>1.1738141580970307E-2</v>
      </c>
    </row>
    <row r="2869" spans="25:29" x14ac:dyDescent="0.2">
      <c r="Y2869" s="105" t="str">
        <f t="shared" si="78"/>
        <v>1w</v>
      </c>
      <c r="Z2869" s="93">
        <f>_xll.qlCalendarAdvance(Calendar,Z2868,Y2869,"f",FALSE)</f>
        <v>59307</v>
      </c>
      <c r="AA2869" s="117">
        <f>_xll.qlCalendarAdvance(Calendar,Z2869,NDays&amp;"D")</f>
        <v>59309</v>
      </c>
      <c r="AB2869" s="92">
        <v>1.1668999974285974E-2</v>
      </c>
      <c r="AC2869" s="101">
        <v>1.1729476335249345E-2</v>
      </c>
    </row>
    <row r="2870" spans="25:29" x14ac:dyDescent="0.2">
      <c r="Y2870" s="105" t="str">
        <f t="shared" si="78"/>
        <v>1w</v>
      </c>
      <c r="Z2870" s="93">
        <f>_xll.qlCalendarAdvance(Calendar,Z2869,Y2870,"f",FALSE)</f>
        <v>59314</v>
      </c>
      <c r="AA2870" s="117">
        <f>_xll.qlCalendarAdvance(Calendar,Z2870,NDays&amp;"D")</f>
        <v>59316</v>
      </c>
      <c r="AB2870" s="92">
        <v>1.1662506698567573E-2</v>
      </c>
      <c r="AC2870" s="101">
        <v>1.1720966613921746E-2</v>
      </c>
    </row>
    <row r="2871" spans="25:29" x14ac:dyDescent="0.2">
      <c r="Y2871" s="105" t="str">
        <f t="shared" si="78"/>
        <v>1w</v>
      </c>
      <c r="Z2871" s="93">
        <f>_xll.qlCalendarAdvance(Calendar,Z2870,Y2871,"f",FALSE)</f>
        <v>59321</v>
      </c>
      <c r="AA2871" s="117">
        <f>_xll.qlCalendarAdvance(Calendar,Z2871,NDays&amp;"D")</f>
        <v>59323</v>
      </c>
      <c r="AB2871" s="92">
        <v>1.1656802262595372E-2</v>
      </c>
      <c r="AC2871" s="101">
        <v>1.1712612416507895E-2</v>
      </c>
    </row>
    <row r="2872" spans="25:29" x14ac:dyDescent="0.2">
      <c r="Y2872" s="105" t="str">
        <f t="shared" si="78"/>
        <v>1w</v>
      </c>
      <c r="Z2872" s="93">
        <f>_xll.qlCalendarAdvance(Calendar,Z2871,Y2872,"f",FALSE)</f>
        <v>59328</v>
      </c>
      <c r="AA2872" s="117">
        <f>_xll.qlCalendarAdvance(Calendar,Z2872,NDays&amp;"D")</f>
        <v>59330</v>
      </c>
      <c r="AB2872" s="92">
        <v>1.1650589011365136E-2</v>
      </c>
      <c r="AC2872" s="101">
        <v>1.1704413743247599E-2</v>
      </c>
    </row>
    <row r="2873" spans="25:29" x14ac:dyDescent="0.2">
      <c r="Y2873" s="105" t="str">
        <f t="shared" si="78"/>
        <v>1w</v>
      </c>
      <c r="Z2873" s="93">
        <f>_xll.qlCalendarAdvance(Calendar,Z2872,Y2873,"f",FALSE)</f>
        <v>59335</v>
      </c>
      <c r="AA2873" s="117">
        <f>_xll.qlCalendarAdvance(Calendar,Z2873,NDays&amp;"D")</f>
        <v>59337</v>
      </c>
      <c r="AB2873" s="92">
        <v>1.1644532219096098E-2</v>
      </c>
      <c r="AC2873" s="101">
        <v>1.1696370594300731E-2</v>
      </c>
    </row>
    <row r="2874" spans="25:29" x14ac:dyDescent="0.2">
      <c r="Y2874" s="105" t="str">
        <f t="shared" si="78"/>
        <v>1w</v>
      </c>
      <c r="Z2874" s="93">
        <f>_xll.qlCalendarAdvance(Calendar,Z2873,Y2874,"f",FALSE)</f>
        <v>59342</v>
      </c>
      <c r="AA2874" s="117">
        <f>_xll.qlCalendarAdvance(Calendar,Z2874,NDays&amp;"D")</f>
        <v>59344</v>
      </c>
      <c r="AB2874" s="92">
        <v>1.1638631884350718E-2</v>
      </c>
      <c r="AC2874" s="101">
        <v>1.1688482969347547E-2</v>
      </c>
    </row>
    <row r="2875" spans="25:29" x14ac:dyDescent="0.2">
      <c r="Y2875" s="105" t="str">
        <f t="shared" si="78"/>
        <v>1w</v>
      </c>
      <c r="Z2875" s="93">
        <f>_xll.qlCalendarAdvance(Calendar,Z2874,Y2875,"f",FALSE)</f>
        <v>59349</v>
      </c>
      <c r="AA2875" s="117">
        <f>_xll.qlCalendarAdvance(Calendar,Z2875,NDays&amp;"D")</f>
        <v>59351</v>
      </c>
      <c r="AB2875" s="92">
        <v>1.1632888005729022E-2</v>
      </c>
      <c r="AC2875" s="101">
        <v>1.1680750868547918E-2</v>
      </c>
    </row>
    <row r="2876" spans="25:29" x14ac:dyDescent="0.2">
      <c r="Y2876" s="105" t="str">
        <f t="shared" si="78"/>
        <v>1w</v>
      </c>
      <c r="Z2876" s="93">
        <f>_xll.qlCalendarAdvance(Calendar,Z2875,Y2876,"f",FALSE)</f>
        <v>59356</v>
      </c>
      <c r="AA2876" s="117">
        <f>_xll.qlCalendarAdvance(Calendar,Z2876,NDays&amp;"D")</f>
        <v>59358</v>
      </c>
      <c r="AB2876" s="92">
        <v>1.1626833011873021E-2</v>
      </c>
      <c r="AC2876" s="101">
        <v>1.1673174291741972E-2</v>
      </c>
    </row>
    <row r="2877" spans="25:29" x14ac:dyDescent="0.2">
      <c r="Y2877" s="105" t="str">
        <f t="shared" si="78"/>
        <v>1w</v>
      </c>
      <c r="Z2877" s="93">
        <f>_xll.qlCalendarAdvance(Calendar,Z2876,Y2877,"f",FALSE)</f>
        <v>59363</v>
      </c>
      <c r="AA2877" s="117">
        <f>_xll.qlCalendarAdvance(Calendar,Z2877,NDays&amp;"D")</f>
        <v>59365</v>
      </c>
      <c r="AB2877" s="92">
        <v>1.1621435045316698E-2</v>
      </c>
      <c r="AC2877" s="101">
        <v>1.1665753239169518E-2</v>
      </c>
    </row>
    <row r="2878" spans="25:29" x14ac:dyDescent="0.2">
      <c r="Y2878" s="105" t="str">
        <f t="shared" si="78"/>
        <v>1w</v>
      </c>
      <c r="Z2878" s="93">
        <f>_xll.qlCalendarAdvance(Calendar,Z2877,Y2878,"f",FALSE)</f>
        <v>59370</v>
      </c>
      <c r="AA2878" s="117">
        <f>_xll.qlCalendarAdvance(Calendar,Z2878,NDays&amp;"D")</f>
        <v>59372</v>
      </c>
      <c r="AB2878" s="92">
        <v>1.1616193545991376E-2</v>
      </c>
      <c r="AC2878" s="101">
        <v>1.1658487710670684E-2</v>
      </c>
    </row>
    <row r="2879" spans="25:29" x14ac:dyDescent="0.2">
      <c r="Y2879" s="105" t="str">
        <f t="shared" si="78"/>
        <v>1w</v>
      </c>
      <c r="Z2879" s="93">
        <f>_xll.qlCalendarAdvance(Calendar,Z2878,Y2879,"f",FALSE)</f>
        <v>59377</v>
      </c>
      <c r="AA2879" s="117">
        <f>_xll.qlCalendarAdvance(Calendar,Z2879,NDays&amp;"D")</f>
        <v>59379</v>
      </c>
      <c r="AB2879" s="92">
        <v>1.1611108512632256E-2</v>
      </c>
      <c r="AC2879" s="101">
        <v>1.1651377706165533E-2</v>
      </c>
    </row>
    <row r="2880" spans="25:29" x14ac:dyDescent="0.2">
      <c r="Y2880" s="105" t="str">
        <f t="shared" si="78"/>
        <v>1w</v>
      </c>
      <c r="Z2880" s="93">
        <f>_xll.qlCalendarAdvance(Calendar,Z2879,Y2880,"f",FALSE)</f>
        <v>59384</v>
      </c>
      <c r="AA2880" s="117">
        <f>_xll.qlCalendarAdvance(Calendar,Z2880,NDays&amp;"D")</f>
        <v>59386</v>
      </c>
      <c r="AB2880" s="92">
        <v>1.1606179944015806E-2</v>
      </c>
      <c r="AC2880" s="101">
        <v>1.1644423225654066E-2</v>
      </c>
    </row>
    <row r="2881" spans="25:29" x14ac:dyDescent="0.2">
      <c r="Y2881" s="105" t="str">
        <f t="shared" si="78"/>
        <v>1w</v>
      </c>
      <c r="Z2881" s="93">
        <f>_xll.qlCalendarAdvance(Calendar,Z2880,Y2881,"f",FALSE)</f>
        <v>59391</v>
      </c>
      <c r="AA2881" s="117">
        <f>_xll.qlCalendarAdvance(Calendar,Z2881,NDays&amp;"D")</f>
        <v>59393</v>
      </c>
      <c r="AB2881" s="92">
        <v>1.1601407838951578E-2</v>
      </c>
      <c r="AC2881" s="101">
        <v>1.163762426937609E-2</v>
      </c>
    </row>
    <row r="2882" spans="25:29" x14ac:dyDescent="0.2">
      <c r="Y2882" s="105" t="str">
        <f t="shared" si="78"/>
        <v>1w</v>
      </c>
      <c r="Z2882" s="93">
        <f>_xll.qlCalendarAdvance(Calendar,Z2881,Y2882,"f",FALSE)</f>
        <v>59398</v>
      </c>
      <c r="AA2882" s="117">
        <f>_xll.qlCalendarAdvance(Calendar,Z2882,NDays&amp;"D")</f>
        <v>59400</v>
      </c>
      <c r="AB2882" s="92">
        <v>1.1596792196291244E-2</v>
      </c>
      <c r="AC2882" s="101">
        <v>1.1630980837091798E-2</v>
      </c>
    </row>
    <row r="2883" spans="25:29" x14ac:dyDescent="0.2">
      <c r="Y2883" s="105" t="str">
        <f t="shared" si="78"/>
        <v>1w</v>
      </c>
      <c r="Z2883" s="93">
        <f>_xll.qlCalendarAdvance(Calendar,Z2882,Y2883,"f",FALSE)</f>
        <v>59405</v>
      </c>
      <c r="AA2883" s="117">
        <f>_xll.qlCalendarAdvance(Calendar,Z2883,NDays&amp;"D")</f>
        <v>59407</v>
      </c>
      <c r="AB2883" s="92">
        <v>1.1592333014920424E-2</v>
      </c>
      <c r="AC2883" s="101">
        <v>1.1624492928801189E-2</v>
      </c>
    </row>
    <row r="2884" spans="25:29" x14ac:dyDescent="0.2">
      <c r="Y2884" s="105" t="str">
        <f t="shared" si="78"/>
        <v>1w</v>
      </c>
      <c r="Z2884" s="93">
        <f>_xll.qlCalendarAdvance(Calendar,Z2883,Y2884,"f",FALSE)</f>
        <v>59412</v>
      </c>
      <c r="AA2884" s="117">
        <f>_xll.qlCalendarAdvance(Calendar,Z2884,NDays&amp;"D")</f>
        <v>59414</v>
      </c>
      <c r="AB2884" s="92">
        <v>1.1588374082018345E-2</v>
      </c>
      <c r="AC2884" s="101">
        <v>1.16181605445842E-2</v>
      </c>
    </row>
    <row r="2885" spans="25:29" x14ac:dyDescent="0.2">
      <c r="Y2885" s="105" t="str">
        <f t="shared" si="78"/>
        <v>1w</v>
      </c>
      <c r="Z2885" s="93">
        <f>_xll.qlCalendarAdvance(Calendar,Z2884,Y2885,"f",FALSE)</f>
        <v>59419</v>
      </c>
      <c r="AA2885" s="117">
        <f>_xll.qlCalendarAdvance(Calendar,Z2885,NDays&amp;"D")</f>
        <v>59421</v>
      </c>
      <c r="AB2885" s="92">
        <v>1.1584172616601444E-2</v>
      </c>
      <c r="AC2885" s="101">
        <v>1.161198368444083E-2</v>
      </c>
    </row>
    <row r="2886" spans="25:29" x14ac:dyDescent="0.2">
      <c r="Y2886" s="105" t="str">
        <f t="shared" si="78"/>
        <v>1w</v>
      </c>
      <c r="Z2886" s="93">
        <f>_xll.qlCalendarAdvance(Calendar,Z2885,Y2886,"f",FALSE)</f>
        <v>59426</v>
      </c>
      <c r="AA2886" s="117">
        <f>_xll.qlCalendarAdvance(Calendar,Z2886,NDays&amp;"D")</f>
        <v>59428</v>
      </c>
      <c r="AB2886" s="92">
        <v>1.158012758436344E-2</v>
      </c>
      <c r="AC2886" s="101">
        <v>1.1605962348131271E-2</v>
      </c>
    </row>
    <row r="2887" spans="25:29" x14ac:dyDescent="0.2">
      <c r="Y2887" s="105" t="str">
        <f t="shared" si="78"/>
        <v>1w</v>
      </c>
      <c r="Z2887" s="93">
        <f>_xll.qlCalendarAdvance(Calendar,Z2886,Y2887,"f",FALSE)</f>
        <v>59433</v>
      </c>
      <c r="AA2887" s="117">
        <f>_xll.qlCalendarAdvance(Calendar,Z2887,NDays&amp;"D")</f>
        <v>59435</v>
      </c>
      <c r="AB2887" s="92">
        <v>1.1576238984355698E-2</v>
      </c>
      <c r="AC2887" s="101">
        <v>1.1600096535895332E-2</v>
      </c>
    </row>
    <row r="2888" spans="25:29" x14ac:dyDescent="0.2">
      <c r="Y2888" s="105" t="str">
        <f t="shared" si="78"/>
        <v>1w</v>
      </c>
      <c r="Z2888" s="93">
        <f>_xll.qlCalendarAdvance(Calendar,Z2887,Y2888,"f",FALSE)</f>
        <v>59440</v>
      </c>
      <c r="AA2888" s="117">
        <f>_xll.qlCalendarAdvance(Calendar,Z2888,NDays&amp;"D")</f>
        <v>59442</v>
      </c>
      <c r="AB2888" s="92">
        <v>1.157250681566536E-2</v>
      </c>
      <c r="AC2888" s="101">
        <v>1.1594386247733013E-2</v>
      </c>
    </row>
    <row r="2889" spans="25:29" x14ac:dyDescent="0.2">
      <c r="Y2889" s="105" t="str">
        <f t="shared" si="78"/>
        <v>1w</v>
      </c>
      <c r="Z2889" s="93">
        <f>_xll.qlCalendarAdvance(Calendar,Z2888,Y2889,"f",FALSE)</f>
        <v>59447</v>
      </c>
      <c r="AA2889" s="117">
        <f>_xll.qlCalendarAdvance(Calendar,Z2889,NDays&amp;"D")</f>
        <v>59449</v>
      </c>
      <c r="AB2889" s="92">
        <v>1.1568915462442427E-2</v>
      </c>
      <c r="AC2889" s="101">
        <v>1.1588831483564377E-2</v>
      </c>
    </row>
    <row r="2890" spans="25:29" x14ac:dyDescent="0.2">
      <c r="Y2890" s="105" t="str">
        <f t="shared" si="78"/>
        <v>1w</v>
      </c>
      <c r="Z2890" s="93">
        <f>_xll.qlCalendarAdvance(Calendar,Z2889,Y2890,"f",FALSE)</f>
        <v>59454</v>
      </c>
      <c r="AA2890" s="117">
        <f>_xll.qlCalendarAdvance(Calendar,Z2890,NDays&amp;"D")</f>
        <v>59456</v>
      </c>
      <c r="AB2890" s="92">
        <v>1.1565507218038363E-2</v>
      </c>
      <c r="AC2890" s="101">
        <v>1.1583432243309488E-2</v>
      </c>
    </row>
    <row r="2891" spans="25:29" x14ac:dyDescent="0.2">
      <c r="Y2891" s="105" t="str">
        <f t="shared" si="78"/>
        <v>1w</v>
      </c>
      <c r="Z2891" s="93">
        <f>_xll.qlCalendarAdvance(Calendar,Z2890,Y2891,"f",FALSE)</f>
        <v>59461</v>
      </c>
      <c r="AA2891" s="117">
        <f>_xll.qlCalendarAdvance(Calendar,Z2891,NDays&amp;"D")</f>
        <v>59463</v>
      </c>
      <c r="AB2891" s="92">
        <v>1.1562255407425934E-2</v>
      </c>
      <c r="AC2891" s="101">
        <v>1.1578188527208155E-2</v>
      </c>
    </row>
    <row r="2892" spans="25:29" x14ac:dyDescent="0.2">
      <c r="Y2892" s="105" t="str">
        <f t="shared" si="78"/>
        <v>1w</v>
      </c>
      <c r="Z2892" s="93">
        <f>_xll.qlCalendarAdvance(Calendar,Z2891,Y2892,"f",FALSE)</f>
        <v>59468</v>
      </c>
      <c r="AA2892" s="117">
        <f>_xll.qlCalendarAdvance(Calendar,Z2892,NDays&amp;"D")</f>
        <v>59470</v>
      </c>
      <c r="AB2892" s="92">
        <v>1.1559160029836962E-2</v>
      </c>
      <c r="AC2892" s="101">
        <v>1.1573100334940634E-2</v>
      </c>
    </row>
    <row r="2893" spans="25:29" x14ac:dyDescent="0.2">
      <c r="Y2893" s="105" t="str">
        <f t="shared" si="78"/>
        <v>1w</v>
      </c>
      <c r="Z2893" s="93">
        <f>_xll.qlCalendarAdvance(Calendar,Z2892,Y2893,"f",FALSE)</f>
        <v>59475</v>
      </c>
      <c r="AA2893" s="117">
        <f>_xll.qlCalendarAdvance(Calendar,Z2893,NDays&amp;"D")</f>
        <v>59477</v>
      </c>
      <c r="AB2893" s="92">
        <v>1.1556192412629777E-2</v>
      </c>
      <c r="AC2893" s="101">
        <v>1.1568167666586859E-2</v>
      </c>
    </row>
    <row r="2894" spans="25:29" x14ac:dyDescent="0.2">
      <c r="Y2894" s="105" t="str">
        <f t="shared" si="78"/>
        <v>1w</v>
      </c>
      <c r="Z2894" s="93">
        <f>_xll.qlCalendarAdvance(Calendar,Z2893,Y2894,"f",FALSE)</f>
        <v>59482</v>
      </c>
      <c r="AA2894" s="117">
        <f>_xll.qlCalendarAdvance(Calendar,Z2894,NDays&amp;"D")</f>
        <v>59484</v>
      </c>
      <c r="AB2894" s="92">
        <v>1.1553398814746811E-2</v>
      </c>
      <c r="AC2894" s="101">
        <v>1.1563390522226769E-2</v>
      </c>
    </row>
    <row r="2895" spans="25:29" x14ac:dyDescent="0.2">
      <c r="Y2895" s="105" t="str">
        <f t="shared" si="78"/>
        <v>1w</v>
      </c>
      <c r="Z2895" s="93">
        <f>_xll.qlCalendarAdvance(Calendar,Z2894,Y2895,"f",FALSE)</f>
        <v>59489</v>
      </c>
      <c r="AA2895" s="117">
        <f>_xll.qlCalendarAdvance(Calendar,Z2895,NDays&amp;"D")</f>
        <v>59491</v>
      </c>
      <c r="AB2895" s="92">
        <v>1.1550761642825088E-2</v>
      </c>
      <c r="AC2895" s="101">
        <v>1.1558768901860361E-2</v>
      </c>
    </row>
    <row r="2896" spans="25:29" x14ac:dyDescent="0.2">
      <c r="Y2896" s="105" t="str">
        <f t="shared" si="78"/>
        <v>1w</v>
      </c>
      <c r="Z2896" s="93">
        <f>_xll.qlCalendarAdvance(Calendar,Z2895,Y2896,"f",FALSE)</f>
        <v>59496</v>
      </c>
      <c r="AA2896" s="117">
        <f>_xll.qlCalendarAdvance(Calendar,Z2896,NDays&amp;"D")</f>
        <v>59498</v>
      </c>
      <c r="AB2896" s="92">
        <v>1.1548280896244555E-2</v>
      </c>
      <c r="AC2896" s="101">
        <v>1.1554302805487637E-2</v>
      </c>
    </row>
    <row r="2897" spans="25:29" x14ac:dyDescent="0.2">
      <c r="Y2897" s="105" t="str">
        <f t="shared" si="78"/>
        <v>1w</v>
      </c>
      <c r="Z2897" s="93">
        <f>_xll.qlCalendarAdvance(Calendar,Z2896,Y2897,"f",FALSE)</f>
        <v>59503</v>
      </c>
      <c r="AA2897" s="117">
        <f>_xll.qlCalendarAdvance(Calendar,Z2897,NDays&amp;"D")</f>
        <v>59505</v>
      </c>
      <c r="AB2897" s="92">
        <v>1.1546029612993043E-2</v>
      </c>
      <c r="AC2897" s="101">
        <v>1.1549992232868789E-2</v>
      </c>
    </row>
    <row r="2898" spans="25:29" x14ac:dyDescent="0.2">
      <c r="Y2898" s="105" t="str">
        <f t="shared" si="78"/>
        <v>1w</v>
      </c>
      <c r="Z2898" s="93">
        <f>_xll.qlCalendarAdvance(Calendar,Z2897,Y2898,"f",FALSE)</f>
        <v>59510</v>
      </c>
      <c r="AA2898" s="117">
        <f>_xll.qlCalendarAdvance(Calendar,Z2898,NDays&amp;"D")</f>
        <v>59512</v>
      </c>
      <c r="AB2898" s="92">
        <v>1.1543872819508135E-2</v>
      </c>
      <c r="AC2898" s="101">
        <v>1.1545837184243624E-2</v>
      </c>
    </row>
    <row r="2899" spans="25:29" x14ac:dyDescent="0.2">
      <c r="Y2899" s="105" t="str">
        <f t="shared" si="78"/>
        <v>1w</v>
      </c>
      <c r="Z2899" s="93">
        <f>_xll.qlCalendarAdvance(Calendar,Z2898,Y2899,"f",FALSE)</f>
        <v>59517</v>
      </c>
      <c r="AA2899" s="117">
        <f>_xll.qlCalendarAdvance(Calendar,Z2899,NDays&amp;"D")</f>
        <v>59519</v>
      </c>
      <c r="AB2899" s="92">
        <v>1.1541872454711692E-2</v>
      </c>
      <c r="AC2899" s="101">
        <v>1.1541837659692078E-2</v>
      </c>
    </row>
    <row r="2900" spans="25:29" x14ac:dyDescent="0.2">
      <c r="Y2900" s="105" t="str">
        <f t="shared" si="78"/>
        <v>1w</v>
      </c>
      <c r="Z2900" s="93">
        <f>_xll.qlCalendarAdvance(Calendar,Z2899,Y2900,"f",FALSE)</f>
        <v>59524</v>
      </c>
      <c r="AA2900" s="117">
        <f>_xll.qlCalendarAdvance(Calendar,Z2900,NDays&amp;"D")</f>
        <v>59526</v>
      </c>
      <c r="AB2900" s="92">
        <v>1.1540028518131563E-2</v>
      </c>
      <c r="AC2900" s="101">
        <v>1.1537993658974344E-2</v>
      </c>
    </row>
    <row r="2901" spans="25:29" x14ac:dyDescent="0.2">
      <c r="Y2901" s="105" t="str">
        <f t="shared" ref="Y2901:Y2964" si="79">Y2900</f>
        <v>1w</v>
      </c>
      <c r="Z2901" s="93">
        <f>_xll.qlCalendarAdvance(Calendar,Z2900,Y2901,"f",FALSE)</f>
        <v>59532</v>
      </c>
      <c r="AA2901" s="117">
        <f>_xll.qlCalendarAdvance(Calendar,Z2901,NDays&amp;"D")</f>
        <v>59534</v>
      </c>
      <c r="AB2901" s="92">
        <v>1.153811270623782E-2</v>
      </c>
      <c r="AC2901" s="101">
        <v>1.1533581766622891E-2</v>
      </c>
    </row>
    <row r="2902" spans="25:29" x14ac:dyDescent="0.2">
      <c r="Y2902" s="105" t="str">
        <f t="shared" si="79"/>
        <v>1w</v>
      </c>
      <c r="Z2902" s="93">
        <f>_xll.qlCalendarAdvance(Calendar,Z2901,Y2902,"f",FALSE)</f>
        <v>59539</v>
      </c>
      <c r="AA2902" s="117">
        <f>_xll.qlCalendarAdvance(Calendar,Z2902,NDays&amp;"D")</f>
        <v>59541</v>
      </c>
      <c r="AB2902" s="92">
        <v>1.1536473773002568E-2</v>
      </c>
      <c r="AC2902" s="101">
        <v>1.1530161708606101E-2</v>
      </c>
    </row>
    <row r="2903" spans="25:29" x14ac:dyDescent="0.2">
      <c r="Y2903" s="105" t="str">
        <f t="shared" si="79"/>
        <v>1w</v>
      </c>
      <c r="Z2903" s="93">
        <f>_xll.qlCalendarAdvance(Calendar,Z2902,Y2903,"f",FALSE)</f>
        <v>59546</v>
      </c>
      <c r="AA2903" s="117">
        <f>_xll.qlCalendarAdvance(Calendar,Z2903,NDays&amp;"D")</f>
        <v>59548</v>
      </c>
      <c r="AB2903" s="92">
        <v>1.1535110335552556E-2</v>
      </c>
      <c r="AC2903" s="101">
        <v>1.1526828501589037E-2</v>
      </c>
    </row>
    <row r="2904" spans="25:29" x14ac:dyDescent="0.2">
      <c r="Y2904" s="105" t="str">
        <f t="shared" si="79"/>
        <v>1w</v>
      </c>
      <c r="Z2904" s="93">
        <f>_xll.qlCalendarAdvance(Calendar,Z2903,Y2904,"f",FALSE)</f>
        <v>59553</v>
      </c>
      <c r="AA2904" s="117">
        <f>_xll.qlCalendarAdvance(Calendar,Z2904,NDays&amp;"D")</f>
        <v>59555</v>
      </c>
      <c r="AB2904" s="92">
        <v>1.1533903319772854E-2</v>
      </c>
      <c r="AC2904" s="101">
        <v>1.1523650828477727E-2</v>
      </c>
    </row>
    <row r="2905" spans="25:29" x14ac:dyDescent="0.2">
      <c r="Y2905" s="105" t="str">
        <f t="shared" si="79"/>
        <v>1w</v>
      </c>
      <c r="Z2905" s="93">
        <f>_xll.qlCalendarAdvance(Calendar,Z2904,Y2905,"f",FALSE)</f>
        <v>59560</v>
      </c>
      <c r="AA2905" s="117">
        <f>_xll.qlCalendarAdvance(Calendar,Z2905,NDays&amp;"D")</f>
        <v>59562</v>
      </c>
      <c r="AB2905" s="92">
        <v>1.1532852725379936E-2</v>
      </c>
      <c r="AC2905" s="101">
        <v>1.1520628689218881E-2</v>
      </c>
    </row>
    <row r="2906" spans="25:29" x14ac:dyDescent="0.2">
      <c r="Y2906" s="105" t="str">
        <f t="shared" si="79"/>
        <v>1w</v>
      </c>
      <c r="Z2906" s="93">
        <f>_xll.qlCalendarAdvance(Calendar,Z2905,Y2906,"f",FALSE)</f>
        <v>59567</v>
      </c>
      <c r="AA2906" s="117">
        <f>_xll.qlCalendarAdvance(Calendar,Z2906,NDays&amp;"D")</f>
        <v>59569</v>
      </c>
      <c r="AB2906" s="92">
        <v>1.1531958552127368E-2</v>
      </c>
      <c r="AC2906" s="101">
        <v>1.1517762083919081E-2</v>
      </c>
    </row>
    <row r="2907" spans="25:29" x14ac:dyDescent="0.2">
      <c r="Y2907" s="105" t="str">
        <f t="shared" si="79"/>
        <v>1w</v>
      </c>
      <c r="Z2907" s="93">
        <f>_xll.qlCalendarAdvance(Calendar,Z2906,Y2907,"f",FALSE)</f>
        <v>59574</v>
      </c>
      <c r="AA2907" s="117">
        <f>_xll.qlCalendarAdvance(Calendar,Z2907,NDays&amp;"D")</f>
        <v>59576</v>
      </c>
      <c r="AB2907" s="92">
        <v>1.1531220799806697E-2</v>
      </c>
      <c r="AC2907" s="101">
        <v>1.151505101249839E-2</v>
      </c>
    </row>
    <row r="2908" spans="25:29" x14ac:dyDescent="0.2">
      <c r="Y2908" s="105" t="str">
        <f t="shared" si="79"/>
        <v>1w</v>
      </c>
      <c r="Z2908" s="93">
        <f>_xll.qlCalendarAdvance(Calendar,Z2907,Y2908,"f",FALSE)</f>
        <v>59581</v>
      </c>
      <c r="AA2908" s="117">
        <f>_xll.qlCalendarAdvance(Calendar,Z2908,NDays&amp;"D")</f>
        <v>59583</v>
      </c>
      <c r="AB2908" s="92">
        <v>1.1530639468243037E-2</v>
      </c>
      <c r="AC2908" s="101">
        <v>1.1512495474956808E-2</v>
      </c>
    </row>
    <row r="2909" spans="25:29" x14ac:dyDescent="0.2">
      <c r="Y2909" s="105" t="str">
        <f t="shared" si="79"/>
        <v>1w</v>
      </c>
      <c r="Z2909" s="93">
        <f>_xll.qlCalendarAdvance(Calendar,Z2908,Y2909,"f",FALSE)</f>
        <v>59588</v>
      </c>
      <c r="AA2909" s="117">
        <f>_xll.qlCalendarAdvance(Calendar,Z2909,NDays&amp;"D")</f>
        <v>59590</v>
      </c>
      <c r="AB2909" s="92">
        <v>1.1530214557300803E-2</v>
      </c>
      <c r="AC2909" s="101">
        <v>1.1510095471241044E-2</v>
      </c>
    </row>
    <row r="2910" spans="25:29" x14ac:dyDescent="0.2">
      <c r="Y2910" s="105" t="str">
        <f t="shared" si="79"/>
        <v>1w</v>
      </c>
      <c r="Z2910" s="93">
        <f>_xll.qlCalendarAdvance(Calendar,Z2909,Y2910,"f",FALSE)</f>
        <v>59595</v>
      </c>
      <c r="AA2910" s="117">
        <f>_xll.qlCalendarAdvance(Calendar,Z2910,NDays&amp;"D")</f>
        <v>59597</v>
      </c>
      <c r="AB2910" s="92">
        <v>1.1530829993896992E-2</v>
      </c>
      <c r="AC2910" s="101">
        <v>1.150785100140439E-2</v>
      </c>
    </row>
    <row r="2911" spans="25:29" x14ac:dyDescent="0.2">
      <c r="Y2911" s="105" t="str">
        <f t="shared" si="79"/>
        <v>1w</v>
      </c>
      <c r="Z2911" s="93">
        <f>_xll.qlCalendarAdvance(Calendar,Z2910,Y2911,"f",FALSE)</f>
        <v>59602</v>
      </c>
      <c r="AA2911" s="117">
        <f>_xll.qlCalendarAdvance(Calendar,Z2911,NDays&amp;"D")</f>
        <v>59604</v>
      </c>
      <c r="AB2911" s="92">
        <v>1.1530762606874759E-2</v>
      </c>
      <c r="AC2911" s="101">
        <v>1.15057620654202E-2</v>
      </c>
    </row>
    <row r="2912" spans="25:29" x14ac:dyDescent="0.2">
      <c r="Y2912" s="105" t="str">
        <f t="shared" si="79"/>
        <v>1w</v>
      </c>
      <c r="Z2912" s="93">
        <f>_xll.qlCalendarAdvance(Calendar,Z2911,Y2912,"f",FALSE)</f>
        <v>59609</v>
      </c>
      <c r="AA2912" s="117">
        <f>_xll.qlCalendarAdvance(Calendar,Z2912,NDays&amp;"D")</f>
        <v>59611</v>
      </c>
      <c r="AB2912" s="92">
        <v>1.1530851660282003E-2</v>
      </c>
      <c r="AC2912" s="101">
        <v>1.1503828663261828E-2</v>
      </c>
    </row>
    <row r="2913" spans="25:29" x14ac:dyDescent="0.2">
      <c r="Y2913" s="105" t="str">
        <f t="shared" si="79"/>
        <v>1w</v>
      </c>
      <c r="Z2913" s="93">
        <f>_xll.qlCalendarAdvance(Calendar,Z2912,Y2913,"f",FALSE)</f>
        <v>59616</v>
      </c>
      <c r="AA2913" s="117">
        <f>_xll.qlCalendarAdvance(Calendar,Z2913,NDays&amp;"D")</f>
        <v>59618</v>
      </c>
      <c r="AB2913" s="92">
        <v>1.1531097154140326E-2</v>
      </c>
      <c r="AC2913" s="101">
        <v>1.150205079495592E-2</v>
      </c>
    </row>
    <row r="2914" spans="25:29" x14ac:dyDescent="0.2">
      <c r="Y2914" s="105" t="str">
        <f t="shared" si="79"/>
        <v>1w</v>
      </c>
      <c r="Z2914" s="93">
        <f>_xll.qlCalendarAdvance(Calendar,Z2913,Y2914,"f",FALSE)</f>
        <v>59623</v>
      </c>
      <c r="AA2914" s="117">
        <f>_xll.qlCalendarAdvance(Calendar,Z2914,NDays&amp;"D")</f>
        <v>59625</v>
      </c>
      <c r="AB2914" s="92">
        <v>1.1530700394538447E-2</v>
      </c>
      <c r="AC2914" s="101">
        <v>1.1500428460475831E-2</v>
      </c>
    </row>
    <row r="2915" spans="25:29" x14ac:dyDescent="0.2">
      <c r="Y2915" s="105" t="str">
        <f t="shared" si="79"/>
        <v>1w</v>
      </c>
      <c r="Z2915" s="93">
        <f>_xll.qlCalendarAdvance(Calendar,Z2914,Y2915,"f",FALSE)</f>
        <v>59630</v>
      </c>
      <c r="AA2915" s="117">
        <f>_xll.qlCalendarAdvance(Calendar,Z2915,NDays&amp;"D")</f>
        <v>59632</v>
      </c>
      <c r="AB2915" s="92">
        <v>1.1532057463482858E-2</v>
      </c>
      <c r="AC2915" s="101">
        <v>1.1498961659794915E-2</v>
      </c>
    </row>
    <row r="2916" spans="25:29" x14ac:dyDescent="0.2">
      <c r="Y2916" s="105" t="str">
        <f t="shared" si="79"/>
        <v>1w</v>
      </c>
      <c r="Z2916" s="93">
        <f>_xll.qlCalendarAdvance(Calendar,Z2915,Y2916,"f",FALSE)</f>
        <v>59637</v>
      </c>
      <c r="AA2916" s="117">
        <f>_xll.qlCalendarAdvance(Calendar,Z2916,NDays&amp;"D")</f>
        <v>59643</v>
      </c>
      <c r="AB2916" s="92">
        <v>1.1532659871761787E-2</v>
      </c>
      <c r="AC2916" s="101">
        <v>1.1496767817193998E-2</v>
      </c>
    </row>
    <row r="2917" spans="25:29" x14ac:dyDescent="0.2">
      <c r="Y2917" s="105" t="str">
        <f t="shared" si="79"/>
        <v>1w</v>
      </c>
      <c r="Z2917" s="93">
        <f>_xll.qlCalendarAdvance(Calendar,Z2916,Y2917,"f",FALSE)</f>
        <v>59644</v>
      </c>
      <c r="AA2917" s="117">
        <f>_xll.qlCalendarAdvance(Calendar,Z2917,NDays&amp;"D")</f>
        <v>59646</v>
      </c>
      <c r="AB2917" s="92">
        <v>1.1533643535823998E-2</v>
      </c>
      <c r="AC2917" s="101">
        <v>1.1496494659910539E-2</v>
      </c>
    </row>
    <row r="2918" spans="25:29" x14ac:dyDescent="0.2">
      <c r="Y2918" s="105" t="str">
        <f t="shared" si="79"/>
        <v>1w</v>
      </c>
      <c r="Z2918" s="93">
        <f>_xll.qlCalendarAdvance(Calendar,Z2917,Y2918,"f",FALSE)</f>
        <v>59651</v>
      </c>
      <c r="AA2918" s="117">
        <f>_xll.qlCalendarAdvance(Calendar,Z2918,NDays&amp;"D")</f>
        <v>59653</v>
      </c>
      <c r="AB2918" s="92">
        <v>1.1534671233570576E-2</v>
      </c>
      <c r="AC2918" s="101">
        <v>1.1495494460653788E-2</v>
      </c>
    </row>
    <row r="2919" spans="25:29" x14ac:dyDescent="0.2">
      <c r="Y2919" s="105" t="str">
        <f t="shared" si="79"/>
        <v>1w</v>
      </c>
      <c r="Z2919" s="93">
        <f>_xll.qlCalendarAdvance(Calendar,Z2918,Y2919,"f",FALSE)</f>
        <v>59658</v>
      </c>
      <c r="AA2919" s="117">
        <f>_xll.qlCalendarAdvance(Calendar,Z2919,NDays&amp;"D")</f>
        <v>59660</v>
      </c>
      <c r="AB2919" s="92">
        <v>1.153585537268426E-2</v>
      </c>
      <c r="AC2919" s="101">
        <v>1.149464979519621E-2</v>
      </c>
    </row>
    <row r="2920" spans="25:29" x14ac:dyDescent="0.2">
      <c r="Y2920" s="105" t="str">
        <f t="shared" si="79"/>
        <v>1w</v>
      </c>
      <c r="Z2920" s="93">
        <f>_xll.qlCalendarAdvance(Calendar,Z2919,Y2920,"f",FALSE)</f>
        <v>59665</v>
      </c>
      <c r="AA2920" s="117">
        <f>_xll.qlCalendarAdvance(Calendar,Z2920,NDays&amp;"D")</f>
        <v>59667</v>
      </c>
      <c r="AB2920" s="92">
        <v>1.1537195953448062E-2</v>
      </c>
      <c r="AC2920" s="101">
        <v>1.1493960663537806E-2</v>
      </c>
    </row>
    <row r="2921" spans="25:29" x14ac:dyDescent="0.2">
      <c r="Y2921" s="105" t="str">
        <f t="shared" si="79"/>
        <v>1w</v>
      </c>
      <c r="Z2921" s="93">
        <f>_xll.qlCalendarAdvance(Calendar,Z2920,Y2921,"f",FALSE)</f>
        <v>59672</v>
      </c>
      <c r="AA2921" s="117">
        <f>_xll.qlCalendarAdvance(Calendar,Z2921,NDays&amp;"D")</f>
        <v>59674</v>
      </c>
      <c r="AB2921" s="92">
        <v>1.1538692976184754E-2</v>
      </c>
      <c r="AC2921" s="101">
        <v>1.149342706570522E-2</v>
      </c>
    </row>
    <row r="2922" spans="25:29" x14ac:dyDescent="0.2">
      <c r="Y2922" s="105" t="str">
        <f t="shared" si="79"/>
        <v>1w</v>
      </c>
      <c r="Z2922" s="93">
        <f>_xll.qlCalendarAdvance(Calendar,Z2921,Y2922,"f",FALSE)</f>
        <v>59679</v>
      </c>
      <c r="AA2922" s="117">
        <f>_xll.qlCalendarAdvance(Calendar,Z2922,NDays&amp;"D")</f>
        <v>59681</v>
      </c>
      <c r="AB2922" s="92">
        <v>1.1540346441252106E-2</v>
      </c>
      <c r="AC2922" s="101">
        <v>1.1493049001645161E-2</v>
      </c>
    </row>
    <row r="2923" spans="25:29" x14ac:dyDescent="0.2">
      <c r="Y2923" s="105" t="str">
        <f t="shared" si="79"/>
        <v>1w</v>
      </c>
      <c r="Z2923" s="93">
        <f>_xll.qlCalendarAdvance(Calendar,Z2922,Y2923,"f",FALSE)</f>
        <v>59686</v>
      </c>
      <c r="AA2923" s="117">
        <f>_xll.qlCalendarAdvance(Calendar,Z2923,NDays&amp;"D")</f>
        <v>59688</v>
      </c>
      <c r="AB2923" s="92">
        <v>1.15421563490472E-2</v>
      </c>
      <c r="AC2923" s="101">
        <v>1.1492826471357631E-2</v>
      </c>
    </row>
    <row r="2924" spans="25:29" x14ac:dyDescent="0.2">
      <c r="Y2924" s="105" t="str">
        <f t="shared" si="79"/>
        <v>1w</v>
      </c>
      <c r="Z2924" s="93">
        <f>_xll.qlCalendarAdvance(Calendar,Z2923,Y2924,"f",FALSE)</f>
        <v>59693</v>
      </c>
      <c r="AA2924" s="117">
        <f>_xll.qlCalendarAdvance(Calendar,Z2924,NDays&amp;"D")</f>
        <v>59695</v>
      </c>
      <c r="AB2924" s="92">
        <v>1.1544122700003425E-2</v>
      </c>
      <c r="AC2924" s="101">
        <v>1.1492759474869274E-2</v>
      </c>
    </row>
    <row r="2925" spans="25:29" x14ac:dyDescent="0.2">
      <c r="Y2925" s="105" t="str">
        <f t="shared" si="79"/>
        <v>1w</v>
      </c>
      <c r="Z2925" s="93">
        <f>_xll.qlCalendarAdvance(Calendar,Z2924,Y2925,"f",FALSE)</f>
        <v>59700</v>
      </c>
      <c r="AA2925" s="117">
        <f>_xll.qlCalendarAdvance(Calendar,Z2925,NDays&amp;"D")</f>
        <v>59702</v>
      </c>
      <c r="AB2925" s="92">
        <v>1.1546245494592183E-2</v>
      </c>
      <c r="AC2925" s="101">
        <v>1.1492848012153445E-2</v>
      </c>
    </row>
    <row r="2926" spans="25:29" x14ac:dyDescent="0.2">
      <c r="Y2926" s="105" t="str">
        <f t="shared" si="79"/>
        <v>1w</v>
      </c>
      <c r="Z2926" s="93">
        <f>_xll.qlCalendarAdvance(Calendar,Z2925,Y2926,"f",FALSE)</f>
        <v>59707</v>
      </c>
      <c r="AA2926" s="117">
        <f>_xll.qlCalendarAdvance(Calendar,Z2926,NDays&amp;"D")</f>
        <v>59709</v>
      </c>
      <c r="AB2926" s="92">
        <v>1.1548524733323772E-2</v>
      </c>
      <c r="AC2926" s="101">
        <v>1.1493092083263434E-2</v>
      </c>
    </row>
    <row r="2927" spans="25:29" x14ac:dyDescent="0.2">
      <c r="Y2927" s="105" t="str">
        <f t="shared" si="79"/>
        <v>1w</v>
      </c>
      <c r="Z2927" s="93">
        <f>_xll.qlCalendarAdvance(Calendar,Z2926,Y2927,"f",FALSE)</f>
        <v>59714</v>
      </c>
      <c r="AA2927" s="117">
        <f>_xll.qlCalendarAdvance(Calendar,Z2927,NDays&amp;"D")</f>
        <v>59716</v>
      </c>
      <c r="AB2927" s="92">
        <v>1.1550960416743484E-2</v>
      </c>
      <c r="AC2927" s="101">
        <v>1.1493491688145951E-2</v>
      </c>
    </row>
    <row r="2928" spans="25:29" x14ac:dyDescent="0.2">
      <c r="Y2928" s="105" t="str">
        <f t="shared" si="79"/>
        <v>1w</v>
      </c>
      <c r="Z2928" s="93">
        <f>_xll.qlCalendarAdvance(Calendar,Z2927,Y2928,"f",FALSE)</f>
        <v>59721</v>
      </c>
      <c r="AA2928" s="117">
        <f>_xll.qlCalendarAdvance(Calendar,Z2928,NDays&amp;"D")</f>
        <v>59723</v>
      </c>
      <c r="AB2928" s="92">
        <v>1.1553552545434635E-2</v>
      </c>
      <c r="AC2928" s="101">
        <v>1.1494046826827642E-2</v>
      </c>
    </row>
    <row r="2929" spans="25:29" x14ac:dyDescent="0.2">
      <c r="Y2929" s="105" t="str">
        <f t="shared" si="79"/>
        <v>1w</v>
      </c>
      <c r="Z2929" s="93">
        <f>_xll.qlCalendarAdvance(Calendar,Z2928,Y2929,"f",FALSE)</f>
        <v>59728</v>
      </c>
      <c r="AA2929" s="117">
        <f>_xll.qlCalendarAdvance(Calendar,Z2929,NDays&amp;"D")</f>
        <v>59730</v>
      </c>
      <c r="AB2929" s="92">
        <v>1.1556301120020297E-2</v>
      </c>
      <c r="AC2929" s="101">
        <v>1.149475749928186E-2</v>
      </c>
    </row>
    <row r="2930" spans="25:29" x14ac:dyDescent="0.2">
      <c r="Y2930" s="105" t="str">
        <f t="shared" si="79"/>
        <v>1w</v>
      </c>
      <c r="Z2930" s="93">
        <f>_xll.qlCalendarAdvance(Calendar,Z2929,Y2930,"f",FALSE)</f>
        <v>59735</v>
      </c>
      <c r="AA2930" s="117">
        <f>_xll.qlCalendarAdvance(Calendar,Z2930,NDays&amp;"D")</f>
        <v>59737</v>
      </c>
      <c r="AB2930" s="92">
        <v>1.1559206141158535E-2</v>
      </c>
      <c r="AC2930" s="101">
        <v>1.1495623705535252E-2</v>
      </c>
    </row>
    <row r="2931" spans="25:29" x14ac:dyDescent="0.2">
      <c r="Y2931" s="105" t="str">
        <f t="shared" si="79"/>
        <v>1w</v>
      </c>
      <c r="Z2931" s="93">
        <f>_xll.qlCalendarAdvance(Calendar,Z2930,Y2931,"f",FALSE)</f>
        <v>59742</v>
      </c>
      <c r="AA2931" s="117">
        <f>_xll.qlCalendarAdvance(Calendar,Z2931,NDays&amp;"D")</f>
        <v>59744</v>
      </c>
      <c r="AB2931" s="92">
        <v>1.1562267609546309E-2</v>
      </c>
      <c r="AC2931" s="101">
        <v>1.1496645445641107E-2</v>
      </c>
    </row>
    <row r="2932" spans="25:29" x14ac:dyDescent="0.2">
      <c r="Y2932" s="105" t="str">
        <f t="shared" si="79"/>
        <v>1w</v>
      </c>
      <c r="Z2932" s="93">
        <f>_xll.qlCalendarAdvance(Calendar,Z2931,Y2932,"f",FALSE)</f>
        <v>59749</v>
      </c>
      <c r="AA2932" s="117">
        <f>_xll.qlCalendarAdvance(Calendar,Z2932,NDays&amp;"D")</f>
        <v>59751</v>
      </c>
      <c r="AB2932" s="92">
        <v>1.1565485525917298E-2</v>
      </c>
      <c r="AC2932" s="101">
        <v>1.149782271951949E-2</v>
      </c>
    </row>
    <row r="2933" spans="25:29" x14ac:dyDescent="0.2">
      <c r="Y2933" s="105" t="str">
        <f t="shared" si="79"/>
        <v>1w</v>
      </c>
      <c r="Z2933" s="93">
        <f>_xll.qlCalendarAdvance(Calendar,Z2932,Y2933,"f",FALSE)</f>
        <v>59756</v>
      </c>
      <c r="AA2933" s="117">
        <f>_xll.qlCalendarAdvance(Calendar,Z2933,NDays&amp;"D")</f>
        <v>59758</v>
      </c>
      <c r="AB2933" s="92">
        <v>1.156885989104321E-2</v>
      </c>
      <c r="AC2933" s="101">
        <v>1.1499155527170402E-2</v>
      </c>
    </row>
    <row r="2934" spans="25:29" x14ac:dyDescent="0.2">
      <c r="Y2934" s="105" t="str">
        <f t="shared" si="79"/>
        <v>1w</v>
      </c>
      <c r="Z2934" s="93">
        <f>_xll.qlCalendarAdvance(Calendar,Z2933,Y2934,"f",FALSE)</f>
        <v>59763</v>
      </c>
      <c r="AA2934" s="117">
        <f>_xll.qlCalendarAdvance(Calendar,Z2934,NDays&amp;"D")</f>
        <v>59765</v>
      </c>
      <c r="AB2934" s="92">
        <v>1.1572390705732915E-2</v>
      </c>
      <c r="AC2934" s="101">
        <v>1.1500643868673777E-2</v>
      </c>
    </row>
    <row r="2935" spans="25:29" x14ac:dyDescent="0.2">
      <c r="Y2935" s="105" t="str">
        <f t="shared" si="79"/>
        <v>1w</v>
      </c>
      <c r="Z2935" s="93">
        <f>_xll.qlCalendarAdvance(Calendar,Z2934,Y2935,"f",FALSE)</f>
        <v>59770</v>
      </c>
      <c r="AA2935" s="117">
        <f>_xll.qlCalendarAdvance(Calendar,Z2935,NDays&amp;"D")</f>
        <v>59772</v>
      </c>
      <c r="AB2935" s="92">
        <v>1.1576077970832868E-2</v>
      </c>
      <c r="AC2935" s="101">
        <v>1.1502287743976325E-2</v>
      </c>
    </row>
    <row r="2936" spans="25:29" x14ac:dyDescent="0.2">
      <c r="Y2936" s="105" t="str">
        <f t="shared" si="79"/>
        <v>1w</v>
      </c>
      <c r="Z2936" s="93">
        <f>_xll.qlCalendarAdvance(Calendar,Z2935,Y2936,"f",FALSE)</f>
        <v>59777</v>
      </c>
      <c r="AA2936" s="117">
        <f>_xll.qlCalendarAdvance(Calendar,Z2936,NDays&amp;"D")</f>
        <v>59779</v>
      </c>
      <c r="AB2936" s="92">
        <v>1.1578380886106196E-2</v>
      </c>
      <c r="AC2936" s="101">
        <v>1.1504087153104692E-2</v>
      </c>
    </row>
    <row r="2937" spans="25:29" x14ac:dyDescent="0.2">
      <c r="Y2937" s="105" t="str">
        <f t="shared" si="79"/>
        <v>1w</v>
      </c>
      <c r="Z2937" s="93">
        <f>_xll.qlCalendarAdvance(Calendar,Z2936,Y2937,"f",FALSE)</f>
        <v>59784</v>
      </c>
      <c r="AA2937" s="117">
        <f>_xll.qlCalendarAdvance(Calendar,Z2937,NDays&amp;"D")</f>
        <v>59786</v>
      </c>
      <c r="AB2937" s="92">
        <v>1.1582347147207286E-2</v>
      </c>
      <c r="AC2937" s="101">
        <v>1.1506042096085523E-2</v>
      </c>
    </row>
    <row r="2938" spans="25:29" x14ac:dyDescent="0.2">
      <c r="Y2938" s="105" t="str">
        <f t="shared" si="79"/>
        <v>1w</v>
      </c>
      <c r="Z2938" s="93">
        <f>_xll.qlCalendarAdvance(Calendar,Z2937,Y2938,"f",FALSE)</f>
        <v>59791</v>
      </c>
      <c r="AA2938" s="117">
        <f>_xll.qlCalendarAdvance(Calendar,Z2938,NDays&amp;"D")</f>
        <v>59793</v>
      </c>
      <c r="AB2938" s="92">
        <v>1.1586469846071779E-2</v>
      </c>
      <c r="AC2938" s="101">
        <v>1.1508152572892172E-2</v>
      </c>
    </row>
    <row r="2939" spans="25:29" x14ac:dyDescent="0.2">
      <c r="Y2939" s="105" t="str">
        <f t="shared" si="79"/>
        <v>1w</v>
      </c>
      <c r="Z2939" s="93">
        <f>_xll.qlCalendarAdvance(Calendar,Z2938,Y2939,"f",FALSE)</f>
        <v>59798</v>
      </c>
      <c r="AA2939" s="117">
        <f>_xll.qlCalendarAdvance(Calendar,Z2939,NDays&amp;"D")</f>
        <v>59800</v>
      </c>
      <c r="AB2939" s="92">
        <v>1.1590748983671644E-2</v>
      </c>
      <c r="AC2939" s="101">
        <v>1.1510418583551285E-2</v>
      </c>
    </row>
    <row r="2940" spans="25:29" x14ac:dyDescent="0.2">
      <c r="Y2940" s="105" t="str">
        <f t="shared" si="79"/>
        <v>1w</v>
      </c>
      <c r="Z2940" s="93">
        <f>_xll.qlCalendarAdvance(Calendar,Z2939,Y2940,"f",FALSE)</f>
        <v>59805</v>
      </c>
      <c r="AA2940" s="117">
        <f>_xll.qlCalendarAdvance(Calendar,Z2940,NDays&amp;"D")</f>
        <v>59807</v>
      </c>
      <c r="AB2940" s="92">
        <v>1.1596861084745958E-2</v>
      </c>
      <c r="AC2940" s="101">
        <v>1.1512840128089508E-2</v>
      </c>
    </row>
    <row r="2941" spans="25:29" x14ac:dyDescent="0.2">
      <c r="Y2941" s="105" t="str">
        <f t="shared" si="79"/>
        <v>1w</v>
      </c>
      <c r="Z2941" s="93">
        <f>_xll.qlCalendarAdvance(Calendar,Z2940,Y2941,"f",FALSE)</f>
        <v>59812</v>
      </c>
      <c r="AA2941" s="117">
        <f>_xll.qlCalendarAdvance(Calendar,Z2941,NDays&amp;"D")</f>
        <v>59814</v>
      </c>
      <c r="AB2941" s="92">
        <v>1.1602059422568747E-2</v>
      </c>
      <c r="AC2941" s="101">
        <v>1.1515417206480194E-2</v>
      </c>
    </row>
    <row r="2942" spans="25:29" x14ac:dyDescent="0.2">
      <c r="Y2942" s="105" t="str">
        <f t="shared" si="79"/>
        <v>1w</v>
      </c>
      <c r="Z2942" s="93">
        <f>_xll.qlCalendarAdvance(Calendar,Z2941,Y2942,"f",FALSE)</f>
        <v>59819</v>
      </c>
      <c r="AA2942" s="117">
        <f>_xll.qlCalendarAdvance(Calendar,Z2942,NDays&amp;"D")</f>
        <v>59821</v>
      </c>
      <c r="AB2942" s="92">
        <v>1.1606269517014467E-2</v>
      </c>
      <c r="AC2942" s="101">
        <v>1.1518149818723344E-2</v>
      </c>
    </row>
    <row r="2943" spans="25:29" x14ac:dyDescent="0.2">
      <c r="Y2943" s="105" t="str">
        <f t="shared" si="79"/>
        <v>1w</v>
      </c>
      <c r="Z2943" s="93">
        <f>_xll.qlCalendarAdvance(Calendar,Z2942,Y2943,"f",FALSE)</f>
        <v>59826</v>
      </c>
      <c r="AA2943" s="117">
        <f>_xll.qlCalendarAdvance(Calendar,Z2943,NDays&amp;"D")</f>
        <v>59828</v>
      </c>
      <c r="AB2943" s="92">
        <v>1.1611208420375994E-2</v>
      </c>
      <c r="AC2943" s="101">
        <v>1.1521037964872249E-2</v>
      </c>
    </row>
    <row r="2944" spans="25:29" x14ac:dyDescent="0.2">
      <c r="Y2944" s="105" t="str">
        <f t="shared" si="79"/>
        <v>1w</v>
      </c>
      <c r="Z2944" s="93">
        <f>_xll.qlCalendarAdvance(Calendar,Z2943,Y2944,"f",FALSE)</f>
        <v>59833</v>
      </c>
      <c r="AA2944" s="117">
        <f>_xll.qlCalendarAdvance(Calendar,Z2944,NDays&amp;"D")</f>
        <v>59835</v>
      </c>
      <c r="AB2944" s="92">
        <v>1.1616303783454487E-2</v>
      </c>
      <c r="AC2944" s="101">
        <v>1.1524081644926909E-2</v>
      </c>
    </row>
    <row r="2945" spans="25:29" x14ac:dyDescent="0.2">
      <c r="Y2945" s="105" t="str">
        <f t="shared" si="79"/>
        <v>1w</v>
      </c>
      <c r="Z2945" s="93">
        <f>_xll.qlCalendarAdvance(Calendar,Z2944,Y2945,"f",FALSE)</f>
        <v>59840</v>
      </c>
      <c r="AA2945" s="117">
        <f>_xll.qlCalendarAdvance(Calendar,Z2945,NDays&amp;"D")</f>
        <v>59842</v>
      </c>
      <c r="AB2945" s="92">
        <v>1.161970908182725E-2</v>
      </c>
      <c r="AC2945" s="101">
        <v>1.1527280858913969E-2</v>
      </c>
    </row>
    <row r="2946" spans="25:29" x14ac:dyDescent="0.2">
      <c r="Y2946" s="105" t="str">
        <f t="shared" si="79"/>
        <v>1w</v>
      </c>
      <c r="Z2946" s="93">
        <f>_xll.qlCalendarAdvance(Calendar,Z2945,Y2946,"f",FALSE)</f>
        <v>59847</v>
      </c>
      <c r="AA2946" s="117">
        <f>_xll.qlCalendarAdvance(Calendar,Z2946,NDays&amp;"D")</f>
        <v>59849</v>
      </c>
      <c r="AB2946" s="92">
        <v>1.1625083320904747E-2</v>
      </c>
      <c r="AC2946" s="101">
        <v>1.1530635606806783E-2</v>
      </c>
    </row>
    <row r="2947" spans="25:29" x14ac:dyDescent="0.2">
      <c r="Y2947" s="105" t="str">
        <f t="shared" si="79"/>
        <v>1w</v>
      </c>
      <c r="Z2947" s="93">
        <f>_xll.qlCalendarAdvance(Calendar,Z2946,Y2947,"f",FALSE)</f>
        <v>59854</v>
      </c>
      <c r="AA2947" s="117">
        <f>_xll.qlCalendarAdvance(Calendar,Z2947,NDays&amp;"D")</f>
        <v>59856</v>
      </c>
      <c r="AB2947" s="92">
        <v>1.1630614007825934E-2</v>
      </c>
      <c r="AC2947" s="101">
        <v>1.1534145888605352E-2</v>
      </c>
    </row>
    <row r="2948" spans="25:29" x14ac:dyDescent="0.2">
      <c r="Y2948" s="105" t="str">
        <f t="shared" si="79"/>
        <v>1w</v>
      </c>
      <c r="Z2948" s="93">
        <f>_xll.qlCalendarAdvance(Calendar,Z2947,Y2948,"f",FALSE)</f>
        <v>59861</v>
      </c>
      <c r="AA2948" s="117">
        <f>_xll.qlCalendarAdvance(Calendar,Z2948,NDays&amp;"D")</f>
        <v>59863</v>
      </c>
      <c r="AB2948" s="92">
        <v>1.1636301143895703E-2</v>
      </c>
      <c r="AC2948" s="101">
        <v>1.1537811704389611E-2</v>
      </c>
    </row>
    <row r="2949" spans="25:29" x14ac:dyDescent="0.2">
      <c r="Y2949" s="105" t="str">
        <f t="shared" si="79"/>
        <v>1w</v>
      </c>
      <c r="Z2949" s="93">
        <f>_xll.qlCalendarAdvance(Calendar,Z2948,Y2949,"f",FALSE)</f>
        <v>59868</v>
      </c>
      <c r="AA2949" s="117">
        <f>_xll.qlCalendarAdvance(Calendar,Z2949,NDays&amp;"D")</f>
        <v>59870</v>
      </c>
      <c r="AB2949" s="92">
        <v>1.1642144730454957E-2</v>
      </c>
      <c r="AC2949" s="101">
        <v>1.1541633054106271E-2</v>
      </c>
    </row>
    <row r="2950" spans="25:29" x14ac:dyDescent="0.2">
      <c r="Y2950" s="105" t="str">
        <f t="shared" si="79"/>
        <v>1w</v>
      </c>
      <c r="Z2950" s="93">
        <f>_xll.qlCalendarAdvance(Calendar,Z2949,Y2950,"f",FALSE)</f>
        <v>59875</v>
      </c>
      <c r="AA2950" s="117">
        <f>_xll.qlCalendarAdvance(Calendar,Z2950,NDays&amp;"D")</f>
        <v>59877</v>
      </c>
      <c r="AB2950" s="92">
        <v>1.1650161687034956E-2</v>
      </c>
      <c r="AC2950" s="101">
        <v>1.1545609937835266E-2</v>
      </c>
    </row>
    <row r="2951" spans="25:29" x14ac:dyDescent="0.2">
      <c r="Y2951" s="105" t="str">
        <f t="shared" si="79"/>
        <v>1w</v>
      </c>
      <c r="Z2951" s="93">
        <f>_xll.qlCalendarAdvance(Calendar,Z2950,Y2951,"f",FALSE)</f>
        <v>59882</v>
      </c>
      <c r="AA2951" s="117">
        <f>_xll.qlCalendarAdvance(Calendar,Z2951,NDays&amp;"D")</f>
        <v>59884</v>
      </c>
      <c r="AB2951" s="92">
        <v>1.1656352304444787E-2</v>
      </c>
      <c r="AC2951" s="101">
        <v>1.1549742355549952E-2</v>
      </c>
    </row>
    <row r="2952" spans="25:29" x14ac:dyDescent="0.2">
      <c r="Y2952" s="105" t="str">
        <f t="shared" si="79"/>
        <v>1w</v>
      </c>
      <c r="Z2952" s="93">
        <f>_xll.qlCalendarAdvance(Calendar,Z2951,Y2952,"f",FALSE)</f>
        <v>59889</v>
      </c>
      <c r="AA2952" s="117">
        <f>_xll.qlCalendarAdvance(Calendar,Z2952,NDays&amp;"D")</f>
        <v>59891</v>
      </c>
      <c r="AB2952" s="92">
        <v>1.166269939239579E-2</v>
      </c>
      <c r="AC2952" s="101">
        <v>1.1554030307276975E-2</v>
      </c>
    </row>
    <row r="2953" spans="25:29" x14ac:dyDescent="0.2">
      <c r="Y2953" s="105" t="str">
        <f t="shared" si="79"/>
        <v>1w</v>
      </c>
      <c r="Z2953" s="93">
        <f>_xll.qlCalendarAdvance(Calendar,Z2952,Y2953,"f",FALSE)</f>
        <v>59897</v>
      </c>
      <c r="AA2953" s="117">
        <f>_xll.qlCalendarAdvance(Calendar,Z2953,NDays&amp;"D")</f>
        <v>59901</v>
      </c>
      <c r="AB2953" s="92">
        <v>1.1669904105994283E-2</v>
      </c>
      <c r="AC2953" s="101">
        <v>1.1559912186687171E-2</v>
      </c>
    </row>
    <row r="2954" spans="25:29" x14ac:dyDescent="0.2">
      <c r="Y2954" s="105" t="str">
        <f t="shared" si="79"/>
        <v>1w</v>
      </c>
      <c r="Z2954" s="93">
        <f>_xll.qlCalendarAdvance(Calendar,Z2953,Y2954,"f",FALSE)</f>
        <v>59904</v>
      </c>
      <c r="AA2954" s="117">
        <f>_xll.qlCalendarAdvance(Calendar,Z2954,NDays&amp;"D")</f>
        <v>59908</v>
      </c>
      <c r="AB2954" s="92">
        <v>1.1676597020214048E-2</v>
      </c>
      <c r="AC2954" s="101">
        <v>1.1564042859770751E-2</v>
      </c>
    </row>
    <row r="2955" spans="25:29" x14ac:dyDescent="0.2">
      <c r="Y2955" s="105" t="str">
        <f t="shared" si="79"/>
        <v>1w</v>
      </c>
      <c r="Z2955" s="93">
        <f>_xll.qlCalendarAdvance(Calendar,Z2954,Y2955,"f",FALSE)</f>
        <v>59911</v>
      </c>
      <c r="AA2955" s="117">
        <f>_xll.qlCalendarAdvance(Calendar,Z2955,NDays&amp;"D")</f>
        <v>59915</v>
      </c>
      <c r="AB2955" s="92">
        <v>1.1683446394428663E-2</v>
      </c>
      <c r="AC2955" s="101">
        <v>1.1568841543621033E-2</v>
      </c>
    </row>
    <row r="2956" spans="25:29" x14ac:dyDescent="0.2">
      <c r="Y2956" s="105" t="str">
        <f t="shared" si="79"/>
        <v>1w</v>
      </c>
      <c r="Z2956" s="93">
        <f>_xll.qlCalendarAdvance(Calendar,Z2955,Y2956,"f",FALSE)</f>
        <v>59918</v>
      </c>
      <c r="AA2956" s="117">
        <f>_xll.qlCalendarAdvance(Calendar,Z2956,NDays&amp;"D")</f>
        <v>59922</v>
      </c>
      <c r="AB2956" s="92">
        <v>1.16904522302531E-2</v>
      </c>
      <c r="AC2956" s="101">
        <v>1.1573795751305127E-2</v>
      </c>
    </row>
    <row r="2957" spans="25:29" x14ac:dyDescent="0.2">
      <c r="Y2957" s="105" t="str">
        <f t="shared" si="79"/>
        <v>1w</v>
      </c>
      <c r="Z2957" s="93">
        <f>_xll.qlCalendarAdvance(Calendar,Z2956,Y2957,"f",FALSE)</f>
        <v>59925</v>
      </c>
      <c r="AA2957" s="117">
        <f>_xll.qlCalendarAdvance(Calendar,Z2957,NDays&amp;"D")</f>
        <v>59929</v>
      </c>
      <c r="AB2957" s="92">
        <v>1.1697614529340981E-2</v>
      </c>
      <c r="AC2957" s="101">
        <v>1.157890548306284E-2</v>
      </c>
    </row>
    <row r="2958" spans="25:29" x14ac:dyDescent="0.2">
      <c r="Y2958" s="105" t="str">
        <f t="shared" si="79"/>
        <v>1w</v>
      </c>
      <c r="Z2958" s="93">
        <f>_xll.qlCalendarAdvance(Calendar,Z2957,Y2958,"f",FALSE)</f>
        <v>59932</v>
      </c>
      <c r="AA2958" s="117">
        <f>_xll.qlCalendarAdvance(Calendar,Z2958,NDays&amp;"D")</f>
        <v>59936</v>
      </c>
      <c r="AB2958" s="92">
        <v>1.1704933293381065E-2</v>
      </c>
      <c r="AC2958" s="101">
        <v>1.1584170738734301E-2</v>
      </c>
    </row>
    <row r="2959" spans="25:29" x14ac:dyDescent="0.2">
      <c r="Y2959" s="105" t="str">
        <f t="shared" si="79"/>
        <v>1w</v>
      </c>
      <c r="Z2959" s="93">
        <f>_xll.qlCalendarAdvance(Calendar,Z2958,Y2959,"f",FALSE)</f>
        <v>59939</v>
      </c>
      <c r="AA2959" s="117">
        <f>_xll.qlCalendarAdvance(Calendar,Z2959,NDays&amp;"D")</f>
        <v>59943</v>
      </c>
      <c r="AB2959" s="92">
        <v>1.1712408524099884E-2</v>
      </c>
      <c r="AC2959" s="101">
        <v>1.1589591518479381E-2</v>
      </c>
    </row>
    <row r="2960" spans="25:29" x14ac:dyDescent="0.2">
      <c r="Y2960" s="105" t="str">
        <f t="shared" si="79"/>
        <v>1w</v>
      </c>
      <c r="Z2960" s="93">
        <f>_xll.qlCalendarAdvance(Calendar,Z2959,Y2960,"f",FALSE)</f>
        <v>59946</v>
      </c>
      <c r="AA2960" s="117">
        <f>_xll.qlCalendarAdvance(Calendar,Z2960,NDays&amp;"D")</f>
        <v>59950</v>
      </c>
      <c r="AB2960" s="92">
        <v>1.1720040223260422E-2</v>
      </c>
      <c r="AC2960" s="101">
        <v>1.1595167822058272E-2</v>
      </c>
    </row>
    <row r="2961" spans="25:29" x14ac:dyDescent="0.2">
      <c r="Y2961" s="105" t="str">
        <f t="shared" si="79"/>
        <v>1w</v>
      </c>
      <c r="Z2961" s="93">
        <f>_xll.qlCalendarAdvance(Calendar,Z2960,Y2961,"f",FALSE)</f>
        <v>59953</v>
      </c>
      <c r="AA2961" s="117">
        <f>_xll.qlCalendarAdvance(Calendar,Z2961,NDays&amp;"D")</f>
        <v>59957</v>
      </c>
      <c r="AB2961" s="92">
        <v>1.1727828392663437E-2</v>
      </c>
      <c r="AC2961" s="101">
        <v>1.1600899649710783E-2</v>
      </c>
    </row>
    <row r="2962" spans="25:29" x14ac:dyDescent="0.2">
      <c r="Y2962" s="105" t="str">
        <f t="shared" si="79"/>
        <v>1w</v>
      </c>
      <c r="Z2962" s="93">
        <f>_xll.qlCalendarAdvance(Calendar,Z2961,Y2962,"f",FALSE)</f>
        <v>59960</v>
      </c>
      <c r="AA2962" s="117">
        <f>_xll.qlCalendarAdvance(Calendar,Z2962,NDays&amp;"D")</f>
        <v>59964</v>
      </c>
      <c r="AB2962" s="92">
        <v>1.1737400046880089E-2</v>
      </c>
      <c r="AC2962" s="101">
        <v>1.1606787001436913E-2</v>
      </c>
    </row>
    <row r="2963" spans="25:29" x14ac:dyDescent="0.2">
      <c r="Y2963" s="105" t="str">
        <f t="shared" si="79"/>
        <v>1w</v>
      </c>
      <c r="Z2963" s="93">
        <f>_xll.qlCalendarAdvance(Calendar,Z2962,Y2963,"f",FALSE)</f>
        <v>59967</v>
      </c>
      <c r="AA2963" s="117">
        <f>_xll.qlCalendarAdvance(Calendar,Z2963,NDays&amp;"D")</f>
        <v>59971</v>
      </c>
      <c r="AB2963" s="92">
        <v>1.1745524044621139E-2</v>
      </c>
      <c r="AC2963" s="101">
        <v>1.1612829876996855E-2</v>
      </c>
    </row>
    <row r="2964" spans="25:29" x14ac:dyDescent="0.2">
      <c r="Y2964" s="105" t="str">
        <f t="shared" si="79"/>
        <v>1w</v>
      </c>
      <c r="Z2964" s="93">
        <f>_xll.qlCalendarAdvance(Calendar,Z2963,Y2964,"f",FALSE)</f>
        <v>59974</v>
      </c>
      <c r="AA2964" s="117">
        <f>_xll.qlCalendarAdvance(Calendar,Z2964,NDays&amp;"D")</f>
        <v>59978</v>
      </c>
      <c r="AB2964" s="92">
        <v>1.1753804529061874E-2</v>
      </c>
      <c r="AC2964" s="101">
        <v>1.1619028276710353E-2</v>
      </c>
    </row>
    <row r="2965" spans="25:29" x14ac:dyDescent="0.2">
      <c r="Y2965" s="105" t="str">
        <f t="shared" ref="Y2965:Y3028" si="80">Y2964</f>
        <v>1w</v>
      </c>
      <c r="Z2965" s="93">
        <f>_xll.qlCalendarAdvance(Calendar,Z2964,Y2965,"f",FALSE)</f>
        <v>59981</v>
      </c>
      <c r="AA2965" s="117">
        <f>_xll.qlCalendarAdvance(Calendar,Z2965,NDays&amp;"D")</f>
        <v>59985</v>
      </c>
      <c r="AB2965" s="92">
        <v>1.1762241502177235E-2</v>
      </c>
      <c r="AC2965" s="101">
        <v>1.1625382200417533E-2</v>
      </c>
    </row>
    <row r="2966" spans="25:29" x14ac:dyDescent="0.2">
      <c r="Y2966" s="105" t="str">
        <f t="shared" si="80"/>
        <v>1w</v>
      </c>
      <c r="Z2966" s="93">
        <f>_xll.qlCalendarAdvance(Calendar,Z2965,Y2966,"f",FALSE)</f>
        <v>59988</v>
      </c>
      <c r="AA2966" s="117">
        <f>_xll.qlCalendarAdvance(Calendar,Z2966,NDays&amp;"D")</f>
        <v>59992</v>
      </c>
      <c r="AB2966" s="92">
        <v>1.1769975106349308E-2</v>
      </c>
      <c r="AC2966" s="101">
        <v>1.1631891648118398E-2</v>
      </c>
    </row>
    <row r="2967" spans="25:29" x14ac:dyDescent="0.2">
      <c r="Y2967" s="105" t="str">
        <f t="shared" si="80"/>
        <v>1w</v>
      </c>
      <c r="Z2967" s="93">
        <f>_xll.qlCalendarAdvance(Calendar,Z2966,Y2967,"f",FALSE)</f>
        <v>59995</v>
      </c>
      <c r="AA2967" s="117">
        <f>_xll.qlCalendarAdvance(Calendar,Z2967,NDays&amp;"D")</f>
        <v>60001</v>
      </c>
      <c r="AB2967" s="92">
        <v>1.1781239054795629E-2</v>
      </c>
      <c r="AC2967" s="101">
        <v>1.1640489463218273E-2</v>
      </c>
    </row>
    <row r="2968" spans="25:29" x14ac:dyDescent="0.2">
      <c r="Y2968" s="105" t="str">
        <f t="shared" si="80"/>
        <v>1w</v>
      </c>
      <c r="Z2968" s="93">
        <f>_xll.qlCalendarAdvance(Calendar,Z2967,Y2968,"f",FALSE)</f>
        <v>60002</v>
      </c>
      <c r="AA2968" s="117">
        <f>_xll.qlCalendarAdvance(Calendar,Z2968,NDays&amp;"D")</f>
        <v>60006</v>
      </c>
      <c r="AB2968" s="92">
        <v>1.1787608582181159E-2</v>
      </c>
      <c r="AC2968" s="101">
        <v>1.1645377115740985E-2</v>
      </c>
    </row>
    <row r="2969" spans="25:29" x14ac:dyDescent="0.2">
      <c r="Y2969" s="105" t="str">
        <f t="shared" si="80"/>
        <v>1w</v>
      </c>
      <c r="Z2969" s="93">
        <f>_xll.qlCalendarAdvance(Calendar,Z2968,Y2969,"f",FALSE)</f>
        <v>60009</v>
      </c>
      <c r="AA2969" s="117">
        <f>_xll.qlCalendarAdvance(Calendar,Z2969,NDays&amp;"D")</f>
        <v>60013</v>
      </c>
      <c r="AB2969" s="92">
        <v>1.1796660056230568E-2</v>
      </c>
      <c r="AC2969" s="101">
        <v>1.1652353135582771E-2</v>
      </c>
    </row>
    <row r="2970" spans="25:29" x14ac:dyDescent="0.2">
      <c r="Y2970" s="105" t="str">
        <f t="shared" si="80"/>
        <v>1w</v>
      </c>
      <c r="Z2970" s="93">
        <f>_xll.qlCalendarAdvance(Calendar,Z2969,Y2970,"f",FALSE)</f>
        <v>60016</v>
      </c>
      <c r="AA2970" s="117">
        <f>_xll.qlCalendarAdvance(Calendar,Z2970,NDays&amp;"D")</f>
        <v>60020</v>
      </c>
      <c r="AB2970" s="92">
        <v>1.1805868023885372E-2</v>
      </c>
      <c r="AC2970" s="101">
        <v>1.1659484679578114E-2</v>
      </c>
    </row>
    <row r="2971" spans="25:29" x14ac:dyDescent="0.2">
      <c r="Y2971" s="105" t="str">
        <f t="shared" si="80"/>
        <v>1w</v>
      </c>
      <c r="Z2971" s="93">
        <f>_xll.qlCalendarAdvance(Calendar,Z2970,Y2971,"f",FALSE)</f>
        <v>60024</v>
      </c>
      <c r="AA2971" s="117">
        <f>_xll.qlCalendarAdvance(Calendar,Z2971,NDays&amp;"D")</f>
        <v>60028</v>
      </c>
      <c r="AB2971" s="92">
        <v>1.1817501915316561E-2</v>
      </c>
      <c r="AC2971" s="101">
        <v>1.1667825453169911E-2</v>
      </c>
    </row>
    <row r="2972" spans="25:29" x14ac:dyDescent="0.2">
      <c r="Y2972" s="105" t="str">
        <f t="shared" si="80"/>
        <v>1w</v>
      </c>
      <c r="Z2972" s="93">
        <f>_xll.qlCalendarAdvance(Calendar,Z2971,Y2972,"f",FALSE)</f>
        <v>60031</v>
      </c>
      <c r="AA2972" s="117">
        <f>_xll.qlCalendarAdvance(Calendar,Z2972,NDays&amp;"D")</f>
        <v>60035</v>
      </c>
      <c r="AB2972" s="92">
        <v>1.182705672541577E-2</v>
      </c>
      <c r="AC2972" s="101">
        <v>1.1675290262980198E-2</v>
      </c>
    </row>
    <row r="2973" spans="25:29" x14ac:dyDescent="0.2">
      <c r="Y2973" s="105" t="str">
        <f t="shared" si="80"/>
        <v>1w</v>
      </c>
      <c r="Z2973" s="93">
        <f>_xll.qlCalendarAdvance(Calendar,Z2972,Y2973,"f",FALSE)</f>
        <v>60038</v>
      </c>
      <c r="AA2973" s="117">
        <f>_xll.qlCalendarAdvance(Calendar,Z2973,NDays&amp;"D")</f>
        <v>60042</v>
      </c>
      <c r="AB2973" s="92">
        <v>1.1836768041658676E-2</v>
      </c>
      <c r="AC2973" s="101">
        <v>1.1682910596864104E-2</v>
      </c>
    </row>
    <row r="2974" spans="25:29" x14ac:dyDescent="0.2">
      <c r="Y2974" s="105" t="str">
        <f t="shared" si="80"/>
        <v>1w</v>
      </c>
      <c r="Z2974" s="93">
        <f>_xll.qlCalendarAdvance(Calendar,Z2973,Y2974,"f",FALSE)</f>
        <v>60045</v>
      </c>
      <c r="AA2974" s="117">
        <f>_xll.qlCalendarAdvance(Calendar,Z2974,NDays&amp;"D")</f>
        <v>60049</v>
      </c>
      <c r="AB2974" s="92">
        <v>1.184663586636212E-2</v>
      </c>
      <c r="AC2974" s="101">
        <v>1.1690686454981503E-2</v>
      </c>
    </row>
    <row r="2975" spans="25:29" x14ac:dyDescent="0.2">
      <c r="Y2975" s="105" t="str">
        <f t="shared" si="80"/>
        <v>1w</v>
      </c>
      <c r="Z2975" s="93">
        <f>_xll.qlCalendarAdvance(Calendar,Z2974,Y2975,"f",FALSE)</f>
        <v>60052</v>
      </c>
      <c r="AA2975" s="117">
        <f>_xll.qlCalendarAdvance(Calendar,Z2975,NDays&amp;"D")</f>
        <v>60056</v>
      </c>
      <c r="AB2975" s="92">
        <v>1.1855695329916519E-2</v>
      </c>
      <c r="AC2975" s="101">
        <v>1.1698617837092584E-2</v>
      </c>
    </row>
    <row r="2976" spans="25:29" x14ac:dyDescent="0.2">
      <c r="Y2976" s="105" t="str">
        <f t="shared" si="80"/>
        <v>1w</v>
      </c>
      <c r="Z2976" s="93">
        <f>_xll.qlCalendarAdvance(Calendar,Z2975,Y2976,"f",FALSE)</f>
        <v>60059</v>
      </c>
      <c r="AA2976" s="117">
        <f>_xll.qlCalendarAdvance(Calendar,Z2976,NDays&amp;"D")</f>
        <v>60063</v>
      </c>
      <c r="AB2976" s="92">
        <v>1.1865864664745608E-2</v>
      </c>
      <c r="AC2976" s="101">
        <v>1.1706704743357221E-2</v>
      </c>
    </row>
    <row r="2977" spans="25:29" x14ac:dyDescent="0.2">
      <c r="Y2977" s="105" t="str">
        <f t="shared" si="80"/>
        <v>1w</v>
      </c>
      <c r="Z2977" s="93">
        <f>_xll.qlCalendarAdvance(Calendar,Z2976,Y2977,"f",FALSE)</f>
        <v>60066</v>
      </c>
      <c r="AA2977" s="117">
        <f>_xll.qlCalendarAdvance(Calendar,Z2977,NDays&amp;"D")</f>
        <v>60070</v>
      </c>
      <c r="AB2977" s="92">
        <v>1.1876190509594939E-2</v>
      </c>
      <c r="AC2977" s="101">
        <v>1.1714947173775414E-2</v>
      </c>
    </row>
    <row r="2978" spans="25:29" x14ac:dyDescent="0.2">
      <c r="Y2978" s="105" t="str">
        <f t="shared" si="80"/>
        <v>1w</v>
      </c>
      <c r="Z2978" s="93">
        <f>_xll.qlCalendarAdvance(Calendar,Z2977,Y2978,"f",FALSE)</f>
        <v>60073</v>
      </c>
      <c r="AA2978" s="117">
        <f>_xll.qlCalendarAdvance(Calendar,Z2978,NDays&amp;"D")</f>
        <v>60077</v>
      </c>
      <c r="AB2978" s="92">
        <v>1.1886672866914577E-2</v>
      </c>
      <c r="AC2978" s="101">
        <v>1.1723345128347162E-2</v>
      </c>
    </row>
    <row r="2979" spans="25:29" x14ac:dyDescent="0.2">
      <c r="Y2979" s="105" t="str">
        <f t="shared" si="80"/>
        <v>1w</v>
      </c>
      <c r="Z2979" s="93">
        <f>_xll.qlCalendarAdvance(Calendar,Z2978,Y2979,"f",FALSE)</f>
        <v>60080</v>
      </c>
      <c r="AA2979" s="117">
        <f>_xll.qlCalendarAdvance(Calendar,Z2979,NDays&amp;"D")</f>
        <v>60084</v>
      </c>
      <c r="AB2979" s="92">
        <v>1.1899334784483136E-2</v>
      </c>
      <c r="AC2979" s="101">
        <v>1.1731898607072466E-2</v>
      </c>
    </row>
    <row r="2980" spans="25:29" x14ac:dyDescent="0.2">
      <c r="Y2980" s="105" t="str">
        <f t="shared" si="80"/>
        <v>1w</v>
      </c>
      <c r="Z2980" s="93">
        <f>_xll.qlCalendarAdvance(Calendar,Z2979,Y2980,"f",FALSE)</f>
        <v>60087</v>
      </c>
      <c r="AA2980" s="117">
        <f>_xll.qlCalendarAdvance(Calendar,Z2980,NDays&amp;"D")</f>
        <v>60091</v>
      </c>
      <c r="AB2980" s="92">
        <v>1.1909129626644439E-2</v>
      </c>
      <c r="AC2980" s="101">
        <v>1.174060760987139E-2</v>
      </c>
    </row>
    <row r="2981" spans="25:29" x14ac:dyDescent="0.2">
      <c r="Y2981" s="105" t="str">
        <f t="shared" si="80"/>
        <v>1w</v>
      </c>
      <c r="Z2981" s="93">
        <f>_xll.qlCalendarAdvance(Calendar,Z2980,Y2981,"f",FALSE)</f>
        <v>60094</v>
      </c>
      <c r="AA2981" s="117">
        <f>_xll.qlCalendarAdvance(Calendar,Z2981,NDays&amp;"D")</f>
        <v>60098</v>
      </c>
      <c r="AB2981" s="92">
        <v>1.1920093078552931E-2</v>
      </c>
      <c r="AC2981" s="101">
        <v>1.1749472136983741E-2</v>
      </c>
    </row>
    <row r="2982" spans="25:29" x14ac:dyDescent="0.2">
      <c r="Y2982" s="105" t="str">
        <f t="shared" si="80"/>
        <v>1w</v>
      </c>
      <c r="Z2982" s="93">
        <f>_xll.qlCalendarAdvance(Calendar,Z2981,Y2982,"f",FALSE)</f>
        <v>60101</v>
      </c>
      <c r="AA2982" s="117">
        <f>_xll.qlCalendarAdvance(Calendar,Z2982,NDays&amp;"D")</f>
        <v>60105</v>
      </c>
      <c r="AB2982" s="92">
        <v>1.1931213058793895E-2</v>
      </c>
      <c r="AC2982" s="101">
        <v>1.1758492188249647E-2</v>
      </c>
    </row>
    <row r="2983" spans="25:29" x14ac:dyDescent="0.2">
      <c r="Y2983" s="105" t="str">
        <f t="shared" si="80"/>
        <v>1w</v>
      </c>
      <c r="Z2983" s="93">
        <f>_xll.qlCalendarAdvance(Calendar,Z2982,Y2983,"f",FALSE)</f>
        <v>60108</v>
      </c>
      <c r="AA2983" s="117">
        <f>_xll.qlCalendarAdvance(Calendar,Z2983,NDays&amp;"D")</f>
        <v>60112</v>
      </c>
      <c r="AB2983" s="92">
        <v>1.1942489570019553E-2</v>
      </c>
      <c r="AC2983" s="101">
        <v>1.1767667763749046E-2</v>
      </c>
    </row>
    <row r="2984" spans="25:29" x14ac:dyDescent="0.2">
      <c r="Y2984" s="105" t="str">
        <f t="shared" si="80"/>
        <v>1w</v>
      </c>
      <c r="Z2984" s="93">
        <f>_xll.qlCalendarAdvance(Calendar,Z2983,Y2984,"f",FALSE)</f>
        <v>60115</v>
      </c>
      <c r="AA2984" s="117">
        <f>_xll.qlCalendarAdvance(Calendar,Z2984,NDays&amp;"D")</f>
        <v>60119</v>
      </c>
      <c r="AB2984" s="92">
        <v>1.195392261491819E-2</v>
      </c>
      <c r="AC2984" s="101">
        <v>1.1776998863402E-2</v>
      </c>
    </row>
    <row r="2985" spans="25:29" x14ac:dyDescent="0.2">
      <c r="Y2985" s="105" t="str">
        <f t="shared" si="80"/>
        <v>1w</v>
      </c>
      <c r="Z2985" s="93">
        <f>_xll.qlCalendarAdvance(Calendar,Z2984,Y2985,"f",FALSE)</f>
        <v>60122</v>
      </c>
      <c r="AA2985" s="117">
        <f>_xll.qlCalendarAdvance(Calendar,Z2985,NDays&amp;"D")</f>
        <v>60126</v>
      </c>
      <c r="AB2985" s="92">
        <v>1.1965512196217193E-2</v>
      </c>
      <c r="AC2985" s="101">
        <v>1.1786485487368381E-2</v>
      </c>
    </row>
    <row r="2986" spans="25:29" x14ac:dyDescent="0.2">
      <c r="Y2986" s="105" t="str">
        <f t="shared" si="80"/>
        <v>1w</v>
      </c>
      <c r="Z2986" s="93">
        <f>_xll.qlCalendarAdvance(Calendar,Z2985,Y2986,"f",FALSE)</f>
        <v>60129</v>
      </c>
      <c r="AA2986" s="117">
        <f>_xll.qlCalendarAdvance(Calendar,Z2986,NDays&amp;"D")</f>
        <v>60133</v>
      </c>
      <c r="AB2986" s="92">
        <v>1.1977258316680868E-2</v>
      </c>
      <c r="AC2986" s="101">
        <v>1.1796127635488318E-2</v>
      </c>
    </row>
    <row r="2987" spans="25:29" x14ac:dyDescent="0.2">
      <c r="Y2987" s="105" t="str">
        <f t="shared" si="80"/>
        <v>1w</v>
      </c>
      <c r="Z2987" s="93">
        <f>_xll.qlCalendarAdvance(Calendar,Z2986,Y2987,"f",FALSE)</f>
        <v>60136</v>
      </c>
      <c r="AA2987" s="117">
        <f>_xll.qlCalendarAdvance(Calendar,Z2987,NDays&amp;"D")</f>
        <v>60140</v>
      </c>
      <c r="AB2987" s="92">
        <v>1.1989160979110892E-2</v>
      </c>
      <c r="AC2987" s="101">
        <v>1.1805925307841747E-2</v>
      </c>
    </row>
    <row r="2988" spans="25:29" x14ac:dyDescent="0.2">
      <c r="Y2988" s="105" t="str">
        <f t="shared" si="80"/>
        <v>1w</v>
      </c>
      <c r="Z2988" s="93">
        <f>_xll.qlCalendarAdvance(Calendar,Z2987,Y2988,"f",FALSE)</f>
        <v>60143</v>
      </c>
      <c r="AA2988" s="117">
        <f>_xll.qlCalendarAdvance(Calendar,Z2988,NDays&amp;"D")</f>
        <v>60147</v>
      </c>
      <c r="AB2988" s="92">
        <v>1.1997878591296935E-2</v>
      </c>
      <c r="AC2988" s="101">
        <v>1.1815878504428667E-2</v>
      </c>
    </row>
    <row r="2989" spans="25:29" x14ac:dyDescent="0.2">
      <c r="Y2989" s="105" t="str">
        <f t="shared" si="80"/>
        <v>1w</v>
      </c>
      <c r="Z2989" s="93">
        <f>_xll.qlCalendarAdvance(Calendar,Z2988,Y2989,"f",FALSE)</f>
        <v>60150</v>
      </c>
      <c r="AA2989" s="117">
        <f>_xll.qlCalendarAdvance(Calendar,Z2989,NDays&amp;"D")</f>
        <v>60154</v>
      </c>
      <c r="AB2989" s="92">
        <v>1.2010059584234787E-2</v>
      </c>
      <c r="AC2989" s="101">
        <v>1.1825987225488888E-2</v>
      </c>
    </row>
    <row r="2990" spans="25:29" x14ac:dyDescent="0.2">
      <c r="Y2990" s="105" t="str">
        <f t="shared" si="80"/>
        <v>1w</v>
      </c>
      <c r="Z2990" s="93">
        <f>_xll.qlCalendarAdvance(Calendar,Z2989,Y2990,"f",FALSE)</f>
        <v>60157</v>
      </c>
      <c r="AA2990" s="117">
        <f>_xll.qlCalendarAdvance(Calendar,Z2990,NDays&amp;"D")</f>
        <v>60161</v>
      </c>
      <c r="AB2990" s="92">
        <v>1.2022397110262775E-2</v>
      </c>
      <c r="AC2990" s="101">
        <v>1.1836251470782599E-2</v>
      </c>
    </row>
    <row r="2991" spans="25:29" x14ac:dyDescent="0.2">
      <c r="Y2991" s="105" t="str">
        <f t="shared" si="80"/>
        <v>1w</v>
      </c>
      <c r="Z2991" s="93">
        <f>_xll.qlCalendarAdvance(Calendar,Z2990,Y2991,"f",FALSE)</f>
        <v>60164</v>
      </c>
      <c r="AA2991" s="117">
        <f>_xll.qlCalendarAdvance(Calendar,Z2991,NDays&amp;"D")</f>
        <v>60168</v>
      </c>
      <c r="AB2991" s="92">
        <v>1.2034891172275379E-2</v>
      </c>
      <c r="AC2991" s="101">
        <v>1.1846671240229867E-2</v>
      </c>
    </row>
    <row r="2992" spans="25:29" x14ac:dyDescent="0.2">
      <c r="Y2992" s="105" t="str">
        <f t="shared" si="80"/>
        <v>1w</v>
      </c>
      <c r="Z2992" s="93">
        <f>_xll.qlCalendarAdvance(Calendar,Z2991,Y2992,"f",FALSE)</f>
        <v>60171</v>
      </c>
      <c r="AA2992" s="117">
        <f>_xll.qlCalendarAdvance(Calendar,Z2992,NDays&amp;"D")</f>
        <v>60175</v>
      </c>
      <c r="AB2992" s="92">
        <v>1.2048700889269466E-2</v>
      </c>
      <c r="AC2992" s="101">
        <v>1.1857246534150434E-2</v>
      </c>
    </row>
    <row r="2993" spans="25:29" x14ac:dyDescent="0.2">
      <c r="Y2993" s="105" t="str">
        <f t="shared" si="80"/>
        <v>1w</v>
      </c>
      <c r="Z2993" s="93">
        <f>_xll.qlCalendarAdvance(Calendar,Z2992,Y2993,"f",FALSE)</f>
        <v>60178</v>
      </c>
      <c r="AA2993" s="117">
        <f>_xll.qlCalendarAdvance(Calendar,Z2993,NDays&amp;"D")</f>
        <v>60182</v>
      </c>
      <c r="AB2993" s="92">
        <v>1.2061519642013144E-2</v>
      </c>
      <c r="AC2993" s="101">
        <v>1.1867977352304493E-2</v>
      </c>
    </row>
    <row r="2994" spans="25:29" x14ac:dyDescent="0.2">
      <c r="Y2994" s="105" t="str">
        <f t="shared" si="80"/>
        <v>1w</v>
      </c>
      <c r="Z2994" s="93">
        <f>_xll.qlCalendarAdvance(Calendar,Z2993,Y2994,"f",FALSE)</f>
        <v>60185</v>
      </c>
      <c r="AA2994" s="117">
        <f>_xll.qlCalendarAdvance(Calendar,Z2994,NDays&amp;"D")</f>
        <v>60189</v>
      </c>
      <c r="AB2994" s="92">
        <v>1.2074494945554201E-2</v>
      </c>
      <c r="AC2994" s="101">
        <v>1.1878863694931852E-2</v>
      </c>
    </row>
    <row r="2995" spans="25:29" x14ac:dyDescent="0.2">
      <c r="Y2995" s="105" t="str">
        <f t="shared" si="80"/>
        <v>1w</v>
      </c>
      <c r="Z2995" s="93">
        <f>_xll.qlCalendarAdvance(Calendar,Z2994,Y2995,"f",FALSE)</f>
        <v>60192</v>
      </c>
      <c r="AA2995" s="117">
        <f>_xll.qlCalendarAdvance(Calendar,Z2995,NDays&amp;"D")</f>
        <v>60196</v>
      </c>
      <c r="AB2995" s="92">
        <v>1.2087626802952171E-2</v>
      </c>
      <c r="AC2995" s="101">
        <v>1.1889905561712766E-2</v>
      </c>
    </row>
    <row r="2996" spans="25:29" x14ac:dyDescent="0.2">
      <c r="Y2996" s="105" t="str">
        <f t="shared" si="80"/>
        <v>1w</v>
      </c>
      <c r="Z2996" s="93">
        <f>_xll.qlCalendarAdvance(Calendar,Z2995,Y2996,"f",FALSE)</f>
        <v>60199</v>
      </c>
      <c r="AA2996" s="117">
        <f>_xll.qlCalendarAdvance(Calendar,Z2996,NDays&amp;"D")</f>
        <v>60203</v>
      </c>
      <c r="AB2996" s="92">
        <v>1.210091521730655E-2</v>
      </c>
      <c r="AC2996" s="101">
        <v>1.1901102953046916E-2</v>
      </c>
    </row>
    <row r="2997" spans="25:29" x14ac:dyDescent="0.2">
      <c r="Y2997" s="105" t="str">
        <f t="shared" si="80"/>
        <v>1w</v>
      </c>
      <c r="Z2997" s="93">
        <f>_xll.qlCalendarAdvance(Calendar,Z2996,Y2997,"f",FALSE)</f>
        <v>60206</v>
      </c>
      <c r="AA2997" s="117">
        <f>_xll.qlCalendarAdvance(Calendar,Z2997,NDays&amp;"D")</f>
        <v>60210</v>
      </c>
      <c r="AB2997" s="92">
        <v>1.2113142966752045E-2</v>
      </c>
      <c r="AC2997" s="101">
        <v>1.1912455868694494E-2</v>
      </c>
    </row>
    <row r="2998" spans="25:29" x14ac:dyDescent="0.2">
      <c r="Y2998" s="105" t="str">
        <f t="shared" si="80"/>
        <v>1w</v>
      </c>
      <c r="Z2998" s="93">
        <f>_xll.qlCalendarAdvance(Calendar,Z2997,Y2998,"f",FALSE)</f>
        <v>60213</v>
      </c>
      <c r="AA2998" s="117">
        <f>_xll.qlCalendarAdvance(Calendar,Z2998,NDays&amp;"D")</f>
        <v>60217</v>
      </c>
      <c r="AB2998" s="92">
        <v>1.2126732864790329E-2</v>
      </c>
      <c r="AC2998" s="101">
        <v>1.1923964308815371E-2</v>
      </c>
    </row>
    <row r="2999" spans="25:29" x14ac:dyDescent="0.2">
      <c r="Y2999" s="105" t="str">
        <f t="shared" si="80"/>
        <v>1w</v>
      </c>
      <c r="Z2999" s="93">
        <f>_xll.qlCalendarAdvance(Calendar,Z2998,Y2999,"f",FALSE)</f>
        <v>60220</v>
      </c>
      <c r="AA2999" s="117">
        <f>_xll.qlCalendarAdvance(Calendar,Z2999,NDays&amp;"D")</f>
        <v>60224</v>
      </c>
      <c r="AB2999" s="92">
        <v>1.2140479323292212E-2</v>
      </c>
      <c r="AC2999" s="101">
        <v>1.1935628273249677E-2</v>
      </c>
    </row>
    <row r="3000" spans="25:29" x14ac:dyDescent="0.2">
      <c r="Y3000" s="105" t="str">
        <f t="shared" si="80"/>
        <v>1w</v>
      </c>
      <c r="Z3000" s="93">
        <f>_xll.qlCalendarAdvance(Calendar,Z2999,Y3000,"f",FALSE)</f>
        <v>60227</v>
      </c>
      <c r="AA3000" s="117">
        <f>_xll.qlCalendarAdvance(Calendar,Z3000,NDays&amp;"D")</f>
        <v>60231</v>
      </c>
      <c r="AB3000" s="92">
        <v>1.2154382345483399E-2</v>
      </c>
      <c r="AC3000" s="101">
        <v>1.1947447762237218E-2</v>
      </c>
    </row>
    <row r="3001" spans="25:29" x14ac:dyDescent="0.2">
      <c r="Y3001" s="105" t="str">
        <f t="shared" si="80"/>
        <v>1w</v>
      </c>
      <c r="Z3001" s="93">
        <f>_xll.qlCalendarAdvance(Calendar,Z3000,Y3001,"f",FALSE)</f>
        <v>60234</v>
      </c>
      <c r="AA3001" s="117">
        <f>_xll.qlCalendarAdvance(Calendar,Z3001,NDays&amp;"D")</f>
        <v>60238</v>
      </c>
      <c r="AB3001" s="92">
        <v>1.2169705754433375E-2</v>
      </c>
      <c r="AC3001" s="101">
        <v>1.1959422775538187E-2</v>
      </c>
    </row>
    <row r="3002" spans="25:29" x14ac:dyDescent="0.2">
      <c r="Y3002" s="105" t="str">
        <f t="shared" si="80"/>
        <v>1w</v>
      </c>
      <c r="Z3002" s="93">
        <f>_xll.qlCalendarAdvance(Calendar,Z3001,Y3002,"f",FALSE)</f>
        <v>60241</v>
      </c>
      <c r="AA3002" s="117">
        <f>_xll.qlCalendarAdvance(Calendar,Z3002,NDays&amp;"D")</f>
        <v>60245</v>
      </c>
      <c r="AB3002" s="92">
        <v>1.2183933577649662E-2</v>
      </c>
      <c r="AC3002" s="101">
        <v>1.1971553313392391E-2</v>
      </c>
    </row>
    <row r="3003" spans="25:29" x14ac:dyDescent="0.2">
      <c r="Y3003" s="105" t="str">
        <f t="shared" si="80"/>
        <v>1w</v>
      </c>
      <c r="Z3003" s="93">
        <f>_xll.qlCalendarAdvance(Calendar,Z3002,Y3003,"f",FALSE)</f>
        <v>60248</v>
      </c>
      <c r="AA3003" s="117">
        <f>_xll.qlCalendarAdvance(Calendar,Z3003,NDays&amp;"D")</f>
        <v>60252</v>
      </c>
      <c r="AB3003" s="92">
        <v>1.2198317980542207E-2</v>
      </c>
      <c r="AC3003" s="101">
        <v>1.1983839375719896E-2</v>
      </c>
    </row>
    <row r="3004" spans="25:29" x14ac:dyDescent="0.2">
      <c r="Y3004" s="105" t="str">
        <f t="shared" si="80"/>
        <v>1w</v>
      </c>
      <c r="Z3004" s="93">
        <f>_xll.qlCalendarAdvance(Calendar,Z3003,Y3004,"f",FALSE)</f>
        <v>60255</v>
      </c>
      <c r="AA3004" s="117">
        <f>_xll.qlCalendarAdvance(Calendar,Z3004,NDays&amp;"D")</f>
        <v>60259</v>
      </c>
      <c r="AB3004" s="92">
        <v>1.2212858966504779E-2</v>
      </c>
      <c r="AC3004" s="101">
        <v>1.1996280962440764E-2</v>
      </c>
    </row>
    <row r="3005" spans="25:29" x14ac:dyDescent="0.2">
      <c r="Y3005" s="105" t="str">
        <f t="shared" si="80"/>
        <v>1w</v>
      </c>
      <c r="Z3005" s="93">
        <f>_xll.qlCalendarAdvance(Calendar,Z3004,Y3005,"f",FALSE)</f>
        <v>60265</v>
      </c>
      <c r="AA3005" s="117">
        <f>_xll.qlCalendarAdvance(Calendar,Z3005,NDays&amp;"D")</f>
        <v>60267</v>
      </c>
      <c r="AB3005" s="92">
        <v>1.2228356793823997E-2</v>
      </c>
      <c r="AC3005" s="101">
        <v>1.2011798472437718E-2</v>
      </c>
    </row>
    <row r="3006" spans="25:29" x14ac:dyDescent="0.2">
      <c r="Y3006" s="105" t="str">
        <f t="shared" si="80"/>
        <v>1w</v>
      </c>
      <c r="Z3006" s="93">
        <f>_xll.qlCalendarAdvance(Calendar,Z3005,Y3006,"f",FALSE)</f>
        <v>60272</v>
      </c>
      <c r="AA3006" s="117">
        <f>_xll.qlCalendarAdvance(Calendar,Z3006,NDays&amp;"D")</f>
        <v>60274</v>
      </c>
      <c r="AB3006" s="92">
        <v>1.2243221175439077E-2</v>
      </c>
      <c r="AC3006" s="101">
        <v>1.2023465210653228E-2</v>
      </c>
    </row>
    <row r="3007" spans="25:29" x14ac:dyDescent="0.2">
      <c r="Y3007" s="105" t="str">
        <f t="shared" si="80"/>
        <v>1w</v>
      </c>
      <c r="Z3007" s="93">
        <f>_xll.qlCalendarAdvance(Calendar,Z3006,Y3007,"f",FALSE)</f>
        <v>60279</v>
      </c>
      <c r="AA3007" s="117">
        <f>_xll.qlCalendarAdvance(Calendar,Z3007,NDays&amp;"D")</f>
        <v>60281</v>
      </c>
      <c r="AB3007" s="92">
        <v>1.2258236683351046E-2</v>
      </c>
      <c r="AC3007" s="101">
        <v>1.2036395588861382E-2</v>
      </c>
    </row>
    <row r="3008" spans="25:29" x14ac:dyDescent="0.2">
      <c r="Y3008" s="105" t="str">
        <f t="shared" si="80"/>
        <v>1w</v>
      </c>
      <c r="Z3008" s="93">
        <f>_xll.qlCalendarAdvance(Calendar,Z3007,Y3008,"f",FALSE)</f>
        <v>60286</v>
      </c>
      <c r="AA3008" s="117">
        <f>_xll.qlCalendarAdvance(Calendar,Z3008,NDays&amp;"D")</f>
        <v>60288</v>
      </c>
      <c r="AB3008" s="92">
        <v>1.2273395745761691E-2</v>
      </c>
      <c r="AC3008" s="101">
        <v>1.2049481491702707E-2</v>
      </c>
    </row>
    <row r="3009" spans="25:29" x14ac:dyDescent="0.2">
      <c r="Y3009" s="105" t="str">
        <f t="shared" si="80"/>
        <v>1w</v>
      </c>
      <c r="Z3009" s="93">
        <f>_xll.qlCalendarAdvance(Calendar,Z3008,Y3009,"f",FALSE)</f>
        <v>60293</v>
      </c>
      <c r="AA3009" s="117">
        <f>_xll.qlCalendarAdvance(Calendar,Z3009,NDays&amp;"D")</f>
        <v>60295</v>
      </c>
      <c r="AB3009" s="92">
        <v>1.2288690761114942E-2</v>
      </c>
      <c r="AC3009" s="101">
        <v>1.2062722919017332E-2</v>
      </c>
    </row>
    <row r="3010" spans="25:29" x14ac:dyDescent="0.2">
      <c r="Y3010" s="105" t="str">
        <f t="shared" si="80"/>
        <v>1w</v>
      </c>
      <c r="Z3010" s="93">
        <f>_xll.qlCalendarAdvance(Calendar,Z3009,Y3010,"f",FALSE)</f>
        <v>60300</v>
      </c>
      <c r="AA3010" s="117">
        <f>_xll.qlCalendarAdvance(Calendar,Z3010,NDays&amp;"D")</f>
        <v>60302</v>
      </c>
      <c r="AB3010" s="92">
        <v>1.2304114127648926E-2</v>
      </c>
      <c r="AC3010" s="101">
        <v>1.2076119870885194E-2</v>
      </c>
    </row>
    <row r="3011" spans="25:29" x14ac:dyDescent="0.2">
      <c r="Y3011" s="105" t="str">
        <f t="shared" si="80"/>
        <v>1w</v>
      </c>
      <c r="Z3011" s="93">
        <f>_xll.qlCalendarAdvance(Calendar,Z3010,Y3011,"f",FALSE)</f>
        <v>60307</v>
      </c>
      <c r="AA3011" s="117">
        <f>_xll.qlCalendarAdvance(Calendar,Z3011,NDays&amp;"D")</f>
        <v>60309</v>
      </c>
      <c r="AB3011" s="92">
        <v>1.2319658243395086E-2</v>
      </c>
      <c r="AC3011" s="101">
        <v>1.2089672347386227E-2</v>
      </c>
    </row>
    <row r="3012" spans="25:29" x14ac:dyDescent="0.2">
      <c r="Y3012" s="105" t="str">
        <f t="shared" si="80"/>
        <v>1w</v>
      </c>
      <c r="Z3012" s="93">
        <f>_xll.qlCalendarAdvance(Calendar,Z3011,Y3012,"f",FALSE)</f>
        <v>60314</v>
      </c>
      <c r="AA3012" s="117">
        <f>_xll.qlCalendarAdvance(Calendar,Z3012,NDays&amp;"D")</f>
        <v>60316</v>
      </c>
      <c r="AB3012" s="92">
        <v>1.2335315506170671E-2</v>
      </c>
      <c r="AC3012" s="101">
        <v>1.2103380348600368E-2</v>
      </c>
    </row>
    <row r="3013" spans="25:29" x14ac:dyDescent="0.2">
      <c r="Y3013" s="105" t="str">
        <f t="shared" si="80"/>
        <v>1w</v>
      </c>
      <c r="Z3013" s="93">
        <f>_xll.qlCalendarAdvance(Calendar,Z3012,Y3013,"f",FALSE)</f>
        <v>60321</v>
      </c>
      <c r="AA3013" s="117">
        <f>_xll.qlCalendarAdvance(Calendar,Z3013,NDays&amp;"D")</f>
        <v>60323</v>
      </c>
      <c r="AB3013" s="92">
        <v>1.235107831357388E-2</v>
      </c>
      <c r="AC3013" s="101">
        <v>1.2117243874447681E-2</v>
      </c>
    </row>
    <row r="3014" spans="25:29" x14ac:dyDescent="0.2">
      <c r="Y3014" s="105" t="str">
        <f t="shared" si="80"/>
        <v>1w</v>
      </c>
      <c r="Z3014" s="93">
        <f>_xll.qlCalendarAdvance(Calendar,Z3013,Y3014,"f",FALSE)</f>
        <v>60328</v>
      </c>
      <c r="AA3014" s="117">
        <f>_xll.qlCalendarAdvance(Calendar,Z3014,NDays&amp;"D")</f>
        <v>60330</v>
      </c>
      <c r="AB3014" s="92">
        <v>1.2371081100236438E-2</v>
      </c>
      <c r="AC3014" s="101">
        <v>1.2131262924928166E-2</v>
      </c>
    </row>
    <row r="3015" spans="25:29" x14ac:dyDescent="0.2">
      <c r="Y3015" s="105" t="str">
        <f t="shared" si="80"/>
        <v>1w</v>
      </c>
      <c r="Z3015" s="93">
        <f>_xll.qlCalendarAdvance(Calendar,Z3014,Y3015,"f",FALSE)</f>
        <v>60335</v>
      </c>
      <c r="AA3015" s="117">
        <f>_xll.qlCalendarAdvance(Calendar,Z3015,NDays&amp;"D")</f>
        <v>60337</v>
      </c>
      <c r="AB3015" s="92">
        <v>1.2387042429976956E-2</v>
      </c>
      <c r="AC3015" s="101">
        <v>1.2145437500121758E-2</v>
      </c>
    </row>
    <row r="3016" spans="25:29" x14ac:dyDescent="0.2">
      <c r="Y3016" s="105" t="str">
        <f t="shared" si="80"/>
        <v>1w</v>
      </c>
      <c r="Z3016" s="93">
        <f>_xll.qlCalendarAdvance(Calendar,Z3015,Y3016,"f",FALSE)</f>
        <v>60342</v>
      </c>
      <c r="AA3016" s="117">
        <f>_xll.qlCalendarAdvance(Calendar,Z3016,NDays&amp;"D")</f>
        <v>60344</v>
      </c>
      <c r="AB3016" s="92">
        <v>1.2403084504813736E-2</v>
      </c>
      <c r="AC3016" s="101">
        <v>1.2159767600028459E-2</v>
      </c>
    </row>
    <row r="3017" spans="25:29" x14ac:dyDescent="0.2">
      <c r="Y3017" s="105" t="str">
        <f t="shared" si="80"/>
        <v>1w</v>
      </c>
      <c r="Z3017" s="93">
        <f>_xll.qlCalendarAdvance(Calendar,Z3016,Y3017,"f",FALSE)</f>
        <v>60349</v>
      </c>
      <c r="AA3017" s="117">
        <f>_xll.qlCalendarAdvance(Calendar,Z3017,NDays&amp;"D")</f>
        <v>60351</v>
      </c>
      <c r="AB3017" s="92">
        <v>1.2419199844635031E-2</v>
      </c>
      <c r="AC3017" s="101">
        <v>1.2174253224648268E-2</v>
      </c>
    </row>
    <row r="3018" spans="25:29" x14ac:dyDescent="0.2">
      <c r="Y3018" s="105" t="str">
        <f t="shared" si="80"/>
        <v>1w</v>
      </c>
      <c r="Z3018" s="93">
        <f>_xll.qlCalendarAdvance(Calendar,Z3017,Y3018,"f",FALSE)</f>
        <v>60357</v>
      </c>
      <c r="AA3018" s="117">
        <f>_xll.qlCalendarAdvance(Calendar,Z3018,NDays&amp;"D")</f>
        <v>60359</v>
      </c>
      <c r="AB3018" s="92">
        <v>1.2436306821405483E-2</v>
      </c>
      <c r="AC3018" s="101">
        <v>1.2190998662724439E-2</v>
      </c>
    </row>
    <row r="3019" spans="25:29" x14ac:dyDescent="0.2">
      <c r="Y3019" s="105" t="str">
        <f t="shared" si="80"/>
        <v>1w</v>
      </c>
      <c r="Z3019" s="93">
        <f>_xll.qlCalendarAdvance(Calendar,Z3018,Y3019,"f",FALSE)</f>
        <v>60364</v>
      </c>
      <c r="AA3019" s="117">
        <f>_xll.qlCalendarAdvance(Calendar,Z3019,NDays&amp;"D")</f>
        <v>60366</v>
      </c>
      <c r="AB3019" s="92">
        <v>1.245255307192872E-2</v>
      </c>
      <c r="AC3019" s="101">
        <v>1.2205817554598042E-2</v>
      </c>
    </row>
    <row r="3020" spans="25:29" x14ac:dyDescent="0.2">
      <c r="Y3020" s="105" t="str">
        <f t="shared" si="80"/>
        <v>1w</v>
      </c>
      <c r="Z3020" s="93">
        <f>_xll.qlCalendarAdvance(Calendar,Z3019,Y3020,"f",FALSE)</f>
        <v>60371</v>
      </c>
      <c r="AA3020" s="117">
        <f>_xll.qlCalendarAdvance(Calendar,Z3020,NDays&amp;"D")</f>
        <v>60373</v>
      </c>
      <c r="AB3020" s="92">
        <v>1.2468849565107023E-2</v>
      </c>
      <c r="AC3020" s="101">
        <v>1.2220791971344624E-2</v>
      </c>
    </row>
    <row r="3021" spans="25:29" x14ac:dyDescent="0.2">
      <c r="Y3021" s="105" t="str">
        <f t="shared" si="80"/>
        <v>1w</v>
      </c>
      <c r="Z3021" s="93">
        <f>_xll.qlCalendarAdvance(Calendar,Z3020,Y3021,"f",FALSE)</f>
        <v>60378</v>
      </c>
      <c r="AA3021" s="117">
        <f>_xll.qlCalendarAdvance(Calendar,Z3021,NDays&amp;"D")</f>
        <v>60380</v>
      </c>
      <c r="AB3021" s="92">
        <v>1.2485188779217253E-2</v>
      </c>
      <c r="AC3021" s="101">
        <v>1.2235921912884251E-2</v>
      </c>
    </row>
    <row r="3022" spans="25:29" x14ac:dyDescent="0.2">
      <c r="Y3022" s="105" t="str">
        <f t="shared" si="80"/>
        <v>1w</v>
      </c>
      <c r="Z3022" s="93">
        <f>_xll.qlCalendarAdvance(Calendar,Z3021,Y3022,"f",FALSE)</f>
        <v>60385</v>
      </c>
      <c r="AA3022" s="117">
        <f>_xll.qlCalendarAdvance(Calendar,Z3022,NDays&amp;"D")</f>
        <v>60387</v>
      </c>
      <c r="AB3022" s="92">
        <v>1.2501563192291664E-2</v>
      </c>
      <c r="AC3022" s="101">
        <v>1.2255130788714208E-2</v>
      </c>
    </row>
    <row r="3023" spans="25:29" x14ac:dyDescent="0.2">
      <c r="Y3023" s="105" t="str">
        <f t="shared" si="80"/>
        <v>1w</v>
      </c>
      <c r="Z3023" s="93">
        <f>_xll.qlCalendarAdvance(Calendar,Z3022,Y3023,"f",FALSE)</f>
        <v>60392</v>
      </c>
      <c r="AA3023" s="117">
        <f>_xll.qlCalendarAdvance(Calendar,Z3023,NDays&amp;"D")</f>
        <v>60394</v>
      </c>
      <c r="AB3023" s="92">
        <v>1.2522136869951975E-2</v>
      </c>
      <c r="AC3023" s="101">
        <v>1.2266648370422573E-2</v>
      </c>
    </row>
    <row r="3024" spans="25:29" x14ac:dyDescent="0.2">
      <c r="Y3024" s="105" t="str">
        <f t="shared" si="80"/>
        <v>1w</v>
      </c>
      <c r="Z3024" s="93">
        <f>_xll.qlCalendarAdvance(Calendar,Z3023,Y3024,"f",FALSE)</f>
        <v>60399</v>
      </c>
      <c r="AA3024" s="117">
        <f>_xll.qlCalendarAdvance(Calendar,Z3024,NDays&amp;"D")</f>
        <v>60401</v>
      </c>
      <c r="AB3024" s="92">
        <v>1.2538555662679097E-2</v>
      </c>
      <c r="AC3024" s="101">
        <v>1.2282244886501203E-2</v>
      </c>
    </row>
    <row r="3025" spans="25:29" x14ac:dyDescent="0.2">
      <c r="Y3025" s="105" t="str">
        <f t="shared" si="80"/>
        <v>1w</v>
      </c>
      <c r="Z3025" s="93">
        <f>_xll.qlCalendarAdvance(Calendar,Z3024,Y3025,"f",FALSE)</f>
        <v>60406</v>
      </c>
      <c r="AA3025" s="117">
        <f>_xll.qlCalendarAdvance(Calendar,Z3025,NDays&amp;"D")</f>
        <v>60408</v>
      </c>
      <c r="AB3025" s="92">
        <v>1.2554986240979596E-2</v>
      </c>
      <c r="AC3025" s="101">
        <v>1.2297996927452814E-2</v>
      </c>
    </row>
    <row r="3026" spans="25:29" x14ac:dyDescent="0.2">
      <c r="Y3026" s="105" t="str">
        <f t="shared" si="80"/>
        <v>1w</v>
      </c>
      <c r="Z3026" s="93">
        <f>_xll.qlCalendarAdvance(Calendar,Z3025,Y3026,"f",FALSE)</f>
        <v>60413</v>
      </c>
      <c r="AA3026" s="117">
        <f>_xll.qlCalendarAdvance(Calendar,Z3026,NDays&amp;"D")</f>
        <v>60415</v>
      </c>
      <c r="AB3026" s="92">
        <v>1.2571421202432861E-2</v>
      </c>
      <c r="AC3026" s="101">
        <v>1.2313904493277406E-2</v>
      </c>
    </row>
    <row r="3027" spans="25:29" x14ac:dyDescent="0.2">
      <c r="Y3027" s="105" t="str">
        <f t="shared" si="80"/>
        <v>1w</v>
      </c>
      <c r="Z3027" s="93">
        <f>_xll.qlCalendarAdvance(Calendar,Z3026,Y3027,"f",FALSE)</f>
        <v>60420</v>
      </c>
      <c r="AA3027" s="117">
        <f>_xll.qlCalendarAdvance(Calendar,Z3027,NDays&amp;"D")</f>
        <v>60422</v>
      </c>
      <c r="AB3027" s="92">
        <v>1.2583699955888587E-2</v>
      </c>
      <c r="AC3027" s="101">
        <v>1.2329967584054913E-2</v>
      </c>
    </row>
    <row r="3028" spans="25:29" x14ac:dyDescent="0.2">
      <c r="Y3028" s="105" t="str">
        <f t="shared" si="80"/>
        <v>1w</v>
      </c>
      <c r="Z3028" s="93">
        <f>_xll.qlCalendarAdvance(Calendar,Z3027,Y3028,"f",FALSE)</f>
        <v>60427</v>
      </c>
      <c r="AA3028" s="117">
        <f>_xll.qlCalendarAdvance(Calendar,Z3028,NDays&amp;"D")</f>
        <v>60429</v>
      </c>
      <c r="AB3028" s="92">
        <v>1.2600127587521739E-2</v>
      </c>
      <c r="AC3028" s="101">
        <v>1.2346186199785336E-2</v>
      </c>
    </row>
    <row r="3029" spans="25:29" x14ac:dyDescent="0.2">
      <c r="Y3029" s="105" t="str">
        <f t="shared" ref="Y3029:Y3092" si="81">Y3028</f>
        <v>1w</v>
      </c>
      <c r="Z3029" s="93">
        <f>_xll.qlCalendarAdvance(Calendar,Z3028,Y3029,"f",FALSE)</f>
        <v>60434</v>
      </c>
      <c r="AA3029" s="117">
        <f>_xll.qlCalendarAdvance(Calendar,Z3029,NDays&amp;"D")</f>
        <v>60436</v>
      </c>
      <c r="AB3029" s="92">
        <v>1.2616537757384281E-2</v>
      </c>
      <c r="AC3029" s="101">
        <v>1.2362560340468676E-2</v>
      </c>
    </row>
    <row r="3030" spans="25:29" x14ac:dyDescent="0.2">
      <c r="Y3030" s="105" t="str">
        <f t="shared" si="81"/>
        <v>1w</v>
      </c>
      <c r="Z3030" s="93">
        <f>_xll.qlCalendarAdvance(Calendar,Z3029,Y3030,"f",FALSE)</f>
        <v>60441</v>
      </c>
      <c r="AA3030" s="117">
        <f>_xll.qlCalendarAdvance(Calendar,Z3030,NDays&amp;"D")</f>
        <v>60443</v>
      </c>
      <c r="AB3030" s="92">
        <v>1.2637056822627678E-2</v>
      </c>
      <c r="AC3030" s="101">
        <v>1.2379090006104931E-2</v>
      </c>
    </row>
    <row r="3031" spans="25:29" x14ac:dyDescent="0.2">
      <c r="Y3031" s="105" t="str">
        <f t="shared" si="81"/>
        <v>1w</v>
      </c>
      <c r="Z3031" s="93">
        <f>_xll.qlCalendarAdvance(Calendar,Z3030,Y3031,"f",FALSE)</f>
        <v>60448</v>
      </c>
      <c r="AA3031" s="117">
        <f>_xll.qlCalendarAdvance(Calendar,Z3031,NDays&amp;"D")</f>
        <v>60450</v>
      </c>
      <c r="AB3031" s="92">
        <v>1.2653402654801934E-2</v>
      </c>
      <c r="AC3031" s="101">
        <v>1.2395774532025783E-2</v>
      </c>
    </row>
    <row r="3032" spans="25:29" x14ac:dyDescent="0.2">
      <c r="Y3032" s="105" t="str">
        <f t="shared" si="81"/>
        <v>1w</v>
      </c>
      <c r="Z3032" s="93">
        <f>_xll.qlCalendarAdvance(Calendar,Z3031,Y3032,"f",FALSE)</f>
        <v>60455</v>
      </c>
      <c r="AA3032" s="117">
        <f>_xll.qlCalendarAdvance(Calendar,Z3032,NDays&amp;"D")</f>
        <v>60457</v>
      </c>
      <c r="AB3032" s="92">
        <v>1.2669709684217332E-2</v>
      </c>
      <c r="AC3032" s="101">
        <v>1.241250356882162E-2</v>
      </c>
    </row>
    <row r="3033" spans="25:29" x14ac:dyDescent="0.2">
      <c r="Y3033" s="105" t="str">
        <f t="shared" si="81"/>
        <v>1w</v>
      </c>
      <c r="Z3033" s="93">
        <f>_xll.qlCalendarAdvance(Calendar,Z3032,Y3033,"f",FALSE)</f>
        <v>60462</v>
      </c>
      <c r="AA3033" s="117">
        <f>_xll.qlCalendarAdvance(Calendar,Z3033,NDays&amp;"D")</f>
        <v>60464</v>
      </c>
      <c r="AB3033" s="92">
        <v>1.2685976676039705E-2</v>
      </c>
      <c r="AC3033" s="101">
        <v>1.2429192692584579E-2</v>
      </c>
    </row>
    <row r="3034" spans="25:29" x14ac:dyDescent="0.2">
      <c r="Y3034" s="105" t="str">
        <f t="shared" si="81"/>
        <v>1w</v>
      </c>
      <c r="Z3034" s="93">
        <f>_xll.qlCalendarAdvance(Calendar,Z3033,Y3034,"f",FALSE)</f>
        <v>60469</v>
      </c>
      <c r="AA3034" s="117">
        <f>_xll.qlCalendarAdvance(Calendar,Z3034,NDays&amp;"D")</f>
        <v>60471</v>
      </c>
      <c r="AB3034" s="92">
        <v>1.2702203629262545E-2</v>
      </c>
      <c r="AC3034" s="101">
        <v>1.2445841903154786E-2</v>
      </c>
    </row>
    <row r="3035" spans="25:29" x14ac:dyDescent="0.2">
      <c r="Y3035" s="105" t="str">
        <f t="shared" si="81"/>
        <v>1w</v>
      </c>
      <c r="Z3035" s="93">
        <f>_xll.qlCalendarAdvance(Calendar,Z3034,Y3035,"f",FALSE)</f>
        <v>60476</v>
      </c>
      <c r="AA3035" s="117">
        <f>_xll.qlCalendarAdvance(Calendar,Z3035,NDays&amp;"D")</f>
        <v>60478</v>
      </c>
      <c r="AB3035" s="92">
        <v>1.2714290974528343E-2</v>
      </c>
      <c r="AC3035" s="101">
        <v>1.2462451200612179E-2</v>
      </c>
    </row>
    <row r="3036" spans="25:29" x14ac:dyDescent="0.2">
      <c r="Y3036" s="105" t="str">
        <f t="shared" si="81"/>
        <v>1w</v>
      </c>
      <c r="Z3036" s="93">
        <f>_xll.qlCalendarAdvance(Calendar,Z3035,Y3036,"f",FALSE)</f>
        <v>60483</v>
      </c>
      <c r="AA3036" s="117">
        <f>_xll.qlCalendarAdvance(Calendar,Z3036,NDays&amp;"D")</f>
        <v>60485</v>
      </c>
      <c r="AB3036" s="92">
        <v>1.273453741590423E-2</v>
      </c>
      <c r="AC3036" s="101">
        <v>1.2479020585036693E-2</v>
      </c>
    </row>
    <row r="3037" spans="25:29" x14ac:dyDescent="0.2">
      <c r="Y3037" s="105" t="str">
        <f t="shared" si="81"/>
        <v>1w</v>
      </c>
      <c r="Z3037" s="93">
        <f>_xll.qlCalendarAdvance(Calendar,Z3036,Y3037,"f",FALSE)</f>
        <v>60490</v>
      </c>
      <c r="AA3037" s="117">
        <f>_xll.qlCalendarAdvance(Calendar,Z3037,NDays&amp;"D")</f>
        <v>60492</v>
      </c>
      <c r="AB3037" s="92">
        <v>1.2750644247324673E-2</v>
      </c>
      <c r="AC3037" s="101">
        <v>1.2495550056348392E-2</v>
      </c>
    </row>
    <row r="3038" spans="25:29" x14ac:dyDescent="0.2">
      <c r="Y3038" s="105" t="str">
        <f t="shared" si="81"/>
        <v>1w</v>
      </c>
      <c r="Z3038" s="93">
        <f>_xll.qlCalendarAdvance(Calendar,Z3037,Y3038,"f",FALSE)</f>
        <v>60497</v>
      </c>
      <c r="AA3038" s="117">
        <f>_xll.qlCalendarAdvance(Calendar,Z3038,NDays&amp;"D")</f>
        <v>60499</v>
      </c>
      <c r="AB3038" s="92">
        <v>1.2766711036150069E-2</v>
      </c>
      <c r="AC3038" s="101">
        <v>1.2512039614467341E-2</v>
      </c>
    </row>
    <row r="3039" spans="25:29" x14ac:dyDescent="0.2">
      <c r="Y3039" s="105" t="str">
        <f t="shared" si="81"/>
        <v>1w</v>
      </c>
      <c r="Z3039" s="93">
        <f>_xll.qlCalendarAdvance(Calendar,Z3038,Y3039,"f",FALSE)</f>
        <v>60504</v>
      </c>
      <c r="AA3039" s="117">
        <f>_xll.qlCalendarAdvance(Calendar,Z3039,NDays&amp;"D")</f>
        <v>60506</v>
      </c>
      <c r="AB3039" s="92">
        <v>1.2778665720182252E-2</v>
      </c>
      <c r="AC3039" s="101">
        <v>1.2528489259473474E-2</v>
      </c>
    </row>
    <row r="3040" spans="25:29" x14ac:dyDescent="0.2">
      <c r="Y3040" s="105" t="str">
        <f t="shared" si="81"/>
        <v>1w</v>
      </c>
      <c r="Z3040" s="93">
        <f>_xll.qlCalendarAdvance(Calendar,Z3039,Y3040,"f",FALSE)</f>
        <v>60511</v>
      </c>
      <c r="AA3040" s="117">
        <f>_xll.qlCalendarAdvance(Calendar,Z3040,NDays&amp;"D")</f>
        <v>60513</v>
      </c>
      <c r="AB3040" s="92">
        <v>1.2791948247728615E-2</v>
      </c>
      <c r="AC3040" s="101">
        <v>1.2544898991446729E-2</v>
      </c>
    </row>
    <row r="3041" spans="25:29" x14ac:dyDescent="0.2">
      <c r="Y3041" s="105" t="str">
        <f t="shared" si="81"/>
        <v>1w</v>
      </c>
      <c r="Z3041" s="93">
        <f>_xll.qlCalendarAdvance(Calendar,Z3040,Y3041,"f",FALSE)</f>
        <v>60518</v>
      </c>
      <c r="AA3041" s="117">
        <f>_xll.qlCalendarAdvance(Calendar,Z3041,NDays&amp;"D")</f>
        <v>60520</v>
      </c>
      <c r="AB3041" s="92">
        <v>1.2807906377291154E-2</v>
      </c>
      <c r="AC3041" s="101">
        <v>1.2561268810147297E-2</v>
      </c>
    </row>
    <row r="3042" spans="25:29" x14ac:dyDescent="0.2">
      <c r="Y3042" s="105" t="str">
        <f t="shared" si="81"/>
        <v>1w</v>
      </c>
      <c r="Z3042" s="93">
        <f>_xll.qlCalendarAdvance(Calendar,Z3041,Y3042,"f",FALSE)</f>
        <v>60525</v>
      </c>
      <c r="AA3042" s="117">
        <f>_xll.qlCalendarAdvance(Calendar,Z3042,NDays&amp;"D")</f>
        <v>60527</v>
      </c>
      <c r="AB3042" s="92">
        <v>1.2823824464247556E-2</v>
      </c>
      <c r="AC3042" s="101">
        <v>1.2577598715814986E-2</v>
      </c>
    </row>
    <row r="3043" spans="25:29" x14ac:dyDescent="0.2">
      <c r="Y3043" s="105" t="str">
        <f t="shared" si="81"/>
        <v>1w</v>
      </c>
      <c r="Z3043" s="93">
        <f>_xll.qlCalendarAdvance(Calendar,Z3042,Y3043,"f",FALSE)</f>
        <v>60532</v>
      </c>
      <c r="AA3043" s="117">
        <f>_xll.qlCalendarAdvance(Calendar,Z3043,NDays&amp;"D")</f>
        <v>60534</v>
      </c>
      <c r="AB3043" s="92">
        <v>1.2839702507639472E-2</v>
      </c>
      <c r="AC3043" s="101">
        <v>1.2593888708209988E-2</v>
      </c>
    </row>
    <row r="3044" spans="25:29" x14ac:dyDescent="0.2">
      <c r="Y3044" s="105" t="str">
        <f t="shared" si="81"/>
        <v>1w</v>
      </c>
      <c r="Z3044" s="93">
        <f>_xll.qlCalendarAdvance(Calendar,Z3043,Y3044,"f",FALSE)</f>
        <v>60539</v>
      </c>
      <c r="AA3044" s="117">
        <f>_xll.qlCalendarAdvance(Calendar,Z3044,NDays&amp;"D")</f>
        <v>60541</v>
      </c>
      <c r="AB3044" s="92">
        <v>1.2856886944411314E-2</v>
      </c>
      <c r="AC3044" s="101">
        <v>1.2610138787652048E-2</v>
      </c>
    </row>
    <row r="3045" spans="25:29" x14ac:dyDescent="0.2">
      <c r="Y3045" s="105" t="str">
        <f t="shared" si="81"/>
        <v>1w</v>
      </c>
      <c r="Z3045" s="93">
        <f>_xll.qlCalendarAdvance(Calendar,Z3044,Y3045,"f",FALSE)</f>
        <v>60546</v>
      </c>
      <c r="AA3045" s="117">
        <f>_xll.qlCalendarAdvance(Calendar,Z3045,NDays&amp;"D")</f>
        <v>60548</v>
      </c>
      <c r="AB3045" s="92">
        <v>1.287268259991709E-2</v>
      </c>
      <c r="AC3045" s="101">
        <v>1.2626348953741484E-2</v>
      </c>
    </row>
    <row r="3046" spans="25:29" x14ac:dyDescent="0.2">
      <c r="Y3046" s="105" t="str">
        <f t="shared" si="81"/>
        <v>1w</v>
      </c>
      <c r="Z3046" s="93">
        <f>_xll.qlCalendarAdvance(Calendar,Z3045,Y3046,"f",FALSE)</f>
        <v>60553</v>
      </c>
      <c r="AA3046" s="117">
        <f>_xll.qlCalendarAdvance(Calendar,Z3046,NDays&amp;"D")</f>
        <v>60555</v>
      </c>
      <c r="AB3046" s="92">
        <v>1.2888438208193159E-2</v>
      </c>
      <c r="AC3046" s="101">
        <v>1.2642519206798042E-2</v>
      </c>
    </row>
    <row r="3047" spans="25:29" x14ac:dyDescent="0.2">
      <c r="Y3047" s="105" t="str">
        <f t="shared" si="81"/>
        <v>1w</v>
      </c>
      <c r="Z3047" s="93">
        <f>_xll.qlCalendarAdvance(Calendar,Z3046,Y3047,"f",FALSE)</f>
        <v>60560</v>
      </c>
      <c r="AA3047" s="117">
        <f>_xll.qlCalendarAdvance(Calendar,Z3047,NDays&amp;"D")</f>
        <v>60562</v>
      </c>
      <c r="AB3047" s="92">
        <v>1.2904153768288193E-2</v>
      </c>
      <c r="AC3047" s="101">
        <v>1.2658649546661849E-2</v>
      </c>
    </row>
    <row r="3048" spans="25:29" x14ac:dyDescent="0.2">
      <c r="Y3048" s="105" t="str">
        <f t="shared" si="81"/>
        <v>1w</v>
      </c>
      <c r="Z3048" s="93">
        <f>_xll.qlCalendarAdvance(Calendar,Z3047,Y3048,"f",FALSE)</f>
        <v>60567</v>
      </c>
      <c r="AA3048" s="117">
        <f>_xll.qlCalendarAdvance(Calendar,Z3048,NDays&amp;"D")</f>
        <v>60569</v>
      </c>
      <c r="AB3048" s="92">
        <v>1.2919829279249987E-2</v>
      </c>
      <c r="AC3048" s="101">
        <v>1.2674739973412841E-2</v>
      </c>
    </row>
    <row r="3049" spans="25:29" x14ac:dyDescent="0.2">
      <c r="Y3049" s="105" t="str">
        <f t="shared" si="81"/>
        <v>1w</v>
      </c>
      <c r="Z3049" s="93">
        <f>_xll.qlCalendarAdvance(Calendar,Z3048,Y3049,"f",FALSE)</f>
        <v>60574</v>
      </c>
      <c r="AA3049" s="117">
        <f>_xll.qlCalendarAdvance(Calendar,Z3049,NDays&amp;"D")</f>
        <v>60576</v>
      </c>
      <c r="AB3049" s="92">
        <v>1.2934129799848992E-2</v>
      </c>
      <c r="AC3049" s="101">
        <v>1.2690790486891146E-2</v>
      </c>
    </row>
    <row r="3050" spans="25:29" x14ac:dyDescent="0.2">
      <c r="Y3050" s="105" t="str">
        <f t="shared" si="81"/>
        <v>1w</v>
      </c>
      <c r="Z3050" s="93">
        <f>_xll.qlCalendarAdvance(Calendar,Z3049,Y3050,"f",FALSE)</f>
        <v>60581</v>
      </c>
      <c r="AA3050" s="117">
        <f>_xll.qlCalendarAdvance(Calendar,Z3050,NDays&amp;"D")</f>
        <v>60583</v>
      </c>
      <c r="AB3050" s="92">
        <v>1.2949727511692878E-2</v>
      </c>
      <c r="AC3050" s="101">
        <v>1.2706801087256636E-2</v>
      </c>
    </row>
    <row r="3051" spans="25:29" x14ac:dyDescent="0.2">
      <c r="Y3051" s="105" t="str">
        <f t="shared" si="81"/>
        <v>1w</v>
      </c>
      <c r="Z3051" s="93">
        <f>_xll.qlCalendarAdvance(Calendar,Z3050,Y3051,"f",FALSE)</f>
        <v>60588</v>
      </c>
      <c r="AA3051" s="117">
        <f>_xll.qlCalendarAdvance(Calendar,Z3051,NDays&amp;"D")</f>
        <v>60590</v>
      </c>
      <c r="AB3051" s="92">
        <v>1.2965285172400875E-2</v>
      </c>
      <c r="AC3051" s="101">
        <v>1.272277177434944E-2</v>
      </c>
    </row>
    <row r="3052" spans="25:29" x14ac:dyDescent="0.2">
      <c r="Y3052" s="105" t="str">
        <f t="shared" si="81"/>
        <v>1w</v>
      </c>
      <c r="Z3052" s="93">
        <f>_xll.qlCalendarAdvance(Calendar,Z3051,Y3052,"f",FALSE)</f>
        <v>60595</v>
      </c>
      <c r="AA3052" s="117">
        <f>_xll.qlCalendarAdvance(Calendar,Z3052,NDays&amp;"D")</f>
        <v>60597</v>
      </c>
      <c r="AB3052" s="92">
        <v>1.2980802781037599E-2</v>
      </c>
      <c r="AC3052" s="101">
        <v>1.2738702548329428E-2</v>
      </c>
    </row>
    <row r="3053" spans="25:29" x14ac:dyDescent="0.2">
      <c r="Y3053" s="105" t="str">
        <f t="shared" si="81"/>
        <v>1w</v>
      </c>
      <c r="Z3053" s="93">
        <f>_xll.qlCalendarAdvance(Calendar,Z3052,Y3053,"f",FALSE)</f>
        <v>60602</v>
      </c>
      <c r="AA3053" s="117">
        <f>_xll.qlCalendarAdvance(Calendar,Z3053,NDays&amp;"D")</f>
        <v>60604</v>
      </c>
      <c r="AB3053" s="92">
        <v>1.2997606063982189E-2</v>
      </c>
      <c r="AC3053" s="101">
        <v>1.275459340903673E-2</v>
      </c>
    </row>
    <row r="3054" spans="25:29" x14ac:dyDescent="0.2">
      <c r="Y3054" s="105" t="str">
        <f t="shared" si="81"/>
        <v>1w</v>
      </c>
      <c r="Z3054" s="93">
        <f>_xll.qlCalendarAdvance(Calendar,Z3053,Y3054,"f",FALSE)</f>
        <v>60609</v>
      </c>
      <c r="AA3054" s="117">
        <f>_xll.qlCalendarAdvance(Calendar,Z3054,NDays&amp;"D")</f>
        <v>60611</v>
      </c>
      <c r="AB3054" s="92">
        <v>1.3013041260328302E-2</v>
      </c>
      <c r="AC3054" s="101">
        <v>1.2770444356631216E-2</v>
      </c>
    </row>
    <row r="3055" spans="25:29" x14ac:dyDescent="0.2">
      <c r="Y3055" s="105" t="str">
        <f t="shared" si="81"/>
        <v>1w</v>
      </c>
      <c r="Z3055" s="93">
        <f>_xll.qlCalendarAdvance(Calendar,Z3054,Y3055,"f",FALSE)</f>
        <v>60616</v>
      </c>
      <c r="AA3055" s="117">
        <f>_xll.qlCalendarAdvance(Calendar,Z3055,NDays&amp;"D")</f>
        <v>60618</v>
      </c>
      <c r="AB3055" s="92">
        <v>1.3028436400956991E-2</v>
      </c>
      <c r="AC3055" s="101">
        <v>1.2786255390953016E-2</v>
      </c>
    </row>
    <row r="3056" spans="25:29" x14ac:dyDescent="0.2">
      <c r="Y3056" s="105" t="str">
        <f t="shared" si="81"/>
        <v>1w</v>
      </c>
      <c r="Z3056" s="93">
        <f>_xll.qlCalendarAdvance(Calendar,Z3055,Y3056,"f",FALSE)</f>
        <v>60623</v>
      </c>
      <c r="AA3056" s="117">
        <f>_xll.qlCalendarAdvance(Calendar,Z3056,NDays&amp;"D")</f>
        <v>60625</v>
      </c>
      <c r="AB3056" s="92">
        <v>1.3043791484938011E-2</v>
      </c>
      <c r="AC3056" s="101">
        <v>1.2806083595131579E-2</v>
      </c>
    </row>
    <row r="3057" spans="25:29" x14ac:dyDescent="0.2">
      <c r="Y3057" s="105" t="str">
        <f t="shared" si="81"/>
        <v>1w</v>
      </c>
      <c r="Z3057" s="93">
        <f>_xll.qlCalendarAdvance(Calendar,Z3056,Y3057,"f",FALSE)</f>
        <v>60630</v>
      </c>
      <c r="AA3057" s="117">
        <f>_xll.qlCalendarAdvance(Calendar,Z3057,NDays&amp;"D")</f>
        <v>60632</v>
      </c>
      <c r="AB3057" s="92">
        <v>1.305779001057664E-2</v>
      </c>
      <c r="AC3057" s="101">
        <v>1.2821807929106477E-2</v>
      </c>
    </row>
    <row r="3058" spans="25:29" x14ac:dyDescent="0.2">
      <c r="Y3058" s="105" t="str">
        <f t="shared" si="81"/>
        <v>1w</v>
      </c>
      <c r="Z3058" s="93">
        <f>_xll.qlCalendarAdvance(Calendar,Z3057,Y3058,"f",FALSE)</f>
        <v>60637</v>
      </c>
      <c r="AA3058" s="117">
        <f>_xll.qlCalendarAdvance(Calendar,Z3058,NDays&amp;"D")</f>
        <v>60639</v>
      </c>
      <c r="AB3058" s="92">
        <v>1.3073067287272496E-2</v>
      </c>
      <c r="AC3058" s="101">
        <v>1.2833449014602039E-2</v>
      </c>
    </row>
    <row r="3059" spans="25:29" x14ac:dyDescent="0.2">
      <c r="Y3059" s="105" t="str">
        <f t="shared" si="81"/>
        <v>1w</v>
      </c>
      <c r="Z3059" s="93">
        <f>_xll.qlCalendarAdvance(Calendar,Z3058,Y3059,"f",FALSE)</f>
        <v>60644</v>
      </c>
      <c r="AA3059" s="117">
        <f>_xll.qlCalendarAdvance(Calendar,Z3059,NDays&amp;"D")</f>
        <v>60646</v>
      </c>
      <c r="AB3059" s="92">
        <v>1.3088304505414752E-2</v>
      </c>
      <c r="AC3059" s="101">
        <v>1.2849100396072899E-2</v>
      </c>
    </row>
    <row r="3060" spans="25:29" x14ac:dyDescent="0.2">
      <c r="Y3060" s="105" t="str">
        <f t="shared" si="81"/>
        <v>1w</v>
      </c>
      <c r="Z3060" s="93">
        <f>_xll.qlCalendarAdvance(Calendar,Z3059,Y3060,"f",FALSE)</f>
        <v>60651</v>
      </c>
      <c r="AA3060" s="117">
        <f>_xll.qlCalendarAdvance(Calendar,Z3060,NDays&amp;"D")</f>
        <v>60653</v>
      </c>
      <c r="AB3060" s="92">
        <v>1.3103501664088336E-2</v>
      </c>
      <c r="AC3060" s="101">
        <v>1.2864711864351008E-2</v>
      </c>
    </row>
    <row r="3061" spans="25:29" x14ac:dyDescent="0.2">
      <c r="Y3061" s="105" t="str">
        <f t="shared" si="81"/>
        <v>1w</v>
      </c>
      <c r="Z3061" s="93">
        <f>_xll.qlCalendarAdvance(Calendar,Z3060,Y3061,"f",FALSE)</f>
        <v>60658</v>
      </c>
      <c r="AA3061" s="117">
        <f>_xll.qlCalendarAdvance(Calendar,Z3061,NDays&amp;"D")</f>
        <v>60660</v>
      </c>
      <c r="AB3061" s="92">
        <v>1.3118658762377298E-2</v>
      </c>
      <c r="AC3061" s="101">
        <v>1.2880283419356431E-2</v>
      </c>
    </row>
    <row r="3062" spans="25:29" x14ac:dyDescent="0.2">
      <c r="Y3062" s="105" t="str">
        <f t="shared" si="81"/>
        <v>1w</v>
      </c>
      <c r="Z3062" s="93">
        <f>_xll.qlCalendarAdvance(Calendar,Z3061,Y3062,"f",FALSE)</f>
        <v>60665</v>
      </c>
      <c r="AA3062" s="117">
        <f>_xll.qlCalendarAdvance(Calendar,Z3062,NDays&amp;"D")</f>
        <v>60667</v>
      </c>
      <c r="AB3062" s="92">
        <v>1.3133775799369661E-2</v>
      </c>
      <c r="AC3062" s="101">
        <v>1.2895815060929294E-2</v>
      </c>
    </row>
    <row r="3063" spans="25:29" x14ac:dyDescent="0.2">
      <c r="Y3063" s="105" t="str">
        <f t="shared" si="81"/>
        <v>1w</v>
      </c>
      <c r="Z3063" s="93">
        <f>_xll.qlCalendarAdvance(Calendar,Z3062,Y3063,"f",FALSE)</f>
        <v>60672</v>
      </c>
      <c r="AA3063" s="117">
        <f>_xll.qlCalendarAdvance(Calendar,Z3063,NDays&amp;"D")</f>
        <v>60674</v>
      </c>
      <c r="AB3063" s="92">
        <v>1.3148852774159185E-2</v>
      </c>
      <c r="AC3063" s="101">
        <v>1.2911306789469279E-2</v>
      </c>
    </row>
    <row r="3064" spans="25:29" x14ac:dyDescent="0.2">
      <c r="Y3064" s="105" t="str">
        <f t="shared" si="81"/>
        <v>1w</v>
      </c>
      <c r="Z3064" s="93">
        <f>_xll.qlCalendarAdvance(Calendar,Z3063,Y3064,"f",FALSE)</f>
        <v>60679</v>
      </c>
      <c r="AA3064" s="117">
        <f>_xll.qlCalendarAdvance(Calendar,Z3064,NDays&amp;"D")</f>
        <v>60681</v>
      </c>
      <c r="AB3064" s="92">
        <v>1.3163889685836545E-2</v>
      </c>
      <c r="AC3064" s="101">
        <v>1.2926758604736577E-2</v>
      </c>
    </row>
    <row r="3065" spans="25:29" x14ac:dyDescent="0.2">
      <c r="Y3065" s="105" t="str">
        <f t="shared" si="81"/>
        <v>1w</v>
      </c>
      <c r="Z3065" s="93">
        <f>_xll.qlCalendarAdvance(Calendar,Z3064,Y3065,"f",FALSE)</f>
        <v>60686</v>
      </c>
      <c r="AA3065" s="117">
        <f>_xll.qlCalendarAdvance(Calendar,Z3065,NDays&amp;"D")</f>
        <v>60688</v>
      </c>
      <c r="AB3065" s="92">
        <v>1.3178886533497712E-2</v>
      </c>
      <c r="AC3065" s="101">
        <v>1.2942170506651252E-2</v>
      </c>
    </row>
    <row r="3066" spans="25:29" x14ac:dyDescent="0.2">
      <c r="Y3066" s="105" t="str">
        <f t="shared" si="81"/>
        <v>1w</v>
      </c>
      <c r="Z3066" s="93">
        <f>_xll.qlCalendarAdvance(Calendar,Z3065,Y3066,"f",FALSE)</f>
        <v>60693</v>
      </c>
      <c r="AA3066" s="117">
        <f>_xll.qlCalendarAdvance(Calendar,Z3066,NDays&amp;"D")</f>
        <v>60695</v>
      </c>
      <c r="AB3066" s="92">
        <v>1.3200319866354141E-2</v>
      </c>
      <c r="AC3066" s="101">
        <v>1.2957542495373175E-2</v>
      </c>
    </row>
    <row r="3067" spans="25:29" x14ac:dyDescent="0.2">
      <c r="Y3067" s="105" t="str">
        <f t="shared" si="81"/>
        <v>1w</v>
      </c>
      <c r="Z3067" s="93">
        <f>_xll.qlCalendarAdvance(Calendar,Z3066,Y3067,"f",FALSE)</f>
        <v>60700</v>
      </c>
      <c r="AA3067" s="117">
        <f>_xll.qlCalendarAdvance(Calendar,Z3067,NDays&amp;"D")</f>
        <v>60702</v>
      </c>
      <c r="AB3067" s="92">
        <v>1.3215224998056356E-2</v>
      </c>
      <c r="AC3067" s="101">
        <v>1.2972874570822412E-2</v>
      </c>
    </row>
    <row r="3068" spans="25:29" x14ac:dyDescent="0.2">
      <c r="Y3068" s="105" t="str">
        <f t="shared" si="81"/>
        <v>1w</v>
      </c>
      <c r="Z3068" s="93">
        <f>_xll.qlCalendarAdvance(Calendar,Z3067,Y3068,"f",FALSE)</f>
        <v>60707</v>
      </c>
      <c r="AA3068" s="117">
        <f>_xll.qlCalendarAdvance(Calendar,Z3068,NDays&amp;"D")</f>
        <v>60709</v>
      </c>
      <c r="AB3068" s="92">
        <v>1.3230090058451436E-2</v>
      </c>
      <c r="AC3068" s="101">
        <v>1.2988166732998963E-2</v>
      </c>
    </row>
    <row r="3069" spans="25:29" x14ac:dyDescent="0.2">
      <c r="Y3069" s="105" t="str">
        <f t="shared" si="81"/>
        <v>1w</v>
      </c>
      <c r="Z3069" s="93">
        <f>_xll.qlCalendarAdvance(Calendar,Z3068,Y3069,"f",FALSE)</f>
        <v>60714</v>
      </c>
      <c r="AA3069" s="117">
        <f>_xll.qlCalendarAdvance(Calendar,Z3069,NDays&amp;"D")</f>
        <v>60716</v>
      </c>
      <c r="AB3069" s="92">
        <v>1.324491504662184E-2</v>
      </c>
      <c r="AC3069" s="101">
        <v>1.3003418981902826E-2</v>
      </c>
    </row>
    <row r="3070" spans="25:29" x14ac:dyDescent="0.2">
      <c r="Y3070" s="105" t="str">
        <f t="shared" si="81"/>
        <v>1w</v>
      </c>
      <c r="Z3070" s="93">
        <f>_xll.qlCalendarAdvance(Calendar,Z3069,Y3070,"f",FALSE)</f>
        <v>60721</v>
      </c>
      <c r="AA3070" s="117">
        <f>_xll.qlCalendarAdvance(Calendar,Z3070,NDays&amp;"D")</f>
        <v>60723</v>
      </c>
      <c r="AB3070" s="92">
        <v>1.3255842423651307E-2</v>
      </c>
      <c r="AC3070" s="101">
        <v>1.301863131737413E-2</v>
      </c>
    </row>
    <row r="3071" spans="25:29" x14ac:dyDescent="0.2">
      <c r="Y3071" s="105" t="str">
        <f t="shared" si="81"/>
        <v>1w</v>
      </c>
      <c r="Z3071" s="93">
        <f>_xll.qlCalendarAdvance(Calendar,Z3070,Y3071,"f",FALSE)</f>
        <v>60728</v>
      </c>
      <c r="AA3071" s="117">
        <f>_xll.qlCalendarAdvance(Calendar,Z3071,NDays&amp;"D")</f>
        <v>60730</v>
      </c>
      <c r="AB3071" s="92">
        <v>1.3270594227197447E-2</v>
      </c>
      <c r="AC3071" s="101">
        <v>1.3039075010816248E-2</v>
      </c>
    </row>
    <row r="3072" spans="25:29" x14ac:dyDescent="0.2">
      <c r="Y3072" s="105" t="str">
        <f t="shared" si="81"/>
        <v>1w</v>
      </c>
      <c r="Z3072" s="93">
        <f>_xll.qlCalendarAdvance(Calendar,Z3071,Y3072,"f",FALSE)</f>
        <v>60735</v>
      </c>
      <c r="AA3072" s="117">
        <f>_xll.qlCalendarAdvance(Calendar,Z3072,NDays&amp;"D")</f>
        <v>60737</v>
      </c>
      <c r="AB3072" s="92">
        <v>1.3285305958591653E-2</v>
      </c>
      <c r="AC3072" s="101">
        <v>1.3048936248738485E-2</v>
      </c>
    </row>
    <row r="3073" spans="25:29" x14ac:dyDescent="0.2">
      <c r="Y3073" s="105" t="str">
        <f t="shared" si="81"/>
        <v>1w</v>
      </c>
      <c r="Z3073" s="93">
        <f>_xll.qlCalendarAdvance(Calendar,Z3072,Y3073,"f",FALSE)</f>
        <v>60742</v>
      </c>
      <c r="AA3073" s="117">
        <f>_xll.qlCalendarAdvance(Calendar,Z3073,NDays&amp;"D")</f>
        <v>60744</v>
      </c>
      <c r="AB3073" s="92">
        <v>1.3299977616938463E-2</v>
      </c>
      <c r="AC3073" s="101">
        <v>1.3064028844311792E-2</v>
      </c>
    </row>
    <row r="3074" spans="25:29" x14ac:dyDescent="0.2">
      <c r="Y3074" s="105" t="str">
        <f t="shared" si="81"/>
        <v>1w</v>
      </c>
      <c r="Z3074" s="93">
        <f>_xll.qlCalendarAdvance(Calendar,Z3073,Y3074,"f",FALSE)</f>
        <v>60749</v>
      </c>
      <c r="AA3074" s="117">
        <f>_xll.qlCalendarAdvance(Calendar,Z3074,NDays&amp;"D")</f>
        <v>60751</v>
      </c>
      <c r="AB3074" s="92">
        <v>1.3314609201347227E-2</v>
      </c>
      <c r="AC3074" s="101">
        <v>1.3079081526772285E-2</v>
      </c>
    </row>
    <row r="3075" spans="25:29" x14ac:dyDescent="0.2">
      <c r="Y3075" s="105" t="str">
        <f t="shared" si="81"/>
        <v>1w</v>
      </c>
      <c r="Z3075" s="93">
        <f>_xll.qlCalendarAdvance(Calendar,Z3074,Y3075,"f",FALSE)</f>
        <v>60756</v>
      </c>
      <c r="AA3075" s="117">
        <f>_xll.qlCalendarAdvance(Calendar,Z3075,NDays&amp;"D")</f>
        <v>60758</v>
      </c>
      <c r="AB3075" s="92">
        <v>1.3333023407772955E-2</v>
      </c>
      <c r="AC3075" s="101">
        <v>1.3094094295800218E-2</v>
      </c>
    </row>
    <row r="3076" spans="25:29" x14ac:dyDescent="0.2">
      <c r="Y3076" s="105" t="str">
        <f t="shared" si="81"/>
        <v>1w</v>
      </c>
      <c r="Z3076" s="93">
        <f>_xll.qlCalendarAdvance(Calendar,Z3075,Y3076,"f",FALSE)</f>
        <v>60763</v>
      </c>
      <c r="AA3076" s="117">
        <f>_xll.qlCalendarAdvance(Calendar,Z3076,NDays&amp;"D")</f>
        <v>60765</v>
      </c>
      <c r="AB3076" s="92">
        <v>1.3347567864849089E-2</v>
      </c>
      <c r="AC3076" s="101">
        <v>1.3109067151555465E-2</v>
      </c>
    </row>
    <row r="3077" spans="25:29" x14ac:dyDescent="0.2">
      <c r="Y3077" s="105" t="str">
        <f t="shared" si="81"/>
        <v>1w</v>
      </c>
      <c r="Z3077" s="93">
        <f>_xll.qlCalendarAdvance(Calendar,Z3076,Y3077,"f",FALSE)</f>
        <v>60770</v>
      </c>
      <c r="AA3077" s="117">
        <f>_xll.qlCalendarAdvance(Calendar,Z3077,NDays&amp;"D")</f>
        <v>60772</v>
      </c>
      <c r="AB3077" s="92">
        <v>1.3362072242438398E-2</v>
      </c>
      <c r="AC3077" s="101">
        <v>1.3124000093958088E-2</v>
      </c>
    </row>
    <row r="3078" spans="25:29" x14ac:dyDescent="0.2">
      <c r="Y3078" s="105" t="str">
        <f t="shared" si="81"/>
        <v>1w</v>
      </c>
      <c r="Z3078" s="93">
        <f>_xll.qlCalendarAdvance(Calendar,Z3077,Y3078,"f",FALSE)</f>
        <v>60777</v>
      </c>
      <c r="AA3078" s="117">
        <f>_xll.qlCalendarAdvance(Calendar,Z3078,NDays&amp;"D")</f>
        <v>60779</v>
      </c>
      <c r="AB3078" s="92">
        <v>1.3376536539645253E-2</v>
      </c>
      <c r="AC3078" s="101">
        <v>1.3138893123167961E-2</v>
      </c>
    </row>
    <row r="3079" spans="25:29" x14ac:dyDescent="0.2">
      <c r="Y3079" s="105" t="str">
        <f t="shared" si="81"/>
        <v>1w</v>
      </c>
      <c r="Z3079" s="93">
        <f>_xll.qlCalendarAdvance(Calendar,Z3078,Y3079,"f",FALSE)</f>
        <v>60784</v>
      </c>
      <c r="AA3079" s="117">
        <f>_xll.qlCalendarAdvance(Calendar,Z3079,NDays&amp;"D")</f>
        <v>60786</v>
      </c>
      <c r="AB3079" s="92">
        <v>1.3387165983247917E-2</v>
      </c>
      <c r="AC3079" s="101">
        <v>1.3153746238865338E-2</v>
      </c>
    </row>
    <row r="3080" spans="25:29" x14ac:dyDescent="0.2">
      <c r="Y3080" s="105" t="str">
        <f t="shared" si="81"/>
        <v>1w</v>
      </c>
      <c r="Z3080" s="93">
        <f>_xll.qlCalendarAdvance(Calendar,Z3079,Y3080,"f",FALSE)</f>
        <v>60791</v>
      </c>
      <c r="AA3080" s="117">
        <f>_xll.qlCalendarAdvance(Calendar,Z3080,NDays&amp;"D")</f>
        <v>60793</v>
      </c>
      <c r="AB3080" s="92">
        <v>1.3401557105422075E-2</v>
      </c>
      <c r="AC3080" s="101">
        <v>1.3168559441290029E-2</v>
      </c>
    </row>
    <row r="3081" spans="25:29" x14ac:dyDescent="0.2">
      <c r="Y3081" s="105" t="str">
        <f t="shared" si="81"/>
        <v>1w</v>
      </c>
      <c r="Z3081" s="93">
        <f>_xll.qlCalendarAdvance(Calendar,Z3080,Y3081,"f",FALSE)</f>
        <v>60798</v>
      </c>
      <c r="AA3081" s="117">
        <f>_xll.qlCalendarAdvance(Calendar,Z3081,NDays&amp;"D")</f>
        <v>60800</v>
      </c>
      <c r="AB3081" s="92">
        <v>1.3415908147480395E-2</v>
      </c>
      <c r="AC3081" s="101">
        <v>1.3183332730442032E-2</v>
      </c>
    </row>
    <row r="3082" spans="25:29" x14ac:dyDescent="0.2">
      <c r="Y3082" s="105" t="str">
        <f t="shared" si="81"/>
        <v>1w</v>
      </c>
      <c r="Z3082" s="93">
        <f>_xll.qlCalendarAdvance(Calendar,Z3081,Y3082,"f",FALSE)</f>
        <v>60805</v>
      </c>
      <c r="AA3082" s="117">
        <f>_xll.qlCalendarAdvance(Calendar,Z3082,NDays&amp;"D")</f>
        <v>60807</v>
      </c>
      <c r="AB3082" s="92">
        <v>1.343021910854926E-2</v>
      </c>
      <c r="AC3082" s="101">
        <v>1.3198066106241413E-2</v>
      </c>
    </row>
    <row r="3083" spans="25:29" x14ac:dyDescent="0.2">
      <c r="Y3083" s="105" t="str">
        <f t="shared" si="81"/>
        <v>1w</v>
      </c>
      <c r="Z3083" s="93">
        <f>_xll.qlCalendarAdvance(Calendar,Z3082,Y3083,"f",FALSE)</f>
        <v>60812</v>
      </c>
      <c r="AA3083" s="117">
        <f>_xll.qlCalendarAdvance(Calendar,Z3083,NDays&amp;"D")</f>
        <v>60814</v>
      </c>
      <c r="AB3083" s="92">
        <v>1.3448256788732847E-2</v>
      </c>
      <c r="AC3083" s="101">
        <v>1.321275956868817E-2</v>
      </c>
    </row>
    <row r="3084" spans="25:29" x14ac:dyDescent="0.2">
      <c r="Y3084" s="105" t="str">
        <f t="shared" si="81"/>
        <v>1w</v>
      </c>
      <c r="Z3084" s="93">
        <f>_xll.qlCalendarAdvance(Calendar,Z3083,Y3084,"f",FALSE)</f>
        <v>60819</v>
      </c>
      <c r="AA3084" s="117">
        <f>_xll.qlCalendarAdvance(Calendar,Z3084,NDays&amp;"D")</f>
        <v>60821</v>
      </c>
      <c r="AB3084" s="92">
        <v>1.3462480584954983E-2</v>
      </c>
      <c r="AC3084" s="101">
        <v>1.3227413117702369E-2</v>
      </c>
    </row>
    <row r="3085" spans="25:29" x14ac:dyDescent="0.2">
      <c r="Y3085" s="105" t="str">
        <f t="shared" si="81"/>
        <v>1w</v>
      </c>
      <c r="Z3085" s="93">
        <f>_xll.qlCalendarAdvance(Calendar,Z3084,Y3085,"f",FALSE)</f>
        <v>60826</v>
      </c>
      <c r="AA3085" s="117">
        <f>_xll.qlCalendarAdvance(Calendar,Z3085,NDays&amp;"D")</f>
        <v>60828</v>
      </c>
      <c r="AB3085" s="92">
        <v>1.3476664294587588E-2</v>
      </c>
      <c r="AC3085" s="101">
        <v>1.3242026753363945E-2</v>
      </c>
    </row>
    <row r="3086" spans="25:29" x14ac:dyDescent="0.2">
      <c r="Y3086" s="105" t="str">
        <f t="shared" si="81"/>
        <v>1w</v>
      </c>
      <c r="Z3086" s="93">
        <f>_xll.qlCalendarAdvance(Calendar,Z3085,Y3086,"f",FALSE)</f>
        <v>60833</v>
      </c>
      <c r="AA3086" s="117">
        <f>_xll.qlCalendarAdvance(Calendar,Z3086,NDays&amp;"D")</f>
        <v>60835</v>
      </c>
      <c r="AB3086" s="92">
        <v>1.3490807916754803E-2</v>
      </c>
      <c r="AC3086" s="101">
        <v>1.3256600475672897E-2</v>
      </c>
    </row>
    <row r="3087" spans="25:29" x14ac:dyDescent="0.2">
      <c r="Y3087" s="105" t="str">
        <f t="shared" si="81"/>
        <v>1w</v>
      </c>
      <c r="Z3087" s="93">
        <f>_xll.qlCalendarAdvance(Calendar,Z3086,Y3087,"f",FALSE)</f>
        <v>60840</v>
      </c>
      <c r="AA3087" s="117">
        <f>_xll.qlCalendarAdvance(Calendar,Z3087,NDays&amp;"D")</f>
        <v>60842</v>
      </c>
      <c r="AB3087" s="92">
        <v>1.3504911450581627E-2</v>
      </c>
      <c r="AC3087" s="101">
        <v>1.3271134284629227E-2</v>
      </c>
    </row>
    <row r="3088" spans="25:29" x14ac:dyDescent="0.2">
      <c r="Y3088" s="105" t="str">
        <f t="shared" si="81"/>
        <v>1w</v>
      </c>
      <c r="Z3088" s="93">
        <f>_xll.qlCalendarAdvance(Calendar,Z3087,Y3088,"f",FALSE)</f>
        <v>60847</v>
      </c>
      <c r="AA3088" s="117">
        <f>_xll.qlCalendarAdvance(Calendar,Z3088,NDays&amp;"D")</f>
        <v>60849</v>
      </c>
      <c r="AB3088" s="92">
        <v>1.3518974895196932E-2</v>
      </c>
      <c r="AC3088" s="101">
        <v>1.3285628180232933E-2</v>
      </c>
    </row>
    <row r="3089" spans="25:29" x14ac:dyDescent="0.2">
      <c r="Y3089" s="105" t="str">
        <f t="shared" si="81"/>
        <v>1w</v>
      </c>
      <c r="Z3089" s="93">
        <f>_xll.qlCalendarAdvance(Calendar,Z3088,Y3089,"f",FALSE)</f>
        <v>60854</v>
      </c>
      <c r="AA3089" s="117">
        <f>_xll.qlCalendarAdvance(Calendar,Z3089,NDays&amp;"D")</f>
        <v>60856</v>
      </c>
      <c r="AB3089" s="92">
        <v>1.3532998249731304E-2</v>
      </c>
      <c r="AC3089" s="101">
        <v>1.3300082162404081E-2</v>
      </c>
    </row>
    <row r="3090" spans="25:29" x14ac:dyDescent="0.2">
      <c r="Y3090" s="105" t="str">
        <f t="shared" si="81"/>
        <v>1w</v>
      </c>
      <c r="Z3090" s="93">
        <f>_xll.qlCalendarAdvance(Calendar,Z3089,Y3090,"f",FALSE)</f>
        <v>60861</v>
      </c>
      <c r="AA3090" s="117">
        <f>_xll.qlCalendarAdvance(Calendar,Z3090,NDays&amp;"D")</f>
        <v>60863</v>
      </c>
      <c r="AB3090" s="92">
        <v>1.354698151331791E-2</v>
      </c>
      <c r="AC3090" s="101">
        <v>1.3314496231222606E-2</v>
      </c>
    </row>
    <row r="3091" spans="25:29" x14ac:dyDescent="0.2">
      <c r="Y3091" s="105" t="str">
        <f t="shared" si="81"/>
        <v>1w</v>
      </c>
      <c r="Z3091" s="93">
        <f>_xll.qlCalendarAdvance(Calendar,Z3090,Y3091,"f",FALSE)</f>
        <v>60868</v>
      </c>
      <c r="AA3091" s="117">
        <f>_xll.qlCalendarAdvance(Calendar,Z3091,NDays&amp;"D")</f>
        <v>60870</v>
      </c>
      <c r="AB3091" s="92">
        <v>1.3560924685092067E-2</v>
      </c>
      <c r="AC3091" s="101">
        <v>1.3328870386608571E-2</v>
      </c>
    </row>
    <row r="3092" spans="25:29" x14ac:dyDescent="0.2">
      <c r="Y3092" s="105" t="str">
        <f t="shared" si="81"/>
        <v>1w</v>
      </c>
      <c r="Z3092" s="93">
        <f>_xll.qlCalendarAdvance(Calendar,Z3091,Y3092,"f",FALSE)</f>
        <v>60875</v>
      </c>
      <c r="AA3092" s="117">
        <f>_xll.qlCalendarAdvance(Calendar,Z3092,NDays&amp;"D")</f>
        <v>60877</v>
      </c>
      <c r="AB3092" s="92">
        <v>1.356865398363169E-2</v>
      </c>
      <c r="AC3092" s="101">
        <v>1.3343204628641914E-2</v>
      </c>
    </row>
    <row r="3093" spans="25:29" x14ac:dyDescent="0.2">
      <c r="Y3093" s="105" t="str">
        <f t="shared" ref="Y3093:Y3156" si="82">Y3092</f>
        <v>1w</v>
      </c>
      <c r="Z3093" s="93">
        <f>_xll.qlCalendarAdvance(Calendar,Z3092,Y3093,"f",FALSE)</f>
        <v>60882</v>
      </c>
      <c r="AA3093" s="117">
        <f>_xll.qlCalendarAdvance(Calendar,Z3093,NDays&amp;"D")</f>
        <v>60884</v>
      </c>
      <c r="AB3093" s="92">
        <v>1.358252868143209E-2</v>
      </c>
      <c r="AC3093" s="101">
        <v>1.3357498957242697E-2</v>
      </c>
    </row>
    <row r="3094" spans="25:29" x14ac:dyDescent="0.2">
      <c r="Y3094" s="105" t="str">
        <f t="shared" si="82"/>
        <v>1w</v>
      </c>
      <c r="Z3094" s="93">
        <f>_xll.qlCalendarAdvance(Calendar,Z3093,Y3094,"f",FALSE)</f>
        <v>60889</v>
      </c>
      <c r="AA3094" s="117">
        <f>_xll.qlCalendarAdvance(Calendar,Z3094,NDays&amp;"D")</f>
        <v>60891</v>
      </c>
      <c r="AB3094" s="92">
        <v>1.3596363290036438E-2</v>
      </c>
      <c r="AC3094" s="101">
        <v>1.3371753372570794E-2</v>
      </c>
    </row>
    <row r="3095" spans="25:29" x14ac:dyDescent="0.2">
      <c r="Y3095" s="105" t="str">
        <f t="shared" si="82"/>
        <v>1w</v>
      </c>
      <c r="Z3095" s="93">
        <f>_xll.qlCalendarAdvance(Calendar,Z3094,Y3095,"f",FALSE)</f>
        <v>60896</v>
      </c>
      <c r="AA3095" s="117">
        <f>_xll.qlCalendarAdvance(Calendar,Z3095,NDays&amp;"D")</f>
        <v>60898</v>
      </c>
      <c r="AB3095" s="92">
        <v>1.3610157808611368E-2</v>
      </c>
      <c r="AC3095" s="101">
        <v>1.3385967874306459E-2</v>
      </c>
    </row>
    <row r="3096" spans="25:29" x14ac:dyDescent="0.2">
      <c r="Y3096" s="105" t="str">
        <f t="shared" si="82"/>
        <v>1w</v>
      </c>
      <c r="Z3096" s="93">
        <f>_xll.qlCalendarAdvance(Calendar,Z3095,Y3096,"f",FALSE)</f>
        <v>60903</v>
      </c>
      <c r="AA3096" s="117">
        <f>_xll.qlCalendarAdvance(Calendar,Z3096,NDays&amp;"D")</f>
        <v>60905</v>
      </c>
      <c r="AB3096" s="92">
        <v>1.362513800321522E-2</v>
      </c>
      <c r="AC3096" s="101">
        <v>1.3400142462769438E-2</v>
      </c>
    </row>
    <row r="3097" spans="25:29" x14ac:dyDescent="0.2">
      <c r="Y3097" s="105" t="str">
        <f t="shared" si="82"/>
        <v>1w</v>
      </c>
      <c r="Z3097" s="93">
        <f>_xll.qlCalendarAdvance(Calendar,Z3096,Y3097,"f",FALSE)</f>
        <v>60910</v>
      </c>
      <c r="AA3097" s="117">
        <f>_xll.qlCalendarAdvance(Calendar,Z3097,NDays&amp;"D")</f>
        <v>60912</v>
      </c>
      <c r="AB3097" s="92">
        <v>1.3638849992873223E-2</v>
      </c>
      <c r="AC3097" s="101">
        <v>1.3414277137719921E-2</v>
      </c>
    </row>
    <row r="3098" spans="25:29" x14ac:dyDescent="0.2">
      <c r="Y3098" s="105" t="str">
        <f t="shared" si="82"/>
        <v>1w</v>
      </c>
      <c r="Z3098" s="93">
        <f>_xll.qlCalendarAdvance(Calendar,Z3097,Y3098,"f",FALSE)</f>
        <v>60917</v>
      </c>
      <c r="AA3098" s="117">
        <f>_xll.qlCalendarAdvance(Calendar,Z3098,NDays&amp;"D")</f>
        <v>60919</v>
      </c>
      <c r="AB3098" s="92">
        <v>1.3652521888965834E-2</v>
      </c>
      <c r="AC3098" s="101">
        <v>1.3428371899317781E-2</v>
      </c>
    </row>
    <row r="3099" spans="25:29" x14ac:dyDescent="0.2">
      <c r="Y3099" s="105" t="str">
        <f t="shared" si="82"/>
        <v>1w</v>
      </c>
      <c r="Z3099" s="93">
        <f>_xll.qlCalendarAdvance(Calendar,Z3098,Y3099,"f",FALSE)</f>
        <v>60924</v>
      </c>
      <c r="AA3099" s="117">
        <f>_xll.qlCalendarAdvance(Calendar,Z3099,NDays&amp;"D")</f>
        <v>60926</v>
      </c>
      <c r="AB3099" s="92">
        <v>1.3666153690664706E-2</v>
      </c>
      <c r="AC3099" s="101">
        <v>1.3442426747403147E-2</v>
      </c>
    </row>
    <row r="3100" spans="25:29" x14ac:dyDescent="0.2">
      <c r="Y3100" s="105" t="str">
        <f t="shared" si="82"/>
        <v>1w</v>
      </c>
      <c r="Z3100" s="93">
        <f>_xll.qlCalendarAdvance(Calendar,Z3099,Y3100,"f",FALSE)</f>
        <v>60931</v>
      </c>
      <c r="AA3100" s="117">
        <f>_xll.qlCalendarAdvance(Calendar,Z3100,NDays&amp;"D")</f>
        <v>60933</v>
      </c>
      <c r="AB3100" s="92">
        <v>1.3679745397145882E-2</v>
      </c>
      <c r="AC3100" s="101">
        <v>1.3456441682135889E-2</v>
      </c>
    </row>
    <row r="3101" spans="25:29" x14ac:dyDescent="0.2">
      <c r="Y3101" s="105" t="str">
        <f t="shared" si="82"/>
        <v>1w</v>
      </c>
      <c r="Z3101" s="93">
        <f>_xll.qlCalendarAdvance(Calendar,Z3100,Y3101,"f",FALSE)</f>
        <v>60938</v>
      </c>
      <c r="AA3101" s="117">
        <f>_xll.qlCalendarAdvance(Calendar,Z3101,NDays&amp;"D")</f>
        <v>60940</v>
      </c>
      <c r="AB3101" s="92">
        <v>1.3692082983155343E-2</v>
      </c>
      <c r="AC3101" s="101">
        <v>1.3470416703356136E-2</v>
      </c>
    </row>
    <row r="3102" spans="25:29" x14ac:dyDescent="0.2">
      <c r="Y3102" s="105" t="str">
        <f t="shared" si="82"/>
        <v>1w</v>
      </c>
      <c r="Z3102" s="93">
        <f>_xll.qlCalendarAdvance(Calendar,Z3101,Y3102,"f",FALSE)</f>
        <v>60945</v>
      </c>
      <c r="AA3102" s="117">
        <f>_xll.qlCalendarAdvance(Calendar,Z3102,NDays&amp;"D")</f>
        <v>60947</v>
      </c>
      <c r="AB3102" s="92">
        <v>1.3705596848429012E-2</v>
      </c>
      <c r="AC3102" s="101">
        <v>1.3484351811143824E-2</v>
      </c>
    </row>
    <row r="3103" spans="25:29" x14ac:dyDescent="0.2">
      <c r="Y3103" s="105" t="str">
        <f t="shared" si="82"/>
        <v>1w</v>
      </c>
      <c r="Z3103" s="93">
        <f>_xll.qlCalendarAdvance(Calendar,Z3102,Y3103,"f",FALSE)</f>
        <v>60952</v>
      </c>
      <c r="AA3103" s="117">
        <f>_xll.qlCalendarAdvance(Calendar,Z3103,NDays&amp;"D")</f>
        <v>60954</v>
      </c>
      <c r="AB3103" s="92">
        <v>1.3719070617102607E-2</v>
      </c>
      <c r="AC3103" s="101">
        <v>1.3498247005578889E-2</v>
      </c>
    </row>
    <row r="3104" spans="25:29" x14ac:dyDescent="0.2">
      <c r="Y3104" s="105" t="str">
        <f t="shared" si="82"/>
        <v>1w</v>
      </c>
      <c r="Z3104" s="93">
        <f>_xll.qlCalendarAdvance(Calendar,Z3103,Y3104,"f",FALSE)</f>
        <v>60959</v>
      </c>
      <c r="AA3104" s="117">
        <f>_xll.qlCalendarAdvance(Calendar,Z3104,NDays&amp;"D")</f>
        <v>60961</v>
      </c>
      <c r="AB3104" s="92">
        <v>1.3732504288366169E-2</v>
      </c>
      <c r="AC3104" s="101">
        <v>1.351210228650146E-2</v>
      </c>
    </row>
    <row r="3105" spans="25:29" x14ac:dyDescent="0.2">
      <c r="Y3105" s="105" t="str">
        <f t="shared" si="82"/>
        <v>1w</v>
      </c>
      <c r="Z3105" s="93">
        <f>_xll.qlCalendarAdvance(Calendar,Z3104,Y3105,"f",FALSE)</f>
        <v>60966</v>
      </c>
      <c r="AA3105" s="117">
        <f>_xll.qlCalendarAdvance(Calendar,Z3105,NDays&amp;"D")</f>
        <v>60968</v>
      </c>
      <c r="AB3105" s="92">
        <v>1.3747102472596756E-2</v>
      </c>
      <c r="AC3105" s="101">
        <v>1.3525917654071407E-2</v>
      </c>
    </row>
    <row r="3106" spans="25:29" x14ac:dyDescent="0.2">
      <c r="Y3106" s="105" t="str">
        <f t="shared" si="82"/>
        <v>1w</v>
      </c>
      <c r="Z3106" s="93">
        <f>_xll.qlCalendarAdvance(Calendar,Z3105,Y3106,"f",FALSE)</f>
        <v>60973</v>
      </c>
      <c r="AA3106" s="117">
        <f>_xll.qlCalendarAdvance(Calendar,Z3106,NDays&amp;"D")</f>
        <v>60975</v>
      </c>
      <c r="AB3106" s="92">
        <v>1.3760453590591217E-2</v>
      </c>
      <c r="AC3106" s="101">
        <v>1.353969310788905E-2</v>
      </c>
    </row>
    <row r="3107" spans="25:29" x14ac:dyDescent="0.2">
      <c r="Y3107" s="105" t="str">
        <f t="shared" si="82"/>
        <v>1w</v>
      </c>
      <c r="Z3107" s="93">
        <f>_xll.qlCalendarAdvance(Calendar,Z3106,Y3107,"f",FALSE)</f>
        <v>60980</v>
      </c>
      <c r="AA3107" s="117">
        <f>_xll.qlCalendarAdvance(Calendar,Z3107,NDays&amp;"D")</f>
        <v>60982</v>
      </c>
      <c r="AB3107" s="92">
        <v>1.3773764607664852E-2</v>
      </c>
      <c r="AC3107" s="101">
        <v>1.3553428648593879E-2</v>
      </c>
    </row>
    <row r="3108" spans="25:29" x14ac:dyDescent="0.2">
      <c r="Y3108" s="105" t="str">
        <f t="shared" si="82"/>
        <v>1w</v>
      </c>
      <c r="Z3108" s="93">
        <f>_xll.qlCalendarAdvance(Calendar,Z3107,Y3108,"f",FALSE)</f>
        <v>60987</v>
      </c>
      <c r="AA3108" s="117">
        <f>_xll.qlCalendarAdvance(Calendar,Z3108,NDays&amp;"D")</f>
        <v>60989</v>
      </c>
      <c r="AB3108" s="92">
        <v>1.3787035523010836E-2</v>
      </c>
      <c r="AC3108" s="101">
        <v>1.3567124275626341E-2</v>
      </c>
    </row>
    <row r="3109" spans="25:29" x14ac:dyDescent="0.2">
      <c r="Y3109" s="105" t="str">
        <f t="shared" si="82"/>
        <v>1w</v>
      </c>
      <c r="Z3109" s="93">
        <f>_xll.qlCalendarAdvance(Calendar,Z3108,Y3109,"f",FALSE)</f>
        <v>60994</v>
      </c>
      <c r="AA3109" s="117">
        <f>_xll.qlCalendarAdvance(Calendar,Z3109,NDays&amp;"D")</f>
        <v>60996</v>
      </c>
      <c r="AB3109" s="92">
        <v>1.3800266335827168E-2</v>
      </c>
      <c r="AC3109" s="101">
        <v>1.3580779989146308E-2</v>
      </c>
    </row>
    <row r="3110" spans="25:29" x14ac:dyDescent="0.2">
      <c r="Y3110" s="105" t="str">
        <f t="shared" si="82"/>
        <v>1w</v>
      </c>
      <c r="Z3110" s="93">
        <f>_xll.qlCalendarAdvance(Calendar,Z3109,Y3110,"f",FALSE)</f>
        <v>61001</v>
      </c>
      <c r="AA3110" s="117">
        <f>_xll.qlCalendarAdvance(Calendar,Z3110,NDays&amp;"D")</f>
        <v>61003</v>
      </c>
      <c r="AB3110" s="92">
        <v>1.3812264225242307E-2</v>
      </c>
      <c r="AC3110" s="101">
        <v>1.3594395789313651E-2</v>
      </c>
    </row>
    <row r="3111" spans="25:29" x14ac:dyDescent="0.2">
      <c r="Y3111" s="105" t="str">
        <f t="shared" si="82"/>
        <v>1w</v>
      </c>
      <c r="Z3111" s="93">
        <f>_xll.qlCalendarAdvance(Calendar,Z3110,Y3111,"f",FALSE)</f>
        <v>61008</v>
      </c>
      <c r="AA3111" s="117">
        <f>_xll.qlCalendarAdvance(Calendar,Z3111,NDays&amp;"D")</f>
        <v>61010</v>
      </c>
      <c r="AB3111" s="92">
        <v>1.3825417192141367E-2</v>
      </c>
      <c r="AC3111" s="101">
        <v>1.3607971676048436E-2</v>
      </c>
    </row>
    <row r="3112" spans="25:29" x14ac:dyDescent="0.2">
      <c r="Y3112" s="105" t="str">
        <f t="shared" si="82"/>
        <v>1w</v>
      </c>
      <c r="Z3112" s="93">
        <f>_xll.qlCalendarAdvance(Calendar,Z3111,Y3112,"f",FALSE)</f>
        <v>61015</v>
      </c>
      <c r="AA3112" s="117">
        <f>_xll.qlCalendarAdvance(Calendar,Z3112,NDays&amp;"D")</f>
        <v>61017</v>
      </c>
      <c r="AB3112" s="92">
        <v>1.3838530055231531E-2</v>
      </c>
      <c r="AC3112" s="101">
        <v>1.3621507649190789E-2</v>
      </c>
    </row>
    <row r="3113" spans="25:29" x14ac:dyDescent="0.2">
      <c r="Y3113" s="105" t="str">
        <f t="shared" si="82"/>
        <v>1w</v>
      </c>
      <c r="Z3113" s="93">
        <f>_xll.qlCalendarAdvance(Calendar,Z3112,Y3113,"f",FALSE)</f>
        <v>61022</v>
      </c>
      <c r="AA3113" s="117">
        <f>_xll.qlCalendarAdvance(Calendar,Z3113,NDays&amp;"D")</f>
        <v>61024</v>
      </c>
      <c r="AB3113" s="92">
        <v>1.3851602813724927E-2</v>
      </c>
      <c r="AC3113" s="101">
        <v>1.3635003708740712E-2</v>
      </c>
    </row>
    <row r="3114" spans="25:29" x14ac:dyDescent="0.2">
      <c r="Y3114" s="105" t="str">
        <f t="shared" si="82"/>
        <v>1w</v>
      </c>
      <c r="Z3114" s="93">
        <f>_xll.qlCalendarAdvance(Calendar,Z3113,Y3114,"f",FALSE)</f>
        <v>61029</v>
      </c>
      <c r="AA3114" s="117">
        <f>_xll.qlCalendarAdvance(Calendar,Z3114,NDays&amp;"D")</f>
        <v>61031</v>
      </c>
      <c r="AB3114" s="92">
        <v>1.3864635466835881E-2</v>
      </c>
      <c r="AC3114" s="101">
        <v>1.3648459854938011E-2</v>
      </c>
    </row>
    <row r="3115" spans="25:29" x14ac:dyDescent="0.2">
      <c r="Y3115" s="105" t="str">
        <f t="shared" si="82"/>
        <v>1w</v>
      </c>
      <c r="Z3115" s="93">
        <f>_xll.qlCalendarAdvance(Calendar,Z3114,Y3115,"f",FALSE)</f>
        <v>61036</v>
      </c>
      <c r="AA3115" s="117">
        <f>_xll.qlCalendarAdvance(Calendar,Z3115,NDays&amp;"D")</f>
        <v>61038</v>
      </c>
      <c r="AB3115" s="92">
        <v>1.3877628013779167E-2</v>
      </c>
      <c r="AC3115" s="101">
        <v>1.3661876087622815E-2</v>
      </c>
    </row>
    <row r="3116" spans="25:29" x14ac:dyDescent="0.2">
      <c r="Y3116" s="105" t="str">
        <f t="shared" si="82"/>
        <v>1w</v>
      </c>
      <c r="Z3116" s="93">
        <f>_xll.qlCalendarAdvance(Calendar,Z3115,Y3116,"f",FALSE)</f>
        <v>61043</v>
      </c>
      <c r="AA3116" s="117">
        <f>_xll.qlCalendarAdvance(Calendar,Z3116,NDays&amp;"D")</f>
        <v>61045</v>
      </c>
      <c r="AB3116" s="92">
        <v>1.3890580453774413E-2</v>
      </c>
      <c r="AC3116" s="101">
        <v>1.3675252406795124E-2</v>
      </c>
    </row>
    <row r="3117" spans="25:29" x14ac:dyDescent="0.2">
      <c r="Y3117" s="105" t="str">
        <f t="shared" si="82"/>
        <v>1w</v>
      </c>
      <c r="Z3117" s="93">
        <f>_xll.qlCalendarAdvance(Calendar,Z3116,Y3117,"f",FALSE)</f>
        <v>61050</v>
      </c>
      <c r="AA3117" s="117">
        <f>_xll.qlCalendarAdvance(Calendar,Z3117,NDays&amp;"D")</f>
        <v>61052</v>
      </c>
      <c r="AB3117" s="92">
        <v>1.3903492786040368E-2</v>
      </c>
      <c r="AC3117" s="101">
        <v>1.3688588812375002E-2</v>
      </c>
    </row>
    <row r="3118" spans="25:29" x14ac:dyDescent="0.2">
      <c r="Y3118" s="105" t="str">
        <f t="shared" si="82"/>
        <v>1w</v>
      </c>
      <c r="Z3118" s="93">
        <f>_xll.qlCalendarAdvance(Calendar,Z3117,Y3118,"f",FALSE)</f>
        <v>61057</v>
      </c>
      <c r="AA3118" s="117">
        <f>_xll.qlCalendarAdvance(Calendar,Z3118,NDays&amp;"D")</f>
        <v>61059</v>
      </c>
      <c r="AB3118" s="92">
        <v>1.392223252746414E-2</v>
      </c>
      <c r="AC3118" s="101">
        <v>1.3701885304522321E-2</v>
      </c>
    </row>
    <row r="3119" spans="25:29" x14ac:dyDescent="0.2">
      <c r="Y3119" s="105" t="str">
        <f t="shared" si="82"/>
        <v>1w</v>
      </c>
      <c r="Z3119" s="93">
        <f>_xll.qlCalendarAdvance(Calendar,Z3118,Y3119,"f",FALSE)</f>
        <v>61064</v>
      </c>
      <c r="AA3119" s="117">
        <f>_xll.qlCalendarAdvance(Calendar,Z3119,NDays&amp;"D")</f>
        <v>61066</v>
      </c>
      <c r="AB3119" s="92">
        <v>1.3935052787619123E-2</v>
      </c>
      <c r="AC3119" s="101">
        <v>1.3715141883157145E-2</v>
      </c>
    </row>
    <row r="3120" spans="25:29" x14ac:dyDescent="0.2">
      <c r="Y3120" s="105" t="str">
        <f t="shared" si="82"/>
        <v>1w</v>
      </c>
      <c r="Z3120" s="93">
        <f>_xll.qlCalendarAdvance(Calendar,Z3119,Y3120,"f",FALSE)</f>
        <v>61071</v>
      </c>
      <c r="AA3120" s="117">
        <f>_xll.qlCalendarAdvance(Calendar,Z3120,NDays&amp;"D")</f>
        <v>61073</v>
      </c>
      <c r="AB3120" s="92">
        <v>1.3947832931971382E-2</v>
      </c>
      <c r="AC3120" s="101">
        <v>1.3728358548279473E-2</v>
      </c>
    </row>
    <row r="3121" spans="25:29" x14ac:dyDescent="0.2">
      <c r="Y3121" s="105" t="str">
        <f t="shared" si="82"/>
        <v>1w</v>
      </c>
      <c r="Z3121" s="93">
        <f>_xll.qlCalendarAdvance(Calendar,Z3120,Y3121,"f",FALSE)</f>
        <v>61078</v>
      </c>
      <c r="AA3121" s="117">
        <f>_xll.qlCalendarAdvance(Calendar,Z3121,NDays&amp;"D")</f>
        <v>61080</v>
      </c>
      <c r="AB3121" s="92">
        <v>1.3960572959732303E-2</v>
      </c>
      <c r="AC3121" s="101">
        <v>1.3741535299889307E-2</v>
      </c>
    </row>
    <row r="3122" spans="25:29" x14ac:dyDescent="0.2">
      <c r="Y3122" s="105" t="str">
        <f t="shared" si="82"/>
        <v>1w</v>
      </c>
      <c r="Z3122" s="93">
        <f>_xll.qlCalendarAdvance(Calendar,Z3121,Y3122,"f",FALSE)</f>
        <v>61085</v>
      </c>
      <c r="AA3122" s="117">
        <f>_xll.qlCalendarAdvance(Calendar,Z3122,NDays&amp;"D")</f>
        <v>61087</v>
      </c>
      <c r="AB3122" s="92">
        <v>1.3969781421522004E-2</v>
      </c>
      <c r="AC3122" s="101">
        <v>1.3759469048327588E-2</v>
      </c>
    </row>
    <row r="3123" spans="25:29" x14ac:dyDescent="0.2">
      <c r="Y3123" s="105" t="str">
        <f t="shared" si="82"/>
        <v>1w</v>
      </c>
      <c r="Z3123" s="93">
        <f>_xll.qlCalendarAdvance(Calendar,Z3122,Y3123,"f",FALSE)</f>
        <v>61092</v>
      </c>
      <c r="AA3123" s="117">
        <f>_xll.qlCalendarAdvance(Calendar,Z3123,NDays&amp;"D")</f>
        <v>61094</v>
      </c>
      <c r="AB3123" s="92">
        <v>1.3982448340645227E-2</v>
      </c>
      <c r="AC3123" s="101">
        <v>1.3767769062411617E-2</v>
      </c>
    </row>
    <row r="3124" spans="25:29" x14ac:dyDescent="0.2">
      <c r="Y3124" s="105" t="str">
        <f t="shared" si="82"/>
        <v>1w</v>
      </c>
      <c r="Z3124" s="93">
        <f>_xll.qlCalendarAdvance(Calendar,Z3123,Y3124,"f",FALSE)</f>
        <v>61099</v>
      </c>
      <c r="AA3124" s="117">
        <f>_xll.qlCalendarAdvance(Calendar,Z3124,NDays&amp;"D")</f>
        <v>61101</v>
      </c>
      <c r="AB3124" s="92">
        <v>1.3995075144322184E-2</v>
      </c>
      <c r="AC3124" s="101">
        <v>1.3780826073244157E-2</v>
      </c>
    </row>
    <row r="3125" spans="25:29" x14ac:dyDescent="0.2">
      <c r="Y3125" s="105" t="str">
        <f t="shared" si="82"/>
        <v>1w</v>
      </c>
      <c r="Z3125" s="93">
        <f>_xll.qlCalendarAdvance(Calendar,Z3124,Y3125,"f",FALSE)</f>
        <v>61106</v>
      </c>
      <c r="AA3125" s="117">
        <f>_xll.qlCalendarAdvance(Calendar,Z3125,NDays&amp;"D")</f>
        <v>61108</v>
      </c>
      <c r="AB3125" s="92">
        <v>1.4007661831784967E-2</v>
      </c>
      <c r="AC3125" s="101">
        <v>1.379384317080401E-2</v>
      </c>
    </row>
    <row r="3126" spans="25:29" x14ac:dyDescent="0.2">
      <c r="Y3126" s="105" t="str">
        <f t="shared" si="82"/>
        <v>1w</v>
      </c>
      <c r="Z3126" s="93">
        <f>_xll.qlCalendarAdvance(Calendar,Z3125,Y3126,"f",FALSE)</f>
        <v>61113</v>
      </c>
      <c r="AA3126" s="117">
        <f>_xll.qlCalendarAdvance(Calendar,Z3126,NDays&amp;"D")</f>
        <v>61115</v>
      </c>
      <c r="AB3126" s="92">
        <v>1.4020208402267845E-2</v>
      </c>
      <c r="AC3126" s="101">
        <v>1.3806820354531624E-2</v>
      </c>
    </row>
    <row r="3127" spans="25:29" x14ac:dyDescent="0.2">
      <c r="Y3127" s="105" t="str">
        <f t="shared" si="82"/>
        <v>1w</v>
      </c>
      <c r="Z3127" s="93">
        <f>_xll.qlCalendarAdvance(Calendar,Z3126,Y3127,"f",FALSE)</f>
        <v>61120</v>
      </c>
      <c r="AA3127" s="117">
        <f>_xll.qlCalendarAdvance(Calendar,Z3127,NDays&amp;"D")</f>
        <v>61122</v>
      </c>
      <c r="AB3127" s="92">
        <v>1.4036170633937224E-2</v>
      </c>
      <c r="AC3127" s="101">
        <v>1.3819757624906615E-2</v>
      </c>
    </row>
    <row r="3128" spans="25:29" x14ac:dyDescent="0.2">
      <c r="Y3128" s="105" t="str">
        <f t="shared" si="82"/>
        <v>1w</v>
      </c>
      <c r="Z3128" s="93">
        <f>_xll.qlCalendarAdvance(Calendar,Z3127,Y3128,"f",FALSE)</f>
        <v>61127</v>
      </c>
      <c r="AA3128" s="117">
        <f>_xll.qlCalendarAdvance(Calendar,Z3128,NDays&amp;"D")</f>
        <v>61129</v>
      </c>
      <c r="AB3128" s="92">
        <v>1.4048629823641249E-2</v>
      </c>
      <c r="AC3128" s="101">
        <v>1.3832654981609238E-2</v>
      </c>
    </row>
    <row r="3129" spans="25:29" x14ac:dyDescent="0.2">
      <c r="Y3129" s="105" t="str">
        <f t="shared" si="82"/>
        <v>1w</v>
      </c>
      <c r="Z3129" s="93">
        <f>_xll.qlCalendarAdvance(Calendar,Z3128,Y3129,"f",FALSE)</f>
        <v>61134</v>
      </c>
      <c r="AA3129" s="117">
        <f>_xll.qlCalendarAdvance(Calendar,Z3129,NDays&amp;"D")</f>
        <v>61136</v>
      </c>
      <c r="AB3129" s="92">
        <v>1.4061048890521932E-2</v>
      </c>
      <c r="AC3129" s="101">
        <v>1.3845512424799367E-2</v>
      </c>
    </row>
    <row r="3130" spans="25:29" x14ac:dyDescent="0.2">
      <c r="Y3130" s="105" t="str">
        <f t="shared" si="82"/>
        <v>1w</v>
      </c>
      <c r="Z3130" s="93">
        <f>_xll.qlCalendarAdvance(Calendar,Z3129,Y3130,"f",FALSE)</f>
        <v>61141</v>
      </c>
      <c r="AA3130" s="117">
        <f>_xll.qlCalendarAdvance(Calendar,Z3130,NDays&amp;"D")</f>
        <v>61143</v>
      </c>
      <c r="AB3130" s="92">
        <v>1.4073427833811712E-2</v>
      </c>
      <c r="AC3130" s="101">
        <v>1.3858329954556936E-2</v>
      </c>
    </row>
    <row r="3131" spans="25:29" x14ac:dyDescent="0.2">
      <c r="Y3131" s="105" t="str">
        <f t="shared" si="82"/>
        <v>1w</v>
      </c>
      <c r="Z3131" s="93">
        <f>_xll.qlCalendarAdvance(Calendar,Z3130,Y3131,"f",FALSE)</f>
        <v>61148</v>
      </c>
      <c r="AA3131" s="117">
        <f>_xll.qlCalendarAdvance(Calendar,Z3131,NDays&amp;"D")</f>
        <v>61150</v>
      </c>
      <c r="AB3131" s="92">
        <v>1.4082339473363261E-2</v>
      </c>
      <c r="AC3131" s="101">
        <v>1.3871107570562202E-2</v>
      </c>
    </row>
    <row r="3132" spans="25:29" x14ac:dyDescent="0.2">
      <c r="Y3132" s="105" t="str">
        <f t="shared" si="82"/>
        <v>1w</v>
      </c>
      <c r="Z3132" s="93">
        <f>_xll.qlCalendarAdvance(Calendar,Z3131,Y3132,"f",FALSE)</f>
        <v>61155</v>
      </c>
      <c r="AA3132" s="117">
        <f>_xll.qlCalendarAdvance(Calendar,Z3132,NDays&amp;"D")</f>
        <v>61157</v>
      </c>
      <c r="AB3132" s="92">
        <v>1.409464532602713E-2</v>
      </c>
      <c r="AC3132" s="101">
        <v>1.3883845273054973E-2</v>
      </c>
    </row>
    <row r="3133" spans="25:29" x14ac:dyDescent="0.2">
      <c r="Y3133" s="105" t="str">
        <f t="shared" si="82"/>
        <v>1w</v>
      </c>
      <c r="Z3133" s="93">
        <f>_xll.qlCalendarAdvance(Calendar,Z3132,Y3133,"f",FALSE)</f>
        <v>61162</v>
      </c>
      <c r="AA3133" s="117">
        <f>_xll.qlCalendarAdvance(Calendar,Z3133,NDays&amp;"D")</f>
        <v>61164</v>
      </c>
      <c r="AB3133" s="92">
        <v>1.4106911056420465E-2</v>
      </c>
      <c r="AC3133" s="101">
        <v>1.3896543061955313E-2</v>
      </c>
    </row>
    <row r="3134" spans="25:29" x14ac:dyDescent="0.2">
      <c r="Y3134" s="105" t="str">
        <f t="shared" si="82"/>
        <v>1w</v>
      </c>
      <c r="Z3134" s="93">
        <f>_xll.qlCalendarAdvance(Calendar,Z3133,Y3134,"f",FALSE)</f>
        <v>61169</v>
      </c>
      <c r="AA3134" s="117">
        <f>_xll.qlCalendarAdvance(Calendar,Z3134,NDays&amp;"D")</f>
        <v>61171</v>
      </c>
      <c r="AB3134" s="92">
        <v>1.4119136663797197E-2</v>
      </c>
      <c r="AC3134" s="101">
        <v>1.3909200937263222E-2</v>
      </c>
    </row>
    <row r="3135" spans="25:29" x14ac:dyDescent="0.2">
      <c r="Y3135" s="105" t="str">
        <f t="shared" si="82"/>
        <v>1w</v>
      </c>
      <c r="Z3135" s="93">
        <f>_xll.qlCalendarAdvance(Calendar,Z3134,Y3135,"f",FALSE)</f>
        <v>61176</v>
      </c>
      <c r="AA3135" s="117">
        <f>_xll.qlCalendarAdvance(Calendar,Z3135,NDays&amp;"D")</f>
        <v>61178</v>
      </c>
      <c r="AB3135" s="92">
        <v>1.4131322147413004E-2</v>
      </c>
      <c r="AC3135" s="101">
        <v>1.3921818898898763E-2</v>
      </c>
    </row>
    <row r="3136" spans="25:29" x14ac:dyDescent="0.2">
      <c r="Y3136" s="105" t="str">
        <f t="shared" si="82"/>
        <v>1w</v>
      </c>
      <c r="Z3136" s="93">
        <f>_xll.qlCalendarAdvance(Calendar,Z3135,Y3136,"f",FALSE)</f>
        <v>61183</v>
      </c>
      <c r="AA3136" s="117">
        <f>_xll.qlCalendarAdvance(Calendar,Z3136,NDays&amp;"D")</f>
        <v>61185</v>
      </c>
      <c r="AB3136" s="92">
        <v>1.4146858855452605E-2</v>
      </c>
      <c r="AC3136" s="101">
        <v>1.3934396947101746E-2</v>
      </c>
    </row>
    <row r="3137" spans="25:29" x14ac:dyDescent="0.2">
      <c r="Y3137" s="105" t="str">
        <f t="shared" si="82"/>
        <v>1w</v>
      </c>
      <c r="Z3137" s="93">
        <f>_xll.qlCalendarAdvance(Calendar,Z3136,Y3137,"f",FALSE)</f>
        <v>61190</v>
      </c>
      <c r="AA3137" s="117">
        <f>_xll.qlCalendarAdvance(Calendar,Z3137,NDays&amp;"D")</f>
        <v>61192</v>
      </c>
      <c r="AB3137" s="92">
        <v>1.4158956912314719E-2</v>
      </c>
      <c r="AC3137" s="101">
        <v>1.3946935081712297E-2</v>
      </c>
    </row>
    <row r="3138" spans="25:29" x14ac:dyDescent="0.2">
      <c r="Y3138" s="105" t="str">
        <f t="shared" si="82"/>
        <v>1w</v>
      </c>
      <c r="Z3138" s="93">
        <f>_xll.qlCalendarAdvance(Calendar,Z3137,Y3138,"f",FALSE)</f>
        <v>61197</v>
      </c>
      <c r="AA3138" s="117">
        <f>_xll.qlCalendarAdvance(Calendar,Z3138,NDays&amp;"D")</f>
        <v>61199</v>
      </c>
      <c r="AB3138" s="92">
        <v>1.4171014839532281E-2</v>
      </c>
      <c r="AC3138" s="101">
        <v>1.3959433302570545E-2</v>
      </c>
    </row>
    <row r="3139" spans="25:29" x14ac:dyDescent="0.2">
      <c r="Y3139" s="105" t="str">
        <f t="shared" si="82"/>
        <v>1w</v>
      </c>
      <c r="Z3139" s="93">
        <f>_xll.qlCalendarAdvance(Calendar,Z3138,Y3139,"f",FALSE)</f>
        <v>61204</v>
      </c>
      <c r="AA3139" s="117">
        <f>_xll.qlCalendarAdvance(Calendar,Z3139,NDays&amp;"D")</f>
        <v>61206</v>
      </c>
      <c r="AB3139" s="92">
        <v>1.4183032636360079E-2</v>
      </c>
      <c r="AC3139" s="101">
        <v>1.3971891609916298E-2</v>
      </c>
    </row>
    <row r="3140" spans="25:29" x14ac:dyDescent="0.2">
      <c r="Y3140" s="105" t="str">
        <f t="shared" si="82"/>
        <v>1w</v>
      </c>
      <c r="Z3140" s="93">
        <f>_xll.qlCalendarAdvance(Calendar,Z3139,Y3140,"f",FALSE)</f>
        <v>61211</v>
      </c>
      <c r="AA3140" s="117">
        <f>_xll.qlCalendarAdvance(Calendar,Z3140,NDays&amp;"D")</f>
        <v>61213</v>
      </c>
      <c r="AB3140" s="92">
        <v>1.419501030205505E-2</v>
      </c>
      <c r="AC3140" s="101">
        <v>1.398431000366962E-2</v>
      </c>
    </row>
    <row r="3141" spans="25:29" x14ac:dyDescent="0.2">
      <c r="Y3141" s="105" t="str">
        <f t="shared" si="82"/>
        <v>1w</v>
      </c>
      <c r="Z3141" s="93">
        <f>_xll.qlCalendarAdvance(Calendar,Z3140,Y3141,"f",FALSE)</f>
        <v>61218</v>
      </c>
      <c r="AA3141" s="117">
        <f>_xll.qlCalendarAdvance(Calendar,Z3141,NDays&amp;"D")</f>
        <v>61220</v>
      </c>
      <c r="AB3141" s="92">
        <v>1.4206947835876714E-2</v>
      </c>
      <c r="AC3141" s="101">
        <v>1.3996688483750575E-2</v>
      </c>
    </row>
    <row r="3142" spans="25:29" x14ac:dyDescent="0.2">
      <c r="Y3142" s="105" t="str">
        <f t="shared" si="82"/>
        <v>1w</v>
      </c>
      <c r="Z3142" s="93">
        <f>_xll.qlCalendarAdvance(Calendar,Z3141,Y3142,"f",FALSE)</f>
        <v>61225</v>
      </c>
      <c r="AA3142" s="117">
        <f>_xll.qlCalendarAdvance(Calendar,Z3142,NDays&amp;"D")</f>
        <v>61227</v>
      </c>
      <c r="AB3142" s="92">
        <v>1.4218845237087165E-2</v>
      </c>
      <c r="AC3142" s="101">
        <v>1.4009027050239098E-2</v>
      </c>
    </row>
    <row r="3143" spans="25:29" x14ac:dyDescent="0.2">
      <c r="Y3143" s="105" t="str">
        <f t="shared" si="82"/>
        <v>1w</v>
      </c>
      <c r="Z3143" s="93">
        <f>_xll.qlCalendarAdvance(Calendar,Z3142,Y3143,"f",FALSE)</f>
        <v>61232</v>
      </c>
      <c r="AA3143" s="117">
        <f>_xll.qlCalendarAdvance(Calendar,Z3143,NDays&amp;"D")</f>
        <v>61234</v>
      </c>
      <c r="AB3143" s="92">
        <v>1.4230702504951077E-2</v>
      </c>
      <c r="AC3143" s="101">
        <v>1.4021325703215126E-2</v>
      </c>
    </row>
    <row r="3144" spans="25:29" x14ac:dyDescent="0.2">
      <c r="Y3144" s="105" t="str">
        <f t="shared" si="82"/>
        <v>1w</v>
      </c>
      <c r="Z3144" s="93">
        <f>_xll.qlCalendarAdvance(Calendar,Z3143,Y3144,"f",FALSE)</f>
        <v>61239</v>
      </c>
      <c r="AA3144" s="117">
        <f>_xll.qlCalendarAdvance(Calendar,Z3144,NDays&amp;"D")</f>
        <v>61241</v>
      </c>
      <c r="AB3144" s="92">
        <v>1.4238074132167848E-2</v>
      </c>
      <c r="AC3144" s="101">
        <v>1.4033584442358915E-2</v>
      </c>
    </row>
    <row r="3145" spans="25:29" x14ac:dyDescent="0.2">
      <c r="Y3145" s="105" t="str">
        <f t="shared" si="82"/>
        <v>1w</v>
      </c>
      <c r="Z3145" s="93">
        <f>_xll.qlCalendarAdvance(Calendar,Z3144,Y3145,"f",FALSE)</f>
        <v>61246</v>
      </c>
      <c r="AA3145" s="117">
        <f>_xll.qlCalendarAdvance(Calendar,Z3145,NDays&amp;"D")</f>
        <v>61248</v>
      </c>
      <c r="AB3145" s="92">
        <v>1.4249860739723745E-2</v>
      </c>
      <c r="AC3145" s="101">
        <v>1.4045803268070145E-2</v>
      </c>
    </row>
    <row r="3146" spans="25:29" x14ac:dyDescent="0.2">
      <c r="Y3146" s="105" t="str">
        <f t="shared" si="82"/>
        <v>1w</v>
      </c>
      <c r="Z3146" s="93">
        <f>_xll.qlCalendarAdvance(Calendar,Z3145,Y3146,"f",FALSE)</f>
        <v>61253</v>
      </c>
      <c r="AA3146" s="117">
        <f>_xll.qlCalendarAdvance(Calendar,Z3146,NDays&amp;"D")</f>
        <v>61255</v>
      </c>
      <c r="AB3146" s="92">
        <v>1.4261607216750414E-2</v>
      </c>
      <c r="AC3146" s="101">
        <v>1.4057982179949136E-2</v>
      </c>
    </row>
    <row r="3147" spans="25:29" x14ac:dyDescent="0.2">
      <c r="Y3147" s="105" t="str">
        <f t="shared" si="82"/>
        <v>1w</v>
      </c>
      <c r="Z3147" s="93">
        <f>_xll.qlCalendarAdvance(Calendar,Z3146,Y3147,"f",FALSE)</f>
        <v>61260</v>
      </c>
      <c r="AA3147" s="117">
        <f>_xll.qlCalendarAdvance(Calendar,Z3147,NDays&amp;"D")</f>
        <v>61262</v>
      </c>
      <c r="AB3147" s="92">
        <v>1.4273313562539847E-2</v>
      </c>
      <c r="AC3147" s="101">
        <v>1.4070121178395567E-2</v>
      </c>
    </row>
    <row r="3148" spans="25:29" x14ac:dyDescent="0.2">
      <c r="Y3148" s="105" t="str">
        <f t="shared" si="82"/>
        <v>1w</v>
      </c>
      <c r="Z3148" s="93">
        <f>_xll.qlCalendarAdvance(Calendar,Z3147,Y3148,"f",FALSE)</f>
        <v>61267</v>
      </c>
      <c r="AA3148" s="117">
        <f>_xll.qlCalendarAdvance(Calendar,Z3148,NDays&amp;"D")</f>
        <v>61269</v>
      </c>
      <c r="AB3148" s="92">
        <v>1.4284979776381407E-2</v>
      </c>
      <c r="AC3148" s="101">
        <v>1.4082220263089695E-2</v>
      </c>
    </row>
    <row r="3149" spans="25:29" x14ac:dyDescent="0.2">
      <c r="Y3149" s="105" t="str">
        <f t="shared" si="82"/>
        <v>1w</v>
      </c>
      <c r="Z3149" s="93">
        <f>_xll.qlCalendarAdvance(Calendar,Z3148,Y3149,"f",FALSE)</f>
        <v>61274</v>
      </c>
      <c r="AA3149" s="117">
        <f>_xll.qlCalendarAdvance(Calendar,Z3149,NDays&amp;"D")</f>
        <v>61276</v>
      </c>
      <c r="AB3149" s="92">
        <v>1.4297705512542686E-2</v>
      </c>
      <c r="AC3149" s="101">
        <v>1.4094279434111456E-2</v>
      </c>
    </row>
    <row r="3150" spans="25:29" x14ac:dyDescent="0.2">
      <c r="Y3150" s="105" t="str">
        <f t="shared" si="82"/>
        <v>1w</v>
      </c>
      <c r="Z3150" s="93">
        <f>_xll.qlCalendarAdvance(Calendar,Z3149,Y3150,"f",FALSE)</f>
        <v>61281</v>
      </c>
      <c r="AA3150" s="117">
        <f>_xll.qlCalendarAdvance(Calendar,Z3150,NDays&amp;"D")</f>
        <v>61283</v>
      </c>
      <c r="AB3150" s="92">
        <v>1.4309289052170942E-2</v>
      </c>
      <c r="AC3150" s="101">
        <v>1.4106298691620722E-2</v>
      </c>
    </row>
    <row r="3151" spans="25:29" x14ac:dyDescent="0.2">
      <c r="Y3151" s="105" t="str">
        <f t="shared" si="82"/>
        <v>1w</v>
      </c>
      <c r="Z3151" s="93">
        <f>_xll.qlCalendarAdvance(Calendar,Z3150,Y3151,"f",FALSE)</f>
        <v>61288</v>
      </c>
      <c r="AA3151" s="117">
        <f>_xll.qlCalendarAdvance(Calendar,Z3151,NDays&amp;"D")</f>
        <v>61290</v>
      </c>
      <c r="AB3151" s="92">
        <v>1.4325209791512361E-2</v>
      </c>
      <c r="AC3151" s="101">
        <v>1.4118278035297749E-2</v>
      </c>
    </row>
    <row r="3152" spans="25:29" x14ac:dyDescent="0.2">
      <c r="Y3152" s="105" t="str">
        <f t="shared" si="82"/>
        <v>1w</v>
      </c>
      <c r="Z3152" s="93">
        <f>_xll.qlCalendarAdvance(Calendar,Z3151,Y3152,"f",FALSE)</f>
        <v>61295</v>
      </c>
      <c r="AA3152" s="117">
        <f>_xll.qlCalendarAdvance(Calendar,Z3152,NDays&amp;"D")</f>
        <v>61297</v>
      </c>
      <c r="AB3152" s="92">
        <v>1.4332335724741302E-2</v>
      </c>
      <c r="AC3152" s="101">
        <v>1.413021746546228E-2</v>
      </c>
    </row>
    <row r="3153" spans="25:29" x14ac:dyDescent="0.2">
      <c r="Y3153" s="105" t="str">
        <f t="shared" si="82"/>
        <v>1w</v>
      </c>
      <c r="Z3153" s="93">
        <f>_xll.qlCalendarAdvance(Calendar,Z3152,Y3153,"f",FALSE)</f>
        <v>61302</v>
      </c>
      <c r="AA3153" s="117">
        <f>_xll.qlCalendarAdvance(Calendar,Z3153,NDays&amp;"D")</f>
        <v>61304</v>
      </c>
      <c r="AB3153" s="92">
        <v>1.4342708841768782E-2</v>
      </c>
      <c r="AC3153" s="101">
        <v>1.4142116981874508E-2</v>
      </c>
    </row>
    <row r="3154" spans="25:29" x14ac:dyDescent="0.2">
      <c r="Y3154" s="105" t="str">
        <f t="shared" si="82"/>
        <v>1w</v>
      </c>
      <c r="Z3154" s="93">
        <f>_xll.qlCalendarAdvance(Calendar,Z3153,Y3154,"f",FALSE)</f>
        <v>61309</v>
      </c>
      <c r="AA3154" s="117">
        <f>_xll.qlCalendarAdvance(Calendar,Z3154,NDays&amp;"D")</f>
        <v>61311</v>
      </c>
      <c r="AB3154" s="92">
        <v>1.4354134249192459E-2</v>
      </c>
      <c r="AC3154" s="101">
        <v>1.4153976584694306E-2</v>
      </c>
    </row>
    <row r="3155" spans="25:29" x14ac:dyDescent="0.2">
      <c r="Y3155" s="105" t="str">
        <f t="shared" si="82"/>
        <v>1w</v>
      </c>
      <c r="Z3155" s="93">
        <f>_xll.qlCalendarAdvance(Calendar,Z3154,Y3155,"f",FALSE)</f>
        <v>61316</v>
      </c>
      <c r="AA3155" s="117">
        <f>_xll.qlCalendarAdvance(Calendar,Z3155,NDays&amp;"D")</f>
        <v>61318</v>
      </c>
      <c r="AB3155" s="92">
        <v>1.4365519519779425E-2</v>
      </c>
      <c r="AC3155" s="101">
        <v>1.4165796273841735E-2</v>
      </c>
    </row>
    <row r="3156" spans="25:29" x14ac:dyDescent="0.2">
      <c r="Y3156" s="105" t="str">
        <f t="shared" si="82"/>
        <v>1w</v>
      </c>
      <c r="Z3156" s="93">
        <f>_xll.qlCalendarAdvance(Calendar,Z3155,Y3156,"f",FALSE)</f>
        <v>61323</v>
      </c>
      <c r="AA3156" s="117">
        <f>_xll.qlCalendarAdvance(Calendar,Z3156,NDays&amp;"D")</f>
        <v>61325</v>
      </c>
      <c r="AB3156" s="92">
        <v>1.4376864652841437E-2</v>
      </c>
      <c r="AC3156" s="101">
        <v>1.4177576049236862E-2</v>
      </c>
    </row>
    <row r="3157" spans="25:29" x14ac:dyDescent="0.2">
      <c r="Y3157" s="105" t="str">
        <f t="shared" ref="Y3157:Y3220" si="83">Y3156</f>
        <v>1w</v>
      </c>
      <c r="Z3157" s="93">
        <f>_xll.qlCalendarAdvance(Calendar,Z3156,Y3157,"f",FALSE)</f>
        <v>61330</v>
      </c>
      <c r="AA3157" s="117">
        <f>_xll.qlCalendarAdvance(Calendar,Z3157,NDays&amp;"D")</f>
        <v>61332</v>
      </c>
      <c r="AB3157" s="92">
        <v>1.4389250001241282E-2</v>
      </c>
      <c r="AC3157" s="101">
        <v>1.4189315911039557E-2</v>
      </c>
    </row>
    <row r="3158" spans="25:29" x14ac:dyDescent="0.2">
      <c r="Y3158" s="105" t="str">
        <f t="shared" si="83"/>
        <v>1w</v>
      </c>
      <c r="Z3158" s="93">
        <f>_xll.qlCalendarAdvance(Calendar,Z3157,Y3158,"f",FALSE)</f>
        <v>61337</v>
      </c>
      <c r="AA3158" s="117">
        <f>_xll.qlCalendarAdvance(Calendar,Z3158,NDays&amp;"D")</f>
        <v>61339</v>
      </c>
      <c r="AB3158" s="92">
        <v>1.4400512438723574E-2</v>
      </c>
      <c r="AC3158" s="101">
        <v>1.4201015859089949E-2</v>
      </c>
    </row>
    <row r="3159" spans="25:29" x14ac:dyDescent="0.2">
      <c r="Y3159" s="105" t="str">
        <f t="shared" si="83"/>
        <v>1w</v>
      </c>
      <c r="Z3159" s="93">
        <f>_xll.qlCalendarAdvance(Calendar,Z3158,Y3159,"f",FALSE)</f>
        <v>61344</v>
      </c>
      <c r="AA3159" s="117">
        <f>_xll.qlCalendarAdvance(Calendar,Z3159,NDays&amp;"D")</f>
        <v>61346</v>
      </c>
      <c r="AB3159" s="92">
        <v>1.4411734735328575E-2</v>
      </c>
      <c r="AC3159" s="101">
        <v>1.4212675893467974E-2</v>
      </c>
    </row>
    <row r="3160" spans="25:29" x14ac:dyDescent="0.2">
      <c r="Y3160" s="105" t="str">
        <f t="shared" si="83"/>
        <v>1w</v>
      </c>
      <c r="Z3160" s="93">
        <f>_xll.qlCalendarAdvance(Calendar,Z3159,Y3160,"f",FALSE)</f>
        <v>61351</v>
      </c>
      <c r="AA3160" s="117">
        <f>_xll.qlCalendarAdvance(Calendar,Z3160,NDays&amp;"D")</f>
        <v>61353</v>
      </c>
      <c r="AB3160" s="92">
        <v>1.4422916890374428E-2</v>
      </c>
      <c r="AC3160" s="101">
        <v>1.4224296014173632E-2</v>
      </c>
    </row>
    <row r="3161" spans="25:29" x14ac:dyDescent="0.2">
      <c r="Y3161" s="105" t="str">
        <f t="shared" si="83"/>
        <v>1w</v>
      </c>
      <c r="Z3161" s="93">
        <f>_xll.qlCalendarAdvance(Calendar,Z3160,Y3161,"f",FALSE)</f>
        <v>61358</v>
      </c>
      <c r="AA3161" s="117">
        <f>_xll.qlCalendarAdvance(Calendar,Z3161,NDays&amp;"D")</f>
        <v>61360</v>
      </c>
      <c r="AB3161" s="92">
        <v>1.4434058903180585E-2</v>
      </c>
      <c r="AC3161" s="101">
        <v>1.4235876221206922E-2</v>
      </c>
    </row>
    <row r="3162" spans="25:29" x14ac:dyDescent="0.2">
      <c r="Y3162" s="105" t="str">
        <f t="shared" si="83"/>
        <v>1w</v>
      </c>
      <c r="Z3162" s="93">
        <f>_xll.qlCalendarAdvance(Calendar,Z3161,Y3162,"f",FALSE)</f>
        <v>61365</v>
      </c>
      <c r="AA3162" s="117">
        <f>_xll.qlCalendarAdvance(Calendar,Z3162,NDays&amp;"D")</f>
        <v>61367</v>
      </c>
      <c r="AB3162" s="92">
        <v>1.4444092524910251E-2</v>
      </c>
      <c r="AC3162" s="101">
        <v>1.4247416514647782E-2</v>
      </c>
    </row>
    <row r="3163" spans="25:29" x14ac:dyDescent="0.2">
      <c r="Y3163" s="105" t="str">
        <f t="shared" si="83"/>
        <v>1w</v>
      </c>
      <c r="Z3163" s="93">
        <f>_xll.qlCalendarAdvance(Calendar,Z3162,Y3163,"f",FALSE)</f>
        <v>61372</v>
      </c>
      <c r="AA3163" s="117">
        <f>_xll.qlCalendarAdvance(Calendar,Z3163,NDays&amp;"D")</f>
        <v>61374</v>
      </c>
      <c r="AB3163" s="92">
        <v>1.445515667621089E-2</v>
      </c>
      <c r="AC3163" s="101">
        <v>1.4258916894176465E-2</v>
      </c>
    </row>
    <row r="3164" spans="25:29" x14ac:dyDescent="0.2">
      <c r="Y3164" s="105" t="str">
        <f t="shared" si="83"/>
        <v>1w</v>
      </c>
      <c r="Z3164" s="93">
        <f>_xll.qlCalendarAdvance(Calendar,Z3163,Y3164,"f",FALSE)</f>
        <v>61379</v>
      </c>
      <c r="AA3164" s="117">
        <f>_xll.qlCalendarAdvance(Calendar,Z3164,NDays&amp;"D")</f>
        <v>61381</v>
      </c>
      <c r="AB3164" s="92">
        <v>1.4466180684562782E-2</v>
      </c>
      <c r="AC3164" s="101">
        <v>1.4270377360112718E-2</v>
      </c>
    </row>
    <row r="3165" spans="25:29" x14ac:dyDescent="0.2">
      <c r="Y3165" s="105" t="str">
        <f t="shared" si="83"/>
        <v>1w</v>
      </c>
      <c r="Z3165" s="93">
        <f>_xll.qlCalendarAdvance(Calendar,Z3164,Y3165,"f",FALSE)</f>
        <v>61386</v>
      </c>
      <c r="AA3165" s="117">
        <f>_xll.qlCalendarAdvance(Calendar,Z3165,NDays&amp;"D")</f>
        <v>61388</v>
      </c>
      <c r="AB3165" s="92">
        <v>1.4477164549299209E-2</v>
      </c>
      <c r="AC3165" s="101">
        <v>1.4281797912296668E-2</v>
      </c>
    </row>
    <row r="3166" spans="25:29" x14ac:dyDescent="0.2">
      <c r="Y3166" s="105" t="str">
        <f t="shared" si="83"/>
        <v>1w</v>
      </c>
      <c r="Z3166" s="93">
        <f>_xll.qlCalendarAdvance(Calendar,Z3165,Y3166,"f",FALSE)</f>
        <v>61393</v>
      </c>
      <c r="AA3166" s="117">
        <f>_xll.qlCalendarAdvance(Calendar,Z3166,NDays&amp;"D")</f>
        <v>61395</v>
      </c>
      <c r="AB3166" s="92">
        <v>1.448810826975565E-2</v>
      </c>
      <c r="AC3166" s="101">
        <v>1.429317855080825E-2</v>
      </c>
    </row>
    <row r="3167" spans="25:29" x14ac:dyDescent="0.2">
      <c r="Y3167" s="105" t="str">
        <f t="shared" si="83"/>
        <v>1w</v>
      </c>
      <c r="Z3167" s="93">
        <f>_xll.qlCalendarAdvance(Calendar,Z3166,Y3167,"f",FALSE)</f>
        <v>61400</v>
      </c>
      <c r="AA3167" s="117">
        <f>_xll.qlCalendarAdvance(Calendar,Z3167,NDays&amp;"D")</f>
        <v>61402</v>
      </c>
      <c r="AB3167" s="92">
        <v>1.4499011845269336E-2</v>
      </c>
      <c r="AC3167" s="101">
        <v>1.4304519275567529E-2</v>
      </c>
    </row>
    <row r="3168" spans="25:29" x14ac:dyDescent="0.2">
      <c r="Y3168" s="105" t="str">
        <f t="shared" si="83"/>
        <v>1w</v>
      </c>
      <c r="Z3168" s="93">
        <f>_xll.qlCalendarAdvance(Calendar,Z3167,Y3168,"f",FALSE)</f>
        <v>61407</v>
      </c>
      <c r="AA3168" s="117">
        <f>_xll.qlCalendarAdvance(Calendar,Z3168,NDays&amp;"D")</f>
        <v>61409</v>
      </c>
      <c r="AB3168" s="92">
        <v>1.4509875275181452E-2</v>
      </c>
      <c r="AC3168" s="101">
        <v>1.4315820086654441E-2</v>
      </c>
    </row>
    <row r="3169" spans="25:29" x14ac:dyDescent="0.2">
      <c r="Y3169" s="105" t="str">
        <f t="shared" si="83"/>
        <v>1w</v>
      </c>
      <c r="Z3169" s="93">
        <f>_xll.qlCalendarAdvance(Calendar,Z3168,Y3169,"f",FALSE)</f>
        <v>61414</v>
      </c>
      <c r="AA3169" s="117">
        <f>_xll.qlCalendarAdvance(Calendar,Z3169,NDays&amp;"D")</f>
        <v>61416</v>
      </c>
      <c r="AB3169" s="92">
        <v>1.4520698558834066E-2</v>
      </c>
      <c r="AC3169" s="101">
        <v>1.4327080983989049E-2</v>
      </c>
    </row>
    <row r="3170" spans="25:29" x14ac:dyDescent="0.2">
      <c r="Y3170" s="105" t="str">
        <f t="shared" si="83"/>
        <v>1w</v>
      </c>
      <c r="Z3170" s="93">
        <f>_xll.qlCalendarAdvance(Calendar,Z3169,Y3170,"f",FALSE)</f>
        <v>61421</v>
      </c>
      <c r="AA3170" s="117">
        <f>_xll.qlCalendarAdvance(Calendar,Z3170,NDays&amp;"D")</f>
        <v>61423</v>
      </c>
      <c r="AB3170" s="92">
        <v>1.4535675712234731E-2</v>
      </c>
      <c r="AC3170" s="101">
        <v>1.433830196765129E-2</v>
      </c>
    </row>
    <row r="3171" spans="25:29" x14ac:dyDescent="0.2">
      <c r="Y3171" s="105" t="str">
        <f t="shared" si="83"/>
        <v>1w</v>
      </c>
      <c r="Z3171" s="93">
        <f>_xll.qlCalendarAdvance(Calendar,Z3170,Y3171,"f",FALSE)</f>
        <v>61428</v>
      </c>
      <c r="AA3171" s="117">
        <f>_xll.qlCalendarAdvance(Calendar,Z3171,NDays&amp;"D")</f>
        <v>61430</v>
      </c>
      <c r="AB3171" s="92">
        <v>1.454640895780104E-2</v>
      </c>
      <c r="AC3171" s="101">
        <v>1.4349483037481292E-2</v>
      </c>
    </row>
    <row r="3172" spans="25:29" x14ac:dyDescent="0.2">
      <c r="Y3172" s="105" t="str">
        <f t="shared" si="83"/>
        <v>1w</v>
      </c>
      <c r="Z3172" s="93">
        <f>_xll.qlCalendarAdvance(Calendar,Z3171,Y3172,"f",FALSE)</f>
        <v>61435</v>
      </c>
      <c r="AA3172" s="117">
        <f>_xll.qlCalendarAdvance(Calendar,Z3172,NDays&amp;"D")</f>
        <v>61437</v>
      </c>
      <c r="AB3172" s="92">
        <v>1.4557102049768192E-2</v>
      </c>
      <c r="AC3172" s="101">
        <v>1.4360624193718863E-2</v>
      </c>
    </row>
    <row r="3173" spans="25:29" x14ac:dyDescent="0.2">
      <c r="Y3173" s="105" t="str">
        <f t="shared" si="83"/>
        <v>1w</v>
      </c>
      <c r="Z3173" s="93">
        <f>_xll.qlCalendarAdvance(Calendar,Z3172,Y3173,"f",FALSE)</f>
        <v>61442</v>
      </c>
      <c r="AA3173" s="117">
        <f>_xll.qlCalendarAdvance(Calendar,Z3173,NDays&amp;"D")</f>
        <v>61444</v>
      </c>
      <c r="AB3173" s="92">
        <v>1.4567754987472635E-2</v>
      </c>
      <c r="AC3173" s="101">
        <v>1.4371725436124194E-2</v>
      </c>
    </row>
    <row r="3174" spans="25:29" x14ac:dyDescent="0.2">
      <c r="Y3174" s="105" t="str">
        <f t="shared" si="83"/>
        <v>1w</v>
      </c>
      <c r="Z3174" s="93">
        <f>_xll.qlCalendarAdvance(Calendar,Z3173,Y3174,"f",FALSE)</f>
        <v>61449</v>
      </c>
      <c r="AA3174" s="117">
        <f>_xll.qlCalendarAdvance(Calendar,Z3174,NDays&amp;"D")</f>
        <v>61451</v>
      </c>
      <c r="AB3174" s="92">
        <v>1.4575251820746319E-2</v>
      </c>
      <c r="AC3174" s="101">
        <v>1.4382786764697286E-2</v>
      </c>
    </row>
    <row r="3175" spans="25:29" x14ac:dyDescent="0.2">
      <c r="Y3175" s="105" t="str">
        <f t="shared" si="83"/>
        <v>1w</v>
      </c>
      <c r="Z3175" s="93">
        <f>_xll.qlCalendarAdvance(Calendar,Z3174,Y3175,"f",FALSE)</f>
        <v>61456</v>
      </c>
      <c r="AA3175" s="117">
        <f>_xll.qlCalendarAdvance(Calendar,Z3175,NDays&amp;"D")</f>
        <v>61458</v>
      </c>
      <c r="AB3175" s="92">
        <v>1.4585831772132993E-2</v>
      </c>
      <c r="AC3175" s="101">
        <v>1.4393808179677947E-2</v>
      </c>
    </row>
    <row r="3176" spans="25:29" x14ac:dyDescent="0.2">
      <c r="Y3176" s="105" t="str">
        <f t="shared" si="83"/>
        <v>1w</v>
      </c>
      <c r="Z3176" s="93">
        <f>_xll.qlCalendarAdvance(Calendar,Z3175,Y3176,"f",FALSE)</f>
        <v>61463</v>
      </c>
      <c r="AA3176" s="117">
        <f>_xll.qlCalendarAdvance(Calendar,Z3176,NDays&amp;"D")</f>
        <v>61465</v>
      </c>
      <c r="AB3176" s="92">
        <v>1.45963715713679E-2</v>
      </c>
      <c r="AC3176" s="101">
        <v>1.4404789680906305E-2</v>
      </c>
    </row>
    <row r="3177" spans="25:29" x14ac:dyDescent="0.2">
      <c r="Y3177" s="105" t="str">
        <f t="shared" si="83"/>
        <v>1w</v>
      </c>
      <c r="Z3177" s="93">
        <f>_xll.qlCalendarAdvance(Calendar,Z3176,Y3177,"f",FALSE)</f>
        <v>61470</v>
      </c>
      <c r="AA3177" s="117">
        <f>_xll.qlCalendarAdvance(Calendar,Z3177,NDays&amp;"D")</f>
        <v>61472</v>
      </c>
      <c r="AB3177" s="92">
        <v>1.4606871217810241E-2</v>
      </c>
      <c r="AC3177" s="101">
        <v>1.4420004354571248E-2</v>
      </c>
    </row>
    <row r="3178" spans="25:29" x14ac:dyDescent="0.2">
      <c r="Y3178" s="105" t="str">
        <f t="shared" si="83"/>
        <v>1w</v>
      </c>
      <c r="Z3178" s="93">
        <f>_xll.qlCalendarAdvance(Calendar,Z3177,Y3178,"f",FALSE)</f>
        <v>61477</v>
      </c>
      <c r="AA3178" s="117">
        <f>_xll.qlCalendarAdvance(Calendar,Z3178,NDays&amp;"D")</f>
        <v>61479</v>
      </c>
      <c r="AB3178" s="92">
        <v>1.4617330710822272E-2</v>
      </c>
      <c r="AC3178" s="101">
        <v>1.4426632941946238E-2</v>
      </c>
    </row>
    <row r="3179" spans="25:29" x14ac:dyDescent="0.2">
      <c r="Y3179" s="105" t="str">
        <f t="shared" si="83"/>
        <v>1w</v>
      </c>
      <c r="Z3179" s="93">
        <f>_xll.qlCalendarAdvance(Calendar,Z3178,Y3179,"f",FALSE)</f>
        <v>61485</v>
      </c>
      <c r="AA3179" s="117">
        <f>_xll.qlCalendarAdvance(Calendar,Z3179,NDays&amp;"D")</f>
        <v>61487</v>
      </c>
      <c r="AB3179" s="92">
        <v>1.4631287614195189E-2</v>
      </c>
      <c r="AC3179" s="101">
        <v>1.4441169718768521E-2</v>
      </c>
    </row>
    <row r="3180" spans="25:29" x14ac:dyDescent="0.2">
      <c r="Y3180" s="105" t="str">
        <f t="shared" si="83"/>
        <v>1w</v>
      </c>
      <c r="Z3180" s="93">
        <f>_xll.qlCalendarAdvance(Calendar,Z3179,Y3180,"f",FALSE)</f>
        <v>61492</v>
      </c>
      <c r="AA3180" s="117">
        <f>_xll.qlCalendarAdvance(Calendar,Z3180,NDays&amp;"D")</f>
        <v>61494</v>
      </c>
      <c r="AB3180" s="92">
        <v>1.4641656165335023E-2</v>
      </c>
      <c r="AC3180" s="101">
        <v>1.4451981028589245E-2</v>
      </c>
    </row>
    <row r="3181" spans="25:29" x14ac:dyDescent="0.2">
      <c r="Y3181" s="105" t="str">
        <f t="shared" si="83"/>
        <v>1w</v>
      </c>
      <c r="Z3181" s="93">
        <f>_xll.qlCalendarAdvance(Calendar,Z3180,Y3181,"f",FALSE)</f>
        <v>61499</v>
      </c>
      <c r="AA3181" s="117">
        <f>_xll.qlCalendarAdvance(Calendar,Z3181,NDays&amp;"D")</f>
        <v>61501</v>
      </c>
      <c r="AB3181" s="92">
        <v>1.4651984558299263E-2</v>
      </c>
      <c r="AC3181" s="101">
        <v>1.4462752422099712E-2</v>
      </c>
    </row>
    <row r="3182" spans="25:29" x14ac:dyDescent="0.2">
      <c r="Y3182" s="105" t="str">
        <f t="shared" si="83"/>
        <v>1w</v>
      </c>
      <c r="Z3182" s="93">
        <f>_xll.qlCalendarAdvance(Calendar,Z3181,Y3182,"f",FALSE)</f>
        <v>61506</v>
      </c>
      <c r="AA3182" s="117">
        <f>_xll.qlCalendarAdvance(Calendar,Z3182,NDays&amp;"D")</f>
        <v>61508</v>
      </c>
      <c r="AB3182" s="92">
        <v>1.4662272792452306E-2</v>
      </c>
      <c r="AC3182" s="101">
        <v>1.4473483899299922E-2</v>
      </c>
    </row>
    <row r="3183" spans="25:29" x14ac:dyDescent="0.2">
      <c r="Y3183" s="105" t="str">
        <f t="shared" si="83"/>
        <v>1w</v>
      </c>
      <c r="Z3183" s="93">
        <f>_xll.qlCalendarAdvance(Calendar,Z3182,Y3183,"f",FALSE)</f>
        <v>61513</v>
      </c>
      <c r="AA3183" s="117">
        <f>_xll.qlCalendarAdvance(Calendar,Z3183,NDays&amp;"D")</f>
        <v>61515</v>
      </c>
      <c r="AB3183" s="92">
        <v>1.4672520867161146E-2</v>
      </c>
      <c r="AC3183" s="101">
        <v>1.4484175460109938E-2</v>
      </c>
    </row>
    <row r="3184" spans="25:29" x14ac:dyDescent="0.2">
      <c r="Y3184" s="105" t="str">
        <f t="shared" si="83"/>
        <v>1w</v>
      </c>
      <c r="Z3184" s="93">
        <f>_xll.qlCalendarAdvance(Calendar,Z3183,Y3184,"f",FALSE)</f>
        <v>61520</v>
      </c>
      <c r="AA3184" s="117">
        <f>_xll.qlCalendarAdvance(Calendar,Z3184,NDays&amp;"D")</f>
        <v>61522</v>
      </c>
      <c r="AB3184" s="92">
        <v>1.4682728781795801E-2</v>
      </c>
      <c r="AC3184" s="101">
        <v>1.4494827104583052E-2</v>
      </c>
    </row>
    <row r="3185" spans="25:29" x14ac:dyDescent="0.2">
      <c r="Y3185" s="105" t="str">
        <f t="shared" si="83"/>
        <v>1w</v>
      </c>
      <c r="Z3185" s="93">
        <f>_xll.qlCalendarAdvance(Calendar,Z3184,Y3185,"f",FALSE)</f>
        <v>61527</v>
      </c>
      <c r="AA3185" s="117">
        <f>_xll.qlCalendarAdvance(Calendar,Z3185,NDays&amp;"D")</f>
        <v>61529</v>
      </c>
      <c r="AB3185" s="92">
        <v>1.4692896535728018E-2</v>
      </c>
      <c r="AC3185" s="101">
        <v>1.4505438832665973E-2</v>
      </c>
    </row>
    <row r="3186" spans="25:29" x14ac:dyDescent="0.2">
      <c r="Y3186" s="105" t="str">
        <f t="shared" si="83"/>
        <v>1w</v>
      </c>
      <c r="Z3186" s="93">
        <f>_xll.qlCalendarAdvance(Calendar,Z3185,Y3186,"f",FALSE)</f>
        <v>61534</v>
      </c>
      <c r="AA3186" s="117">
        <f>_xll.qlCalendarAdvance(Calendar,Z3186,NDays&amp;"D")</f>
        <v>61536</v>
      </c>
      <c r="AB3186" s="92">
        <v>1.4703024128332997E-2</v>
      </c>
      <c r="AC3186" s="101">
        <v>1.4516010644385346E-2</v>
      </c>
    </row>
    <row r="3187" spans="25:29" x14ac:dyDescent="0.2">
      <c r="Y3187" s="105" t="str">
        <f t="shared" si="83"/>
        <v>1w</v>
      </c>
      <c r="Z3187" s="93">
        <f>_xll.qlCalendarAdvance(Calendar,Z3186,Y3187,"f",FALSE)</f>
        <v>61541</v>
      </c>
      <c r="AA3187" s="117">
        <f>_xll.qlCalendarAdvance(Calendar,Z3187,NDays&amp;"D")</f>
        <v>61543</v>
      </c>
      <c r="AB3187" s="92">
        <v>1.4713111558987239E-2</v>
      </c>
      <c r="AC3187" s="101">
        <v>1.4526542539714526E-2</v>
      </c>
    </row>
    <row r="3188" spans="25:29" x14ac:dyDescent="0.2">
      <c r="Y3188" s="105" t="str">
        <f t="shared" si="83"/>
        <v>1w</v>
      </c>
      <c r="Z3188" s="93">
        <f>_xll.qlCalendarAdvance(Calendar,Z3187,Y3188,"f",FALSE)</f>
        <v>61548</v>
      </c>
      <c r="AA3188" s="117">
        <f>_xll.qlCalendarAdvance(Calendar,Z3188,NDays&amp;"D")</f>
        <v>61550</v>
      </c>
      <c r="AB3188" s="92">
        <v>1.472315882707113E-2</v>
      </c>
      <c r="AC3188" s="101">
        <v>1.4537034518626868E-2</v>
      </c>
    </row>
    <row r="3189" spans="25:29" x14ac:dyDescent="0.2">
      <c r="Y3189" s="105" t="str">
        <f t="shared" si="83"/>
        <v>1w</v>
      </c>
      <c r="Z3189" s="93">
        <f>_xll.qlCalendarAdvance(Calendar,Z3188,Y3189,"f",FALSE)</f>
        <v>61555</v>
      </c>
      <c r="AA3189" s="117">
        <f>_xll.qlCalendarAdvance(Calendar,Z3189,NDays&amp;"D")</f>
        <v>61557</v>
      </c>
      <c r="AB3189" s="92">
        <v>1.4733165931965922E-2</v>
      </c>
      <c r="AC3189" s="101">
        <v>1.4547486581149016E-2</v>
      </c>
    </row>
    <row r="3190" spans="25:29" x14ac:dyDescent="0.2">
      <c r="Y3190" s="105" t="str">
        <f t="shared" si="83"/>
        <v>1w</v>
      </c>
      <c r="Z3190" s="93">
        <f>_xll.qlCalendarAdvance(Calendar,Z3189,Y3190,"f",FALSE)</f>
        <v>61562</v>
      </c>
      <c r="AA3190" s="117">
        <f>_xll.qlCalendarAdvance(Calendar,Z3190,NDays&amp;"D")</f>
        <v>61564</v>
      </c>
      <c r="AB3190" s="92">
        <v>1.4743132873056756E-2</v>
      </c>
      <c r="AC3190" s="101">
        <v>1.4557898727254326E-2</v>
      </c>
    </row>
    <row r="3191" spans="25:29" x14ac:dyDescent="0.2">
      <c r="Y3191" s="105" t="str">
        <f t="shared" si="83"/>
        <v>1w</v>
      </c>
      <c r="Z3191" s="93">
        <f>_xll.qlCalendarAdvance(Calendar,Z3190,Y3191,"f",FALSE)</f>
        <v>61569</v>
      </c>
      <c r="AA3191" s="117">
        <f>_xll.qlCalendarAdvance(Calendar,Z3191,NDays&amp;"D")</f>
        <v>61571</v>
      </c>
      <c r="AB3191" s="92">
        <v>1.4753059649730067E-2</v>
      </c>
      <c r="AC3191" s="101">
        <v>1.4568270956916152E-2</v>
      </c>
    </row>
    <row r="3192" spans="25:29" x14ac:dyDescent="0.2">
      <c r="Y3192" s="105" t="str">
        <f t="shared" si="83"/>
        <v>1w</v>
      </c>
      <c r="Z3192" s="93">
        <f>_xll.qlCalendarAdvance(Calendar,Z3191,Y3192,"f",FALSE)</f>
        <v>61576</v>
      </c>
      <c r="AA3192" s="117">
        <f>_xll.qlCalendarAdvance(Calendar,Z3192,NDays&amp;"D")</f>
        <v>61578</v>
      </c>
      <c r="AB3192" s="92">
        <v>1.4762946261375752E-2</v>
      </c>
      <c r="AC3192" s="101">
        <v>1.4578603270134494E-2</v>
      </c>
    </row>
    <row r="3193" spans="25:29" x14ac:dyDescent="0.2">
      <c r="Y3193" s="105" t="str">
        <f t="shared" si="83"/>
        <v>1w</v>
      </c>
      <c r="Z3193" s="93">
        <f>_xll.qlCalendarAdvance(Calendar,Z3192,Y3193,"f",FALSE)</f>
        <v>61583</v>
      </c>
      <c r="AA3193" s="117">
        <f>_xll.qlCalendarAdvance(Calendar,Z3193,NDays&amp;"D")</f>
        <v>61585</v>
      </c>
      <c r="AB3193" s="92">
        <v>1.477279270738543E-2</v>
      </c>
      <c r="AC3193" s="101">
        <v>1.4588895666909352E-2</v>
      </c>
    </row>
    <row r="3194" spans="25:29" x14ac:dyDescent="0.2">
      <c r="Y3194" s="105" t="str">
        <f t="shared" si="83"/>
        <v>1w</v>
      </c>
      <c r="Z3194" s="93">
        <f>_xll.qlCalendarAdvance(Calendar,Z3193,Y3194,"f",FALSE)</f>
        <v>61590</v>
      </c>
      <c r="AA3194" s="117">
        <f>_xll.qlCalendarAdvance(Calendar,Z3194,NDays&amp;"D")</f>
        <v>61592</v>
      </c>
      <c r="AB3194" s="92">
        <v>1.4782598987152883E-2</v>
      </c>
      <c r="AC3194" s="101">
        <v>1.4599148147187435E-2</v>
      </c>
    </row>
    <row r="3195" spans="25:29" x14ac:dyDescent="0.2">
      <c r="Y3195" s="105" t="str">
        <f t="shared" si="83"/>
        <v>1w</v>
      </c>
      <c r="Z3195" s="93">
        <f>_xll.qlCalendarAdvance(Calendar,Z3194,Y3195,"f",FALSE)</f>
        <v>61597</v>
      </c>
      <c r="AA3195" s="117">
        <f>_xll.qlCalendarAdvance(Calendar,Z3195,NDays&amp;"D")</f>
        <v>61599</v>
      </c>
      <c r="AB3195" s="92">
        <v>1.4792365100076215E-2</v>
      </c>
      <c r="AC3195" s="101">
        <v>1.460936071104868E-2</v>
      </c>
    </row>
    <row r="3196" spans="25:29" x14ac:dyDescent="0.2">
      <c r="Y3196" s="105" t="str">
        <f t="shared" si="83"/>
        <v>1w</v>
      </c>
      <c r="Z3196" s="93">
        <f>_xll.qlCalendarAdvance(Calendar,Z3195,Y3196,"f",FALSE)</f>
        <v>61604</v>
      </c>
      <c r="AA3196" s="117">
        <f>_xll.qlCalendarAdvance(Calendar,Z3196,NDays&amp;"D")</f>
        <v>61606</v>
      </c>
      <c r="AB3196" s="92">
        <v>1.4798152722185326E-2</v>
      </c>
      <c r="AC3196" s="101">
        <v>1.461953335841315E-2</v>
      </c>
    </row>
    <row r="3197" spans="25:29" x14ac:dyDescent="0.2">
      <c r="Y3197" s="105" t="str">
        <f t="shared" si="83"/>
        <v>1w</v>
      </c>
      <c r="Z3197" s="93">
        <f>_xll.qlCalendarAdvance(Calendar,Z3196,Y3197,"f",FALSE)</f>
        <v>61611</v>
      </c>
      <c r="AA3197" s="117">
        <f>_xll.qlCalendarAdvance(Calendar,Z3197,NDays&amp;"D")</f>
        <v>61613</v>
      </c>
      <c r="AB3197" s="92">
        <v>1.4807848387565721E-2</v>
      </c>
      <c r="AC3197" s="101">
        <v>1.4629666089254201E-2</v>
      </c>
    </row>
    <row r="3198" spans="25:29" x14ac:dyDescent="0.2">
      <c r="Y3198" s="105" t="str">
        <f t="shared" si="83"/>
        <v>1w</v>
      </c>
      <c r="Z3198" s="93">
        <f>_xll.qlCalendarAdvance(Calendar,Z3197,Y3198,"f",FALSE)</f>
        <v>61618</v>
      </c>
      <c r="AA3198" s="117">
        <f>_xll.qlCalendarAdvance(Calendar,Z3198,NDays&amp;"D")</f>
        <v>61620</v>
      </c>
      <c r="AB3198" s="92">
        <v>1.4817503890026496E-2</v>
      </c>
      <c r="AC3198" s="101">
        <v>1.4639758903651767E-2</v>
      </c>
    </row>
    <row r="3199" spans="25:29" x14ac:dyDescent="0.2">
      <c r="Y3199" s="105" t="str">
        <f t="shared" si="83"/>
        <v>1w</v>
      </c>
      <c r="Z3199" s="93">
        <f>_xll.qlCalendarAdvance(Calendar,Z3198,Y3199,"f",FALSE)</f>
        <v>61625</v>
      </c>
      <c r="AA3199" s="117">
        <f>_xll.qlCalendarAdvance(Calendar,Z3199,NDays&amp;"D")</f>
        <v>61627</v>
      </c>
      <c r="AB3199" s="92">
        <v>1.4827119228988224E-2</v>
      </c>
      <c r="AC3199" s="101">
        <v>1.4649811801472623E-2</v>
      </c>
    </row>
    <row r="3200" spans="25:29" x14ac:dyDescent="0.2">
      <c r="Y3200" s="105" t="str">
        <f t="shared" si="83"/>
        <v>1w</v>
      </c>
      <c r="Z3200" s="93">
        <f>_xll.qlCalendarAdvance(Calendar,Z3199,Y3200,"f",FALSE)</f>
        <v>61632</v>
      </c>
      <c r="AA3200" s="117">
        <f>_xll.qlCalendarAdvance(Calendar,Z3200,NDays&amp;"D")</f>
        <v>61634</v>
      </c>
      <c r="AB3200" s="92">
        <v>1.4837669403135998E-2</v>
      </c>
      <c r="AC3200" s="101">
        <v>1.4659824782796704E-2</v>
      </c>
    </row>
    <row r="3201" spans="25:29" x14ac:dyDescent="0.2">
      <c r="Y3201" s="105" t="str">
        <f t="shared" si="83"/>
        <v>1w</v>
      </c>
      <c r="Z3201" s="93">
        <f>_xll.qlCalendarAdvance(Calendar,Z3200,Y3201,"f",FALSE)</f>
        <v>61639</v>
      </c>
      <c r="AA3201" s="117">
        <f>_xll.qlCalendarAdvance(Calendar,Z3201,NDays&amp;"D")</f>
        <v>61641</v>
      </c>
      <c r="AB3201" s="92">
        <v>1.4847201935919787E-2</v>
      </c>
      <c r="AC3201" s="101">
        <v>1.466979784757072E-2</v>
      </c>
    </row>
    <row r="3202" spans="25:29" x14ac:dyDescent="0.2">
      <c r="Y3202" s="105" t="str">
        <f t="shared" si="83"/>
        <v>1w</v>
      </c>
      <c r="Z3202" s="93">
        <f>_xll.qlCalendarAdvance(Calendar,Z3201,Y3202,"f",FALSE)</f>
        <v>61646</v>
      </c>
      <c r="AA3202" s="117">
        <f>_xll.qlCalendarAdvance(Calendar,Z3202,NDays&amp;"D")</f>
        <v>61648</v>
      </c>
      <c r="AB3202" s="92">
        <v>1.4860572370186566E-2</v>
      </c>
      <c r="AC3202" s="101">
        <v>1.4679730995847962E-2</v>
      </c>
    </row>
    <row r="3203" spans="25:29" x14ac:dyDescent="0.2">
      <c r="Y3203" s="105" t="str">
        <f t="shared" si="83"/>
        <v>1w</v>
      </c>
      <c r="Z3203" s="93">
        <f>_xll.qlCalendarAdvance(Calendar,Z3202,Y3203,"f",FALSE)</f>
        <v>61653</v>
      </c>
      <c r="AA3203" s="117">
        <f>_xll.qlCalendarAdvance(Calendar,Z3203,NDays&amp;"D")</f>
        <v>61655</v>
      </c>
      <c r="AB3203" s="92">
        <v>1.4866146500903347E-2</v>
      </c>
      <c r="AC3203" s="101">
        <v>1.4689624227548492E-2</v>
      </c>
    </row>
    <row r="3204" spans="25:29" x14ac:dyDescent="0.2">
      <c r="Y3204" s="105" t="str">
        <f t="shared" si="83"/>
        <v>1w</v>
      </c>
      <c r="Z3204" s="93">
        <f>_xll.qlCalendarAdvance(Calendar,Z3203,Y3204,"f",FALSE)</f>
        <v>61660</v>
      </c>
      <c r="AA3204" s="117">
        <f>_xll.qlCalendarAdvance(Calendar,Z3204,NDays&amp;"D")</f>
        <v>61662</v>
      </c>
      <c r="AB3204" s="92">
        <v>1.4875558531955905E-2</v>
      </c>
      <c r="AC3204" s="101">
        <v>1.4699477542672312E-2</v>
      </c>
    </row>
    <row r="3205" spans="25:29" x14ac:dyDescent="0.2">
      <c r="Y3205" s="105" t="str">
        <f t="shared" si="83"/>
        <v>1w</v>
      </c>
      <c r="Z3205" s="93">
        <f>_xll.qlCalendarAdvance(Calendar,Z3204,Y3205,"f",FALSE)</f>
        <v>61667</v>
      </c>
      <c r="AA3205" s="117">
        <f>_xll.qlCalendarAdvance(Calendar,Z3205,NDays&amp;"D")</f>
        <v>61669</v>
      </c>
      <c r="AB3205" s="92">
        <v>1.4883967797020238E-2</v>
      </c>
      <c r="AC3205" s="101">
        <v>1.4709290941246067E-2</v>
      </c>
    </row>
    <row r="3206" spans="25:29" x14ac:dyDescent="0.2">
      <c r="Y3206" s="105" t="str">
        <f t="shared" si="83"/>
        <v>1w</v>
      </c>
      <c r="Z3206" s="93">
        <f>_xll.qlCalendarAdvance(Calendar,Z3205,Y3206,"f",FALSE)</f>
        <v>61674</v>
      </c>
      <c r="AA3206" s="117">
        <f>_xll.qlCalendarAdvance(Calendar,Z3206,NDays&amp;"D")</f>
        <v>61676</v>
      </c>
      <c r="AB3206" s="92">
        <v>1.4893301975414433E-2</v>
      </c>
      <c r="AC3206" s="101">
        <v>1.4719064423216466E-2</v>
      </c>
    </row>
    <row r="3207" spans="25:29" x14ac:dyDescent="0.2">
      <c r="Y3207" s="105" t="str">
        <f t="shared" si="83"/>
        <v>1w</v>
      </c>
      <c r="Z3207" s="93">
        <f>_xll.qlCalendarAdvance(Calendar,Z3206,Y3207,"f",FALSE)</f>
        <v>61681</v>
      </c>
      <c r="AA3207" s="117">
        <f>_xll.qlCalendarAdvance(Calendar,Z3207,NDays&amp;"D")</f>
        <v>61683</v>
      </c>
      <c r="AB3207" s="92">
        <v>1.4902595985747483E-2</v>
      </c>
      <c r="AC3207" s="101">
        <v>1.4728797988583509E-2</v>
      </c>
    </row>
    <row r="3208" spans="25:29" x14ac:dyDescent="0.2">
      <c r="Y3208" s="105" t="str">
        <f t="shared" si="83"/>
        <v>1w</v>
      </c>
      <c r="Z3208" s="93">
        <f>_xll.qlCalendarAdvance(Calendar,Z3207,Y3208,"f",FALSE)</f>
        <v>61688</v>
      </c>
      <c r="AA3208" s="117">
        <f>_xll.qlCalendarAdvance(Calendar,Z3208,NDays&amp;"D")</f>
        <v>61690</v>
      </c>
      <c r="AB3208" s="92">
        <v>1.491184982745984E-2</v>
      </c>
      <c r="AC3208" s="101">
        <v>1.4738491637373841E-2</v>
      </c>
    </row>
    <row r="3209" spans="25:29" x14ac:dyDescent="0.2">
      <c r="Y3209" s="105" t="str">
        <f t="shared" si="83"/>
        <v>1w</v>
      </c>
      <c r="Z3209" s="93">
        <f>_xll.qlCalendarAdvance(Calendar,Z3208,Y3209,"f",FALSE)</f>
        <v>61695</v>
      </c>
      <c r="AA3209" s="117">
        <f>_xll.qlCalendarAdvance(Calendar,Z3209,NDays&amp;"D")</f>
        <v>61697</v>
      </c>
      <c r="AB3209" s="92">
        <v>1.4922016150122872E-2</v>
      </c>
      <c r="AC3209" s="101">
        <v>1.4748145369560817E-2</v>
      </c>
    </row>
    <row r="3210" spans="25:29" x14ac:dyDescent="0.2">
      <c r="Y3210" s="105" t="str">
        <f t="shared" si="83"/>
        <v>1w</v>
      </c>
      <c r="Z3210" s="93">
        <f>_xll.qlCalendarAdvance(Calendar,Z3209,Y3210,"f",FALSE)</f>
        <v>61702</v>
      </c>
      <c r="AA3210" s="117">
        <f>_xll.qlCalendarAdvance(Calendar,Z3210,NDays&amp;"D")</f>
        <v>61704</v>
      </c>
      <c r="AB3210" s="92">
        <v>1.4931187162400822E-2</v>
      </c>
      <c r="AC3210" s="101">
        <v>1.4757759185091146E-2</v>
      </c>
    </row>
    <row r="3211" spans="25:29" x14ac:dyDescent="0.2">
      <c r="Y3211" s="105" t="str">
        <f t="shared" si="83"/>
        <v>1w</v>
      </c>
      <c r="Z3211" s="93">
        <f>_xll.qlCalendarAdvance(Calendar,Z3210,Y3211,"f",FALSE)</f>
        <v>61709</v>
      </c>
      <c r="AA3211" s="117">
        <f>_xll.qlCalendarAdvance(Calendar,Z3211,NDays&amp;"D")</f>
        <v>61711</v>
      </c>
      <c r="AB3211" s="92">
        <v>1.4940318002926693E-2</v>
      </c>
      <c r="AC3211" s="101">
        <v>1.4767333084018119E-2</v>
      </c>
    </row>
    <row r="3212" spans="25:29" x14ac:dyDescent="0.2">
      <c r="Y3212" s="105" t="str">
        <f t="shared" si="83"/>
        <v>1w</v>
      </c>
      <c r="Z3212" s="93">
        <f>_xll.qlCalendarAdvance(Calendar,Z3211,Y3212,"f",FALSE)</f>
        <v>61716</v>
      </c>
      <c r="AA3212" s="117">
        <f>_xll.qlCalendarAdvance(Calendar,Z3212,NDays&amp;"D")</f>
        <v>61718</v>
      </c>
      <c r="AB3212" s="92">
        <v>1.494940867114752E-2</v>
      </c>
      <c r="AC3212" s="101">
        <v>1.4776867066288446E-2</v>
      </c>
    </row>
    <row r="3213" spans="25:29" x14ac:dyDescent="0.2">
      <c r="Y3213" s="105" t="str">
        <f t="shared" si="83"/>
        <v>1w</v>
      </c>
      <c r="Z3213" s="93">
        <f>_xll.qlCalendarAdvance(Calendar,Z3212,Y3213,"f",FALSE)</f>
        <v>61724</v>
      </c>
      <c r="AA3213" s="117">
        <f>_xll.qlCalendarAdvance(Calendar,Z3213,NDays&amp;"D")</f>
        <v>61728</v>
      </c>
      <c r="AB3213" s="92">
        <v>1.4959500186348021E-2</v>
      </c>
      <c r="AC3213" s="101">
        <v>1.4789438581637171E-2</v>
      </c>
    </row>
    <row r="3214" spans="25:29" x14ac:dyDescent="0.2">
      <c r="Y3214" s="105" t="str">
        <f t="shared" si="83"/>
        <v>1w</v>
      </c>
      <c r="Z3214" s="93">
        <f>_xll.qlCalendarAdvance(Calendar,Z3213,Y3214,"f",FALSE)</f>
        <v>61731</v>
      </c>
      <c r="AA3214" s="117">
        <f>_xll.qlCalendarAdvance(Calendar,Z3214,NDays&amp;"D")</f>
        <v>61735</v>
      </c>
      <c r="AB3214" s="92">
        <v>1.4971318756917379E-2</v>
      </c>
      <c r="AC3214" s="101">
        <v>1.4797901126062385E-2</v>
      </c>
    </row>
    <row r="3215" spans="25:29" x14ac:dyDescent="0.2">
      <c r="Y3215" s="105" t="str">
        <f t="shared" si="83"/>
        <v>1w</v>
      </c>
      <c r="Z3215" s="93">
        <f>_xll.qlCalendarAdvance(Calendar,Z3214,Y3215,"f",FALSE)</f>
        <v>61738</v>
      </c>
      <c r="AA3215" s="117">
        <f>_xll.qlCalendarAdvance(Calendar,Z3215,NDays&amp;"D")</f>
        <v>61742</v>
      </c>
      <c r="AB3215" s="92">
        <v>1.498027168736054E-2</v>
      </c>
      <c r="AC3215" s="101">
        <v>1.4807303180317533E-2</v>
      </c>
    </row>
    <row r="3216" spans="25:29" x14ac:dyDescent="0.2">
      <c r="Y3216" s="105" t="str">
        <f t="shared" si="83"/>
        <v>1w</v>
      </c>
      <c r="Z3216" s="93">
        <f>_xll.qlCalendarAdvance(Calendar,Z3215,Y3216,"f",FALSE)</f>
        <v>61745</v>
      </c>
      <c r="AA3216" s="117">
        <f>_xll.qlCalendarAdvance(Calendar,Z3216,NDays&amp;"D")</f>
        <v>61749</v>
      </c>
      <c r="AB3216" s="92">
        <v>1.4989184443080811E-2</v>
      </c>
      <c r="AC3216" s="101">
        <v>1.4816665320740441E-2</v>
      </c>
    </row>
    <row r="3217" spans="25:29" x14ac:dyDescent="0.2">
      <c r="Y3217" s="105" t="str">
        <f t="shared" si="83"/>
        <v>1w</v>
      </c>
      <c r="Z3217" s="93">
        <f>_xll.qlCalendarAdvance(Calendar,Z3216,Y3217,"f",FALSE)</f>
        <v>61752</v>
      </c>
      <c r="AA3217" s="117">
        <f>_xll.qlCalendarAdvance(Calendar,Z3217,NDays&amp;"D")</f>
        <v>61756</v>
      </c>
      <c r="AB3217" s="92">
        <v>1.4998057023538845E-2</v>
      </c>
      <c r="AC3217" s="101">
        <v>1.4825987547251174E-2</v>
      </c>
    </row>
    <row r="3218" spans="25:29" x14ac:dyDescent="0.2">
      <c r="Y3218" s="105" t="str">
        <f t="shared" si="83"/>
        <v>1w</v>
      </c>
      <c r="Z3218" s="93">
        <f>_xll.qlCalendarAdvance(Calendar,Z3217,Y3218,"f",FALSE)</f>
        <v>61759</v>
      </c>
      <c r="AA3218" s="117">
        <f>_xll.qlCalendarAdvance(Calendar,Z3218,NDays&amp;"D")</f>
        <v>61763</v>
      </c>
      <c r="AB3218" s="92">
        <v>1.5006889428199244E-2</v>
      </c>
      <c r="AC3218" s="101">
        <v>1.4835269860009603E-2</v>
      </c>
    </row>
    <row r="3219" spans="25:29" x14ac:dyDescent="0.2">
      <c r="Y3219" s="105" t="str">
        <f t="shared" si="83"/>
        <v>1w</v>
      </c>
      <c r="Z3219" s="93">
        <f>_xll.qlCalendarAdvance(Calendar,Z3218,Y3219,"f",FALSE)</f>
        <v>61766</v>
      </c>
      <c r="AA3219" s="117">
        <f>_xll.qlCalendarAdvance(Calendar,Z3219,NDays&amp;"D")</f>
        <v>61770</v>
      </c>
      <c r="AB3219" s="92">
        <v>1.5015681656525297E-2</v>
      </c>
      <c r="AC3219" s="101">
        <v>1.4844512258695985E-2</v>
      </c>
    </row>
    <row r="3220" spans="25:29" x14ac:dyDescent="0.2">
      <c r="Y3220" s="105" t="str">
        <f t="shared" si="83"/>
        <v>1w</v>
      </c>
      <c r="Z3220" s="93">
        <f>_xll.qlCalendarAdvance(Calendar,Z3219,Y3220,"f",FALSE)</f>
        <v>61773</v>
      </c>
      <c r="AA3220" s="117">
        <f>_xll.qlCalendarAdvance(Calendar,Z3220,NDays&amp;"D")</f>
        <v>61777</v>
      </c>
      <c r="AB3220" s="92">
        <v>1.5024433707986439E-2</v>
      </c>
      <c r="AC3220" s="101">
        <v>1.4853714743630064E-2</v>
      </c>
    </row>
    <row r="3221" spans="25:29" x14ac:dyDescent="0.2">
      <c r="Y3221" s="105" t="str">
        <f t="shared" ref="Y3221:Y3284" si="84">Y3220</f>
        <v>1w</v>
      </c>
      <c r="Z3221" s="93">
        <f>_xll.qlCalendarAdvance(Calendar,Z3220,Y3221,"f",FALSE)</f>
        <v>61780</v>
      </c>
      <c r="AA3221" s="117">
        <f>_xll.qlCalendarAdvance(Calendar,Z3221,NDays&amp;"D")</f>
        <v>61784</v>
      </c>
      <c r="AB3221" s="92">
        <v>1.5033145582052541E-2</v>
      </c>
      <c r="AC3221" s="101">
        <v>1.4862877314651968E-2</v>
      </c>
    </row>
    <row r="3222" spans="25:29" x14ac:dyDescent="0.2">
      <c r="Y3222" s="105" t="str">
        <f t="shared" si="84"/>
        <v>1w</v>
      </c>
      <c r="Z3222" s="93">
        <f>_xll.qlCalendarAdvance(Calendar,Z3221,Y3222,"f",FALSE)</f>
        <v>61787</v>
      </c>
      <c r="AA3222" s="117">
        <f>_xll.qlCalendarAdvance(Calendar,Z3222,NDays&amp;"D")</f>
        <v>61791</v>
      </c>
      <c r="AB3222" s="92">
        <v>1.5043654800384249E-2</v>
      </c>
      <c r="AC3222" s="101">
        <v>1.487199997168176E-2</v>
      </c>
    </row>
    <row r="3223" spans="25:29" x14ac:dyDescent="0.2">
      <c r="Y3223" s="105" t="str">
        <f t="shared" si="84"/>
        <v>1w</v>
      </c>
      <c r="Z3223" s="93">
        <f>_xll.qlCalendarAdvance(Calendar,Z3222,Y3223,"f",FALSE)</f>
        <v>61794</v>
      </c>
      <c r="AA3223" s="117">
        <f>_xll.qlCalendarAdvance(Calendar,Z3223,NDays&amp;"D")</f>
        <v>61798</v>
      </c>
      <c r="AB3223" s="92">
        <v>1.5052281296536005E-2</v>
      </c>
      <c r="AC3223" s="101">
        <v>1.488108271471944E-2</v>
      </c>
    </row>
    <row r="3224" spans="25:29" x14ac:dyDescent="0.2">
      <c r="Y3224" s="105" t="str">
        <f t="shared" si="84"/>
        <v>1w</v>
      </c>
      <c r="Z3224" s="93">
        <f>_xll.qlCalendarAdvance(Calendar,Z3223,Y3224,"f",FALSE)</f>
        <v>61801</v>
      </c>
      <c r="AA3224" s="117">
        <f>_xll.qlCalendarAdvance(Calendar,Z3224,NDays&amp;"D")</f>
        <v>61805</v>
      </c>
      <c r="AB3224" s="92">
        <v>1.5060867610706541E-2</v>
      </c>
      <c r="AC3224" s="101">
        <v>1.4890125544084754E-2</v>
      </c>
    </row>
    <row r="3225" spans="25:29" x14ac:dyDescent="0.2">
      <c r="Y3225" s="105" t="str">
        <f t="shared" si="84"/>
        <v>1w</v>
      </c>
      <c r="Z3225" s="93">
        <f>_xll.qlCalendarAdvance(Calendar,Z3224,Y3225,"f",FALSE)</f>
        <v>61808</v>
      </c>
      <c r="AA3225" s="117">
        <f>_xll.qlCalendarAdvance(Calendar,Z3225,NDays&amp;"D")</f>
        <v>61812</v>
      </c>
      <c r="AB3225" s="92">
        <v>1.5069413742368887E-2</v>
      </c>
      <c r="AC3225" s="101">
        <v>1.4899128459378019E-2</v>
      </c>
    </row>
    <row r="3226" spans="25:29" x14ac:dyDescent="0.2">
      <c r="Y3226" s="105" t="str">
        <f t="shared" si="84"/>
        <v>1w</v>
      </c>
      <c r="Z3226" s="93">
        <f>_xll.qlCalendarAdvance(Calendar,Z3225,Y3226,"f",FALSE)</f>
        <v>61815</v>
      </c>
      <c r="AA3226" s="117">
        <f>_xll.qlCalendarAdvance(Calendar,Z3226,NDays&amp;"D")</f>
        <v>61819</v>
      </c>
      <c r="AB3226" s="92">
        <v>1.5077011089598009E-2</v>
      </c>
      <c r="AC3226" s="101">
        <v>1.4908091460839046E-2</v>
      </c>
    </row>
    <row r="3227" spans="25:29" x14ac:dyDescent="0.2">
      <c r="Y3227" s="105" t="str">
        <f t="shared" si="84"/>
        <v>1w</v>
      </c>
      <c r="Z3227" s="93">
        <f>_xll.qlCalendarAdvance(Calendar,Z3226,Y3227,"f",FALSE)</f>
        <v>61822</v>
      </c>
      <c r="AA3227" s="117">
        <f>_xll.qlCalendarAdvance(Calendar,Z3227,NDays&amp;"D")</f>
        <v>61826</v>
      </c>
      <c r="AB3227" s="92">
        <v>1.5085479371593642E-2</v>
      </c>
      <c r="AC3227" s="101">
        <v>1.4917014548307961E-2</v>
      </c>
    </row>
    <row r="3228" spans="25:29" x14ac:dyDescent="0.2">
      <c r="Y3228" s="105" t="str">
        <f t="shared" si="84"/>
        <v>1w</v>
      </c>
      <c r="Z3228" s="93">
        <f>_xll.qlCalendarAdvance(Calendar,Z3227,Y3228,"f",FALSE)</f>
        <v>61829</v>
      </c>
      <c r="AA3228" s="117">
        <f>_xll.qlCalendarAdvance(Calendar,Z3228,NDays&amp;"D")</f>
        <v>61835</v>
      </c>
      <c r="AB3228" s="92">
        <v>1.5096308118910622E-2</v>
      </c>
      <c r="AC3228" s="101">
        <v>1.4928428440299513E-2</v>
      </c>
    </row>
    <row r="3229" spans="25:29" x14ac:dyDescent="0.2">
      <c r="Y3229" s="105" t="str">
        <f t="shared" si="84"/>
        <v>1w</v>
      </c>
      <c r="Z3229" s="93">
        <f>_xll.qlCalendarAdvance(Calendar,Z3228,Y3229,"f",FALSE)</f>
        <v>61836</v>
      </c>
      <c r="AA3229" s="117">
        <f>_xll.qlCalendarAdvance(Calendar,Z3229,NDays&amp;"D")</f>
        <v>61840</v>
      </c>
      <c r="AB3229" s="92">
        <v>1.5102295387418486E-2</v>
      </c>
      <c r="AC3229" s="101">
        <v>1.4934740981509265E-2</v>
      </c>
    </row>
    <row r="3230" spans="25:29" x14ac:dyDescent="0.2">
      <c r="Y3230" s="105" t="str">
        <f t="shared" si="84"/>
        <v>1w</v>
      </c>
      <c r="Z3230" s="93">
        <f>_xll.qlCalendarAdvance(Calendar,Z3229,Y3230,"f",FALSE)</f>
        <v>61843</v>
      </c>
      <c r="AA3230" s="117">
        <f>_xll.qlCalendarAdvance(Calendar,Z3230,NDays&amp;"D")</f>
        <v>61847</v>
      </c>
      <c r="AB3230" s="92">
        <v>1.511064312022469E-2</v>
      </c>
      <c r="AC3230" s="101">
        <v>1.494354432732159E-2</v>
      </c>
    </row>
    <row r="3231" spans="25:29" x14ac:dyDescent="0.2">
      <c r="Y3231" s="105" t="str">
        <f t="shared" si="84"/>
        <v>1w</v>
      </c>
      <c r="Z3231" s="93">
        <f>_xll.qlCalendarAdvance(Calendar,Z3230,Y3231,"f",FALSE)</f>
        <v>61850</v>
      </c>
      <c r="AA3231" s="117">
        <f>_xll.qlCalendarAdvance(Calendar,Z3231,NDays&amp;"D")</f>
        <v>61854</v>
      </c>
      <c r="AB3231" s="92">
        <v>1.5119846670581191E-2</v>
      </c>
      <c r="AC3231" s="101">
        <v>1.4952307758981931E-2</v>
      </c>
    </row>
    <row r="3232" spans="25:29" x14ac:dyDescent="0.2">
      <c r="Y3232" s="105" t="str">
        <f t="shared" si="84"/>
        <v>1w</v>
      </c>
      <c r="Z3232" s="93">
        <f>_xll.qlCalendarAdvance(Calendar,Z3231,Y3232,"f",FALSE)</f>
        <v>61857</v>
      </c>
      <c r="AA3232" s="117">
        <f>_xll.qlCalendarAdvance(Calendar,Z3232,NDays&amp;"D")</f>
        <v>61861</v>
      </c>
      <c r="AB3232" s="92">
        <v>1.5128111510189973E-2</v>
      </c>
      <c r="AC3232" s="101">
        <v>1.4961031276889969E-2</v>
      </c>
    </row>
    <row r="3233" spans="25:29" x14ac:dyDescent="0.2">
      <c r="Y3233" s="105" t="str">
        <f t="shared" si="84"/>
        <v>1w</v>
      </c>
      <c r="Z3233" s="93">
        <f>_xll.qlCalendarAdvance(Calendar,Z3232,Y3233,"f",FALSE)</f>
        <v>61864</v>
      </c>
      <c r="AA3233" s="117">
        <f>_xll.qlCalendarAdvance(Calendar,Z3233,NDays&amp;"D")</f>
        <v>61868</v>
      </c>
      <c r="AB3233" s="92">
        <v>1.5136336163176899E-2</v>
      </c>
      <c r="AC3233" s="101">
        <v>1.4969714880805896E-2</v>
      </c>
    </row>
    <row r="3234" spans="25:29" x14ac:dyDescent="0.2">
      <c r="Y3234" s="105" t="str">
        <f t="shared" si="84"/>
        <v>1w</v>
      </c>
      <c r="Z3234" s="93">
        <f>_xll.qlCalendarAdvance(Calendar,Z3233,Y3234,"f",FALSE)</f>
        <v>61871</v>
      </c>
      <c r="AA3234" s="117">
        <f>_xll.qlCalendarAdvance(Calendar,Z3234,NDays&amp;"D")</f>
        <v>61875</v>
      </c>
      <c r="AB3234" s="92">
        <v>1.5144520629038894E-2</v>
      </c>
      <c r="AC3234" s="101">
        <v>1.4978358570649775E-2</v>
      </c>
    </row>
    <row r="3235" spans="25:29" x14ac:dyDescent="0.2">
      <c r="Y3235" s="105" t="str">
        <f t="shared" si="84"/>
        <v>1w</v>
      </c>
      <c r="Z3235" s="93">
        <f>_xll.qlCalendarAdvance(Calendar,Z3234,Y3235,"f",FALSE)</f>
        <v>61878</v>
      </c>
      <c r="AA3235" s="117">
        <f>_xll.qlCalendarAdvance(Calendar,Z3235,NDays&amp;"D")</f>
        <v>61882</v>
      </c>
      <c r="AB3235" s="92">
        <v>1.5151779012944814E-2</v>
      </c>
      <c r="AC3235" s="101">
        <v>1.498696234674135E-2</v>
      </c>
    </row>
    <row r="3236" spans="25:29" x14ac:dyDescent="0.2">
      <c r="Y3236" s="105" t="str">
        <f t="shared" si="84"/>
        <v>1w</v>
      </c>
      <c r="Z3236" s="93">
        <f>_xll.qlCalendarAdvance(Calendar,Z3235,Y3236,"f",FALSE)</f>
        <v>61885</v>
      </c>
      <c r="AA3236" s="117">
        <f>_xll.qlCalendarAdvance(Calendar,Z3236,NDays&amp;"D")</f>
        <v>61889</v>
      </c>
      <c r="AB3236" s="92">
        <v>1.5159885633722314E-2</v>
      </c>
      <c r="AC3236" s="101">
        <v>1.4995526208840815E-2</v>
      </c>
    </row>
    <row r="3237" spans="25:29" x14ac:dyDescent="0.2">
      <c r="Y3237" s="105" t="str">
        <f t="shared" si="84"/>
        <v>1w</v>
      </c>
      <c r="Z3237" s="93">
        <f>_xll.qlCalendarAdvance(Calendar,Z3236,Y3237,"f",FALSE)</f>
        <v>61892</v>
      </c>
      <c r="AA3237" s="117">
        <f>_xll.qlCalendarAdvance(Calendar,Z3237,NDays&amp;"D")</f>
        <v>61896</v>
      </c>
      <c r="AB3237" s="92">
        <v>1.5167952067420797E-2</v>
      </c>
      <c r="AC3237" s="101">
        <v>1.5004050156948168E-2</v>
      </c>
    </row>
    <row r="3238" spans="25:29" x14ac:dyDescent="0.2">
      <c r="Y3238" s="105" t="str">
        <f t="shared" si="84"/>
        <v>1w</v>
      </c>
      <c r="Z3238" s="93">
        <f>_xll.qlCalendarAdvance(Calendar,Z3237,Y3238,"f",FALSE)</f>
        <v>61899</v>
      </c>
      <c r="AA3238" s="117">
        <f>_xll.qlCalendarAdvance(Calendar,Z3238,NDays&amp;"D")</f>
        <v>61903</v>
      </c>
      <c r="AB3238" s="92">
        <v>1.5175978313549721E-2</v>
      </c>
      <c r="AC3238" s="101">
        <v>1.5012534191063409E-2</v>
      </c>
    </row>
    <row r="3239" spans="25:29" x14ac:dyDescent="0.2">
      <c r="Y3239" s="105" t="str">
        <f t="shared" si="84"/>
        <v>1w</v>
      </c>
      <c r="Z3239" s="93">
        <f>_xll.qlCalendarAdvance(Calendar,Z3238,Y3239,"f",FALSE)</f>
        <v>61906</v>
      </c>
      <c r="AA3239" s="117">
        <f>_xll.qlCalendarAdvance(Calendar,Z3239,NDays&amp;"D")</f>
        <v>61910</v>
      </c>
      <c r="AB3239" s="92">
        <v>1.5185715678695165E-2</v>
      </c>
      <c r="AC3239" s="101">
        <v>1.5020978311346411E-2</v>
      </c>
    </row>
    <row r="3240" spans="25:29" x14ac:dyDescent="0.2">
      <c r="Y3240" s="105" t="str">
        <f t="shared" si="84"/>
        <v>1w</v>
      </c>
      <c r="Z3240" s="93">
        <f>_xll.qlCalendarAdvance(Calendar,Z3239,Y3240,"f",FALSE)</f>
        <v>61913</v>
      </c>
      <c r="AA3240" s="117">
        <f>_xll.qlCalendarAdvance(Calendar,Z3240,NDays&amp;"D")</f>
        <v>61917</v>
      </c>
      <c r="AB3240" s="92">
        <v>1.5192783466727831E-2</v>
      </c>
      <c r="AC3240" s="101">
        <v>1.5029382517637302E-2</v>
      </c>
    </row>
    <row r="3241" spans="25:29" x14ac:dyDescent="0.2">
      <c r="Y3241" s="105" t="str">
        <f t="shared" si="84"/>
        <v>1w</v>
      </c>
      <c r="Z3241" s="93">
        <f>_xll.qlCalendarAdvance(Calendar,Z3240,Y3241,"f",FALSE)</f>
        <v>61920</v>
      </c>
      <c r="AA3241" s="117">
        <f>_xll.qlCalendarAdvance(Calendar,Z3241,NDays&amp;"D")</f>
        <v>61924</v>
      </c>
      <c r="AB3241" s="92">
        <v>1.5200686608834229E-2</v>
      </c>
      <c r="AC3241" s="101">
        <v>1.5037746809936081E-2</v>
      </c>
    </row>
    <row r="3242" spans="25:29" x14ac:dyDescent="0.2">
      <c r="Y3242" s="105" t="str">
        <f t="shared" si="84"/>
        <v>1w</v>
      </c>
      <c r="Z3242" s="93">
        <f>_xll.qlCalendarAdvance(Calendar,Z3241,Y3242,"f",FALSE)</f>
        <v>61927</v>
      </c>
      <c r="AA3242" s="117">
        <f>_xll.qlCalendarAdvance(Calendar,Z3242,NDays&amp;"D")</f>
        <v>61931</v>
      </c>
      <c r="AB3242" s="92">
        <v>1.520854955987928E-2</v>
      </c>
      <c r="AC3242" s="101">
        <v>1.5046071188242749E-2</v>
      </c>
    </row>
    <row r="3243" spans="25:29" x14ac:dyDescent="0.2">
      <c r="Y3243" s="105" t="str">
        <f t="shared" si="84"/>
        <v>1w</v>
      </c>
      <c r="Z3243" s="93">
        <f>_xll.qlCalendarAdvance(Calendar,Z3242,Y3243,"f",FALSE)</f>
        <v>61934</v>
      </c>
      <c r="AA3243" s="117">
        <f>_xll.qlCalendarAdvance(Calendar,Z3243,NDays&amp;"D")</f>
        <v>61938</v>
      </c>
      <c r="AB3243" s="92">
        <v>1.5216372319382063E-2</v>
      </c>
      <c r="AC3243" s="101">
        <v>1.5054355652717177E-2</v>
      </c>
    </row>
    <row r="3244" spans="25:29" x14ac:dyDescent="0.2">
      <c r="Y3244" s="105" t="str">
        <f t="shared" si="84"/>
        <v>1w</v>
      </c>
      <c r="Z3244" s="93">
        <f>_xll.qlCalendarAdvance(Calendar,Z3243,Y3244,"f",FALSE)</f>
        <v>61941</v>
      </c>
      <c r="AA3244" s="117">
        <f>_xll.qlCalendarAdvance(Calendar,Z3244,NDays&amp;"D")</f>
        <v>61945</v>
      </c>
      <c r="AB3244" s="92">
        <v>1.522415488686296E-2</v>
      </c>
      <c r="AC3244" s="101">
        <v>1.5062600203119558E-2</v>
      </c>
    </row>
    <row r="3245" spans="25:29" x14ac:dyDescent="0.2">
      <c r="Y3245" s="105" t="str">
        <f t="shared" si="84"/>
        <v>1w</v>
      </c>
      <c r="Z3245" s="93">
        <f>_xll.qlCalendarAdvance(Calendar,Z3244,Y3245,"f",FALSE)</f>
        <v>61948</v>
      </c>
      <c r="AA3245" s="117">
        <f>_xll.qlCalendarAdvance(Calendar,Z3245,NDays&amp;"D")</f>
        <v>61952</v>
      </c>
      <c r="AB3245" s="92">
        <v>1.5231897261845833E-2</v>
      </c>
      <c r="AC3245" s="101">
        <v>1.5070804839449892E-2</v>
      </c>
    </row>
    <row r="3246" spans="25:29" x14ac:dyDescent="0.2">
      <c r="Y3246" s="105" t="str">
        <f t="shared" si="84"/>
        <v>1w</v>
      </c>
      <c r="Z3246" s="93">
        <f>_xll.qlCalendarAdvance(Calendar,Z3245,Y3246,"f",FALSE)</f>
        <v>61955</v>
      </c>
      <c r="AA3246" s="117">
        <f>_xll.qlCalendarAdvance(Calendar,Z3246,NDays&amp;"D")</f>
        <v>61959</v>
      </c>
      <c r="AB3246" s="92">
        <v>1.5239599443858014E-2</v>
      </c>
      <c r="AC3246" s="101">
        <v>1.5078969562027922E-2</v>
      </c>
    </row>
    <row r="3247" spans="25:29" x14ac:dyDescent="0.2">
      <c r="Y3247" s="105" t="str">
        <f t="shared" si="84"/>
        <v>1w</v>
      </c>
      <c r="Z3247" s="93">
        <f>_xll.qlCalendarAdvance(Calendar,Z3246,Y3247,"f",FALSE)</f>
        <v>61962</v>
      </c>
      <c r="AA3247" s="117">
        <f>_xll.qlCalendarAdvance(Calendar,Z3247,NDays&amp;"D")</f>
        <v>61966</v>
      </c>
      <c r="AB3247" s="92">
        <v>1.5247261432427274E-2</v>
      </c>
      <c r="AC3247" s="101">
        <v>1.5087094370533904E-2</v>
      </c>
    </row>
    <row r="3248" spans="25:29" x14ac:dyDescent="0.2">
      <c r="Y3248" s="105" t="str">
        <f t="shared" si="84"/>
        <v>1w</v>
      </c>
      <c r="Z3248" s="93">
        <f>_xll.qlCalendarAdvance(Calendar,Z3247,Y3248,"f",FALSE)</f>
        <v>61969</v>
      </c>
      <c r="AA3248" s="117">
        <f>_xll.qlCalendarAdvance(Calendar,Z3248,NDays&amp;"D")</f>
        <v>61973</v>
      </c>
      <c r="AB3248" s="92">
        <v>1.5253177257856798E-2</v>
      </c>
      <c r="AC3248" s="101">
        <v>1.509517926496784E-2</v>
      </c>
    </row>
    <row r="3249" spans="25:29" x14ac:dyDescent="0.2">
      <c r="Y3249" s="105" t="str">
        <f t="shared" si="84"/>
        <v>1w</v>
      </c>
      <c r="Z3249" s="93">
        <f>_xll.qlCalendarAdvance(Calendar,Z3248,Y3249,"f",FALSE)</f>
        <v>61976</v>
      </c>
      <c r="AA3249" s="117">
        <f>_xll.qlCalendarAdvance(Calendar,Z3249,NDays&amp;"D")</f>
        <v>61980</v>
      </c>
      <c r="AB3249" s="92">
        <v>1.5260763959700255E-2</v>
      </c>
      <c r="AC3249" s="101">
        <v>1.5103224245489599E-2</v>
      </c>
    </row>
    <row r="3250" spans="25:29" x14ac:dyDescent="0.2">
      <c r="Y3250" s="105" t="str">
        <f t="shared" si="84"/>
        <v>1w</v>
      </c>
      <c r="Z3250" s="93">
        <f>_xll.qlCalendarAdvance(Calendar,Z3249,Y3250,"f",FALSE)</f>
        <v>61983</v>
      </c>
      <c r="AA3250" s="117">
        <f>_xll.qlCalendarAdvance(Calendar,Z3250,NDays&amp;"D")</f>
        <v>61987</v>
      </c>
      <c r="AB3250" s="92">
        <v>1.526831046984627E-2</v>
      </c>
      <c r="AC3250" s="101">
        <v>1.511122931217912E-2</v>
      </c>
    </row>
    <row r="3251" spans="25:29" x14ac:dyDescent="0.2">
      <c r="Y3251" s="105" t="str">
        <f t="shared" si="84"/>
        <v>1w</v>
      </c>
      <c r="Z3251" s="93">
        <f>_xll.qlCalendarAdvance(Calendar,Z3250,Y3251,"f",FALSE)</f>
        <v>61990</v>
      </c>
      <c r="AA3251" s="117">
        <f>_xll.qlCalendarAdvance(Calendar,Z3251,NDays&amp;"D")</f>
        <v>61994</v>
      </c>
      <c r="AB3251" s="92">
        <v>1.5275816787838504E-2</v>
      </c>
      <c r="AC3251" s="101">
        <v>1.511919446463672E-2</v>
      </c>
    </row>
    <row r="3252" spans="25:29" x14ac:dyDescent="0.2">
      <c r="Y3252" s="105" t="str">
        <f t="shared" si="84"/>
        <v>1w</v>
      </c>
      <c r="Z3252" s="93">
        <f>_xll.qlCalendarAdvance(Calendar,Z3251,Y3252,"f",FALSE)</f>
        <v>61997</v>
      </c>
      <c r="AA3252" s="117">
        <f>_xll.qlCalendarAdvance(Calendar,Z3252,NDays&amp;"D")</f>
        <v>62001</v>
      </c>
      <c r="AB3252" s="92">
        <v>1.5279909180297816E-2</v>
      </c>
      <c r="AC3252" s="101">
        <v>1.5127119703182146E-2</v>
      </c>
    </row>
    <row r="3253" spans="25:29" x14ac:dyDescent="0.2">
      <c r="Y3253" s="105" t="str">
        <f t="shared" si="84"/>
        <v>1w</v>
      </c>
      <c r="Z3253" s="93">
        <f>_xll.qlCalendarAdvance(Calendar,Z3252,Y3253,"f",FALSE)</f>
        <v>62004</v>
      </c>
      <c r="AA3253" s="117">
        <f>_xll.qlCalendarAdvance(Calendar,Z3253,NDays&amp;"D")</f>
        <v>62008</v>
      </c>
      <c r="AB3253" s="92">
        <v>1.5290708845548133E-2</v>
      </c>
      <c r="AC3253" s="101">
        <v>1.5135005027815396E-2</v>
      </c>
    </row>
    <row r="3254" spans="25:29" x14ac:dyDescent="0.2">
      <c r="Y3254" s="105" t="str">
        <f t="shared" si="84"/>
        <v>1w</v>
      </c>
      <c r="Z3254" s="93">
        <f>_xll.qlCalendarAdvance(Calendar,Z3253,Y3254,"f",FALSE)</f>
        <v>62011</v>
      </c>
      <c r="AA3254" s="117">
        <f>_xll.qlCalendarAdvance(Calendar,Z3254,NDays&amp;"D")</f>
        <v>62015</v>
      </c>
      <c r="AB3254" s="92">
        <v>1.5298094584362956E-2</v>
      </c>
      <c r="AC3254" s="101">
        <v>1.5142850438376598E-2</v>
      </c>
    </row>
    <row r="3255" spans="25:29" x14ac:dyDescent="0.2">
      <c r="Y3255" s="105" t="str">
        <f t="shared" si="84"/>
        <v>1w</v>
      </c>
      <c r="Z3255" s="93">
        <f>_xll.qlCalendarAdvance(Calendar,Z3254,Y3255,"f",FALSE)</f>
        <v>62018</v>
      </c>
      <c r="AA3255" s="117">
        <f>_xll.qlCalendarAdvance(Calendar,Z3255,NDays&amp;"D")</f>
        <v>62022</v>
      </c>
      <c r="AB3255" s="92">
        <v>1.530544012922236E-2</v>
      </c>
      <c r="AC3255" s="101">
        <v>1.5150655934945689E-2</v>
      </c>
    </row>
    <row r="3256" spans="25:29" x14ac:dyDescent="0.2">
      <c r="Y3256" s="105" t="str">
        <f t="shared" si="84"/>
        <v>1w</v>
      </c>
      <c r="Z3256" s="93">
        <f>_xll.qlCalendarAdvance(Calendar,Z3255,Y3256,"f",FALSE)</f>
        <v>62025</v>
      </c>
      <c r="AA3256" s="117">
        <f>_xll.qlCalendarAdvance(Calendar,Z3256,NDays&amp;"D")</f>
        <v>62029</v>
      </c>
      <c r="AB3256" s="92">
        <v>1.5312745479680111E-2</v>
      </c>
      <c r="AC3256" s="101">
        <v>1.5158421517442733E-2</v>
      </c>
    </row>
    <row r="3257" spans="25:29" x14ac:dyDescent="0.2">
      <c r="Y3257" s="105" t="str">
        <f t="shared" si="84"/>
        <v>1w</v>
      </c>
      <c r="Z3257" s="93">
        <f>_xll.qlCalendarAdvance(Calendar,Z3256,Y3257,"f",FALSE)</f>
        <v>62032</v>
      </c>
      <c r="AA3257" s="117">
        <f>_xll.qlCalendarAdvance(Calendar,Z3257,NDays&amp;"D")</f>
        <v>62036</v>
      </c>
      <c r="AB3257" s="92">
        <v>1.5320010635295683E-2</v>
      </c>
      <c r="AC3257" s="101">
        <v>1.5166147186107537E-2</v>
      </c>
    </row>
    <row r="3258" spans="25:29" x14ac:dyDescent="0.2">
      <c r="Y3258" s="105" t="str">
        <f t="shared" si="84"/>
        <v>1w</v>
      </c>
      <c r="Z3258" s="93">
        <f>_xll.qlCalendarAdvance(Calendar,Z3257,Y3258,"f",FALSE)</f>
        <v>62039</v>
      </c>
      <c r="AA3258" s="117">
        <f>_xll.qlCalendarAdvance(Calendar,Z3258,NDays&amp;"D")</f>
        <v>62043</v>
      </c>
      <c r="AB3258" s="92">
        <v>1.5327235595628109E-2</v>
      </c>
      <c r="AC3258" s="101">
        <v>1.5173832940620358E-2</v>
      </c>
    </row>
    <row r="3259" spans="25:29" x14ac:dyDescent="0.2">
      <c r="Y3259" s="105" t="str">
        <f t="shared" si="84"/>
        <v>1w</v>
      </c>
      <c r="Z3259" s="93">
        <f>_xll.qlCalendarAdvance(Calendar,Z3258,Y3259,"f",FALSE)</f>
        <v>62046</v>
      </c>
      <c r="AA3259" s="117">
        <f>_xll.qlCalendarAdvance(Calendar,Z3259,NDays&amp;"D")</f>
        <v>62050</v>
      </c>
      <c r="AB3259" s="92">
        <v>1.5334420360240814E-2</v>
      </c>
      <c r="AC3259" s="101">
        <v>1.5181478781300939E-2</v>
      </c>
    </row>
    <row r="3260" spans="25:29" x14ac:dyDescent="0.2">
      <c r="Y3260" s="105" t="str">
        <f t="shared" si="84"/>
        <v>1w</v>
      </c>
      <c r="Z3260" s="93">
        <f>_xll.qlCalendarAdvance(Calendar,Z3259,Y3260,"f",FALSE)</f>
        <v>62053</v>
      </c>
      <c r="AA3260" s="117">
        <f>_xll.qlCalendarAdvance(Calendar,Z3260,NDays&amp;"D")</f>
        <v>62057</v>
      </c>
      <c r="AB3260" s="92">
        <v>1.5341564928698545E-2</v>
      </c>
      <c r="AC3260" s="101">
        <v>1.5189084707749601E-2</v>
      </c>
    </row>
    <row r="3261" spans="25:29" x14ac:dyDescent="0.2">
      <c r="Y3261" s="105" t="str">
        <f t="shared" si="84"/>
        <v>1w</v>
      </c>
      <c r="Z3261" s="93">
        <f>_xll.qlCalendarAdvance(Calendar,Z3260,Y3261,"f",FALSE)</f>
        <v>62060</v>
      </c>
      <c r="AA3261" s="117">
        <f>_xll.qlCalendarAdvance(Calendar,Z3261,NDays&amp;"D")</f>
        <v>62064</v>
      </c>
      <c r="AB3261" s="92">
        <v>1.5348669300569556E-2</v>
      </c>
      <c r="AC3261" s="101">
        <v>1.5196650720366023E-2</v>
      </c>
    </row>
    <row r="3262" spans="25:29" x14ac:dyDescent="0.2">
      <c r="Y3262" s="105" t="str">
        <f t="shared" si="84"/>
        <v>1w</v>
      </c>
      <c r="Z3262" s="93">
        <f>_xll.qlCalendarAdvance(Calendar,Z3261,Y3262,"f",FALSE)</f>
        <v>62067</v>
      </c>
      <c r="AA3262" s="117">
        <f>_xll.qlCalendarAdvance(Calendar,Z3262,NDays&amp;"D")</f>
        <v>62071</v>
      </c>
      <c r="AB3262" s="92">
        <v>1.5355733475422986E-2</v>
      </c>
      <c r="AC3262" s="101">
        <v>1.5204176818910398E-2</v>
      </c>
    </row>
    <row r="3263" spans="25:29" x14ac:dyDescent="0.2">
      <c r="Y3263" s="105" t="str">
        <f t="shared" si="84"/>
        <v>1w</v>
      </c>
      <c r="Z3263" s="93">
        <f>_xll.qlCalendarAdvance(Calendar,Z3262,Y3263,"f",FALSE)</f>
        <v>62074</v>
      </c>
      <c r="AA3263" s="117">
        <f>_xll.qlCalendarAdvance(Calendar,Z3263,NDays&amp;"D")</f>
        <v>62078</v>
      </c>
      <c r="AB3263" s="92">
        <v>1.5362757452831921E-2</v>
      </c>
      <c r="AC3263" s="101">
        <v>1.5211663003382725E-2</v>
      </c>
    </row>
    <row r="3264" spans="25:29" x14ac:dyDescent="0.2">
      <c r="Y3264" s="105" t="str">
        <f t="shared" si="84"/>
        <v>1w</v>
      </c>
      <c r="Z3264" s="93">
        <f>_xll.qlCalendarAdvance(Calendar,Z3263,Y3264,"f",FALSE)</f>
        <v>62081</v>
      </c>
      <c r="AA3264" s="117">
        <f>_xll.qlCalendarAdvance(Calendar,Z3264,NDays&amp;"D")</f>
        <v>62085</v>
      </c>
      <c r="AB3264" s="92">
        <v>1.5369741232370329E-2</v>
      </c>
      <c r="AC3264" s="101">
        <v>1.5219109273783005E-2</v>
      </c>
    </row>
    <row r="3265" spans="25:29" x14ac:dyDescent="0.2">
      <c r="Y3265" s="105" t="str">
        <f t="shared" si="84"/>
        <v>1w</v>
      </c>
      <c r="Z3265" s="93">
        <f>_xll.qlCalendarAdvance(Calendar,Z3264,Y3265,"f",FALSE)</f>
        <v>62089</v>
      </c>
      <c r="AA3265" s="117">
        <f>_xll.qlCalendarAdvance(Calendar,Z3265,NDays&amp;"D")</f>
        <v>62093</v>
      </c>
      <c r="AB3265" s="92">
        <v>1.537686409966477E-2</v>
      </c>
      <c r="AC3265" s="101">
        <v>1.5228419488302336E-2</v>
      </c>
    </row>
    <row r="3266" spans="25:29" x14ac:dyDescent="0.2">
      <c r="Y3266" s="105" t="str">
        <f t="shared" si="84"/>
        <v>1w</v>
      </c>
      <c r="Z3266" s="93">
        <f>_xll.qlCalendarAdvance(Calendar,Z3265,Y3266,"f",FALSE)</f>
        <v>62096</v>
      </c>
      <c r="AA3266" s="117">
        <f>_xll.qlCalendarAdvance(Calendar,Z3266,NDays&amp;"D")</f>
        <v>62100</v>
      </c>
      <c r="AB3266" s="92">
        <v>1.5383764354167804E-2</v>
      </c>
      <c r="AC3266" s="101">
        <v>1.523493116342145E-2</v>
      </c>
    </row>
    <row r="3267" spans="25:29" x14ac:dyDescent="0.2">
      <c r="Y3267" s="105" t="str">
        <f t="shared" si="84"/>
        <v>1w</v>
      </c>
      <c r="Z3267" s="93">
        <f>_xll.qlCalendarAdvance(Calendar,Z3266,Y3267,"f",FALSE)</f>
        <v>62103</v>
      </c>
      <c r="AA3267" s="117">
        <f>_xll.qlCalendarAdvance(Calendar,Z3267,NDays&amp;"D")</f>
        <v>62107</v>
      </c>
      <c r="AB3267" s="92">
        <v>1.5390624847971351E-2</v>
      </c>
      <c r="AC3267" s="101">
        <v>1.5242251989846523E-2</v>
      </c>
    </row>
    <row r="3268" spans="25:29" x14ac:dyDescent="0.2">
      <c r="Y3268" s="105" t="str">
        <f t="shared" si="84"/>
        <v>1w</v>
      </c>
      <c r="Z3268" s="93">
        <f>_xll.qlCalendarAdvance(Calendar,Z3267,Y3268,"f",FALSE)</f>
        <v>62110</v>
      </c>
      <c r="AA3268" s="117">
        <f>_xll.qlCalendarAdvance(Calendar,Z3268,NDays&amp;"D")</f>
        <v>62114</v>
      </c>
      <c r="AB3268" s="92">
        <v>1.5397446186629917E-2</v>
      </c>
      <c r="AC3268" s="101">
        <v>1.5249532902119611E-2</v>
      </c>
    </row>
    <row r="3269" spans="25:29" x14ac:dyDescent="0.2">
      <c r="Y3269" s="105" t="str">
        <f t="shared" si="84"/>
        <v>1w</v>
      </c>
      <c r="Z3269" s="93">
        <f>_xll.qlCalendarAdvance(Calendar,Z3268,Y3269,"f",FALSE)</f>
        <v>62117</v>
      </c>
      <c r="AA3269" s="117">
        <f>_xll.qlCalendarAdvance(Calendar,Z3269,NDays&amp;"D")</f>
        <v>62121</v>
      </c>
      <c r="AB3269" s="92">
        <v>1.540422897807091E-2</v>
      </c>
      <c r="AC3269" s="101">
        <v>1.5256773900480525E-2</v>
      </c>
    </row>
    <row r="3270" spans="25:29" x14ac:dyDescent="0.2">
      <c r="Y3270" s="105" t="str">
        <f t="shared" si="84"/>
        <v>1w</v>
      </c>
      <c r="Z3270" s="93">
        <f>_xll.qlCalendarAdvance(Calendar,Z3269,Y3270,"f",FALSE)</f>
        <v>62124</v>
      </c>
      <c r="AA3270" s="117">
        <f>_xll.qlCalendarAdvance(Calendar,Z3270,NDays&amp;"D")</f>
        <v>62128</v>
      </c>
      <c r="AB3270" s="92">
        <v>1.5410973830232782E-2</v>
      </c>
      <c r="AC3270" s="101">
        <v>1.5263974984929263E-2</v>
      </c>
    </row>
    <row r="3271" spans="25:29" x14ac:dyDescent="0.2">
      <c r="Y3271" s="105" t="str">
        <f t="shared" si="84"/>
        <v>1w</v>
      </c>
      <c r="Z3271" s="93">
        <f>_xll.qlCalendarAdvance(Calendar,Z3270,Y3271,"f",FALSE)</f>
        <v>62131</v>
      </c>
      <c r="AA3271" s="117">
        <f>_xll.qlCalendarAdvance(Calendar,Z3271,NDays&amp;"D")</f>
        <v>62135</v>
      </c>
      <c r="AB3271" s="92">
        <v>1.5417681351063256E-2</v>
      </c>
      <c r="AC3271" s="101">
        <v>1.5271136155066145E-2</v>
      </c>
    </row>
    <row r="3272" spans="25:29" x14ac:dyDescent="0.2">
      <c r="Y3272" s="105" t="str">
        <f t="shared" si="84"/>
        <v>1w</v>
      </c>
      <c r="Z3272" s="93">
        <f>_xll.qlCalendarAdvance(Calendar,Z3271,Y3272,"f",FALSE)</f>
        <v>62138</v>
      </c>
      <c r="AA3272" s="117">
        <f>_xll.qlCalendarAdvance(Calendar,Z3272,NDays&amp;"D")</f>
        <v>62142</v>
      </c>
      <c r="AB3272" s="92">
        <v>1.5424352148521543E-2</v>
      </c>
      <c r="AC3272" s="101">
        <v>1.5278257411290852E-2</v>
      </c>
    </row>
    <row r="3273" spans="25:29" x14ac:dyDescent="0.2">
      <c r="Y3273" s="105" t="str">
        <f t="shared" si="84"/>
        <v>1w</v>
      </c>
      <c r="Z3273" s="93">
        <f>_xll.qlCalendarAdvance(Calendar,Z3272,Y3273,"f",FALSE)</f>
        <v>62145</v>
      </c>
      <c r="AA3273" s="117">
        <f>_xll.qlCalendarAdvance(Calendar,Z3273,NDays&amp;"D")</f>
        <v>62149</v>
      </c>
      <c r="AB3273" s="92">
        <v>1.543098683057789E-2</v>
      </c>
      <c r="AC3273" s="101">
        <v>1.5285338753443511E-2</v>
      </c>
    </row>
    <row r="3274" spans="25:29" x14ac:dyDescent="0.2">
      <c r="Y3274" s="105" t="str">
        <f t="shared" si="84"/>
        <v>1w</v>
      </c>
      <c r="Z3274" s="93">
        <f>_xll.qlCalendarAdvance(Calendar,Z3273,Y3274,"f",FALSE)</f>
        <v>62152</v>
      </c>
      <c r="AA3274" s="117">
        <f>_xll.qlCalendarAdvance(Calendar,Z3274,NDays&amp;"D")</f>
        <v>62156</v>
      </c>
      <c r="AB3274" s="92">
        <v>1.5439952814916957E-2</v>
      </c>
      <c r="AC3274" s="101">
        <v>1.5292380181604059E-2</v>
      </c>
    </row>
    <row r="3275" spans="25:29" x14ac:dyDescent="0.2">
      <c r="Y3275" s="105" t="str">
        <f t="shared" si="84"/>
        <v>1w</v>
      </c>
      <c r="Z3275" s="93">
        <f>_xll.qlCalendarAdvance(Calendar,Z3274,Y3275,"f",FALSE)</f>
        <v>62159</v>
      </c>
      <c r="AA3275" s="117">
        <f>_xll.qlCalendarAdvance(Calendar,Z3275,NDays&amp;"D")</f>
        <v>62163</v>
      </c>
      <c r="AB3275" s="92">
        <v>1.5446511312835622E-2</v>
      </c>
      <c r="AC3275" s="101">
        <v>1.529938169569256E-2</v>
      </c>
    </row>
    <row r="3276" spans="25:29" x14ac:dyDescent="0.2">
      <c r="Y3276" s="105" t="str">
        <f t="shared" si="84"/>
        <v>1w</v>
      </c>
      <c r="Z3276" s="93">
        <f>_xll.qlCalendarAdvance(Calendar,Z3275,Y3276,"f",FALSE)</f>
        <v>62166</v>
      </c>
      <c r="AA3276" s="117">
        <f>_xll.qlCalendarAdvance(Calendar,Z3276,NDays&amp;"D")</f>
        <v>62170</v>
      </c>
      <c r="AB3276" s="92">
        <v>1.5453035675342832E-2</v>
      </c>
      <c r="AC3276" s="101">
        <v>1.5306343295709013E-2</v>
      </c>
    </row>
    <row r="3277" spans="25:29" x14ac:dyDescent="0.2">
      <c r="Y3277" s="105" t="str">
        <f t="shared" si="84"/>
        <v>1w</v>
      </c>
      <c r="Z3277" s="93">
        <f>_xll.qlCalendarAdvance(Calendar,Z3276,Y3277,"f",FALSE)</f>
        <v>62173</v>
      </c>
      <c r="AA3277" s="117">
        <f>_xll.qlCalendarAdvance(Calendar,Z3277,NDays&amp;"D")</f>
        <v>62177</v>
      </c>
      <c r="AB3277" s="92">
        <v>1.545952650060402E-2</v>
      </c>
      <c r="AC3277" s="101">
        <v>1.531326498181329E-2</v>
      </c>
    </row>
    <row r="3278" spans="25:29" x14ac:dyDescent="0.2">
      <c r="Y3278" s="105" t="str">
        <f t="shared" si="84"/>
        <v>1w</v>
      </c>
      <c r="Z3278" s="93">
        <f>_xll.qlCalendarAdvance(Calendar,Z3277,Y3278,"f",FALSE)</f>
        <v>62184</v>
      </c>
      <c r="AA3278" s="117">
        <f>_xll.qlCalendarAdvance(Calendar,Z3278,NDays&amp;"D")</f>
        <v>62186</v>
      </c>
      <c r="AB3278" s="92">
        <v>1.5467042630296718E-2</v>
      </c>
      <c r="AC3278" s="101">
        <v>1.5322105643136297E-2</v>
      </c>
    </row>
    <row r="3279" spans="25:29" x14ac:dyDescent="0.2">
      <c r="Y3279" s="105" t="str">
        <f t="shared" si="84"/>
        <v>1w</v>
      </c>
      <c r="Z3279" s="93">
        <f>_xll.qlCalendarAdvance(Calendar,Z3278,Y3279,"f",FALSE)</f>
        <v>62191</v>
      </c>
      <c r="AA3279" s="117">
        <f>_xll.qlCalendarAdvance(Calendar,Z3279,NDays&amp;"D")</f>
        <v>62193</v>
      </c>
      <c r="AB3279" s="92">
        <v>1.5473460768564125E-2</v>
      </c>
      <c r="AC3279" s="101">
        <v>1.5328936096938861E-2</v>
      </c>
    </row>
    <row r="3280" spans="25:29" x14ac:dyDescent="0.2">
      <c r="Y3280" s="105" t="str">
        <f t="shared" si="84"/>
        <v>1w</v>
      </c>
      <c r="Z3280" s="93">
        <f>_xll.qlCalendarAdvance(Calendar,Z3279,Y3280,"f",FALSE)</f>
        <v>62198</v>
      </c>
      <c r="AA3280" s="117">
        <f>_xll.qlCalendarAdvance(Calendar,Z3280,NDays&amp;"D")</f>
        <v>62200</v>
      </c>
      <c r="AB3280" s="92">
        <v>1.5479847297526632E-2</v>
      </c>
      <c r="AC3280" s="101">
        <v>1.5335726636749314E-2</v>
      </c>
    </row>
    <row r="3281" spans="25:29" x14ac:dyDescent="0.2">
      <c r="Y3281" s="105" t="str">
        <f t="shared" si="84"/>
        <v>1w</v>
      </c>
      <c r="Z3281" s="93">
        <f>_xll.qlCalendarAdvance(Calendar,Z3280,Y3281,"f",FALSE)</f>
        <v>62205</v>
      </c>
      <c r="AA3281" s="117">
        <f>_xll.qlCalendarAdvance(Calendar,Z3281,NDays&amp;"D")</f>
        <v>62207</v>
      </c>
      <c r="AB3281" s="92">
        <v>1.5486202818634057E-2</v>
      </c>
      <c r="AC3281" s="101">
        <v>1.5342477262487719E-2</v>
      </c>
    </row>
    <row r="3282" spans="25:29" x14ac:dyDescent="0.2">
      <c r="Y3282" s="105" t="str">
        <f t="shared" si="84"/>
        <v>1w</v>
      </c>
      <c r="Z3282" s="93">
        <f>_xll.qlCalendarAdvance(Calendar,Z3281,Y3282,"f",FALSE)</f>
        <v>62212</v>
      </c>
      <c r="AA3282" s="117">
        <f>_xll.qlCalendarAdvance(Calendar,Z3282,NDays&amp;"D")</f>
        <v>62215</v>
      </c>
      <c r="AB3282" s="92">
        <v>1.5494976931093241E-2</v>
      </c>
      <c r="AC3282" s="101">
        <v>1.5351752327550372E-2</v>
      </c>
    </row>
    <row r="3283" spans="25:29" x14ac:dyDescent="0.2">
      <c r="Y3283" s="105" t="str">
        <f t="shared" si="84"/>
        <v>1w</v>
      </c>
      <c r="Z3283" s="93">
        <f>_xll.qlCalendarAdvance(Calendar,Z3282,Y3283,"f",FALSE)</f>
        <v>62219</v>
      </c>
      <c r="AA3283" s="117">
        <f>_xll.qlCalendarAdvance(Calendar,Z3283,NDays&amp;"D")</f>
        <v>62221</v>
      </c>
      <c r="AB3283" s="92">
        <v>1.5501140756043724E-2</v>
      </c>
      <c r="AC3283" s="101">
        <v>1.5355858771748387E-2</v>
      </c>
    </row>
    <row r="3284" spans="25:29" x14ac:dyDescent="0.2">
      <c r="Y3284" s="105" t="str">
        <f t="shared" si="84"/>
        <v>1w</v>
      </c>
      <c r="Z3284" s="93">
        <f>_xll.qlCalendarAdvance(Calendar,Z3283,Y3284,"f",FALSE)</f>
        <v>62226</v>
      </c>
      <c r="AA3284" s="117">
        <f>_xll.qlCalendarAdvance(Calendar,Z3284,NDays&amp;"D")</f>
        <v>62228</v>
      </c>
      <c r="AB3284" s="92">
        <v>1.5507402160175248E-2</v>
      </c>
      <c r="AC3284" s="101">
        <v>1.5362489655350586E-2</v>
      </c>
    </row>
    <row r="3285" spans="25:29" x14ac:dyDescent="0.2">
      <c r="Y3285" s="105" t="str">
        <f t="shared" ref="Y3285:Y3348" si="85">Y3284</f>
        <v>1w</v>
      </c>
      <c r="Z3285" s="93">
        <f>_xll.qlCalendarAdvance(Calendar,Z3284,Y3285,"f",FALSE)</f>
        <v>62233</v>
      </c>
      <c r="AA3285" s="117">
        <f>_xll.qlCalendarAdvance(Calendar,Z3285,NDays&amp;"D")</f>
        <v>62235</v>
      </c>
      <c r="AB3285" s="92">
        <v>1.5513635025491589E-2</v>
      </c>
      <c r="AC3285" s="101">
        <v>1.5369080624720866E-2</v>
      </c>
    </row>
    <row r="3286" spans="25:29" x14ac:dyDescent="0.2">
      <c r="Y3286" s="105" t="str">
        <f t="shared" si="85"/>
        <v>1w</v>
      </c>
      <c r="Z3286" s="93">
        <f>_xll.qlCalendarAdvance(Calendar,Z3285,Y3286,"f",FALSE)</f>
        <v>62240</v>
      </c>
      <c r="AA3286" s="117">
        <f>_xll.qlCalendarAdvance(Calendar,Z3286,NDays&amp;"D")</f>
        <v>62242</v>
      </c>
      <c r="AB3286" s="92">
        <v>1.5517536357718941E-2</v>
      </c>
      <c r="AC3286" s="101">
        <v>1.5375631680099033E-2</v>
      </c>
    </row>
    <row r="3287" spans="25:29" x14ac:dyDescent="0.2">
      <c r="Y3287" s="105" t="str">
        <f t="shared" si="85"/>
        <v>1w</v>
      </c>
      <c r="Z3287" s="93">
        <f>_xll.qlCalendarAdvance(Calendar,Z3286,Y3287,"f",FALSE)</f>
        <v>62247</v>
      </c>
      <c r="AA3287" s="117">
        <f>_xll.qlCalendarAdvance(Calendar,Z3287,NDays&amp;"D")</f>
        <v>62249</v>
      </c>
      <c r="AB3287" s="92">
        <v>1.5523718462646155E-2</v>
      </c>
      <c r="AC3287" s="101">
        <v>1.538214282148509E-2</v>
      </c>
    </row>
    <row r="3288" spans="25:29" x14ac:dyDescent="0.2">
      <c r="Y3288" s="105" t="str">
        <f t="shared" si="85"/>
        <v>1w</v>
      </c>
      <c r="Z3288" s="93">
        <f>_xll.qlCalendarAdvance(Calendar,Z3287,Y3288,"f",FALSE)</f>
        <v>62254</v>
      </c>
      <c r="AA3288" s="117">
        <f>_xll.qlCalendarAdvance(Calendar,Z3288,NDays&amp;"D")</f>
        <v>62256</v>
      </c>
      <c r="AB3288" s="92">
        <v>1.5529873770117745E-2</v>
      </c>
      <c r="AC3288" s="101">
        <v>1.5388614048719162E-2</v>
      </c>
    </row>
    <row r="3289" spans="25:29" x14ac:dyDescent="0.2">
      <c r="Y3289" s="105" t="str">
        <f t="shared" si="85"/>
        <v>1w</v>
      </c>
      <c r="Z3289" s="93">
        <f>_xll.qlCalendarAdvance(Calendar,Z3288,Y3289,"f",FALSE)</f>
        <v>62261</v>
      </c>
      <c r="AA3289" s="117">
        <f>_xll.qlCalendarAdvance(Calendar,Z3289,NDays&amp;"D")</f>
        <v>62263</v>
      </c>
      <c r="AB3289" s="92">
        <v>1.5536002881655608E-2</v>
      </c>
      <c r="AC3289" s="101">
        <v>1.5395045361881188E-2</v>
      </c>
    </row>
    <row r="3290" spans="25:29" x14ac:dyDescent="0.2">
      <c r="Y3290" s="105" t="str">
        <f t="shared" si="85"/>
        <v>1w</v>
      </c>
      <c r="Z3290" s="93">
        <f>_xll.qlCalendarAdvance(Calendar,Z3289,Y3290,"f",FALSE)</f>
        <v>62268</v>
      </c>
      <c r="AA3290" s="117">
        <f>_xll.qlCalendarAdvance(Calendar,Z3290,NDays&amp;"D")</f>
        <v>62270</v>
      </c>
      <c r="AB3290" s="92">
        <v>1.55443919853162E-2</v>
      </c>
      <c r="AC3290" s="101">
        <v>1.5401436760891229E-2</v>
      </c>
    </row>
    <row r="3291" spans="25:29" x14ac:dyDescent="0.2">
      <c r="Y3291" s="105" t="str">
        <f t="shared" si="85"/>
        <v>1w</v>
      </c>
      <c r="Z3291" s="93">
        <f>_xll.qlCalendarAdvance(Calendar,Z3290,Y3291,"f",FALSE)</f>
        <v>62275</v>
      </c>
      <c r="AA3291" s="117">
        <f>_xll.qlCalendarAdvance(Calendar,Z3291,NDays&amp;"D")</f>
        <v>62277</v>
      </c>
      <c r="AB3291" s="92">
        <v>1.5550466046856821E-2</v>
      </c>
      <c r="AC3291" s="101">
        <v>1.5407788617691764E-2</v>
      </c>
    </row>
    <row r="3292" spans="25:29" x14ac:dyDescent="0.2">
      <c r="Y3292" s="105" t="str">
        <f t="shared" si="85"/>
        <v>1w</v>
      </c>
      <c r="Z3292" s="93">
        <f>_xll.qlCalendarAdvance(Calendar,Z3291,Y3292,"f",FALSE)</f>
        <v>62282</v>
      </c>
      <c r="AA3292" s="117">
        <f>_xll.qlCalendarAdvance(Calendar,Z3292,NDays&amp;"D")</f>
        <v>62284</v>
      </c>
      <c r="AB3292" s="92">
        <v>1.555651556605509E-2</v>
      </c>
      <c r="AC3292" s="101">
        <v>1.5414111338198921E-2</v>
      </c>
    </row>
    <row r="3293" spans="25:29" x14ac:dyDescent="0.2">
      <c r="Y3293" s="105" t="str">
        <f t="shared" si="85"/>
        <v>1w</v>
      </c>
      <c r="Z3293" s="93">
        <f>_xll.qlCalendarAdvance(Calendar,Z3292,Y3293,"f",FALSE)</f>
        <v>62289</v>
      </c>
      <c r="AA3293" s="117">
        <f>_xll.qlCalendarAdvance(Calendar,Z3293,NDays&amp;"D")</f>
        <v>62291</v>
      </c>
      <c r="AB3293" s="92">
        <v>1.5562540604830939E-2</v>
      </c>
      <c r="AC3293" s="101">
        <v>1.5420409753907904E-2</v>
      </c>
    </row>
    <row r="3294" spans="25:29" x14ac:dyDescent="0.2">
      <c r="Y3294" s="105" t="str">
        <f t="shared" si="85"/>
        <v>1w</v>
      </c>
      <c r="Z3294" s="93">
        <f>_xll.qlCalendarAdvance(Calendar,Z3293,Y3294,"f",FALSE)</f>
        <v>62296</v>
      </c>
      <c r="AA3294" s="117">
        <f>_xll.qlCalendarAdvance(Calendar,Z3294,NDays&amp;"D")</f>
        <v>62298</v>
      </c>
      <c r="AB3294" s="92">
        <v>1.5568541162959601E-2</v>
      </c>
      <c r="AC3294" s="101">
        <v>1.5426683865058521E-2</v>
      </c>
    </row>
    <row r="3295" spans="25:29" x14ac:dyDescent="0.2">
      <c r="Y3295" s="105" t="str">
        <f t="shared" si="85"/>
        <v>1w</v>
      </c>
      <c r="Z3295" s="93">
        <f>_xll.qlCalendarAdvance(Calendar,Z3294,Y3295,"f",FALSE)</f>
        <v>62303</v>
      </c>
      <c r="AA3295" s="117">
        <f>_xll.qlCalendarAdvance(Calendar,Z3295,NDays&amp;"D")</f>
        <v>62305</v>
      </c>
      <c r="AB3295" s="92">
        <v>1.5572253990870394E-2</v>
      </c>
      <c r="AC3295" s="101">
        <v>1.5432933671410964E-2</v>
      </c>
    </row>
    <row r="3296" spans="25:29" x14ac:dyDescent="0.2">
      <c r="Y3296" s="105" t="str">
        <f t="shared" si="85"/>
        <v>1w</v>
      </c>
      <c r="Z3296" s="93">
        <f>_xll.qlCalendarAdvance(Calendar,Z3295,Y3296,"f",FALSE)</f>
        <v>62310</v>
      </c>
      <c r="AA3296" s="117">
        <f>_xll.qlCalendarAdvance(Calendar,Z3296,NDays&amp;"D")</f>
        <v>62312</v>
      </c>
      <c r="AB3296" s="92">
        <v>1.5580468836367274E-2</v>
      </c>
      <c r="AC3296" s="101">
        <v>1.5439159173125105E-2</v>
      </c>
    </row>
    <row r="3297" spans="25:29" x14ac:dyDescent="0.2">
      <c r="Y3297" s="105" t="str">
        <f t="shared" si="85"/>
        <v>1w</v>
      </c>
      <c r="Z3297" s="93">
        <f>_xll.qlCalendarAdvance(Calendar,Z3296,Y3297,"f",FALSE)</f>
        <v>62317</v>
      </c>
      <c r="AA3297" s="117">
        <f>_xll.qlCalendarAdvance(Calendar,Z3297,NDays&amp;"D")</f>
        <v>62319</v>
      </c>
      <c r="AB3297" s="92">
        <v>1.5586395951197183E-2</v>
      </c>
      <c r="AC3297" s="101">
        <v>1.5445360370121008E-2</v>
      </c>
    </row>
    <row r="3298" spans="25:29" x14ac:dyDescent="0.2">
      <c r="Y3298" s="105" t="str">
        <f t="shared" si="85"/>
        <v>1w</v>
      </c>
      <c r="Z3298" s="93">
        <f>_xll.qlCalendarAdvance(Calendar,Z3297,Y3298,"f",FALSE)</f>
        <v>62324</v>
      </c>
      <c r="AA3298" s="117">
        <f>_xll.qlCalendarAdvance(Calendar,Z3298,NDays&amp;"D")</f>
        <v>62326</v>
      </c>
      <c r="AB3298" s="92">
        <v>1.5592298584481268E-2</v>
      </c>
      <c r="AC3298" s="101">
        <v>1.545153726247861E-2</v>
      </c>
    </row>
    <row r="3299" spans="25:29" x14ac:dyDescent="0.2">
      <c r="Y3299" s="105" t="str">
        <f t="shared" si="85"/>
        <v>1w</v>
      </c>
      <c r="Z3299" s="93">
        <f>_xll.qlCalendarAdvance(Calendar,Z3298,Y3299,"f",FALSE)</f>
        <v>62331</v>
      </c>
      <c r="AA3299" s="117">
        <f>_xll.qlCalendarAdvance(Calendar,Z3299,NDays&amp;"D")</f>
        <v>62333</v>
      </c>
      <c r="AB3299" s="92">
        <v>1.5595931408087649E-2</v>
      </c>
      <c r="AC3299" s="101">
        <v>1.5457689850117973E-2</v>
      </c>
    </row>
    <row r="3300" spans="25:29" x14ac:dyDescent="0.2">
      <c r="Y3300" s="105" t="str">
        <f t="shared" si="85"/>
        <v>1w</v>
      </c>
      <c r="Z3300" s="93">
        <f>_xll.qlCalendarAdvance(Calendar,Z3299,Y3300,"f",FALSE)</f>
        <v>62338</v>
      </c>
      <c r="AA3300" s="117">
        <f>_xll.qlCalendarAdvance(Calendar,Z3300,NDays&amp;"D")</f>
        <v>62340</v>
      </c>
      <c r="AB3300" s="92">
        <v>1.56002950644928E-2</v>
      </c>
      <c r="AC3300" s="101">
        <v>1.5463818132959162E-2</v>
      </c>
    </row>
    <row r="3301" spans="25:29" x14ac:dyDescent="0.2">
      <c r="Y3301" s="105" t="str">
        <f t="shared" si="85"/>
        <v>1w</v>
      </c>
      <c r="Z3301" s="93">
        <f>_xll.qlCalendarAdvance(Calendar,Z3300,Y3301,"f",FALSE)</f>
        <v>62345</v>
      </c>
      <c r="AA3301" s="117">
        <f>_xll.qlCalendarAdvance(Calendar,Z3301,NDays&amp;"D")</f>
        <v>62347</v>
      </c>
      <c r="AB3301" s="92">
        <v>1.5606131735519514E-2</v>
      </c>
      <c r="AC3301" s="101">
        <v>1.5469922111241985E-2</v>
      </c>
    </row>
    <row r="3302" spans="25:29" x14ac:dyDescent="0.2">
      <c r="Y3302" s="105" t="str">
        <f t="shared" si="85"/>
        <v>1w</v>
      </c>
      <c r="Z3302" s="93">
        <f>_xll.qlCalendarAdvance(Calendar,Z3301,Y3302,"f",FALSE)</f>
        <v>62352</v>
      </c>
      <c r="AA3302" s="117">
        <f>_xll.qlCalendarAdvance(Calendar,Z3302,NDays&amp;"D")</f>
        <v>62354</v>
      </c>
      <c r="AB3302" s="92">
        <v>1.5611943929011532E-2</v>
      </c>
      <c r="AC3302" s="101">
        <v>1.5476001784726634E-2</v>
      </c>
    </row>
    <row r="3303" spans="25:29" x14ac:dyDescent="0.2">
      <c r="Y3303" s="105" t="str">
        <f t="shared" si="85"/>
        <v>1w</v>
      </c>
      <c r="Z3303" s="93">
        <f>_xll.qlCalendarAdvance(Calendar,Z3302,Y3303,"f",FALSE)</f>
        <v>62359</v>
      </c>
      <c r="AA3303" s="117">
        <f>_xll.qlCalendarAdvance(Calendar,Z3303,NDays&amp;"D")</f>
        <v>62361</v>
      </c>
      <c r="AB3303" s="92">
        <v>1.5617731644755104E-2</v>
      </c>
      <c r="AC3303" s="101">
        <v>1.5482057153572981E-2</v>
      </c>
    </row>
    <row r="3304" spans="25:29" x14ac:dyDescent="0.2">
      <c r="Y3304" s="105" t="str">
        <f t="shared" si="85"/>
        <v>1w</v>
      </c>
      <c r="Z3304" s="93">
        <f>_xll.qlCalendarAdvance(Calendar,Z3303,Y3304,"f",FALSE)</f>
        <v>62366</v>
      </c>
      <c r="AA3304" s="117">
        <f>_xll.qlCalendarAdvance(Calendar,Z3304,NDays&amp;"D")</f>
        <v>62368</v>
      </c>
      <c r="AB3304" s="92">
        <v>1.5624236201833445E-2</v>
      </c>
      <c r="AC3304" s="101">
        <v>1.5488088217621154E-2</v>
      </c>
    </row>
    <row r="3305" spans="25:29" x14ac:dyDescent="0.2">
      <c r="Y3305" s="105" t="str">
        <f t="shared" si="85"/>
        <v>1w</v>
      </c>
      <c r="Z3305" s="93">
        <f>_xll.qlCalendarAdvance(Calendar,Z3304,Y3305,"f",FALSE)</f>
        <v>62373</v>
      </c>
      <c r="AA3305" s="117">
        <f>_xll.qlCalendarAdvance(Calendar,Z3305,NDays&amp;"D")</f>
        <v>62375</v>
      </c>
      <c r="AB3305" s="92">
        <v>1.5629973461037429E-2</v>
      </c>
      <c r="AC3305" s="101">
        <v>1.5494094976951089E-2</v>
      </c>
    </row>
    <row r="3306" spans="25:29" x14ac:dyDescent="0.2">
      <c r="Y3306" s="105" t="str">
        <f t="shared" si="85"/>
        <v>1w</v>
      </c>
      <c r="Z3306" s="93">
        <f>_xll.qlCalendarAdvance(Calendar,Z3305,Y3306,"f",FALSE)</f>
        <v>62380</v>
      </c>
      <c r="AA3306" s="117">
        <f>_xll.qlCalendarAdvance(Calendar,Z3306,NDays&amp;"D")</f>
        <v>62382</v>
      </c>
      <c r="AB3306" s="92">
        <v>1.563568624087738E-2</v>
      </c>
      <c r="AC3306" s="101">
        <v>1.5500077431722659E-2</v>
      </c>
    </row>
    <row r="3307" spans="25:29" x14ac:dyDescent="0.2">
      <c r="Y3307" s="105" t="str">
        <f t="shared" si="85"/>
        <v>1w</v>
      </c>
      <c r="Z3307" s="93">
        <f>_xll.qlCalendarAdvance(Calendar,Z3306,Y3307,"f",FALSE)</f>
        <v>62387</v>
      </c>
      <c r="AA3307" s="117">
        <f>_xll.qlCalendarAdvance(Calendar,Z3307,NDays&amp;"D")</f>
        <v>62389</v>
      </c>
      <c r="AB3307" s="92">
        <v>1.5641374541141166E-2</v>
      </c>
      <c r="AC3307" s="101">
        <v>1.5506035581696054E-2</v>
      </c>
    </row>
    <row r="3308" spans="25:29" x14ac:dyDescent="0.2">
      <c r="Y3308" s="105" t="str">
        <f t="shared" si="85"/>
        <v>1w</v>
      </c>
      <c r="Z3308" s="93">
        <f>_xll.qlCalendarAdvance(Calendar,Z3307,Y3308,"f",FALSE)</f>
        <v>62394</v>
      </c>
      <c r="AA3308" s="117">
        <f>_xll.qlCalendarAdvance(Calendar,Z3308,NDays&amp;"D")</f>
        <v>62396</v>
      </c>
      <c r="AB3308" s="92">
        <v>1.5647038361620597E-2</v>
      </c>
      <c r="AC3308" s="101">
        <v>1.5511969426951211E-2</v>
      </c>
    </row>
    <row r="3309" spans="25:29" x14ac:dyDescent="0.2">
      <c r="Y3309" s="105" t="str">
        <f t="shared" si="85"/>
        <v>1w</v>
      </c>
      <c r="Z3309" s="93">
        <f>_xll.qlCalendarAdvance(Calendar,Z3308,Y3309,"f",FALSE)</f>
        <v>62401</v>
      </c>
      <c r="AA3309" s="117">
        <f>_xll.qlCalendarAdvance(Calendar,Z3309,NDays&amp;"D")</f>
        <v>62403</v>
      </c>
      <c r="AB3309" s="92">
        <v>1.5651943894693789E-2</v>
      </c>
      <c r="AC3309" s="101">
        <v>1.551787896748813E-2</v>
      </c>
    </row>
    <row r="3310" spans="25:29" x14ac:dyDescent="0.2">
      <c r="Y3310" s="105" t="str">
        <f t="shared" si="85"/>
        <v>1w</v>
      </c>
      <c r="Z3310" s="93">
        <f>_xll.qlCalendarAdvance(Calendar,Z3309,Y3310,"f",FALSE)</f>
        <v>62408</v>
      </c>
      <c r="AA3310" s="117">
        <f>_xll.qlCalendarAdvance(Calendar,Z3310,NDays&amp;"D")</f>
        <v>62410</v>
      </c>
      <c r="AB3310" s="92">
        <v>1.5657560260313435E-2</v>
      </c>
      <c r="AC3310" s="101">
        <v>1.5523764203466683E-2</v>
      </c>
    </row>
    <row r="3311" spans="25:29" x14ac:dyDescent="0.2">
      <c r="Y3311" s="105" t="str">
        <f t="shared" si="85"/>
        <v>1w</v>
      </c>
      <c r="Z3311" s="93">
        <f>_xll.qlCalendarAdvance(Calendar,Z3310,Y3311,"f",FALSE)</f>
        <v>62415</v>
      </c>
      <c r="AA3311" s="117">
        <f>_xll.qlCalendarAdvance(Calendar,Z3311,NDays&amp;"D")</f>
        <v>62417</v>
      </c>
      <c r="AB3311" s="92">
        <v>1.5663152146511723E-2</v>
      </c>
      <c r="AC3311" s="101">
        <v>1.5529625134407254E-2</v>
      </c>
    </row>
    <row r="3312" spans="25:29" x14ac:dyDescent="0.2">
      <c r="Y3312" s="105" t="str">
        <f t="shared" si="85"/>
        <v>1w</v>
      </c>
      <c r="Z3312" s="93">
        <f>_xll.qlCalendarAdvance(Calendar,Z3311,Y3312,"f",FALSE)</f>
        <v>62422</v>
      </c>
      <c r="AA3312" s="117">
        <f>_xll.qlCalendarAdvance(Calendar,Z3312,NDays&amp;"D")</f>
        <v>62424</v>
      </c>
      <c r="AB3312" s="92">
        <v>1.5668719553086817E-2</v>
      </c>
      <c r="AC3312" s="101">
        <v>1.5535461761029268E-2</v>
      </c>
    </row>
    <row r="3313" spans="25:29" x14ac:dyDescent="0.2">
      <c r="Y3313" s="105" t="str">
        <f t="shared" si="85"/>
        <v>1w</v>
      </c>
      <c r="Z3313" s="93">
        <f>_xll.qlCalendarAdvance(Calendar,Z3312,Y3313,"f",FALSE)</f>
        <v>62429</v>
      </c>
      <c r="AA3313" s="117">
        <f>_xll.qlCalendarAdvance(Calendar,Z3313,NDays&amp;"D")</f>
        <v>62431</v>
      </c>
      <c r="AB3313" s="92">
        <v>1.5674990259969487E-2</v>
      </c>
      <c r="AC3313" s="101">
        <v>1.5541274082693235E-2</v>
      </c>
    </row>
    <row r="3314" spans="25:29" x14ac:dyDescent="0.2">
      <c r="Y3314" s="105" t="str">
        <f t="shared" si="85"/>
        <v>1w</v>
      </c>
      <c r="Z3314" s="93">
        <f>_xll.qlCalendarAdvance(Calendar,Z3313,Y3314,"f",FALSE)</f>
        <v>62436</v>
      </c>
      <c r="AA3314" s="117">
        <f>_xll.qlCalendarAdvance(Calendar,Z3314,NDays&amp;"D")</f>
        <v>62438</v>
      </c>
      <c r="AB3314" s="92">
        <v>1.5680507197387599E-2</v>
      </c>
      <c r="AC3314" s="101">
        <v>1.5547062099638964E-2</v>
      </c>
    </row>
    <row r="3315" spans="25:29" x14ac:dyDescent="0.2">
      <c r="Y3315" s="105" t="str">
        <f t="shared" si="85"/>
        <v>1w</v>
      </c>
      <c r="Z3315" s="93">
        <f>_xll.qlCalendarAdvance(Calendar,Z3314,Y3315,"f",FALSE)</f>
        <v>62443</v>
      </c>
      <c r="AA3315" s="117">
        <f>_xll.qlCalendarAdvance(Calendar,Z3315,NDays&amp;"D")</f>
        <v>62445</v>
      </c>
      <c r="AB3315" s="92">
        <v>1.5685999653578555E-2</v>
      </c>
      <c r="AC3315" s="101">
        <v>1.5552825811946391E-2</v>
      </c>
    </row>
    <row r="3316" spans="25:29" x14ac:dyDescent="0.2">
      <c r="Y3316" s="105" t="str">
        <f t="shared" si="85"/>
        <v>1w</v>
      </c>
      <c r="Z3316" s="93">
        <f>_xll.qlCalendarAdvance(Calendar,Z3315,Y3316,"f",FALSE)</f>
        <v>62450</v>
      </c>
      <c r="AA3316" s="117">
        <f>_xll.qlCalendarAdvance(Calendar,Z3316,NDays&amp;"D")</f>
        <v>62456</v>
      </c>
      <c r="AB3316" s="92">
        <v>1.5694581193606592E-2</v>
      </c>
      <c r="AC3316" s="101">
        <v>1.5561833968567029E-2</v>
      </c>
    </row>
    <row r="3317" spans="25:29" x14ac:dyDescent="0.2">
      <c r="Y3317" s="105" t="str">
        <f t="shared" si="85"/>
        <v>1w</v>
      </c>
      <c r="Z3317" s="93">
        <f>_xll.qlCalendarAdvance(Calendar,Z3316,Y3317,"f",FALSE)</f>
        <v>62457</v>
      </c>
      <c r="AA3317" s="117">
        <f>_xll.qlCalendarAdvance(Calendar,Z3317,NDays&amp;"D")</f>
        <v>62460</v>
      </c>
      <c r="AB3317" s="92">
        <v>1.5696965243962989E-2</v>
      </c>
      <c r="AC3317" s="101">
        <v>1.5566581637678212E-2</v>
      </c>
    </row>
    <row r="3318" spans="25:29" x14ac:dyDescent="0.2">
      <c r="Y3318" s="105" t="str">
        <f t="shared" si="85"/>
        <v>1w</v>
      </c>
      <c r="Z3318" s="93">
        <f>_xll.qlCalendarAdvance(Calendar,Z3317,Y3318,"f",FALSE)</f>
        <v>62464</v>
      </c>
      <c r="AA3318" s="117">
        <f>_xll.qlCalendarAdvance(Calendar,Z3318,NDays&amp;"D")</f>
        <v>62466</v>
      </c>
      <c r="AB3318" s="92">
        <v>1.5701609909050444E-2</v>
      </c>
      <c r="AC3318" s="101">
        <v>1.5569971120319437E-2</v>
      </c>
    </row>
    <row r="3319" spans="25:29" x14ac:dyDescent="0.2">
      <c r="Y3319" s="105" t="str">
        <f t="shared" si="85"/>
        <v>1w</v>
      </c>
      <c r="Z3319" s="93">
        <f>_xll.qlCalendarAdvance(Calendar,Z3318,Y3319,"f",FALSE)</f>
        <v>62471</v>
      </c>
      <c r="AA3319" s="117">
        <f>_xll.qlCalendarAdvance(Calendar,Z3319,NDays&amp;"D")</f>
        <v>62473</v>
      </c>
      <c r="AB3319" s="92">
        <v>1.570700595258907E-2</v>
      </c>
      <c r="AC3319" s="101">
        <v>1.5575637613833848E-2</v>
      </c>
    </row>
    <row r="3320" spans="25:29" x14ac:dyDescent="0.2">
      <c r="Y3320" s="105" t="str">
        <f t="shared" si="85"/>
        <v>1w</v>
      </c>
      <c r="Z3320" s="93">
        <f>_xll.qlCalendarAdvance(Calendar,Z3319,Y3320,"f",FALSE)</f>
        <v>62478</v>
      </c>
      <c r="AA3320" s="117">
        <f>_xll.qlCalendarAdvance(Calendar,Z3320,NDays&amp;"D")</f>
        <v>62480</v>
      </c>
      <c r="AB3320" s="92">
        <v>1.571237751489651E-2</v>
      </c>
      <c r="AC3320" s="101">
        <v>1.5581279802470149E-2</v>
      </c>
    </row>
    <row r="3321" spans="25:29" x14ac:dyDescent="0.2">
      <c r="Y3321" s="105" t="str">
        <f t="shared" si="85"/>
        <v>1w</v>
      </c>
      <c r="Z3321" s="93">
        <f>_xll.qlCalendarAdvance(Calendar,Z3320,Y3321,"f",FALSE)</f>
        <v>62485</v>
      </c>
      <c r="AA3321" s="117">
        <f>_xll.qlCalendarAdvance(Calendar,Z3321,NDays&amp;"D")</f>
        <v>62487</v>
      </c>
      <c r="AB3321" s="92">
        <v>1.5717724595773589E-2</v>
      </c>
      <c r="AC3321" s="101">
        <v>1.5586897686388212E-2</v>
      </c>
    </row>
    <row r="3322" spans="25:29" x14ac:dyDescent="0.2">
      <c r="Y3322" s="105" t="str">
        <f t="shared" si="85"/>
        <v>1w</v>
      </c>
      <c r="Z3322" s="93">
        <f>_xll.qlCalendarAdvance(Calendar,Z3321,Y3322,"f",FALSE)</f>
        <v>62492</v>
      </c>
      <c r="AA3322" s="117">
        <f>_xll.qlCalendarAdvance(Calendar,Z3322,NDays&amp;"D")</f>
        <v>62494</v>
      </c>
      <c r="AB3322" s="92">
        <v>1.5723047195025982E-2</v>
      </c>
      <c r="AC3322" s="101">
        <v>1.5592491265667974E-2</v>
      </c>
    </row>
    <row r="3323" spans="25:29" x14ac:dyDescent="0.2">
      <c r="Y3323" s="105" t="str">
        <f t="shared" si="85"/>
        <v>1w</v>
      </c>
      <c r="Z3323" s="93">
        <f>_xll.qlCalendarAdvance(Calendar,Z3322,Y3323,"f",FALSE)</f>
        <v>62499</v>
      </c>
      <c r="AA3323" s="117">
        <f>_xll.qlCalendarAdvance(Calendar,Z3323,NDays&amp;"D")</f>
        <v>62501</v>
      </c>
      <c r="AB3323" s="92">
        <v>1.5728345312459372E-2</v>
      </c>
      <c r="AC3323" s="101">
        <v>1.5598060540149561E-2</v>
      </c>
    </row>
    <row r="3324" spans="25:29" x14ac:dyDescent="0.2">
      <c r="Y3324" s="105" t="str">
        <f t="shared" si="85"/>
        <v>1w</v>
      </c>
      <c r="Z3324" s="93">
        <f>_xll.qlCalendarAdvance(Calendar,Z3323,Y3324,"f",FALSE)</f>
        <v>62506</v>
      </c>
      <c r="AA3324" s="117">
        <f>_xll.qlCalendarAdvance(Calendar,Z3324,NDays&amp;"D")</f>
        <v>62508</v>
      </c>
      <c r="AB3324" s="92">
        <v>1.5733618947878118E-2</v>
      </c>
      <c r="AC3324" s="101">
        <v>1.5603605509832974E-2</v>
      </c>
    </row>
    <row r="3325" spans="25:29" x14ac:dyDescent="0.2">
      <c r="Y3325" s="105" t="str">
        <f t="shared" si="85"/>
        <v>1w</v>
      </c>
      <c r="Z3325" s="93">
        <f>_xll.qlCalendarAdvance(Calendar,Z3324,Y3325,"f",FALSE)</f>
        <v>62513</v>
      </c>
      <c r="AA3325" s="117">
        <f>_xll.qlCalendarAdvance(Calendar,Z3325,NDays&amp;"D")</f>
        <v>62515</v>
      </c>
      <c r="AB3325" s="92">
        <v>1.5738868101089216E-2</v>
      </c>
      <c r="AC3325" s="101">
        <v>1.5609126174958021E-2</v>
      </c>
    </row>
    <row r="3326" spans="25:29" x14ac:dyDescent="0.2">
      <c r="Y3326" s="105" t="str">
        <f t="shared" si="85"/>
        <v>1w</v>
      </c>
      <c r="Z3326" s="93">
        <f>_xll.qlCalendarAdvance(Calendar,Z3325,Y3326,"f",FALSE)</f>
        <v>62520</v>
      </c>
      <c r="AA3326" s="117">
        <f>_xll.qlCalendarAdvance(Calendar,Z3326,NDays&amp;"D")</f>
        <v>62522</v>
      </c>
      <c r="AB3326" s="92">
        <v>1.5747631931104868E-2</v>
      </c>
      <c r="AC3326" s="101">
        <v>1.5614622535125022E-2</v>
      </c>
    </row>
    <row r="3327" spans="25:29" x14ac:dyDescent="0.2">
      <c r="Y3327" s="105" t="str">
        <f t="shared" si="85"/>
        <v>1w</v>
      </c>
      <c r="Z3327" s="93">
        <f>_xll.qlCalendarAdvance(Calendar,Z3326,Y3327,"f",FALSE)</f>
        <v>62527</v>
      </c>
      <c r="AA3327" s="117">
        <f>_xll.qlCalendarAdvance(Calendar,Z3327,NDays&amp;"D")</f>
        <v>62529</v>
      </c>
      <c r="AB3327" s="92">
        <v>1.5752824506569958E-2</v>
      </c>
      <c r="AC3327" s="101">
        <v>1.5620094590813594E-2</v>
      </c>
    </row>
    <row r="3328" spans="25:29" x14ac:dyDescent="0.2">
      <c r="Y3328" s="105" t="str">
        <f t="shared" si="85"/>
        <v>1w</v>
      </c>
      <c r="Z3328" s="93">
        <f>_xll.qlCalendarAdvance(Calendar,Z3327,Y3328,"f",FALSE)</f>
        <v>62534</v>
      </c>
      <c r="AA3328" s="117">
        <f>_xll.qlCalendarAdvance(Calendar,Z3328,NDays&amp;"D")</f>
        <v>62536</v>
      </c>
      <c r="AB3328" s="92">
        <v>1.5757992594219835E-2</v>
      </c>
      <c r="AC3328" s="101">
        <v>1.5625542341624055E-2</v>
      </c>
    </row>
    <row r="3329" spans="25:29" x14ac:dyDescent="0.2">
      <c r="Y3329" s="105" t="str">
        <f t="shared" si="85"/>
        <v>1w</v>
      </c>
      <c r="Z3329" s="93">
        <f>_xll.qlCalendarAdvance(Calendar,Z3328,Y3329,"f",FALSE)</f>
        <v>62541</v>
      </c>
      <c r="AA3329" s="117">
        <f>_xll.qlCalendarAdvance(Calendar,Z3329,NDays&amp;"D")</f>
        <v>62543</v>
      </c>
      <c r="AB3329" s="92">
        <v>1.5763136193859807E-2</v>
      </c>
      <c r="AC3329" s="101">
        <v>1.5630965787636342E-2</v>
      </c>
    </row>
    <row r="3330" spans="25:29" x14ac:dyDescent="0.2">
      <c r="Y3330" s="105" t="str">
        <f t="shared" si="85"/>
        <v>1w</v>
      </c>
      <c r="Z3330" s="93">
        <f>_xll.qlCalendarAdvance(Calendar,Z3329,Y3330,"f",FALSE)</f>
        <v>62548</v>
      </c>
      <c r="AA3330" s="117">
        <f>_xll.qlCalendarAdvance(Calendar,Z3330,NDays&amp;"D")</f>
        <v>62550</v>
      </c>
      <c r="AB3330" s="92">
        <v>1.5766150474695737E-2</v>
      </c>
      <c r="AC3330" s="101">
        <v>1.5636364929090263E-2</v>
      </c>
    </row>
    <row r="3331" spans="25:29" x14ac:dyDescent="0.2">
      <c r="Y3331" s="105" t="str">
        <f t="shared" si="85"/>
        <v>1w</v>
      </c>
      <c r="Z3331" s="93">
        <f>_xll.qlCalendarAdvance(Calendar,Z3330,Y3331,"f",FALSE)</f>
        <v>62555</v>
      </c>
      <c r="AA3331" s="117">
        <f>_xll.qlCalendarAdvance(Calendar,Z3331,NDays&amp;"D")</f>
        <v>62557</v>
      </c>
      <c r="AB3331" s="92">
        <v>1.5771249677888764E-2</v>
      </c>
      <c r="AC3331" s="101">
        <v>1.5641739765666074E-2</v>
      </c>
    </row>
    <row r="3332" spans="25:29" x14ac:dyDescent="0.2">
      <c r="Y3332" s="105" t="str">
        <f t="shared" si="85"/>
        <v>1w</v>
      </c>
      <c r="Z3332" s="93">
        <f>_xll.qlCalendarAdvance(Calendar,Z3331,Y3332,"f",FALSE)</f>
        <v>62562</v>
      </c>
      <c r="AA3332" s="117">
        <f>_xll.qlCalendarAdvance(Calendar,Z3332,NDays&amp;"D")</f>
        <v>62564</v>
      </c>
      <c r="AB3332" s="92">
        <v>1.5776324395525475E-2</v>
      </c>
      <c r="AC3332" s="101">
        <v>1.5649974559568847E-2</v>
      </c>
    </row>
    <row r="3333" spans="25:29" x14ac:dyDescent="0.2">
      <c r="Y3333" s="105" t="str">
        <f t="shared" si="85"/>
        <v>1w</v>
      </c>
      <c r="Z3333" s="93">
        <f>_xll.qlCalendarAdvance(Calendar,Z3332,Y3333,"f",FALSE)</f>
        <v>62569</v>
      </c>
      <c r="AA3333" s="117">
        <f>_xll.qlCalendarAdvance(Calendar,Z3333,NDays&amp;"D")</f>
        <v>62571</v>
      </c>
      <c r="AB3333" s="92">
        <v>1.5781374627419791E-2</v>
      </c>
      <c r="AC3333" s="101">
        <v>1.5652416524742918E-2</v>
      </c>
    </row>
    <row r="3334" spans="25:29" x14ac:dyDescent="0.2">
      <c r="Y3334" s="105" t="str">
        <f t="shared" si="85"/>
        <v>1w</v>
      </c>
      <c r="Z3334" s="93">
        <f>_xll.qlCalendarAdvance(Calendar,Z3333,Y3334,"f",FALSE)</f>
        <v>62576</v>
      </c>
      <c r="AA3334" s="117">
        <f>_xll.qlCalendarAdvance(Calendar,Z3334,NDays&amp;"D")</f>
        <v>62578</v>
      </c>
      <c r="AB3334" s="92">
        <v>1.57864003733817E-2</v>
      </c>
      <c r="AC3334" s="101">
        <v>1.5659872796003338E-2</v>
      </c>
    </row>
    <row r="3335" spans="25:29" x14ac:dyDescent="0.2">
      <c r="Y3335" s="105" t="str">
        <f t="shared" si="85"/>
        <v>1w</v>
      </c>
      <c r="Z3335" s="93">
        <f>_xll.qlCalendarAdvance(Calendar,Z3334,Y3335,"f",FALSE)</f>
        <v>62583</v>
      </c>
      <c r="AA3335" s="117">
        <f>_xll.qlCalendarAdvance(Calendar,Z3335,NDays&amp;"D")</f>
        <v>62585</v>
      </c>
      <c r="AB3335" s="92">
        <v>1.5793483532714158E-2</v>
      </c>
      <c r="AC3335" s="101">
        <v>1.5662996064866874E-2</v>
      </c>
    </row>
    <row r="3336" spans="25:29" x14ac:dyDescent="0.2">
      <c r="Y3336" s="105" t="str">
        <f t="shared" si="85"/>
        <v>1w</v>
      </c>
      <c r="Z3336" s="93">
        <f>_xll.qlCalendarAdvance(Calendar,Z3335,Y3336,"f",FALSE)</f>
        <v>62590</v>
      </c>
      <c r="AA3336" s="117">
        <f>_xll.qlCalendarAdvance(Calendar,Z3336,NDays&amp;"D")</f>
        <v>62592</v>
      </c>
      <c r="AB3336" s="92">
        <v>1.579845571091365E-2</v>
      </c>
      <c r="AC3336" s="101">
        <v>1.5668249377691623E-2</v>
      </c>
    </row>
    <row r="3337" spans="25:29" x14ac:dyDescent="0.2">
      <c r="Y3337" s="105" t="str">
        <f t="shared" si="85"/>
        <v>1w</v>
      </c>
      <c r="Z3337" s="93">
        <f>_xll.qlCalendarAdvance(Calendar,Z3336,Y3337,"f",FALSE)</f>
        <v>62597</v>
      </c>
      <c r="AA3337" s="117">
        <f>_xll.qlCalendarAdvance(Calendar,Z3337,NDays&amp;"D")</f>
        <v>62599</v>
      </c>
      <c r="AB3337" s="92">
        <v>1.5803403399580158E-2</v>
      </c>
      <c r="AC3337" s="101">
        <v>1.5673478386037942E-2</v>
      </c>
    </row>
    <row r="3338" spans="25:29" x14ac:dyDescent="0.2">
      <c r="Y3338" s="105" t="str">
        <f t="shared" si="85"/>
        <v>1w</v>
      </c>
      <c r="Z3338" s="93">
        <f>_xll.qlCalendarAdvance(Calendar,Z3337,Y3338,"f",FALSE)</f>
        <v>62604</v>
      </c>
      <c r="AA3338" s="117">
        <f>_xll.qlCalendarAdvance(Calendar,Z3338,NDays&amp;"D")</f>
        <v>62606</v>
      </c>
      <c r="AB3338" s="92">
        <v>1.5808326598526309E-2</v>
      </c>
      <c r="AC3338" s="101">
        <v>1.5678683089426215E-2</v>
      </c>
    </row>
    <row r="3339" spans="25:29" x14ac:dyDescent="0.2">
      <c r="Y3339" s="105" t="str">
        <f t="shared" si="85"/>
        <v>1w</v>
      </c>
      <c r="Z3339" s="93">
        <f>_xll.qlCalendarAdvance(Calendar,Z3338,Y3339,"f",FALSE)</f>
        <v>62611</v>
      </c>
      <c r="AA3339" s="117">
        <f>_xll.qlCalendarAdvance(Calendar,Z3339,NDays&amp;"D")</f>
        <v>62613</v>
      </c>
      <c r="AB3339" s="92">
        <v>1.5811161807741232E-2</v>
      </c>
      <c r="AC3339" s="101">
        <v>1.5683863488176186E-2</v>
      </c>
    </row>
    <row r="3340" spans="25:29" x14ac:dyDescent="0.2">
      <c r="Y3340" s="105" t="str">
        <f t="shared" si="85"/>
        <v>1w</v>
      </c>
      <c r="Z3340" s="93">
        <f>_xll.qlCalendarAdvance(Calendar,Z3339,Y3340,"f",FALSE)</f>
        <v>62618</v>
      </c>
      <c r="AA3340" s="117">
        <f>_xll.qlCalendarAdvance(Calendar,Z3340,NDays&amp;"D")</f>
        <v>62620</v>
      </c>
      <c r="AB3340" s="92">
        <v>1.5816040634238134E-2</v>
      </c>
      <c r="AC3340" s="101">
        <v>1.5689019582048047E-2</v>
      </c>
    </row>
    <row r="3341" spans="25:29" x14ac:dyDescent="0.2">
      <c r="Y3341" s="105" t="str">
        <f t="shared" si="85"/>
        <v>1w</v>
      </c>
      <c r="Z3341" s="93">
        <f>_xll.qlCalendarAdvance(Calendar,Z3340,Y3341,"f",FALSE)</f>
        <v>62625</v>
      </c>
      <c r="AA3341" s="117">
        <f>_xll.qlCalendarAdvance(Calendar,Z3341,NDays&amp;"D")</f>
        <v>62627</v>
      </c>
      <c r="AB3341" s="92">
        <v>1.5820894973519281E-2</v>
      </c>
      <c r="AC3341" s="101">
        <v>1.5694151371281606E-2</v>
      </c>
    </row>
    <row r="3342" spans="25:29" x14ac:dyDescent="0.2">
      <c r="Y3342" s="105" t="str">
        <f t="shared" si="85"/>
        <v>1w</v>
      </c>
      <c r="Z3342" s="93">
        <f>_xll.qlCalendarAdvance(Calendar,Z3341,Y3342,"f",FALSE)</f>
        <v>62632</v>
      </c>
      <c r="AA3342" s="117">
        <f>_xll.qlCalendarAdvance(Calendar,Z3342,NDays&amp;"D")</f>
        <v>62634</v>
      </c>
      <c r="AB3342" s="92">
        <v>1.5827774493415648E-2</v>
      </c>
      <c r="AC3342" s="101">
        <v>1.5699258855796927E-2</v>
      </c>
    </row>
    <row r="3343" spans="25:29" x14ac:dyDescent="0.2">
      <c r="Y3343" s="105" t="str">
        <f t="shared" si="85"/>
        <v>1w</v>
      </c>
      <c r="Z3343" s="93">
        <f>_xll.qlCalendarAdvance(Calendar,Z3342,Y3343,"f",FALSE)</f>
        <v>62639</v>
      </c>
      <c r="AA3343" s="117">
        <f>_xll.qlCalendarAdvance(Calendar,Z3343,NDays&amp;"D")</f>
        <v>62641</v>
      </c>
      <c r="AB3343" s="92">
        <v>1.5832575240998771E-2</v>
      </c>
      <c r="AC3343" s="101">
        <v>1.5704342035514074E-2</v>
      </c>
    </row>
    <row r="3344" spans="25:29" x14ac:dyDescent="0.2">
      <c r="Y3344" s="105" t="str">
        <f t="shared" si="85"/>
        <v>1w</v>
      </c>
      <c r="Z3344" s="93">
        <f>_xll.qlCalendarAdvance(Calendar,Z3343,Y3344,"f",FALSE)</f>
        <v>62646</v>
      </c>
      <c r="AA3344" s="117">
        <f>_xll.qlCalendarAdvance(Calendar,Z3344,NDays&amp;"D")</f>
        <v>62648</v>
      </c>
      <c r="AB3344" s="92">
        <v>1.5837351497763059E-2</v>
      </c>
      <c r="AC3344" s="101">
        <v>1.5709400910433047E-2</v>
      </c>
    </row>
    <row r="3345" spans="25:29" x14ac:dyDescent="0.2">
      <c r="Y3345" s="105" t="str">
        <f t="shared" si="85"/>
        <v>1w</v>
      </c>
      <c r="Z3345" s="93">
        <f>_xll.qlCalendarAdvance(Calendar,Z3344,Y3345,"f",FALSE)</f>
        <v>62653</v>
      </c>
      <c r="AA3345" s="117">
        <f>_xll.qlCalendarAdvance(Calendar,Z3345,NDays&amp;"D")</f>
        <v>62655</v>
      </c>
      <c r="AB3345" s="92">
        <v>1.5842103263528872E-2</v>
      </c>
      <c r="AC3345" s="101">
        <v>1.5714435480713718E-2</v>
      </c>
    </row>
    <row r="3346" spans="25:29" x14ac:dyDescent="0.2">
      <c r="Y3346" s="105" t="str">
        <f t="shared" si="85"/>
        <v>1w</v>
      </c>
      <c r="Z3346" s="93">
        <f>_xll.qlCalendarAdvance(Calendar,Z3345,Y3346,"f",FALSE)</f>
        <v>62660</v>
      </c>
      <c r="AA3346" s="117">
        <f>_xll.qlCalendarAdvance(Calendar,Z3346,NDays&amp;"D")</f>
        <v>62662</v>
      </c>
      <c r="AB3346" s="92">
        <v>1.5846830538116564E-2</v>
      </c>
      <c r="AC3346" s="101">
        <v>1.5719445746116278E-2</v>
      </c>
    </row>
    <row r="3347" spans="25:29" x14ac:dyDescent="0.2">
      <c r="Y3347" s="105" t="str">
        <f t="shared" si="85"/>
        <v>1w</v>
      </c>
      <c r="Z3347" s="93">
        <f>_xll.qlCalendarAdvance(Calendar,Z3346,Y3347,"f",FALSE)</f>
        <v>62667</v>
      </c>
      <c r="AA3347" s="117">
        <f>_xll.qlCalendarAdvance(Calendar,Z3347,NDays&amp;"D")</f>
        <v>62669</v>
      </c>
      <c r="AB3347" s="92">
        <v>1.5849506767667196E-2</v>
      </c>
      <c r="AC3347" s="101">
        <v>1.5724431706800601E-2</v>
      </c>
    </row>
    <row r="3348" spans="25:29" x14ac:dyDescent="0.2">
      <c r="Y3348" s="105" t="str">
        <f t="shared" si="85"/>
        <v>1w</v>
      </c>
      <c r="Z3348" s="93">
        <f>_xll.qlCalendarAdvance(Calendar,Z3347,Y3348,"f",FALSE)</f>
        <v>62674</v>
      </c>
      <c r="AA3348" s="117">
        <f>_xll.qlCalendarAdvance(Calendar,Z3348,NDays&amp;"D")</f>
        <v>62676</v>
      </c>
      <c r="AB3348" s="92">
        <v>1.5856211613048916E-2</v>
      </c>
      <c r="AC3348" s="101">
        <v>1.5729393362766686E-2</v>
      </c>
    </row>
    <row r="3349" spans="25:29" x14ac:dyDescent="0.2">
      <c r="Y3349" s="105" t="str">
        <f t="shared" ref="Y3349:Y3412" si="86">Y3348</f>
        <v>1w</v>
      </c>
      <c r="Z3349" s="93">
        <f>_xll.qlCalendarAdvance(Calendar,Z3348,Y3349,"f",FALSE)</f>
        <v>62681</v>
      </c>
      <c r="AA3349" s="117">
        <f>_xll.qlCalendarAdvance(Calendar,Z3349,NDays&amp;"D")</f>
        <v>62683</v>
      </c>
      <c r="AB3349" s="92">
        <v>1.5860865413039021E-2</v>
      </c>
      <c r="AC3349" s="101">
        <v>1.5734330714014533E-2</v>
      </c>
    </row>
    <row r="3350" spans="25:29" x14ac:dyDescent="0.2">
      <c r="Y3350" s="105" t="str">
        <f t="shared" si="86"/>
        <v>1w</v>
      </c>
      <c r="Z3350" s="93">
        <f>_xll.qlCalendarAdvance(Calendar,Z3349,Y3350,"f",FALSE)</f>
        <v>62688</v>
      </c>
      <c r="AA3350" s="117">
        <f>_xll.qlCalendarAdvance(Calendar,Z3350,NDays&amp;"D")</f>
        <v>62690</v>
      </c>
      <c r="AB3350" s="92">
        <v>1.5865494721145335E-2</v>
      </c>
      <c r="AC3350" s="101">
        <v>1.5739243760544142E-2</v>
      </c>
    </row>
    <row r="3351" spans="25:29" x14ac:dyDescent="0.2">
      <c r="Y3351" s="105" t="str">
        <f t="shared" si="86"/>
        <v>1w</v>
      </c>
      <c r="Z3351" s="93">
        <f>_xll.qlCalendarAdvance(Calendar,Z3350,Y3351,"f",FALSE)</f>
        <v>62695</v>
      </c>
      <c r="AA3351" s="117">
        <f>_xll.qlCalendarAdvance(Calendar,Z3351,NDays&amp;"D")</f>
        <v>62697</v>
      </c>
      <c r="AB3351" s="92">
        <v>1.5870099537192515E-2</v>
      </c>
      <c r="AC3351" s="101">
        <v>1.574413250219564E-2</v>
      </c>
    </row>
    <row r="3352" spans="25:29" x14ac:dyDescent="0.2">
      <c r="Y3352" s="105" t="str">
        <f t="shared" si="86"/>
        <v>1w</v>
      </c>
      <c r="Z3352" s="93">
        <f>_xll.qlCalendarAdvance(Calendar,Z3351,Y3352,"f",FALSE)</f>
        <v>62702</v>
      </c>
      <c r="AA3352" s="117">
        <f>_xll.qlCalendarAdvance(Calendar,Z3352,NDays&amp;"D")</f>
        <v>62704</v>
      </c>
      <c r="AB3352" s="92">
        <v>1.5872008454330153E-2</v>
      </c>
      <c r="AC3352" s="101">
        <v>1.5748996939048965E-2</v>
      </c>
    </row>
    <row r="3353" spans="25:29" x14ac:dyDescent="0.2">
      <c r="Y3353" s="105" t="str">
        <f t="shared" si="86"/>
        <v>1w</v>
      </c>
      <c r="Z3353" s="93">
        <f>_xll.qlCalendarAdvance(Calendar,Z3352,Y3353,"f",FALSE)</f>
        <v>62709</v>
      </c>
      <c r="AA3353" s="117">
        <f>_xll.qlCalendarAdvance(Calendar,Z3353,NDays&amp;"D")</f>
        <v>62711</v>
      </c>
      <c r="AB3353" s="92">
        <v>1.5876570482146326E-2</v>
      </c>
      <c r="AC3353" s="101">
        <v>1.5753837071184051E-2</v>
      </c>
    </row>
    <row r="3354" spans="25:29" x14ac:dyDescent="0.2">
      <c r="Y3354" s="105" t="str">
        <f t="shared" si="86"/>
        <v>1w</v>
      </c>
      <c r="Z3354" s="93">
        <f>_xll.qlCalendarAdvance(Calendar,Z3353,Y3354,"f",FALSE)</f>
        <v>62716</v>
      </c>
      <c r="AA3354" s="117">
        <f>_xll.qlCalendarAdvance(Calendar,Z3354,NDays&amp;"D")</f>
        <v>62718</v>
      </c>
      <c r="AB3354" s="92">
        <v>1.5881108021509473E-2</v>
      </c>
      <c r="AC3354" s="101">
        <v>1.5758652898680836E-2</v>
      </c>
    </row>
    <row r="3355" spans="25:29" x14ac:dyDescent="0.2">
      <c r="Y3355" s="105" t="str">
        <f t="shared" si="86"/>
        <v>1w</v>
      </c>
      <c r="Z3355" s="93">
        <f>_xll.qlCalendarAdvance(Calendar,Z3354,Y3355,"f",FALSE)</f>
        <v>62723</v>
      </c>
      <c r="AA3355" s="117">
        <f>_xll.qlCalendarAdvance(Calendar,Z3355,NDays&amp;"D")</f>
        <v>62725</v>
      </c>
      <c r="AB3355" s="92">
        <v>1.588562107225314E-2</v>
      </c>
      <c r="AC3355" s="101">
        <v>1.5763444421299511E-2</v>
      </c>
    </row>
    <row r="3356" spans="25:29" x14ac:dyDescent="0.2">
      <c r="Y3356" s="105" t="str">
        <f t="shared" si="86"/>
        <v>1w</v>
      </c>
      <c r="Z3356" s="93">
        <f>_xll.qlCalendarAdvance(Calendar,Z3355,Y3356,"f",FALSE)</f>
        <v>62730</v>
      </c>
      <c r="AA3356" s="117">
        <f>_xll.qlCalendarAdvance(Calendar,Z3356,NDays&amp;"D")</f>
        <v>62732</v>
      </c>
      <c r="AB3356" s="92">
        <v>1.5890771476693575E-2</v>
      </c>
      <c r="AC3356" s="101">
        <v>1.5768211639199947E-2</v>
      </c>
    </row>
    <row r="3357" spans="25:29" x14ac:dyDescent="0.2">
      <c r="Y3357" s="105" t="str">
        <f t="shared" si="86"/>
        <v>1w</v>
      </c>
      <c r="Z3357" s="93">
        <f>_xll.qlCalendarAdvance(Calendar,Z3356,Y3357,"f",FALSE)</f>
        <v>62737</v>
      </c>
      <c r="AA3357" s="117">
        <f>_xll.qlCalendarAdvance(Calendar,Z3357,NDays&amp;"D")</f>
        <v>62739</v>
      </c>
      <c r="AB3357" s="92">
        <v>1.589787386368537E-2</v>
      </c>
      <c r="AC3357" s="101">
        <v>1.577295455230221E-2</v>
      </c>
    </row>
    <row r="3358" spans="25:29" x14ac:dyDescent="0.2">
      <c r="Y3358" s="105" t="str">
        <f t="shared" si="86"/>
        <v>1w</v>
      </c>
      <c r="Z3358" s="93">
        <f>_xll.qlCalendarAdvance(Calendar,Z3357,Y3358,"f",FALSE)</f>
        <v>62744</v>
      </c>
      <c r="AA3358" s="117">
        <f>_xll.qlCalendarAdvance(Calendar,Z3358,NDays&amp;"D")</f>
        <v>62746</v>
      </c>
      <c r="AB3358" s="92">
        <v>1.5899672026508996E-2</v>
      </c>
      <c r="AC3358" s="101">
        <v>1.5777673160606298E-2</v>
      </c>
    </row>
    <row r="3359" spans="25:29" x14ac:dyDescent="0.2">
      <c r="Y3359" s="105" t="str">
        <f t="shared" si="86"/>
        <v>1w</v>
      </c>
      <c r="Z3359" s="93">
        <f>_xll.qlCalendarAdvance(Calendar,Z3358,Y3359,"f",FALSE)</f>
        <v>62751</v>
      </c>
      <c r="AA3359" s="117">
        <f>_xll.qlCalendarAdvance(Calendar,Z3359,NDays&amp;"D")</f>
        <v>62753</v>
      </c>
      <c r="AB3359" s="92">
        <v>1.5904085566026679E-2</v>
      </c>
      <c r="AC3359" s="101">
        <v>1.5782367464352021E-2</v>
      </c>
    </row>
    <row r="3360" spans="25:29" x14ac:dyDescent="0.2">
      <c r="Y3360" s="105" t="str">
        <f t="shared" si="86"/>
        <v>1w</v>
      </c>
      <c r="Z3360" s="93">
        <f>_xll.qlCalendarAdvance(Calendar,Z3359,Y3360,"f",FALSE)</f>
        <v>62758</v>
      </c>
      <c r="AA3360" s="117">
        <f>_xll.qlCalendarAdvance(Calendar,Z3360,NDays&amp;"D")</f>
        <v>62760</v>
      </c>
      <c r="AB3360" s="92">
        <v>1.5908474615065206E-2</v>
      </c>
      <c r="AC3360" s="101">
        <v>1.5787037463139697E-2</v>
      </c>
    </row>
    <row r="3361" spans="25:29" x14ac:dyDescent="0.2">
      <c r="Y3361" s="105" t="str">
        <f t="shared" si="86"/>
        <v>1w</v>
      </c>
      <c r="Z3361" s="93">
        <f>_xll.qlCalendarAdvance(Calendar,Z3360,Y3361,"f",FALSE)</f>
        <v>62765</v>
      </c>
      <c r="AA3361" s="117">
        <f>_xll.qlCalendarAdvance(Calendar,Z3361,NDays&amp;"D")</f>
        <v>62767</v>
      </c>
      <c r="AB3361" s="92">
        <v>1.5912185106438652E-2</v>
      </c>
      <c r="AC3361" s="101">
        <v>1.5791683157129199E-2</v>
      </c>
    </row>
    <row r="3362" spans="25:29" x14ac:dyDescent="0.2">
      <c r="Y3362" s="105" t="str">
        <f t="shared" si="86"/>
        <v>1w</v>
      </c>
      <c r="Z3362" s="93">
        <f>_xll.qlCalendarAdvance(Calendar,Z3361,Y3362,"f",FALSE)</f>
        <v>62772</v>
      </c>
      <c r="AA3362" s="117">
        <f>_xll.qlCalendarAdvance(Calendar,Z3362,NDays&amp;"D")</f>
        <v>62774</v>
      </c>
      <c r="AB3362" s="92">
        <v>1.5916526732234676E-2</v>
      </c>
      <c r="AC3362" s="101">
        <v>1.5796304546400464E-2</v>
      </c>
    </row>
    <row r="3363" spans="25:29" x14ac:dyDescent="0.2">
      <c r="Y3363" s="105" t="str">
        <f t="shared" si="86"/>
        <v>1w</v>
      </c>
      <c r="Z3363" s="93">
        <f>_xll.qlCalendarAdvance(Calendar,Z3362,Y3363,"f",FALSE)</f>
        <v>62779</v>
      </c>
      <c r="AA3363" s="117">
        <f>_xll.qlCalendarAdvance(Calendar,Z3363,NDays&amp;"D")</f>
        <v>62781</v>
      </c>
      <c r="AB3363" s="92">
        <v>1.5920843868104564E-2</v>
      </c>
      <c r="AC3363" s="101">
        <v>1.5800901631033426E-2</v>
      </c>
    </row>
    <row r="3364" spans="25:29" x14ac:dyDescent="0.2">
      <c r="Y3364" s="105" t="str">
        <f t="shared" si="86"/>
        <v>1w</v>
      </c>
      <c r="Z3364" s="93">
        <f>_xll.qlCalendarAdvance(Calendar,Z3363,Y3364,"f",FALSE)</f>
        <v>62786</v>
      </c>
      <c r="AA3364" s="117">
        <f>_xll.qlCalendarAdvance(Calendar,Z3364,NDays&amp;"D")</f>
        <v>62788</v>
      </c>
      <c r="AB3364" s="92">
        <v>1.5925136513891085E-2</v>
      </c>
      <c r="AC3364" s="101">
        <v>1.5805474410788278E-2</v>
      </c>
    </row>
    <row r="3365" spans="25:29" x14ac:dyDescent="0.2">
      <c r="Y3365" s="105" t="str">
        <f t="shared" si="86"/>
        <v>1w</v>
      </c>
      <c r="Z3365" s="93">
        <f>_xll.qlCalendarAdvance(Calendar,Z3364,Y3365,"f",FALSE)</f>
        <v>62793</v>
      </c>
      <c r="AA3365" s="117">
        <f>_xll.qlCalendarAdvance(Calendar,Z3365,NDays&amp;"D")</f>
        <v>62795</v>
      </c>
      <c r="AB3365" s="92">
        <v>1.5930052497423925E-2</v>
      </c>
      <c r="AC3365" s="101">
        <v>1.5810022885744957E-2</v>
      </c>
    </row>
    <row r="3366" spans="25:29" x14ac:dyDescent="0.2">
      <c r="Y3366" s="105" t="str">
        <f t="shared" si="86"/>
        <v>1w</v>
      </c>
      <c r="Z3366" s="93">
        <f>_xll.qlCalendarAdvance(Calendar,Z3365,Y3366,"f",FALSE)</f>
        <v>62800</v>
      </c>
      <c r="AA3366" s="117">
        <f>_xll.qlCalendarAdvance(Calendar,Z3366,NDays&amp;"D")</f>
        <v>62802</v>
      </c>
      <c r="AB3366" s="92">
        <v>1.5934294600209255E-2</v>
      </c>
      <c r="AC3366" s="101">
        <v>1.5814547056063333E-2</v>
      </c>
    </row>
    <row r="3367" spans="25:29" x14ac:dyDescent="0.2">
      <c r="Y3367" s="105" t="str">
        <f t="shared" si="86"/>
        <v>1w</v>
      </c>
      <c r="Z3367" s="93">
        <f>_xll.qlCalendarAdvance(Calendar,Z3366,Y3367,"f",FALSE)</f>
        <v>62807</v>
      </c>
      <c r="AA3367" s="117">
        <f>_xll.qlCalendarAdvance(Calendar,Z3367,NDays&amp;"D")</f>
        <v>62809</v>
      </c>
      <c r="AB3367" s="92">
        <v>1.5938512211395889E-2</v>
      </c>
      <c r="AC3367" s="101">
        <v>1.5819046921423663E-2</v>
      </c>
    </row>
    <row r="3368" spans="25:29" x14ac:dyDescent="0.2">
      <c r="Y3368" s="105" t="str">
        <f t="shared" si="86"/>
        <v>1w</v>
      </c>
      <c r="Z3368" s="93">
        <f>_xll.qlCalendarAdvance(Calendar,Z3367,Y3368,"f",FALSE)</f>
        <v>62814</v>
      </c>
      <c r="AA3368" s="117">
        <f>_xll.qlCalendarAdvance(Calendar,Z3368,NDays&amp;"D")</f>
        <v>62816</v>
      </c>
      <c r="AB3368" s="92">
        <v>1.5942705330828762E-2</v>
      </c>
      <c r="AC3368" s="101">
        <v>1.5825521481391824E-2</v>
      </c>
    </row>
    <row r="3369" spans="25:29" x14ac:dyDescent="0.2">
      <c r="Y3369" s="105" t="str">
        <f t="shared" si="86"/>
        <v>1w</v>
      </c>
      <c r="Z3369" s="93">
        <f>_xll.qlCalendarAdvance(Calendar,Z3368,Y3369,"f",FALSE)</f>
        <v>62821</v>
      </c>
      <c r="AA3369" s="117">
        <f>_xll.qlCalendarAdvance(Calendar,Z3369,NDays&amp;"D")</f>
        <v>62823</v>
      </c>
      <c r="AB3369" s="92">
        <v>1.5946232386045294E-2</v>
      </c>
      <c r="AC3369" s="101">
        <v>1.5829968115552706E-2</v>
      </c>
    </row>
    <row r="3370" spans="25:29" x14ac:dyDescent="0.2">
      <c r="Y3370" s="105" t="str">
        <f t="shared" si="86"/>
        <v>1w</v>
      </c>
      <c r="Z3370" s="93">
        <f>_xll.qlCalendarAdvance(Calendar,Z3369,Y3370,"f",FALSE)</f>
        <v>62828</v>
      </c>
      <c r="AA3370" s="117">
        <f>_xll.qlCalendarAdvance(Calendar,Z3370,NDays&amp;"D")</f>
        <v>62830</v>
      </c>
      <c r="AB3370" s="92">
        <v>1.595037808803227E-2</v>
      </c>
      <c r="AC3370" s="101">
        <v>1.5832400689115289E-2</v>
      </c>
    </row>
    <row r="3371" spans="25:29" x14ac:dyDescent="0.2">
      <c r="Y3371" s="105" t="str">
        <f t="shared" si="86"/>
        <v>1w</v>
      </c>
      <c r="Z3371" s="93">
        <f>_xll.qlCalendarAdvance(Calendar,Z3370,Y3371,"f",FALSE)</f>
        <v>62835</v>
      </c>
      <c r="AA3371" s="117">
        <f>_xll.qlCalendarAdvance(Calendar,Z3371,NDays&amp;"D")</f>
        <v>62837</v>
      </c>
      <c r="AB3371" s="92">
        <v>1.5954499298847079E-2</v>
      </c>
      <c r="AC3371" s="101">
        <v>1.5836803335522731E-2</v>
      </c>
    </row>
    <row r="3372" spans="25:29" x14ac:dyDescent="0.2">
      <c r="Y3372" s="105" t="str">
        <f t="shared" si="86"/>
        <v>1w</v>
      </c>
      <c r="Z3372" s="93">
        <f>_xll.qlCalendarAdvance(Calendar,Z3371,Y3372,"f",FALSE)</f>
        <v>62842</v>
      </c>
      <c r="AA3372" s="117">
        <f>_xll.qlCalendarAdvance(Calendar,Z3372,NDays&amp;"D")</f>
        <v>62844</v>
      </c>
      <c r="AB3372" s="92">
        <v>1.5958596018336439E-2</v>
      </c>
      <c r="AC3372" s="101">
        <v>1.5841181676972127E-2</v>
      </c>
    </row>
    <row r="3373" spans="25:29" x14ac:dyDescent="0.2">
      <c r="Y3373" s="105" t="str">
        <f t="shared" si="86"/>
        <v>1w</v>
      </c>
      <c r="Z3373" s="93">
        <f>_xll.qlCalendarAdvance(Calendar,Z3372,Y3373,"f",FALSE)</f>
        <v>62849</v>
      </c>
      <c r="AA3373" s="117">
        <f>_xll.qlCalendarAdvance(Calendar,Z3373,NDays&amp;"D")</f>
        <v>62851</v>
      </c>
      <c r="AB3373" s="92">
        <v>1.5962668246350138E-2</v>
      </c>
      <c r="AC3373" s="101">
        <v>1.5845535713863157E-2</v>
      </c>
    </row>
    <row r="3374" spans="25:29" x14ac:dyDescent="0.2">
      <c r="Y3374" s="105" t="str">
        <f t="shared" si="86"/>
        <v>1w</v>
      </c>
      <c r="Z3374" s="93">
        <f>_xll.qlCalendarAdvance(Calendar,Z3373,Y3374,"f",FALSE)</f>
        <v>62856</v>
      </c>
      <c r="AA3374" s="117">
        <f>_xll.qlCalendarAdvance(Calendar,Z3374,NDays&amp;"D")</f>
        <v>62858</v>
      </c>
      <c r="AB3374" s="92">
        <v>1.5966715982737086E-2</v>
      </c>
      <c r="AC3374" s="101">
        <v>1.5849865445796141E-2</v>
      </c>
    </row>
    <row r="3375" spans="25:29" x14ac:dyDescent="0.2">
      <c r="Y3375" s="105" t="str">
        <f t="shared" si="86"/>
        <v>1w</v>
      </c>
      <c r="Z3375" s="93">
        <f>_xll.qlCalendarAdvance(Calendar,Z3374,Y3375,"f",FALSE)</f>
        <v>62863</v>
      </c>
      <c r="AA3375" s="117">
        <f>_xll.qlCalendarAdvance(Calendar,Z3375,NDays&amp;"D")</f>
        <v>62865</v>
      </c>
      <c r="AB3375" s="92">
        <v>1.597073922734971E-2</v>
      </c>
      <c r="AC3375" s="101">
        <v>1.5854170873170759E-2</v>
      </c>
    </row>
    <row r="3376" spans="25:29" x14ac:dyDescent="0.2">
      <c r="Y3376" s="105" t="str">
        <f t="shared" si="86"/>
        <v>1w</v>
      </c>
      <c r="Z3376" s="93">
        <f>_xll.qlCalendarAdvance(Calendar,Z3375,Y3376,"f",FALSE)</f>
        <v>62870</v>
      </c>
      <c r="AA3376" s="117">
        <f>_xll.qlCalendarAdvance(Calendar,Z3376,NDays&amp;"D")</f>
        <v>62872</v>
      </c>
      <c r="AB3376" s="92">
        <v>1.5974737980037804E-2</v>
      </c>
      <c r="AC3376" s="101">
        <v>1.585845199558733E-2</v>
      </c>
    </row>
    <row r="3377" spans="25:29" x14ac:dyDescent="0.2">
      <c r="Y3377" s="105" t="str">
        <f t="shared" si="86"/>
        <v>1w</v>
      </c>
      <c r="Z3377" s="93">
        <f>_xll.qlCalendarAdvance(Calendar,Z3376,Y3377,"f",FALSE)</f>
        <v>62877</v>
      </c>
      <c r="AA3377" s="117">
        <f>_xll.qlCalendarAdvance(Calendar,Z3377,NDays&amp;"D")</f>
        <v>62879</v>
      </c>
      <c r="AB3377" s="92">
        <v>1.5978712240655547E-2</v>
      </c>
      <c r="AC3377" s="101">
        <v>1.5862708813205728E-2</v>
      </c>
    </row>
    <row r="3378" spans="25:29" x14ac:dyDescent="0.2">
      <c r="Y3378" s="105" t="str">
        <f t="shared" si="86"/>
        <v>1w</v>
      </c>
      <c r="Z3378" s="93">
        <f>_xll.qlCalendarAdvance(Calendar,Z3377,Y3378,"f",FALSE)</f>
        <v>62884</v>
      </c>
      <c r="AA3378" s="117">
        <f>_xll.qlCalendarAdvance(Calendar,Z3378,NDays&amp;"D")</f>
        <v>62886</v>
      </c>
      <c r="AB3378" s="92">
        <v>1.5985170960444089E-2</v>
      </c>
      <c r="AC3378" s="101">
        <v>1.5866941326185824E-2</v>
      </c>
    </row>
    <row r="3379" spans="25:29" x14ac:dyDescent="0.2">
      <c r="Y3379" s="105" t="str">
        <f t="shared" si="86"/>
        <v>1w</v>
      </c>
      <c r="Z3379" s="93">
        <f>_xll.qlCalendarAdvance(Calendar,Z3378,Y3379,"f",FALSE)</f>
        <v>62891</v>
      </c>
      <c r="AA3379" s="117">
        <f>_xll.qlCalendarAdvance(Calendar,Z3379,NDays&amp;"D")</f>
        <v>62893</v>
      </c>
      <c r="AB3379" s="92">
        <v>1.5989089931800982E-2</v>
      </c>
      <c r="AC3379" s="101">
        <v>1.5871149534207873E-2</v>
      </c>
    </row>
    <row r="3380" spans="25:29" x14ac:dyDescent="0.2">
      <c r="Y3380" s="105" t="str">
        <f t="shared" si="86"/>
        <v>1w</v>
      </c>
      <c r="Z3380" s="93">
        <f>_xll.qlCalendarAdvance(Calendar,Z3379,Y3380,"f",FALSE)</f>
        <v>62898</v>
      </c>
      <c r="AA3380" s="117">
        <f>_xll.qlCalendarAdvance(Calendar,Z3380,NDays&amp;"D")</f>
        <v>62900</v>
      </c>
      <c r="AB3380" s="92">
        <v>1.5992984406444401E-2</v>
      </c>
      <c r="AC3380" s="101">
        <v>1.5875333437591621E-2</v>
      </c>
    </row>
    <row r="3381" spans="25:29" x14ac:dyDescent="0.2">
      <c r="Y3381" s="105" t="str">
        <f t="shared" si="86"/>
        <v>1w</v>
      </c>
      <c r="Z3381" s="93">
        <f>_xll.qlCalendarAdvance(Calendar,Z3380,Y3381,"f",FALSE)</f>
        <v>62905</v>
      </c>
      <c r="AA3381" s="117">
        <f>_xll.qlCalendarAdvance(Calendar,Z3381,NDays&amp;"D")</f>
        <v>62907</v>
      </c>
      <c r="AB3381" s="92">
        <v>1.5996854384226936E-2</v>
      </c>
      <c r="AC3381" s="101">
        <v>1.5879493036097259E-2</v>
      </c>
    </row>
    <row r="3382" spans="25:29" x14ac:dyDescent="0.2">
      <c r="Y3382" s="105" t="str">
        <f t="shared" si="86"/>
        <v>1w</v>
      </c>
      <c r="Z3382" s="93">
        <f>_xll.qlCalendarAdvance(Calendar,Z3381,Y3382,"f",FALSE)</f>
        <v>62912</v>
      </c>
      <c r="AA3382" s="117">
        <f>_xll.qlCalendarAdvance(Calendar,Z3382,NDays&amp;"D")</f>
        <v>62914</v>
      </c>
      <c r="AB3382" s="92">
        <v>1.5998837283327752E-2</v>
      </c>
      <c r="AC3382" s="101">
        <v>1.5883628329964594E-2</v>
      </c>
    </row>
    <row r="3383" spans="25:29" x14ac:dyDescent="0.2">
      <c r="Y3383" s="105" t="str">
        <f t="shared" si="86"/>
        <v>1w</v>
      </c>
      <c r="Z3383" s="93">
        <f>_xll.qlCalendarAdvance(Calendar,Z3382,Y3383,"f",FALSE)</f>
        <v>62919</v>
      </c>
      <c r="AA3383" s="117">
        <f>_xll.qlCalendarAdvance(Calendar,Z3383,NDays&amp;"D")</f>
        <v>62921</v>
      </c>
      <c r="AB3383" s="92">
        <v>1.6002663008307844E-2</v>
      </c>
      <c r="AC3383" s="101">
        <v>1.5890311530149859E-2</v>
      </c>
    </row>
    <row r="3384" spans="25:29" x14ac:dyDescent="0.2">
      <c r="Y3384" s="105" t="str">
        <f t="shared" si="86"/>
        <v>1w</v>
      </c>
      <c r="Z3384" s="93">
        <f>_xll.qlCalendarAdvance(Calendar,Z3383,Y3384,"f",FALSE)</f>
        <v>62926</v>
      </c>
      <c r="AA3384" s="117">
        <f>_xll.qlCalendarAdvance(Calendar,Z3384,NDays&amp;"D")</f>
        <v>62928</v>
      </c>
      <c r="AB3384" s="92">
        <v>1.6006464239157494E-2</v>
      </c>
      <c r="AC3384" s="101">
        <v>1.5891826003064935E-2</v>
      </c>
    </row>
    <row r="3385" spans="25:29" x14ac:dyDescent="0.2">
      <c r="Y3385" s="105" t="str">
        <f t="shared" si="86"/>
        <v>1w</v>
      </c>
      <c r="Z3385" s="93">
        <f>_xll.qlCalendarAdvance(Calendar,Z3384,Y3385,"f",FALSE)</f>
        <v>62933</v>
      </c>
      <c r="AA3385" s="117">
        <f>_xll.qlCalendarAdvance(Calendar,Z3385,NDays&amp;"D")</f>
        <v>62935</v>
      </c>
      <c r="AB3385" s="92">
        <v>1.6010240975734304E-2</v>
      </c>
      <c r="AC3385" s="101">
        <v>1.5895888382457812E-2</v>
      </c>
    </row>
    <row r="3386" spans="25:29" x14ac:dyDescent="0.2">
      <c r="Y3386" s="105" t="str">
        <f t="shared" si="86"/>
        <v>1w</v>
      </c>
      <c r="Z3386" s="93">
        <f>_xll.qlCalendarAdvance(Calendar,Z3385,Y3386,"f",FALSE)</f>
        <v>62940</v>
      </c>
      <c r="AA3386" s="117">
        <f>_xll.qlCalendarAdvance(Calendar,Z3386,NDays&amp;"D")</f>
        <v>62942</v>
      </c>
      <c r="AB3386" s="92">
        <v>1.6013993217898495E-2</v>
      </c>
      <c r="AC3386" s="101">
        <v>1.5899926457052516E-2</v>
      </c>
    </row>
    <row r="3387" spans="25:29" x14ac:dyDescent="0.2">
      <c r="Y3387" s="105" t="str">
        <f t="shared" si="86"/>
        <v>1w</v>
      </c>
      <c r="Z3387" s="93">
        <f>_xll.qlCalendarAdvance(Calendar,Z3386,Y3387,"f",FALSE)</f>
        <v>62947</v>
      </c>
      <c r="AA3387" s="117">
        <f>_xll.qlCalendarAdvance(Calendar,Z3387,NDays&amp;"D")</f>
        <v>62949</v>
      </c>
      <c r="AB3387" s="92">
        <v>1.601955980874898E-2</v>
      </c>
      <c r="AC3387" s="101">
        <v>1.5903940226928981E-2</v>
      </c>
    </row>
    <row r="3388" spans="25:29" x14ac:dyDescent="0.2">
      <c r="Y3388" s="105" t="str">
        <f t="shared" si="86"/>
        <v>1w</v>
      </c>
      <c r="Z3388" s="93">
        <f>_xll.qlCalendarAdvance(Calendar,Z3387,Y3388,"f",FALSE)</f>
        <v>62954</v>
      </c>
      <c r="AA3388" s="117">
        <f>_xll.qlCalendarAdvance(Calendar,Z3388,NDays&amp;"D")</f>
        <v>62956</v>
      </c>
      <c r="AB3388" s="92">
        <v>1.6023258304476724E-2</v>
      </c>
      <c r="AC3388" s="101">
        <v>1.5907929691927336E-2</v>
      </c>
    </row>
    <row r="3389" spans="25:29" x14ac:dyDescent="0.2">
      <c r="Y3389" s="105" t="str">
        <f t="shared" si="86"/>
        <v>1w</v>
      </c>
      <c r="Z3389" s="93">
        <f>_xll.qlCalendarAdvance(Calendar,Z3388,Y3389,"f",FALSE)</f>
        <v>62961</v>
      </c>
      <c r="AA3389" s="117">
        <f>_xll.qlCalendarAdvance(Calendar,Z3389,NDays&amp;"D")</f>
        <v>62963</v>
      </c>
      <c r="AB3389" s="92">
        <v>1.6026932302203419E-2</v>
      </c>
      <c r="AC3389" s="101">
        <v>1.5911894852207453E-2</v>
      </c>
    </row>
    <row r="3390" spans="25:29" x14ac:dyDescent="0.2">
      <c r="Y3390" s="105" t="str">
        <f t="shared" si="86"/>
        <v>1w</v>
      </c>
      <c r="Z3390" s="93">
        <f>_xll.qlCalendarAdvance(Calendar,Z3389,Y3390,"f",FALSE)</f>
        <v>62968</v>
      </c>
      <c r="AA3390" s="117">
        <f>_xll.qlCalendarAdvance(Calendar,Z3390,NDays&amp;"D")</f>
        <v>62970</v>
      </c>
      <c r="AB3390" s="92">
        <v>1.6030581801790681E-2</v>
      </c>
      <c r="AC3390" s="101">
        <v>1.5915835707529524E-2</v>
      </c>
    </row>
    <row r="3391" spans="25:29" x14ac:dyDescent="0.2">
      <c r="Y3391" s="105" t="str">
        <f t="shared" si="86"/>
        <v>1w</v>
      </c>
      <c r="Z3391" s="93">
        <f>_xll.qlCalendarAdvance(Calendar,Z3390,Y3391,"f",FALSE)</f>
        <v>62975</v>
      </c>
      <c r="AA3391" s="117">
        <f>_xll.qlCalendarAdvance(Calendar,Z3391,NDays&amp;"D")</f>
        <v>62977</v>
      </c>
      <c r="AB3391" s="92">
        <v>1.6032387007699073E-2</v>
      </c>
      <c r="AC3391" s="101">
        <v>1.5919752258293229E-2</v>
      </c>
    </row>
    <row r="3392" spans="25:29" x14ac:dyDescent="0.2">
      <c r="Y3392" s="105" t="str">
        <f t="shared" si="86"/>
        <v>1w</v>
      </c>
      <c r="Z3392" s="93">
        <f>_xll.qlCalendarAdvance(Calendar,Z3391,Y3392,"f",FALSE)</f>
        <v>62982</v>
      </c>
      <c r="AA3392" s="117">
        <f>_xll.qlCalendarAdvance(Calendar,Z3392,NDays&amp;"D")</f>
        <v>62984</v>
      </c>
      <c r="AB3392" s="92">
        <v>1.6035992280500243E-2</v>
      </c>
      <c r="AC3392" s="101">
        <v>1.5923644504098888E-2</v>
      </c>
    </row>
    <row r="3393" spans="25:29" x14ac:dyDescent="0.2">
      <c r="Y3393" s="105" t="str">
        <f t="shared" si="86"/>
        <v>1w</v>
      </c>
      <c r="Z3393" s="93">
        <f>_xll.qlCalendarAdvance(Calendar,Z3392,Y3393,"f",FALSE)</f>
        <v>62989</v>
      </c>
      <c r="AA3393" s="117">
        <f>_xll.qlCalendarAdvance(Calendar,Z3393,NDays&amp;"D")</f>
        <v>62991</v>
      </c>
      <c r="AB3393" s="92">
        <v>1.6039573057935245E-2</v>
      </c>
      <c r="AC3393" s="101">
        <v>1.5927512445266245E-2</v>
      </c>
    </row>
    <row r="3394" spans="25:29" x14ac:dyDescent="0.2">
      <c r="Y3394" s="105" t="str">
        <f t="shared" si="86"/>
        <v>1w</v>
      </c>
      <c r="Z3394" s="93">
        <f>_xll.qlCalendarAdvance(Calendar,Z3393,Y3394,"f",FALSE)</f>
        <v>62996</v>
      </c>
      <c r="AA3394" s="117">
        <f>_xll.qlCalendarAdvance(Calendar,Z3394,NDays&amp;"D")</f>
        <v>62998</v>
      </c>
      <c r="AB3394" s="92">
        <v>1.6043129339870409E-2</v>
      </c>
      <c r="AC3394" s="101">
        <v>1.593135608139562E-2</v>
      </c>
    </row>
    <row r="3395" spans="25:29" x14ac:dyDescent="0.2">
      <c r="Y3395" s="105" t="str">
        <f t="shared" si="86"/>
        <v>1w</v>
      </c>
      <c r="Z3395" s="93">
        <f>_xll.qlCalendarAdvance(Calendar,Z3394,Y3395,"f",FALSE)</f>
        <v>63003</v>
      </c>
      <c r="AA3395" s="117">
        <f>_xll.qlCalendarAdvance(Calendar,Z3395,NDays&amp;"D")</f>
        <v>63005</v>
      </c>
      <c r="AB3395" s="92">
        <v>1.6046661126174696E-2</v>
      </c>
      <c r="AC3395" s="101">
        <v>1.5935175412966629E-2</v>
      </c>
    </row>
    <row r="3396" spans="25:29" x14ac:dyDescent="0.2">
      <c r="Y3396" s="105" t="str">
        <f t="shared" si="86"/>
        <v>1w</v>
      </c>
      <c r="Z3396" s="93">
        <f>_xll.qlCalendarAdvance(Calendar,Z3395,Y3396,"f",FALSE)</f>
        <v>63010</v>
      </c>
      <c r="AA3396" s="117">
        <f>_xll.qlCalendarAdvance(Calendar,Z3396,NDays&amp;"D")</f>
        <v>63012</v>
      </c>
      <c r="AB3396" s="92">
        <v>1.605196433075318E-2</v>
      </c>
      <c r="AC3396" s="101">
        <v>1.5938970439659528E-2</v>
      </c>
    </row>
    <row r="3397" spans="25:29" x14ac:dyDescent="0.2">
      <c r="Y3397" s="105" t="str">
        <f t="shared" si="86"/>
        <v>1w</v>
      </c>
      <c r="Z3397" s="93">
        <f>_xll.qlCalendarAdvance(Calendar,Z3396,Y3397,"f",FALSE)</f>
        <v>63017</v>
      </c>
      <c r="AA3397" s="117">
        <f>_xll.qlCalendarAdvance(Calendar,Z3397,NDays&amp;"D")</f>
        <v>63019</v>
      </c>
      <c r="AB3397" s="92">
        <v>1.6055442339566604E-2</v>
      </c>
      <c r="AC3397" s="101">
        <v>1.5942741161554252E-2</v>
      </c>
    </row>
    <row r="3398" spans="25:29" x14ac:dyDescent="0.2">
      <c r="Y3398" s="105" t="str">
        <f t="shared" si="86"/>
        <v>1w</v>
      </c>
      <c r="Z3398" s="93">
        <f>_xll.qlCalendarAdvance(Calendar,Z3397,Y3398,"f",FALSE)</f>
        <v>63024</v>
      </c>
      <c r="AA3398" s="117">
        <f>_xll.qlCalendarAdvance(Calendar,Z3398,NDays&amp;"D")</f>
        <v>63026</v>
      </c>
      <c r="AB3398" s="92">
        <v>1.6058895849167046E-2</v>
      </c>
      <c r="AC3398" s="101">
        <v>1.5946487578570867E-2</v>
      </c>
    </row>
    <row r="3399" spans="25:29" x14ac:dyDescent="0.2">
      <c r="Y3399" s="105" t="str">
        <f t="shared" si="86"/>
        <v>1w</v>
      </c>
      <c r="Z3399" s="93">
        <f>_xll.qlCalendarAdvance(Calendar,Z3398,Y3399,"f",FALSE)</f>
        <v>63031</v>
      </c>
      <c r="AA3399" s="117">
        <f>_xll.qlCalendarAdvance(Calendar,Z3399,NDays&amp;"D")</f>
        <v>63033</v>
      </c>
      <c r="AB3399" s="92">
        <v>1.6062324859424292E-2</v>
      </c>
      <c r="AC3399" s="101">
        <v>1.5950209690869244E-2</v>
      </c>
    </row>
    <row r="3400" spans="25:29" x14ac:dyDescent="0.2">
      <c r="Y3400" s="105" t="str">
        <f t="shared" si="86"/>
        <v>1w</v>
      </c>
      <c r="Z3400" s="93">
        <f>_xll.qlCalendarAdvance(Calendar,Z3399,Y3400,"f",FALSE)</f>
        <v>63038</v>
      </c>
      <c r="AA3400" s="117">
        <f>_xll.qlCalendarAdvance(Calendar,Z3400,NDays&amp;"D")</f>
        <v>63040</v>
      </c>
      <c r="AB3400" s="92">
        <v>1.6065729370208545E-2</v>
      </c>
      <c r="AC3400" s="101">
        <v>1.5953907498369446E-2</v>
      </c>
    </row>
    <row r="3401" spans="25:29" x14ac:dyDescent="0.2">
      <c r="Y3401" s="105" t="str">
        <f t="shared" si="86"/>
        <v>1w</v>
      </c>
      <c r="Z3401" s="93">
        <f>_xll.qlCalendarAdvance(Calendar,Z3400,Y3401,"f",FALSE)</f>
        <v>63045</v>
      </c>
      <c r="AA3401" s="117">
        <f>_xll.qlCalendarAdvance(Calendar,Z3401,NDays&amp;"D")</f>
        <v>63047</v>
      </c>
      <c r="AB3401" s="92">
        <v>1.6069109381392176E-2</v>
      </c>
      <c r="AC3401" s="101">
        <v>1.5957581000991539E-2</v>
      </c>
    </row>
    <row r="3402" spans="25:29" x14ac:dyDescent="0.2">
      <c r="Y3402" s="105" t="str">
        <f t="shared" si="86"/>
        <v>1w</v>
      </c>
      <c r="Z3402" s="93">
        <f>_xll.qlCalendarAdvance(Calendar,Z3401,Y3402,"f",FALSE)</f>
        <v>63052</v>
      </c>
      <c r="AA3402" s="117">
        <f>_xll.qlCalendarAdvance(Calendar,Z3402,NDays&amp;"D")</f>
        <v>63054</v>
      </c>
      <c r="AB3402" s="92">
        <v>1.6072464892847967E-2</v>
      </c>
      <c r="AC3402" s="101">
        <v>1.5961230198895393E-2</v>
      </c>
    </row>
    <row r="3403" spans="25:29" x14ac:dyDescent="0.2">
      <c r="Y3403" s="105" t="str">
        <f t="shared" si="86"/>
        <v>1w</v>
      </c>
      <c r="Z3403" s="93">
        <f>_xll.qlCalendarAdvance(Calendar,Z3402,Y3403,"f",FALSE)</f>
        <v>63059</v>
      </c>
      <c r="AA3403" s="117">
        <f>_xll.qlCalendarAdvance(Calendar,Z3403,NDays&amp;"D")</f>
        <v>63061</v>
      </c>
      <c r="AB3403" s="92">
        <v>1.6075795904449137E-2</v>
      </c>
      <c r="AC3403" s="101">
        <v>1.5964855092001073E-2</v>
      </c>
    </row>
    <row r="3404" spans="25:29" x14ac:dyDescent="0.2">
      <c r="Y3404" s="105" t="str">
        <f t="shared" si="86"/>
        <v>1w</v>
      </c>
      <c r="Z3404" s="93">
        <f>_xll.qlCalendarAdvance(Calendar,Z3403,Y3404,"f",FALSE)</f>
        <v>63066</v>
      </c>
      <c r="AA3404" s="117">
        <f>_xll.qlCalendarAdvance(Calendar,Z3404,NDays&amp;"D")</f>
        <v>63068</v>
      </c>
      <c r="AB3404" s="92">
        <v>1.6076172507517191E-2</v>
      </c>
      <c r="AC3404" s="101">
        <v>1.5968455680228644E-2</v>
      </c>
    </row>
    <row r="3405" spans="25:29" x14ac:dyDescent="0.2">
      <c r="Y3405" s="105" t="str">
        <f t="shared" si="86"/>
        <v>1w</v>
      </c>
      <c r="Z3405" s="93">
        <f>_xll.qlCalendarAdvance(Calendar,Z3404,Y3405,"f",FALSE)</f>
        <v>63073</v>
      </c>
      <c r="AA3405" s="117">
        <f>_xll.qlCalendarAdvance(Calendar,Z3405,NDays&amp;"D")</f>
        <v>63075</v>
      </c>
      <c r="AB3405" s="92">
        <v>1.6079462537348967E-2</v>
      </c>
      <c r="AC3405" s="101">
        <v>1.5972031963737976E-2</v>
      </c>
    </row>
    <row r="3406" spans="25:29" x14ac:dyDescent="0.2">
      <c r="Y3406" s="105" t="str">
        <f t="shared" si="86"/>
        <v>1w</v>
      </c>
      <c r="Z3406" s="93">
        <f>_xll.qlCalendarAdvance(Calendar,Z3405,Y3406,"f",FALSE)</f>
        <v>63080</v>
      </c>
      <c r="AA3406" s="117">
        <f>_xll.qlCalendarAdvance(Calendar,Z3406,NDays&amp;"D")</f>
        <v>63082</v>
      </c>
      <c r="AB3406" s="92">
        <v>1.6082728072295948E-2</v>
      </c>
      <c r="AC3406" s="101">
        <v>1.5975583942449134E-2</v>
      </c>
    </row>
    <row r="3407" spans="25:29" x14ac:dyDescent="0.2">
      <c r="Y3407" s="105" t="str">
        <f t="shared" si="86"/>
        <v>1w</v>
      </c>
      <c r="Z3407" s="93">
        <f>_xll.qlCalendarAdvance(Calendar,Z3406,Y3407,"f",FALSE)</f>
        <v>63087</v>
      </c>
      <c r="AA3407" s="117">
        <f>_xll.qlCalendarAdvance(Calendar,Z3407,NDays&amp;"D")</f>
        <v>63089</v>
      </c>
      <c r="AB3407" s="92">
        <v>1.6085969112240216E-2</v>
      </c>
      <c r="AC3407" s="101">
        <v>1.5979111616282182E-2</v>
      </c>
    </row>
    <row r="3408" spans="25:29" x14ac:dyDescent="0.2">
      <c r="Y3408" s="105" t="str">
        <f t="shared" si="86"/>
        <v>1w</v>
      </c>
      <c r="Z3408" s="93">
        <f>_xll.qlCalendarAdvance(Calendar,Z3407,Y3408,"f",FALSE)</f>
        <v>63094</v>
      </c>
      <c r="AA3408" s="117">
        <f>_xll.qlCalendarAdvance(Calendar,Z3408,NDays&amp;"D")</f>
        <v>63096</v>
      </c>
      <c r="AB3408" s="92">
        <v>1.6089185657061651E-2</v>
      </c>
      <c r="AC3408" s="101">
        <v>1.5982614985317056E-2</v>
      </c>
    </row>
    <row r="3409" spans="25:29" x14ac:dyDescent="0.2">
      <c r="Y3409" s="105" t="str">
        <f t="shared" si="86"/>
        <v>1w</v>
      </c>
      <c r="Z3409" s="93">
        <f>_xll.qlCalendarAdvance(Calendar,Z3408,Y3409,"f",FALSE)</f>
        <v>63101</v>
      </c>
      <c r="AA3409" s="117">
        <f>_xll.qlCalendarAdvance(Calendar,Z3409,NDays&amp;"D")</f>
        <v>63103</v>
      </c>
      <c r="AB3409" s="92">
        <v>1.6092955932303015E-2</v>
      </c>
      <c r="AC3409" s="101">
        <v>1.5986094049553756E-2</v>
      </c>
    </row>
    <row r="3410" spans="25:29" x14ac:dyDescent="0.2">
      <c r="Y3410" s="105" t="str">
        <f t="shared" si="86"/>
        <v>1w</v>
      </c>
      <c r="Z3410" s="93">
        <f>_xll.qlCalendarAdvance(Calendar,Z3409,Y3410,"f",FALSE)</f>
        <v>63108</v>
      </c>
      <c r="AA3410" s="117">
        <f>_xll.qlCalendarAdvance(Calendar,Z3410,NDays&amp;"D")</f>
        <v>63110</v>
      </c>
      <c r="AB3410" s="92">
        <v>1.6096121877807016E-2</v>
      </c>
      <c r="AC3410" s="101">
        <v>1.5989548809072218E-2</v>
      </c>
    </row>
    <row r="3411" spans="25:29" x14ac:dyDescent="0.2">
      <c r="Y3411" s="105" t="str">
        <f t="shared" si="86"/>
        <v>1w</v>
      </c>
      <c r="Z3411" s="93">
        <f>_xll.qlCalendarAdvance(Calendar,Z3410,Y3411,"f",FALSE)</f>
        <v>63115</v>
      </c>
      <c r="AA3411" s="117">
        <f>_xll.qlCalendarAdvance(Calendar,Z3411,NDays&amp;"D")</f>
        <v>63117</v>
      </c>
      <c r="AB3411" s="92">
        <v>1.6099263326766443E-2</v>
      </c>
      <c r="AC3411" s="101">
        <v>1.5992979263792506E-2</v>
      </c>
    </row>
    <row r="3412" spans="25:29" x14ac:dyDescent="0.2">
      <c r="Y3412" s="105" t="str">
        <f t="shared" si="86"/>
        <v>1w</v>
      </c>
      <c r="Z3412" s="93">
        <f>_xll.qlCalendarAdvance(Calendar,Z3411,Y3412,"f",FALSE)</f>
        <v>63122</v>
      </c>
      <c r="AA3412" s="117">
        <f>_xll.qlCalendarAdvance(Calendar,Z3412,NDays&amp;"D")</f>
        <v>63124</v>
      </c>
      <c r="AB3412" s="92">
        <v>1.6102380279064906E-2</v>
      </c>
      <c r="AC3412" s="101">
        <v>1.5996385413554748E-2</v>
      </c>
    </row>
    <row r="3413" spans="25:29" x14ac:dyDescent="0.2">
      <c r="Y3413" s="105" t="str">
        <f t="shared" ref="Y3413:Y3476" si="87">Y3412</f>
        <v>1w</v>
      </c>
      <c r="Z3413" s="93">
        <f>_xll.qlCalendarAdvance(Calendar,Z3412,Y3413,"f",FALSE)</f>
        <v>63129</v>
      </c>
      <c r="AA3413" s="117">
        <f>_xll.qlCalendarAdvance(Calendar,Z3413,NDays&amp;"D")</f>
        <v>63131</v>
      </c>
      <c r="AB3413" s="92">
        <v>1.6104900950241582E-2</v>
      </c>
      <c r="AC3413" s="101">
        <v>1.5999767258598752E-2</v>
      </c>
    </row>
    <row r="3414" spans="25:29" x14ac:dyDescent="0.2">
      <c r="Y3414" s="105" t="str">
        <f t="shared" si="87"/>
        <v>1w</v>
      </c>
      <c r="Z3414" s="93">
        <f>_xll.qlCalendarAdvance(Calendar,Z3413,Y3414,"f",FALSE)</f>
        <v>63136</v>
      </c>
      <c r="AA3414" s="117">
        <f>_xll.qlCalendarAdvance(Calendar,Z3414,NDays&amp;"D")</f>
        <v>63138</v>
      </c>
      <c r="AB3414" s="92">
        <v>1.610797052188552E-2</v>
      </c>
      <c r="AC3414" s="101">
        <v>1.6003124798764645E-2</v>
      </c>
    </row>
    <row r="3415" spans="25:29" x14ac:dyDescent="0.2">
      <c r="Y3415" s="105" t="str">
        <f t="shared" si="87"/>
        <v>1w</v>
      </c>
      <c r="Z3415" s="93">
        <f>_xll.qlCalendarAdvance(Calendar,Z3414,Y3415,"f",FALSE)</f>
        <v>63143</v>
      </c>
      <c r="AA3415" s="117">
        <f>_xll.qlCalendarAdvance(Calendar,Z3415,NDays&amp;"D")</f>
        <v>63145</v>
      </c>
      <c r="AB3415" s="92">
        <v>1.6111015597600194E-2</v>
      </c>
      <c r="AC3415" s="101">
        <v>1.6006458034212301E-2</v>
      </c>
    </row>
    <row r="3416" spans="25:29" x14ac:dyDescent="0.2">
      <c r="Y3416" s="105" t="str">
        <f t="shared" si="87"/>
        <v>1w</v>
      </c>
      <c r="Z3416" s="93">
        <f>_xll.qlCalendarAdvance(Calendar,Z3415,Y3416,"f",FALSE)</f>
        <v>63150</v>
      </c>
      <c r="AA3416" s="117">
        <f>_xll.qlCalendarAdvance(Calendar,Z3416,NDays&amp;"D")</f>
        <v>63152</v>
      </c>
      <c r="AB3416" s="92">
        <v>1.611403617727564E-2</v>
      </c>
      <c r="AC3416" s="101">
        <v>1.6009766964781846E-2</v>
      </c>
    </row>
    <row r="3417" spans="25:29" x14ac:dyDescent="0.2">
      <c r="Y3417" s="105" t="str">
        <f t="shared" si="87"/>
        <v>1w</v>
      </c>
      <c r="Z3417" s="93">
        <f>_xll.qlCalendarAdvance(Calendar,Z3416,Y3417,"f",FALSE)</f>
        <v>63157</v>
      </c>
      <c r="AA3417" s="117">
        <f>_xll.qlCalendarAdvance(Calendar,Z3417,NDays&amp;"D")</f>
        <v>63159</v>
      </c>
      <c r="AB3417" s="92">
        <v>1.6117597586658702E-2</v>
      </c>
      <c r="AC3417" s="101">
        <v>1.6013051590633154E-2</v>
      </c>
    </row>
    <row r="3418" spans="25:29" x14ac:dyDescent="0.2">
      <c r="Y3418" s="105" t="str">
        <f t="shared" si="87"/>
        <v>1w</v>
      </c>
      <c r="Z3418" s="93">
        <f>_xll.qlCalendarAdvance(Calendar,Z3417,Y3418,"f",FALSE)</f>
        <v>63164</v>
      </c>
      <c r="AA3418" s="117">
        <f>_xll.qlCalendarAdvance(Calendar,Z3418,NDays&amp;"D")</f>
        <v>63166</v>
      </c>
      <c r="AB3418" s="92">
        <v>1.6120567556612189E-2</v>
      </c>
      <c r="AC3418" s="101">
        <v>1.6016311911526415E-2</v>
      </c>
    </row>
    <row r="3419" spans="25:29" x14ac:dyDescent="0.2">
      <c r="Y3419" s="105" t="str">
        <f t="shared" si="87"/>
        <v>1w</v>
      </c>
      <c r="Z3419" s="93">
        <f>_xll.qlCalendarAdvance(Calendar,Z3418,Y3419,"f",FALSE)</f>
        <v>63171</v>
      </c>
      <c r="AA3419" s="117">
        <f>_xll.qlCalendarAdvance(Calendar,Z3419,NDays&amp;"D")</f>
        <v>63173</v>
      </c>
      <c r="AB3419" s="92">
        <v>1.6123513029119844E-2</v>
      </c>
      <c r="AC3419" s="101">
        <v>1.6019547927701439E-2</v>
      </c>
    </row>
    <row r="3420" spans="25:29" x14ac:dyDescent="0.2">
      <c r="Y3420" s="105" t="str">
        <f t="shared" si="87"/>
        <v>1w</v>
      </c>
      <c r="Z3420" s="93">
        <f>_xll.qlCalendarAdvance(Calendar,Z3419,Y3420,"f",FALSE)</f>
        <v>63178</v>
      </c>
      <c r="AA3420" s="117">
        <f>_xll.qlCalendarAdvance(Calendar,Z3420,NDays&amp;"D")</f>
        <v>63180</v>
      </c>
      <c r="AB3420" s="92">
        <v>1.6126434004073625E-2</v>
      </c>
      <c r="AC3420" s="101">
        <v>1.6022759639078288E-2</v>
      </c>
    </row>
    <row r="3421" spans="25:29" x14ac:dyDescent="0.2">
      <c r="Y3421" s="105" t="str">
        <f t="shared" si="87"/>
        <v>1w</v>
      </c>
      <c r="Z3421" s="93">
        <f>_xll.qlCalendarAdvance(Calendar,Z3420,Y3421,"f",FALSE)</f>
        <v>63185</v>
      </c>
      <c r="AA3421" s="117">
        <f>_xll.qlCalendarAdvance(Calendar,Z3421,NDays&amp;"D")</f>
        <v>63187</v>
      </c>
      <c r="AB3421" s="92">
        <v>1.6129330481365049E-2</v>
      </c>
      <c r="AC3421" s="101">
        <v>1.6025947045656963E-2</v>
      </c>
    </row>
    <row r="3422" spans="25:29" x14ac:dyDescent="0.2">
      <c r="Y3422" s="105" t="str">
        <f t="shared" si="87"/>
        <v>1w</v>
      </c>
      <c r="Z3422" s="93">
        <f>_xll.qlCalendarAdvance(Calendar,Z3421,Y3422,"f",FALSE)</f>
        <v>63192</v>
      </c>
      <c r="AA3422" s="117">
        <f>_xll.qlCalendarAdvance(Calendar,Z3422,NDays&amp;"D")</f>
        <v>63194</v>
      </c>
      <c r="AB3422" s="92">
        <v>1.6131645232339679E-2</v>
      </c>
      <c r="AC3422" s="101">
        <v>1.6029110147277592E-2</v>
      </c>
    </row>
    <row r="3423" spans="25:29" x14ac:dyDescent="0.2">
      <c r="Y3423" s="105" t="str">
        <f t="shared" si="87"/>
        <v>1w</v>
      </c>
      <c r="Z3423" s="93">
        <f>_xll.qlCalendarAdvance(Calendar,Z3422,Y3423,"f",FALSE)</f>
        <v>63199</v>
      </c>
      <c r="AA3423" s="117">
        <f>_xll.qlCalendarAdvance(Calendar,Z3423,NDays&amp;"D")</f>
        <v>63201</v>
      </c>
      <c r="AB3423" s="92">
        <v>1.6134494336682185E-2</v>
      </c>
      <c r="AC3423" s="101">
        <v>1.6032248944179983E-2</v>
      </c>
    </row>
    <row r="3424" spans="25:29" x14ac:dyDescent="0.2">
      <c r="Y3424" s="105" t="str">
        <f t="shared" si="87"/>
        <v>1w</v>
      </c>
      <c r="Z3424" s="93">
        <f>_xll.qlCalendarAdvance(Calendar,Z3423,Y3424,"f",FALSE)</f>
        <v>63206</v>
      </c>
      <c r="AA3424" s="117">
        <f>_xll.qlCalendarAdvance(Calendar,Z3424,NDays&amp;"D")</f>
        <v>63208</v>
      </c>
      <c r="AB3424" s="92">
        <v>1.6137318944123829E-2</v>
      </c>
      <c r="AC3424" s="101">
        <v>1.60353634362842E-2</v>
      </c>
    </row>
    <row r="3425" spans="25:29" x14ac:dyDescent="0.2">
      <c r="Y3425" s="105" t="str">
        <f t="shared" si="87"/>
        <v>1w</v>
      </c>
      <c r="Z3425" s="93">
        <f>_xll.qlCalendarAdvance(Calendar,Z3424,Y3425,"f",FALSE)</f>
        <v>63213</v>
      </c>
      <c r="AA3425" s="117">
        <f>_xll.qlCalendarAdvance(Calendar,Z3425,NDays&amp;"D")</f>
        <v>63215</v>
      </c>
      <c r="AB3425" s="92">
        <v>1.6140119054560826E-2</v>
      </c>
      <c r="AC3425" s="101">
        <v>1.6038453623510307E-2</v>
      </c>
    </row>
    <row r="3426" spans="25:29" x14ac:dyDescent="0.2">
      <c r="Y3426" s="105" t="str">
        <f t="shared" si="87"/>
        <v>1w</v>
      </c>
      <c r="Z3426" s="93">
        <f>_xll.qlCalendarAdvance(Calendar,Z3425,Y3426,"f",FALSE)</f>
        <v>63220</v>
      </c>
      <c r="AA3426" s="117">
        <f>_xll.qlCalendarAdvance(Calendar,Z3426,NDays&amp;"D")</f>
        <v>63222</v>
      </c>
      <c r="AB3426" s="92">
        <v>1.614289466789072E-2</v>
      </c>
      <c r="AC3426" s="101">
        <v>1.6041519506018176E-2</v>
      </c>
    </row>
    <row r="3427" spans="25:29" x14ac:dyDescent="0.2">
      <c r="Y3427" s="105" t="str">
        <f t="shared" si="87"/>
        <v>1w</v>
      </c>
      <c r="Z3427" s="93">
        <f>_xll.qlCalendarAdvance(Calendar,Z3426,Y3427,"f",FALSE)</f>
        <v>63227</v>
      </c>
      <c r="AA3427" s="117">
        <f>_xll.qlCalendarAdvance(Calendar,Z3427,NDays&amp;"D")</f>
        <v>63229</v>
      </c>
      <c r="AB3427" s="92">
        <v>1.6145645784011932E-2</v>
      </c>
      <c r="AC3427" s="101">
        <v>1.6044561083647935E-2</v>
      </c>
    </row>
    <row r="3428" spans="25:29" x14ac:dyDescent="0.2">
      <c r="Y3428" s="105" t="str">
        <f t="shared" si="87"/>
        <v>1w</v>
      </c>
      <c r="Z3428" s="93">
        <f>_xll.qlCalendarAdvance(Calendar,Z3427,Y3428,"f",FALSE)</f>
        <v>63234</v>
      </c>
      <c r="AA3428" s="117">
        <f>_xll.qlCalendarAdvance(Calendar,Z3428,NDays&amp;"D")</f>
        <v>63236</v>
      </c>
      <c r="AB3428" s="92">
        <v>1.6148372402823769E-2</v>
      </c>
      <c r="AC3428" s="101">
        <v>1.6047578356479519E-2</v>
      </c>
    </row>
    <row r="3429" spans="25:29" x14ac:dyDescent="0.2">
      <c r="Y3429" s="105" t="str">
        <f t="shared" si="87"/>
        <v>1w</v>
      </c>
      <c r="Z3429" s="93">
        <f>_xll.qlCalendarAdvance(Calendar,Z3428,Y3429,"f",FALSE)</f>
        <v>63241</v>
      </c>
      <c r="AA3429" s="117">
        <f>_xll.qlCalendarAdvance(Calendar,Z3429,NDays&amp;"D")</f>
        <v>63243</v>
      </c>
      <c r="AB3429" s="92">
        <v>1.6151074524225539E-2</v>
      </c>
      <c r="AC3429" s="101">
        <v>1.6050571324432994E-2</v>
      </c>
    </row>
    <row r="3430" spans="25:29" x14ac:dyDescent="0.2">
      <c r="Y3430" s="105" t="str">
        <f t="shared" si="87"/>
        <v>1w</v>
      </c>
      <c r="Z3430" s="93">
        <f>_xll.qlCalendarAdvance(Calendar,Z3429,Y3430,"f",FALSE)</f>
        <v>63248</v>
      </c>
      <c r="AA3430" s="117">
        <f>_xll.qlCalendarAdvance(Calendar,Z3430,NDays&amp;"D")</f>
        <v>63250</v>
      </c>
      <c r="AB3430" s="92">
        <v>1.6156471836104309E-2</v>
      </c>
      <c r="AC3430" s="101">
        <v>1.6053539987588294E-2</v>
      </c>
    </row>
    <row r="3431" spans="25:29" x14ac:dyDescent="0.2">
      <c r="Y3431" s="105" t="str">
        <f t="shared" si="87"/>
        <v>1w</v>
      </c>
      <c r="Z3431" s="93">
        <f>_xll.qlCalendarAdvance(Calendar,Z3430,Y3431,"f",FALSE)</f>
        <v>63255</v>
      </c>
      <c r="AA3431" s="117">
        <f>_xll.qlCalendarAdvance(Calendar,Z3431,NDays&amp;"D")</f>
        <v>63257</v>
      </c>
      <c r="AB3431" s="92">
        <v>1.6159116804208631E-2</v>
      </c>
      <c r="AC3431" s="101">
        <v>1.6056484345945421E-2</v>
      </c>
    </row>
    <row r="3432" spans="25:29" x14ac:dyDescent="0.2">
      <c r="Y3432" s="105" t="str">
        <f t="shared" si="87"/>
        <v>1w</v>
      </c>
      <c r="Z3432" s="93">
        <f>_xll.qlCalendarAdvance(Calendar,Z3431,Y3432,"f",FALSE)</f>
        <v>63262</v>
      </c>
      <c r="AA3432" s="117">
        <f>_xll.qlCalendarAdvance(Calendar,Z3432,NDays&amp;"D")</f>
        <v>63264</v>
      </c>
      <c r="AB3432" s="92">
        <v>1.6161737269194711E-2</v>
      </c>
      <c r="AC3432" s="101">
        <v>1.6059404399504373E-2</v>
      </c>
    </row>
    <row r="3433" spans="25:29" x14ac:dyDescent="0.2">
      <c r="Y3433" s="105" t="str">
        <f t="shared" si="87"/>
        <v>1w</v>
      </c>
      <c r="Z3433" s="93">
        <f>_xll.qlCalendarAdvance(Calendar,Z3432,Y3433,"f",FALSE)</f>
        <v>63269</v>
      </c>
      <c r="AA3433" s="117">
        <f>_xll.qlCalendarAdvance(Calendar,Z3433,NDays&amp;"D")</f>
        <v>63271</v>
      </c>
      <c r="AB3433" s="92">
        <v>1.6164333230962839E-2</v>
      </c>
      <c r="AC3433" s="101">
        <v>1.6064556074910641E-2</v>
      </c>
    </row>
    <row r="3434" spans="25:29" x14ac:dyDescent="0.2">
      <c r="Y3434" s="105" t="str">
        <f t="shared" si="87"/>
        <v>1w</v>
      </c>
      <c r="Z3434" s="93">
        <f>_xll.qlCalendarAdvance(Calendar,Z3433,Y3434,"f",FALSE)</f>
        <v>63276</v>
      </c>
      <c r="AA3434" s="117">
        <f>_xll.qlCalendarAdvance(Calendar,Z3434,NDays&amp;"D")</f>
        <v>63278</v>
      </c>
      <c r="AB3434" s="92">
        <v>1.6165292896311474E-2</v>
      </c>
      <c r="AC3434" s="101">
        <v>1.606517159214782E-2</v>
      </c>
    </row>
    <row r="3435" spans="25:29" x14ac:dyDescent="0.2">
      <c r="Y3435" s="105" t="str">
        <f t="shared" si="87"/>
        <v>1w</v>
      </c>
      <c r="Z3435" s="93">
        <f>_xll.qlCalendarAdvance(Calendar,Z3434,Y3435,"f",FALSE)</f>
        <v>63283</v>
      </c>
      <c r="AA3435" s="117">
        <f>_xll.qlCalendarAdvance(Calendar,Z3435,NDays&amp;"D")</f>
        <v>63285</v>
      </c>
      <c r="AB3435" s="92">
        <v>1.6167844759713595E-2</v>
      </c>
      <c r="AC3435" s="101">
        <v>1.6068018731152378E-2</v>
      </c>
    </row>
    <row r="3436" spans="25:29" x14ac:dyDescent="0.2">
      <c r="Y3436" s="105" t="str">
        <f t="shared" si="87"/>
        <v>1w</v>
      </c>
      <c r="Z3436" s="93">
        <f>_xll.qlCalendarAdvance(Calendar,Z3435,Y3436,"f",FALSE)</f>
        <v>63290</v>
      </c>
      <c r="AA3436" s="117">
        <f>_xll.qlCalendarAdvance(Calendar,Z3436,NDays&amp;"D")</f>
        <v>63292</v>
      </c>
      <c r="AB3436" s="92">
        <v>1.6170372122862521E-2</v>
      </c>
      <c r="AC3436" s="101">
        <v>1.6070841565358762E-2</v>
      </c>
    </row>
    <row r="3437" spans="25:29" x14ac:dyDescent="0.2">
      <c r="Y3437" s="105" t="str">
        <f t="shared" si="87"/>
        <v>1w</v>
      </c>
      <c r="Z3437" s="93">
        <f>_xll.qlCalendarAdvance(Calendar,Z3436,Y3437,"f",FALSE)</f>
        <v>63297</v>
      </c>
      <c r="AA3437" s="117">
        <f>_xll.qlCalendarAdvance(Calendar,Z3437,NDays&amp;"D")</f>
        <v>63299</v>
      </c>
      <c r="AB3437" s="92">
        <v>1.6172874985663905E-2</v>
      </c>
      <c r="AC3437" s="101">
        <v>1.6073640094687036E-2</v>
      </c>
    </row>
    <row r="3438" spans="25:29" x14ac:dyDescent="0.2">
      <c r="Y3438" s="105" t="str">
        <f t="shared" si="87"/>
        <v>1w</v>
      </c>
      <c r="Z3438" s="93">
        <f>_xll.qlCalendarAdvance(Calendar,Z3437,Y3438,"f",FALSE)</f>
        <v>63304</v>
      </c>
      <c r="AA3438" s="117">
        <f>_xll.qlCalendarAdvance(Calendar,Z3438,NDays&amp;"D")</f>
        <v>63306</v>
      </c>
      <c r="AB3438" s="92">
        <v>1.6175353348026451E-2</v>
      </c>
      <c r="AC3438" s="101">
        <v>1.6076414319377008E-2</v>
      </c>
    </row>
    <row r="3439" spans="25:29" x14ac:dyDescent="0.2">
      <c r="Y3439" s="105" t="str">
        <f t="shared" si="87"/>
        <v>1w</v>
      </c>
      <c r="Z3439" s="93">
        <f>_xll.qlCalendarAdvance(Calendar,Z3438,Y3439,"f",FALSE)</f>
        <v>63311</v>
      </c>
      <c r="AA3439" s="117">
        <f>_xll.qlCalendarAdvance(Calendar,Z3439,NDays&amp;"D")</f>
        <v>63313</v>
      </c>
      <c r="AB3439" s="92">
        <v>1.6179394428598132E-2</v>
      </c>
      <c r="AC3439" s="101">
        <v>1.607916423918887E-2</v>
      </c>
    </row>
    <row r="3440" spans="25:29" x14ac:dyDescent="0.2">
      <c r="Y3440" s="105" t="str">
        <f t="shared" si="87"/>
        <v>1w</v>
      </c>
      <c r="Z3440" s="93">
        <f>_xll.qlCalendarAdvance(Calendar,Z3439,Y3440,"f",FALSE)</f>
        <v>63318</v>
      </c>
      <c r="AA3440" s="117">
        <f>_xll.qlCalendarAdvance(Calendar,Z3440,NDays&amp;"D")</f>
        <v>63320</v>
      </c>
      <c r="AB3440" s="92">
        <v>1.618181886515932E-2</v>
      </c>
      <c r="AC3440" s="101">
        <v>1.6081889854122622E-2</v>
      </c>
    </row>
    <row r="3441" spans="25:29" x14ac:dyDescent="0.2">
      <c r="Y3441" s="105" t="str">
        <f t="shared" si="87"/>
        <v>1w</v>
      </c>
      <c r="Z3441" s="93">
        <f>_xll.qlCalendarAdvance(Calendar,Z3440,Y3441,"f",FALSE)</f>
        <v>63325</v>
      </c>
      <c r="AA3441" s="117">
        <f>_xll.qlCalendarAdvance(Calendar,Z3441,NDays&amp;"D")</f>
        <v>63327</v>
      </c>
      <c r="AB3441" s="92">
        <v>1.6184218797746175E-2</v>
      </c>
      <c r="AC3441" s="101">
        <v>1.6084591164178264E-2</v>
      </c>
    </row>
    <row r="3442" spans="25:29" x14ac:dyDescent="0.2">
      <c r="Y3442" s="105" t="str">
        <f t="shared" si="87"/>
        <v>1w</v>
      </c>
      <c r="Z3442" s="93">
        <f>_xll.qlCalendarAdvance(Calendar,Z3441,Y3442,"f",FALSE)</f>
        <v>63332</v>
      </c>
      <c r="AA3442" s="117">
        <f>_xll.qlCalendarAdvance(Calendar,Z3442,NDays&amp;"D")</f>
        <v>63334</v>
      </c>
      <c r="AB3442" s="92">
        <v>1.6186594226269734E-2</v>
      </c>
      <c r="AC3442" s="101">
        <v>1.6087268169515667E-2</v>
      </c>
    </row>
    <row r="3443" spans="25:29" x14ac:dyDescent="0.2">
      <c r="Y3443" s="105" t="str">
        <f t="shared" si="87"/>
        <v>1w</v>
      </c>
      <c r="Z3443" s="93">
        <f>_xll.qlCalendarAdvance(Calendar,Z3442,Y3443,"f",FALSE)</f>
        <v>63339</v>
      </c>
      <c r="AA3443" s="117">
        <f>_xll.qlCalendarAdvance(Calendar,Z3443,NDays&amp;"D")</f>
        <v>63341</v>
      </c>
      <c r="AB3443" s="92">
        <v>1.6187377650057896E-2</v>
      </c>
      <c r="AC3443" s="101">
        <v>1.6089920869974961E-2</v>
      </c>
    </row>
    <row r="3444" spans="25:29" x14ac:dyDescent="0.2">
      <c r="Y3444" s="105" t="str">
        <f t="shared" si="87"/>
        <v>1w</v>
      </c>
      <c r="Z3444" s="93">
        <f>_xll.qlCalendarAdvance(Calendar,Z3443,Y3444,"f",FALSE)</f>
        <v>63346</v>
      </c>
      <c r="AA3444" s="117">
        <f>_xll.qlCalendarAdvance(Calendar,Z3444,NDays&amp;"D")</f>
        <v>63348</v>
      </c>
      <c r="AB3444" s="92">
        <v>1.6189709007883812E-2</v>
      </c>
      <c r="AC3444" s="101">
        <v>1.6092549265556144E-2</v>
      </c>
    </row>
    <row r="3445" spans="25:29" x14ac:dyDescent="0.2">
      <c r="Y3445" s="105" t="str">
        <f t="shared" si="87"/>
        <v>1w</v>
      </c>
      <c r="Z3445" s="93">
        <f>_xll.qlCalendarAdvance(Calendar,Z3444,Y3445,"f",FALSE)</f>
        <v>63353</v>
      </c>
      <c r="AA3445" s="117">
        <f>_xll.qlCalendarAdvance(Calendar,Z3445,NDays&amp;"D")</f>
        <v>63355</v>
      </c>
      <c r="AB3445" s="92">
        <v>1.6192015864647129E-2</v>
      </c>
      <c r="AC3445" s="101">
        <v>1.609515335641909E-2</v>
      </c>
    </row>
    <row r="3446" spans="25:29" x14ac:dyDescent="0.2">
      <c r="Y3446" s="105" t="str">
        <f t="shared" si="87"/>
        <v>1w</v>
      </c>
      <c r="Z3446" s="93">
        <f>_xll.qlCalendarAdvance(Calendar,Z3445,Y3446,"f",FALSE)</f>
        <v>63360</v>
      </c>
      <c r="AA3446" s="117">
        <f>_xll.qlCalendarAdvance(Calendar,Z3446,NDays&amp;"D")</f>
        <v>63362</v>
      </c>
      <c r="AB3446" s="92">
        <v>1.6194298220260486E-2</v>
      </c>
      <c r="AC3446" s="101">
        <v>1.6097733142323989E-2</v>
      </c>
    </row>
    <row r="3447" spans="25:29" x14ac:dyDescent="0.2">
      <c r="Y3447" s="105" t="str">
        <f t="shared" si="87"/>
        <v>1w</v>
      </c>
      <c r="Z3447" s="93">
        <f>_xll.qlCalendarAdvance(Calendar,Z3446,Y3447,"f",FALSE)</f>
        <v>63367</v>
      </c>
      <c r="AA3447" s="117">
        <f>_xll.qlCalendarAdvance(Calendar,Z3447,NDays&amp;"D")</f>
        <v>63369</v>
      </c>
      <c r="AB3447" s="92">
        <v>1.6196556074640885E-2</v>
      </c>
      <c r="AC3447" s="101">
        <v>1.610028862351065E-2</v>
      </c>
    </row>
    <row r="3448" spans="25:29" x14ac:dyDescent="0.2">
      <c r="Y3448" s="105" t="str">
        <f t="shared" si="87"/>
        <v>1w</v>
      </c>
      <c r="Z3448" s="93">
        <f>_xll.qlCalendarAdvance(Calendar,Z3447,Y3448,"f",FALSE)</f>
        <v>63374</v>
      </c>
      <c r="AA3448" s="117">
        <f>_xll.qlCalendarAdvance(Calendar,Z3448,NDays&amp;"D")</f>
        <v>63376</v>
      </c>
      <c r="AB3448" s="92">
        <v>1.6200332207114268E-2</v>
      </c>
      <c r="AC3448" s="101">
        <v>1.6102819799819201E-2</v>
      </c>
    </row>
    <row r="3449" spans="25:29" x14ac:dyDescent="0.2">
      <c r="Y3449" s="105" t="str">
        <f t="shared" si="87"/>
        <v>1w</v>
      </c>
      <c r="Z3449" s="93">
        <f>_xll.qlCalendarAdvance(Calendar,Z3448,Y3449,"f",FALSE)</f>
        <v>63381</v>
      </c>
      <c r="AA3449" s="117">
        <f>_xll.qlCalendarAdvance(Calendar,Z3449,NDays&amp;"D")</f>
        <v>63383</v>
      </c>
      <c r="AB3449" s="92">
        <v>1.6202536104735227E-2</v>
      </c>
      <c r="AC3449" s="101">
        <v>1.6105326671329578E-2</v>
      </c>
    </row>
    <row r="3450" spans="25:29" x14ac:dyDescent="0.2">
      <c r="Y3450" s="105" t="str">
        <f t="shared" si="87"/>
        <v>1w</v>
      </c>
      <c r="Z3450" s="93">
        <f>_xll.qlCalendarAdvance(Calendar,Z3449,Y3450,"f",FALSE)</f>
        <v>63388</v>
      </c>
      <c r="AA3450" s="117">
        <f>_xll.qlCalendarAdvance(Calendar,Z3450,NDays&amp;"D")</f>
        <v>63390</v>
      </c>
      <c r="AB3450" s="92">
        <v>1.6204715497601403E-2</v>
      </c>
      <c r="AC3450" s="101">
        <v>1.6107809238041781E-2</v>
      </c>
    </row>
    <row r="3451" spans="25:29" x14ac:dyDescent="0.2">
      <c r="Y3451" s="105" t="str">
        <f t="shared" si="87"/>
        <v>1w</v>
      </c>
      <c r="Z3451" s="93">
        <f>_xll.qlCalendarAdvance(Calendar,Z3450,Y3451,"f",FALSE)</f>
        <v>63395</v>
      </c>
      <c r="AA3451" s="117">
        <f>_xll.qlCalendarAdvance(Calendar,Z3451,NDays&amp;"D")</f>
        <v>63397</v>
      </c>
      <c r="AB3451" s="92">
        <v>1.6206870385631136E-2</v>
      </c>
      <c r="AC3451" s="101">
        <v>1.6110267499875874E-2</v>
      </c>
    </row>
    <row r="3452" spans="25:29" x14ac:dyDescent="0.2">
      <c r="Y3452" s="105" t="str">
        <f t="shared" si="87"/>
        <v>1w</v>
      </c>
      <c r="Z3452" s="93">
        <f>_xll.qlCalendarAdvance(Calendar,Z3451,Y3452,"f",FALSE)</f>
        <v>63402</v>
      </c>
      <c r="AA3452" s="117">
        <f>_xll.qlCalendarAdvance(Calendar,Z3452,NDays&amp;"D")</f>
        <v>63404</v>
      </c>
      <c r="AB3452" s="92">
        <v>1.6209000768743209E-2</v>
      </c>
      <c r="AC3452" s="101">
        <v>1.6112701456751921E-2</v>
      </c>
    </row>
    <row r="3453" spans="25:29" x14ac:dyDescent="0.2">
      <c r="Y3453" s="105" t="str">
        <f t="shared" si="87"/>
        <v>1w</v>
      </c>
      <c r="Z3453" s="93">
        <f>_xll.qlCalendarAdvance(Calendar,Z3452,Y3453,"f",FALSE)</f>
        <v>63409</v>
      </c>
      <c r="AA3453" s="117">
        <f>_xll.qlCalendarAdvance(Calendar,Z3453,NDays&amp;"D")</f>
        <v>63411</v>
      </c>
      <c r="AB3453" s="92">
        <v>1.6211106646858108E-2</v>
      </c>
      <c r="AC3453" s="101">
        <v>1.6115111108989666E-2</v>
      </c>
    </row>
    <row r="3454" spans="25:29" x14ac:dyDescent="0.2">
      <c r="Y3454" s="105" t="str">
        <f t="shared" si="87"/>
        <v>1w</v>
      </c>
      <c r="Z3454" s="93">
        <f>_xll.qlCalendarAdvance(Calendar,Z3453,Y3454,"f",FALSE)</f>
        <v>63416</v>
      </c>
      <c r="AA3454" s="117">
        <f>_xll.qlCalendarAdvance(Calendar,Z3454,NDays&amp;"D")</f>
        <v>63418</v>
      </c>
      <c r="AB3454" s="92">
        <v>1.6213188019895897E-2</v>
      </c>
      <c r="AC3454" s="101">
        <v>1.6117496456349301E-2</v>
      </c>
    </row>
    <row r="3455" spans="25:29" x14ac:dyDescent="0.2">
      <c r="Y3455" s="105" t="str">
        <f t="shared" si="87"/>
        <v>1w</v>
      </c>
      <c r="Z3455" s="93">
        <f>_xll.qlCalendarAdvance(Calendar,Z3454,Y3455,"f",FALSE)</f>
        <v>63423</v>
      </c>
      <c r="AA3455" s="117">
        <f>_xll.qlCalendarAdvance(Calendar,Z3455,NDays&amp;"D")</f>
        <v>63425</v>
      </c>
      <c r="AB3455" s="92">
        <v>1.6215244887778368E-2</v>
      </c>
      <c r="AC3455" s="101">
        <v>1.6119857498750889E-2</v>
      </c>
    </row>
    <row r="3456" spans="25:29" x14ac:dyDescent="0.2">
      <c r="Y3456" s="105" t="str">
        <f t="shared" si="87"/>
        <v>1w</v>
      </c>
      <c r="Z3456" s="93">
        <f>_xll.qlCalendarAdvance(Calendar,Z3455,Y3456,"f",FALSE)</f>
        <v>63430</v>
      </c>
      <c r="AA3456" s="117">
        <f>_xll.qlCalendarAdvance(Calendar,Z3456,NDays&amp;"D")</f>
        <v>63432</v>
      </c>
      <c r="AB3456" s="92">
        <v>1.6214771440613139E-2</v>
      </c>
      <c r="AC3456" s="101">
        <v>1.6122194236354304E-2</v>
      </c>
    </row>
    <row r="3457" spans="25:29" x14ac:dyDescent="0.2">
      <c r="Y3457" s="105" t="str">
        <f t="shared" si="87"/>
        <v>1w</v>
      </c>
      <c r="Z3457" s="93">
        <f>_xll.qlCalendarAdvance(Calendar,Z3456,Y3457,"f",FALSE)</f>
        <v>63437</v>
      </c>
      <c r="AA3457" s="117">
        <f>_xll.qlCalendarAdvance(Calendar,Z3457,NDays&amp;"D")</f>
        <v>63439</v>
      </c>
      <c r="AB3457" s="92">
        <v>1.6216787597611398E-2</v>
      </c>
      <c r="AC3457" s="101">
        <v>1.6124506669319416E-2</v>
      </c>
    </row>
    <row r="3458" spans="25:29" x14ac:dyDescent="0.2">
      <c r="Y3458" s="105" t="str">
        <f t="shared" si="87"/>
        <v>1w</v>
      </c>
      <c r="Z3458" s="93">
        <f>_xll.qlCalendarAdvance(Calendar,Z3457,Y3458,"f",FALSE)</f>
        <v>63444</v>
      </c>
      <c r="AA3458" s="117">
        <f>_xll.qlCalendarAdvance(Calendar,Z3458,NDays&amp;"D")</f>
        <v>63446</v>
      </c>
      <c r="AB3458" s="92">
        <v>1.6218779254691097E-2</v>
      </c>
      <c r="AC3458" s="101">
        <v>1.6126794797246546E-2</v>
      </c>
    </row>
    <row r="3459" spans="25:29" x14ac:dyDescent="0.2">
      <c r="Y3459" s="105" t="str">
        <f t="shared" si="87"/>
        <v>1w</v>
      </c>
      <c r="Z3459" s="93">
        <f>_xll.qlCalendarAdvance(Calendar,Z3458,Y3459,"f",FALSE)</f>
        <v>63451</v>
      </c>
      <c r="AA3459" s="117">
        <f>_xll.qlCalendarAdvance(Calendar,Z3459,NDays&amp;"D")</f>
        <v>63453</v>
      </c>
      <c r="AB3459" s="92">
        <v>1.6220746411780698E-2</v>
      </c>
      <c r="AC3459" s="101">
        <v>1.6129058620375503E-2</v>
      </c>
    </row>
    <row r="3460" spans="25:29" x14ac:dyDescent="0.2">
      <c r="Y3460" s="105" t="str">
        <f t="shared" si="87"/>
        <v>1w</v>
      </c>
      <c r="Z3460" s="93">
        <f>_xll.qlCalendarAdvance(Calendar,Z3459,Y3460,"f",FALSE)</f>
        <v>63458</v>
      </c>
      <c r="AA3460" s="117">
        <f>_xll.qlCalendarAdvance(Calendar,Z3460,NDays&amp;"D")</f>
        <v>63460</v>
      </c>
      <c r="AB3460" s="92">
        <v>1.6222689068807764E-2</v>
      </c>
      <c r="AC3460" s="101">
        <v>1.6131298138706285E-2</v>
      </c>
    </row>
    <row r="3461" spans="25:29" x14ac:dyDescent="0.2">
      <c r="Y3461" s="105" t="str">
        <f t="shared" si="87"/>
        <v>1w</v>
      </c>
      <c r="Z3461" s="93">
        <f>_xll.qlCalendarAdvance(Calendar,Z3460,Y3461,"f",FALSE)</f>
        <v>63465</v>
      </c>
      <c r="AA3461" s="117">
        <f>_xll.qlCalendarAdvance(Calendar,Z3461,NDays&amp;"D")</f>
        <v>63467</v>
      </c>
      <c r="AB3461" s="92">
        <v>1.6225100365572672E-2</v>
      </c>
      <c r="AC3461" s="101">
        <v>1.6133513352318829E-2</v>
      </c>
    </row>
    <row r="3462" spans="25:29" x14ac:dyDescent="0.2">
      <c r="Y3462" s="105" t="str">
        <f t="shared" si="87"/>
        <v>1w</v>
      </c>
      <c r="Z3462" s="93">
        <f>_xll.qlCalendarAdvance(Calendar,Z3461,Y3462,"f",FALSE)</f>
        <v>63472</v>
      </c>
      <c r="AA3462" s="117">
        <f>_xll.qlCalendarAdvance(Calendar,Z3462,NDays&amp;"D")</f>
        <v>63474</v>
      </c>
      <c r="AB3462" s="92">
        <v>1.6226992357163759E-2</v>
      </c>
      <c r="AC3462" s="101">
        <v>1.6135704260813455E-2</v>
      </c>
    </row>
    <row r="3463" spans="25:29" x14ac:dyDescent="0.2">
      <c r="Y3463" s="105" t="str">
        <f t="shared" si="87"/>
        <v>1w</v>
      </c>
      <c r="Z3463" s="93">
        <f>_xll.qlCalendarAdvance(Calendar,Z3462,Y3463,"f",FALSE)</f>
        <v>63479</v>
      </c>
      <c r="AA3463" s="117">
        <f>_xll.qlCalendarAdvance(Calendar,Z3463,NDays&amp;"D")</f>
        <v>63481</v>
      </c>
      <c r="AB3463" s="92">
        <v>1.6228859847386003E-2</v>
      </c>
      <c r="AC3463" s="101">
        <v>1.6137870864669779E-2</v>
      </c>
    </row>
    <row r="3464" spans="25:29" x14ac:dyDescent="0.2">
      <c r="Y3464" s="105" t="str">
        <f t="shared" si="87"/>
        <v>1w</v>
      </c>
      <c r="Z3464" s="93">
        <f>_xll.qlCalendarAdvance(Calendar,Z3463,Y3464,"f",FALSE)</f>
        <v>63486</v>
      </c>
      <c r="AA3464" s="117">
        <f>_xll.qlCalendarAdvance(Calendar,Z3464,NDays&amp;"D")</f>
        <v>63488</v>
      </c>
      <c r="AB3464" s="92">
        <v>1.6230702836171323E-2</v>
      </c>
      <c r="AC3464" s="101">
        <v>1.6140013163647993E-2</v>
      </c>
    </row>
    <row r="3465" spans="25:29" x14ac:dyDescent="0.2">
      <c r="Y3465" s="105" t="str">
        <f t="shared" si="87"/>
        <v>1w</v>
      </c>
      <c r="Z3465" s="93">
        <f>_xll.qlCalendarAdvance(Calendar,Z3464,Y3465,"f",FALSE)</f>
        <v>63493</v>
      </c>
      <c r="AA3465" s="117">
        <f>_xll.qlCalendarAdvance(Calendar,Z3465,NDays&amp;"D")</f>
        <v>63495</v>
      </c>
      <c r="AB3465" s="92">
        <v>1.6232034850540797E-2</v>
      </c>
      <c r="AC3465" s="101">
        <v>1.6142131157748096E-2</v>
      </c>
    </row>
    <row r="3466" spans="25:29" x14ac:dyDescent="0.2">
      <c r="Y3466" s="105" t="str">
        <f t="shared" si="87"/>
        <v>1w</v>
      </c>
      <c r="Z3466" s="93">
        <f>_xll.qlCalendarAdvance(Calendar,Z3465,Y3466,"f",FALSE)</f>
        <v>63500</v>
      </c>
      <c r="AA3466" s="117">
        <f>_xll.qlCalendarAdvance(Calendar,Z3466,NDays&amp;"D")</f>
        <v>63502</v>
      </c>
      <c r="AB3466" s="92">
        <v>1.6233830505727329E-2</v>
      </c>
      <c r="AC3466" s="101">
        <v>1.6144224847050026E-2</v>
      </c>
    </row>
    <row r="3467" spans="25:29" x14ac:dyDescent="0.2">
      <c r="Y3467" s="105" t="str">
        <f t="shared" si="87"/>
        <v>1w</v>
      </c>
      <c r="Z3467" s="93">
        <f>_xll.qlCalendarAdvance(Calendar,Z3466,Y3467,"f",FALSE)</f>
        <v>63507</v>
      </c>
      <c r="AA3467" s="117">
        <f>_xll.qlCalendarAdvance(Calendar,Z3467,NDays&amp;"D")</f>
        <v>63509</v>
      </c>
      <c r="AB3467" s="92">
        <v>1.6235601660371714E-2</v>
      </c>
      <c r="AC3467" s="101">
        <v>1.6146294231473846E-2</v>
      </c>
    </row>
    <row r="3468" spans="25:29" x14ac:dyDescent="0.2">
      <c r="Y3468" s="105" t="str">
        <f t="shared" si="87"/>
        <v>1w</v>
      </c>
      <c r="Z3468" s="93">
        <f>_xll.qlCalendarAdvance(Calendar,Z3467,Y3468,"f",FALSE)</f>
        <v>63514</v>
      </c>
      <c r="AA3468" s="117">
        <f>_xll.qlCalendarAdvance(Calendar,Z3468,NDays&amp;"D")</f>
        <v>63516</v>
      </c>
      <c r="AB3468" s="92">
        <v>1.6237348314409473E-2</v>
      </c>
      <c r="AC3468" s="101">
        <v>1.6148339311099491E-2</v>
      </c>
    </row>
    <row r="3469" spans="25:29" x14ac:dyDescent="0.2">
      <c r="Y3469" s="105" t="str">
        <f t="shared" si="87"/>
        <v>1w</v>
      </c>
      <c r="Z3469" s="93">
        <f>_xll.qlCalendarAdvance(Calendar,Z3468,Y3469,"f",FALSE)</f>
        <v>63521</v>
      </c>
      <c r="AA3469" s="117">
        <f>_xll.qlCalendarAdvance(Calendar,Z3469,NDays&amp;"D")</f>
        <v>63523</v>
      </c>
      <c r="AB3469" s="92">
        <v>1.6239550256189471E-2</v>
      </c>
      <c r="AC3469" s="101">
        <v>1.6150360085926962E-2</v>
      </c>
    </row>
    <row r="3470" spans="25:29" x14ac:dyDescent="0.2">
      <c r="Y3470" s="105" t="str">
        <f t="shared" si="87"/>
        <v>1w</v>
      </c>
      <c r="Z3470" s="93">
        <f>_xll.qlCalendarAdvance(Calendar,Z3469,Y3470,"f",FALSE)</f>
        <v>63528</v>
      </c>
      <c r="AA3470" s="117">
        <f>_xll.qlCalendarAdvance(Calendar,Z3470,NDays&amp;"D")</f>
        <v>63530</v>
      </c>
      <c r="AB3470" s="92">
        <v>1.624124623495481E-2</v>
      </c>
      <c r="AC3470" s="101">
        <v>1.6152356555796388E-2</v>
      </c>
    </row>
    <row r="3471" spans="25:29" x14ac:dyDescent="0.2">
      <c r="Y3471" s="105" t="str">
        <f t="shared" si="87"/>
        <v>1w</v>
      </c>
      <c r="Z3471" s="93">
        <f>_xll.qlCalendarAdvance(Calendar,Z3470,Y3471,"f",FALSE)</f>
        <v>63535</v>
      </c>
      <c r="AA3471" s="117">
        <f>_xll.qlCalendarAdvance(Calendar,Z3471,NDays&amp;"D")</f>
        <v>63537</v>
      </c>
      <c r="AB3471" s="92">
        <v>1.6242917711826885E-2</v>
      </c>
      <c r="AC3471" s="101">
        <v>1.6154328720947575E-2</v>
      </c>
    </row>
    <row r="3472" spans="25:29" x14ac:dyDescent="0.2">
      <c r="Y3472" s="105" t="str">
        <f t="shared" si="87"/>
        <v>1w</v>
      </c>
      <c r="Z3472" s="93">
        <f>_xll.qlCalendarAdvance(Calendar,Z3471,Y3472,"f",FALSE)</f>
        <v>63542</v>
      </c>
      <c r="AA3472" s="117">
        <f>_xll.qlCalendarAdvance(Calendar,Z3472,NDays&amp;"D")</f>
        <v>63544</v>
      </c>
      <c r="AB3472" s="92">
        <v>1.6244564686742454E-2</v>
      </c>
      <c r="AC3472" s="101">
        <v>1.6156276581140716E-2</v>
      </c>
    </row>
    <row r="3473" spans="25:29" x14ac:dyDescent="0.2">
      <c r="Y3473" s="105" t="str">
        <f t="shared" si="87"/>
        <v>1w</v>
      </c>
      <c r="Z3473" s="93">
        <f>_xll.qlCalendarAdvance(Calendar,Z3472,Y3473,"f",FALSE)</f>
        <v>63550</v>
      </c>
      <c r="AA3473" s="117">
        <f>_xll.qlCalendarAdvance(Calendar,Z3473,NDays&amp;"D")</f>
        <v>63552</v>
      </c>
      <c r="AB3473" s="92">
        <v>1.6246416941317666E-2</v>
      </c>
      <c r="AC3473" s="101">
        <v>1.615996890898419E-2</v>
      </c>
    </row>
    <row r="3474" spans="25:29" x14ac:dyDescent="0.2">
      <c r="Y3474" s="105" t="str">
        <f t="shared" si="87"/>
        <v>1w</v>
      </c>
      <c r="Z3474" s="93">
        <f>_xll.qlCalendarAdvance(Calendar,Z3473,Y3474,"f",FALSE)</f>
        <v>63557</v>
      </c>
      <c r="AA3474" s="117">
        <f>_xll.qlCalendarAdvance(Calendar,Z3474,NDays&amp;"D")</f>
        <v>63559</v>
      </c>
      <c r="AB3474" s="92">
        <v>1.6247540243573083E-2</v>
      </c>
      <c r="AC3474" s="101">
        <v>1.6161362873221563E-2</v>
      </c>
    </row>
    <row r="3475" spans="25:29" x14ac:dyDescent="0.2">
      <c r="Y3475" s="105" t="str">
        <f t="shared" si="87"/>
        <v>1w</v>
      </c>
      <c r="Z3475" s="93">
        <f>_xll.qlCalendarAdvance(Calendar,Z3474,Y3475,"f",FALSE)</f>
        <v>63564</v>
      </c>
      <c r="AA3475" s="117">
        <f>_xll.qlCalendarAdvance(Calendar,Z3475,NDays&amp;"D")</f>
        <v>63566</v>
      </c>
      <c r="AB3475" s="92">
        <v>1.6249111891463809E-2</v>
      </c>
      <c r="AC3475" s="101">
        <v>1.6163231042440884E-2</v>
      </c>
    </row>
    <row r="3476" spans="25:29" x14ac:dyDescent="0.2">
      <c r="Y3476" s="105" t="str">
        <f t="shared" si="87"/>
        <v>1w</v>
      </c>
      <c r="Z3476" s="93">
        <f>_xll.qlCalendarAdvance(Calendar,Z3475,Y3476,"f",FALSE)</f>
        <v>63571</v>
      </c>
      <c r="AA3476" s="117">
        <f>_xll.qlCalendarAdvance(Calendar,Z3476,NDays&amp;"D")</f>
        <v>63573</v>
      </c>
      <c r="AB3476" s="92">
        <v>1.6250659038253276E-2</v>
      </c>
      <c r="AC3476" s="101">
        <v>1.6165074904650467E-2</v>
      </c>
    </row>
    <row r="3477" spans="25:29" x14ac:dyDescent="0.2">
      <c r="Y3477" s="105" t="str">
        <f t="shared" ref="Y3477:Y3540" si="88">Y3476</f>
        <v>1w</v>
      </c>
      <c r="Z3477" s="93">
        <f>_xll.qlCalendarAdvance(Calendar,Z3476,Y3477,"f",FALSE)</f>
        <v>63578</v>
      </c>
      <c r="AA3477" s="117">
        <f>_xll.qlCalendarAdvance(Calendar,Z3477,NDays&amp;"D")</f>
        <v>63580</v>
      </c>
      <c r="AB3477" s="92">
        <v>1.6252181683882747E-2</v>
      </c>
      <c r="AC3477" s="101">
        <v>1.6166894459850312E-2</v>
      </c>
    </row>
    <row r="3478" spans="25:29" x14ac:dyDescent="0.2">
      <c r="Y3478" s="105" t="str">
        <f t="shared" si="88"/>
        <v>1w</v>
      </c>
      <c r="Z3478" s="93">
        <f>_xll.qlCalendarAdvance(Calendar,Z3477,Y3478,"f",FALSE)</f>
        <v>63585</v>
      </c>
      <c r="AA3478" s="117">
        <f>_xll.qlCalendarAdvance(Calendar,Z3478,NDays&amp;"D")</f>
        <v>63587</v>
      </c>
      <c r="AB3478" s="92">
        <v>1.6253679828297458E-2</v>
      </c>
      <c r="AC3478" s="101">
        <v>1.6168689708040418E-2</v>
      </c>
    </row>
    <row r="3479" spans="25:29" x14ac:dyDescent="0.2">
      <c r="Y3479" s="105" t="str">
        <f t="shared" si="88"/>
        <v>1w</v>
      </c>
      <c r="Z3479" s="93">
        <f>_xll.qlCalendarAdvance(Calendar,Z3478,Y3479,"f",FALSE)</f>
        <v>63592</v>
      </c>
      <c r="AA3479" s="117">
        <f>_xll.qlCalendarAdvance(Calendar,Z3479,NDays&amp;"D")</f>
        <v>63594</v>
      </c>
      <c r="AB3479" s="92">
        <v>1.6255153471442206E-2</v>
      </c>
      <c r="AC3479" s="101">
        <v>1.6170460649220786E-2</v>
      </c>
    </row>
    <row r="3480" spans="25:29" x14ac:dyDescent="0.2">
      <c r="Y3480" s="105" t="str">
        <f t="shared" si="88"/>
        <v>1w</v>
      </c>
      <c r="Z3480" s="93">
        <f>_xll.qlCalendarAdvance(Calendar,Z3479,Y3480,"f",FALSE)</f>
        <v>63599</v>
      </c>
      <c r="AA3480" s="117">
        <f>_xll.qlCalendarAdvance(Calendar,Z3480,NDays&amp;"D")</f>
        <v>63601</v>
      </c>
      <c r="AB3480" s="92">
        <v>1.6256602613263556E-2</v>
      </c>
      <c r="AC3480" s="101">
        <v>1.6172207283391415E-2</v>
      </c>
    </row>
    <row r="3481" spans="25:29" x14ac:dyDescent="0.2">
      <c r="Y3481" s="105" t="str">
        <f t="shared" si="88"/>
        <v>1w</v>
      </c>
      <c r="Z3481" s="93">
        <f>_xll.qlCalendarAdvance(Calendar,Z3480,Y3481,"f",FALSE)</f>
        <v>63606</v>
      </c>
      <c r="AA3481" s="117">
        <f>_xll.qlCalendarAdvance(Calendar,Z3481,NDays&amp;"D")</f>
        <v>63608</v>
      </c>
      <c r="AB3481" s="92">
        <v>1.6258027253706741E-2</v>
      </c>
      <c r="AC3481" s="101">
        <v>1.6173929610552307E-2</v>
      </c>
    </row>
    <row r="3482" spans="25:29" x14ac:dyDescent="0.2">
      <c r="Y3482" s="105" t="str">
        <f t="shared" si="88"/>
        <v>1w</v>
      </c>
      <c r="Z3482" s="93">
        <f>_xll.qlCalendarAdvance(Calendar,Z3481,Y3482,"f",FALSE)</f>
        <v>63613</v>
      </c>
      <c r="AA3482" s="117">
        <f>_xll.qlCalendarAdvance(Calendar,Z3482,NDays&amp;"D")</f>
        <v>63615</v>
      </c>
      <c r="AB3482" s="92">
        <v>1.6261257313358739E-2</v>
      </c>
      <c r="AC3482" s="101">
        <v>1.617562763070346E-2</v>
      </c>
    </row>
    <row r="3483" spans="25:29" x14ac:dyDescent="0.2">
      <c r="Y3483" s="105" t="str">
        <f t="shared" si="88"/>
        <v>1w</v>
      </c>
      <c r="Z3483" s="93">
        <f>_xll.qlCalendarAdvance(Calendar,Z3482,Y3483,"f",FALSE)</f>
        <v>63620</v>
      </c>
      <c r="AA3483" s="117">
        <f>_xll.qlCalendarAdvance(Calendar,Z3483,NDays&amp;"D")</f>
        <v>63622</v>
      </c>
      <c r="AB3483" s="92">
        <v>1.6262626196731231E-2</v>
      </c>
      <c r="AC3483" s="101">
        <v>1.6177301343844874E-2</v>
      </c>
    </row>
    <row r="3484" spans="25:29" x14ac:dyDescent="0.2">
      <c r="Y3484" s="105" t="str">
        <f t="shared" si="88"/>
        <v>1w</v>
      </c>
      <c r="Z3484" s="93">
        <f>_xll.qlCalendarAdvance(Calendar,Z3483,Y3484,"f",FALSE)</f>
        <v>63627</v>
      </c>
      <c r="AA3484" s="117">
        <f>_xll.qlCalendarAdvance(Calendar,Z3484,NDays&amp;"D")</f>
        <v>63629</v>
      </c>
      <c r="AB3484" s="92">
        <v>1.6263970574168712E-2</v>
      </c>
      <c r="AC3484" s="101">
        <v>1.6178950749976551E-2</v>
      </c>
    </row>
    <row r="3485" spans="25:29" x14ac:dyDescent="0.2">
      <c r="Y3485" s="105" t="str">
        <f t="shared" si="88"/>
        <v>1w</v>
      </c>
      <c r="Z3485" s="93">
        <f>_xll.qlCalendarAdvance(Calendar,Z3484,Y3485,"f",FALSE)</f>
        <v>63634</v>
      </c>
      <c r="AA3485" s="117">
        <f>_xll.qlCalendarAdvance(Calendar,Z3485,NDays&amp;"D")</f>
        <v>63636</v>
      </c>
      <c r="AB3485" s="92">
        <v>1.626529044562279E-2</v>
      </c>
      <c r="AC3485" s="101">
        <v>1.6180575849071843E-2</v>
      </c>
    </row>
    <row r="3486" spans="25:29" x14ac:dyDescent="0.2">
      <c r="Y3486" s="105" t="str">
        <f t="shared" si="88"/>
        <v>1w</v>
      </c>
      <c r="Z3486" s="93">
        <f>_xll.qlCalendarAdvance(Calendar,Z3485,Y3486,"f",FALSE)</f>
        <v>63641</v>
      </c>
      <c r="AA3486" s="117">
        <f>_xll.qlCalendarAdvance(Calendar,Z3486,NDays&amp;"D")</f>
        <v>63643</v>
      </c>
      <c r="AB3486" s="92">
        <v>1.6265233875022055E-2</v>
      </c>
      <c r="AC3486" s="101">
        <v>1.6182176641157398E-2</v>
      </c>
    </row>
    <row r="3487" spans="25:29" x14ac:dyDescent="0.2">
      <c r="Y3487" s="105" t="str">
        <f t="shared" si="88"/>
        <v>1w</v>
      </c>
      <c r="Z3487" s="93">
        <f>_xll.qlCalendarAdvance(Calendar,Z3486,Y3487,"f",FALSE)</f>
        <v>63648</v>
      </c>
      <c r="AA3487" s="117">
        <f>_xll.qlCalendarAdvance(Calendar,Z3487,NDays&amp;"D")</f>
        <v>63650</v>
      </c>
      <c r="AB3487" s="92">
        <v>1.6267856670379808E-2</v>
      </c>
      <c r="AC3487" s="101">
        <v>1.6183753126233213E-2</v>
      </c>
    </row>
    <row r="3488" spans="25:29" x14ac:dyDescent="0.2">
      <c r="Y3488" s="105" t="str">
        <f t="shared" si="88"/>
        <v>1w</v>
      </c>
      <c r="Z3488" s="93">
        <f>_xll.qlCalendarAdvance(Calendar,Z3487,Y3488,"f",FALSE)</f>
        <v>63655</v>
      </c>
      <c r="AA3488" s="117">
        <f>_xll.qlCalendarAdvance(Calendar,Z3488,NDays&amp;"D")</f>
        <v>63661</v>
      </c>
      <c r="AB3488" s="92">
        <v>1.6268911791907342E-2</v>
      </c>
      <c r="AC3488" s="101">
        <v>1.6185235565071565E-2</v>
      </c>
    </row>
    <row r="3489" spans="25:29" x14ac:dyDescent="0.2">
      <c r="Y3489" s="105" t="str">
        <f t="shared" si="88"/>
        <v>1w</v>
      </c>
      <c r="Z3489" s="93">
        <f>_xll.qlCalendarAdvance(Calendar,Z3488,Y3489,"f",FALSE)</f>
        <v>63662</v>
      </c>
      <c r="AA3489" s="117">
        <f>_xll.qlCalendarAdvance(Calendar,Z3489,NDays&amp;"D")</f>
        <v>63664</v>
      </c>
      <c r="AB3489" s="92">
        <v>1.6270324870618164E-2</v>
      </c>
      <c r="AC3489" s="101">
        <v>1.618683317530234E-2</v>
      </c>
    </row>
    <row r="3490" spans="25:29" x14ac:dyDescent="0.2">
      <c r="Y3490" s="105" t="str">
        <f t="shared" si="88"/>
        <v>1w</v>
      </c>
      <c r="Z3490" s="93">
        <f>_xll.qlCalendarAdvance(Calendar,Z3489,Y3490,"f",FALSE)</f>
        <v>63669</v>
      </c>
      <c r="AA3490" s="117">
        <f>_xll.qlCalendarAdvance(Calendar,Z3490,NDays&amp;"D")</f>
        <v>63671</v>
      </c>
      <c r="AB3490" s="92">
        <v>1.6271522211426716E-2</v>
      </c>
      <c r="AC3490" s="101">
        <v>1.6188336739348941E-2</v>
      </c>
    </row>
    <row r="3491" spans="25:29" x14ac:dyDescent="0.2">
      <c r="Y3491" s="105" t="str">
        <f t="shared" si="88"/>
        <v>1w</v>
      </c>
      <c r="Z3491" s="93">
        <f>_xll.qlCalendarAdvance(Calendar,Z3490,Y3491,"f",FALSE)</f>
        <v>63676</v>
      </c>
      <c r="AA3491" s="117">
        <f>_xll.qlCalendarAdvance(Calendar,Z3491,NDays&amp;"D")</f>
        <v>63678</v>
      </c>
      <c r="AB3491" s="92">
        <v>1.6272695045967987E-2</v>
      </c>
      <c r="AC3491" s="101">
        <v>1.6189815996332513E-2</v>
      </c>
    </row>
    <row r="3492" spans="25:29" x14ac:dyDescent="0.2">
      <c r="Y3492" s="105" t="str">
        <f t="shared" si="88"/>
        <v>1w</v>
      </c>
      <c r="Z3492" s="93">
        <f>_xll.qlCalendarAdvance(Calendar,Z3491,Y3492,"f",FALSE)</f>
        <v>63683</v>
      </c>
      <c r="AA3492" s="117">
        <f>_xll.qlCalendarAdvance(Calendar,Z3492,NDays&amp;"D")</f>
        <v>63685</v>
      </c>
      <c r="AB3492" s="92">
        <v>1.6273843374197898E-2</v>
      </c>
      <c r="AC3492" s="101">
        <v>1.6191270946306346E-2</v>
      </c>
    </row>
    <row r="3493" spans="25:29" x14ac:dyDescent="0.2">
      <c r="Y3493" s="105" t="str">
        <f t="shared" si="88"/>
        <v>1w</v>
      </c>
      <c r="Z3493" s="93">
        <f>_xll.qlCalendarAdvance(Calendar,Z3492,Y3493,"f",FALSE)</f>
        <v>63690</v>
      </c>
      <c r="AA3493" s="117">
        <f>_xll.qlCalendarAdvance(Calendar,Z3493,NDays&amp;"D")</f>
        <v>63692</v>
      </c>
      <c r="AB3493" s="92">
        <v>1.6274967196073672E-2</v>
      </c>
      <c r="AC3493" s="101">
        <v>1.6192701589243796E-2</v>
      </c>
    </row>
    <row r="3494" spans="25:29" x14ac:dyDescent="0.2">
      <c r="Y3494" s="105" t="str">
        <f t="shared" si="88"/>
        <v>1w</v>
      </c>
      <c r="Z3494" s="93">
        <f>_xll.qlCalendarAdvance(Calendar,Z3493,Y3494,"f",FALSE)</f>
        <v>63697</v>
      </c>
      <c r="AA3494" s="117">
        <f>_xll.qlCalendarAdvance(Calendar,Z3494,NDays&amp;"D")</f>
        <v>63699</v>
      </c>
      <c r="AB3494" s="92">
        <v>1.6276066511552969E-2</v>
      </c>
      <c r="AC3494" s="101">
        <v>1.6194107925144863E-2</v>
      </c>
    </row>
    <row r="3495" spans="25:29" x14ac:dyDescent="0.2">
      <c r="Y3495" s="105" t="str">
        <f t="shared" si="88"/>
        <v>1w</v>
      </c>
      <c r="Z3495" s="93">
        <f>_xll.qlCalendarAdvance(Calendar,Z3494,Y3495,"f",FALSE)</f>
        <v>63704</v>
      </c>
      <c r="AA3495" s="117">
        <f>_xll.qlCalendarAdvance(Calendar,Z3495,NDays&amp;"D")</f>
        <v>63706</v>
      </c>
      <c r="AB3495" s="92">
        <v>1.6277141320595167E-2</v>
      </c>
      <c r="AC3495" s="101">
        <v>1.6195489954089481E-2</v>
      </c>
    </row>
    <row r="3496" spans="25:29" x14ac:dyDescent="0.2">
      <c r="Y3496" s="105" t="str">
        <f t="shared" si="88"/>
        <v>1w</v>
      </c>
      <c r="Z3496" s="93">
        <f>_xll.qlCalendarAdvance(Calendar,Z3495,Y3496,"f",FALSE)</f>
        <v>63711</v>
      </c>
      <c r="AA3496" s="117">
        <f>_xll.qlCalendarAdvance(Calendar,Z3496,NDays&amp;"D")</f>
        <v>63713</v>
      </c>
      <c r="AB3496" s="92">
        <v>1.6278191623159657E-2</v>
      </c>
      <c r="AC3496" s="101">
        <v>1.6196847675944426E-2</v>
      </c>
    </row>
    <row r="3497" spans="25:29" x14ac:dyDescent="0.2">
      <c r="Y3497" s="105" t="str">
        <f t="shared" si="88"/>
        <v>1w</v>
      </c>
      <c r="Z3497" s="93">
        <f>_xll.qlCalendarAdvance(Calendar,Z3496,Y3497,"f",FALSE)</f>
        <v>63718</v>
      </c>
      <c r="AA3497" s="117">
        <f>_xll.qlCalendarAdvance(Calendar,Z3497,NDays&amp;"D")</f>
        <v>63720</v>
      </c>
      <c r="AB3497" s="92">
        <v>1.6279217419206248E-2</v>
      </c>
      <c r="AC3497" s="101">
        <v>1.6198181090789632E-2</v>
      </c>
    </row>
    <row r="3498" spans="25:29" x14ac:dyDescent="0.2">
      <c r="Y3498" s="105" t="str">
        <f t="shared" si="88"/>
        <v>1w</v>
      </c>
      <c r="Z3498" s="93">
        <f>_xll.qlCalendarAdvance(Calendar,Z3497,Y3498,"f",FALSE)</f>
        <v>63725</v>
      </c>
      <c r="AA3498" s="117">
        <f>_xll.qlCalendarAdvance(Calendar,Z3498,NDays&amp;"D")</f>
        <v>63727</v>
      </c>
      <c r="AB3498" s="92">
        <v>1.6280218708697353E-2</v>
      </c>
      <c r="AC3498" s="101">
        <v>1.6199490198625099E-2</v>
      </c>
    </row>
    <row r="3499" spans="25:29" x14ac:dyDescent="0.2">
      <c r="Y3499" s="105" t="str">
        <f t="shared" si="88"/>
        <v>1w</v>
      </c>
      <c r="Z3499" s="93">
        <f>_xll.qlCalendarAdvance(Calendar,Z3498,Y3499,"f",FALSE)</f>
        <v>63732</v>
      </c>
      <c r="AA3499" s="117">
        <f>_xll.qlCalendarAdvance(Calendar,Z3499,NDays&amp;"D")</f>
        <v>63734</v>
      </c>
      <c r="AB3499" s="92">
        <v>1.6281195491595811E-2</v>
      </c>
      <c r="AC3499" s="101">
        <v>1.6200774999397538E-2</v>
      </c>
    </row>
    <row r="3500" spans="25:29" x14ac:dyDescent="0.2">
      <c r="Y3500" s="105" t="str">
        <f t="shared" si="88"/>
        <v>1w</v>
      </c>
      <c r="Z3500" s="93">
        <f>_xll.qlCalendarAdvance(Calendar,Z3499,Y3500,"f",FALSE)</f>
        <v>63739</v>
      </c>
      <c r="AA3500" s="117">
        <f>_xll.qlCalendarAdvance(Calendar,Z3500,NDays&amp;"D")</f>
        <v>63741</v>
      </c>
      <c r="AB3500" s="92">
        <v>1.628214776786403E-2</v>
      </c>
      <c r="AC3500" s="101">
        <v>1.6202035493160238E-2</v>
      </c>
    </row>
    <row r="3501" spans="25:29" x14ac:dyDescent="0.2">
      <c r="Y3501" s="105" t="str">
        <f t="shared" si="88"/>
        <v>1w</v>
      </c>
      <c r="Z3501" s="93">
        <f>_xll.qlCalendarAdvance(Calendar,Z3500,Y3501,"f",FALSE)</f>
        <v>63746</v>
      </c>
      <c r="AA3501" s="117">
        <f>_xll.qlCalendarAdvance(Calendar,Z3501,NDays&amp;"D")</f>
        <v>63748</v>
      </c>
      <c r="AB3501" s="92">
        <v>1.628307553746744E-2</v>
      </c>
      <c r="AC3501" s="101">
        <v>1.6203271679939846E-2</v>
      </c>
    </row>
    <row r="3502" spans="25:29" x14ac:dyDescent="0.2">
      <c r="Y3502" s="105" t="str">
        <f t="shared" si="88"/>
        <v>1w</v>
      </c>
      <c r="Z3502" s="93">
        <f>_xll.qlCalendarAdvance(Calendar,Z3501,Y3502,"f",FALSE)</f>
        <v>63753</v>
      </c>
      <c r="AA3502" s="117">
        <f>_xll.qlCalendarAdvance(Calendar,Z3502,NDays&amp;"D")</f>
        <v>63755</v>
      </c>
      <c r="AB3502" s="92">
        <v>1.6283978800370618E-2</v>
      </c>
      <c r="AC3502" s="101">
        <v>1.6204483559629779E-2</v>
      </c>
    </row>
    <row r="3503" spans="25:29" x14ac:dyDescent="0.2">
      <c r="Y3503" s="105" t="str">
        <f t="shared" si="88"/>
        <v>1w</v>
      </c>
      <c r="Z3503" s="93">
        <f>_xll.qlCalendarAdvance(Calendar,Z3502,Y3503,"f",FALSE)</f>
        <v>63760</v>
      </c>
      <c r="AA3503" s="117">
        <f>_xll.qlCalendarAdvance(Calendar,Z3503,NDays&amp;"D")</f>
        <v>63762</v>
      </c>
      <c r="AB3503" s="92">
        <v>1.6284857556538992E-2</v>
      </c>
      <c r="AC3503" s="101">
        <v>1.6205671132309973E-2</v>
      </c>
    </row>
    <row r="3504" spans="25:29" x14ac:dyDescent="0.2">
      <c r="Y3504" s="105" t="str">
        <f t="shared" si="88"/>
        <v>1w</v>
      </c>
      <c r="Z3504" s="93">
        <f>_xll.qlCalendarAdvance(Calendar,Z3503,Y3504,"f",FALSE)</f>
        <v>63767</v>
      </c>
      <c r="AA3504" s="117">
        <f>_xll.qlCalendarAdvance(Calendar,Z3504,NDays&amp;"D")</f>
        <v>63769</v>
      </c>
      <c r="AB3504" s="92">
        <v>1.628571180594145E-2</v>
      </c>
      <c r="AC3504" s="101">
        <v>1.6206834397927139E-2</v>
      </c>
    </row>
    <row r="3505" spans="25:29" x14ac:dyDescent="0.2">
      <c r="Y3505" s="105" t="str">
        <f t="shared" si="88"/>
        <v>1w</v>
      </c>
      <c r="Z3505" s="93">
        <f>_xll.qlCalendarAdvance(Calendar,Z3504,Y3505,"f",FALSE)</f>
        <v>63774</v>
      </c>
      <c r="AA3505" s="117">
        <f>_xll.qlCalendarAdvance(Calendar,Z3505,NDays&amp;"D")</f>
        <v>63776</v>
      </c>
      <c r="AB3505" s="92">
        <v>1.6286541548544722E-2</v>
      </c>
      <c r="AC3505" s="101">
        <v>1.6207973356561212E-2</v>
      </c>
    </row>
    <row r="3506" spans="25:29" x14ac:dyDescent="0.2">
      <c r="Y3506" s="105" t="str">
        <f t="shared" si="88"/>
        <v>1w</v>
      </c>
      <c r="Z3506" s="93">
        <f>_xll.qlCalendarAdvance(Calendar,Z3505,Y3506,"f",FALSE)</f>
        <v>63781</v>
      </c>
      <c r="AA3506" s="117">
        <f>_xll.qlCalendarAdvance(Calendar,Z3506,NDays&amp;"D")</f>
        <v>63783</v>
      </c>
      <c r="AB3506" s="92">
        <v>1.6287346784317702E-2</v>
      </c>
      <c r="AC3506" s="101">
        <v>1.6209088008132255E-2</v>
      </c>
    </row>
    <row r="3507" spans="25:29" x14ac:dyDescent="0.2">
      <c r="Y3507" s="105" t="str">
        <f t="shared" si="88"/>
        <v>1w</v>
      </c>
      <c r="Z3507" s="93">
        <f>_xll.qlCalendarAdvance(Calendar,Z3506,Y3507,"f",FALSE)</f>
        <v>63788</v>
      </c>
      <c r="AA3507" s="117">
        <f>_xll.qlCalendarAdvance(Calendar,Z3507,NDays&amp;"D")</f>
        <v>63790</v>
      </c>
      <c r="AB3507" s="92">
        <v>1.6288127513230142E-2</v>
      </c>
      <c r="AC3507" s="101">
        <v>1.6210178352666915E-2</v>
      </c>
    </row>
    <row r="3508" spans="25:29" x14ac:dyDescent="0.2">
      <c r="Y3508" s="105" t="str">
        <f t="shared" si="88"/>
        <v>1w</v>
      </c>
      <c r="Z3508" s="93">
        <f>_xll.qlCalendarAdvance(Calendar,Z3507,Y3508,"f",FALSE)</f>
        <v>63795</v>
      </c>
      <c r="AA3508" s="117">
        <f>_xll.qlCalendarAdvance(Calendar,Z3508,NDays&amp;"D")</f>
        <v>63797</v>
      </c>
      <c r="AB3508" s="92">
        <v>1.628723085566287E-2</v>
      </c>
      <c r="AC3508" s="101">
        <v>1.6211244390191837E-2</v>
      </c>
    </row>
    <row r="3509" spans="25:29" x14ac:dyDescent="0.2">
      <c r="Y3509" s="105" t="str">
        <f t="shared" si="88"/>
        <v>1w</v>
      </c>
      <c r="Z3509" s="93">
        <f>_xll.qlCalendarAdvance(Calendar,Z3508,Y3509,"f",FALSE)</f>
        <v>63802</v>
      </c>
      <c r="AA3509" s="117">
        <f>_xll.qlCalendarAdvance(Calendar,Z3509,NDays&amp;"D")</f>
        <v>63804</v>
      </c>
      <c r="AB3509" s="92">
        <v>1.6287969439628128E-2</v>
      </c>
      <c r="AC3509" s="101">
        <v>1.6212286120680375E-2</v>
      </c>
    </row>
    <row r="3510" spans="25:29" x14ac:dyDescent="0.2">
      <c r="Y3510" s="105" t="str">
        <f t="shared" si="88"/>
        <v>1w</v>
      </c>
      <c r="Z3510" s="93">
        <f>_xll.qlCalendarAdvance(Calendar,Z3509,Y3510,"f",FALSE)</f>
        <v>63809</v>
      </c>
      <c r="AA3510" s="117">
        <f>_xll.qlCalendarAdvance(Calendar,Z3510,NDays&amp;"D")</f>
        <v>63811</v>
      </c>
      <c r="AB3510" s="92">
        <v>1.6288683521065203E-2</v>
      </c>
      <c r="AC3510" s="101">
        <v>1.6213303544079238E-2</v>
      </c>
    </row>
    <row r="3511" spans="25:29" x14ac:dyDescent="0.2">
      <c r="Y3511" s="105" t="str">
        <f t="shared" si="88"/>
        <v>1w</v>
      </c>
      <c r="Z3511" s="93">
        <f>_xll.qlCalendarAdvance(Calendar,Z3510,Y3511,"f",FALSE)</f>
        <v>63816</v>
      </c>
      <c r="AA3511" s="117">
        <f>_xll.qlCalendarAdvance(Calendar,Z3511,NDays&amp;"D")</f>
        <v>63818</v>
      </c>
      <c r="AB3511" s="92">
        <v>1.6289373099950249E-2</v>
      </c>
      <c r="AC3511" s="101">
        <v>1.6214296660495009E-2</v>
      </c>
    </row>
    <row r="3512" spans="25:29" x14ac:dyDescent="0.2">
      <c r="Y3512" s="105" t="str">
        <f t="shared" si="88"/>
        <v>1w</v>
      </c>
      <c r="Z3512" s="93">
        <f>_xll.qlCalendarAdvance(Calendar,Z3511,Y3512,"f",FALSE)</f>
        <v>63823</v>
      </c>
      <c r="AA3512" s="117">
        <f>_xll.qlCalendarAdvance(Calendar,Z3512,NDays&amp;"D")</f>
        <v>63825</v>
      </c>
      <c r="AB3512" s="92">
        <v>1.6290444748889708E-2</v>
      </c>
      <c r="AC3512" s="101">
        <v>1.6215265469847751E-2</v>
      </c>
    </row>
    <row r="3513" spans="25:29" x14ac:dyDescent="0.2">
      <c r="Y3513" s="105" t="str">
        <f t="shared" si="88"/>
        <v>1w</v>
      </c>
      <c r="Z3513" s="93">
        <f>_xll.qlCalendarAdvance(Calendar,Z3512,Y3513,"f",FALSE)</f>
        <v>63830</v>
      </c>
      <c r="AA3513" s="117">
        <f>_xll.qlCalendarAdvance(Calendar,Z3513,NDays&amp;"D")</f>
        <v>63832</v>
      </c>
      <c r="AB3513" s="92">
        <v>1.6292701483012439E-2</v>
      </c>
      <c r="AC3513" s="101">
        <v>1.6216209972190754E-2</v>
      </c>
    </row>
    <row r="3514" spans="25:29" x14ac:dyDescent="0.2">
      <c r="Y3514" s="105" t="str">
        <f t="shared" si="88"/>
        <v>1w</v>
      </c>
      <c r="Z3514" s="93">
        <f>_xll.qlCalendarAdvance(Calendar,Z3513,Y3514,"f",FALSE)</f>
        <v>63837</v>
      </c>
      <c r="AA3514" s="117">
        <f>_xll.qlCalendarAdvance(Calendar,Z3514,NDays&amp;"D")</f>
        <v>63839</v>
      </c>
      <c r="AB3514" s="92">
        <v>1.6291697949768601E-2</v>
      </c>
      <c r="AC3514" s="101">
        <v>1.6217130167470728E-2</v>
      </c>
    </row>
    <row r="3515" spans="25:29" x14ac:dyDescent="0.2">
      <c r="Y3515" s="105" t="str">
        <f t="shared" si="88"/>
        <v>1w</v>
      </c>
      <c r="Z3515" s="93">
        <f>_xll.qlCalendarAdvance(Calendar,Z3514,Y3515,"f",FALSE)</f>
        <v>63844</v>
      </c>
      <c r="AA3515" s="117">
        <f>_xll.qlCalendarAdvance(Calendar,Z3515,NDays&amp;"D")</f>
        <v>63846</v>
      </c>
      <c r="AB3515" s="92">
        <v>1.6292287794588623E-2</v>
      </c>
      <c r="AC3515" s="101">
        <v>1.6218026055714319E-2</v>
      </c>
    </row>
    <row r="3516" spans="25:29" x14ac:dyDescent="0.2">
      <c r="Y3516" s="105" t="str">
        <f t="shared" si="88"/>
        <v>1w</v>
      </c>
      <c r="Z3516" s="93">
        <f>_xll.qlCalendarAdvance(Calendar,Z3515,Y3516,"f",FALSE)</f>
        <v>63851</v>
      </c>
      <c r="AA3516" s="117">
        <f>_xll.qlCalendarAdvance(Calendar,Z3516,NDays&amp;"D")</f>
        <v>63853</v>
      </c>
      <c r="AB3516" s="92">
        <v>1.6292853135633369E-2</v>
      </c>
      <c r="AC3516" s="101">
        <v>1.6218897636921525E-2</v>
      </c>
    </row>
    <row r="3517" spans="25:29" x14ac:dyDescent="0.2">
      <c r="Y3517" s="105" t="str">
        <f t="shared" si="88"/>
        <v>1w</v>
      </c>
      <c r="Z3517" s="93">
        <f>_xll.qlCalendarAdvance(Calendar,Z3516,Y3517,"f",FALSE)</f>
        <v>63858</v>
      </c>
      <c r="AA3517" s="117">
        <f>_xll.qlCalendarAdvance(Calendar,Z3517,NDays&amp;"D")</f>
        <v>63860</v>
      </c>
      <c r="AB3517" s="92">
        <v>1.6292996018291709E-2</v>
      </c>
      <c r="AC3517" s="101">
        <v>1.6219744911092349E-2</v>
      </c>
    </row>
    <row r="3518" spans="25:29" x14ac:dyDescent="0.2">
      <c r="Y3518" s="105" t="str">
        <f t="shared" si="88"/>
        <v>1w</v>
      </c>
      <c r="Z3518" s="93">
        <f>_xll.qlCalendarAdvance(Calendar,Z3517,Y3518,"f",FALSE)</f>
        <v>63865</v>
      </c>
      <c r="AA3518" s="117">
        <f>_xll.qlCalendarAdvance(Calendar,Z3518,NDays&amp;"D")</f>
        <v>63867</v>
      </c>
      <c r="AB3518" s="92">
        <v>1.6293514078647427E-2</v>
      </c>
      <c r="AC3518" s="101">
        <v>1.6220567878226788E-2</v>
      </c>
    </row>
    <row r="3519" spans="25:29" x14ac:dyDescent="0.2">
      <c r="Y3519" s="105" t="str">
        <f t="shared" si="88"/>
        <v>1w</v>
      </c>
      <c r="Z3519" s="93">
        <f>_xll.qlCalendarAdvance(Calendar,Z3518,Y3519,"f",FALSE)</f>
        <v>63872</v>
      </c>
      <c r="AA3519" s="117">
        <f>_xll.qlCalendarAdvance(Calendar,Z3519,NDays&amp;"D")</f>
        <v>63874</v>
      </c>
      <c r="AB3519" s="92">
        <v>1.6294007636272693E-2</v>
      </c>
      <c r="AC3519" s="101">
        <v>1.6221366538324844E-2</v>
      </c>
    </row>
    <row r="3520" spans="25:29" x14ac:dyDescent="0.2">
      <c r="Y3520" s="105" t="str">
        <f t="shared" si="88"/>
        <v>1w</v>
      </c>
      <c r="Z3520" s="93">
        <f>_xll.qlCalendarAdvance(Calendar,Z3519,Y3520,"f",FALSE)</f>
        <v>63879</v>
      </c>
      <c r="AA3520" s="117">
        <f>_xll.qlCalendarAdvance(Calendar,Z3520,NDays&amp;"D")</f>
        <v>63881</v>
      </c>
      <c r="AB3520" s="92">
        <v>1.6294476691150285E-2</v>
      </c>
      <c r="AC3520" s="101">
        <v>1.6222140891386516E-2</v>
      </c>
    </row>
    <row r="3521" spans="25:29" x14ac:dyDescent="0.2">
      <c r="Y3521" s="105" t="str">
        <f t="shared" si="88"/>
        <v>1w</v>
      </c>
      <c r="Z3521" s="93">
        <f>_xll.qlCalendarAdvance(Calendar,Z3520,Y3521,"f",FALSE)</f>
        <v>63886</v>
      </c>
      <c r="AA3521" s="117">
        <f>_xll.qlCalendarAdvance(Calendar,Z3521,NDays&amp;"D")</f>
        <v>63888</v>
      </c>
      <c r="AB3521" s="92">
        <v>1.6295312283529238E-2</v>
      </c>
      <c r="AC3521" s="101">
        <v>1.6222890937385159E-2</v>
      </c>
    </row>
    <row r="3522" spans="25:29" x14ac:dyDescent="0.2">
      <c r="Y3522" s="105" t="str">
        <f t="shared" si="88"/>
        <v>1w</v>
      </c>
      <c r="Z3522" s="93">
        <f>_xll.qlCalendarAdvance(Calendar,Z3521,Y3522,"f",FALSE)</f>
        <v>63893</v>
      </c>
      <c r="AA3522" s="117">
        <f>_xll.qlCalendarAdvance(Calendar,Z3522,NDays&amp;"D")</f>
        <v>63895</v>
      </c>
      <c r="AB3522" s="92">
        <v>1.62957306015152E-2</v>
      </c>
      <c r="AC3522" s="101">
        <v>1.6223616676374064E-2</v>
      </c>
    </row>
    <row r="3523" spans="25:29" x14ac:dyDescent="0.2">
      <c r="Y3523" s="105" t="str">
        <f t="shared" si="88"/>
        <v>1w</v>
      </c>
      <c r="Z3523" s="93">
        <f>_xll.qlCalendarAdvance(Calendar,Z3522,Y3523,"f",FALSE)</f>
        <v>63900</v>
      </c>
      <c r="AA3523" s="117">
        <f>_xll.qlCalendarAdvance(Calendar,Z3523,NDays&amp;"D")</f>
        <v>63902</v>
      </c>
      <c r="AB3523" s="92">
        <v>1.6296124415599841E-2</v>
      </c>
      <c r="AC3523" s="101">
        <v>1.622431810829994E-2</v>
      </c>
    </row>
    <row r="3524" spans="25:29" x14ac:dyDescent="0.2">
      <c r="Y3524" s="105" t="str">
        <f t="shared" si="88"/>
        <v>1w</v>
      </c>
      <c r="Z3524" s="93">
        <f>_xll.qlCalendarAdvance(Calendar,Z3523,Y3524,"f",FALSE)</f>
        <v>63907</v>
      </c>
      <c r="AA3524" s="117">
        <f>_xll.qlCalendarAdvance(Calendar,Z3524,NDays&amp;"D")</f>
        <v>63909</v>
      </c>
      <c r="AB3524" s="92">
        <v>1.6296493725766904E-2</v>
      </c>
      <c r="AC3524" s="101">
        <v>1.6224995233162787E-2</v>
      </c>
    </row>
    <row r="3525" spans="25:29" x14ac:dyDescent="0.2">
      <c r="Y3525" s="105" t="str">
        <f t="shared" si="88"/>
        <v>1w</v>
      </c>
      <c r="Z3525" s="93">
        <f>_xll.qlCalendarAdvance(Calendar,Z3524,Y3525,"f",FALSE)</f>
        <v>63915</v>
      </c>
      <c r="AA3525" s="117">
        <f>_xll.qlCalendarAdvance(Calendar,Z3525,NDays&amp;"D")</f>
        <v>63919</v>
      </c>
      <c r="AB3525" s="92">
        <v>1.6295828248775138E-2</v>
      </c>
      <c r="AC3525" s="101">
        <v>1.6225509769522972E-2</v>
      </c>
    </row>
    <row r="3526" spans="25:29" x14ac:dyDescent="0.2">
      <c r="Y3526" s="105" t="str">
        <f t="shared" si="88"/>
        <v>1w</v>
      </c>
      <c r="Z3526" s="93">
        <f>_xll.qlCalendarAdvance(Calendar,Z3525,Y3526,"f",FALSE)</f>
        <v>63922</v>
      </c>
      <c r="AA3526" s="117">
        <f>_xll.qlCalendarAdvance(Calendar,Z3526,NDays&amp;"D")</f>
        <v>63926</v>
      </c>
      <c r="AB3526" s="92" t="e">
        <v>#N/A</v>
      </c>
      <c r="AC3526" s="101">
        <v>1.6225720509428498E-2</v>
      </c>
    </row>
    <row r="3527" spans="25:29" x14ac:dyDescent="0.2">
      <c r="Y3527" s="105" t="str">
        <f t="shared" si="88"/>
        <v>1w</v>
      </c>
      <c r="Z3527" s="93">
        <f>_xll.qlCalendarAdvance(Calendar,Z3526,Y3527,"f",FALSE)</f>
        <v>63929</v>
      </c>
      <c r="AA3527" s="117">
        <f>_xll.qlCalendarAdvance(Calendar,Z3527,NDays&amp;"D")</f>
        <v>63933</v>
      </c>
      <c r="AB3527" s="92" t="e">
        <v>#N/A</v>
      </c>
      <c r="AC3527" s="101">
        <v>1.6226317714513883E-2</v>
      </c>
    </row>
    <row r="3528" spans="25:29" x14ac:dyDescent="0.2">
      <c r="Y3528" s="105" t="str">
        <f t="shared" si="88"/>
        <v>1w</v>
      </c>
      <c r="Z3528" s="93">
        <f>_xll.qlCalendarAdvance(Calendar,Z3527,Y3528,"f",FALSE)</f>
        <v>63936</v>
      </c>
      <c r="AA3528" s="117">
        <f>_xll.qlCalendarAdvance(Calendar,Z3528,NDays&amp;"D")</f>
        <v>63940</v>
      </c>
      <c r="AB3528" s="92" t="e">
        <v>#N/A</v>
      </c>
      <c r="AC3528" s="101">
        <v>1.6226890614641221E-2</v>
      </c>
    </row>
    <row r="3529" spans="25:29" x14ac:dyDescent="0.2">
      <c r="Y3529" s="105" t="str">
        <f t="shared" si="88"/>
        <v>1w</v>
      </c>
      <c r="Z3529" s="93">
        <f>_xll.qlCalendarAdvance(Calendar,Z3528,Y3529,"f",FALSE)</f>
        <v>63943</v>
      </c>
      <c r="AA3529" s="117">
        <f>_xll.qlCalendarAdvance(Calendar,Z3529,NDays&amp;"D")</f>
        <v>63947</v>
      </c>
      <c r="AB3529" s="92" t="e">
        <v>#N/A</v>
      </c>
      <c r="AC3529" s="101">
        <v>1.6227439210050321E-2</v>
      </c>
    </row>
    <row r="3530" spans="25:29" x14ac:dyDescent="0.2">
      <c r="Y3530" s="105" t="str">
        <f t="shared" si="88"/>
        <v>1w</v>
      </c>
      <c r="Z3530" s="93">
        <f>_xll.qlCalendarAdvance(Calendar,Z3529,Y3530,"f",FALSE)</f>
        <v>63950</v>
      </c>
      <c r="AA3530" s="117">
        <f>_xll.qlCalendarAdvance(Calendar,Z3530,NDays&amp;"D")</f>
        <v>63954</v>
      </c>
      <c r="AB3530" s="92" t="e">
        <v>#N/A</v>
      </c>
      <c r="AC3530" s="101">
        <v>1.6227963500501374E-2</v>
      </c>
    </row>
    <row r="3531" spans="25:29" x14ac:dyDescent="0.2">
      <c r="Y3531" s="105" t="str">
        <f t="shared" si="88"/>
        <v>1w</v>
      </c>
      <c r="Z3531" s="93">
        <f>_xll.qlCalendarAdvance(Calendar,Z3530,Y3531,"f",FALSE)</f>
        <v>63957</v>
      </c>
      <c r="AA3531" s="117">
        <f>_xll.qlCalendarAdvance(Calendar,Z3531,NDays&amp;"D")</f>
        <v>63961</v>
      </c>
      <c r="AB3531" s="92" t="e">
        <v>#N/A</v>
      </c>
      <c r="AC3531" s="101">
        <v>1.6228463485994382E-2</v>
      </c>
    </row>
    <row r="3532" spans="25:29" x14ac:dyDescent="0.2">
      <c r="Y3532" s="105" t="str">
        <f t="shared" si="88"/>
        <v>1w</v>
      </c>
      <c r="Z3532" s="93">
        <f>_xll.qlCalendarAdvance(Calendar,Z3531,Y3532,"f",FALSE)</f>
        <v>63964</v>
      </c>
      <c r="AA3532" s="117">
        <f>_xll.qlCalendarAdvance(Calendar,Z3532,NDays&amp;"D")</f>
        <v>63968</v>
      </c>
      <c r="AB3532" s="92" t="e">
        <v>#N/A</v>
      </c>
      <c r="AC3532" s="101">
        <v>1.6228939166849088E-2</v>
      </c>
    </row>
    <row r="3533" spans="25:29" x14ac:dyDescent="0.2">
      <c r="Y3533" s="105" t="str">
        <f t="shared" si="88"/>
        <v>1w</v>
      </c>
      <c r="Z3533" s="93">
        <f>_xll.qlCalendarAdvance(Calendar,Z3532,Y3533,"f",FALSE)</f>
        <v>63971</v>
      </c>
      <c r="AA3533" s="117">
        <f>_xll.qlCalendarAdvance(Calendar,Z3533,NDays&amp;"D")</f>
        <v>63975</v>
      </c>
      <c r="AB3533" s="92" t="e">
        <v>#N/A</v>
      </c>
      <c r="AC3533" s="101">
        <v>1.6229390542665811E-2</v>
      </c>
    </row>
    <row r="3534" spans="25:29" x14ac:dyDescent="0.2">
      <c r="Y3534" s="105" t="str">
        <f t="shared" si="88"/>
        <v>1w</v>
      </c>
      <c r="Z3534" s="93">
        <f>_xll.qlCalendarAdvance(Calendar,Z3533,Y3534,"f",FALSE)</f>
        <v>63978</v>
      </c>
      <c r="AA3534" s="117">
        <f>_xll.qlCalendarAdvance(Calendar,Z3534,NDays&amp;"D")</f>
        <v>63982</v>
      </c>
      <c r="AB3534" s="92" t="e">
        <v>#N/A</v>
      </c>
      <c r="AC3534" s="101">
        <v>1.6229817613844233E-2</v>
      </c>
    </row>
    <row r="3535" spans="25:29" x14ac:dyDescent="0.2">
      <c r="Y3535" s="105" t="str">
        <f t="shared" si="88"/>
        <v>1w</v>
      </c>
      <c r="Z3535" s="93">
        <f>_xll.qlCalendarAdvance(Calendar,Z3534,Y3535,"f",FALSE)</f>
        <v>63985</v>
      </c>
      <c r="AA3535" s="117">
        <f>_xll.qlCalendarAdvance(Calendar,Z3535,NDays&amp;"D")</f>
        <v>63989</v>
      </c>
      <c r="AB3535" s="92" t="e">
        <v>#N/A</v>
      </c>
      <c r="AC3535" s="101">
        <v>1.6230220380064608E-2</v>
      </c>
    </row>
    <row r="3536" spans="25:29" x14ac:dyDescent="0.2">
      <c r="Y3536" s="105" t="str">
        <f t="shared" si="88"/>
        <v>1w</v>
      </c>
      <c r="Z3536" s="93">
        <f>_xll.qlCalendarAdvance(Calendar,Z3535,Y3536,"f",FALSE)</f>
        <v>63992</v>
      </c>
      <c r="AA3536" s="117">
        <f>_xll.qlCalendarAdvance(Calendar,Z3536,NDays&amp;"D")</f>
        <v>63996</v>
      </c>
      <c r="AB3536" s="92" t="e">
        <v>#N/A</v>
      </c>
      <c r="AC3536" s="101">
        <v>1.6230598841406874E-2</v>
      </c>
    </row>
    <row r="3537" spans="2:29" x14ac:dyDescent="0.2">
      <c r="Y3537" s="105" t="str">
        <f t="shared" si="88"/>
        <v>1w</v>
      </c>
      <c r="Z3537" s="93">
        <f>_xll.qlCalendarAdvance(Calendar,Z3536,Y3537,"f",FALSE)</f>
        <v>63999</v>
      </c>
      <c r="AA3537" s="117">
        <f>_xll.qlCalendarAdvance(Calendar,Z3537,NDays&amp;"D")</f>
        <v>64003</v>
      </c>
      <c r="AB3537" s="92" t="e">
        <v>#N/A</v>
      </c>
      <c r="AC3537" s="101">
        <v>1.6230952997791093E-2</v>
      </c>
    </row>
    <row r="3538" spans="2:29" x14ac:dyDescent="0.2">
      <c r="Y3538" s="105" t="str">
        <f t="shared" si="88"/>
        <v>1w</v>
      </c>
      <c r="Z3538" s="93">
        <f>_xll.qlCalendarAdvance(Calendar,Z3537,Y3538,"f",FALSE)</f>
        <v>64006</v>
      </c>
      <c r="AA3538" s="117">
        <f>_xll.qlCalendarAdvance(Calendar,Z3538,NDays&amp;"D")</f>
        <v>64010</v>
      </c>
      <c r="AB3538" s="92" t="e">
        <v>#N/A</v>
      </c>
      <c r="AC3538" s="101">
        <v>1.6231282849457074E-2</v>
      </c>
    </row>
    <row r="3539" spans="2:29" x14ac:dyDescent="0.2">
      <c r="Y3539" s="105" t="str">
        <f t="shared" si="88"/>
        <v>1w</v>
      </c>
      <c r="Z3539" s="93">
        <f>_xll.qlCalendarAdvance(Calendar,Z3538,Y3539,"f",FALSE)</f>
        <v>64013</v>
      </c>
      <c r="AA3539" s="117">
        <f>_xll.qlCalendarAdvance(Calendar,Z3539,NDays&amp;"D")</f>
        <v>64019</v>
      </c>
      <c r="AB3539" s="92" t="e">
        <v>#N/A</v>
      </c>
      <c r="AC3539" s="101">
        <v>1.6231671231183853E-2</v>
      </c>
    </row>
    <row r="3540" spans="2:29" x14ac:dyDescent="0.2">
      <c r="B3540" s="93"/>
      <c r="C3540" s="117"/>
      <c r="D3540" s="92"/>
      <c r="E3540" s="92"/>
      <c r="Y3540" s="105" t="str">
        <f t="shared" si="88"/>
        <v>1w</v>
      </c>
      <c r="Z3540" s="93">
        <f>_xll.qlCalendarAdvance(Calendar,Z3539,Y3540,"f",FALSE)</f>
        <v>64020</v>
      </c>
      <c r="AA3540" s="117">
        <f>_xll.qlCalendarAdvance(Calendar,Z3540,NDays&amp;"D")</f>
        <v>64024</v>
      </c>
      <c r="AB3540" s="92" t="e">
        <v>#N/A</v>
      </c>
      <c r="AC3540" s="101">
        <v>1.623186963807477E-2</v>
      </c>
    </row>
    <row r="3541" spans="2:29" x14ac:dyDescent="0.2">
      <c r="B3541" s="93"/>
      <c r="C3541" s="117"/>
      <c r="D3541" s="92"/>
      <c r="E3541" s="92"/>
      <c r="Y3541" s="105" t="str">
        <f t="shared" ref="Y3541:Y3552" si="89">Y3540</f>
        <v>1w</v>
      </c>
      <c r="Z3541" s="93">
        <f>_xll.qlCalendarAdvance(Calendar,Z3540,Y3541,"f",FALSE)</f>
        <v>64027</v>
      </c>
      <c r="AA3541" s="117">
        <f>_xll.qlCalendarAdvance(Calendar,Z3541,NDays&amp;"D")</f>
        <v>64031</v>
      </c>
      <c r="AB3541" s="92" t="e">
        <v>#N/A</v>
      </c>
      <c r="AC3541" s="101">
        <v>1.6232126575186356E-2</v>
      </c>
    </row>
    <row r="3542" spans="2:29" x14ac:dyDescent="0.2">
      <c r="B3542" s="93"/>
      <c r="C3542" s="117"/>
      <c r="D3542" s="92"/>
      <c r="E3542" s="92"/>
      <c r="Y3542" s="105" t="str">
        <f t="shared" si="89"/>
        <v>1w</v>
      </c>
      <c r="Z3542" s="93">
        <f>_xll.qlCalendarAdvance(Calendar,Z3541,Y3542,"f",FALSE)</f>
        <v>64034</v>
      </c>
      <c r="AA3542" s="117">
        <f>_xll.qlCalendarAdvance(Calendar,Z3542,NDays&amp;"D")</f>
        <v>64038</v>
      </c>
      <c r="AB3542" s="92" t="e">
        <v>#N/A</v>
      </c>
      <c r="AC3542" s="101">
        <v>1.6232359207419833E-2</v>
      </c>
    </row>
    <row r="3543" spans="2:29" x14ac:dyDescent="0.2">
      <c r="B3543" s="93"/>
      <c r="C3543" s="117"/>
      <c r="D3543" s="92"/>
      <c r="E3543" s="92"/>
      <c r="Y3543" s="105" t="str">
        <f t="shared" si="89"/>
        <v>1w</v>
      </c>
      <c r="Z3543" s="93">
        <f>_xll.qlCalendarAdvance(Calendar,Z3542,Y3543,"f",FALSE)</f>
        <v>64041</v>
      </c>
      <c r="AA3543" s="117">
        <f>_xll.qlCalendarAdvance(Calendar,Z3543,NDays&amp;"D")</f>
        <v>64045</v>
      </c>
      <c r="AB3543" s="92" t="e">
        <v>#N/A</v>
      </c>
      <c r="AC3543" s="101">
        <v>1.6232567534855136E-2</v>
      </c>
    </row>
    <row r="3544" spans="2:29" x14ac:dyDescent="0.2">
      <c r="B3544" s="93"/>
      <c r="C3544" s="117"/>
      <c r="D3544" s="92"/>
      <c r="E3544" s="92"/>
      <c r="Y3544" s="105" t="str">
        <f t="shared" si="89"/>
        <v>1w</v>
      </c>
      <c r="Z3544" s="93">
        <f>_xll.qlCalendarAdvance(Calendar,Z3543,Y3544,"f",FALSE)</f>
        <v>64048</v>
      </c>
      <c r="AA3544" s="117">
        <f>_xll.qlCalendarAdvance(Calendar,Z3544,NDays&amp;"D")</f>
        <v>64052</v>
      </c>
      <c r="AB3544" s="92" t="e">
        <v>#N/A</v>
      </c>
      <c r="AC3544" s="101">
        <v>1.623275155717252E-2</v>
      </c>
    </row>
    <row r="3545" spans="2:29" x14ac:dyDescent="0.2">
      <c r="B3545" s="93"/>
      <c r="C3545" s="117"/>
      <c r="D3545" s="92"/>
      <c r="E3545" s="92"/>
      <c r="Y3545" s="105" t="str">
        <f t="shared" si="89"/>
        <v>1w</v>
      </c>
      <c r="Z3545" s="93">
        <f>_xll.qlCalendarAdvance(Calendar,Z3544,Y3545,"f",FALSE)</f>
        <v>64055</v>
      </c>
      <c r="AA3545" s="117">
        <f>_xll.qlCalendarAdvance(Calendar,Z3545,NDays&amp;"D")</f>
        <v>64059</v>
      </c>
      <c r="AB3545" s="92" t="e">
        <v>#N/A</v>
      </c>
      <c r="AC3545" s="101">
        <v>1.6232911274851602E-2</v>
      </c>
    </row>
    <row r="3546" spans="2:29" x14ac:dyDescent="0.2">
      <c r="B3546" s="93"/>
      <c r="C3546" s="117"/>
      <c r="D3546" s="92"/>
      <c r="E3546" s="92"/>
      <c r="Y3546" s="105" t="str">
        <f t="shared" si="89"/>
        <v>1w</v>
      </c>
      <c r="Z3546" s="93">
        <f>_xll.qlCalendarAdvance(Calendar,Z3545,Y3546,"f",FALSE)</f>
        <v>64062</v>
      </c>
      <c r="AA3546" s="117">
        <f>_xll.qlCalendarAdvance(Calendar,Z3546,NDays&amp;"D")</f>
        <v>64066</v>
      </c>
      <c r="AB3546" s="92" t="e">
        <v>#N/A</v>
      </c>
      <c r="AC3546" s="101">
        <v>1.6233046687732511E-2</v>
      </c>
    </row>
    <row r="3547" spans="2:29" x14ac:dyDescent="0.2">
      <c r="B3547" s="93"/>
      <c r="C3547" s="117"/>
      <c r="D3547" s="92"/>
      <c r="E3547" s="92"/>
      <c r="Y3547" s="105" t="str">
        <f t="shared" si="89"/>
        <v>1w</v>
      </c>
      <c r="Z3547" s="93">
        <f>_xll.qlCalendarAdvance(Calendar,Z3546,Y3547,"f",FALSE)</f>
        <v>64069</v>
      </c>
      <c r="AA3547" s="117">
        <f>_xll.qlCalendarAdvance(Calendar,Z3547,NDays&amp;"D")</f>
        <v>64073</v>
      </c>
      <c r="AB3547" s="92" t="e">
        <v>#N/A</v>
      </c>
      <c r="AC3547" s="101">
        <v>1.6233157795495501E-2</v>
      </c>
    </row>
    <row r="3548" spans="2:29" x14ac:dyDescent="0.2">
      <c r="B3548" s="93"/>
      <c r="C3548" s="117"/>
      <c r="D3548" s="92"/>
      <c r="E3548" s="92"/>
      <c r="Y3548" s="105" t="str">
        <f t="shared" si="89"/>
        <v>1w</v>
      </c>
      <c r="Z3548" s="93">
        <f>_xll.qlCalendarAdvance(Calendar,Z3547,Y3548,"f",FALSE)</f>
        <v>64076</v>
      </c>
      <c r="AA3548" s="117">
        <f>_xll.qlCalendarAdvance(Calendar,Z3548,NDays&amp;"D")</f>
        <v>64080</v>
      </c>
      <c r="AB3548" s="92" t="e">
        <v>#N/A</v>
      </c>
      <c r="AC3548" s="101">
        <v>1.6233244598620189E-2</v>
      </c>
    </row>
    <row r="3549" spans="2:29" x14ac:dyDescent="0.2">
      <c r="B3549" s="93"/>
      <c r="C3549" s="117"/>
      <c r="D3549" s="92"/>
      <c r="E3549" s="92"/>
      <c r="Y3549" s="105" t="str">
        <f t="shared" si="89"/>
        <v>1w</v>
      </c>
      <c r="Z3549" s="93">
        <f>_xll.qlCalendarAdvance(Calendar,Z3548,Y3549,"f",FALSE)</f>
        <v>64083</v>
      </c>
      <c r="AA3549" s="117">
        <f>_xll.qlCalendarAdvance(Calendar,Z3549,NDays&amp;"D")</f>
        <v>64087</v>
      </c>
      <c r="AB3549" s="92" t="e">
        <v>#N/A</v>
      </c>
      <c r="AC3549" s="101">
        <v>1.6233307096866767E-2</v>
      </c>
    </row>
    <row r="3550" spans="2:29" x14ac:dyDescent="0.2">
      <c r="B3550" s="93"/>
      <c r="C3550" s="117"/>
      <c r="D3550" s="92"/>
      <c r="E3550" s="92"/>
      <c r="Y3550" s="105" t="str">
        <f t="shared" si="89"/>
        <v>1w</v>
      </c>
      <c r="Z3550" s="93">
        <f>_xll.qlCalendarAdvance(Calendar,Z3549,Y3550,"f",FALSE)</f>
        <v>64090</v>
      </c>
      <c r="AA3550" s="117">
        <f>_xll.qlCalendarAdvance(Calendar,Z3550,NDays&amp;"D")</f>
        <v>64094</v>
      </c>
      <c r="AB3550" s="92" t="e">
        <v>#N/A</v>
      </c>
      <c r="AC3550" s="101">
        <v>1.6233345290235235E-2</v>
      </c>
    </row>
    <row r="3551" spans="2:29" x14ac:dyDescent="0.2">
      <c r="B3551" s="93"/>
      <c r="C3551" s="117"/>
      <c r="D3551" s="92"/>
      <c r="E3551" s="92"/>
      <c r="Y3551" s="105" t="str">
        <f t="shared" si="89"/>
        <v>1w</v>
      </c>
      <c r="Z3551" s="93">
        <f>_xll.qlCalendarAdvance(Calendar,Z3550,Y3551,"f",FALSE)</f>
        <v>64097</v>
      </c>
      <c r="AA3551" s="117">
        <f>_xll.qlCalendarAdvance(Calendar,Z3551,NDays&amp;"D")</f>
        <v>64101</v>
      </c>
      <c r="AB3551" s="92" t="e">
        <v>#N/A</v>
      </c>
      <c r="AC3551" s="101">
        <v>1.6233359178645657E-2</v>
      </c>
    </row>
    <row r="3552" spans="2:29" ht="12" thickBot="1" x14ac:dyDescent="0.25">
      <c r="B3552" s="93"/>
      <c r="C3552" s="117"/>
      <c r="D3552" s="92"/>
      <c r="E3552" s="92"/>
      <c r="Y3552" s="106" t="str">
        <f t="shared" si="89"/>
        <v>1w</v>
      </c>
      <c r="Z3552" s="103">
        <f>_xll.qlCalendarAdvance(Calendar,Z3551,Y3552,"f",FALSE)</f>
        <v>64104</v>
      </c>
      <c r="AA3552" s="126">
        <f>_xll.qlCalendarAdvance(Calendar,Z3552,NDays&amp;"D")</f>
        <v>64108</v>
      </c>
      <c r="AB3552" s="119" t="e">
        <v>#N/A</v>
      </c>
      <c r="AC3552" s="104" t="e">
        <v>#N/A</v>
      </c>
    </row>
    <row r="3553" spans="2:25" x14ac:dyDescent="0.2">
      <c r="B3553" s="93"/>
      <c r="C3553" s="117"/>
      <c r="D3553" s="92"/>
      <c r="E3553" s="92"/>
      <c r="Y3553" s="94"/>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2015-06-30T15:56:57Z</dcterms:modified>
</cp:coreProperties>
</file>