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E6" i="15"/>
  <c r="E17" i="15"/>
  <c r="E11" i="15"/>
  <c r="E9" i="15"/>
  <c r="E12" i="15"/>
  <c r="E7" i="15"/>
  <c r="E8" i="15"/>
  <c r="D2" i="15"/>
  <c r="E14" i="15"/>
  <c r="E15" i="15"/>
  <c r="E10" i="15"/>
  <c r="E18" i="15"/>
  <c r="E16" i="15"/>
  <c r="E13" i="15"/>
  <c r="C27" i="6" l="1"/>
  <c r="C18" i="15"/>
  <c r="D3"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K4" i="13"/>
  <c r="C6" i="15"/>
  <c r="L3" i="13"/>
  <c r="F14" i="12" l="1"/>
  <c r="F16" i="12"/>
  <c r="F15" i="12"/>
  <c r="F13" i="12"/>
  <c r="F12" i="12"/>
  <c r="F11" i="12"/>
  <c r="F10" i="12"/>
  <c r="F9" i="12"/>
  <c r="F8" i="12"/>
  <c r="F7" i="12"/>
  <c r="F6" i="12"/>
  <c r="F5" i="12"/>
  <c r="F4" i="12"/>
  <c r="F3" i="12"/>
  <c r="C7" i="15"/>
  <c r="L3" i="11"/>
  <c r="C5" i="12"/>
  <c r="C3" i="12"/>
  <c r="C4" i="12"/>
  <c r="L4" i="13"/>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K311" i="13"/>
  <c r="K275" i="13"/>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C7" i="12"/>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G9" i="7"/>
  <c r="H15" i="9"/>
  <c r="G11" i="7"/>
  <c r="H20" i="9"/>
  <c r="H5" i="7"/>
  <c r="H3" i="9"/>
  <c r="F7" i="7"/>
  <c r="L7" i="11"/>
  <c r="L275" i="13"/>
  <c r="F9" i="7"/>
  <c r="E5" i="7"/>
  <c r="H8" i="7"/>
  <c r="D9" i="7"/>
  <c r="H4" i="9"/>
  <c r="G8" i="7"/>
  <c r="H12" i="9"/>
  <c r="H6" i="7"/>
  <c r="D12" i="7"/>
  <c r="F11" i="7"/>
  <c r="H8" i="9"/>
  <c r="H3" i="7"/>
  <c r="E7" i="7"/>
  <c r="D5" i="7"/>
  <c r="E11" i="7"/>
  <c r="Z19" i="12"/>
  <c r="H17" i="9"/>
  <c r="D11" i="7"/>
  <c r="H7" i="7"/>
  <c r="E6" i="7"/>
  <c r="E9" i="7"/>
  <c r="D10" i="7"/>
  <c r="H6" i="9"/>
  <c r="E10" i="7"/>
  <c r="F10" i="7"/>
  <c r="E4" i="7"/>
  <c r="F8" i="7"/>
  <c r="H11" i="7"/>
  <c r="E8" i="7"/>
  <c r="F12" i="7"/>
  <c r="H7" i="9"/>
  <c r="C12" i="15"/>
  <c r="H13" i="9"/>
  <c r="H10" i="7"/>
  <c r="H10" i="9"/>
  <c r="D6" i="7"/>
  <c r="H16" i="9"/>
  <c r="H18" i="9"/>
  <c r="H9" i="7"/>
  <c r="H14" i="9"/>
  <c r="H4" i="7"/>
  <c r="G10" i="7"/>
  <c r="E12" i="7"/>
  <c r="D7" i="7"/>
  <c r="D4" i="7"/>
  <c r="D3" i="7"/>
  <c r="G7" i="7"/>
  <c r="H12" i="7"/>
  <c r="H9" i="9"/>
  <c r="H11" i="9"/>
  <c r="E3" i="7"/>
  <c r="D8" i="7"/>
  <c r="G12" i="7"/>
  <c r="H5" i="9"/>
  <c r="B72" i="4" l="1"/>
  <c r="B148" i="4"/>
  <c r="B100" i="4"/>
  <c r="B189" i="4"/>
  <c r="B372" i="4"/>
  <c r="M383" i="12" s="1"/>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M347" i="12" s="1"/>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L11" i="11"/>
  <c r="L39" i="11"/>
  <c r="L38" i="11"/>
  <c r="L10" i="11"/>
  <c r="L36" i="11"/>
  <c r="L27" i="11"/>
  <c r="L17" i="11"/>
  <c r="L29" i="11"/>
  <c r="L18" i="11"/>
  <c r="L40" i="11"/>
  <c r="L30" i="11"/>
  <c r="L6" i="11"/>
  <c r="L22" i="11"/>
  <c r="L21" i="11"/>
  <c r="L14" i="11"/>
  <c r="L24" i="11"/>
  <c r="L32" i="11"/>
  <c r="L41" i="11"/>
  <c r="L12" i="11"/>
  <c r="L25" i="11"/>
  <c r="L35" i="11"/>
  <c r="L9" i="11"/>
  <c r="L19" i="11"/>
  <c r="L8" i="11"/>
  <c r="L15" i="11"/>
  <c r="L26" i="11"/>
  <c r="L5" i="11"/>
  <c r="L31" i="11"/>
  <c r="L33" i="11"/>
  <c r="L37" i="11"/>
  <c r="L23" i="11"/>
  <c r="L20" i="11"/>
  <c r="L34" i="11"/>
  <c r="L28" i="11"/>
  <c r="L16" i="11"/>
  <c r="L13" i="11"/>
  <c r="L2" i="11" l="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I113" i="4"/>
  <c r="I128" i="4"/>
  <c r="I302" i="4"/>
  <c r="J94" i="4"/>
  <c r="D373" i="4"/>
  <c r="E350" i="4"/>
  <c r="C25" i="4"/>
  <c r="E167" i="4"/>
  <c r="D297" i="4"/>
  <c r="D114" i="4"/>
  <c r="E275" i="4"/>
  <c r="D190" i="4"/>
  <c r="J240" i="4"/>
  <c r="D110" i="4"/>
  <c r="I296" i="4"/>
  <c r="D79" i="4"/>
  <c r="E264" i="4"/>
  <c r="I390" i="4"/>
  <c r="C21" i="4"/>
  <c r="I138" i="4"/>
  <c r="I351" i="4"/>
  <c r="E80" i="4"/>
  <c r="I216" i="4"/>
  <c r="D284" i="4"/>
  <c r="D69" i="4"/>
  <c r="I366" i="4"/>
  <c r="D152" i="4"/>
  <c r="I12" i="9"/>
  <c r="M14" i="11"/>
  <c r="I377" i="4"/>
  <c r="E345" i="4"/>
  <c r="E212" i="4"/>
  <c r="E387" i="4"/>
  <c r="J348" i="4"/>
  <c r="D345" i="4"/>
  <c r="D191" i="4"/>
  <c r="J342" i="4"/>
  <c r="E353" i="4"/>
  <c r="D212" i="4"/>
  <c r="J293" i="4"/>
  <c r="D337" i="4"/>
  <c r="E126" i="4"/>
  <c r="D316" i="4"/>
  <c r="E146" i="4"/>
  <c r="J32" i="4"/>
  <c r="D146" i="4"/>
  <c r="J166" i="4"/>
  <c r="D276" i="4"/>
  <c r="E337" i="4"/>
  <c r="I285" i="4"/>
  <c r="J373" i="4"/>
  <c r="D344" i="4"/>
  <c r="I211" i="4"/>
  <c r="D314" i="4"/>
  <c r="D222" i="4"/>
  <c r="J105" i="4"/>
  <c r="H19" i="9"/>
  <c r="J24" i="4"/>
  <c r="I222" i="4"/>
  <c r="I243" i="4"/>
  <c r="I375" i="4"/>
  <c r="E242" i="4"/>
  <c r="D363" i="4"/>
  <c r="J77" i="4"/>
  <c r="J71" i="4"/>
  <c r="J112" i="4"/>
  <c r="I210" i="4"/>
  <c r="E172" i="4"/>
  <c r="E189" i="4"/>
  <c r="J347" i="4"/>
  <c r="J343" i="4"/>
  <c r="J235" i="4"/>
  <c r="I284" i="4"/>
  <c r="D198" i="4"/>
  <c r="I305" i="4"/>
  <c r="E155" i="4"/>
  <c r="I266" i="4"/>
  <c r="I129" i="4"/>
  <c r="J271" i="4"/>
  <c r="D286" i="4"/>
  <c r="I14" i="4"/>
  <c r="J173" i="4"/>
  <c r="D170" i="4"/>
  <c r="E377" i="4"/>
  <c r="I92" i="4"/>
  <c r="J251" i="4"/>
  <c r="E298" i="4"/>
  <c r="I153" i="4"/>
  <c r="E247" i="4"/>
  <c r="E174" i="4"/>
  <c r="J206" i="4"/>
  <c r="E81" i="4"/>
  <c r="I184" i="4"/>
  <c r="I130" i="4"/>
  <c r="J334" i="4"/>
  <c r="D21" i="4"/>
  <c r="J387" i="4"/>
  <c r="I357" i="4"/>
  <c r="E316" i="4"/>
  <c r="J354" i="4"/>
  <c r="E182" i="4"/>
  <c r="J213" i="4"/>
  <c r="E187" i="4"/>
  <c r="J18" i="4"/>
  <c r="I203" i="4"/>
  <c r="I378" i="4"/>
  <c r="J108" i="4"/>
  <c r="D233" i="4"/>
  <c r="I12" i="4"/>
  <c r="E130" i="4"/>
  <c r="E364" i="4"/>
  <c r="E118" i="4"/>
  <c r="I73" i="4"/>
  <c r="J111" i="4"/>
  <c r="E262" i="4"/>
  <c r="E73" i="4"/>
  <c r="M21" i="11"/>
  <c r="I87" i="4"/>
  <c r="E386" i="4"/>
  <c r="J138" i="4"/>
  <c r="D353" i="4"/>
  <c r="D187" i="4"/>
  <c r="D327" i="4"/>
  <c r="E103" i="4"/>
  <c r="I333" i="4"/>
  <c r="J14" i="4"/>
  <c r="D260" i="4"/>
  <c r="J316" i="4"/>
  <c r="E101" i="4"/>
  <c r="E171" i="4"/>
  <c r="E292" i="4"/>
  <c r="I114" i="4"/>
  <c r="I316" i="4"/>
  <c r="D165" i="4"/>
  <c r="I205" i="4"/>
  <c r="D153" i="4"/>
  <c r="J130" i="4"/>
  <c r="J358" i="4"/>
  <c r="E119" i="4"/>
  <c r="E122" i="4"/>
  <c r="I279" i="4"/>
  <c r="J6" i="7"/>
  <c r="I179" i="4"/>
  <c r="D186" i="4"/>
  <c r="J330" i="4"/>
  <c r="E168" i="4"/>
  <c r="J303" i="4"/>
  <c r="J299" i="4"/>
  <c r="J292" i="4"/>
  <c r="D279" i="4"/>
  <c r="J337" i="4"/>
  <c r="D356" i="4"/>
  <c r="I233" i="4"/>
  <c r="I227" i="4"/>
  <c r="I370" i="4"/>
  <c r="J357" i="4"/>
  <c r="D159" i="4"/>
  <c r="E74" i="4"/>
  <c r="I350" i="4"/>
  <c r="J284" i="4"/>
  <c r="D384" i="4"/>
  <c r="I324" i="4"/>
  <c r="I139" i="4"/>
  <c r="E196" i="4"/>
  <c r="D264" i="4"/>
  <c r="L311" i="13"/>
  <c r="I386" i="4"/>
  <c r="I137" i="4"/>
  <c r="E332" i="4"/>
  <c r="I3" i="9"/>
  <c r="J203" i="4"/>
  <c r="E356" i="4"/>
  <c r="E339" i="4"/>
  <c r="E108" i="4"/>
  <c r="I365" i="4"/>
  <c r="J155" i="4"/>
  <c r="D351" i="4"/>
  <c r="E317" i="4"/>
  <c r="E362" i="4"/>
  <c r="I20" i="9"/>
  <c r="E351" i="4"/>
  <c r="I204" i="4"/>
  <c r="D116" i="4"/>
  <c r="J239" i="4"/>
  <c r="E83" i="4"/>
  <c r="D108" i="4"/>
  <c r="D293" i="4"/>
  <c r="I303" i="4"/>
  <c r="I258" i="4"/>
  <c r="E221" i="4"/>
  <c r="J202" i="4"/>
  <c r="I359" i="4"/>
  <c r="I175" i="4"/>
  <c r="E112" i="4"/>
  <c r="E209" i="4"/>
  <c r="I242" i="4"/>
  <c r="I282" i="4"/>
  <c r="D147" i="4"/>
  <c r="E192" i="4"/>
  <c r="J11" i="7"/>
  <c r="E367" i="4"/>
  <c r="I314" i="4"/>
  <c r="E147" i="4"/>
  <c r="D368" i="4"/>
  <c r="J114" i="4"/>
  <c r="J68" i="4"/>
  <c r="D319" i="4"/>
  <c r="I361" i="4"/>
  <c r="E383" i="4"/>
  <c r="J273" i="4"/>
  <c r="D232" i="4"/>
  <c r="J99" i="4"/>
  <c r="E94" i="4"/>
  <c r="C29" i="4"/>
  <c r="J319" i="4"/>
  <c r="M35" i="11"/>
  <c r="J378" i="4"/>
  <c r="I218" i="4"/>
  <c r="I165" i="4"/>
  <c r="J151" i="4"/>
  <c r="D95" i="4"/>
  <c r="J141" i="4"/>
  <c r="I363" i="4"/>
  <c r="J288" i="4"/>
  <c r="E373" i="4"/>
  <c r="D307" i="4"/>
  <c r="I360" i="4"/>
  <c r="E150" i="4"/>
  <c r="J109" i="4"/>
  <c r="I19" i="4"/>
  <c r="D126" i="4"/>
  <c r="D347" i="4"/>
  <c r="J196" i="4"/>
  <c r="I220" i="4"/>
  <c r="I322" i="4"/>
  <c r="I317" i="4"/>
  <c r="E215" i="4"/>
  <c r="I358" i="4"/>
  <c r="I79" i="4"/>
  <c r="D111" i="4"/>
  <c r="D253" i="4"/>
  <c r="J368" i="4"/>
  <c r="D75" i="4"/>
  <c r="E216" i="4"/>
  <c r="D178" i="4"/>
  <c r="E297" i="4"/>
  <c r="I193" i="4"/>
  <c r="J69" i="4"/>
  <c r="J145" i="4"/>
  <c r="J82" i="4"/>
  <c r="I214" i="4"/>
  <c r="E239" i="4"/>
  <c r="D282" i="4"/>
  <c r="I127" i="4"/>
  <c r="J29" i="4"/>
  <c r="J365" i="4"/>
  <c r="E305" i="4"/>
  <c r="E164" i="4"/>
  <c r="E286" i="4"/>
  <c r="E166" i="4"/>
  <c r="E97" i="4"/>
  <c r="I340" i="4"/>
  <c r="J350" i="4"/>
  <c r="J184" i="4"/>
  <c r="D118" i="4"/>
  <c r="I291" i="4"/>
  <c r="E124" i="4"/>
  <c r="D119" i="4"/>
  <c r="J4" i="7"/>
  <c r="J310" i="4"/>
  <c r="J169" i="4"/>
  <c r="E327" i="4"/>
  <c r="I192" i="4"/>
  <c r="E368" i="4"/>
  <c r="E152" i="4"/>
  <c r="J318" i="4"/>
  <c r="J304" i="4"/>
  <c r="J245" i="4"/>
  <c r="J97" i="4"/>
  <c r="I289" i="4"/>
  <c r="J9" i="7"/>
  <c r="D237" i="4"/>
  <c r="I163" i="4"/>
  <c r="I81" i="4"/>
  <c r="J278" i="4"/>
  <c r="I301" i="4"/>
  <c r="J287" i="4"/>
  <c r="I232" i="4"/>
  <c r="E85" i="4"/>
  <c r="J353" i="4"/>
  <c r="I267" i="4"/>
  <c r="J275" i="4"/>
  <c r="I273" i="4"/>
  <c r="E249" i="4"/>
  <c r="D105" i="4"/>
  <c r="J146" i="4"/>
  <c r="I367" i="4"/>
  <c r="J234" i="4"/>
  <c r="D295" i="4"/>
  <c r="J317" i="4"/>
  <c r="E245" i="4"/>
  <c r="C18" i="4"/>
  <c r="D378" i="4"/>
  <c r="D171" i="4"/>
  <c r="I161" i="4"/>
  <c r="E326" i="4"/>
  <c r="J381" i="4"/>
  <c r="J231" i="4"/>
  <c r="J298" i="4"/>
  <c r="J83" i="4"/>
  <c r="J369" i="4"/>
  <c r="J294" i="4"/>
  <c r="E294" i="4"/>
  <c r="J210" i="4"/>
  <c r="C22" i="4"/>
  <c r="E311" i="4"/>
  <c r="D364" i="4"/>
  <c r="I16" i="4"/>
  <c r="D390" i="4"/>
  <c r="J197" i="4"/>
  <c r="C17" i="4"/>
  <c r="J252" i="4"/>
  <c r="E388" i="4"/>
  <c r="I345" i="4"/>
  <c r="C20" i="4"/>
  <c r="D277" i="4"/>
  <c r="J274" i="4"/>
  <c r="I71" i="4"/>
  <c r="D151" i="4"/>
  <c r="M26" i="11"/>
  <c r="J306" i="4"/>
  <c r="D298" i="4"/>
  <c r="D142" i="4"/>
  <c r="J282" i="4"/>
  <c r="D176" i="4"/>
  <c r="I199" i="4"/>
  <c r="J370" i="4"/>
  <c r="I252" i="4"/>
  <c r="E195" i="4"/>
  <c r="J362" i="4"/>
  <c r="E79" i="4"/>
  <c r="D218" i="4"/>
  <c r="E324" i="4"/>
  <c r="D204" i="4"/>
  <c r="E270" i="4"/>
  <c r="E331" i="4"/>
  <c r="J74" i="4"/>
  <c r="J101" i="4"/>
  <c r="J338" i="4"/>
  <c r="I249" i="4"/>
  <c r="D234" i="4"/>
  <c r="D96" i="4"/>
  <c r="J180" i="4"/>
  <c r="D383" i="4"/>
  <c r="E329" i="4"/>
  <c r="D240" i="4"/>
  <c r="D335" i="4"/>
  <c r="D23" i="4"/>
  <c r="D113" i="4"/>
  <c r="E121" i="4"/>
  <c r="I382" i="4"/>
  <c r="E370" i="4"/>
  <c r="J200" i="4"/>
  <c r="J238" i="4"/>
  <c r="E354" i="4"/>
  <c r="E230" i="4"/>
  <c r="D312" i="4"/>
  <c r="J160" i="4"/>
  <c r="E208" i="4"/>
  <c r="J120" i="4"/>
  <c r="E346" i="4"/>
  <c r="I354" i="4"/>
  <c r="J176" i="4"/>
  <c r="D112" i="4"/>
  <c r="J336" i="4"/>
  <c r="E381" i="4"/>
  <c r="I240" i="4"/>
  <c r="D174" i="4"/>
  <c r="D32" i="4"/>
  <c r="J295" i="4"/>
  <c r="E360" i="4"/>
  <c r="J3" i="7"/>
  <c r="D268" i="4"/>
  <c r="E296" i="4"/>
  <c r="I356" i="4"/>
  <c r="J70" i="4"/>
  <c r="J344" i="4"/>
  <c r="I18" i="9"/>
  <c r="I330" i="4"/>
  <c r="J21" i="4"/>
  <c r="D201" i="4"/>
  <c r="E374" i="4"/>
  <c r="D251" i="4"/>
  <c r="D205" i="4"/>
  <c r="E220" i="4"/>
  <c r="D208" i="4"/>
  <c r="J322" i="4"/>
  <c r="J208" i="4"/>
  <c r="D280" i="4"/>
  <c r="D326" i="4"/>
  <c r="D166" i="4"/>
  <c r="D221" i="4"/>
  <c r="J226" i="4"/>
  <c r="J19" i="4"/>
  <c r="D303" i="4"/>
  <c r="E256" i="4"/>
  <c r="D336" i="4"/>
  <c r="I74" i="4"/>
  <c r="I385" i="4"/>
  <c r="E98" i="4"/>
  <c r="D158" i="4"/>
  <c r="D199" i="4"/>
  <c r="D325" i="4"/>
  <c r="E137" i="4"/>
  <c r="I342" i="4"/>
  <c r="J135" i="4"/>
  <c r="E380" i="4"/>
  <c r="J302" i="4"/>
  <c r="I183" i="4"/>
  <c r="D311" i="4"/>
  <c r="I117" i="4"/>
  <c r="D179" i="4"/>
  <c r="D107" i="4"/>
  <c r="J27" i="4"/>
  <c r="E100" i="4"/>
  <c r="E260" i="4"/>
  <c r="E93" i="4"/>
  <c r="E120" i="4"/>
  <c r="I15" i="4"/>
  <c r="D322" i="4"/>
  <c r="D99" i="4"/>
  <c r="C24" i="4"/>
  <c r="E255" i="4"/>
  <c r="D381" i="4"/>
  <c r="I101" i="4"/>
  <c r="J140" i="4"/>
  <c r="D247" i="4"/>
  <c r="J110" i="4"/>
  <c r="D272" i="4"/>
  <c r="E338" i="4"/>
  <c r="E181" i="4"/>
  <c r="E355" i="4"/>
  <c r="J91" i="4"/>
  <c r="E143" i="4"/>
  <c r="J89" i="4"/>
  <c r="D365" i="4"/>
  <c r="I387" i="4"/>
  <c r="E265" i="4"/>
  <c r="D83" i="4"/>
  <c r="E161" i="4"/>
  <c r="I208" i="4"/>
  <c r="J363" i="4"/>
  <c r="I67" i="4"/>
  <c r="D310" i="4"/>
  <c r="E194" i="4"/>
  <c r="I328" i="4"/>
  <c r="E170" i="4"/>
  <c r="J153" i="4"/>
  <c r="E128" i="4"/>
  <c r="E218" i="4"/>
  <c r="D231" i="4"/>
  <c r="E273" i="4"/>
  <c r="I329" i="4"/>
  <c r="J189" i="4"/>
  <c r="J311" i="4"/>
  <c r="I121" i="4"/>
  <c r="J115" i="4"/>
  <c r="D388" i="4"/>
  <c r="J25" i="4"/>
  <c r="J147" i="4"/>
  <c r="I182" i="4"/>
  <c r="I187" i="4"/>
  <c r="E127" i="4"/>
  <c r="D243" i="4"/>
  <c r="D217" i="4"/>
  <c r="E321" i="4"/>
  <c r="E385" i="4"/>
  <c r="AA19" i="12"/>
  <c r="I18" i="4"/>
  <c r="I173" i="4"/>
  <c r="J124" i="4"/>
  <c r="E279" i="4"/>
  <c r="J384" i="4"/>
  <c r="J258" i="4"/>
  <c r="D215" i="4"/>
  <c r="D157" i="4"/>
  <c r="J188" i="4"/>
  <c r="J346" i="4"/>
  <c r="I288" i="4"/>
  <c r="I6" i="9"/>
  <c r="I283" i="4"/>
  <c r="J351" i="4"/>
  <c r="D248" i="4"/>
  <c r="J227" i="4"/>
  <c r="I105" i="4"/>
  <c r="J329" i="4"/>
  <c r="D285" i="4"/>
  <c r="D134" i="4"/>
  <c r="D324" i="4"/>
  <c r="I226" i="4"/>
  <c r="J75" i="4"/>
  <c r="D180" i="4"/>
  <c r="D89" i="4"/>
  <c r="J333" i="4"/>
  <c r="D360" i="4"/>
  <c r="D168" i="4"/>
  <c r="I278" i="4"/>
  <c r="D206" i="4"/>
  <c r="D315" i="4"/>
  <c r="M11" i="11"/>
  <c r="J214" i="4"/>
  <c r="J242" i="4"/>
  <c r="I196" i="4"/>
  <c r="J359" i="4"/>
  <c r="D224" i="4"/>
  <c r="J93" i="4"/>
  <c r="D103" i="4"/>
  <c r="D348" i="4"/>
  <c r="I372" i="4"/>
  <c r="I86" i="4"/>
  <c r="E109" i="4"/>
  <c r="J126" i="4"/>
  <c r="I80" i="4"/>
  <c r="I256" i="4"/>
  <c r="D160" i="4"/>
  <c r="J355" i="4"/>
  <c r="D338" i="4"/>
  <c r="D374" i="4"/>
  <c r="I343" i="4"/>
  <c r="K2" i="7"/>
  <c r="J191" i="4"/>
  <c r="E157" i="4"/>
  <c r="D274" i="4"/>
  <c r="I277" i="4"/>
  <c r="E307" i="4"/>
  <c r="E135" i="4"/>
  <c r="J17" i="4"/>
  <c r="I167" i="4"/>
  <c r="E145" i="4"/>
  <c r="I379" i="4"/>
  <c r="I147" i="4"/>
  <c r="I280" i="4"/>
  <c r="J139" i="4"/>
  <c r="J182" i="4"/>
  <c r="J134" i="4"/>
  <c r="D385" i="4"/>
  <c r="E88" i="4"/>
  <c r="J178" i="4"/>
  <c r="I154" i="4"/>
  <c r="J244" i="4"/>
  <c r="D91" i="4"/>
  <c r="I178" i="4"/>
  <c r="E177" i="4"/>
  <c r="I97" i="4"/>
  <c r="D387" i="4"/>
  <c r="E163" i="4"/>
  <c r="I98" i="4"/>
  <c r="I110" i="4"/>
  <c r="E341" i="4"/>
  <c r="E282" i="4"/>
  <c r="J364" i="4"/>
  <c r="M20" i="11"/>
  <c r="D366" i="4"/>
  <c r="J207" i="4"/>
  <c r="E185" i="4"/>
  <c r="D358" i="4"/>
  <c r="J277" i="4"/>
  <c r="D102" i="4"/>
  <c r="I369" i="4"/>
  <c r="D73" i="4"/>
  <c r="E302" i="4"/>
  <c r="I207" i="4"/>
  <c r="E372" i="4"/>
  <c r="J26" i="4"/>
  <c r="E105" i="4"/>
  <c r="D100" i="4"/>
  <c r="J323" i="4"/>
  <c r="M22" i="11"/>
  <c r="E238" i="4"/>
  <c r="E115" i="4"/>
  <c r="E323" i="4"/>
  <c r="J256" i="4"/>
  <c r="I334" i="4"/>
  <c r="J216" i="4"/>
  <c r="I298" i="4"/>
  <c r="M39" i="11"/>
  <c r="J285" i="4"/>
  <c r="E154" i="4"/>
  <c r="J162" i="4"/>
  <c r="I300" i="4"/>
  <c r="E206" i="4"/>
  <c r="D209" i="4"/>
  <c r="I312" i="4"/>
  <c r="D72" i="4"/>
  <c r="I217" i="4"/>
  <c r="D133" i="4"/>
  <c r="D226" i="4"/>
  <c r="D101" i="4"/>
  <c r="I118" i="4"/>
  <c r="D124" i="4"/>
  <c r="J326" i="4"/>
  <c r="E280" i="4"/>
  <c r="I247" i="4"/>
  <c r="I75" i="4"/>
  <c r="I313" i="4"/>
  <c r="I124" i="4"/>
  <c r="I244" i="4"/>
  <c r="I125" i="4"/>
  <c r="D15" i="4"/>
  <c r="D92" i="4"/>
  <c r="J142" i="4"/>
  <c r="I77" i="4"/>
  <c r="E334" i="4"/>
  <c r="I188" i="4"/>
  <c r="E293" i="4"/>
  <c r="D266" i="4"/>
  <c r="J118" i="4"/>
  <c r="K3" i="7"/>
  <c r="E175" i="4"/>
  <c r="J345" i="4"/>
  <c r="D244" i="4"/>
  <c r="I231" i="4"/>
  <c r="M31" i="11"/>
  <c r="J236" i="4"/>
  <c r="J313" i="4"/>
  <c r="E306" i="4"/>
  <c r="D184" i="4"/>
  <c r="D340" i="4"/>
  <c r="I99" i="4"/>
  <c r="J181" i="4"/>
  <c r="D137" i="4"/>
  <c r="J20" i="4"/>
  <c r="E165" i="4"/>
  <c r="J339" i="4"/>
  <c r="E188" i="4"/>
  <c r="D207" i="4"/>
  <c r="M24" i="11"/>
  <c r="I276" i="4"/>
  <c r="E290" i="4"/>
  <c r="M38" i="11"/>
  <c r="I13" i="9"/>
  <c r="E359" i="4"/>
  <c r="I88" i="4"/>
  <c r="E261" i="4"/>
  <c r="D362" i="4"/>
  <c r="M17" i="11"/>
  <c r="J152" i="4"/>
  <c r="J380" i="4"/>
  <c r="I237" i="4"/>
  <c r="J352" i="4"/>
  <c r="E180" i="4"/>
  <c r="I82" i="4"/>
  <c r="J272" i="4"/>
  <c r="D254" i="4"/>
  <c r="E349" i="4"/>
  <c r="E219" i="4"/>
  <c r="I103" i="4"/>
  <c r="C27" i="4"/>
  <c r="J204" i="4"/>
  <c r="C23" i="4"/>
  <c r="J286" i="4"/>
  <c r="D246" i="4"/>
  <c r="E227" i="4"/>
  <c r="E299" i="4"/>
  <c r="D125" i="4"/>
  <c r="J211" i="4"/>
  <c r="D375" i="4"/>
  <c r="I260" i="4"/>
  <c r="C12" i="4"/>
  <c r="D98" i="4"/>
  <c r="E231" i="4"/>
  <c r="I185" i="4"/>
  <c r="M34" i="11"/>
  <c r="I22" i="4"/>
  <c r="D309" i="4"/>
  <c r="I364" i="4"/>
  <c r="B1" i="6"/>
  <c r="J260" i="4"/>
  <c r="J314" i="4"/>
  <c r="E295" i="4"/>
  <c r="E99" i="4"/>
  <c r="I141" i="4"/>
  <c r="D265" i="4"/>
  <c r="I202" i="4"/>
  <c r="I164" i="4"/>
  <c r="I108" i="4"/>
  <c r="J159" i="4"/>
  <c r="D109" i="4"/>
  <c r="D275" i="4"/>
  <c r="E95" i="4"/>
  <c r="I221" i="4"/>
  <c r="I123" i="4"/>
  <c r="J215" i="4"/>
  <c r="I200" i="4"/>
  <c r="D173" i="4"/>
  <c r="J385" i="4"/>
  <c r="J143" i="4"/>
  <c r="E289" i="4"/>
  <c r="I166" i="4"/>
  <c r="I177" i="4"/>
  <c r="I344" i="4"/>
  <c r="I319" i="4"/>
  <c r="M33" i="11"/>
  <c r="E304" i="4"/>
  <c r="D346" i="4"/>
  <c r="E235" i="4"/>
  <c r="K9" i="7"/>
  <c r="D85" i="4"/>
  <c r="D287" i="4"/>
  <c r="I257" i="4"/>
  <c r="D317" i="4"/>
  <c r="E234" i="4"/>
  <c r="E156" i="4"/>
  <c r="E253" i="4"/>
  <c r="E308" i="4"/>
  <c r="E344" i="4"/>
  <c r="E342" i="4"/>
  <c r="D269" i="4"/>
  <c r="I321" i="4"/>
  <c r="M18" i="11"/>
  <c r="I134" i="4"/>
  <c r="J366" i="4"/>
  <c r="J249" i="4"/>
  <c r="M2" i="11"/>
  <c r="E210" i="4"/>
  <c r="E70" i="4"/>
  <c r="I148" i="4"/>
  <c r="E376" i="4"/>
  <c r="D245" i="4"/>
  <c r="J222" i="4"/>
  <c r="J233" i="4"/>
  <c r="J290" i="4"/>
  <c r="I272" i="4"/>
  <c r="E190" i="4"/>
  <c r="D318" i="4"/>
  <c r="E200" i="4"/>
  <c r="I331" i="4"/>
  <c r="J198" i="4"/>
  <c r="J390" i="4"/>
  <c r="I21" i="4"/>
  <c r="D300" i="4"/>
  <c r="D27" i="4"/>
  <c r="J90" i="4"/>
  <c r="I341" i="4"/>
  <c r="E285" i="4"/>
  <c r="M9" i="11"/>
  <c r="I212" i="4"/>
  <c r="D291" i="4"/>
  <c r="J374" i="4"/>
  <c r="E78" i="4"/>
  <c r="M13" i="11"/>
  <c r="J12" i="7"/>
  <c r="J246" i="4"/>
  <c r="I268" i="4"/>
  <c r="E86" i="4"/>
  <c r="E357" i="4"/>
  <c r="D304" i="4"/>
  <c r="I355" i="4"/>
  <c r="E301" i="4"/>
  <c r="J125" i="4"/>
  <c r="J117" i="4"/>
  <c r="J119" i="4"/>
  <c r="I269" i="4"/>
  <c r="E151" i="4"/>
  <c r="E263" i="4"/>
  <c r="I15" i="9"/>
  <c r="J193" i="4"/>
  <c r="J116" i="4"/>
  <c r="M30" i="11"/>
  <c r="J22" i="4"/>
  <c r="J192" i="4"/>
  <c r="I132" i="4"/>
  <c r="I122" i="4"/>
  <c r="I106" i="4"/>
  <c r="D163" i="4"/>
  <c r="E123" i="4"/>
  <c r="I9" i="9"/>
  <c r="J201" i="4"/>
  <c r="I14" i="9"/>
  <c r="E237" i="4"/>
  <c r="D321" i="4"/>
  <c r="J104" i="4"/>
  <c r="J261" i="4"/>
  <c r="D22" i="4"/>
  <c r="D332" i="4"/>
  <c r="I311" i="4"/>
  <c r="D330" i="4"/>
  <c r="I96" i="4"/>
  <c r="I116" i="4"/>
  <c r="I162" i="4"/>
  <c r="D81" i="4"/>
  <c r="D296" i="4"/>
  <c r="E89" i="4"/>
  <c r="E116" i="4"/>
  <c r="I215" i="4"/>
  <c r="J389" i="4"/>
  <c r="D235" i="4"/>
  <c r="I2" i="9"/>
  <c r="I250" i="4"/>
  <c r="I338" i="4"/>
  <c r="E378" i="4"/>
  <c r="I104" i="4"/>
  <c r="E114" i="4"/>
  <c r="D138" i="4"/>
  <c r="E267" i="4"/>
  <c r="C16" i="4"/>
  <c r="C26" i="4"/>
  <c r="E111" i="4"/>
  <c r="J10" i="7"/>
  <c r="J241" i="4"/>
  <c r="E240" i="4"/>
  <c r="E315" i="4"/>
  <c r="J327" i="4"/>
  <c r="E191" i="4"/>
  <c r="D270" i="4"/>
  <c r="E232" i="4"/>
  <c r="J312" i="4"/>
  <c r="D162" i="4"/>
  <c r="E313" i="4"/>
  <c r="J209" i="4"/>
  <c r="M28" i="11"/>
  <c r="D250" i="4"/>
  <c r="J122" i="4"/>
  <c r="J168" i="4"/>
  <c r="I172" i="4"/>
  <c r="E303" i="4"/>
  <c r="D181" i="4"/>
  <c r="E183" i="4"/>
  <c r="D140" i="4"/>
  <c r="E319" i="4"/>
  <c r="E91" i="4"/>
  <c r="J361" i="4"/>
  <c r="D213" i="4"/>
  <c r="J367" i="4"/>
  <c r="M5" i="11"/>
  <c r="D379" i="4"/>
  <c r="J177" i="4"/>
  <c r="I174" i="4"/>
  <c r="I146" i="4"/>
  <c r="J144" i="4"/>
  <c r="J218" i="4"/>
  <c r="D29" i="4"/>
  <c r="D82" i="4"/>
  <c r="I259" i="4"/>
  <c r="E202" i="4"/>
  <c r="I142" i="4"/>
  <c r="D143" i="4"/>
  <c r="E333" i="4"/>
  <c r="D17" i="4"/>
  <c r="M19" i="11"/>
  <c r="D14" i="4"/>
  <c r="I299" i="4"/>
  <c r="E203" i="4"/>
  <c r="I307" i="4"/>
  <c r="I155" i="4"/>
  <c r="E179" i="4"/>
  <c r="J340" i="4"/>
  <c r="D94" i="4"/>
  <c r="J79" i="4"/>
  <c r="I230" i="4"/>
  <c r="J270" i="4"/>
  <c r="J190" i="4"/>
  <c r="J86" i="4"/>
  <c r="E110" i="4"/>
  <c r="J113" i="4"/>
  <c r="E228" i="4"/>
  <c r="J386" i="4"/>
  <c r="I306" i="4"/>
  <c r="I159" i="4"/>
  <c r="M10" i="11"/>
  <c r="D333" i="4"/>
  <c r="E250" i="4"/>
  <c r="M36" i="11"/>
  <c r="D252" i="4"/>
  <c r="I94" i="4"/>
  <c r="D290" i="4"/>
  <c r="D197" i="4"/>
  <c r="D84" i="4"/>
  <c r="I241" i="4"/>
  <c r="J250" i="4"/>
  <c r="J321" i="4"/>
  <c r="I246" i="4"/>
  <c r="E361" i="4"/>
  <c r="J372" i="4"/>
  <c r="E277" i="4"/>
  <c r="M12" i="11"/>
  <c r="I263" i="4"/>
  <c r="J199" i="4"/>
  <c r="D117" i="4"/>
  <c r="D149" i="4"/>
  <c r="J360" i="4"/>
  <c r="I271" i="4"/>
  <c r="D148" i="4"/>
  <c r="E224" i="4"/>
  <c r="I219" i="4"/>
  <c r="I293" i="4"/>
  <c r="J205" i="4"/>
  <c r="I68" i="4"/>
  <c r="I352" i="4"/>
  <c r="I149" i="4"/>
  <c r="I290" i="4"/>
  <c r="J228" i="4"/>
  <c r="I236" i="4"/>
  <c r="J300" i="4"/>
  <c r="E266" i="4"/>
  <c r="D67" i="4"/>
  <c r="J259" i="4"/>
  <c r="E269" i="4"/>
  <c r="E184" i="4"/>
  <c r="J388" i="4"/>
  <c r="D341" i="4"/>
  <c r="E389" i="4"/>
  <c r="J349" i="4"/>
  <c r="I248" i="4"/>
  <c r="J376" i="4"/>
  <c r="E113" i="4"/>
  <c r="J291" i="4"/>
  <c r="E173" i="4"/>
  <c r="D136" i="4"/>
  <c r="J102" i="4"/>
  <c r="E314" i="4"/>
  <c r="E272" i="4"/>
  <c r="D122" i="4"/>
  <c r="D216" i="4"/>
  <c r="D185" i="4"/>
  <c r="M8" i="11"/>
  <c r="D87" i="4"/>
  <c r="I234" i="4"/>
  <c r="E76" i="4"/>
  <c r="I107" i="4"/>
  <c r="I111" i="4"/>
  <c r="I93" i="4"/>
  <c r="D320" i="4"/>
  <c r="C13" i="15"/>
  <c r="C15" i="4"/>
  <c r="E246" i="4"/>
  <c r="E309" i="4"/>
  <c r="D127" i="4"/>
  <c r="J221" i="4"/>
  <c r="E287" i="4"/>
  <c r="D370" i="4"/>
  <c r="J81" i="4"/>
  <c r="I17" i="9"/>
  <c r="E207" i="4"/>
  <c r="I16" i="9"/>
  <c r="E254" i="4"/>
  <c r="D77" i="4"/>
  <c r="I346" i="4"/>
  <c r="E288" i="4"/>
  <c r="E243" i="4"/>
  <c r="E117" i="4"/>
  <c r="J133" i="4"/>
  <c r="E257" i="4"/>
  <c r="J331" i="4"/>
  <c r="J12" i="4"/>
  <c r="J383" i="4"/>
  <c r="D305" i="4"/>
  <c r="D192" i="4"/>
  <c r="D80" i="4"/>
  <c r="J243" i="4"/>
  <c r="D70" i="4"/>
  <c r="E274" i="4"/>
  <c r="D278" i="4"/>
  <c r="E336" i="4"/>
  <c r="I265" i="4"/>
  <c r="E107" i="4"/>
  <c r="E241" i="4"/>
  <c r="J297" i="4"/>
  <c r="I89" i="4"/>
  <c r="D357" i="4"/>
  <c r="I275" i="4"/>
  <c r="J96" i="4"/>
  <c r="I292" i="4"/>
  <c r="I20" i="4"/>
  <c r="I112" i="4"/>
  <c r="E363" i="4"/>
  <c r="D281" i="4"/>
  <c r="I255" i="4"/>
  <c r="I315" i="4"/>
  <c r="J301" i="4"/>
  <c r="D129" i="4"/>
  <c r="E268" i="4"/>
  <c r="D382" i="4"/>
  <c r="J165" i="4"/>
  <c r="I281" i="4"/>
  <c r="I70" i="4"/>
  <c r="D273" i="4"/>
  <c r="E371" i="4"/>
  <c r="D20" i="4"/>
  <c r="D238" i="4"/>
  <c r="E352" i="4"/>
  <c r="D220" i="4"/>
  <c r="I353" i="4"/>
  <c r="I26" i="4"/>
  <c r="I10" i="9"/>
  <c r="C14" i="4"/>
  <c r="J161" i="4"/>
  <c r="I198" i="4"/>
  <c r="E211" i="4"/>
  <c r="E82" i="4"/>
  <c r="D200" i="4"/>
  <c r="D154" i="4"/>
  <c r="J175" i="4"/>
  <c r="I223" i="4"/>
  <c r="J219" i="4"/>
  <c r="M25" i="11"/>
  <c r="D308" i="4"/>
  <c r="I194" i="4"/>
  <c r="E69" i="4"/>
  <c r="I318" i="4"/>
  <c r="D115" i="4"/>
  <c r="J15" i="4"/>
  <c r="J148" i="4"/>
  <c r="D292" i="4"/>
  <c r="E159" i="4"/>
  <c r="I23" i="4"/>
  <c r="E140" i="4"/>
  <c r="J150" i="4"/>
  <c r="E92" i="4"/>
  <c r="J229" i="4"/>
  <c r="I84" i="4"/>
  <c r="J289" i="4"/>
  <c r="J263" i="4"/>
  <c r="I264" i="4"/>
  <c r="J5" i="7"/>
  <c r="I189" i="4"/>
  <c r="I186" i="4"/>
  <c r="M40" i="11"/>
  <c r="E310" i="4"/>
  <c r="J325" i="4"/>
  <c r="I337" i="4"/>
  <c r="J7" i="7"/>
  <c r="J264" i="4"/>
  <c r="I225" i="4"/>
  <c r="I326" i="4"/>
  <c r="E176" i="4"/>
  <c r="E281" i="4"/>
  <c r="E335" i="4"/>
  <c r="C372" i="4"/>
  <c r="D355" i="4"/>
  <c r="D313" i="4"/>
  <c r="I371" i="4"/>
  <c r="E142" i="4"/>
  <c r="D211" i="4"/>
  <c r="I374" i="4"/>
  <c r="J78" i="4"/>
  <c r="I90" i="4"/>
  <c r="J129" i="4"/>
  <c r="J332" i="4"/>
  <c r="D182" i="4"/>
  <c r="D214" i="4"/>
  <c r="I102" i="4"/>
  <c r="D267" i="4"/>
  <c r="I388" i="4"/>
  <c r="J137" i="4"/>
  <c r="D164" i="4"/>
  <c r="E201" i="4"/>
  <c r="D236" i="4"/>
  <c r="D230" i="4"/>
  <c r="E214" i="4"/>
  <c r="J76" i="4"/>
  <c r="J223" i="4"/>
  <c r="I7" i="9"/>
  <c r="E244" i="4"/>
  <c r="I145" i="4"/>
  <c r="E198" i="4"/>
  <c r="Z20" i="12"/>
  <c r="E330" i="4"/>
  <c r="J123" i="4"/>
  <c r="D202" i="4"/>
  <c r="E284" i="4"/>
  <c r="D262" i="4"/>
  <c r="D261" i="4"/>
  <c r="D380" i="4"/>
  <c r="D329" i="4"/>
  <c r="D106" i="4"/>
  <c r="J356" i="4"/>
  <c r="D26" i="4"/>
  <c r="I270" i="4"/>
  <c r="D229" i="4"/>
  <c r="E131" i="4"/>
  <c r="J156" i="4"/>
  <c r="C13" i="4"/>
  <c r="I181" i="4"/>
  <c r="E104" i="4"/>
  <c r="D203" i="4"/>
  <c r="E186" i="4"/>
  <c r="E365" i="4"/>
  <c r="E320" i="4"/>
  <c r="D302" i="4"/>
  <c r="J92" i="4"/>
  <c r="E384" i="4"/>
  <c r="D289" i="4"/>
  <c r="I320" i="4"/>
  <c r="I195" i="4"/>
  <c r="M15" i="11"/>
  <c r="I380" i="4"/>
  <c r="D155" i="4"/>
  <c r="D331" i="4"/>
  <c r="D193" i="4"/>
  <c r="E278" i="4"/>
  <c r="I170" i="4"/>
  <c r="I135" i="4"/>
  <c r="J183" i="4"/>
  <c r="J283" i="4"/>
  <c r="I78" i="4"/>
  <c r="D255" i="4"/>
  <c r="D139" i="4"/>
  <c r="M3" i="11"/>
  <c r="J187" i="4"/>
  <c r="D249" i="4"/>
  <c r="J8" i="7"/>
  <c r="D323" i="4"/>
  <c r="D301" i="4"/>
  <c r="J88" i="4"/>
  <c r="D161" i="4"/>
  <c r="D183" i="4"/>
  <c r="E84" i="4"/>
  <c r="E199" i="4"/>
  <c r="I323" i="4"/>
  <c r="J276" i="4"/>
  <c r="J341" i="4"/>
  <c r="J87" i="4"/>
  <c r="I389" i="4"/>
  <c r="I95" i="4"/>
  <c r="J320" i="4"/>
  <c r="J328" i="4"/>
  <c r="J167" i="4"/>
  <c r="E258" i="4"/>
  <c r="J296" i="4"/>
  <c r="J13" i="4"/>
  <c r="J103" i="4"/>
  <c r="C336" i="4"/>
  <c r="J23" i="4"/>
  <c r="I339" i="4"/>
  <c r="J100" i="4"/>
  <c r="E213" i="4"/>
  <c r="J158" i="4"/>
  <c r="I11" i="9"/>
  <c r="I253" i="4"/>
  <c r="E390" i="4"/>
  <c r="D13" i="4"/>
  <c r="E169" i="4"/>
  <c r="I368" i="4"/>
  <c r="J382" i="4"/>
  <c r="D228" i="4"/>
  <c r="E382" i="4"/>
  <c r="E251" i="4"/>
  <c r="I261" i="4"/>
  <c r="I238" i="4"/>
  <c r="D131" i="4"/>
  <c r="J309" i="4"/>
  <c r="I72" i="4"/>
  <c r="E153" i="4"/>
  <c r="J72" i="4"/>
  <c r="D367" i="4"/>
  <c r="E217" i="4"/>
  <c r="I304" i="4"/>
  <c r="I224" i="4"/>
  <c r="D306" i="4"/>
  <c r="I169" i="4"/>
  <c r="M7" i="11"/>
  <c r="D239" i="4"/>
  <c r="J195" i="4"/>
  <c r="E90" i="4"/>
  <c r="I126" i="4"/>
  <c r="D175" i="4"/>
  <c r="D223" i="4"/>
  <c r="E223" i="4"/>
  <c r="E160" i="4"/>
  <c r="I190" i="4"/>
  <c r="I100" i="4"/>
  <c r="D144" i="4"/>
  <c r="I171" i="4"/>
  <c r="D188" i="4"/>
  <c r="J16" i="4"/>
  <c r="E358" i="4"/>
  <c r="J172" i="4"/>
  <c r="J136" i="4"/>
  <c r="D350" i="4"/>
  <c r="I120" i="4"/>
  <c r="D189" i="4"/>
  <c r="J305" i="4"/>
  <c r="D372" i="4"/>
  <c r="J171" i="4"/>
  <c r="D349" i="4"/>
  <c r="J307" i="4"/>
  <c r="D377" i="4"/>
  <c r="E71" i="4"/>
  <c r="I335" i="4"/>
  <c r="J247" i="4"/>
  <c r="D299" i="4"/>
  <c r="J375" i="4"/>
  <c r="K6" i="7"/>
  <c r="J377" i="4"/>
  <c r="E379" i="4"/>
  <c r="D12" i="4"/>
  <c r="I76" i="4"/>
  <c r="D257" i="4"/>
  <c r="D123" i="4"/>
  <c r="D241" i="4"/>
  <c r="J163" i="4"/>
  <c r="E205" i="4"/>
  <c r="I32" i="4"/>
  <c r="I327" i="4"/>
  <c r="I229" i="4"/>
  <c r="M27" i="11"/>
  <c r="D74" i="4"/>
  <c r="J67" i="4"/>
  <c r="D19" i="4"/>
  <c r="E222" i="4"/>
  <c r="E162" i="4"/>
  <c r="I17" i="4"/>
  <c r="I143" i="4"/>
  <c r="I83" i="4"/>
  <c r="I383" i="4"/>
  <c r="I156" i="4"/>
  <c r="I8" i="9"/>
  <c r="I206" i="4"/>
  <c r="D259" i="4"/>
  <c r="D78" i="4"/>
  <c r="I235" i="4"/>
  <c r="D371" i="4"/>
  <c r="E148" i="4"/>
  <c r="I5" i="9"/>
  <c r="E369" i="4"/>
  <c r="J174" i="4"/>
  <c r="I180" i="4"/>
  <c r="J157" i="4"/>
  <c r="J212" i="4"/>
  <c r="J248" i="4"/>
  <c r="E347" i="4"/>
  <c r="M23" i="11"/>
  <c r="I197" i="4"/>
  <c r="E125" i="4"/>
  <c r="I213" i="4"/>
  <c r="D225" i="4"/>
  <c r="I286" i="4"/>
  <c r="M6" i="11"/>
  <c r="E328" i="4"/>
  <c r="D145" i="4"/>
  <c r="D156" i="4"/>
  <c r="D361" i="4"/>
  <c r="I24" i="4"/>
  <c r="J280" i="4"/>
  <c r="I150" i="4"/>
  <c r="D128" i="4"/>
  <c r="E375" i="4"/>
  <c r="E72" i="4"/>
  <c r="D386" i="4"/>
  <c r="D169" i="4"/>
  <c r="I131" i="4"/>
  <c r="M16" i="11"/>
  <c r="I27" i="4"/>
  <c r="E325" i="4"/>
  <c r="D271" i="4"/>
  <c r="J266" i="4"/>
  <c r="J324" i="4"/>
  <c r="I239" i="4"/>
  <c r="K12" i="7"/>
  <c r="J128" i="4"/>
  <c r="E348" i="4"/>
  <c r="J255" i="4"/>
  <c r="D141" i="4"/>
  <c r="E193" i="4"/>
  <c r="I136" i="4"/>
  <c r="I109" i="4"/>
  <c r="E106" i="4"/>
  <c r="I209" i="4"/>
  <c r="D24" i="4"/>
  <c r="I325" i="4"/>
  <c r="J73" i="4"/>
  <c r="I336" i="4"/>
  <c r="I201" i="4"/>
  <c r="I384" i="4"/>
  <c r="J262" i="4"/>
  <c r="D219" i="4"/>
  <c r="D135" i="4"/>
  <c r="D227" i="4"/>
  <c r="E87" i="4"/>
  <c r="J279" i="4"/>
  <c r="D97" i="4"/>
  <c r="D352" i="4"/>
  <c r="I347" i="4"/>
  <c r="D68" i="4"/>
  <c r="D210" i="4"/>
  <c r="J225" i="4"/>
  <c r="J232" i="4"/>
  <c r="D343" i="4"/>
  <c r="D194" i="4"/>
  <c r="E318" i="4"/>
  <c r="E139" i="4"/>
  <c r="J224" i="4"/>
  <c r="E340" i="4"/>
  <c r="E144" i="4"/>
  <c r="D90" i="4"/>
  <c r="D389" i="4"/>
  <c r="D16" i="4"/>
  <c r="I13" i="4"/>
  <c r="E271" i="4"/>
  <c r="D334" i="4"/>
  <c r="I158" i="4"/>
  <c r="D88" i="4"/>
  <c r="D132" i="4"/>
  <c r="I362" i="4"/>
  <c r="C32" i="4"/>
  <c r="J164" i="4"/>
  <c r="E149" i="4"/>
  <c r="J170" i="4"/>
  <c r="E233" i="4"/>
  <c r="E236" i="4"/>
  <c r="D359" i="4"/>
  <c r="J80" i="4"/>
  <c r="E366" i="4"/>
  <c r="J254" i="4"/>
  <c r="E343" i="4"/>
  <c r="E138" i="4"/>
  <c r="K4" i="7"/>
  <c r="E134" i="4"/>
  <c r="I25" i="4"/>
  <c r="I69" i="4"/>
  <c r="I332" i="4"/>
  <c r="I151" i="4"/>
  <c r="I119" i="4"/>
  <c r="D167" i="4"/>
  <c r="J186" i="4"/>
  <c r="E102" i="4"/>
  <c r="J220" i="4"/>
  <c r="D376" i="4"/>
  <c r="E158" i="4"/>
  <c r="I245" i="4"/>
  <c r="D71" i="4"/>
  <c r="D354" i="4"/>
  <c r="D242" i="4"/>
  <c r="E77" i="4"/>
  <c r="J217" i="4"/>
  <c r="I373" i="4"/>
  <c r="M32" i="11"/>
  <c r="I191" i="4"/>
  <c r="J154" i="4"/>
  <c r="J379" i="4"/>
  <c r="I91" i="4"/>
  <c r="J107" i="4"/>
  <c r="J98" i="4"/>
  <c r="E141" i="4"/>
  <c r="E129" i="4"/>
  <c r="E133" i="4"/>
  <c r="D25" i="4"/>
  <c r="J267" i="4"/>
  <c r="J281" i="4"/>
  <c r="I295" i="4"/>
  <c r="I376" i="4"/>
  <c r="M41" i="11"/>
  <c r="I133" i="4"/>
  <c r="J237" i="4"/>
  <c r="I254" i="4"/>
  <c r="E276" i="4"/>
  <c r="M29" i="11"/>
  <c r="D172" i="4"/>
  <c r="J268" i="4"/>
  <c r="I228" i="4"/>
  <c r="D294" i="4"/>
  <c r="M37" i="11"/>
  <c r="D258" i="4"/>
  <c r="E132" i="4"/>
  <c r="E252" i="4"/>
  <c r="D342" i="4"/>
  <c r="I140" i="4"/>
  <c r="E136" i="4"/>
  <c r="D328" i="4"/>
  <c r="E248" i="4"/>
  <c r="E197" i="4"/>
  <c r="I168" i="4"/>
  <c r="J185" i="4"/>
  <c r="J179" i="4"/>
  <c r="E178" i="4"/>
  <c r="I251" i="4"/>
  <c r="J127" i="4"/>
  <c r="I274" i="4"/>
  <c r="E67" i="4"/>
  <c r="J194" i="4"/>
  <c r="J265" i="4"/>
  <c r="J253" i="4"/>
  <c r="J269" i="4"/>
  <c r="D86" i="4"/>
  <c r="D195" i="4"/>
  <c r="D120" i="4"/>
  <c r="J230" i="4"/>
  <c r="E225" i="4"/>
  <c r="D130" i="4"/>
  <c r="J335" i="4"/>
  <c r="I115" i="4"/>
  <c r="J84" i="4"/>
  <c r="J106" i="4"/>
  <c r="D76" i="4"/>
  <c r="E229" i="4"/>
  <c r="E283" i="4"/>
  <c r="J85" i="4"/>
  <c r="I308" i="4"/>
  <c r="I262" i="4"/>
  <c r="E291" i="4"/>
  <c r="J371" i="4"/>
  <c r="E322" i="4"/>
  <c r="I309" i="4"/>
  <c r="I160" i="4"/>
  <c r="J121" i="4"/>
  <c r="I381" i="4"/>
  <c r="J257" i="4"/>
  <c r="D177" i="4"/>
  <c r="E312" i="4"/>
  <c r="J308" i="4"/>
  <c r="I287" i="4"/>
  <c r="I152" i="4"/>
  <c r="D121" i="4"/>
  <c r="I157" i="4"/>
  <c r="E32" i="4"/>
  <c r="E75" i="4"/>
  <c r="I4" i="9"/>
  <c r="D18" i="4"/>
  <c r="E96" i="4"/>
  <c r="J132" i="4"/>
  <c r="J149" i="4"/>
  <c r="E204" i="4"/>
  <c r="E300" i="4"/>
  <c r="I348" i="4"/>
  <c r="I19" i="9"/>
  <c r="C19" i="4"/>
  <c r="I144" i="4"/>
  <c r="D339" i="4"/>
  <c r="D369" i="4"/>
  <c r="D256" i="4"/>
  <c r="E259" i="4"/>
  <c r="D150" i="4"/>
  <c r="D283" i="4"/>
  <c r="D288" i="4"/>
  <c r="I29" i="4"/>
  <c r="D263" i="4"/>
  <c r="J315" i="4"/>
  <c r="E226" i="4"/>
  <c r="I297" i="4"/>
  <c r="I176" i="4"/>
  <c r="I349" i="4"/>
  <c r="E68" i="4"/>
  <c r="D93" i="4"/>
  <c r="D196" i="4"/>
  <c r="J95" i="4"/>
  <c r="J131" i="4"/>
  <c r="I85" i="4"/>
  <c r="I310" i="4"/>
  <c r="D104" i="4"/>
  <c r="I294" i="4"/>
  <c r="AA20" i="12"/>
  <c r="Z21" i="12"/>
  <c r="Z22" i="12"/>
  <c r="AA21" i="12"/>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K8" i="7"/>
  <c r="D5" i="4"/>
  <c r="I51" i="4"/>
  <c r="I57" i="4"/>
  <c r="J31" i="4"/>
  <c r="D50" i="4"/>
  <c r="J3" i="4"/>
  <c r="I52" i="4"/>
  <c r="I63" i="4"/>
  <c r="I43" i="4"/>
  <c r="I35" i="4"/>
  <c r="E44" i="4"/>
  <c r="J5" i="4"/>
  <c r="J61" i="4"/>
  <c r="C53" i="4"/>
  <c r="E60" i="4"/>
  <c r="I9" i="4"/>
  <c r="J28" i="4"/>
  <c r="D11" i="4"/>
  <c r="I39" i="4"/>
  <c r="J36" i="4"/>
  <c r="D45" i="4"/>
  <c r="I5" i="4"/>
  <c r="I65" i="4"/>
  <c r="J7" i="4"/>
  <c r="I11" i="4"/>
  <c r="D64" i="4"/>
  <c r="C7" i="4"/>
  <c r="D8" i="4"/>
  <c r="K7" i="7"/>
  <c r="J53" i="4"/>
  <c r="J66" i="4"/>
  <c r="D34" i="4"/>
  <c r="D2" i="4"/>
  <c r="J9" i="4"/>
  <c r="D55" i="4"/>
  <c r="I66" i="4"/>
  <c r="J33" i="4"/>
  <c r="J2" i="4"/>
  <c r="D59" i="4"/>
  <c r="E35" i="4"/>
  <c r="I55" i="4"/>
  <c r="J35" i="4"/>
  <c r="C66" i="4"/>
  <c r="E47" i="4"/>
  <c r="E33" i="4"/>
  <c r="I44" i="4"/>
  <c r="E51" i="4"/>
  <c r="I4" i="4"/>
  <c r="D35" i="4"/>
  <c r="C64" i="4"/>
  <c r="I8" i="4"/>
  <c r="D65" i="4"/>
  <c r="C48" i="4"/>
  <c r="K5" i="7"/>
  <c r="I45" i="4"/>
  <c r="C40" i="4"/>
  <c r="E38" i="4"/>
  <c r="C44" i="4"/>
  <c r="C36" i="4"/>
  <c r="E45" i="4"/>
  <c r="I28" i="4"/>
  <c r="J51" i="4"/>
  <c r="I7" i="4"/>
  <c r="C2" i="4"/>
  <c r="C28" i="4"/>
  <c r="D39" i="4"/>
  <c r="C56" i="4"/>
  <c r="D36" i="4"/>
  <c r="I58" i="4"/>
  <c r="J58" i="4"/>
  <c r="C5" i="4"/>
  <c r="D62" i="4"/>
  <c r="C14" i="15"/>
  <c r="E31" i="4"/>
  <c r="D30" i="4"/>
  <c r="I64" i="4"/>
  <c r="E66" i="4"/>
  <c r="E37" i="4"/>
  <c r="I40" i="4"/>
  <c r="I41" i="4"/>
  <c r="C59" i="4"/>
  <c r="J65" i="4"/>
  <c r="J54" i="4"/>
  <c r="D41" i="4"/>
  <c r="I62" i="4"/>
  <c r="E53" i="4"/>
  <c r="D58" i="4"/>
  <c r="K10" i="7"/>
  <c r="I34" i="4"/>
  <c r="E50" i="4"/>
  <c r="J43" i="4"/>
  <c r="E52" i="4"/>
  <c r="D51" i="4"/>
  <c r="I36" i="4"/>
  <c r="I47" i="4"/>
  <c r="E42" i="4"/>
  <c r="D38" i="4"/>
  <c r="J50" i="4"/>
  <c r="E55" i="4"/>
  <c r="J47" i="4"/>
  <c r="C11" i="4"/>
  <c r="D56" i="4"/>
  <c r="J59" i="4"/>
  <c r="C38" i="4"/>
  <c r="I6" i="4"/>
  <c r="I2" i="4"/>
  <c r="J39" i="4"/>
  <c r="I53" i="4"/>
  <c r="D28" i="4"/>
  <c r="D52" i="4"/>
  <c r="D33" i="4"/>
  <c r="E39" i="4"/>
  <c r="E56" i="4"/>
  <c r="D44" i="4"/>
  <c r="D63" i="4"/>
  <c r="D4" i="4"/>
  <c r="I30" i="4"/>
  <c r="C37" i="4"/>
  <c r="C30" i="4"/>
  <c r="J45" i="4"/>
  <c r="I46" i="4"/>
  <c r="C41" i="4"/>
  <c r="I33" i="4"/>
  <c r="E54" i="4"/>
  <c r="I10" i="4"/>
  <c r="E43" i="4"/>
  <c r="I61" i="4"/>
  <c r="C43" i="4"/>
  <c r="D3" i="4"/>
  <c r="J46" i="4"/>
  <c r="C31" i="4"/>
  <c r="I37" i="4"/>
  <c r="D57" i="4"/>
  <c r="D66" i="4"/>
  <c r="C46" i="4"/>
  <c r="E61" i="4"/>
  <c r="D6" i="4"/>
  <c r="C58" i="4"/>
  <c r="D46" i="4"/>
  <c r="I59" i="4"/>
  <c r="I42" i="4"/>
  <c r="C57" i="4"/>
  <c r="I60" i="4"/>
  <c r="J62" i="4"/>
  <c r="E40" i="4"/>
  <c r="C65" i="4"/>
  <c r="C6" i="4"/>
  <c r="C15" i="15"/>
  <c r="J4" i="4"/>
  <c r="E30" i="4"/>
  <c r="E57" i="4"/>
  <c r="J49" i="4"/>
  <c r="C60" i="4"/>
  <c r="J48" i="4"/>
  <c r="I50" i="4"/>
  <c r="J37" i="4"/>
  <c r="J30" i="4"/>
  <c r="C63" i="4"/>
  <c r="E48" i="4"/>
  <c r="E59" i="4"/>
  <c r="E49" i="4"/>
  <c r="C3" i="4"/>
  <c r="J56" i="4"/>
  <c r="C39" i="4"/>
  <c r="D53" i="4"/>
  <c r="C33" i="4"/>
  <c r="Z23" i="12"/>
  <c r="D60" i="4"/>
  <c r="C34" i="4"/>
  <c r="J8" i="4"/>
  <c r="J42" i="4"/>
  <c r="J40" i="4"/>
  <c r="C62" i="4"/>
  <c r="I48" i="4"/>
  <c r="E63" i="4"/>
  <c r="J63" i="4"/>
  <c r="D54" i="4"/>
  <c r="J41" i="4"/>
  <c r="K11" i="7"/>
  <c r="I3" i="4"/>
  <c r="E58" i="4"/>
  <c r="C51" i="4"/>
  <c r="J44" i="4"/>
  <c r="J38" i="4"/>
  <c r="D43" i="4"/>
  <c r="E62" i="4"/>
  <c r="C8" i="4"/>
  <c r="I54" i="4"/>
  <c r="I31" i="4"/>
  <c r="J10" i="4"/>
  <c r="C9" i="4"/>
  <c r="D37" i="4"/>
  <c r="C10" i="4"/>
  <c r="C61" i="4"/>
  <c r="D9" i="4"/>
  <c r="E36" i="4"/>
  <c r="E46" i="4"/>
  <c r="D10" i="4"/>
  <c r="C50" i="4"/>
  <c r="C52" i="4"/>
  <c r="D48" i="4"/>
  <c r="C42" i="4"/>
  <c r="I49" i="4"/>
  <c r="J34" i="4"/>
  <c r="D2" i="5" a="1"/>
  <c r="D40" i="4"/>
  <c r="E65" i="4"/>
  <c r="J6" i="4"/>
  <c r="J11" i="4"/>
  <c r="E34" i="4"/>
  <c r="I38" i="4"/>
  <c r="C49" i="4"/>
  <c r="C54" i="4"/>
  <c r="J57" i="4"/>
  <c r="D49" i="4"/>
  <c r="J64" i="4"/>
  <c r="D7" i="4"/>
  <c r="C45" i="4"/>
  <c r="I56" i="4"/>
  <c r="J52" i="4"/>
  <c r="D31" i="4"/>
  <c r="D42" i="4"/>
  <c r="J55" i="4"/>
  <c r="D61" i="4"/>
  <c r="D47" i="4"/>
  <c r="C55" i="4"/>
  <c r="E64" i="4"/>
  <c r="E41" i="4"/>
  <c r="C35" i="4"/>
  <c r="C47" i="4"/>
  <c r="J60" i="4"/>
  <c r="C4"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I46" i="5"/>
  <c r="F91" i="5"/>
  <c r="E56" i="5"/>
  <c r="H50" i="5"/>
  <c r="G106" i="5"/>
  <c r="I76" i="5"/>
  <c r="E30" i="5"/>
  <c r="I82" i="5"/>
  <c r="I51" i="5"/>
  <c r="G61" i="5"/>
  <c r="I105" i="5"/>
  <c r="E62" i="5"/>
  <c r="H110" i="5"/>
  <c r="H60" i="5"/>
  <c r="I90" i="5"/>
  <c r="G62" i="5"/>
  <c r="G109" i="5"/>
  <c r="G77" i="5"/>
  <c r="H114" i="5"/>
  <c r="H101" i="5"/>
  <c r="I42" i="5"/>
  <c r="F110" i="5"/>
  <c r="H9" i="5"/>
  <c r="F59" i="5"/>
  <c r="I5" i="5"/>
  <c r="E13" i="5"/>
  <c r="G93" i="5"/>
  <c r="G16" i="5"/>
  <c r="F12" i="5"/>
  <c r="E14" i="5"/>
  <c r="I2" i="5"/>
  <c r="G83" i="5"/>
  <c r="H52" i="5"/>
  <c r="I112" i="5"/>
  <c r="H86" i="5"/>
  <c r="E73" i="5"/>
  <c r="H83" i="5"/>
  <c r="G21" i="5"/>
  <c r="G76" i="5"/>
  <c r="G99" i="5"/>
  <c r="E34" i="5"/>
  <c r="H28" i="5"/>
  <c r="F90" i="5"/>
  <c r="G66" i="5"/>
  <c r="F15" i="5"/>
  <c r="G67" i="5"/>
  <c r="F94" i="5"/>
  <c r="I25" i="5"/>
  <c r="H17" i="5"/>
  <c r="H91" i="5"/>
  <c r="E23" i="5"/>
  <c r="E64" i="5"/>
  <c r="G54" i="5"/>
  <c r="H34" i="5"/>
  <c r="G27" i="5"/>
  <c r="G2" i="5"/>
  <c r="F106" i="5"/>
  <c r="F97" i="5"/>
  <c r="H35" i="5"/>
  <c r="E52" i="5"/>
  <c r="F56" i="5"/>
  <c r="H19" i="5"/>
  <c r="E74" i="5"/>
  <c r="F60" i="5"/>
  <c r="E93" i="5"/>
  <c r="F42" i="5"/>
  <c r="E68" i="5"/>
  <c r="H97" i="5"/>
  <c r="F38" i="5"/>
  <c r="H109" i="5"/>
  <c r="F2" i="5"/>
  <c r="I12" i="5"/>
  <c r="I98" i="5"/>
  <c r="I67" i="5"/>
  <c r="I24" i="5"/>
  <c r="I27" i="5"/>
  <c r="H78" i="5"/>
  <c r="F122" i="5"/>
  <c r="G65" i="5"/>
  <c r="G15" i="5"/>
  <c r="G58" i="5"/>
  <c r="I117" i="5"/>
  <c r="G75" i="5"/>
  <c r="I63" i="5"/>
  <c r="H39" i="5"/>
  <c r="I7" i="5"/>
  <c r="F68" i="5"/>
  <c r="E3" i="5"/>
  <c r="E125" i="5"/>
  <c r="I89" i="5"/>
  <c r="F113" i="5"/>
  <c r="F37" i="5"/>
  <c r="I62" i="5"/>
  <c r="H123" i="5"/>
  <c r="I39" i="5"/>
  <c r="H64" i="5"/>
  <c r="H48" i="5"/>
  <c r="I64" i="5"/>
  <c r="H5" i="5"/>
  <c r="H103" i="5"/>
  <c r="G17" i="5"/>
  <c r="I3" i="5"/>
  <c r="F77" i="5"/>
  <c r="F70" i="5"/>
  <c r="F76" i="5"/>
  <c r="G14" i="5"/>
  <c r="I75" i="5"/>
  <c r="I88" i="5"/>
  <c r="E87" i="5"/>
  <c r="H49" i="5"/>
  <c r="E49" i="5"/>
  <c r="F83" i="5"/>
  <c r="I73" i="5"/>
  <c r="H2" i="5"/>
  <c r="E83" i="5"/>
  <c r="I43" i="5"/>
  <c r="E95" i="5"/>
  <c r="G60" i="5"/>
  <c r="I61" i="5"/>
  <c r="H62" i="5"/>
  <c r="H121" i="5"/>
  <c r="I49" i="5"/>
  <c r="E10" i="5"/>
  <c r="G107" i="5"/>
  <c r="F109" i="5"/>
  <c r="E107" i="5"/>
  <c r="F49" i="5"/>
  <c r="G25" i="5"/>
  <c r="E115" i="5"/>
  <c r="I53" i="5"/>
  <c r="I6" i="5"/>
  <c r="E102" i="5"/>
  <c r="H26" i="5"/>
  <c r="F19" i="5"/>
  <c r="I69" i="5"/>
  <c r="H116" i="5"/>
  <c r="G64" i="5"/>
  <c r="G45" i="5"/>
  <c r="E66" i="5"/>
  <c r="F9" i="5"/>
  <c r="I20" i="5"/>
  <c r="I100" i="5"/>
  <c r="G110" i="5"/>
  <c r="G20" i="5"/>
  <c r="E18" i="5"/>
  <c r="E35" i="5"/>
  <c r="I40" i="5"/>
  <c r="M39" i="12" a="1"/>
  <c r="H55" i="5"/>
  <c r="G51" i="5"/>
  <c r="F88" i="5"/>
  <c r="E9" i="5"/>
  <c r="F47" i="5"/>
  <c r="I94" i="5"/>
  <c r="G28" i="5"/>
  <c r="H70" i="5"/>
  <c r="F17" i="5"/>
  <c r="I116" i="5"/>
  <c r="F119" i="5"/>
  <c r="H77" i="5"/>
  <c r="E82" i="5"/>
  <c r="F24" i="5"/>
  <c r="H102" i="5"/>
  <c r="F27" i="5"/>
  <c r="H18" i="5"/>
  <c r="E42" i="5"/>
  <c r="H27" i="5"/>
  <c r="G48" i="5"/>
  <c r="E28" i="5"/>
  <c r="H90" i="5"/>
  <c r="H105" i="5"/>
  <c r="F8" i="5"/>
  <c r="F82" i="5"/>
  <c r="E116" i="5"/>
  <c r="F41" i="5"/>
  <c r="F36" i="5"/>
  <c r="I71" i="5"/>
  <c r="E99" i="5"/>
  <c r="E41" i="5"/>
  <c r="G52" i="5"/>
  <c r="G71" i="5"/>
  <c r="I16" i="5"/>
  <c r="I113" i="5"/>
  <c r="H8" i="5"/>
  <c r="I35" i="5"/>
  <c r="H58" i="5"/>
  <c r="F84" i="5"/>
  <c r="E89" i="5"/>
  <c r="H37" i="5"/>
  <c r="G7" i="5"/>
  <c r="H6" i="5"/>
  <c r="I114" i="5"/>
  <c r="F7" i="5"/>
  <c r="G22" i="5"/>
  <c r="E76" i="5"/>
  <c r="F114" i="5"/>
  <c r="H122" i="5"/>
  <c r="E16" i="5"/>
  <c r="I19" i="5"/>
  <c r="F35" i="5"/>
  <c r="I87" i="5"/>
  <c r="F23" i="5"/>
  <c r="I57" i="5"/>
  <c r="F25" i="5"/>
  <c r="I111" i="5"/>
  <c r="F74" i="5"/>
  <c r="G3" i="5"/>
  <c r="I66" i="5"/>
  <c r="H115" i="5"/>
  <c r="I32" i="5"/>
  <c r="H14" i="5"/>
  <c r="G23" i="5"/>
  <c r="H69" i="5"/>
  <c r="E118" i="5"/>
  <c r="H51" i="5"/>
  <c r="G9" i="5"/>
  <c r="G97" i="5"/>
  <c r="H16" i="5"/>
  <c r="I126" i="5"/>
  <c r="F73" i="5"/>
  <c r="I81" i="5"/>
  <c r="I108" i="5"/>
  <c r="I33" i="5"/>
  <c r="M19" i="12" a="1"/>
  <c r="G123" i="5"/>
  <c r="E65" i="5"/>
  <c r="F93" i="5"/>
  <c r="E90" i="5"/>
  <c r="G13" i="5"/>
  <c r="H94" i="5"/>
  <c r="G57" i="5"/>
  <c r="E124" i="5"/>
  <c r="E88" i="5"/>
  <c r="G74" i="5"/>
  <c r="I86" i="5"/>
  <c r="E69" i="5"/>
  <c r="E108" i="5"/>
  <c r="E22" i="5"/>
  <c r="G79" i="5"/>
  <c r="H119" i="5"/>
  <c r="H82" i="5"/>
  <c r="I119" i="5"/>
  <c r="E11" i="5"/>
  <c r="G63" i="5"/>
  <c r="G126" i="5"/>
  <c r="E92" i="5"/>
  <c r="I23" i="5"/>
  <c r="I30" i="5"/>
  <c r="I70" i="5"/>
  <c r="I54" i="5"/>
  <c r="E61" i="5"/>
  <c r="F104" i="5"/>
  <c r="G102" i="5"/>
  <c r="H25" i="5"/>
  <c r="AA23" i="12"/>
  <c r="N383" i="12"/>
  <c r="H72" i="5"/>
  <c r="E50" i="5"/>
  <c r="I77" i="5"/>
  <c r="I47" i="5"/>
  <c r="I83" i="5"/>
  <c r="I85" i="5"/>
  <c r="H81" i="5"/>
  <c r="E117" i="5"/>
  <c r="E105" i="5"/>
  <c r="G78" i="5"/>
  <c r="E54" i="5"/>
  <c r="H68" i="5"/>
  <c r="G116" i="5"/>
  <c r="E85" i="5"/>
  <c r="H36" i="5"/>
  <c r="F16" i="5"/>
  <c r="H66" i="5"/>
  <c r="G33" i="5"/>
  <c r="G100" i="5"/>
  <c r="G42" i="5"/>
  <c r="E36" i="5"/>
  <c r="I37" i="5"/>
  <c r="H120" i="5"/>
  <c r="E26" i="5"/>
  <c r="G70" i="5"/>
  <c r="H61" i="5"/>
  <c r="H3" i="5"/>
  <c r="F57" i="5"/>
  <c r="E71" i="5"/>
  <c r="H113" i="5"/>
  <c r="I74" i="5"/>
  <c r="G120" i="5"/>
  <c r="E59" i="5"/>
  <c r="H24" i="5"/>
  <c r="E51" i="5"/>
  <c r="H106" i="5"/>
  <c r="G41" i="5"/>
  <c r="H11" i="5"/>
  <c r="F75" i="5"/>
  <c r="E106" i="5"/>
  <c r="F31" i="5"/>
  <c r="G10" i="5"/>
  <c r="G111" i="5"/>
  <c r="E31" i="5"/>
  <c r="F85" i="5"/>
  <c r="H79" i="5"/>
  <c r="F105" i="5"/>
  <c r="G113" i="5"/>
  <c r="I78" i="5"/>
  <c r="I72" i="5"/>
  <c r="H104" i="5"/>
  <c r="H56" i="5"/>
  <c r="I110" i="5"/>
  <c r="I21" i="5"/>
  <c r="G91" i="5"/>
  <c r="I106" i="5"/>
  <c r="H87" i="5"/>
  <c r="E25" i="5"/>
  <c r="E91" i="5"/>
  <c r="F51" i="5"/>
  <c r="F13" i="5"/>
  <c r="G39" i="5"/>
  <c r="F62" i="5"/>
  <c r="I55" i="5"/>
  <c r="I15" i="5"/>
  <c r="E33" i="5"/>
  <c r="F101" i="5"/>
  <c r="E45" i="5"/>
  <c r="I45" i="5"/>
  <c r="I80" i="5"/>
  <c r="G36" i="5"/>
  <c r="E81" i="5"/>
  <c r="E112" i="5"/>
  <c r="H15" i="5"/>
  <c r="F121" i="5"/>
  <c r="I48" i="5"/>
  <c r="G114" i="5"/>
  <c r="G53" i="5"/>
  <c r="H47" i="5"/>
  <c r="F39" i="5"/>
  <c r="I44" i="5"/>
  <c r="F14" i="5"/>
  <c r="I60" i="5"/>
  <c r="G73" i="5"/>
  <c r="E53" i="5"/>
  <c r="G46" i="5"/>
  <c r="E77" i="5"/>
  <c r="G59" i="5"/>
  <c r="G125" i="5"/>
  <c r="H125" i="5"/>
  <c r="E29" i="5"/>
  <c r="F123" i="5"/>
  <c r="H85" i="5"/>
  <c r="E38" i="5"/>
  <c r="H98" i="5"/>
  <c r="F116" i="5"/>
  <c r="H42" i="5"/>
  <c r="I123" i="5"/>
  <c r="H54" i="5"/>
  <c r="I13" i="5"/>
  <c r="F30" i="5"/>
  <c r="G87" i="5"/>
  <c r="E60" i="5"/>
  <c r="H21" i="5"/>
  <c r="G34" i="5"/>
  <c r="G29" i="5"/>
  <c r="I121" i="5"/>
  <c r="F64" i="5"/>
  <c r="I8" i="5"/>
  <c r="I109" i="5"/>
  <c r="F126" i="5"/>
  <c r="H112" i="5"/>
  <c r="F92" i="5"/>
  <c r="G96" i="5"/>
  <c r="E111" i="5"/>
  <c r="F53" i="5"/>
  <c r="E44" i="5"/>
  <c r="F98" i="5"/>
  <c r="G24" i="5"/>
  <c r="E55" i="5"/>
  <c r="E114" i="5"/>
  <c r="I120" i="5"/>
  <c r="H33" i="5"/>
  <c r="G98" i="5"/>
  <c r="I36" i="5"/>
  <c r="F11" i="5"/>
  <c r="E120" i="5"/>
  <c r="E57" i="5"/>
  <c r="E119" i="5"/>
  <c r="E123" i="5"/>
  <c r="E12" i="5"/>
  <c r="H22" i="5"/>
  <c r="F21" i="5"/>
  <c r="F48" i="5"/>
  <c r="G30" i="5"/>
  <c r="I124" i="5"/>
  <c r="G4" i="5"/>
  <c r="G82" i="5"/>
  <c r="G18" i="5"/>
  <c r="H40" i="5"/>
  <c r="H7" i="5"/>
  <c r="I84" i="5"/>
  <c r="F28" i="5"/>
  <c r="E109" i="5"/>
  <c r="F52" i="5"/>
  <c r="I31" i="5"/>
  <c r="I101" i="5"/>
  <c r="H44" i="5"/>
  <c r="I107" i="5"/>
  <c r="I10" i="5"/>
  <c r="F81" i="5"/>
  <c r="H107" i="5"/>
  <c r="F78" i="5"/>
  <c r="E96" i="5"/>
  <c r="I104" i="5"/>
  <c r="F46" i="5"/>
  <c r="G90" i="5"/>
  <c r="H63" i="5"/>
  <c r="E19" i="5"/>
  <c r="G11" i="5"/>
  <c r="G108" i="5"/>
  <c r="F61" i="5"/>
  <c r="H4" i="5"/>
  <c r="E101" i="5"/>
  <c r="I91" i="5"/>
  <c r="E40" i="5"/>
  <c r="H95" i="5"/>
  <c r="F118" i="5"/>
  <c r="G5" i="5"/>
  <c r="G94" i="5"/>
  <c r="I79" i="5"/>
  <c r="H74" i="5"/>
  <c r="E67" i="5"/>
  <c r="I125" i="5"/>
  <c r="E20" i="5"/>
  <c r="H12" i="5"/>
  <c r="G47" i="5"/>
  <c r="H118" i="5"/>
  <c r="F54" i="5"/>
  <c r="E32" i="5"/>
  <c r="G115" i="5"/>
  <c r="H124" i="5"/>
  <c r="H31" i="5"/>
  <c r="E2" i="5"/>
  <c r="I58" i="5"/>
  <c r="F32" i="5"/>
  <c r="F89" i="5"/>
  <c r="F33" i="5"/>
  <c r="E43" i="5"/>
  <c r="G80" i="5"/>
  <c r="C16" i="15"/>
  <c r="E24" i="5"/>
  <c r="G122" i="5"/>
  <c r="H84" i="5"/>
  <c r="F29" i="5"/>
  <c r="I11" i="5"/>
  <c r="I103" i="5"/>
  <c r="I17" i="5"/>
  <c r="H71" i="5"/>
  <c r="F43" i="5"/>
  <c r="E6" i="5"/>
  <c r="E7" i="5"/>
  <c r="E80" i="5"/>
  <c r="I41" i="5"/>
  <c r="G92" i="5"/>
  <c r="H20" i="5"/>
  <c r="H23" i="5"/>
  <c r="F72" i="5"/>
  <c r="E78" i="5"/>
  <c r="F22" i="5"/>
  <c r="I68" i="5"/>
  <c r="F18" i="5"/>
  <c r="H45" i="5"/>
  <c r="F96" i="5"/>
  <c r="F79" i="5"/>
  <c r="G81" i="5"/>
  <c r="F80" i="5"/>
  <c r="F71" i="5"/>
  <c r="G72" i="5"/>
  <c r="I122" i="5"/>
  <c r="G56" i="5"/>
  <c r="F26" i="5"/>
  <c r="E37" i="5"/>
  <c r="E63" i="5"/>
  <c r="F3" i="5"/>
  <c r="H76" i="5"/>
  <c r="G104" i="5"/>
  <c r="I4" i="5"/>
  <c r="F99" i="5"/>
  <c r="I18" i="5"/>
  <c r="F108" i="5"/>
  <c r="F10" i="5"/>
  <c r="I96" i="5"/>
  <c r="F50" i="5"/>
  <c r="G85" i="5"/>
  <c r="I38" i="5"/>
  <c r="G19" i="5"/>
  <c r="E21" i="5"/>
  <c r="H80" i="5"/>
  <c r="G117" i="5"/>
  <c r="H59" i="5"/>
  <c r="G101" i="5"/>
  <c r="H65" i="5"/>
  <c r="E113" i="5"/>
  <c r="E72" i="5"/>
  <c r="G86" i="5"/>
  <c r="H29" i="5"/>
  <c r="H43" i="5"/>
  <c r="F87" i="5"/>
  <c r="G37" i="5"/>
  <c r="G26" i="5"/>
  <c r="I59" i="5"/>
  <c r="I9" i="5"/>
  <c r="H38" i="5"/>
  <c r="H99" i="5"/>
  <c r="E100" i="5"/>
  <c r="E70" i="5"/>
  <c r="E15" i="5"/>
  <c r="F66" i="5"/>
  <c r="E103" i="5"/>
  <c r="F100" i="5"/>
  <c r="G38" i="5"/>
  <c r="G124" i="5"/>
  <c r="I34" i="5"/>
  <c r="I56" i="5"/>
  <c r="F5" i="5"/>
  <c r="G43" i="5"/>
  <c r="G50" i="5"/>
  <c r="I115" i="5"/>
  <c r="I118" i="5"/>
  <c r="H73" i="5"/>
  <c r="H75" i="5"/>
  <c r="G69" i="5"/>
  <c r="H67" i="5"/>
  <c r="I29" i="5"/>
  <c r="E75" i="5"/>
  <c r="H111" i="5"/>
  <c r="H117" i="5"/>
  <c r="F4" i="5"/>
  <c r="F65" i="5"/>
  <c r="F67" i="5"/>
  <c r="E46" i="5"/>
  <c r="H13" i="5"/>
  <c r="F125" i="5"/>
  <c r="E122" i="5"/>
  <c r="E97" i="5"/>
  <c r="G32" i="5"/>
  <c r="G103" i="5"/>
  <c r="E5" i="5"/>
  <c r="G6" i="5"/>
  <c r="E27" i="5"/>
  <c r="G112" i="5"/>
  <c r="G8" i="5"/>
  <c r="I65" i="5"/>
  <c r="G31" i="5"/>
  <c r="F6" i="5"/>
  <c r="H41" i="5"/>
  <c r="F63" i="5"/>
  <c r="I14" i="5"/>
  <c r="E58" i="5"/>
  <c r="E48" i="5"/>
  <c r="F120" i="5"/>
  <c r="F45" i="5"/>
  <c r="E110" i="5"/>
  <c r="I92" i="5"/>
  <c r="F115" i="5"/>
  <c r="G105" i="5"/>
  <c r="G35" i="5"/>
  <c r="F44" i="5"/>
  <c r="E94" i="5"/>
  <c r="H32" i="5"/>
  <c r="H53" i="5"/>
  <c r="AA22" i="12"/>
  <c r="F111" i="5"/>
  <c r="F40" i="5"/>
  <c r="E79" i="5"/>
  <c r="G88" i="5"/>
  <c r="H30" i="5"/>
  <c r="F102" i="5"/>
  <c r="G89" i="5"/>
  <c r="E104" i="5"/>
  <c r="H46" i="5"/>
  <c r="F55" i="5"/>
  <c r="E8" i="5"/>
  <c r="G84" i="5"/>
  <c r="E47" i="5"/>
  <c r="G49" i="5"/>
  <c r="G119" i="5"/>
  <c r="Z24" i="12"/>
  <c r="AA24" i="12" s="1"/>
  <c r="H96" i="5"/>
  <c r="G121" i="5"/>
  <c r="F69" i="5"/>
  <c r="I50" i="5"/>
  <c r="G68" i="5"/>
  <c r="G12" i="5"/>
  <c r="G44" i="5"/>
  <c r="H92" i="5"/>
  <c r="H126" i="5"/>
  <c r="E126" i="5"/>
  <c r="F107" i="5"/>
  <c r="H93" i="5"/>
  <c r="G118" i="5"/>
  <c r="F34" i="5"/>
  <c r="I93" i="5"/>
  <c r="H10" i="5"/>
  <c r="H88" i="5"/>
  <c r="E86" i="5"/>
  <c r="G55" i="5"/>
  <c r="E84" i="5"/>
  <c r="E121" i="5"/>
  <c r="G40" i="5"/>
  <c r="E39" i="5"/>
  <c r="I102" i="5"/>
  <c r="H100" i="5"/>
  <c r="I99" i="5"/>
  <c r="F103" i="5"/>
  <c r="H89" i="5"/>
  <c r="F86" i="5"/>
  <c r="E98" i="5"/>
  <c r="I28" i="5"/>
  <c r="I95" i="5"/>
  <c r="F112" i="5"/>
  <c r="E17" i="5"/>
  <c r="I97" i="5"/>
  <c r="F95" i="5"/>
  <c r="I22" i="5"/>
  <c r="H57" i="5"/>
  <c r="F124" i="5"/>
  <c r="E4" i="5"/>
  <c r="H108" i="5"/>
  <c r="F58" i="5"/>
  <c r="I52" i="5"/>
  <c r="N347" i="12"/>
  <c r="I26" i="5"/>
  <c r="F117" i="5"/>
  <c r="G95" i="5"/>
  <c r="F20"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59" i="12"/>
  <c r="M46" i="12"/>
  <c r="M23" i="12"/>
  <c r="M74" i="12"/>
  <c r="M29" i="12"/>
  <c r="M72" i="12"/>
  <c r="M68" i="12"/>
  <c r="M75" i="12"/>
  <c r="M73" i="12"/>
  <c r="M19" i="12"/>
  <c r="M64" i="12"/>
  <c r="M33" i="12"/>
  <c r="M35" i="12"/>
  <c r="M22" i="12"/>
  <c r="M32" i="12"/>
  <c r="M45" i="12"/>
  <c r="M25" i="12"/>
  <c r="M65" i="12"/>
  <c r="M26" i="12"/>
  <c r="M31" i="12"/>
  <c r="M42" i="12"/>
  <c r="M58" i="12"/>
  <c r="M27" i="12"/>
  <c r="M48" i="12"/>
  <c r="M70" i="12"/>
  <c r="M62" i="12"/>
  <c r="M54" i="12"/>
  <c r="M63" i="12"/>
  <c r="M69" i="12"/>
  <c r="M60" i="12"/>
  <c r="M28" i="12"/>
  <c r="M47" i="12"/>
  <c r="M41" i="12"/>
  <c r="M55" i="12"/>
  <c r="M53" i="12"/>
  <c r="M50" i="12"/>
  <c r="M40" i="12"/>
  <c r="M56" i="12"/>
  <c r="M71" i="12"/>
  <c r="M49" i="12"/>
  <c r="M20" i="12"/>
  <c r="M36" i="12"/>
  <c r="M66" i="12"/>
  <c r="M30" i="12"/>
  <c r="M39" i="12"/>
  <c r="M44" i="12"/>
  <c r="M57" i="12"/>
  <c r="M34" i="12"/>
  <c r="M21" i="12"/>
  <c r="M52" i="12"/>
  <c r="M61" i="12"/>
  <c r="M43" i="12"/>
  <c r="M51" i="12"/>
  <c r="M24" i="12"/>
  <c r="M67" i="12"/>
  <c r="N46" i="12"/>
  <c r="N24" i="12"/>
  <c r="S160" i="12"/>
  <c r="S324" i="12"/>
  <c r="S210" i="12"/>
  <c r="S120" i="12"/>
  <c r="S276" i="12"/>
  <c r="S336" i="12"/>
  <c r="S110" i="12"/>
  <c r="N50" i="12"/>
  <c r="N70" i="12"/>
  <c r="S148" i="12"/>
  <c r="S173" i="12"/>
  <c r="S309" i="12"/>
  <c r="S245" i="12"/>
  <c r="S319" i="12"/>
  <c r="S112" i="12"/>
  <c r="S247" i="12"/>
  <c r="O67" i="12"/>
  <c r="N42" i="12"/>
  <c r="S264" i="12"/>
  <c r="S286" i="12"/>
  <c r="S166" i="12"/>
  <c r="S274" i="12"/>
  <c r="S165" i="12"/>
  <c r="N28" i="12"/>
  <c r="O47" i="12"/>
  <c r="S296" i="12"/>
  <c r="O39" i="12"/>
  <c r="P21" i="12"/>
  <c r="O75" i="12"/>
  <c r="O69" i="12"/>
  <c r="S84" i="12"/>
  <c r="S275" i="12"/>
  <c r="S205" i="12"/>
  <c r="S392" i="12"/>
  <c r="S90" i="12"/>
  <c r="S302" i="12"/>
  <c r="S231" i="12"/>
  <c r="S299" i="12"/>
  <c r="S145" i="12"/>
  <c r="S361" i="12"/>
  <c r="N66" i="12"/>
  <c r="S135" i="12"/>
  <c r="O110" i="12"/>
  <c r="S216" i="12"/>
  <c r="S139" i="12"/>
  <c r="O44" i="12"/>
  <c r="O166" i="12"/>
  <c r="S354" i="12"/>
  <c r="S369" i="12"/>
  <c r="O24" i="12"/>
  <c r="S108" i="12"/>
  <c r="S363" i="12"/>
  <c r="S220" i="12"/>
  <c r="S134" i="12"/>
  <c r="S144" i="12"/>
  <c r="S326" i="12"/>
  <c r="Z25" i="12"/>
  <c r="O286" i="12"/>
  <c r="S401" i="12"/>
  <c r="O22" i="12"/>
  <c r="O73" i="12"/>
  <c r="S207" i="12"/>
  <c r="O19" i="12"/>
  <c r="S238" i="12"/>
  <c r="S281" i="12"/>
  <c r="S329" i="12"/>
  <c r="S373" i="12"/>
  <c r="S81" i="12"/>
  <c r="O81" i="12" s="1"/>
  <c r="N59" i="12"/>
  <c r="O32" i="12"/>
  <c r="S315" i="12"/>
  <c r="O315" i="12" s="1"/>
  <c r="S79" i="12"/>
  <c r="S89" i="12"/>
  <c r="N54" i="12"/>
  <c r="S368" i="12"/>
  <c r="S384" i="12"/>
  <c r="S193" i="12"/>
  <c r="N56" i="12"/>
  <c r="S273" i="12"/>
  <c r="S83" i="12"/>
  <c r="S333" i="12"/>
  <c r="S221" i="12"/>
  <c r="O210" i="12"/>
  <c r="O120" i="12"/>
  <c r="S225" i="12"/>
  <c r="S229" i="12"/>
  <c r="S94" i="12"/>
  <c r="S186" i="12"/>
  <c r="S149" i="12"/>
  <c r="S201" i="12"/>
  <c r="T368" i="12"/>
  <c r="O56" i="12"/>
  <c r="S400" i="12"/>
  <c r="S391" i="12"/>
  <c r="S288" i="12"/>
  <c r="O368" i="12"/>
  <c r="S80" i="12"/>
  <c r="O80" i="12" s="1"/>
  <c r="O65" i="12"/>
  <c r="S197" i="12"/>
  <c r="S350" i="12"/>
  <c r="N29" i="12"/>
  <c r="S156" i="12"/>
  <c r="S151" i="12"/>
  <c r="S323" i="12"/>
  <c r="S129" i="12"/>
  <c r="S105" i="12"/>
  <c r="S366" i="12"/>
  <c r="S236" i="12"/>
  <c r="S341" i="12"/>
  <c r="O74" i="12"/>
  <c r="O229" i="12"/>
  <c r="P32" i="12"/>
  <c r="O54" i="12"/>
  <c r="S122" i="12"/>
  <c r="O122" i="12" s="1"/>
  <c r="S127" i="12"/>
  <c r="S138" i="12"/>
  <c r="S287" i="12"/>
  <c r="S163" i="12"/>
  <c r="S248" i="12"/>
  <c r="S86" i="12"/>
  <c r="T86" i="12" s="1"/>
  <c r="O30" i="12"/>
  <c r="N31" i="12"/>
  <c r="S243" i="12"/>
  <c r="S171" i="12"/>
  <c r="O171" i="12" s="1"/>
  <c r="S126" i="12"/>
  <c r="S246" i="12"/>
  <c r="S317" i="12"/>
  <c r="O317" i="12" s="1"/>
  <c r="S353" i="12"/>
  <c r="P20" i="12"/>
  <c r="N47" i="12"/>
  <c r="S308" i="12"/>
  <c r="S270" i="12"/>
  <c r="O270" i="12" s="1"/>
  <c r="S218" i="12"/>
  <c r="S222" i="12"/>
  <c r="S109" i="12"/>
  <c r="N55" i="12"/>
  <c r="O34" i="12"/>
  <c r="S306" i="12"/>
  <c r="P35" i="12"/>
  <c r="O64" i="12"/>
  <c r="N39" i="12"/>
  <c r="N74" i="12"/>
  <c r="S116" i="12"/>
  <c r="S269" i="12"/>
  <c r="S202" i="12"/>
  <c r="S96" i="12"/>
  <c r="O96" i="12" s="1"/>
  <c r="C25" i="6"/>
  <c r="O116" i="12"/>
  <c r="S280" i="12"/>
  <c r="S300" i="12"/>
  <c r="S195" i="12"/>
  <c r="N68" i="12"/>
  <c r="S104" i="12"/>
  <c r="N32" i="12"/>
  <c r="S394" i="12"/>
  <c r="S224" i="12"/>
  <c r="S106" i="12"/>
  <c r="S388" i="12"/>
  <c r="O104" i="12"/>
  <c r="O366" i="12"/>
  <c r="S357" i="12"/>
  <c r="S321" i="12"/>
  <c r="T321" i="12" s="1"/>
  <c r="O205" i="12"/>
  <c r="S232" i="12"/>
  <c r="S209" i="12"/>
  <c r="S307" i="12"/>
  <c r="S208" i="12"/>
  <c r="S157" i="12"/>
  <c r="O23" i="12"/>
  <c r="S327" i="12"/>
  <c r="O86" i="12"/>
  <c r="S212" i="12"/>
  <c r="S374" i="12"/>
  <c r="S372" i="12"/>
  <c r="S348" i="12"/>
  <c r="O321" i="12"/>
  <c r="S344" i="12"/>
  <c r="S267" i="12"/>
  <c r="S359" i="12"/>
  <c r="S387" i="12"/>
  <c r="S146" i="12"/>
  <c r="N48" i="12"/>
  <c r="N21" i="12"/>
  <c r="N33" i="12"/>
  <c r="P33" i="12"/>
  <c r="S88" i="12"/>
  <c r="O247" i="12"/>
  <c r="S322" i="12"/>
  <c r="S386" i="12"/>
  <c r="N25" i="12"/>
  <c r="S233" i="12"/>
  <c r="N69" i="12"/>
  <c r="S397" i="12"/>
  <c r="S169" i="12"/>
  <c r="S340" i="12"/>
  <c r="S332" i="12"/>
  <c r="T332" i="12" s="1"/>
  <c r="N43" i="12"/>
  <c r="S191" i="12"/>
  <c r="S375" i="12"/>
  <c r="N52" i="12"/>
  <c r="T322" i="12"/>
  <c r="S187" i="12"/>
  <c r="S181" i="12"/>
  <c r="T353" i="12"/>
  <c r="T273" i="12"/>
  <c r="S131" i="12"/>
  <c r="O131" i="12" s="1"/>
  <c r="O309" i="12"/>
  <c r="O275" i="12"/>
  <c r="S282" i="12"/>
  <c r="O52" i="12"/>
  <c r="O220" i="12"/>
  <c r="S123" i="12"/>
  <c r="N63" i="12"/>
  <c r="S118" i="12"/>
  <c r="N57" i="12"/>
  <c r="O41" i="12"/>
  <c r="S102" i="12"/>
  <c r="O102" i="12" s="1"/>
  <c r="N53" i="12"/>
  <c r="P34" i="12"/>
  <c r="S100" i="12"/>
  <c r="O100" i="12" s="1"/>
  <c r="S203" i="12"/>
  <c r="S200" i="12"/>
  <c r="S214" i="12"/>
  <c r="O127" i="12"/>
  <c r="S234" i="12"/>
  <c r="T264" i="12"/>
  <c r="N65" i="12"/>
  <c r="N23" i="12"/>
  <c r="S194" i="12"/>
  <c r="S142" i="12"/>
  <c r="O142" i="12" s="1"/>
  <c r="S196" i="12"/>
  <c r="O196" i="12" s="1"/>
  <c r="S189" i="12"/>
  <c r="O189" i="12" s="1"/>
  <c r="S182" i="12"/>
  <c r="S121" i="12"/>
  <c r="S356" i="12"/>
  <c r="O356" i="12" s="1"/>
  <c r="N67" i="12"/>
  <c r="N40" i="12"/>
  <c r="S261" i="12"/>
  <c r="S141" i="12"/>
  <c r="O141" i="12" s="1"/>
  <c r="S240" i="12"/>
  <c r="O240" i="12" s="1"/>
  <c r="S255" i="12"/>
  <c r="S393" i="12"/>
  <c r="S318" i="12"/>
  <c r="S167" i="12"/>
  <c r="O55" i="12"/>
  <c r="N34" i="12"/>
  <c r="S140" i="12"/>
  <c r="S239" i="12"/>
  <c r="S130" i="12"/>
  <c r="S331" i="12"/>
  <c r="O331" i="12" s="1"/>
  <c r="O274" i="12"/>
  <c r="S98" i="12"/>
  <c r="P27" i="12"/>
  <c r="N71" i="12"/>
  <c r="O59" i="12"/>
  <c r="N45" i="12"/>
  <c r="P29" i="12"/>
  <c r="O45" i="12"/>
  <c r="O66" i="12"/>
  <c r="S154" i="12"/>
  <c r="S314" i="12"/>
  <c r="O121" i="12"/>
  <c r="O167" i="12"/>
  <c r="S125" i="12"/>
  <c r="O125" i="12" s="1"/>
  <c r="N61" i="12"/>
  <c r="O221" i="12"/>
  <c r="S272" i="12"/>
  <c r="S260" i="12"/>
  <c r="O260" i="12" s="1"/>
  <c r="S192" i="12"/>
  <c r="S349" i="12"/>
  <c r="S215" i="12"/>
  <c r="O51" i="12"/>
  <c r="S365" i="12"/>
  <c r="O365" i="12" s="1"/>
  <c r="O393" i="12"/>
  <c r="S334" i="12"/>
  <c r="O276" i="12"/>
  <c r="S244" i="12"/>
  <c r="S278" i="12"/>
  <c r="S95" i="12"/>
  <c r="S87" i="12"/>
  <c r="S358" i="12"/>
  <c r="O358" i="12" s="1"/>
  <c r="S211" i="12"/>
  <c r="O211" i="12" s="1"/>
  <c r="O60" i="12"/>
  <c r="S370" i="12"/>
  <c r="S283" i="12"/>
  <c r="S204" i="12"/>
  <c r="S271" i="12"/>
  <c r="S223" i="12"/>
  <c r="T171" i="12"/>
  <c r="S117" i="12"/>
  <c r="S111" i="12"/>
  <c r="S312" i="12"/>
  <c r="P26" i="12"/>
  <c r="S268" i="12"/>
  <c r="S133" i="12"/>
  <c r="S178" i="12"/>
  <c r="S279" i="12"/>
  <c r="O279" i="12" s="1"/>
  <c r="S226" i="12"/>
  <c r="O334" i="12"/>
  <c r="O332" i="12"/>
  <c r="O88" i="12"/>
  <c r="S107" i="12"/>
  <c r="S174" i="12"/>
  <c r="O174" i="12" s="1"/>
  <c r="P36" i="12"/>
  <c r="S168" i="12"/>
  <c r="S206" i="12"/>
  <c r="O206" i="12" s="1"/>
  <c r="S137" i="12"/>
  <c r="S304" i="12"/>
  <c r="O33" i="12"/>
  <c r="P28" i="12"/>
  <c r="S180" i="12"/>
  <c r="S101" i="12"/>
  <c r="O101" i="12" s="1"/>
  <c r="S147" i="12"/>
  <c r="O68" i="12"/>
  <c r="S78" i="12"/>
  <c r="O78" i="12" s="1"/>
  <c r="O25" i="12"/>
  <c r="N72" i="12"/>
  <c r="S155" i="12"/>
  <c r="S128" i="12"/>
  <c r="S277" i="12"/>
  <c r="S91" i="12"/>
  <c r="O91" i="12" s="1"/>
  <c r="S249" i="12"/>
  <c r="O20" i="12"/>
  <c r="P24" i="12"/>
  <c r="S235" i="12"/>
  <c r="N27" i="12"/>
  <c r="N26" i="12"/>
  <c r="O268" i="12"/>
  <c r="S385" i="12"/>
  <c r="S346" i="12"/>
  <c r="O98" i="12"/>
  <c r="O160" i="12"/>
  <c r="O118" i="12"/>
  <c r="O272" i="12"/>
  <c r="S230" i="12"/>
  <c r="O230" i="12" s="1"/>
  <c r="O26" i="12"/>
  <c r="S338" i="12"/>
  <c r="O338" i="12" s="1"/>
  <c r="S378" i="12"/>
  <c r="O50" i="12"/>
  <c r="O70" i="12"/>
  <c r="N19" i="12"/>
  <c r="S170" i="12"/>
  <c r="O170" i="12" s="1"/>
  <c r="S399" i="12"/>
  <c r="O399" i="12" s="1"/>
  <c r="S389" i="12"/>
  <c r="S227" i="12"/>
  <c r="S252" i="12"/>
  <c r="O252" i="12" s="1"/>
  <c r="S351" i="12"/>
  <c r="S316" i="12"/>
  <c r="O316" i="12" s="1"/>
  <c r="S99" i="12"/>
  <c r="O46" i="12"/>
  <c r="N60" i="12"/>
  <c r="S258" i="12"/>
  <c r="O258" i="12" s="1"/>
  <c r="S188" i="12"/>
  <c r="S228" i="12"/>
  <c r="S265" i="12"/>
  <c r="O265" i="12" s="1"/>
  <c r="S355" i="12"/>
  <c r="O351" i="12"/>
  <c r="S325" i="12"/>
  <c r="S257" i="12"/>
  <c r="O257" i="12" s="1"/>
  <c r="O48" i="12"/>
  <c r="O21" i="12"/>
  <c r="S337" i="12"/>
  <c r="S380" i="12"/>
  <c r="S352" i="12"/>
  <c r="O35" i="12"/>
  <c r="N64" i="12"/>
  <c r="N58" i="12"/>
  <c r="O43" i="12"/>
  <c r="N51" i="12"/>
  <c r="O163" i="12"/>
  <c r="O304" i="12"/>
  <c r="N22" i="12"/>
  <c r="S313" i="12"/>
  <c r="S143" i="12"/>
  <c r="S253" i="12"/>
  <c r="T253" i="12" s="1"/>
  <c r="S305" i="12"/>
  <c r="S190" i="12"/>
  <c r="O190" i="12" s="1"/>
  <c r="S217" i="12"/>
  <c r="O217" i="12" s="1"/>
  <c r="T331" i="12"/>
  <c r="S382" i="12"/>
  <c r="N30" i="12"/>
  <c r="O31" i="12"/>
  <c r="S237" i="12"/>
  <c r="S256" i="12"/>
  <c r="S390" i="12"/>
  <c r="O390" i="12" s="1"/>
  <c r="S172" i="12"/>
  <c r="O172" i="12" s="1"/>
  <c r="S311" i="12"/>
  <c r="O324" i="12"/>
  <c r="S115" i="12"/>
  <c r="O115" i="12" s="1"/>
  <c r="S136" i="12"/>
  <c r="O136" i="12" s="1"/>
  <c r="S250" i="12"/>
  <c r="T250" i="12" s="1"/>
  <c r="O27" i="12"/>
  <c r="P23" i="12"/>
  <c r="S376" i="12"/>
  <c r="S285" i="12"/>
  <c r="S219" i="12"/>
  <c r="S342" i="12"/>
  <c r="S92" i="12"/>
  <c r="O92" i="12" s="1"/>
  <c r="S339" i="12"/>
  <c r="S289" i="12"/>
  <c r="O289" i="12" s="1"/>
  <c r="O235" i="12"/>
  <c r="N35" i="12"/>
  <c r="O63" i="12"/>
  <c r="S330" i="12"/>
  <c r="S310" i="12"/>
  <c r="S152" i="12"/>
  <c r="O152" i="12" s="1"/>
  <c r="S294" i="12"/>
  <c r="S242" i="12"/>
  <c r="O242" i="12" s="1"/>
  <c r="O57" i="12"/>
  <c r="N41" i="12"/>
  <c r="O29" i="12"/>
  <c r="O28" i="12"/>
  <c r="O36" i="12"/>
  <c r="N44" i="12"/>
  <c r="N36" i="12"/>
  <c r="N49" i="12"/>
  <c r="S124" i="12"/>
  <c r="S290" i="12"/>
  <c r="T112" i="12"/>
  <c r="S291" i="12"/>
  <c r="C17" i="15"/>
  <c r="O140" i="12"/>
  <c r="S295" i="12"/>
  <c r="O295" i="12" s="1"/>
  <c r="S185" i="12"/>
  <c r="O273" i="12"/>
  <c r="P22" i="12"/>
  <c r="S159" i="12"/>
  <c r="S175" i="12"/>
  <c r="S161" i="12"/>
  <c r="O154" i="12"/>
  <c r="O243" i="12"/>
  <c r="S298" i="12"/>
  <c r="T388" i="12"/>
  <c r="N20" i="12"/>
  <c r="O40" i="12"/>
  <c r="S345" i="12"/>
  <c r="O345" i="12" s="1"/>
  <c r="S263" i="12"/>
  <c r="S103" i="12"/>
  <c r="O103" i="12" s="1"/>
  <c r="S303" i="12"/>
  <c r="T303" i="12" s="1"/>
  <c r="S150" i="12"/>
  <c r="T210" i="12"/>
  <c r="S179" i="12"/>
  <c r="S251" i="12"/>
  <c r="O251" i="12" s="1"/>
  <c r="S183" i="12"/>
  <c r="P25" i="12"/>
  <c r="P19" i="12"/>
  <c r="S377" i="12"/>
  <c r="O377" i="12" s="1"/>
  <c r="S362" i="12"/>
  <c r="S254" i="12"/>
  <c r="S395" i="12"/>
  <c r="O395" i="12" s="1"/>
  <c r="S360" i="12"/>
  <c r="S259" i="12"/>
  <c r="O259" i="12" s="1"/>
  <c r="S162" i="12"/>
  <c r="O162" i="12" s="1"/>
  <c r="P30" i="12"/>
  <c r="P31" i="12"/>
  <c r="S132" i="12"/>
  <c r="S320" i="12"/>
  <c r="O320" i="12" s="1"/>
  <c r="S328" i="12"/>
  <c r="S343" i="12"/>
  <c r="O343" i="12" s="1"/>
  <c r="O318" i="12"/>
  <c r="S199" i="12"/>
  <c r="O199" i="12" s="1"/>
  <c r="O58" i="12"/>
  <c r="O42" i="12"/>
  <c r="S371" i="12"/>
  <c r="N75" i="12"/>
  <c r="O71" i="12"/>
  <c r="O53" i="12"/>
  <c r="O61" i="12"/>
  <c r="S97" i="12"/>
  <c r="S241" i="12"/>
  <c r="O241" i="12" s="1"/>
  <c r="S262" i="12"/>
  <c r="O218" i="12"/>
  <c r="S164" i="12"/>
  <c r="O164" i="12" s="1"/>
  <c r="S379" i="12"/>
  <c r="O311" i="12"/>
  <c r="S398" i="12"/>
  <c r="O62" i="12"/>
  <c r="O387" i="12"/>
  <c r="S213" i="12"/>
  <c r="O213" i="12" s="1"/>
  <c r="N73" i="12"/>
  <c r="O254" i="12"/>
  <c r="S184" i="12"/>
  <c r="S266" i="12"/>
  <c r="O342" i="12"/>
  <c r="S177" i="12"/>
  <c r="O177" i="12" s="1"/>
  <c r="O128" i="12"/>
  <c r="S297" i="12"/>
  <c r="O362" i="12"/>
  <c r="S85" i="12"/>
  <c r="O355" i="12"/>
  <c r="O156" i="12"/>
  <c r="S367" i="12"/>
  <c r="S93" i="12"/>
  <c r="O182" i="12"/>
  <c r="O129" i="12"/>
  <c r="S335" i="12"/>
  <c r="S113" i="12"/>
  <c r="O106" i="12"/>
  <c r="S119" i="12"/>
  <c r="O72" i="12"/>
  <c r="O337" i="12"/>
  <c r="S292" i="12"/>
  <c r="S396" i="12"/>
  <c r="O303" i="12"/>
  <c r="O250" i="12"/>
  <c r="S284" i="12"/>
  <c r="S198" i="12"/>
  <c r="S158" i="12"/>
  <c r="S364" i="12"/>
  <c r="O264" i="12"/>
  <c r="T229" i="12"/>
  <c r="O388" i="12"/>
  <c r="Z26" i="12"/>
  <c r="S114" i="12"/>
  <c r="O114" i="12" s="1"/>
  <c r="O148" i="12"/>
  <c r="O353" i="12"/>
  <c r="N62" i="12"/>
  <c r="S153" i="12"/>
  <c r="O153" i="12" s="1"/>
  <c r="S176" i="12"/>
  <c r="O176" i="12" s="1"/>
  <c r="S293" i="12"/>
  <c r="O293" i="12" s="1"/>
  <c r="S301" i="12"/>
  <c r="O301" i="12" s="1"/>
  <c r="S82" i="12"/>
  <c r="O82" i="12" s="1"/>
  <c r="O49" i="12"/>
  <c r="O328" i="12"/>
  <c r="T302" i="12"/>
  <c r="O150" i="12"/>
  <c r="O165" i="12"/>
  <c r="S381" i="12"/>
  <c r="O381" i="12" s="1"/>
  <c r="O216" i="12"/>
  <c r="O322" i="12"/>
  <c r="O253" i="12"/>
  <c r="O112" i="12"/>
  <c r="AA25" i="12"/>
  <c r="O357" i="12"/>
  <c r="O344" i="12"/>
  <c r="T344" i="12"/>
  <c r="T267" i="12"/>
  <c r="O267" i="12"/>
  <c r="O386" i="12"/>
  <c r="T386" i="12"/>
  <c r="O181" i="12"/>
  <c r="O214" i="12"/>
  <c r="T214" i="12"/>
  <c r="T283" i="12"/>
  <c r="O283" i="12"/>
  <c r="O204" i="12"/>
  <c r="O305" i="12"/>
  <c r="T237" i="12"/>
  <c r="O237" i="12"/>
  <c r="T159" i="12"/>
  <c r="O159" i="12"/>
  <c r="T132" i="12"/>
  <c r="O132" i="12"/>
  <c r="O97" i="12"/>
  <c r="T97" i="12"/>
  <c r="O379" i="12"/>
  <c r="T379" i="12"/>
  <c r="O297" i="12"/>
  <c r="T297" i="12"/>
  <c r="Z27" i="12"/>
  <c r="AA26"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AA27" i="12"/>
  <c r="O93" i="12"/>
  <c r="O185" i="12"/>
  <c r="O313" i="12"/>
  <c r="O168" i="12"/>
  <c r="T204" i="12"/>
  <c r="O261" i="12"/>
  <c r="O191" i="12"/>
  <c r="O374" i="12"/>
  <c r="O224" i="12"/>
  <c r="O341" i="12"/>
  <c r="O149" i="12"/>
  <c r="O207" i="12"/>
  <c r="O135" i="12"/>
  <c r="T236" i="12"/>
  <c r="T309" i="12"/>
  <c r="T80" i="12"/>
  <c r="O126" i="12"/>
  <c r="T326" i="12"/>
  <c r="O232" i="12"/>
  <c r="T103" i="12"/>
  <c r="T148" i="12"/>
  <c r="O384" i="12"/>
  <c r="T152" i="12"/>
  <c r="T146" i="12"/>
  <c r="T391" i="12"/>
  <c r="T123" i="12"/>
  <c r="T215" i="12"/>
  <c r="T201" i="12"/>
  <c r="T315" i="12"/>
  <c r="T395" i="12"/>
  <c r="T130" i="12"/>
  <c r="T79" i="12"/>
  <c r="T178" i="12"/>
  <c r="T356" i="12"/>
  <c r="T313" i="12"/>
  <c r="U132" i="12"/>
  <c r="T196" i="12"/>
  <c r="T188" i="12"/>
  <c r="U97" i="12"/>
  <c r="T200" i="12"/>
  <c r="O246" i="12"/>
  <c r="T198" i="12"/>
  <c r="O266" i="12"/>
  <c r="U379" i="12"/>
  <c r="T119" i="12"/>
  <c r="T279" i="12"/>
  <c r="T172" i="12"/>
  <c r="T220" i="12"/>
  <c r="T190" i="12"/>
  <c r="T323" i="12"/>
  <c r="T219" i="12"/>
  <c r="O359" i="12"/>
  <c r="T374" i="12"/>
  <c r="O219" i="12"/>
  <c r="T346" i="12"/>
  <c r="T232" i="12"/>
  <c r="O352" i="12"/>
  <c r="U112" i="12"/>
  <c r="T163" i="12"/>
  <c r="T382" i="12"/>
  <c r="T244" i="12"/>
  <c r="T91" i="12"/>
  <c r="T358" i="12"/>
  <c r="U302" i="12"/>
  <c r="T124" i="12"/>
  <c r="T384" i="12"/>
  <c r="T281" i="12"/>
  <c r="T286" i="12"/>
  <c r="T211" i="12"/>
  <c r="T114" i="12"/>
  <c r="T272" i="12"/>
  <c r="T182" i="12"/>
  <c r="T180" i="12"/>
  <c r="O249" i="12"/>
  <c r="T192" i="12"/>
  <c r="O184" i="12"/>
  <c r="T234" i="12"/>
  <c r="T299" i="12"/>
  <c r="T377" i="12"/>
  <c r="T149" i="12"/>
  <c r="T370" i="12"/>
  <c r="O325" i="12"/>
  <c r="T142" i="12"/>
  <c r="T354" i="12"/>
  <c r="U214" i="12"/>
  <c r="T335" i="12"/>
  <c r="O238" i="12"/>
  <c r="O228" i="12"/>
  <c r="T294" i="12"/>
  <c r="O85" i="12"/>
  <c r="O330" i="12"/>
  <c r="O188" i="12"/>
  <c r="O178" i="12"/>
  <c r="O95" i="12"/>
  <c r="O234" i="12"/>
  <c r="O169" i="12"/>
  <c r="O327" i="12"/>
  <c r="O195" i="12"/>
  <c r="O105" i="12"/>
  <c r="O225" i="12"/>
  <c r="O144" i="12"/>
  <c r="O299" i="12"/>
  <c r="T381" i="12"/>
  <c r="O369" i="12"/>
  <c r="U204" i="12"/>
  <c r="T202" i="12"/>
  <c r="T105" i="12"/>
  <c r="T106" i="12"/>
  <c r="U106" i="12" s="1"/>
  <c r="T271" i="12"/>
  <c r="U271" i="12" s="1"/>
  <c r="T227" i="12"/>
  <c r="T94" i="12"/>
  <c r="T296" i="12"/>
  <c r="T169" i="12"/>
  <c r="T197" i="12"/>
  <c r="T343" i="12"/>
  <c r="U322" i="12"/>
  <c r="T254" i="12"/>
  <c r="T248" i="12"/>
  <c r="U169" i="12"/>
  <c r="T387" i="12"/>
  <c r="T396" i="12"/>
  <c r="T259" i="12"/>
  <c r="T334" i="12"/>
  <c r="U334" i="12" s="1"/>
  <c r="O183" i="12"/>
  <c r="O336" i="12"/>
  <c r="T338" i="12"/>
  <c r="T110" i="12"/>
  <c r="U197" i="12"/>
  <c r="O391" i="12"/>
  <c r="O256" i="12"/>
  <c r="O364" i="12"/>
  <c r="O367" i="12"/>
  <c r="O310" i="12"/>
  <c r="O380" i="12"/>
  <c r="O107" i="12"/>
  <c r="O370" i="12"/>
  <c r="T121" i="12"/>
  <c r="U121" i="12" s="1"/>
  <c r="O340" i="12"/>
  <c r="O212" i="12"/>
  <c r="O394" i="12"/>
  <c r="O236" i="12"/>
  <c r="O186" i="12"/>
  <c r="O401" i="12"/>
  <c r="O361" i="12"/>
  <c r="O87" i="12"/>
  <c r="T233" i="12"/>
  <c r="T268" i="12"/>
  <c r="O202" i="12"/>
  <c r="O137" i="12"/>
  <c r="T183" i="12"/>
  <c r="U368" i="12"/>
  <c r="U297" i="12"/>
  <c r="T139" i="12"/>
  <c r="T291" i="12"/>
  <c r="T218" i="12"/>
  <c r="T257" i="12"/>
  <c r="T375" i="12"/>
  <c r="T399" i="12"/>
  <c r="T199" i="12"/>
  <c r="T284" i="12"/>
  <c r="U210" i="12"/>
  <c r="T385" i="12"/>
  <c r="T393" i="12"/>
  <c r="T263" i="12"/>
  <c r="O179" i="12"/>
  <c r="U172" i="12"/>
  <c r="T359" i="12"/>
  <c r="T175" i="12"/>
  <c r="T333" i="12"/>
  <c r="O198" i="12"/>
  <c r="T252" i="12"/>
  <c r="T246" i="12"/>
  <c r="T174" i="12"/>
  <c r="T258" i="12"/>
  <c r="T339" i="12"/>
  <c r="U358" i="12"/>
  <c r="T373" i="12"/>
  <c r="T361" i="12"/>
  <c r="T348" i="12"/>
  <c r="T207" i="12"/>
  <c r="T306" i="12"/>
  <c r="T311" i="12"/>
  <c r="O326" i="12"/>
  <c r="T293" i="12"/>
  <c r="T135" i="12"/>
  <c r="U344" i="12"/>
  <c r="O158" i="12"/>
  <c r="U273" i="12"/>
  <c r="T245" i="12"/>
  <c r="T314" i="12"/>
  <c r="T138" i="12"/>
  <c r="T349" i="12"/>
  <c r="O284" i="12"/>
  <c r="O161" i="12"/>
  <c r="O378" i="12"/>
  <c r="O271" i="12"/>
  <c r="O282" i="12"/>
  <c r="O157" i="12"/>
  <c r="O308" i="12"/>
  <c r="O83" i="12"/>
  <c r="T216" i="12"/>
  <c r="U216" i="12" s="1"/>
  <c r="T82" i="12"/>
  <c r="T195" i="12"/>
  <c r="U195" i="12" s="1"/>
  <c r="T240" i="12"/>
  <c r="T363" i="12"/>
  <c r="U264" i="12"/>
  <c r="T327" i="12"/>
  <c r="T160" i="12"/>
  <c r="T84" i="12"/>
  <c r="T389" i="12"/>
  <c r="T255" i="12"/>
  <c r="T341" i="12"/>
  <c r="O392" i="12"/>
  <c r="T117" i="12"/>
  <c r="T340" i="12"/>
  <c r="U340" i="12" s="1"/>
  <c r="T85" i="12"/>
  <c r="T274" i="12"/>
  <c r="T278" i="12"/>
  <c r="U114" i="12"/>
  <c r="T276" i="12"/>
  <c r="U339" i="12"/>
  <c r="T151" i="12"/>
  <c r="T292" i="12"/>
  <c r="T241" i="12"/>
  <c r="T115" i="12"/>
  <c r="U284" i="12"/>
  <c r="O398" i="12"/>
  <c r="T316" i="12"/>
  <c r="T336" i="12"/>
  <c r="U250" i="12"/>
  <c r="T111" i="12"/>
  <c r="T165" i="12"/>
  <c r="O79" i="12"/>
  <c r="O396" i="12"/>
  <c r="O175" i="12"/>
  <c r="O385" i="12"/>
  <c r="O215" i="12"/>
  <c r="T181" i="12"/>
  <c r="U181" i="12" s="1"/>
  <c r="O208" i="12"/>
  <c r="O248" i="12"/>
  <c r="O231" i="12"/>
  <c r="T78" i="12"/>
  <c r="T265" i="12"/>
  <c r="T226" i="12"/>
  <c r="T221" i="12"/>
  <c r="T101" i="12"/>
  <c r="T170" i="12"/>
  <c r="T380" i="12"/>
  <c r="T319" i="12"/>
  <c r="O123" i="12"/>
  <c r="T372" i="12"/>
  <c r="T162" i="12"/>
  <c r="T144" i="12"/>
  <c r="O222" i="12"/>
  <c r="T350" i="12"/>
  <c r="U331" i="12"/>
  <c r="U105" i="12"/>
  <c r="T397" i="12"/>
  <c r="T96" i="12"/>
  <c r="T187" i="12"/>
  <c r="O124" i="12"/>
  <c r="U234" i="12"/>
  <c r="T223" i="12"/>
  <c r="T194" i="12"/>
  <c r="T87" i="12"/>
  <c r="O138" i="12"/>
  <c r="O187" i="12"/>
  <c r="O290" i="12"/>
  <c r="T290" i="12"/>
  <c r="T193" i="12"/>
  <c r="U215" i="12"/>
  <c r="T88" i="12"/>
  <c r="T102" i="12"/>
  <c r="T320" i="12"/>
  <c r="O143" i="12"/>
  <c r="T362" i="12"/>
  <c r="O193" i="12"/>
  <c r="O350" i="12"/>
  <c r="T266" i="12"/>
  <c r="T371" i="12"/>
  <c r="U371" i="12" s="1"/>
  <c r="T224" i="12"/>
  <c r="U386" i="12"/>
  <c r="T310" i="12"/>
  <c r="T260" i="12"/>
  <c r="U311" i="12"/>
  <c r="T324" i="12"/>
  <c r="T134" i="12"/>
  <c r="T158" i="12"/>
  <c r="T394" i="12"/>
  <c r="U272" i="12"/>
  <c r="T328" i="12"/>
  <c r="T230" i="12"/>
  <c r="T186" i="12"/>
  <c r="U306" i="12"/>
  <c r="U283" i="12"/>
  <c r="U248" i="12"/>
  <c r="U196" i="12"/>
  <c r="O400" i="12"/>
  <c r="T107" i="12"/>
  <c r="U107" i="12" s="1"/>
  <c r="O292" i="12"/>
  <c r="O339" i="12"/>
  <c r="O147" i="12"/>
  <c r="O349" i="12"/>
  <c r="O375" i="12"/>
  <c r="O307" i="12"/>
  <c r="O323" i="12"/>
  <c r="O89" i="12"/>
  <c r="O302" i="12"/>
  <c r="O363" i="12"/>
  <c r="T231" i="12"/>
  <c r="U231" i="12" s="1"/>
  <c r="O227" i="12"/>
  <c r="T179" i="12"/>
  <c r="T161" i="12"/>
  <c r="T213" i="12"/>
  <c r="T217" i="12"/>
  <c r="U217" i="12" s="1"/>
  <c r="O319" i="12"/>
  <c r="O277" i="12"/>
  <c r="U237" i="12"/>
  <c r="T166" i="12"/>
  <c r="T330" i="12"/>
  <c r="T120" i="12"/>
  <c r="O348" i="12"/>
  <c r="T177" i="12"/>
  <c r="T285" i="12"/>
  <c r="O287" i="12"/>
  <c r="U268" i="12"/>
  <c r="T366" i="12"/>
  <c r="T225" i="12"/>
  <c r="T369" i="12"/>
  <c r="O119" i="12"/>
  <c r="O376" i="12"/>
  <c r="O180" i="12"/>
  <c r="T98" i="12"/>
  <c r="U98" i="12" s="1"/>
  <c r="O397" i="12"/>
  <c r="O209" i="12"/>
  <c r="O151" i="12"/>
  <c r="O329" i="12"/>
  <c r="O90" i="12"/>
  <c r="U388" i="12"/>
  <c r="T147" i="12"/>
  <c r="U147" i="12" s="1"/>
  <c r="O133" i="12"/>
  <c r="O194" i="12"/>
  <c r="U86" i="12"/>
  <c r="T318" i="12"/>
  <c r="O113" i="12"/>
  <c r="T189" i="12"/>
  <c r="O285" i="12"/>
  <c r="T238" i="12"/>
  <c r="U78" i="12"/>
  <c r="Z28" i="12"/>
  <c r="T205" i="12"/>
  <c r="U205" i="12" s="1"/>
  <c r="T269" i="12"/>
  <c r="T400" i="12"/>
  <c r="T307" i="12"/>
  <c r="T150" i="12"/>
  <c r="U150" i="12" s="1"/>
  <c r="T351" i="12"/>
  <c r="O373" i="12"/>
  <c r="T352" i="12"/>
  <c r="O314" i="12"/>
  <c r="T208" i="12"/>
  <c r="T345" i="12"/>
  <c r="U267" i="12"/>
  <c r="T191" i="12"/>
  <c r="U171" i="12"/>
  <c r="O346" i="12"/>
  <c r="U327" i="12"/>
  <c r="U207" i="12"/>
  <c r="T243" i="12"/>
  <c r="T304" i="12"/>
  <c r="O200" i="12"/>
  <c r="T136" i="12"/>
  <c r="O201" i="12"/>
  <c r="U170" i="12"/>
  <c r="T300" i="12"/>
  <c r="T92" i="12"/>
  <c r="T277" i="12"/>
  <c r="T173" i="12"/>
  <c r="O192" i="12"/>
  <c r="O335" i="12"/>
  <c r="O382" i="12"/>
  <c r="O312" i="12"/>
  <c r="O130" i="12"/>
  <c r="O233" i="12"/>
  <c r="T357" i="12"/>
  <c r="T156" i="12"/>
  <c r="U156" i="12" s="1"/>
  <c r="O134" i="12"/>
  <c r="O84" i="12"/>
  <c r="T364" i="12"/>
  <c r="O94" i="12"/>
  <c r="T90" i="12"/>
  <c r="U90" i="12" s="1"/>
  <c r="T133" i="12"/>
  <c r="T155" i="12"/>
  <c r="T329" i="12"/>
  <c r="T168" i="12"/>
  <c r="U168" i="12" s="1"/>
  <c r="O145" i="12"/>
  <c r="T99" i="12"/>
  <c r="U82" i="12"/>
  <c r="T288" i="12"/>
  <c r="T301" i="12"/>
  <c r="T262" i="12"/>
  <c r="O269" i="12"/>
  <c r="T127" i="12"/>
  <c r="T390" i="12"/>
  <c r="O281" i="12"/>
  <c r="O173" i="12"/>
  <c r="T378" i="12"/>
  <c r="T122" i="12"/>
  <c r="U122" i="12" s="1"/>
  <c r="O263" i="12"/>
  <c r="U253" i="12"/>
  <c r="U353" i="12"/>
  <c r="T131" i="12"/>
  <c r="T164" i="12"/>
  <c r="U164" i="12" s="1"/>
  <c r="U341" i="12"/>
  <c r="T137" i="12"/>
  <c r="T209" i="12"/>
  <c r="U209" i="12" s="1"/>
  <c r="T342" i="12"/>
  <c r="O294" i="12"/>
  <c r="T261" i="12"/>
  <c r="T289" i="12"/>
  <c r="U321" i="12"/>
  <c r="O117" i="12"/>
  <c r="T312" i="12"/>
  <c r="U312" i="12" s="1"/>
  <c r="T93" i="12"/>
  <c r="T141" i="12"/>
  <c r="U141" i="12" s="1"/>
  <c r="U229" i="12"/>
  <c r="U139" i="12"/>
  <c r="T355" i="12"/>
  <c r="T100" i="12"/>
  <c r="U100" i="12" s="1"/>
  <c r="O371" i="12"/>
  <c r="T305" i="12"/>
  <c r="U305" i="12" s="1"/>
  <c r="O111" i="12"/>
  <c r="O255" i="12"/>
  <c r="O146" i="12"/>
  <c r="O300" i="12"/>
  <c r="O197" i="12"/>
  <c r="O108" i="12"/>
  <c r="O296" i="12"/>
  <c r="T270" i="12"/>
  <c r="U270" i="12" s="1"/>
  <c r="O244" i="12"/>
  <c r="T109" i="12"/>
  <c r="U109" i="12" s="1"/>
  <c r="U177" i="12"/>
  <c r="U381" i="12"/>
  <c r="T376" i="12"/>
  <c r="T95" i="12"/>
  <c r="T203" i="12"/>
  <c r="T153" i="12"/>
  <c r="U189" i="12"/>
  <c r="U174" i="12"/>
  <c r="T140" i="12"/>
  <c r="U258" i="12"/>
  <c r="O245" i="12"/>
  <c r="T298" i="12"/>
  <c r="U298" i="12" s="1"/>
  <c r="T317" i="12"/>
  <c r="U317" i="12" s="1"/>
  <c r="O389" i="12"/>
  <c r="U303" i="12"/>
  <c r="U159" i="12"/>
  <c r="T235" i="12"/>
  <c r="U235" i="12" s="1"/>
  <c r="T129" i="12"/>
  <c r="U129" i="12" s="1"/>
  <c r="T81" i="12"/>
  <c r="T365" i="12"/>
  <c r="T401" i="12"/>
  <c r="O280" i="12"/>
  <c r="T206" i="12"/>
  <c r="T212" i="12"/>
  <c r="T287" i="12"/>
  <c r="T367" i="12"/>
  <c r="D14" i="6"/>
  <c r="O155" i="12"/>
  <c r="T126" i="12"/>
  <c r="T128" i="12"/>
  <c r="U212" i="12"/>
  <c r="T185" i="12"/>
  <c r="R54" i="12"/>
  <c r="R46" i="12"/>
  <c r="R58" i="12"/>
  <c r="P153" i="12"/>
  <c r="P184" i="12"/>
  <c r="P328" i="12"/>
  <c r="P65" i="12"/>
  <c r="P271" i="12"/>
  <c r="P196" i="12"/>
  <c r="P80" i="12"/>
  <c r="P205" i="12"/>
  <c r="P182" i="12"/>
  <c r="P276" i="12"/>
  <c r="P273" i="12"/>
  <c r="P75" i="12"/>
  <c r="P225" i="12"/>
  <c r="P259" i="12"/>
  <c r="P203" i="12"/>
  <c r="P374" i="12"/>
  <c r="P304" i="12"/>
  <c r="O306" i="12"/>
  <c r="O354" i="12"/>
  <c r="T228" i="12"/>
  <c r="T167" i="12"/>
  <c r="U167" i="12" s="1"/>
  <c r="U332" i="12"/>
  <c r="O226" i="12"/>
  <c r="T118" i="12"/>
  <c r="U118" i="12" s="1"/>
  <c r="T176" i="12"/>
  <c r="U378" i="12"/>
  <c r="R41" i="12"/>
  <c r="P163" i="12"/>
  <c r="P239" i="12"/>
  <c r="P154" i="12"/>
  <c r="O298" i="12"/>
  <c r="O99" i="12"/>
  <c r="O223" i="12"/>
  <c r="O203" i="12"/>
  <c r="O372" i="12"/>
  <c r="O109" i="12"/>
  <c r="O333" i="12"/>
  <c r="O139" i="12"/>
  <c r="T295" i="12"/>
  <c r="U295" i="12" s="1"/>
  <c r="T154" i="12"/>
  <c r="O239" i="12"/>
  <c r="T280" i="12"/>
  <c r="T239" i="12"/>
  <c r="T83" i="12"/>
  <c r="U83" i="12" s="1"/>
  <c r="T282" i="12"/>
  <c r="U282" i="12" s="1"/>
  <c r="O262" i="12"/>
  <c r="T145" i="12"/>
  <c r="T256" i="12"/>
  <c r="T308" i="12"/>
  <c r="U203" i="12"/>
  <c r="T247" i="12"/>
  <c r="O288" i="12"/>
  <c r="T143" i="12"/>
  <c r="O278" i="12"/>
  <c r="O291" i="12"/>
  <c r="T113" i="12"/>
  <c r="T398" i="12"/>
  <c r="T104" i="12"/>
  <c r="T222" i="12"/>
  <c r="T275" i="12"/>
  <c r="T157" i="12"/>
  <c r="T242" i="12"/>
  <c r="T125" i="12"/>
  <c r="U125" i="12" s="1"/>
  <c r="T325" i="12"/>
  <c r="T116" i="12"/>
  <c r="T89" i="12"/>
  <c r="T251" i="12"/>
  <c r="U251" i="12" s="1"/>
  <c r="T360" i="12"/>
  <c r="T184" i="12"/>
  <c r="T249" i="12"/>
  <c r="T392" i="12"/>
  <c r="U301" i="12"/>
  <c r="T337" i="12"/>
  <c r="U160" i="12"/>
  <c r="R73" i="12"/>
  <c r="R71" i="12"/>
  <c r="P187" i="12"/>
  <c r="P280" i="12"/>
  <c r="P237" i="12"/>
  <c r="P78" i="12"/>
  <c r="P385" i="12"/>
  <c r="P223" i="12"/>
  <c r="P226" i="12"/>
  <c r="P55" i="12"/>
  <c r="P285" i="12"/>
  <c r="P165" i="12"/>
  <c r="P97" i="12"/>
  <c r="P256" i="12"/>
  <c r="P344" i="12"/>
  <c r="P189" i="12"/>
  <c r="P242" i="12"/>
  <c r="P107" i="12"/>
  <c r="P307" i="12"/>
  <c r="P290" i="12"/>
  <c r="P300" i="12"/>
  <c r="P120" i="12"/>
  <c r="P238" i="12"/>
  <c r="P291" i="12"/>
  <c r="P194" i="12"/>
  <c r="P297" i="12"/>
  <c r="P186" i="12"/>
  <c r="P216" i="12"/>
  <c r="P181" i="12"/>
  <c r="P175" i="12"/>
  <c r="P358" i="12"/>
  <c r="P85" i="12"/>
  <c r="P214" i="12"/>
  <c r="T108" i="12"/>
  <c r="R74" i="12"/>
  <c r="P124" i="12"/>
  <c r="P318" i="12"/>
  <c r="P245" i="12"/>
  <c r="P247" i="12"/>
  <c r="P200" i="12"/>
  <c r="P292" i="12"/>
  <c r="P325" i="12"/>
  <c r="P279" i="12"/>
  <c r="P369" i="12"/>
  <c r="P294" i="12"/>
  <c r="P211" i="12"/>
  <c r="P356" i="12"/>
  <c r="P389" i="12"/>
  <c r="P197" i="12"/>
  <c r="P131" i="12"/>
  <c r="P399" i="12"/>
  <c r="O360" i="12"/>
  <c r="U357" i="12"/>
  <c r="P376" i="12"/>
  <c r="P61" i="12"/>
  <c r="P269" i="12"/>
  <c r="P159" i="12"/>
  <c r="P219" i="12"/>
  <c r="D27" i="6"/>
  <c r="P108" i="12"/>
  <c r="P46" i="12"/>
  <c r="R47" i="12"/>
  <c r="P287" i="12"/>
  <c r="P324" i="12"/>
  <c r="P332" i="12"/>
  <c r="P262" i="12"/>
  <c r="P296" i="12"/>
  <c r="P390" i="12"/>
  <c r="P122" i="12"/>
  <c r="P39" i="12"/>
  <c r="P82" i="12"/>
  <c r="P54" i="12"/>
  <c r="P230" i="12"/>
  <c r="P373" i="12"/>
  <c r="P370" i="12"/>
  <c r="P354" i="12"/>
  <c r="R75" i="12"/>
  <c r="R60" i="12"/>
  <c r="R52" i="12"/>
  <c r="R65" i="12"/>
  <c r="P161" i="12"/>
  <c r="P303" i="12"/>
  <c r="R53" i="12"/>
  <c r="P138" i="12"/>
  <c r="P96" i="12"/>
  <c r="P168" i="12"/>
  <c r="P68" i="12"/>
  <c r="P72" i="12"/>
  <c r="P101" i="12"/>
  <c r="P274" i="12"/>
  <c r="R40" i="12"/>
  <c r="R61" i="12"/>
  <c r="P62" i="12"/>
  <c r="P308" i="12"/>
  <c r="P151" i="12"/>
  <c r="P193" i="12"/>
  <c r="P160" i="12"/>
  <c r="P363" i="12"/>
  <c r="P110" i="12"/>
  <c r="P132" i="12"/>
  <c r="P253" i="12"/>
  <c r="P317" i="12"/>
  <c r="P142" i="12"/>
  <c r="P227" i="12"/>
  <c r="P210" i="12"/>
  <c r="P87" i="12"/>
  <c r="P272" i="12"/>
  <c r="P103" i="12"/>
  <c r="R57" i="12"/>
  <c r="P260" i="12"/>
  <c r="P314" i="12"/>
  <c r="P387" i="12"/>
  <c r="P395" i="12"/>
  <c r="P156" i="12"/>
  <c r="P45" i="12"/>
  <c r="P283" i="12"/>
  <c r="P252" i="12"/>
  <c r="P316" i="12"/>
  <c r="P89" i="12"/>
  <c r="P337" i="12"/>
  <c r="P139" i="12"/>
  <c r="P59" i="12"/>
  <c r="P125" i="12"/>
  <c r="P150" i="12"/>
  <c r="P47" i="12"/>
  <c r="P348" i="12"/>
  <c r="R55" i="12"/>
  <c r="P346" i="12"/>
  <c r="P198" i="12"/>
  <c r="P195" i="12"/>
  <c r="P105" i="12"/>
  <c r="P380" i="12"/>
  <c r="P91" i="12"/>
  <c r="P286" i="12"/>
  <c r="P73" i="12"/>
  <c r="P128" i="12"/>
  <c r="P191" i="12"/>
  <c r="P284" i="12"/>
  <c r="P221" i="12"/>
  <c r="P176" i="12"/>
  <c r="P394" i="12"/>
  <c r="R69" i="12"/>
  <c r="P70" i="12"/>
  <c r="P244" i="12"/>
  <c r="P365" i="12"/>
  <c r="P133" i="12"/>
  <c r="P264" i="12"/>
  <c r="P116" i="12"/>
  <c r="P255" i="12"/>
  <c r="P111" i="12"/>
  <c r="P171" i="12"/>
  <c r="P174" i="12"/>
  <c r="P352" i="12"/>
  <c r="P179" i="12"/>
  <c r="P60" i="12"/>
  <c r="R67" i="12"/>
  <c r="P295" i="12"/>
  <c r="J23" i="12"/>
  <c r="P167" i="12"/>
  <c r="P94" i="12"/>
  <c r="P275" i="12"/>
  <c r="P350" i="12"/>
  <c r="P136" i="12"/>
  <c r="P134" i="12"/>
  <c r="P177" i="12"/>
  <c r="P202" i="12"/>
  <c r="P340" i="12"/>
  <c r="P56" i="12"/>
  <c r="P81" i="12"/>
  <c r="P52" i="12"/>
  <c r="P208" i="12"/>
  <c r="P220" i="12"/>
  <c r="P102" i="12"/>
  <c r="P320" i="12"/>
  <c r="P377" i="12"/>
  <c r="P240" i="12"/>
  <c r="P379" i="12"/>
  <c r="P301" i="12"/>
  <c r="P224" i="12"/>
  <c r="P289" i="12"/>
  <c r="P326" i="12"/>
  <c r="P321" i="12"/>
  <c r="P119" i="12"/>
  <c r="P92" i="12"/>
  <c r="P40" i="12"/>
  <c r="P231" i="12"/>
  <c r="P169" i="12"/>
  <c r="P267" i="12"/>
  <c r="P281" i="12"/>
  <c r="P313" i="12"/>
  <c r="P217" i="12"/>
  <c r="P104" i="12"/>
  <c r="P359" i="12"/>
  <c r="P386" i="12"/>
  <c r="P64" i="12"/>
  <c r="R43" i="12"/>
  <c r="R39" i="12"/>
  <c r="P388" i="12"/>
  <c r="P382" i="12"/>
  <c r="P254" i="12"/>
  <c r="P121" i="12"/>
  <c r="P351" i="12"/>
  <c r="P311" i="12"/>
  <c r="P361" i="12"/>
  <c r="P74" i="12"/>
  <c r="P246" i="12"/>
  <c r="P201" i="12"/>
  <c r="P166" i="12"/>
  <c r="P41" i="12"/>
  <c r="P148" i="12"/>
  <c r="P353" i="12"/>
  <c r="P347" i="12"/>
  <c r="P368" i="12"/>
  <c r="P140" i="12"/>
  <c r="P249" i="12"/>
  <c r="R42" i="12"/>
  <c r="P173" i="12"/>
  <c r="P235" i="12"/>
  <c r="P155" i="12"/>
  <c r="P315" i="12"/>
  <c r="P229" i="12"/>
  <c r="P144" i="12"/>
  <c r="P147" i="12"/>
  <c r="P49" i="12"/>
  <c r="P172" i="12"/>
  <c r="P349" i="12"/>
  <c r="P199" i="12"/>
  <c r="P100" i="12"/>
  <c r="P114" i="12"/>
  <c r="P185" i="12"/>
  <c r="P170" i="12"/>
  <c r="P396" i="12"/>
  <c r="P298" i="12"/>
  <c r="P392" i="12"/>
  <c r="P63" i="12"/>
  <c r="P146" i="12"/>
  <c r="P266" i="12"/>
  <c r="P57" i="12"/>
  <c r="P42" i="12"/>
  <c r="D15" i="6"/>
  <c r="P190" i="12"/>
  <c r="P257" i="12"/>
  <c r="P312" i="12"/>
  <c r="J1" i="5" a="1"/>
  <c r="P345" i="12"/>
  <c r="P293" i="12"/>
  <c r="P93" i="12"/>
  <c r="R56" i="12"/>
  <c r="R70" i="12"/>
  <c r="P106" i="12"/>
  <c r="P310" i="12"/>
  <c r="P141" i="12"/>
  <c r="P277" i="12"/>
  <c r="P334" i="12"/>
  <c r="P282" i="12"/>
  <c r="P364" i="12"/>
  <c r="P218" i="12"/>
  <c r="P251" i="12"/>
  <c r="P137" i="12"/>
  <c r="P306" i="12"/>
  <c r="P145" i="12"/>
  <c r="P48" i="12"/>
  <c r="P130" i="12"/>
  <c r="R68" i="12"/>
  <c r="R50" i="12"/>
  <c r="P391" i="12"/>
  <c r="P327" i="12"/>
  <c r="P288" i="12"/>
  <c r="P270" i="12"/>
  <c r="P248" i="12"/>
  <c r="P339" i="12"/>
  <c r="P71" i="12"/>
  <c r="P309" i="12"/>
  <c r="P343" i="12"/>
  <c r="P302" i="12"/>
  <c r="P322" i="12"/>
  <c r="P401" i="12"/>
  <c r="P135" i="12"/>
  <c r="P398" i="12"/>
  <c r="P342" i="12"/>
  <c r="P58" i="12"/>
  <c r="R51" i="12"/>
  <c r="R45" i="12"/>
  <c r="P207" i="12"/>
  <c r="P268" i="12"/>
  <c r="P86" i="12"/>
  <c r="P250" i="12"/>
  <c r="P331" i="12"/>
  <c r="P126" i="12"/>
  <c r="P397" i="12"/>
  <c r="P95" i="12"/>
  <c r="P53" i="12"/>
  <c r="P88" i="12"/>
  <c r="P329" i="12"/>
  <c r="P336" i="12"/>
  <c r="P180" i="12"/>
  <c r="P299" i="12"/>
  <c r="P393" i="12"/>
  <c r="P164" i="12"/>
  <c r="AB16" i="12"/>
  <c r="R64" i="12"/>
  <c r="R72" i="12"/>
  <c r="P158" i="12"/>
  <c r="P192" i="12"/>
  <c r="P232" i="12"/>
  <c r="P51" i="12"/>
  <c r="P67" i="12"/>
  <c r="P381" i="12"/>
  <c r="P261" i="12"/>
  <c r="P228" i="12"/>
  <c r="P241" i="12"/>
  <c r="P66" i="12"/>
  <c r="P90" i="12"/>
  <c r="P143" i="12"/>
  <c r="P44" i="12"/>
  <c r="P79" i="12"/>
  <c r="P212" i="12"/>
  <c r="AC16" i="12"/>
  <c r="P129" i="12"/>
  <c r="P341" i="12"/>
  <c r="P236" i="12"/>
  <c r="P338" i="12"/>
  <c r="P375" i="12"/>
  <c r="P333" i="12"/>
  <c r="P400" i="12"/>
  <c r="P384" i="12"/>
  <c r="P362" i="12"/>
  <c r="P112" i="12"/>
  <c r="P69" i="12"/>
  <c r="P383" i="12"/>
  <c r="P206" i="12"/>
  <c r="R62" i="12"/>
  <c r="R48" i="12"/>
  <c r="P188" i="12"/>
  <c r="P83" i="12"/>
  <c r="P157" i="12"/>
  <c r="P265" i="12"/>
  <c r="P278" i="12"/>
  <c r="P152" i="12"/>
  <c r="P98" i="12"/>
  <c r="P123" i="12"/>
  <c r="P323" i="12"/>
  <c r="P209" i="12"/>
  <c r="P357" i="12"/>
  <c r="P319" i="12"/>
  <c r="P222" i="12"/>
  <c r="P355" i="12"/>
  <c r="P367" i="12"/>
  <c r="P372" i="12"/>
  <c r="P258" i="12"/>
  <c r="P234" i="12"/>
  <c r="P366" i="12"/>
  <c r="P117" i="12"/>
  <c r="P378" i="12"/>
  <c r="P233" i="12"/>
  <c r="P99" i="12"/>
  <c r="P109" i="12"/>
  <c r="P162" i="12"/>
  <c r="P118" i="12"/>
  <c r="P330" i="12"/>
  <c r="P115" i="12"/>
  <c r="P84" i="12"/>
  <c r="P335" i="12"/>
  <c r="P305" i="12"/>
  <c r="P215" i="12"/>
  <c r="P50" i="12"/>
  <c r="P178" i="12"/>
  <c r="P113" i="12"/>
  <c r="P43" i="12"/>
  <c r="C24" i="6"/>
  <c r="P127" i="12"/>
  <c r="P371" i="12"/>
  <c r="P243" i="12"/>
  <c r="P213" i="12"/>
  <c r="P204" i="12"/>
  <c r="P183" i="12"/>
  <c r="P360" i="12"/>
  <c r="P263" i="12"/>
  <c r="P149" i="12"/>
  <c r="R66" i="12"/>
  <c r="R49" i="12"/>
  <c r="R63" i="12"/>
  <c r="R44" i="12"/>
  <c r="R59" i="12"/>
  <c r="R32" i="12"/>
  <c r="R26" i="12"/>
  <c r="R22" i="12"/>
  <c r="S347" i="12"/>
  <c r="R23" i="12"/>
  <c r="R27" i="12"/>
  <c r="R33" i="12"/>
  <c r="R24" i="12"/>
  <c r="R20" i="12"/>
  <c r="R30" i="12"/>
  <c r="S383" i="12"/>
  <c r="R31" i="12"/>
  <c r="R35" i="12"/>
  <c r="R21" i="12"/>
  <c r="R19" i="12"/>
  <c r="R29" i="12"/>
  <c r="R28" i="12"/>
  <c r="R34" i="12"/>
  <c r="R25" i="12"/>
  <c r="R36" i="12"/>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98" i="12"/>
  <c r="V171" i="12"/>
  <c r="V344" i="12"/>
  <c r="V353" i="12"/>
  <c r="V216" i="12"/>
  <c r="V253" i="12"/>
  <c r="V267" i="12"/>
  <c r="V379" i="12"/>
  <c r="V305" i="12"/>
  <c r="V210" i="12"/>
  <c r="V331" i="12"/>
  <c r="V159" i="12"/>
  <c r="V97" i="12"/>
  <c r="V303" i="12"/>
  <c r="V132" i="12"/>
  <c r="V322" i="12"/>
  <c r="V229" i="12"/>
  <c r="V237" i="12"/>
  <c r="V156" i="12"/>
  <c r="V302" i="12"/>
  <c r="V297" i="12"/>
  <c r="V264" i="12"/>
  <c r="V121" i="12"/>
  <c r="V204" i="12"/>
  <c r="V181" i="12"/>
  <c r="V388" i="12"/>
  <c r="W19" i="12" a="1"/>
  <c r="V86" i="12"/>
  <c r="V321" i="12"/>
  <c r="V203" i="12"/>
  <c r="V174" i="12"/>
  <c r="V270" i="12"/>
  <c r="V357" i="12"/>
  <c r="V170" i="12"/>
  <c r="V105" i="12"/>
  <c r="V250" i="12"/>
  <c r="V283" i="12"/>
  <c r="V341" i="12"/>
  <c r="V282" i="12"/>
  <c r="V189" i="12"/>
  <c r="V106" i="12"/>
  <c r="V160" i="12"/>
  <c r="V129" i="12"/>
  <c r="V339" i="12"/>
  <c r="V272" i="12"/>
  <c r="V234" i="12"/>
  <c r="V197" i="12"/>
  <c r="V381" i="12"/>
  <c r="V327" i="12"/>
  <c r="V371" i="12"/>
  <c r="V332" i="12"/>
  <c r="V340" i="12"/>
  <c r="V251" i="12"/>
  <c r="V78" i="12"/>
  <c r="V118" i="12"/>
  <c r="V147" i="12"/>
  <c r="V82" i="12"/>
  <c r="V386" i="12"/>
  <c r="V248" i="12"/>
  <c r="V317" i="12"/>
  <c r="V164" i="12"/>
  <c r="V295" i="12"/>
  <c r="V358" i="12"/>
  <c r="V214" i="12"/>
  <c r="V114" i="12"/>
  <c r="V312" i="12"/>
  <c r="V209" i="12"/>
  <c r="V212" i="12"/>
  <c r="V125" i="12"/>
  <c r="V90" i="12"/>
  <c r="V207" i="12"/>
  <c r="V298" i="12"/>
  <c r="V109" i="12"/>
  <c r="V122" i="12"/>
  <c r="V334" i="12"/>
  <c r="V205" i="12"/>
  <c r="V215" i="12"/>
  <c r="V235" i="12"/>
  <c r="V196" i="12"/>
  <c r="V167" i="12"/>
  <c r="V301" i="12"/>
  <c r="V258" i="12"/>
  <c r="V83" i="12"/>
  <c r="V378" i="12"/>
  <c r="V311" i="12"/>
  <c r="V168" i="12"/>
  <c r="V141" i="12"/>
  <c r="V169" i="12"/>
  <c r="V231" i="12"/>
  <c r="V177" i="12"/>
  <c r="V100" i="12"/>
  <c r="V150" i="12"/>
  <c r="V273" i="12"/>
  <c r="V368" i="12"/>
  <c r="V172" i="12"/>
  <c r="V107" i="12"/>
  <c r="V271" i="12"/>
  <c r="V306" i="12"/>
  <c r="V284" i="12"/>
  <c r="V217" i="12"/>
  <c r="V139" i="12"/>
  <c r="V268" i="12"/>
  <c r="V195" i="12"/>
  <c r="O383" i="12"/>
  <c r="U247" i="12"/>
  <c r="U261" i="12"/>
  <c r="U213" i="12"/>
  <c r="U221" i="12"/>
  <c r="U199" i="12"/>
  <c r="U279" i="12"/>
  <c r="T383" i="12"/>
  <c r="U134" i="12"/>
  <c r="U127" i="12"/>
  <c r="U202" i="12"/>
  <c r="U140" i="12"/>
  <c r="U346" i="12"/>
  <c r="U354" i="12"/>
  <c r="U349" i="12"/>
  <c r="U185" i="12"/>
  <c r="U228" i="12"/>
  <c r="U310" i="12"/>
  <c r="U32" i="12"/>
  <c r="U84" i="12"/>
  <c r="U375" i="12"/>
  <c r="U299" i="12"/>
  <c r="U62" i="12"/>
  <c r="U259" i="12"/>
  <c r="U249" i="12"/>
  <c r="U304" i="12"/>
  <c r="U239" i="12"/>
  <c r="U396" i="12"/>
  <c r="U397" i="12"/>
  <c r="U61" i="12"/>
  <c r="U69" i="12"/>
  <c r="U280" i="12"/>
  <c r="U104" i="12"/>
  <c r="U186" i="12"/>
  <c r="U50" i="12"/>
  <c r="U236" i="12"/>
  <c r="U80" i="12"/>
  <c r="U220" i="12"/>
  <c r="U155" i="12"/>
  <c r="U309" i="12"/>
  <c r="U276" i="12"/>
  <c r="U53" i="12"/>
  <c r="U94" i="12"/>
  <c r="U180" i="12"/>
  <c r="U366" i="12"/>
  <c r="U173" i="12"/>
  <c r="U115" i="12"/>
  <c r="U245" i="12"/>
  <c r="U198" i="12"/>
  <c r="U314" i="12"/>
  <c r="U232" i="12"/>
  <c r="U36" i="12"/>
  <c r="U120" i="12"/>
  <c r="U88" i="12"/>
  <c r="U325" i="12"/>
  <c r="U108" i="12"/>
  <c r="U324" i="12"/>
  <c r="U338" i="12"/>
  <c r="D26" i="6"/>
  <c r="U300" i="12"/>
  <c r="U153" i="12"/>
  <c r="U394" i="12"/>
  <c r="U266" i="12"/>
  <c r="U374" i="12"/>
  <c r="U351" i="12"/>
  <c r="U52" i="12"/>
  <c r="U58" i="12"/>
  <c r="U166" i="12"/>
  <c r="U307" i="12"/>
  <c r="U144" i="12"/>
  <c r="U25" i="12"/>
  <c r="U154" i="12"/>
  <c r="U293" i="12"/>
  <c r="U260" i="12"/>
  <c r="U103" i="12"/>
  <c r="U96" i="12"/>
  <c r="U226" i="12"/>
  <c r="U128" i="12"/>
  <c r="U243" i="12"/>
  <c r="U362" i="12"/>
  <c r="U241" i="12"/>
  <c r="U254" i="12"/>
  <c r="U188" i="12"/>
  <c r="U64" i="12"/>
  <c r="U194" i="12"/>
  <c r="U51" i="12"/>
  <c r="U28" i="12"/>
  <c r="U262" i="12"/>
  <c r="U22" i="12"/>
  <c r="U384" i="12"/>
  <c r="U208" i="12"/>
  <c r="U389" i="12"/>
  <c r="U238" i="12"/>
  <c r="U222" i="12"/>
  <c r="U367" i="12"/>
  <c r="U135" i="12"/>
  <c r="U178" i="12"/>
  <c r="U48" i="12"/>
  <c r="U113" i="12"/>
  <c r="U29" i="12"/>
  <c r="U43" i="12"/>
  <c r="U74" i="12"/>
  <c r="U161" i="12"/>
  <c r="U35" i="12"/>
  <c r="U130" i="12"/>
  <c r="U211" i="12"/>
  <c r="U116" i="12"/>
  <c r="U102" i="12"/>
  <c r="U175" i="12"/>
  <c r="U395" i="12"/>
  <c r="U45" i="12"/>
  <c r="U265" i="12"/>
  <c r="U124" i="12"/>
  <c r="U356" i="12"/>
  <c r="U146" i="12"/>
  <c r="U65" i="12"/>
  <c r="U263" i="12"/>
  <c r="U79" i="12"/>
  <c r="U111" i="12"/>
  <c r="U145" i="12"/>
  <c r="U201" i="12"/>
  <c r="U400" i="12"/>
  <c r="U352" i="12"/>
  <c r="U398" i="12"/>
  <c r="U148" i="12"/>
  <c r="U257" i="12"/>
  <c r="U343" i="12"/>
  <c r="U27" i="12"/>
  <c r="U34" i="12"/>
  <c r="U337" i="12"/>
  <c r="U350" i="12"/>
  <c r="U70" i="12"/>
  <c r="U143" i="12"/>
  <c r="U385" i="12"/>
  <c r="U190" i="12"/>
  <c r="U39" i="12"/>
  <c r="U117" i="12"/>
  <c r="U326" i="12"/>
  <c r="U218" i="12"/>
  <c r="U319" i="12"/>
  <c r="U323" i="12"/>
  <c r="U355" i="12"/>
  <c r="U101" i="12"/>
  <c r="U377" i="12"/>
  <c r="U46" i="12"/>
  <c r="U392" i="12"/>
  <c r="U329" i="12"/>
  <c r="O347" i="12"/>
  <c r="U308" i="12"/>
  <c r="U342" i="12"/>
  <c r="U328" i="12"/>
  <c r="U165" i="12"/>
  <c r="U399" i="12"/>
  <c r="U119" i="12"/>
  <c r="U20" i="12"/>
  <c r="U336" i="12"/>
  <c r="U162" i="12"/>
  <c r="U256" i="12"/>
  <c r="U21" i="12"/>
  <c r="U223" i="12"/>
  <c r="U252" i="12"/>
  <c r="U63" i="12"/>
  <c r="U85" i="12"/>
  <c r="U269" i="12"/>
  <c r="U176" i="12"/>
  <c r="U92" i="12"/>
  <c r="U316" i="12"/>
  <c r="U200" i="12"/>
  <c r="U225" i="12"/>
  <c r="U359" i="12"/>
  <c r="U23" i="12"/>
  <c r="Z29" i="12"/>
  <c r="AA29" i="12" s="1"/>
  <c r="U376" i="12"/>
  <c r="U44" i="12"/>
  <c r="U230" i="12"/>
  <c r="U372" i="12"/>
  <c r="U401" i="12"/>
  <c r="U290" i="12"/>
  <c r="U360" i="12"/>
  <c r="U288" i="12"/>
  <c r="U95" i="12"/>
  <c r="U348" i="12"/>
  <c r="U370" i="12"/>
  <c r="U47" i="12"/>
  <c r="U184" i="12"/>
  <c r="U233" i="12"/>
  <c r="U373" i="12"/>
  <c r="U361" i="12"/>
  <c r="U71" i="12"/>
  <c r="U157" i="12"/>
  <c r="U274" i="12"/>
  <c r="U89" i="12"/>
  <c r="U320" i="12"/>
  <c r="U296" i="12"/>
  <c r="U123" i="12"/>
  <c r="U183" i="12"/>
  <c r="U255" i="12"/>
  <c r="U387" i="12"/>
  <c r="U158" i="12"/>
  <c r="U151" i="12"/>
  <c r="U363" i="12"/>
  <c r="U110" i="12"/>
  <c r="U99" i="12"/>
  <c r="U54" i="12"/>
  <c r="U286" i="12"/>
  <c r="U192" i="12"/>
  <c r="U313" i="12"/>
  <c r="U206" i="12"/>
  <c r="U91" i="12"/>
  <c r="U277" i="12"/>
  <c r="U291" i="12"/>
  <c r="U73" i="12"/>
  <c r="U66" i="12"/>
  <c r="U330" i="12"/>
  <c r="U24" i="12"/>
  <c r="U219" i="12"/>
  <c r="U67" i="12"/>
  <c r="U152" i="12"/>
  <c r="U240" i="12"/>
  <c r="U242" i="12"/>
  <c r="U193" i="12"/>
  <c r="U393" i="12"/>
  <c r="U163" i="12"/>
  <c r="U294" i="12"/>
  <c r="U364" i="12"/>
  <c r="U56" i="12"/>
  <c r="U285" i="12"/>
  <c r="U72" i="12"/>
  <c r="U31" i="12"/>
  <c r="U287" i="12"/>
  <c r="U244" i="12"/>
  <c r="U75" i="12"/>
  <c r="U227" i="12"/>
  <c r="U289" i="12"/>
  <c r="U380" i="12"/>
  <c r="U390" i="12"/>
  <c r="U369" i="12"/>
  <c r="U41" i="12"/>
  <c r="U187" i="12"/>
  <c r="U292" i="12"/>
  <c r="U30" i="12"/>
  <c r="U40" i="12"/>
  <c r="U137" i="12"/>
  <c r="U278" i="12"/>
  <c r="U126" i="12"/>
  <c r="U81" i="12"/>
  <c r="U333" i="12"/>
  <c r="U281" i="12"/>
  <c r="U182" i="12"/>
  <c r="U136" i="12"/>
  <c r="U191" i="12"/>
  <c r="U275" i="12"/>
  <c r="U60" i="12"/>
  <c r="U179" i="12"/>
  <c r="U224" i="12"/>
  <c r="U246" i="12"/>
  <c r="U133" i="12"/>
  <c r="U345" i="12"/>
  <c r="U59" i="12"/>
  <c r="U138" i="12"/>
  <c r="T347" i="12"/>
  <c r="U87" i="12"/>
  <c r="U57" i="12"/>
  <c r="U315" i="12"/>
  <c r="U365" i="12"/>
  <c r="U93" i="12"/>
  <c r="U382" i="12"/>
  <c r="U335" i="12"/>
  <c r="U142" i="12"/>
  <c r="U149" i="12"/>
  <c r="U391" i="12"/>
  <c r="U19" i="12"/>
  <c r="U42" i="12"/>
  <c r="AA28" i="12"/>
  <c r="U33" i="12"/>
  <c r="U318" i="12"/>
  <c r="U55" i="12"/>
  <c r="U131" i="12"/>
  <c r="U49" i="12"/>
  <c r="U26" i="12"/>
  <c r="U68" i="12"/>
  <c r="V365" i="12" l="1"/>
  <c r="V345" i="12"/>
  <c r="V191" i="12"/>
  <c r="V380" i="12"/>
  <c r="V289" i="12"/>
  <c r="V163" i="12"/>
  <c r="V393" i="12"/>
  <c r="V193" i="12"/>
  <c r="V242" i="12"/>
  <c r="V91" i="12"/>
  <c r="V206" i="12"/>
  <c r="V296" i="12"/>
  <c r="V320" i="12"/>
  <c r="V89" i="12"/>
  <c r="V360" i="12"/>
  <c r="V200" i="12"/>
  <c r="V316" i="12"/>
  <c r="V92" i="12"/>
  <c r="V176" i="12"/>
  <c r="V119" i="12"/>
  <c r="V399" i="12"/>
  <c r="V165" i="12"/>
  <c r="V328" i="12"/>
  <c r="V342" i="12"/>
  <c r="V308" i="12"/>
  <c r="V190" i="12"/>
  <c r="V385" i="12"/>
  <c r="V143" i="12"/>
  <c r="V400" i="12"/>
  <c r="V395" i="12"/>
  <c r="V175" i="12"/>
  <c r="V102" i="12"/>
  <c r="V116" i="12"/>
  <c r="V178" i="12"/>
  <c r="V135" i="12"/>
  <c r="V367" i="12"/>
  <c r="V188" i="12"/>
  <c r="V254" i="12"/>
  <c r="V241" i="12"/>
  <c r="V362" i="12"/>
  <c r="V243" i="12"/>
  <c r="V128" i="12"/>
  <c r="V338" i="12"/>
  <c r="V324" i="12"/>
  <c r="V108" i="12"/>
  <c r="V279" i="12"/>
  <c r="V199" i="12"/>
  <c r="V221" i="12"/>
  <c r="V213" i="12"/>
  <c r="V261" i="12"/>
  <c r="V247" i="12"/>
  <c r="V236" i="12"/>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U347" i="12"/>
  <c r="V347" i="12" l="1"/>
  <c r="W44" i="12"/>
  <c r="W19" i="12" l="1"/>
  <c r="U383" i="12"/>
  <c r="Z30" i="12"/>
  <c r="AA30" i="12" s="1"/>
  <c r="Z31" i="12"/>
  <c r="AA31" i="12"/>
  <c r="Z32" i="12"/>
  <c r="Z33" i="12" s="1"/>
  <c r="AA32" i="12"/>
  <c r="Z34" i="12"/>
  <c r="Z35" i="12"/>
  <c r="AA34" i="12"/>
  <c r="Z36" i="12"/>
  <c r="AA35" i="12"/>
  <c r="AA36" i="12"/>
  <c r="Z37" i="12"/>
  <c r="AA37" i="12"/>
  <c r="Z38" i="12"/>
  <c r="Z39" i="12"/>
  <c r="AA38" i="12"/>
  <c r="Z40" i="12"/>
  <c r="AA39" i="12"/>
  <c r="AA40" i="12"/>
  <c r="Z41" i="12"/>
  <c r="AA41" i="12"/>
  <c r="Z42" i="12"/>
  <c r="Z43" i="12"/>
  <c r="AA42" i="12"/>
  <c r="Z44" i="12"/>
  <c r="AA43" i="12"/>
  <c r="Z45" i="12"/>
  <c r="AA44" i="12"/>
  <c r="Z46" i="12"/>
  <c r="AA45" i="12"/>
  <c r="Z47" i="12"/>
  <c r="AA46" i="12"/>
  <c r="Z48" i="12"/>
  <c r="AA47" i="12"/>
  <c r="Z49" i="12"/>
  <c r="AA48" i="12"/>
  <c r="Z50" i="12"/>
  <c r="AA49" i="12"/>
  <c r="Z51" i="12"/>
  <c r="AA50" i="12"/>
  <c r="AA51" i="12"/>
  <c r="Z52" i="12"/>
  <c r="AA52" i="12"/>
  <c r="Z53" i="12"/>
  <c r="AA53" i="12"/>
  <c r="Z54" i="12"/>
  <c r="Z55" i="12"/>
  <c r="AA54" i="12"/>
  <c r="AA55" i="12"/>
  <c r="Z56" i="12"/>
  <c r="Z57" i="12"/>
  <c r="AA56" i="12"/>
  <c r="AA57" i="12"/>
  <c r="Z58" i="12"/>
  <c r="AA58" i="12"/>
  <c r="Z59" i="12"/>
  <c r="AA59" i="12"/>
  <c r="Z60" i="12"/>
  <c r="Z61" i="12"/>
  <c r="AA60" i="12"/>
  <c r="AA61" i="12"/>
  <c r="Z62" i="12"/>
  <c r="AA62" i="12"/>
  <c r="Z63" i="12"/>
  <c r="Z64" i="12"/>
  <c r="AA63" i="12"/>
  <c r="Z65" i="12"/>
  <c r="AA64" i="12"/>
  <c r="AA65" i="12"/>
  <c r="Z66" i="12"/>
  <c r="Z67" i="12"/>
  <c r="AA66" i="12"/>
  <c r="AA67" i="12"/>
  <c r="Z68" i="12"/>
  <c r="AA68" i="12"/>
  <c r="Z69" i="12"/>
  <c r="AA69" i="12"/>
  <c r="Z70" i="12"/>
  <c r="Z71" i="12"/>
  <c r="AA70" i="12"/>
  <c r="Z72" i="12"/>
  <c r="AA71" i="12"/>
  <c r="AA72" i="12"/>
  <c r="Z73" i="12"/>
  <c r="Z74" i="12"/>
  <c r="AA73" i="12"/>
  <c r="AA74" i="12"/>
  <c r="Z75" i="12"/>
  <c r="Z76" i="12"/>
  <c r="AA75" i="12"/>
  <c r="AA76" i="12"/>
  <c r="Z77" i="12"/>
  <c r="Z78" i="12"/>
  <c r="AA77" i="12"/>
  <c r="Z79" i="12"/>
  <c r="AA78" i="12"/>
  <c r="Z80" i="12"/>
  <c r="AA79" i="12"/>
  <c r="AA80" i="12"/>
  <c r="Z81" i="12"/>
  <c r="AA81" i="12"/>
  <c r="Z82" i="12"/>
  <c r="Z83" i="12"/>
  <c r="AA82" i="12"/>
  <c r="AA83" i="12"/>
  <c r="Z84" i="12"/>
  <c r="Z85" i="12"/>
  <c r="AA84" i="12"/>
  <c r="AA85" i="12"/>
  <c r="Z86" i="12"/>
  <c r="Z87" i="12"/>
  <c r="AA86" i="12"/>
  <c r="AA87" i="12"/>
  <c r="Z88" i="12"/>
  <c r="Z89" i="12"/>
  <c r="AA88" i="12"/>
  <c r="AA89" i="12"/>
  <c r="Z90" i="12"/>
  <c r="AA90" i="12"/>
  <c r="Z91" i="12"/>
  <c r="Z92" i="12"/>
  <c r="AA91" i="12"/>
  <c r="AA92" i="12"/>
  <c r="Z93" i="12"/>
  <c r="AA93" i="12"/>
  <c r="Z94" i="12"/>
  <c r="Z95" i="12"/>
  <c r="AA94" i="12"/>
  <c r="Z96" i="12"/>
  <c r="AA95" i="12"/>
  <c r="Z97" i="12"/>
  <c r="AA96" i="12"/>
  <c r="Z98" i="12"/>
  <c r="AA97" i="12"/>
  <c r="Z99" i="12"/>
  <c r="AA98" i="12"/>
  <c r="Z100" i="12"/>
  <c r="AA99" i="12"/>
  <c r="Z101" i="12"/>
  <c r="AA100" i="12"/>
  <c r="AA101" i="12"/>
  <c r="Z102" i="12"/>
  <c r="Z103" i="12"/>
  <c r="AA102" i="12"/>
  <c r="Z104" i="12"/>
  <c r="AA103" i="12"/>
  <c r="Z105" i="12"/>
  <c r="AA104" i="12"/>
  <c r="Z106" i="12"/>
  <c r="AA105" i="12"/>
  <c r="AA106" i="12"/>
  <c r="Z107" i="12"/>
  <c r="AA107" i="12"/>
  <c r="Z108" i="12"/>
  <c r="Z109" i="12"/>
  <c r="AA108" i="12"/>
  <c r="AA109" i="12"/>
  <c r="Z110" i="12"/>
  <c r="AA110" i="12"/>
  <c r="Z111" i="12"/>
  <c r="AA111" i="12"/>
  <c r="Z112" i="12"/>
  <c r="AA112" i="12"/>
  <c r="Z113" i="12"/>
  <c r="Z114" i="12"/>
  <c r="AA113" i="12"/>
  <c r="AA114" i="12"/>
  <c r="Z115" i="12"/>
  <c r="Z116" i="12"/>
  <c r="AA115" i="12"/>
  <c r="Z117" i="12"/>
  <c r="AA116" i="12"/>
  <c r="AA117" i="12"/>
  <c r="Z118" i="12"/>
  <c r="AA118" i="12"/>
  <c r="Z119" i="12"/>
  <c r="Z120" i="12"/>
  <c r="AA119" i="12"/>
  <c r="Z121" i="12"/>
  <c r="AA120" i="12"/>
  <c r="AA121" i="12"/>
  <c r="Z122" i="12"/>
  <c r="Z123" i="12"/>
  <c r="AA122" i="12"/>
  <c r="AA123" i="12"/>
  <c r="Z124" i="12"/>
  <c r="AA124" i="12"/>
  <c r="Z125" i="12"/>
  <c r="AA125" i="12"/>
  <c r="Z126" i="12"/>
  <c r="Z127" i="12"/>
  <c r="AA126" i="12"/>
  <c r="Z128" i="12"/>
  <c r="AA127" i="12"/>
  <c r="AA128" i="12"/>
  <c r="Z129" i="12"/>
  <c r="Z130" i="12"/>
  <c r="AA129" i="12"/>
  <c r="Z131" i="12"/>
  <c r="AA130" i="12"/>
  <c r="AA131" i="12"/>
  <c r="Z132" i="12"/>
  <c r="Z133" i="12"/>
  <c r="AA132" i="12"/>
  <c r="Z134" i="12"/>
  <c r="AA133" i="12"/>
  <c r="AA134" i="12"/>
  <c r="Z135" i="12"/>
  <c r="Z136" i="12"/>
  <c r="AA135" i="12"/>
  <c r="AA136" i="12"/>
  <c r="Z137" i="12"/>
  <c r="Z138" i="12"/>
  <c r="AA137" i="12"/>
  <c r="Z139" i="12"/>
  <c r="AA138" i="12"/>
  <c r="AA139" i="12"/>
  <c r="Z140" i="12"/>
  <c r="Z141" i="12"/>
  <c r="AA140" i="12"/>
  <c r="AA141" i="12"/>
  <c r="Z142" i="12"/>
  <c r="AA142" i="12"/>
  <c r="Z143" i="12"/>
  <c r="Z144" i="12"/>
  <c r="AA143" i="12"/>
  <c r="Z145" i="12"/>
  <c r="AA144" i="12"/>
  <c r="Z146" i="12"/>
  <c r="AA145" i="12"/>
  <c r="AA146" i="12"/>
  <c r="Z147" i="12"/>
  <c r="Z148" i="12"/>
  <c r="AA147" i="12"/>
  <c r="Z149" i="12"/>
  <c r="AA148" i="12"/>
  <c r="Z150" i="12"/>
  <c r="AA149" i="12"/>
  <c r="AA150" i="12"/>
  <c r="Z151" i="12"/>
  <c r="AA151" i="12"/>
  <c r="Z152" i="12"/>
  <c r="AA152" i="12"/>
  <c r="Z153" i="12"/>
  <c r="AA153" i="12"/>
  <c r="Z154" i="12"/>
  <c r="AA154" i="12"/>
  <c r="Z155" i="12"/>
  <c r="AA155" i="12"/>
  <c r="Z156" i="12"/>
  <c r="AA156" i="12"/>
  <c r="Z157" i="12"/>
  <c r="Z158" i="12"/>
  <c r="AA157" i="12"/>
  <c r="Z159" i="12"/>
  <c r="AA158" i="12"/>
  <c r="AA159" i="12"/>
  <c r="Z160" i="12"/>
  <c r="Z161" i="12"/>
  <c r="AA160" i="12"/>
  <c r="AA161" i="12"/>
  <c r="Z162" i="12"/>
  <c r="Z163" i="12"/>
  <c r="AA162" i="12"/>
  <c r="Z164" i="12"/>
  <c r="AA163" i="12"/>
  <c r="AA164" i="12"/>
  <c r="Z165" i="12"/>
  <c r="Z166" i="12"/>
  <c r="AA165" i="12"/>
  <c r="Z167" i="12"/>
  <c r="AA166" i="12"/>
  <c r="Z168" i="12"/>
  <c r="AA167" i="12"/>
  <c r="Z169" i="12"/>
  <c r="AA168" i="12"/>
  <c r="Z170" i="12"/>
  <c r="AA169" i="12"/>
  <c r="Z171" i="12"/>
  <c r="AA170" i="12"/>
  <c r="AA171" i="12"/>
  <c r="Z172" i="12"/>
  <c r="Z173" i="12"/>
  <c r="AA172" i="12"/>
  <c r="Z174" i="12"/>
  <c r="AA173" i="12"/>
  <c r="Z175" i="12"/>
  <c r="AA174" i="12"/>
  <c r="AA175" i="12"/>
  <c r="Z176" i="12"/>
  <c r="Z177" i="12"/>
  <c r="AA176" i="12"/>
  <c r="Z178" i="12"/>
  <c r="AA177" i="12"/>
  <c r="Z179" i="12"/>
  <c r="AA178" i="12"/>
  <c r="Z180" i="12"/>
  <c r="AA179" i="12"/>
  <c r="AA180" i="12"/>
  <c r="Z181" i="12"/>
  <c r="Z182" i="12"/>
  <c r="AA181" i="12"/>
  <c r="AA182" i="12"/>
  <c r="Z183" i="12"/>
  <c r="AA183" i="12"/>
  <c r="Z184" i="12"/>
  <c r="Z185" i="12"/>
  <c r="AA184" i="12"/>
  <c r="AA185" i="12"/>
  <c r="Z186" i="12"/>
  <c r="AA186" i="12"/>
  <c r="Z187" i="12"/>
  <c r="AA187" i="12"/>
  <c r="Z188" i="12"/>
  <c r="AA188" i="12"/>
  <c r="Z189" i="12"/>
  <c r="Z190" i="12"/>
  <c r="AA189" i="12"/>
  <c r="AA190" i="12"/>
  <c r="Z191" i="12"/>
  <c r="AA191" i="12"/>
  <c r="Z192" i="12"/>
  <c r="AA192" i="12"/>
  <c r="Z193" i="12"/>
  <c r="AA193" i="12"/>
  <c r="Z194" i="12"/>
  <c r="Z195" i="12"/>
  <c r="AA194" i="12"/>
  <c r="AA195" i="12"/>
  <c r="Z196" i="12"/>
  <c r="AA196" i="12"/>
  <c r="Z197" i="12"/>
  <c r="AA197" i="12"/>
  <c r="Z198" i="12"/>
  <c r="Z199" i="12"/>
  <c r="AA198" i="12"/>
  <c r="AA199" i="12"/>
  <c r="Z200" i="12"/>
  <c r="Z201" i="12"/>
  <c r="AA200" i="12"/>
  <c r="AA201" i="12"/>
  <c r="Z202" i="12"/>
  <c r="Z203" i="12"/>
  <c r="AA202" i="12"/>
  <c r="AA203" i="12"/>
  <c r="Z204" i="12"/>
  <c r="Z205" i="12"/>
  <c r="AA204" i="12"/>
  <c r="AA205" i="12"/>
  <c r="Z206" i="12"/>
  <c r="AA206" i="12"/>
  <c r="Z207" i="12"/>
  <c r="AA207" i="12"/>
  <c r="Z208" i="12"/>
  <c r="AA208" i="12"/>
  <c r="Z209" i="12"/>
  <c r="AA209" i="12"/>
  <c r="Z210" i="12"/>
  <c r="AA210" i="12"/>
  <c r="Z211" i="12"/>
  <c r="Z212" i="12"/>
  <c r="AA211" i="12"/>
  <c r="Z213" i="12"/>
  <c r="AA212" i="12"/>
  <c r="AA213" i="12"/>
  <c r="Z214" i="12"/>
  <c r="Z215" i="12"/>
  <c r="AA214" i="12"/>
  <c r="AA215" i="12"/>
  <c r="Z216" i="12"/>
  <c r="AA216" i="12"/>
  <c r="Z217" i="12"/>
  <c r="AA217" i="12"/>
  <c r="Z218" i="12"/>
  <c r="Z219" i="12"/>
  <c r="AA218" i="12"/>
  <c r="Z220" i="12"/>
  <c r="AA219" i="12"/>
  <c r="AA220" i="12"/>
  <c r="Z221" i="12"/>
  <c r="AA221" i="12"/>
  <c r="Z222" i="12"/>
  <c r="Z223" i="12"/>
  <c r="AA222" i="12"/>
  <c r="Z224" i="12"/>
  <c r="AA223" i="12"/>
  <c r="AA224" i="12"/>
  <c r="Z225" i="12"/>
  <c r="AA225" i="12"/>
  <c r="Z226" i="12"/>
  <c r="Z227" i="12"/>
  <c r="AA226" i="12"/>
  <c r="Z228" i="12"/>
  <c r="AA227" i="12"/>
  <c r="Z229" i="12"/>
  <c r="AA228" i="12"/>
  <c r="Z230" i="12"/>
  <c r="AA229" i="12"/>
  <c r="AA230" i="12"/>
  <c r="Z231" i="12"/>
  <c r="AA231" i="12"/>
  <c r="Z232" i="12"/>
  <c r="Z233" i="12"/>
  <c r="AA232" i="12"/>
  <c r="Z234" i="12"/>
  <c r="AA233" i="12"/>
  <c r="Z235" i="12"/>
  <c r="AA234" i="12"/>
  <c r="Z236" i="12"/>
  <c r="AA235" i="12"/>
  <c r="Z237" i="12"/>
  <c r="AA236" i="12"/>
  <c r="AA237" i="12"/>
  <c r="Z238" i="12"/>
  <c r="AA238" i="12"/>
  <c r="Z239" i="12"/>
  <c r="Z240" i="12"/>
  <c r="AA239" i="12"/>
  <c r="AA240" i="12"/>
  <c r="Z241" i="12"/>
  <c r="AA241" i="12"/>
  <c r="Z242" i="12"/>
  <c r="Z243" i="12"/>
  <c r="AA242" i="12"/>
  <c r="AA243" i="12"/>
  <c r="Z244" i="12"/>
  <c r="Z245" i="12"/>
  <c r="AA244" i="12"/>
  <c r="AA245" i="12"/>
  <c r="Z246" i="12"/>
  <c r="Z247" i="12"/>
  <c r="AA246" i="12"/>
  <c r="AA247" i="12"/>
  <c r="Z248" i="12"/>
  <c r="AA248" i="12"/>
  <c r="Z249" i="12"/>
  <c r="AA249" i="12"/>
  <c r="Z250" i="12"/>
  <c r="AA250" i="12"/>
  <c r="Z251" i="12"/>
  <c r="AA251" i="12"/>
  <c r="Z252" i="12"/>
  <c r="Z253" i="12"/>
  <c r="AA252" i="12"/>
  <c r="AA253" i="12"/>
  <c r="Z254" i="12"/>
  <c r="AA254" i="12"/>
  <c r="Z255" i="12"/>
  <c r="Z256" i="12"/>
  <c r="AA255" i="12"/>
  <c r="AA256" i="12"/>
  <c r="Z257" i="12"/>
  <c r="Z258" i="12"/>
  <c r="AA257" i="12"/>
  <c r="AA258" i="12"/>
  <c r="Z259" i="12"/>
  <c r="Z260" i="12"/>
  <c r="AA259" i="12"/>
  <c r="Z261" i="12"/>
  <c r="AA260" i="12"/>
  <c r="AA261" i="12"/>
  <c r="Z262" i="12"/>
  <c r="AA262" i="12"/>
  <c r="Z263" i="12"/>
  <c r="Z264" i="12"/>
  <c r="AA263" i="12"/>
  <c r="AA264" i="12"/>
  <c r="Z265" i="12"/>
  <c r="Z266" i="12"/>
  <c r="AA265" i="12"/>
  <c r="AA266" i="12"/>
  <c r="Z267" i="12"/>
  <c r="AA267" i="12"/>
  <c r="Z268" i="12"/>
  <c r="Z269" i="12"/>
  <c r="AA268" i="12"/>
  <c r="Z270" i="12"/>
  <c r="AA269" i="12"/>
  <c r="AA270" i="12"/>
  <c r="Z271" i="12"/>
  <c r="Z272" i="12"/>
  <c r="AA271" i="12"/>
  <c r="AA272" i="12"/>
  <c r="Z273" i="12"/>
  <c r="Z274" i="12"/>
  <c r="AA273" i="12"/>
  <c r="Z275" i="12"/>
  <c r="AA274" i="12"/>
  <c r="Z276" i="12"/>
  <c r="AA275" i="12"/>
  <c r="Z277" i="12"/>
  <c r="AA276" i="12"/>
  <c r="Z278" i="12"/>
  <c r="AA277" i="12"/>
  <c r="Z279" i="12"/>
  <c r="AA278" i="12"/>
  <c r="AA279" i="12"/>
  <c r="Z280" i="12"/>
  <c r="Z281" i="12"/>
  <c r="AA280" i="12"/>
  <c r="AA281" i="12"/>
  <c r="Z282" i="12"/>
  <c r="AA282" i="12"/>
  <c r="Z283" i="12"/>
  <c r="Z284" i="12"/>
  <c r="AA283" i="12"/>
  <c r="Z285" i="12"/>
  <c r="AA284" i="12"/>
  <c r="Z286" i="12"/>
  <c r="AA285" i="12"/>
  <c r="Z287" i="12"/>
  <c r="AA286" i="12"/>
  <c r="AA287" i="12"/>
  <c r="Z288" i="12"/>
  <c r="Z289" i="12"/>
  <c r="AA288" i="12"/>
  <c r="Z290" i="12"/>
  <c r="AA289" i="12"/>
  <c r="Z291" i="12"/>
  <c r="AA290" i="12"/>
  <c r="AA291" i="12"/>
  <c r="Z292" i="12"/>
  <c r="AA292" i="12"/>
  <c r="Z293" i="12"/>
  <c r="Z294" i="12"/>
  <c r="AA293" i="12"/>
  <c r="AA294" i="12"/>
  <c r="Z295" i="12"/>
  <c r="Z296" i="12"/>
  <c r="AA295" i="12"/>
  <c r="AA296" i="12"/>
  <c r="Z297" i="12"/>
  <c r="Z298" i="12"/>
  <c r="AA297" i="12"/>
  <c r="AA298" i="12"/>
  <c r="Z299" i="12"/>
  <c r="Z300" i="12"/>
  <c r="AA299" i="12"/>
  <c r="AA300" i="12"/>
  <c r="Z301" i="12"/>
  <c r="Z302" i="12"/>
  <c r="AA301" i="12"/>
  <c r="Z303" i="12"/>
  <c r="AA302" i="12"/>
  <c r="Z304" i="12"/>
  <c r="AA303" i="12"/>
  <c r="AA304" i="12"/>
  <c r="Z305" i="12"/>
  <c r="Z306" i="12"/>
  <c r="AA305" i="12"/>
  <c r="Z307" i="12"/>
  <c r="AA306" i="12"/>
  <c r="AA307" i="12"/>
  <c r="Z308" i="12"/>
  <c r="AA308" i="12"/>
  <c r="Z309" i="12"/>
  <c r="Z310" i="12"/>
  <c r="AA309" i="12"/>
  <c r="Z311" i="12"/>
  <c r="AA310" i="12"/>
  <c r="AA311" i="12"/>
  <c r="Z312" i="12"/>
  <c r="Z313" i="12"/>
  <c r="AA312" i="12"/>
  <c r="Z314" i="12"/>
  <c r="AA313" i="12"/>
  <c r="Z315" i="12"/>
  <c r="AA314" i="12"/>
  <c r="Z316" i="12"/>
  <c r="AA315" i="12"/>
  <c r="AA316" i="12"/>
  <c r="Z317" i="12"/>
  <c r="AA317" i="12"/>
  <c r="Z318" i="12"/>
  <c r="Z319" i="12"/>
  <c r="AA318" i="12"/>
  <c r="AA319" i="12"/>
  <c r="Z320" i="12"/>
  <c r="Z321" i="12"/>
  <c r="AA320" i="12"/>
  <c r="AA321" i="12"/>
  <c r="Z322" i="12"/>
  <c r="Z323" i="12"/>
  <c r="AA322" i="12"/>
  <c r="AA323" i="12"/>
  <c r="Z324" i="12"/>
  <c r="AA324" i="12"/>
  <c r="Z325" i="12"/>
  <c r="Z326" i="12"/>
  <c r="AA325" i="12"/>
  <c r="AA326" i="12"/>
  <c r="Z327" i="12"/>
  <c r="AA327" i="12"/>
  <c r="Z328" i="12"/>
  <c r="AA328" i="12"/>
  <c r="Z329" i="12"/>
  <c r="AA329" i="12"/>
  <c r="Z330" i="12"/>
  <c r="Z331" i="12"/>
  <c r="AA330" i="12"/>
  <c r="Z332" i="12"/>
  <c r="AA331" i="12"/>
  <c r="Z333" i="12"/>
  <c r="AA332" i="12"/>
  <c r="AA333" i="12"/>
  <c r="Z334" i="12"/>
  <c r="Z335" i="12"/>
  <c r="AA334" i="12"/>
  <c r="Z336" i="12"/>
  <c r="AA335" i="12"/>
  <c r="Z337" i="12"/>
  <c r="AA336" i="12"/>
  <c r="AA337" i="12"/>
  <c r="Z338" i="12"/>
  <c r="Z339" i="12"/>
  <c r="AA338" i="12"/>
  <c r="AA339" i="12"/>
  <c r="Z340" i="12"/>
  <c r="AA340" i="12"/>
  <c r="Z341" i="12"/>
  <c r="AA341" i="12"/>
  <c r="Z342" i="12"/>
  <c r="Z343" i="12"/>
  <c r="AA342" i="12"/>
  <c r="AA343" i="12"/>
  <c r="Z344" i="12"/>
  <c r="Z345" i="12"/>
  <c r="AA344" i="12"/>
  <c r="Z346" i="12"/>
  <c r="AA345" i="12"/>
  <c r="Z347" i="12"/>
  <c r="AA346" i="12"/>
  <c r="Z348" i="12"/>
  <c r="AA347" i="12"/>
  <c r="Z349" i="12"/>
  <c r="AA348" i="12"/>
  <c r="AA349" i="12"/>
  <c r="Z350" i="12"/>
  <c r="Z351" i="12"/>
  <c r="AA350" i="12"/>
  <c r="AA351" i="12"/>
  <c r="Z352" i="12"/>
  <c r="Z353" i="12"/>
  <c r="AA352" i="12"/>
  <c r="AA353" i="12"/>
  <c r="Z354" i="12"/>
  <c r="Z355" i="12"/>
  <c r="AA354" i="12"/>
  <c r="Z356" i="12"/>
  <c r="AA355" i="12"/>
  <c r="AA356" i="12"/>
  <c r="Z357" i="12"/>
  <c r="AA357" i="12"/>
  <c r="Z358" i="12"/>
  <c r="Z359" i="12"/>
  <c r="AA358" i="12"/>
  <c r="AA359" i="12"/>
  <c r="Z360" i="12"/>
  <c r="AA360" i="12"/>
  <c r="Z361" i="12"/>
  <c r="AA361" i="12"/>
  <c r="Z362" i="12"/>
  <c r="Z363" i="12"/>
  <c r="AA362" i="12"/>
  <c r="Z364" i="12"/>
  <c r="AA363" i="12"/>
  <c r="Z365" i="12"/>
  <c r="AA364" i="12"/>
  <c r="Z366" i="12"/>
  <c r="AA365" i="12"/>
  <c r="AA366" i="12"/>
  <c r="Z367" i="12"/>
  <c r="Z368" i="12"/>
  <c r="AA367" i="12"/>
  <c r="Z369" i="12"/>
  <c r="AA368" i="12"/>
  <c r="AA369" i="12"/>
  <c r="Z370" i="12"/>
  <c r="Z371" i="12"/>
  <c r="AA370" i="12"/>
  <c r="Z372" i="12"/>
  <c r="AA371" i="12"/>
  <c r="Z373" i="12"/>
  <c r="AA372" i="12"/>
  <c r="AA373" i="12"/>
  <c r="Z374" i="12"/>
  <c r="Z375" i="12"/>
  <c r="AA374" i="12"/>
  <c r="Z376" i="12"/>
  <c r="AA375" i="12"/>
  <c r="AA376" i="12"/>
  <c r="Z377" i="12"/>
  <c r="AA377" i="12"/>
  <c r="Z378" i="12"/>
  <c r="AA378" i="12"/>
  <c r="Z379" i="12"/>
  <c r="Z380" i="12"/>
  <c r="AA379" i="12"/>
  <c r="AA380" i="12"/>
  <c r="Z381" i="12"/>
  <c r="AA381" i="12"/>
  <c r="Z382" i="12"/>
  <c r="Z383" i="12"/>
  <c r="AA382" i="12"/>
  <c r="Z384" i="12"/>
  <c r="AA383" i="12"/>
  <c r="Z385" i="12"/>
  <c r="AA384" i="12"/>
  <c r="AA385" i="12"/>
  <c r="Z386" i="12"/>
  <c r="Z387" i="12"/>
  <c r="AA386" i="12"/>
  <c r="Z388" i="12"/>
  <c r="AA387" i="12"/>
  <c r="AA388" i="12"/>
  <c r="Z389" i="12"/>
  <c r="Z390" i="12"/>
  <c r="AA389" i="12"/>
  <c r="AA390" i="12"/>
  <c r="Z391" i="12"/>
  <c r="AA391" i="12"/>
  <c r="Z392" i="12"/>
  <c r="Z393" i="12"/>
  <c r="AA392" i="12"/>
  <c r="Z394" i="12"/>
  <c r="AA393" i="12"/>
  <c r="Z395" i="12"/>
  <c r="AA394" i="12"/>
  <c r="Z396" i="12"/>
  <c r="AA395" i="12"/>
  <c r="AA396" i="12"/>
  <c r="Z397" i="12"/>
  <c r="AA397" i="12"/>
  <c r="Z398" i="12"/>
  <c r="AA398" i="12"/>
  <c r="Z399" i="12"/>
  <c r="AA399" i="12"/>
  <c r="Z400" i="12"/>
  <c r="Z401" i="12"/>
  <c r="AA400" i="12"/>
  <c r="Z402" i="12"/>
  <c r="AA401" i="12"/>
  <c r="AA402" i="12"/>
  <c r="Z403" i="12"/>
  <c r="Z404" i="12"/>
  <c r="AA403" i="12"/>
  <c r="Z405" i="12"/>
  <c r="AA404" i="12"/>
  <c r="AA405" i="12"/>
  <c r="Z406" i="12"/>
  <c r="Z407" i="12"/>
  <c r="AA406" i="12"/>
  <c r="AA407" i="12"/>
  <c r="Z408" i="12"/>
  <c r="AA408" i="12"/>
  <c r="Z409" i="12"/>
  <c r="AA409" i="12"/>
  <c r="Z410" i="12"/>
  <c r="Z411" i="12"/>
  <c r="AA410" i="12"/>
  <c r="Z412" i="12"/>
  <c r="AA411" i="12"/>
  <c r="Z413" i="12"/>
  <c r="AA412" i="12"/>
  <c r="AA413" i="12"/>
  <c r="Z414" i="12"/>
  <c r="AA414" i="12"/>
  <c r="Z415" i="12"/>
  <c r="AA415" i="12"/>
  <c r="Z416" i="12"/>
  <c r="AA416" i="12"/>
  <c r="Z417" i="12"/>
  <c r="AA417" i="12"/>
  <c r="Z418" i="12"/>
  <c r="Z419" i="12"/>
  <c r="AA418" i="12"/>
  <c r="Z420" i="12"/>
  <c r="AA419" i="12"/>
  <c r="Z421" i="12"/>
  <c r="AA420" i="12"/>
  <c r="AA421" i="12"/>
  <c r="Z422" i="12"/>
  <c r="AA422" i="12"/>
  <c r="Z423" i="12"/>
  <c r="AA423" i="12"/>
  <c r="Z424" i="12"/>
  <c r="AA424" i="12"/>
  <c r="Z425" i="12"/>
  <c r="AA425" i="12"/>
  <c r="Z426" i="12"/>
  <c r="AA426" i="12"/>
  <c r="Z427" i="12"/>
  <c r="AA427" i="12"/>
  <c r="Z428" i="12"/>
  <c r="Z429" i="12"/>
  <c r="AA428" i="12"/>
  <c r="Z430" i="12"/>
  <c r="AA429" i="12"/>
  <c r="AA430" i="12"/>
  <c r="Z431" i="12"/>
  <c r="Z432" i="12"/>
  <c r="AA431" i="12"/>
  <c r="AA432" i="12"/>
  <c r="Z433" i="12"/>
  <c r="Z434" i="12"/>
  <c r="AA433" i="12"/>
  <c r="Z435" i="12"/>
  <c r="AA434" i="12"/>
  <c r="AA435" i="12"/>
  <c r="Z436" i="12"/>
  <c r="AA436" i="12"/>
  <c r="Z437" i="12"/>
  <c r="Z438" i="12"/>
  <c r="AA437" i="12"/>
  <c r="Z439" i="12"/>
  <c r="AA438" i="12"/>
  <c r="AA439" i="12"/>
  <c r="Z440" i="12"/>
  <c r="AA440" i="12"/>
  <c r="Z441" i="12"/>
  <c r="AA441" i="12"/>
  <c r="Z442" i="12"/>
  <c r="AA442" i="12"/>
  <c r="Z443" i="12"/>
  <c r="AA443" i="12"/>
  <c r="Z444" i="12"/>
  <c r="Z445" i="12"/>
  <c r="AA444" i="12"/>
  <c r="Z446" i="12"/>
  <c r="AA445" i="12"/>
  <c r="Z447" i="12"/>
  <c r="AA446" i="12"/>
  <c r="AA447" i="12"/>
  <c r="Z448" i="12"/>
  <c r="AA448" i="12"/>
  <c r="Z449" i="12"/>
  <c r="AA449" i="12"/>
  <c r="Z450" i="12"/>
  <c r="Z451" i="12"/>
  <c r="AA450" i="12"/>
  <c r="Z452" i="12"/>
  <c r="AA451" i="12"/>
  <c r="AA452" i="12"/>
  <c r="Z453" i="12"/>
  <c r="AA453" i="12"/>
  <c r="Z454" i="12"/>
  <c r="AA454" i="12"/>
  <c r="Z455" i="12"/>
  <c r="Z456" i="12"/>
  <c r="AA455" i="12"/>
  <c r="Z457" i="12"/>
  <c r="AA456" i="12"/>
  <c r="AA457" i="12"/>
  <c r="Z458" i="12"/>
  <c r="Z459" i="12"/>
  <c r="AA458" i="12"/>
  <c r="AA459" i="12"/>
  <c r="Z460" i="12"/>
  <c r="AA460" i="12"/>
  <c r="Z461" i="12"/>
  <c r="Z462" i="12"/>
  <c r="AA461" i="12"/>
  <c r="AA462" i="12"/>
  <c r="Z463" i="12"/>
  <c r="AA463" i="12"/>
  <c r="Z464" i="12"/>
  <c r="AA464" i="12"/>
  <c r="Z465" i="12"/>
  <c r="Z466" i="12"/>
  <c r="AA465" i="12"/>
  <c r="AA466" i="12"/>
  <c r="Z467" i="12"/>
  <c r="AA467" i="12"/>
  <c r="Z468" i="12"/>
  <c r="AA468" i="12"/>
  <c r="Z469" i="12"/>
  <c r="AA469" i="12"/>
  <c r="Z470" i="12"/>
  <c r="Z471" i="12"/>
  <c r="AA470" i="12"/>
  <c r="AA471" i="12"/>
  <c r="Z472" i="12"/>
  <c r="AA472" i="12"/>
  <c r="Z473" i="12"/>
  <c r="Z474" i="12"/>
  <c r="AA473" i="12"/>
  <c r="AA474" i="12"/>
  <c r="Z475" i="12"/>
  <c r="Z476" i="12"/>
  <c r="AA475" i="12"/>
  <c r="Z477" i="12"/>
  <c r="AA476" i="12"/>
  <c r="AA477" i="12"/>
  <c r="Z478" i="12"/>
  <c r="AA478" i="12"/>
  <c r="Z479" i="12"/>
  <c r="AA479" i="12"/>
  <c r="Z480" i="12"/>
  <c r="Z481" i="12"/>
  <c r="AA480" i="12"/>
  <c r="Z482" i="12"/>
  <c r="AA481" i="12"/>
  <c r="AA482" i="12"/>
  <c r="Z483" i="12"/>
  <c r="AA483" i="12"/>
  <c r="Z484" i="12"/>
  <c r="Z485" i="12"/>
  <c r="AA484" i="12"/>
  <c r="Z486" i="12"/>
  <c r="AA485" i="12"/>
  <c r="Z487" i="12"/>
  <c r="AA486" i="12"/>
  <c r="AA487" i="12"/>
  <c r="Z488" i="12"/>
  <c r="Z489" i="12"/>
  <c r="AA488" i="12"/>
  <c r="AA489" i="12"/>
  <c r="Z490" i="12"/>
  <c r="Z491" i="12"/>
  <c r="AA490" i="12"/>
  <c r="Z492" i="12"/>
  <c r="AA491" i="12"/>
  <c r="AA492" i="12"/>
  <c r="Z493" i="12"/>
  <c r="AA493" i="12"/>
  <c r="Z494" i="12"/>
  <c r="Z495" i="12"/>
  <c r="AA494" i="12"/>
  <c r="Z496" i="12"/>
  <c r="AA495" i="12"/>
  <c r="Z497" i="12"/>
  <c r="AA496" i="12"/>
  <c r="AA497" i="12"/>
  <c r="Z498" i="12"/>
  <c r="Z499" i="12"/>
  <c r="AA498" i="12"/>
  <c r="Z500" i="12"/>
  <c r="AA499" i="12"/>
  <c r="Z501" i="12"/>
  <c r="AA500" i="12"/>
  <c r="Z502" i="12"/>
  <c r="AA501" i="12"/>
  <c r="Z503" i="12"/>
  <c r="AA502" i="12"/>
  <c r="Z504" i="12"/>
  <c r="AA503" i="12"/>
  <c r="Z505" i="12"/>
  <c r="AA504" i="12"/>
  <c r="AA505" i="12"/>
  <c r="Z506" i="12"/>
  <c r="Z507" i="12"/>
  <c r="AA506" i="12"/>
  <c r="Z508" i="12"/>
  <c r="AA507" i="12"/>
  <c r="Z509" i="12"/>
  <c r="AA508" i="12"/>
  <c r="Z510" i="12"/>
  <c r="AA509" i="12"/>
  <c r="Z511" i="12"/>
  <c r="AA510" i="12"/>
  <c r="Z512" i="12"/>
  <c r="AA511" i="12"/>
  <c r="Z513" i="12"/>
  <c r="AA512" i="12"/>
  <c r="Z514" i="12"/>
  <c r="AA513" i="12"/>
  <c r="Z515" i="12"/>
  <c r="AA514" i="12"/>
  <c r="Z516" i="12"/>
  <c r="AA515" i="12"/>
  <c r="AA516" i="12"/>
  <c r="Z517" i="12"/>
  <c r="Z518" i="12"/>
  <c r="AA517" i="12"/>
  <c r="AA518" i="12"/>
  <c r="Z519" i="12"/>
  <c r="Z520" i="12"/>
  <c r="AA519" i="12"/>
  <c r="Z521" i="12"/>
  <c r="AA520" i="12"/>
  <c r="AA521" i="12"/>
  <c r="Z522" i="12"/>
  <c r="AA522" i="12"/>
  <c r="Z523" i="12"/>
  <c r="AA523" i="12"/>
  <c r="Z524" i="12"/>
  <c r="AA524" i="12"/>
  <c r="Z525" i="12"/>
  <c r="Z526" i="12"/>
  <c r="AA525" i="12"/>
  <c r="Z527" i="12"/>
  <c r="AA526" i="12"/>
  <c r="Z528" i="12"/>
  <c r="AA527" i="12"/>
  <c r="Z529" i="12"/>
  <c r="AA528" i="12"/>
  <c r="Z530" i="12"/>
  <c r="AA529" i="12"/>
  <c r="Z531" i="12"/>
  <c r="AA530" i="12"/>
  <c r="Z532" i="12"/>
  <c r="AA531" i="12"/>
  <c r="AA532" i="12"/>
  <c r="Z533" i="12"/>
  <c r="Z534" i="12"/>
  <c r="AA533" i="12"/>
  <c r="AA534" i="12"/>
  <c r="Z535" i="12"/>
  <c r="Z536" i="12"/>
  <c r="AA535" i="12"/>
  <c r="AA536" i="12"/>
  <c r="Z537" i="12"/>
  <c r="Z538" i="12"/>
  <c r="AA537" i="12"/>
  <c r="Z539" i="12"/>
  <c r="AA538" i="12"/>
  <c r="AA539" i="12"/>
  <c r="Z540" i="12"/>
  <c r="AA540" i="12"/>
  <c r="Z541" i="12"/>
  <c r="Z542" i="12"/>
  <c r="AA541" i="12"/>
  <c r="Z543" i="12"/>
  <c r="AA542" i="12"/>
  <c r="AA543" i="12"/>
  <c r="Z544" i="12"/>
  <c r="Z545" i="12"/>
  <c r="AA544" i="12"/>
  <c r="Z546" i="12"/>
  <c r="AA545" i="12"/>
  <c r="AA546" i="12"/>
  <c r="Z547" i="12"/>
  <c r="Z548" i="12"/>
  <c r="AA547" i="12"/>
  <c r="Z549" i="12"/>
  <c r="AA548" i="12"/>
  <c r="AA549" i="12"/>
  <c r="Z550" i="12"/>
  <c r="Z551" i="12"/>
  <c r="AA550" i="12"/>
  <c r="Z552" i="12"/>
  <c r="AA551" i="12"/>
  <c r="AA552" i="12"/>
  <c r="Z553" i="12"/>
  <c r="Z554" i="12"/>
  <c r="AA553" i="12"/>
  <c r="Z555" i="12"/>
  <c r="AA554" i="12"/>
  <c r="AA555" i="12"/>
  <c r="Z556" i="12"/>
  <c r="Z557" i="12"/>
  <c r="AA556" i="12"/>
  <c r="Z558" i="12"/>
  <c r="AA557" i="12"/>
  <c r="AA558" i="12"/>
  <c r="Z559" i="12"/>
  <c r="AA559" i="12"/>
  <c r="Z560" i="12"/>
  <c r="Z561" i="12"/>
  <c r="AA560" i="12"/>
  <c r="AA561" i="12"/>
  <c r="Z562" i="12"/>
  <c r="Z563" i="12"/>
  <c r="AA562" i="12"/>
  <c r="Z564" i="12"/>
  <c r="AA563" i="12"/>
  <c r="Z565" i="12"/>
  <c r="AA564" i="12"/>
  <c r="AA565" i="12"/>
  <c r="Z566" i="12"/>
  <c r="Z567" i="12"/>
  <c r="AA566" i="12"/>
  <c r="Z568" i="12"/>
  <c r="AA567" i="12"/>
  <c r="AA568" i="12"/>
  <c r="Z569" i="12"/>
  <c r="AA569" i="12"/>
  <c r="Z570" i="12"/>
  <c r="AA570" i="12"/>
  <c r="Z571" i="12"/>
  <c r="Z572" i="12"/>
  <c r="AA571" i="12"/>
  <c r="Z573" i="12"/>
  <c r="AA572" i="12"/>
  <c r="Z574" i="12"/>
  <c r="AA573" i="12"/>
  <c r="Z575" i="12"/>
  <c r="AA574" i="12"/>
  <c r="Z576" i="12"/>
  <c r="AA575" i="12"/>
  <c r="Z577" i="12"/>
  <c r="AA576" i="12"/>
  <c r="Z578" i="12"/>
  <c r="AA577" i="12"/>
  <c r="AA578" i="12"/>
  <c r="Z579" i="12"/>
  <c r="Z580" i="12"/>
  <c r="AA579" i="12"/>
  <c r="Z581" i="12"/>
  <c r="AA580" i="12"/>
  <c r="Z582" i="12"/>
  <c r="AA581" i="12"/>
  <c r="AA582" i="12"/>
  <c r="Z583" i="12"/>
  <c r="AA583" i="12"/>
  <c r="Z584" i="12"/>
  <c r="Z585" i="12"/>
  <c r="AA584" i="12"/>
  <c r="AA585" i="12"/>
  <c r="Z586" i="12"/>
  <c r="Z587" i="12"/>
  <c r="AA586" i="12"/>
  <c r="Z588" i="12"/>
  <c r="AA587" i="12"/>
  <c r="Z589" i="12"/>
  <c r="AA588" i="12"/>
  <c r="Z590" i="12"/>
  <c r="AA589" i="12"/>
  <c r="Z591" i="12"/>
  <c r="AA590" i="12"/>
  <c r="Z592" i="12"/>
  <c r="AA591" i="12"/>
  <c r="Z593" i="12"/>
  <c r="AA592" i="12"/>
  <c r="AA593" i="12"/>
  <c r="Z594" i="12"/>
  <c r="Z595" i="12"/>
  <c r="AA594" i="12"/>
  <c r="AA595" i="12"/>
  <c r="Z596" i="12"/>
  <c r="AA596" i="12"/>
  <c r="Z597" i="12"/>
  <c r="AA597" i="12"/>
  <c r="Z598" i="12"/>
  <c r="AA598" i="12"/>
  <c r="Z599" i="12"/>
  <c r="AA599" i="12"/>
  <c r="Z600" i="12"/>
  <c r="AA600" i="12"/>
  <c r="Z601" i="12"/>
  <c r="Z602" i="12"/>
  <c r="AA601" i="12"/>
  <c r="AA602" i="12"/>
  <c r="Z603" i="12"/>
  <c r="AA603" i="12"/>
  <c r="Z604" i="12"/>
  <c r="Z605" i="12"/>
  <c r="AA604" i="12"/>
  <c r="Z606" i="12"/>
  <c r="AA605" i="12"/>
  <c r="AA606" i="12"/>
  <c r="Z607" i="12"/>
  <c r="AA607" i="12"/>
  <c r="Z608" i="12"/>
  <c r="Z609" i="12"/>
  <c r="AA608" i="12"/>
  <c r="AA609" i="12"/>
  <c r="Z610" i="12"/>
  <c r="Z611" i="12"/>
  <c r="AA610" i="12"/>
  <c r="AA611" i="12"/>
  <c r="Z612" i="12"/>
  <c r="AA612" i="12"/>
  <c r="Z613" i="12"/>
  <c r="Z614" i="12"/>
  <c r="AA613" i="12"/>
  <c r="Z615" i="12"/>
  <c r="AA614" i="12"/>
  <c r="AA615" i="12"/>
  <c r="Z616" i="12"/>
  <c r="AA616" i="12"/>
  <c r="Z617" i="12"/>
  <c r="Z618" i="12"/>
  <c r="AA617" i="12"/>
  <c r="AA618" i="12"/>
  <c r="Z619" i="12"/>
  <c r="AA619" i="12"/>
  <c r="Z620" i="12"/>
  <c r="AA620" i="12"/>
  <c r="Z621" i="12"/>
  <c r="Z622" i="12"/>
  <c r="AA621" i="12"/>
  <c r="Z623" i="12"/>
  <c r="AA622" i="12"/>
  <c r="AA623" i="12"/>
  <c r="Z624" i="12"/>
  <c r="AA624" i="12"/>
  <c r="Z625" i="12"/>
  <c r="Z626" i="12"/>
  <c r="AA625" i="12"/>
  <c r="Z627" i="12"/>
  <c r="AA626" i="12"/>
  <c r="AA627" i="12"/>
  <c r="Z628" i="12"/>
  <c r="Z629" i="12"/>
  <c r="AA628" i="12"/>
  <c r="Z630" i="12"/>
  <c r="AA629" i="12"/>
  <c r="Z631" i="12"/>
  <c r="AA630" i="12"/>
  <c r="Z632" i="12"/>
  <c r="AA631" i="12"/>
  <c r="Z633" i="12"/>
  <c r="AA632" i="12"/>
  <c r="Z634" i="12"/>
  <c r="AA633" i="12"/>
  <c r="Z635" i="12"/>
  <c r="AA634" i="12"/>
  <c r="Z636" i="12"/>
  <c r="AA635" i="12"/>
  <c r="AA636" i="12"/>
  <c r="Z637" i="12"/>
  <c r="AA637" i="12"/>
  <c r="Z638" i="12"/>
  <c r="AA638" i="12"/>
  <c r="Z639" i="12"/>
  <c r="AA639" i="12"/>
  <c r="Z640" i="12"/>
  <c r="Z641" i="12"/>
  <c r="AA640" i="12"/>
  <c r="Z642" i="12"/>
  <c r="AA641" i="12"/>
  <c r="Z643" i="12"/>
  <c r="AA642" i="12"/>
  <c r="Z644" i="12"/>
  <c r="AA643" i="12"/>
  <c r="Z645" i="12"/>
  <c r="AA644" i="12"/>
  <c r="AA645" i="12"/>
  <c r="Z646" i="12"/>
  <c r="AA646" i="12"/>
  <c r="Z647" i="12"/>
  <c r="AA647" i="12"/>
  <c r="Z648" i="12"/>
  <c r="AA648" i="12"/>
  <c r="Z649" i="12"/>
  <c r="Z650" i="12"/>
  <c r="AA649" i="12"/>
  <c r="AA650" i="12"/>
  <c r="Z651" i="12"/>
  <c r="AA651" i="12"/>
  <c r="Z652" i="12"/>
  <c r="AA652" i="12"/>
  <c r="Z653" i="12"/>
  <c r="AA653" i="12"/>
  <c r="Z654" i="12"/>
  <c r="AA654" i="12"/>
  <c r="Z655" i="12"/>
  <c r="Z656" i="12"/>
  <c r="AA655" i="12"/>
  <c r="Z657" i="12"/>
  <c r="AA656" i="12"/>
  <c r="Z658" i="12"/>
  <c r="AA657" i="12"/>
  <c r="AA658" i="12"/>
  <c r="Z659" i="12"/>
  <c r="Z660" i="12"/>
  <c r="AA659" i="12"/>
  <c r="Z661" i="12"/>
  <c r="AA660" i="12"/>
  <c r="AA661" i="12"/>
  <c r="Z662" i="12"/>
  <c r="AA662" i="12"/>
  <c r="Z663" i="12"/>
  <c r="Z664" i="12"/>
  <c r="AA663" i="12"/>
  <c r="AA664" i="12"/>
  <c r="Z665" i="12"/>
  <c r="Z666" i="12"/>
  <c r="AA665" i="12"/>
  <c r="AA666" i="12"/>
  <c r="Z667" i="12"/>
  <c r="AA667" i="12"/>
  <c r="Z668" i="12"/>
  <c r="AA668" i="12"/>
  <c r="Z669" i="12"/>
  <c r="Z670" i="12"/>
  <c r="AA669" i="12"/>
  <c r="Z671" i="12"/>
  <c r="AA670" i="12"/>
  <c r="Z672" i="12"/>
  <c r="AA671" i="12"/>
  <c r="Z673" i="12"/>
  <c r="AA672" i="12"/>
  <c r="AA673" i="12"/>
  <c r="Z674" i="12"/>
  <c r="Z675" i="12"/>
  <c r="AA674" i="12"/>
  <c r="AA675" i="12"/>
  <c r="Z676" i="12"/>
  <c r="AA676" i="12"/>
  <c r="Z677" i="12"/>
  <c r="Z678" i="12"/>
  <c r="AA677" i="12"/>
  <c r="Z679" i="12"/>
  <c r="AA678" i="12"/>
  <c r="AA679" i="12"/>
  <c r="Z680" i="12"/>
  <c r="Z681" i="12"/>
  <c r="AA680" i="12"/>
  <c r="AA681" i="12"/>
  <c r="Z682" i="12"/>
  <c r="Z683" i="12"/>
  <c r="AA682" i="12"/>
  <c r="AA683" i="12"/>
  <c r="Z684" i="12"/>
  <c r="AA684" i="12"/>
  <c r="Z685" i="12"/>
  <c r="AA685" i="12"/>
  <c r="Z686" i="12"/>
  <c r="Z687" i="12"/>
  <c r="AA686" i="12"/>
  <c r="AA687" i="12"/>
  <c r="Z688" i="12"/>
  <c r="AA688" i="12"/>
  <c r="Z689" i="12"/>
  <c r="AA689" i="12"/>
  <c r="Z690" i="12"/>
  <c r="Z691" i="12"/>
  <c r="AA690" i="12"/>
  <c r="Z692" i="12"/>
  <c r="AA691" i="12"/>
  <c r="AA692" i="12"/>
  <c r="Z693" i="12"/>
  <c r="Z694" i="12"/>
  <c r="AA693" i="12"/>
  <c r="Z695" i="12"/>
  <c r="AA694" i="12"/>
  <c r="Z696" i="12"/>
  <c r="AA695" i="12"/>
  <c r="AA696" i="12"/>
  <c r="Z697" i="12"/>
  <c r="AA697" i="12"/>
  <c r="Z698" i="12"/>
  <c r="Z699" i="12"/>
  <c r="AA698" i="12"/>
  <c r="AA699" i="12"/>
  <c r="Z700" i="12"/>
  <c r="AA700" i="12"/>
  <c r="Z701" i="12"/>
  <c r="Z702" i="12"/>
  <c r="AA701" i="12"/>
  <c r="AA702" i="12"/>
  <c r="Z703" i="12"/>
  <c r="Z704" i="12"/>
  <c r="AA703" i="12"/>
  <c r="Z705" i="12"/>
  <c r="AA704" i="12"/>
  <c r="Z706" i="12"/>
  <c r="AA705" i="12"/>
  <c r="Z707" i="12"/>
  <c r="AA706" i="12"/>
  <c r="AA707" i="12"/>
  <c r="Z708" i="12"/>
  <c r="Z709" i="12"/>
  <c r="AA708" i="12"/>
  <c r="AA709" i="12"/>
  <c r="Z710" i="12"/>
  <c r="Z711" i="12"/>
  <c r="AA710" i="12"/>
  <c r="AA711" i="12"/>
  <c r="Z712" i="12"/>
  <c r="Z713" i="12"/>
  <c r="AA712" i="12"/>
  <c r="Z714" i="12"/>
  <c r="AA713" i="12"/>
  <c r="Z715" i="12"/>
  <c r="AA714" i="12"/>
  <c r="AA715" i="12"/>
  <c r="Z716" i="12"/>
  <c r="AA716" i="12"/>
  <c r="Z717" i="12"/>
  <c r="Z718" i="12"/>
  <c r="AA717" i="12"/>
  <c r="AA718" i="12"/>
  <c r="Z719" i="12"/>
  <c r="AA719" i="12"/>
  <c r="Z720" i="12"/>
  <c r="AA720" i="12"/>
  <c r="Z721" i="12"/>
  <c r="Z722" i="12"/>
  <c r="AA721" i="12"/>
  <c r="AA722" i="12"/>
  <c r="Z723" i="12"/>
  <c r="Z724" i="12"/>
  <c r="AA723" i="12"/>
  <c r="Z725" i="12"/>
  <c r="AA724" i="12"/>
  <c r="AA725" i="12"/>
  <c r="Z726" i="12"/>
  <c r="AA726" i="12"/>
  <c r="Z727" i="12"/>
  <c r="AA727" i="12"/>
  <c r="Z728" i="12"/>
  <c r="Z729" i="12"/>
  <c r="AA728" i="12"/>
  <c r="AA729" i="12"/>
  <c r="Z730" i="12"/>
  <c r="AA730" i="12"/>
  <c r="Z731" i="12"/>
  <c r="AA731" i="12"/>
  <c r="Z732" i="12"/>
  <c r="Z733" i="12"/>
  <c r="AA732" i="12"/>
  <c r="Z734" i="12"/>
  <c r="AA733" i="12"/>
  <c r="Z735" i="12"/>
  <c r="AA734" i="12"/>
  <c r="Z736" i="12"/>
  <c r="AA735" i="12"/>
  <c r="Z737" i="12"/>
  <c r="AA736" i="12"/>
  <c r="Z738" i="12"/>
  <c r="AA737" i="12"/>
  <c r="Z739" i="12"/>
  <c r="AA738" i="12"/>
  <c r="Z740" i="12"/>
  <c r="AA739" i="12"/>
  <c r="AA740" i="12"/>
  <c r="Z741" i="12"/>
  <c r="Z742" i="12"/>
  <c r="AA741" i="12"/>
  <c r="AA742" i="12"/>
  <c r="Z743" i="12"/>
  <c r="Z744" i="12"/>
  <c r="AA743" i="12"/>
  <c r="AA744" i="12"/>
  <c r="Z745" i="12"/>
  <c r="AA745" i="12"/>
  <c r="Z746" i="12"/>
  <c r="Z747" i="12"/>
  <c r="AA746" i="12"/>
  <c r="AA747" i="12"/>
  <c r="Z748" i="12"/>
  <c r="AA748" i="12"/>
  <c r="Z749" i="12"/>
  <c r="AA749" i="12"/>
  <c r="Z750" i="12"/>
  <c r="Z751" i="12"/>
  <c r="AA750" i="12"/>
  <c r="AA751" i="12"/>
  <c r="Z752" i="12"/>
  <c r="Z753" i="12"/>
  <c r="AA752" i="12"/>
  <c r="AA753" i="12"/>
  <c r="Z754" i="12"/>
  <c r="Z755" i="12"/>
  <c r="AA754" i="12"/>
  <c r="AA755" i="12"/>
  <c r="Z756" i="12"/>
  <c r="AA756" i="12"/>
  <c r="Z757" i="12"/>
  <c r="Z758" i="12"/>
  <c r="AA757" i="12"/>
  <c r="AA758" i="12"/>
  <c r="Z759" i="12"/>
  <c r="AA759" i="12"/>
  <c r="Z760" i="12"/>
  <c r="AA760" i="12"/>
  <c r="Z761" i="12"/>
  <c r="AA761" i="12"/>
  <c r="Z762" i="12"/>
  <c r="AA762" i="12"/>
  <c r="Z763" i="12"/>
  <c r="Z764" i="12"/>
  <c r="AA763" i="12"/>
  <c r="Z765" i="12"/>
  <c r="AA764" i="12"/>
  <c r="AA765" i="12"/>
  <c r="Z766" i="12"/>
  <c r="AA766" i="12"/>
  <c r="Z767" i="12"/>
  <c r="AA767" i="12"/>
  <c r="Z768" i="12"/>
  <c r="AA768" i="12"/>
  <c r="Z769" i="12"/>
  <c r="Z770" i="12"/>
  <c r="AA769" i="12"/>
  <c r="Z771" i="12"/>
  <c r="AA770" i="12"/>
  <c r="AA771" i="12"/>
  <c r="Z772" i="12"/>
  <c r="Z773" i="12"/>
  <c r="AA772" i="12"/>
  <c r="AA773" i="12"/>
  <c r="Z774" i="12"/>
  <c r="AA774" i="12"/>
  <c r="Z775" i="12"/>
  <c r="AA775" i="12"/>
  <c r="Z776" i="12"/>
  <c r="Z777" i="12"/>
  <c r="AA776" i="12"/>
  <c r="AA777" i="12"/>
  <c r="Z778" i="12"/>
  <c r="Z779" i="12"/>
  <c r="AA778" i="12"/>
  <c r="AA779" i="12"/>
  <c r="Z780" i="12"/>
  <c r="AA780" i="12"/>
  <c r="Z781" i="12"/>
  <c r="Z782" i="12"/>
  <c r="AA781" i="12"/>
  <c r="AA782" i="12"/>
  <c r="Z783" i="12"/>
  <c r="AA783" i="12"/>
  <c r="Z784" i="12"/>
  <c r="Z785" i="12"/>
  <c r="AA784" i="12"/>
  <c r="AA785" i="12"/>
  <c r="Z786" i="12"/>
  <c r="Z787" i="12"/>
  <c r="AA786" i="12"/>
  <c r="AA787" i="12"/>
  <c r="Z788" i="12"/>
  <c r="Z789" i="12"/>
  <c r="AA788" i="12"/>
  <c r="AA789" i="12"/>
  <c r="Z790" i="12"/>
  <c r="Z791" i="12"/>
  <c r="AA790" i="12"/>
  <c r="AA791" i="12"/>
  <c r="Z792" i="12"/>
  <c r="Z793" i="12"/>
  <c r="AA792" i="12"/>
  <c r="AA793" i="12"/>
  <c r="Z794" i="12"/>
  <c r="AA794" i="12"/>
  <c r="Z795" i="12"/>
  <c r="Z796" i="12"/>
  <c r="AA795" i="12"/>
  <c r="AA796" i="12"/>
  <c r="Z797" i="12"/>
  <c r="Z798" i="12"/>
  <c r="AA797" i="12"/>
  <c r="AA798" i="12"/>
  <c r="Z799" i="12"/>
  <c r="AA799" i="12"/>
  <c r="Z800" i="12"/>
  <c r="Z801" i="12"/>
  <c r="AA800" i="12"/>
  <c r="AA801" i="12"/>
  <c r="Z802" i="12"/>
  <c r="AA802" i="12"/>
  <c r="Z803" i="12"/>
  <c r="Z804" i="12"/>
  <c r="AA803" i="12"/>
  <c r="Z805" i="12"/>
  <c r="AA804" i="12"/>
  <c r="Z806" i="12"/>
  <c r="AA805" i="12"/>
  <c r="AA806" i="12"/>
  <c r="Z807" i="12"/>
  <c r="Z808" i="12"/>
  <c r="AA807" i="12"/>
  <c r="AA808" i="12"/>
  <c r="Z809" i="12"/>
  <c r="AA809" i="12"/>
  <c r="Z810" i="12"/>
  <c r="Z811" i="12"/>
  <c r="AA810" i="12"/>
  <c r="Z812" i="12"/>
  <c r="AA811" i="12"/>
  <c r="AA812" i="12"/>
  <c r="Z813" i="12"/>
  <c r="AA813" i="12"/>
  <c r="Z814" i="12"/>
  <c r="AA814" i="12"/>
  <c r="Z815" i="12"/>
  <c r="AA815" i="12"/>
  <c r="Z816" i="12"/>
  <c r="Z817" i="12"/>
  <c r="AA816" i="12"/>
  <c r="AA817" i="12"/>
  <c r="Z818" i="12"/>
  <c r="AA818" i="12"/>
  <c r="Z819" i="12"/>
  <c r="AA819" i="12"/>
  <c r="Z820" i="12"/>
  <c r="Z821" i="12"/>
  <c r="AA820" i="12"/>
  <c r="AA821" i="12"/>
  <c r="Z822" i="12"/>
  <c r="AA822" i="12"/>
  <c r="Z823" i="12"/>
  <c r="Z824" i="12"/>
  <c r="AA823" i="12"/>
  <c r="Z825" i="12"/>
  <c r="AA824" i="12"/>
  <c r="AA825" i="12"/>
  <c r="Z826" i="12"/>
  <c r="Z827" i="12"/>
  <c r="AA826" i="12"/>
  <c r="AA827" i="12"/>
  <c r="Z828" i="12"/>
  <c r="AA828" i="12"/>
  <c r="Z829" i="12"/>
  <c r="Z830" i="12"/>
  <c r="AA829" i="12"/>
  <c r="Z831" i="12"/>
  <c r="AA830" i="12"/>
  <c r="Z832" i="12"/>
  <c r="AA831" i="12"/>
  <c r="AA832" i="12"/>
  <c r="Z833" i="12"/>
  <c r="AA833" i="12"/>
  <c r="Z834" i="12"/>
  <c r="AA834" i="12"/>
  <c r="Z835" i="12"/>
  <c r="AA835" i="12"/>
  <c r="Z836" i="12"/>
  <c r="AA836" i="12"/>
  <c r="Z837" i="12"/>
  <c r="Z838" i="12"/>
  <c r="AA837" i="12"/>
  <c r="Z839" i="12"/>
  <c r="AA838" i="12"/>
  <c r="Z840" i="12"/>
  <c r="AA839" i="12"/>
  <c r="AA840" i="12"/>
  <c r="Z841" i="12"/>
  <c r="Z842" i="12"/>
  <c r="AA841" i="12"/>
  <c r="AA842" i="12"/>
  <c r="Z843" i="12"/>
  <c r="AA843" i="12"/>
  <c r="Z844" i="12"/>
  <c r="AA844" i="12"/>
  <c r="Z845" i="12"/>
  <c r="Z846" i="12"/>
  <c r="AA845" i="12"/>
  <c r="AA846" i="12"/>
  <c r="Z847" i="12"/>
  <c r="AA847" i="12"/>
  <c r="Z848" i="12"/>
  <c r="Z849" i="12"/>
  <c r="AA848" i="12"/>
  <c r="AA849" i="12"/>
  <c r="Z850" i="12"/>
  <c r="Z851" i="12"/>
  <c r="AA850" i="12"/>
  <c r="AA851" i="12"/>
  <c r="Z852" i="12"/>
  <c r="AA852" i="12"/>
  <c r="Z853" i="12"/>
  <c r="AA853" i="12"/>
  <c r="Z854" i="12"/>
  <c r="AA854" i="12"/>
  <c r="Z855" i="12"/>
  <c r="AA855" i="12"/>
  <c r="Z856" i="12"/>
  <c r="Z857" i="12"/>
  <c r="AA856" i="12"/>
  <c r="Z858" i="12"/>
  <c r="AA857" i="12"/>
  <c r="Z859" i="12"/>
  <c r="AA858" i="12"/>
  <c r="AA859" i="12"/>
  <c r="Z860" i="12"/>
  <c r="AA860" i="12"/>
  <c r="Z861" i="12"/>
  <c r="Z862" i="12"/>
  <c r="AA861" i="12"/>
  <c r="Z863" i="12"/>
  <c r="AA862" i="12"/>
  <c r="Z864" i="12"/>
  <c r="AA863" i="12"/>
  <c r="AA864" i="12"/>
  <c r="Z865" i="12"/>
  <c r="AA865" i="12"/>
  <c r="Z866" i="12"/>
  <c r="AA866" i="12"/>
  <c r="Z867" i="12"/>
  <c r="Z868" i="12"/>
  <c r="AA867" i="12"/>
  <c r="AA868" i="12"/>
  <c r="Z869" i="12"/>
  <c r="AA869" i="12"/>
  <c r="Z870" i="12"/>
  <c r="AA870" i="12"/>
  <c r="Z871" i="12"/>
  <c r="AA871" i="12"/>
  <c r="Z872" i="12"/>
  <c r="Z873" i="12"/>
  <c r="AA872" i="12"/>
  <c r="AA873" i="12"/>
  <c r="Z874" i="12"/>
  <c r="AA874" i="12"/>
  <c r="Z875" i="12"/>
  <c r="AA875" i="12"/>
  <c r="Z876" i="12"/>
  <c r="AA876" i="12"/>
  <c r="Z877" i="12"/>
  <c r="AA877" i="12"/>
  <c r="Z878" i="12"/>
  <c r="AA878" i="12"/>
  <c r="Z879" i="12"/>
  <c r="Z880" i="12"/>
  <c r="AA879" i="12"/>
  <c r="Z881" i="12"/>
  <c r="AA880" i="12"/>
  <c r="AA881" i="12"/>
  <c r="Z882" i="12"/>
  <c r="AA882" i="12"/>
  <c r="Z883" i="12"/>
  <c r="Z884" i="12"/>
  <c r="AA883" i="12"/>
  <c r="AA884" i="12"/>
  <c r="Z885" i="12"/>
  <c r="AA885" i="12"/>
  <c r="Z886" i="12"/>
  <c r="AA886" i="12"/>
  <c r="Z887" i="12"/>
  <c r="Z888" i="12"/>
  <c r="AA887" i="12"/>
  <c r="Z889" i="12"/>
  <c r="AA888" i="12"/>
  <c r="AA889" i="12"/>
  <c r="Z890" i="12"/>
  <c r="AA890" i="12"/>
  <c r="Z891" i="12"/>
  <c r="Z892" i="12"/>
  <c r="AA891" i="12"/>
  <c r="AA892" i="12"/>
  <c r="Z893" i="12"/>
  <c r="Z894" i="12"/>
  <c r="AA893" i="12"/>
  <c r="Z895" i="12"/>
  <c r="AA894" i="12"/>
  <c r="AA895" i="12"/>
  <c r="Z896" i="12"/>
  <c r="Z897" i="12"/>
  <c r="AA896" i="12"/>
  <c r="Z898" i="12"/>
  <c r="AA897" i="12"/>
  <c r="AA898" i="12"/>
  <c r="Z899" i="12"/>
  <c r="AA899" i="12"/>
  <c r="Z900" i="12"/>
  <c r="Z901" i="12"/>
  <c r="AA900" i="12"/>
  <c r="Z902" i="12"/>
  <c r="AA901" i="12"/>
  <c r="Z903" i="12"/>
  <c r="AA902" i="12"/>
  <c r="Z904" i="12"/>
  <c r="AA903" i="12"/>
  <c r="AA904" i="12"/>
  <c r="Z905" i="12"/>
  <c r="Z906" i="12"/>
  <c r="AA905" i="12"/>
  <c r="AA906" i="12"/>
  <c r="Z907" i="12"/>
  <c r="AA907" i="12"/>
  <c r="Z908" i="12"/>
  <c r="AA908" i="12"/>
  <c r="Z909" i="12"/>
  <c r="AA909" i="12"/>
  <c r="Z910" i="12"/>
  <c r="Z911" i="12"/>
  <c r="AA910" i="12"/>
  <c r="Z912" i="12"/>
  <c r="AA911" i="12"/>
  <c r="AA912" i="12"/>
  <c r="Z913" i="12"/>
  <c r="AA913" i="12"/>
  <c r="Z914" i="12"/>
  <c r="Z915" i="12"/>
  <c r="AA914" i="12"/>
  <c r="Z916" i="12"/>
  <c r="AA915" i="12"/>
  <c r="Z917" i="12"/>
  <c r="AA916" i="12"/>
  <c r="AA917" i="12"/>
  <c r="Z918" i="12"/>
  <c r="Z919" i="12"/>
  <c r="AA918" i="12"/>
  <c r="Z920" i="12"/>
  <c r="AA919" i="12"/>
  <c r="Z921" i="12"/>
  <c r="AA920" i="12"/>
  <c r="Z922" i="12"/>
  <c r="AA921" i="12"/>
  <c r="Z923" i="12"/>
  <c r="AA922" i="12"/>
  <c r="AA923" i="12"/>
  <c r="Z924" i="12"/>
  <c r="AA924" i="12"/>
  <c r="Z925" i="12"/>
  <c r="Z926" i="12"/>
  <c r="AA925" i="12"/>
  <c r="Z927" i="12"/>
  <c r="AA926" i="12"/>
  <c r="AA927" i="12"/>
  <c r="Z928" i="12"/>
  <c r="Z929" i="12"/>
  <c r="AA928" i="12"/>
  <c r="Z930" i="12"/>
  <c r="AA929" i="12"/>
  <c r="AA930" i="12"/>
  <c r="Z931" i="12"/>
  <c r="AA931" i="12"/>
  <c r="Z932" i="12"/>
  <c r="AA932" i="12"/>
  <c r="Z933" i="12"/>
  <c r="Z934" i="12"/>
  <c r="AA933" i="12"/>
  <c r="Z935" i="12"/>
  <c r="AA934" i="12"/>
  <c r="Z936" i="12"/>
  <c r="AA935" i="12"/>
  <c r="Z937" i="12"/>
  <c r="AA936" i="12"/>
  <c r="AA937" i="12"/>
  <c r="Z938" i="12"/>
  <c r="Z939" i="12"/>
  <c r="AA938" i="12"/>
  <c r="Z940" i="12"/>
  <c r="AA939" i="12"/>
  <c r="AA940" i="12"/>
  <c r="Z941" i="12"/>
  <c r="Z942" i="12"/>
  <c r="AA941" i="12"/>
  <c r="Z943" i="12"/>
  <c r="AA942" i="12"/>
  <c r="Z944" i="12"/>
  <c r="AA943" i="12"/>
  <c r="Z945" i="12"/>
  <c r="AA944" i="12"/>
  <c r="AA945" i="12"/>
  <c r="Z946" i="12"/>
  <c r="Z947" i="12"/>
  <c r="AA946" i="12"/>
  <c r="AA947" i="12"/>
  <c r="Z948" i="12"/>
  <c r="AA948" i="12"/>
  <c r="Z949" i="12"/>
  <c r="AA949" i="12"/>
  <c r="Z950" i="12"/>
  <c r="AA950" i="12"/>
  <c r="Z951" i="12"/>
  <c r="AA951" i="12"/>
  <c r="Z952" i="12"/>
  <c r="Z953" i="12"/>
  <c r="AA952" i="12"/>
  <c r="AA953" i="12"/>
  <c r="Z954" i="12"/>
  <c r="AA954" i="12"/>
  <c r="Z955" i="12"/>
  <c r="Z956" i="12"/>
  <c r="AA955" i="12"/>
  <c r="Z957" i="12"/>
  <c r="AA956" i="12"/>
  <c r="Z958" i="12"/>
  <c r="AA957" i="12"/>
  <c r="AA958" i="12"/>
  <c r="Z959" i="12"/>
  <c r="Z960" i="12"/>
  <c r="AA959" i="12"/>
  <c r="AA960" i="12"/>
  <c r="Z961" i="12"/>
  <c r="Z962" i="12"/>
  <c r="AA961" i="12"/>
  <c r="AA962" i="12"/>
  <c r="Z963" i="12"/>
  <c r="AA963" i="12"/>
  <c r="Z964" i="12"/>
  <c r="Z965" i="12"/>
  <c r="AA964" i="12"/>
  <c r="AA965" i="12"/>
  <c r="Z966" i="12"/>
  <c r="AA966" i="12"/>
  <c r="Z967" i="12"/>
  <c r="Z968" i="12"/>
  <c r="AA967" i="12"/>
  <c r="AA968" i="12"/>
  <c r="Z969" i="12"/>
  <c r="Z970" i="12"/>
  <c r="AA969" i="12"/>
  <c r="AA970" i="12"/>
  <c r="Z971" i="12"/>
  <c r="Z972" i="12"/>
  <c r="AA971" i="12"/>
  <c r="Z973" i="12"/>
  <c r="AA972" i="12"/>
  <c r="AA973" i="12"/>
  <c r="Z974" i="12"/>
  <c r="AA974" i="12"/>
  <c r="Z975" i="12"/>
  <c r="AA975" i="12"/>
  <c r="Z976" i="12"/>
  <c r="Z977" i="12"/>
  <c r="AA976" i="12"/>
  <c r="AA977" i="12"/>
  <c r="Z978" i="12"/>
  <c r="AA978" i="12"/>
  <c r="Z979" i="12"/>
  <c r="Z980" i="12"/>
  <c r="AA979" i="12"/>
  <c r="AA980" i="12"/>
  <c r="Z981" i="12"/>
  <c r="AA981" i="12"/>
  <c r="Z982" i="12"/>
  <c r="AA982" i="12"/>
  <c r="Z983" i="12"/>
  <c r="AA983" i="12"/>
  <c r="Z984" i="12"/>
  <c r="AA984" i="12"/>
  <c r="Z985" i="12"/>
  <c r="Z986" i="12"/>
  <c r="AA985" i="12"/>
  <c r="Z987" i="12"/>
  <c r="AA986" i="12"/>
  <c r="Z988" i="12"/>
  <c r="AA987" i="12"/>
  <c r="Z989" i="12"/>
  <c r="AA988" i="12"/>
  <c r="AA989" i="12"/>
  <c r="Z990" i="12"/>
  <c r="AA990" i="12"/>
  <c r="Z991" i="12"/>
  <c r="AA991" i="12"/>
  <c r="Z992" i="12"/>
  <c r="AA992" i="12"/>
  <c r="Z993" i="12"/>
  <c r="AA993" i="12"/>
  <c r="Z994" i="12"/>
  <c r="Z995" i="12"/>
  <c r="AA994" i="12"/>
  <c r="Z996" i="12"/>
  <c r="AA995" i="12"/>
  <c r="AA996" i="12"/>
  <c r="Z997" i="12"/>
  <c r="AA997" i="12"/>
  <c r="Z998" i="12"/>
  <c r="AA998" i="12"/>
  <c r="Z999" i="12"/>
  <c r="Z1000" i="12"/>
  <c r="AA999" i="12"/>
  <c r="Z1001" i="12"/>
  <c r="AA1000" i="12"/>
  <c r="AA1001" i="12"/>
  <c r="Z1002" i="12"/>
  <c r="AA1002" i="12"/>
  <c r="Z1003" i="12"/>
  <c r="Z1004" i="12"/>
  <c r="AA1003" i="12"/>
  <c r="Z1005" i="12"/>
  <c r="AA1004" i="12"/>
  <c r="AA1005" i="12"/>
  <c r="Z1006" i="12"/>
  <c r="AA1006" i="12"/>
  <c r="Z1007" i="12"/>
  <c r="AA1007" i="12"/>
  <c r="Z1008" i="12"/>
  <c r="AA1008" i="12"/>
  <c r="Z1009" i="12"/>
  <c r="Z1010" i="12"/>
  <c r="AA1009" i="12"/>
  <c r="Z1011" i="12"/>
  <c r="AA1010" i="12"/>
  <c r="AA1011" i="12"/>
  <c r="Z1012" i="12"/>
  <c r="Z1013" i="12"/>
  <c r="AA1012" i="12"/>
  <c r="AA1013" i="12"/>
  <c r="Z1014" i="12"/>
  <c r="Z1015" i="12"/>
  <c r="AA1014" i="12"/>
  <c r="Z1016" i="12"/>
  <c r="AA1015" i="12"/>
  <c r="AA1016" i="12"/>
  <c r="Z1017" i="12"/>
  <c r="AA1017" i="12"/>
  <c r="Z1018" i="12"/>
  <c r="AA1018" i="12"/>
  <c r="Z1019" i="12"/>
  <c r="AA1019" i="12"/>
  <c r="Z1020" i="12"/>
  <c r="Z1021" i="12"/>
  <c r="AA1020" i="12"/>
  <c r="Z1022" i="12"/>
  <c r="AA1021" i="12"/>
  <c r="AA1022" i="12"/>
  <c r="Z1023" i="12"/>
  <c r="Z1024" i="12"/>
  <c r="AA1023" i="12"/>
  <c r="AA1024" i="12"/>
  <c r="Z1025" i="12"/>
  <c r="Z1026" i="12"/>
  <c r="AA1025" i="12"/>
  <c r="AA1026" i="12"/>
  <c r="Z1027" i="12"/>
  <c r="AA1027" i="12"/>
  <c r="Z1028" i="12"/>
  <c r="AA1028" i="12"/>
  <c r="Z1029" i="12"/>
  <c r="AA1029" i="12"/>
  <c r="Z1030" i="12"/>
  <c r="Z1031" i="12"/>
  <c r="AA1030" i="12"/>
  <c r="AA1031" i="12"/>
  <c r="Z1032" i="12"/>
  <c r="Z1033" i="12"/>
  <c r="AA1032" i="12"/>
  <c r="AA1033" i="12"/>
  <c r="Z1034" i="12"/>
  <c r="AA1034" i="12"/>
  <c r="Z1035" i="12"/>
  <c r="AA1035" i="12"/>
  <c r="Z1036" i="12"/>
  <c r="AA1036" i="12"/>
  <c r="Z1037" i="12"/>
  <c r="AA1037" i="12"/>
  <c r="Z1038" i="12"/>
  <c r="AA1038" i="12"/>
  <c r="Z1039" i="12"/>
  <c r="AA1039" i="12"/>
  <c r="Z1040" i="12"/>
  <c r="AA1040" i="12"/>
  <c r="Z1041" i="12"/>
  <c r="AA1041" i="12"/>
  <c r="Z1042" i="12"/>
  <c r="AA1042" i="12"/>
  <c r="Z1043" i="12"/>
  <c r="Z1044" i="12"/>
  <c r="AA1043" i="12"/>
  <c r="AA1044" i="12"/>
  <c r="Z1045" i="12"/>
  <c r="AA1045" i="12"/>
  <c r="Z1046" i="12"/>
  <c r="Z1047" i="12"/>
  <c r="AA1046" i="12"/>
  <c r="AA1047" i="12"/>
  <c r="Z1048" i="12"/>
  <c r="AA1048" i="12"/>
  <c r="Z1049" i="12"/>
  <c r="AA1049" i="12"/>
  <c r="Z1050" i="12"/>
  <c r="Z1051" i="12"/>
  <c r="AA1050" i="12"/>
  <c r="AA1051" i="12"/>
  <c r="Z1052" i="12"/>
  <c r="Z1053" i="12"/>
  <c r="AA1052" i="12"/>
  <c r="Z1054" i="12"/>
  <c r="AA1053" i="12"/>
  <c r="AA1054" i="12"/>
  <c r="Z1055" i="12"/>
  <c r="Z1056" i="12"/>
  <c r="AA1055" i="12"/>
  <c r="AA1056" i="12"/>
  <c r="Z1057" i="12"/>
  <c r="Z1058" i="12"/>
  <c r="AA1057" i="12"/>
  <c r="Z1059" i="12"/>
  <c r="AA1058" i="12"/>
  <c r="AA1059" i="12"/>
  <c r="Z1060" i="12"/>
  <c r="AA1060" i="12"/>
  <c r="Z1061" i="12"/>
  <c r="AA1061" i="12"/>
  <c r="Z1062" i="12"/>
  <c r="Z1063" i="12"/>
  <c r="AA1062" i="12"/>
  <c r="AA1063" i="12"/>
  <c r="Z1064" i="12"/>
  <c r="AA1064" i="12"/>
  <c r="Z1065" i="12"/>
  <c r="Z1066" i="12"/>
  <c r="AA1065" i="12"/>
  <c r="Z1067" i="12"/>
  <c r="AA1066" i="12"/>
  <c r="Z1068" i="12"/>
  <c r="AA1067" i="12"/>
  <c r="Z1069" i="12"/>
  <c r="AA1068" i="12"/>
  <c r="AA1069" i="12"/>
  <c r="Z1070" i="12"/>
  <c r="Z1071" i="12"/>
  <c r="AA1070" i="12"/>
  <c r="AA1071" i="12"/>
  <c r="Z1072" i="12"/>
  <c r="AA1072" i="12"/>
  <c r="Z1073" i="12"/>
  <c r="Z1074" i="12"/>
  <c r="AA1073" i="12"/>
  <c r="Z1075" i="12"/>
  <c r="AA1074" i="12"/>
  <c r="Z1076" i="12"/>
  <c r="AA1075" i="12"/>
  <c r="Z1077" i="12"/>
  <c r="AA1076" i="12"/>
  <c r="Z1078" i="12"/>
  <c r="AA1077" i="12"/>
  <c r="AA1078" i="12"/>
  <c r="Z1079" i="12"/>
  <c r="Z1080" i="12"/>
  <c r="AA1079" i="12"/>
  <c r="AA1080" i="12"/>
  <c r="Z1081" i="12"/>
  <c r="Z1082" i="12"/>
  <c r="AA1081" i="12"/>
  <c r="Z1083" i="12"/>
  <c r="AA1082" i="12"/>
  <c r="AA1083" i="12"/>
  <c r="Z1084" i="12"/>
  <c r="Z1085" i="12"/>
  <c r="AA1084" i="12"/>
  <c r="Z1086" i="12"/>
  <c r="AA1085" i="12"/>
  <c r="Z1087" i="12"/>
  <c r="AA1086" i="12"/>
  <c r="AA1087" i="12"/>
  <c r="Z1088" i="12"/>
  <c r="AA1088" i="12"/>
  <c r="Z1089" i="12"/>
  <c r="Z1090" i="12"/>
  <c r="AA1089" i="12"/>
  <c r="AA1090" i="12"/>
  <c r="Z1091" i="12"/>
  <c r="Z1092" i="12"/>
  <c r="AA1091" i="12"/>
  <c r="Z1093" i="12"/>
  <c r="AA1092" i="12"/>
  <c r="Z1094" i="12"/>
  <c r="AA1093" i="12"/>
  <c r="Z1095" i="12"/>
  <c r="AA1094" i="12"/>
  <c r="AA1095" i="12"/>
  <c r="Z1096" i="12"/>
  <c r="Z1097" i="12"/>
  <c r="AA1096" i="12"/>
  <c r="AA1097" i="12"/>
  <c r="Z1098" i="12"/>
  <c r="AA1098" i="12"/>
  <c r="Z1099" i="12"/>
  <c r="Z1100" i="12"/>
  <c r="AA1099" i="12"/>
  <c r="Z1101" i="12"/>
  <c r="AA1100" i="12"/>
  <c r="Z1102" i="12"/>
  <c r="AA1101" i="12"/>
  <c r="Z1103" i="12"/>
  <c r="AA1102" i="12"/>
  <c r="AA1103" i="12"/>
  <c r="Z1104" i="12"/>
  <c r="Z1105" i="12"/>
  <c r="AA1104" i="12"/>
  <c r="Z1106" i="12"/>
  <c r="AA1105" i="12"/>
  <c r="Z1107" i="12"/>
  <c r="AA1106" i="12"/>
  <c r="Z1108" i="12"/>
  <c r="AA1107" i="12"/>
  <c r="AA1108" i="12"/>
  <c r="Z1109" i="12"/>
  <c r="Z1110" i="12"/>
  <c r="AA1109" i="12"/>
  <c r="AA1110" i="12"/>
  <c r="Z1111" i="12"/>
  <c r="Z1112" i="12"/>
  <c r="AA1111" i="12"/>
  <c r="Z1113" i="12"/>
  <c r="AA1112" i="12"/>
  <c r="AA1113" i="12"/>
  <c r="Z1114" i="12"/>
  <c r="Z1115" i="12"/>
  <c r="AA1114" i="12"/>
  <c r="AA1115" i="12"/>
  <c r="Z1116" i="12"/>
  <c r="AA1116" i="12"/>
  <c r="Z1117" i="12"/>
  <c r="AA1117" i="12"/>
  <c r="Z1118" i="12"/>
  <c r="Z1119" i="12"/>
  <c r="AA1118" i="12"/>
  <c r="Z1120" i="12"/>
  <c r="AA1119" i="12"/>
  <c r="Z1121" i="12"/>
  <c r="AA1120" i="12"/>
  <c r="Z1122" i="12"/>
  <c r="AA1121" i="12"/>
  <c r="AA1122" i="12"/>
  <c r="Z1123" i="12"/>
  <c r="Z1124" i="12"/>
  <c r="AA1123" i="12"/>
  <c r="Z1125" i="12"/>
  <c r="AA1124" i="12"/>
  <c r="AA1125" i="12"/>
  <c r="Z1126" i="12"/>
  <c r="Z1127" i="12"/>
  <c r="AA1126" i="12"/>
  <c r="Z1128" i="12"/>
  <c r="AA1127" i="12"/>
  <c r="AA1128" i="12"/>
  <c r="Z1129" i="12"/>
  <c r="AA1129" i="12"/>
  <c r="Z1130" i="12"/>
  <c r="AA1130" i="12"/>
  <c r="Z1131" i="12"/>
  <c r="Z1132" i="12"/>
  <c r="AA1131" i="12"/>
  <c r="Z1133" i="12"/>
  <c r="AA1132" i="12"/>
  <c r="AA1133" i="12"/>
  <c r="Z1134" i="12"/>
  <c r="Z1135" i="12"/>
  <c r="AA1134" i="12"/>
  <c r="AA1135" i="12"/>
  <c r="Z1136" i="12"/>
  <c r="AA1136" i="12"/>
  <c r="Z1137" i="12"/>
  <c r="Z1138" i="12"/>
  <c r="AA1137" i="12"/>
  <c r="Z1139" i="12"/>
  <c r="AA1138" i="12"/>
  <c r="Z1140" i="12"/>
  <c r="AA1139" i="12"/>
  <c r="Z1141" i="12"/>
  <c r="AA1140" i="12"/>
  <c r="Z1142" i="12"/>
  <c r="AA1141" i="12"/>
  <c r="AA1142" i="12"/>
  <c r="Z1143" i="12"/>
  <c r="AA1143" i="12"/>
  <c r="Z1144" i="12"/>
  <c r="Z1145" i="12"/>
  <c r="AA1144" i="12"/>
  <c r="Z1146" i="12"/>
  <c r="AA1145" i="12"/>
  <c r="AA1146" i="12"/>
  <c r="Z1147" i="12"/>
  <c r="AA1147" i="12"/>
  <c r="Z1148" i="12"/>
  <c r="Z1149" i="12"/>
  <c r="AA1148" i="12"/>
  <c r="AA1149" i="12"/>
  <c r="Z1150" i="12"/>
  <c r="AA1150" i="12"/>
  <c r="Z1151" i="12"/>
  <c r="AA1151" i="12"/>
  <c r="Z1152" i="12"/>
  <c r="Z1153" i="12"/>
  <c r="AA1152" i="12"/>
  <c r="AA1153" i="12"/>
  <c r="Z1154" i="12"/>
  <c r="Z1155" i="12"/>
  <c r="AA1154" i="12"/>
  <c r="Z1156" i="12"/>
  <c r="AA1155" i="12"/>
  <c r="Z1157" i="12"/>
  <c r="AA1156" i="12"/>
  <c r="AA1157" i="12"/>
  <c r="Z1158" i="12"/>
  <c r="Z1159" i="12"/>
  <c r="AA1158" i="12"/>
  <c r="AA1159" i="12"/>
  <c r="Z1160" i="12"/>
  <c r="AA1160" i="12"/>
  <c r="Z1161" i="12"/>
  <c r="Z1162" i="12"/>
  <c r="AA1161" i="12"/>
  <c r="Z1163" i="12"/>
  <c r="AA1162" i="12"/>
  <c r="AA1163" i="12"/>
  <c r="Z1164" i="12"/>
  <c r="AA1164" i="12"/>
  <c r="Z1165" i="12"/>
  <c r="Z1166" i="12"/>
  <c r="AA1165" i="12"/>
  <c r="Z1167" i="12"/>
  <c r="AA1166" i="12"/>
  <c r="AA1167" i="12"/>
  <c r="Z1168" i="12"/>
  <c r="Z1169" i="12"/>
  <c r="AA1168" i="12"/>
  <c r="Z1170" i="12"/>
  <c r="AA1169" i="12"/>
  <c r="Z1171" i="12"/>
  <c r="AA1170" i="12"/>
  <c r="Z1172" i="12"/>
  <c r="AA1171" i="12"/>
  <c r="Z1173" i="12"/>
  <c r="AA1172" i="12"/>
  <c r="Z1174" i="12"/>
  <c r="AA1173" i="12"/>
  <c r="Z1175" i="12"/>
  <c r="AA1174" i="12"/>
  <c r="AA1175" i="12"/>
  <c r="Z1176" i="12"/>
  <c r="AA1176" i="12"/>
  <c r="Z1177" i="12"/>
  <c r="Z1178" i="12"/>
  <c r="AA1177" i="12"/>
  <c r="AA1178" i="12"/>
  <c r="Z1179" i="12"/>
  <c r="Z1180" i="12"/>
  <c r="AA1179" i="12"/>
  <c r="AA1180" i="12"/>
  <c r="Z1181" i="12"/>
  <c r="AA1181" i="12"/>
  <c r="Z1182" i="12"/>
  <c r="Z1183" i="12"/>
  <c r="AA1182" i="12"/>
  <c r="Z1184" i="12"/>
  <c r="AA1183" i="12"/>
  <c r="Z1185" i="12"/>
  <c r="AA1184" i="12"/>
  <c r="AA1185" i="12"/>
  <c r="Z1186" i="12"/>
  <c r="Z1187" i="12"/>
  <c r="AA1186" i="12"/>
  <c r="AA1187" i="12"/>
  <c r="Z1188" i="12"/>
  <c r="AA1188" i="12"/>
  <c r="Z1189" i="12"/>
  <c r="AA1189" i="12"/>
  <c r="Z1190" i="12"/>
  <c r="Z1191" i="12"/>
  <c r="AA1190" i="12"/>
  <c r="AA1191" i="12"/>
  <c r="Z1192" i="12"/>
  <c r="AA1192" i="12"/>
  <c r="Z1193" i="12"/>
  <c r="Z1194" i="12"/>
  <c r="AA1193" i="12"/>
  <c r="AA1194" i="12"/>
  <c r="Z1195" i="12"/>
  <c r="Z1196" i="12"/>
  <c r="AA1195" i="12"/>
  <c r="AA1196" i="12"/>
  <c r="Z1197" i="12"/>
  <c r="AA1197" i="12"/>
  <c r="Z1198" i="12"/>
  <c r="Z1199" i="12"/>
  <c r="AA1198" i="12"/>
  <c r="AA1199" i="12"/>
  <c r="Z1200" i="12"/>
  <c r="AA1200" i="12"/>
  <c r="Z1201" i="12"/>
  <c r="Z1202" i="12"/>
  <c r="AA1201" i="12"/>
  <c r="AA1202" i="12"/>
  <c r="Z1203" i="12"/>
  <c r="Z1204" i="12"/>
  <c r="AA1203" i="12"/>
  <c r="Z1205" i="12"/>
  <c r="AA1204" i="12"/>
  <c r="AA1205" i="12"/>
  <c r="Z1206" i="12"/>
  <c r="AA1206" i="12"/>
  <c r="Z1207" i="12"/>
  <c r="Z1208" i="12"/>
  <c r="AA1207" i="12"/>
  <c r="Z1209" i="12"/>
  <c r="AA1208" i="12"/>
  <c r="AA1209" i="12"/>
  <c r="Z1210" i="12"/>
  <c r="AA1210" i="12"/>
  <c r="Z1211" i="12"/>
  <c r="Z1212" i="12"/>
  <c r="AA1211" i="12"/>
  <c r="AA1212" i="12"/>
  <c r="Z1213" i="12"/>
  <c r="AA1213" i="12"/>
  <c r="Z1214" i="12"/>
  <c r="AA1214" i="12"/>
  <c r="Z1215" i="12"/>
  <c r="Z1216" i="12"/>
  <c r="AA1215" i="12"/>
  <c r="AA1216" i="12"/>
  <c r="Z1217" i="12"/>
  <c r="AA1217" i="12"/>
  <c r="Z1218" i="12"/>
  <c r="AA1218" i="12"/>
  <c r="Z1219" i="12"/>
  <c r="AA1219" i="12"/>
  <c r="Z1220" i="12"/>
  <c r="Z1221" i="12"/>
  <c r="AA1220" i="12"/>
  <c r="Z1222" i="12"/>
  <c r="AA1221" i="12"/>
  <c r="AA1222" i="12"/>
  <c r="Z1223" i="12"/>
  <c r="AA1223" i="12"/>
  <c r="Z1224" i="12"/>
  <c r="Z1225" i="12"/>
  <c r="AA1224" i="12"/>
  <c r="AA1225" i="12"/>
  <c r="Z1226" i="12"/>
  <c r="Z1227" i="12"/>
  <c r="AA1226" i="12"/>
  <c r="AA1227" i="12"/>
  <c r="Z1228" i="12"/>
  <c r="Z1229" i="12"/>
  <c r="AA1228" i="12"/>
  <c r="Z1230" i="12"/>
  <c r="AA1229" i="12"/>
  <c r="AA1230" i="12"/>
  <c r="Z1231" i="12"/>
  <c r="Z1232" i="12"/>
  <c r="AA1231" i="12"/>
  <c r="Z1233" i="12"/>
  <c r="AA1232" i="12"/>
  <c r="Z1234" i="12"/>
  <c r="AA1233" i="12"/>
  <c r="Z1235" i="12"/>
  <c r="AA1234" i="12"/>
  <c r="Z1236" i="12"/>
  <c r="AA1235" i="12"/>
  <c r="Z1237" i="12"/>
  <c r="AA1236" i="12"/>
  <c r="AA1237" i="12"/>
  <c r="Z1238" i="12"/>
  <c r="AA1238" i="12"/>
  <c r="Z1239" i="12"/>
  <c r="Z1240" i="12"/>
  <c r="AA1239" i="12"/>
  <c r="Z1241" i="12"/>
  <c r="AA1240" i="12"/>
  <c r="Z1242" i="12"/>
  <c r="AA1241" i="12"/>
  <c r="Z1243" i="12"/>
  <c r="AA1242" i="12"/>
  <c r="Z1244" i="12"/>
  <c r="AA1243" i="12"/>
  <c r="Z1245" i="12"/>
  <c r="AA1244" i="12"/>
  <c r="Z1246" i="12"/>
  <c r="AA1245" i="12"/>
  <c r="Z1247" i="12"/>
  <c r="AA1246" i="12"/>
  <c r="AA1247" i="12"/>
  <c r="Z1248" i="12"/>
  <c r="Z1249" i="12"/>
  <c r="AA1248" i="12"/>
  <c r="Z1250" i="12"/>
  <c r="AA1249" i="12"/>
  <c r="AA1250" i="12"/>
  <c r="Z1251" i="12"/>
  <c r="AA1251" i="12"/>
  <c r="Z1252" i="12"/>
  <c r="Z1253" i="12"/>
  <c r="AA1252" i="12"/>
  <c r="AA1253" i="12"/>
  <c r="Z1254" i="12"/>
  <c r="AA1254" i="12"/>
  <c r="Z1255" i="12"/>
  <c r="AA1255" i="12"/>
  <c r="Z1256" i="12"/>
  <c r="Z1257" i="12"/>
  <c r="AA1256" i="12"/>
  <c r="Z1258" i="12"/>
  <c r="AA1257" i="12"/>
  <c r="AA1258" i="12"/>
  <c r="Z1259" i="12"/>
  <c r="AA1259" i="12"/>
  <c r="Z1260" i="12"/>
  <c r="AA1260" i="12"/>
  <c r="Z1261" i="12"/>
  <c r="AA1261" i="12"/>
  <c r="Z1262" i="12"/>
  <c r="AA1262" i="12"/>
  <c r="Z1263" i="12"/>
  <c r="AA1263" i="12"/>
  <c r="Z1264" i="12"/>
  <c r="AA1264" i="12"/>
  <c r="Z1265" i="12"/>
  <c r="AA1265" i="12"/>
  <c r="Z1266" i="12"/>
  <c r="AA1266" i="12"/>
  <c r="Z1267" i="12"/>
  <c r="Z1268" i="12"/>
  <c r="AA1267" i="12"/>
  <c r="AA1268" i="12"/>
  <c r="Z1269" i="12"/>
  <c r="AA1269" i="12"/>
  <c r="Z1270" i="12"/>
  <c r="Z1271" i="12"/>
  <c r="AA1270" i="12"/>
  <c r="Z1272" i="12"/>
  <c r="AA1271" i="12"/>
  <c r="AA1272" i="12"/>
  <c r="Z1273" i="12"/>
  <c r="Z1274" i="12"/>
  <c r="AA1273" i="12"/>
  <c r="AA1274" i="12"/>
  <c r="Z1275" i="12"/>
  <c r="AA1275" i="12"/>
  <c r="Z1276" i="12"/>
  <c r="AA1276" i="12"/>
  <c r="Z1277" i="12"/>
  <c r="Z1278" i="12"/>
  <c r="AA1277" i="12"/>
  <c r="AA1278" i="12"/>
  <c r="Z1279" i="12"/>
  <c r="Z1280" i="12"/>
  <c r="AA1279" i="12"/>
  <c r="Z1281" i="12"/>
  <c r="AA1280" i="12"/>
  <c r="Z1282" i="12"/>
  <c r="AA1281" i="12"/>
  <c r="AA1282" i="12"/>
  <c r="Z1283" i="12"/>
  <c r="AA1283" i="12"/>
  <c r="Z1284" i="12"/>
  <c r="AA1284" i="12"/>
  <c r="Z1285" i="12"/>
  <c r="AA1285" i="12"/>
  <c r="Z1286" i="12"/>
  <c r="AA1286" i="12"/>
  <c r="Z1287" i="12"/>
  <c r="AA1287" i="12"/>
  <c r="Z1288" i="12"/>
  <c r="AA1288" i="12"/>
  <c r="Z1289" i="12"/>
  <c r="AA1289" i="12"/>
  <c r="Z1290" i="12"/>
  <c r="Z1291" i="12"/>
  <c r="AA1290" i="12"/>
  <c r="Z1292" i="12"/>
  <c r="AA1291" i="12"/>
  <c r="AA1292" i="12"/>
  <c r="Z1293" i="12"/>
  <c r="Z1294" i="12"/>
  <c r="AA1293" i="12"/>
  <c r="Z1295" i="12"/>
  <c r="AA1294" i="12"/>
  <c r="AA1295" i="12"/>
  <c r="Z1296" i="12"/>
  <c r="Z1297" i="12"/>
  <c r="AA1296" i="12"/>
  <c r="AA1297" i="12"/>
  <c r="Z1298" i="12"/>
  <c r="AA1298" i="12"/>
  <c r="Z1299" i="12"/>
  <c r="AA1299" i="12"/>
  <c r="Z1300" i="12"/>
  <c r="AA1300" i="12"/>
  <c r="Z1301" i="12"/>
  <c r="Z1302" i="12"/>
  <c r="AA1301" i="12"/>
  <c r="Z1303" i="12"/>
  <c r="AA1302" i="12"/>
  <c r="Z1304" i="12"/>
  <c r="AA1303" i="12"/>
  <c r="Z1305" i="12"/>
  <c r="AA1304" i="12"/>
  <c r="AA1305" i="12"/>
  <c r="Z1306" i="12"/>
  <c r="AA1306" i="12"/>
  <c r="Z1307" i="12"/>
  <c r="Z1308" i="12"/>
  <c r="AA1307" i="12"/>
  <c r="Z1309" i="12"/>
  <c r="AA1308" i="12"/>
  <c r="AA1309" i="12"/>
  <c r="Z1310" i="12"/>
  <c r="Z1311" i="12"/>
  <c r="AA1310" i="12"/>
  <c r="AA1311" i="12"/>
  <c r="Z1312" i="12"/>
  <c r="AA1312" i="12"/>
  <c r="Z1313" i="12"/>
  <c r="AA1313" i="12"/>
  <c r="Z1314" i="12"/>
  <c r="Z1315" i="12"/>
  <c r="AA1314" i="12"/>
  <c r="Z1316" i="12"/>
  <c r="AA1315" i="12"/>
  <c r="Z1317" i="12"/>
  <c r="AA1316" i="12"/>
  <c r="AA1317" i="12"/>
  <c r="Z1318" i="12"/>
  <c r="AA1318" i="12"/>
  <c r="Z1319" i="12"/>
  <c r="AA1319" i="12"/>
  <c r="Z1320" i="12"/>
  <c r="AA1320" i="12"/>
  <c r="Z1321" i="12"/>
  <c r="AA1321" i="12"/>
  <c r="Z1322" i="12"/>
  <c r="Z1323" i="12"/>
  <c r="AA1322" i="12"/>
  <c r="Z1324" i="12"/>
  <c r="AA1323" i="12"/>
  <c r="Z1325" i="12"/>
  <c r="AA1324" i="12"/>
  <c r="Z1326" i="12"/>
  <c r="AA1325" i="12"/>
  <c r="AA1326" i="12"/>
  <c r="Z1327" i="12"/>
  <c r="Z1328" i="12"/>
  <c r="AA1327" i="12"/>
  <c r="Z1329" i="12"/>
  <c r="AA1328" i="12"/>
  <c r="AA1329" i="12"/>
  <c r="Z1330" i="12"/>
  <c r="Z1331" i="12"/>
  <c r="AA1330" i="12"/>
  <c r="AA1331" i="12"/>
  <c r="Z1332" i="12"/>
  <c r="Z1333" i="12"/>
  <c r="AA1332" i="12"/>
  <c r="AA1333" i="12"/>
  <c r="Z1334" i="12"/>
  <c r="Z1335" i="12"/>
  <c r="AA1334" i="12"/>
  <c r="AA1335" i="12"/>
  <c r="Z1336" i="12"/>
  <c r="Z1337" i="12"/>
  <c r="AA1336" i="12"/>
  <c r="AA1337" i="12"/>
  <c r="Z1338" i="12"/>
  <c r="Z1339" i="12"/>
  <c r="AA1338" i="12"/>
  <c r="AA1339" i="12"/>
  <c r="Z1340" i="12"/>
  <c r="Z1341" i="12"/>
  <c r="AA1340" i="12"/>
  <c r="AA1341" i="12"/>
  <c r="Z1342" i="12"/>
  <c r="AA1342" i="12"/>
  <c r="Z1343" i="12"/>
  <c r="Z1344" i="12"/>
  <c r="AA1343" i="12"/>
  <c r="Z1345" i="12"/>
  <c r="AA1344" i="12"/>
  <c r="AA1345" i="12"/>
  <c r="Z1346" i="12"/>
  <c r="Z1347" i="12"/>
  <c r="AA1346" i="12"/>
  <c r="Z1348" i="12"/>
  <c r="AA1347" i="12"/>
  <c r="AA1348" i="12"/>
  <c r="Z1349" i="12"/>
  <c r="Z1350" i="12"/>
  <c r="AA1349" i="12"/>
  <c r="AA1350" i="12"/>
  <c r="Z1351" i="12"/>
  <c r="AA1351" i="12"/>
  <c r="Z1352" i="12"/>
  <c r="AA1352" i="12"/>
  <c r="Z1353" i="12"/>
  <c r="AA1353" i="12"/>
  <c r="Z1354" i="12"/>
  <c r="AA1354" i="12"/>
  <c r="Z1355" i="12"/>
  <c r="Z1356" i="12"/>
  <c r="AA1355" i="12"/>
  <c r="AA1356" i="12"/>
  <c r="Z1357" i="12"/>
  <c r="Z1358" i="12"/>
  <c r="AA1357" i="12"/>
  <c r="Z1359" i="12"/>
  <c r="AA1358" i="12"/>
  <c r="Z1360" i="12"/>
  <c r="AA1359" i="12"/>
  <c r="AA1360" i="12"/>
  <c r="Z1361" i="12"/>
  <c r="AA1361" i="12"/>
  <c r="Z1362" i="12"/>
  <c r="AA1362" i="12"/>
  <c r="Z1363" i="12"/>
  <c r="Z1364" i="12"/>
  <c r="AA1363" i="12"/>
  <c r="AA1364" i="12"/>
  <c r="Z1365" i="12"/>
  <c r="Z1366" i="12"/>
  <c r="AA1365" i="12"/>
  <c r="Z1367" i="12"/>
  <c r="AA1366" i="12"/>
  <c r="Z1368" i="12"/>
  <c r="AA1367" i="12"/>
  <c r="AA1368" i="12"/>
  <c r="Z1369" i="12"/>
  <c r="AA1369" i="12"/>
  <c r="Z1370" i="12"/>
  <c r="AA1370" i="12"/>
  <c r="Z1371" i="12"/>
  <c r="Z1372" i="12"/>
  <c r="AA1371" i="12"/>
  <c r="Z1373" i="12"/>
  <c r="AA1372" i="12"/>
  <c r="Z1374" i="12"/>
  <c r="AA1373" i="12"/>
  <c r="AA1374" i="12"/>
  <c r="Z1375" i="12"/>
  <c r="Z1376" i="12"/>
  <c r="AA1375" i="12"/>
  <c r="AA1376" i="12"/>
  <c r="Z1377" i="12"/>
  <c r="Z1378" i="12"/>
  <c r="AA1377" i="12"/>
  <c r="Z1379" i="12"/>
  <c r="AA1378" i="12"/>
  <c r="Z1380" i="12"/>
  <c r="AA1379" i="12"/>
  <c r="Z1381" i="12"/>
  <c r="AA1380" i="12"/>
  <c r="Z1382" i="12"/>
  <c r="AA1381" i="12"/>
  <c r="AA1382" i="12"/>
  <c r="Z1383" i="12"/>
  <c r="Z1384" i="12"/>
  <c r="AA1383" i="12"/>
  <c r="AA1384" i="12"/>
  <c r="Z1385" i="12"/>
  <c r="AA1385" i="12"/>
  <c r="Z1386" i="12"/>
  <c r="AA1386" i="12"/>
  <c r="Z1387" i="12"/>
  <c r="AA1387" i="12"/>
  <c r="Z1388" i="12"/>
  <c r="AA1388" i="12"/>
  <c r="Z1389" i="12"/>
  <c r="AA1389" i="12"/>
  <c r="Z1390" i="12"/>
  <c r="AA1390" i="12"/>
  <c r="Z1391" i="12"/>
  <c r="Z1392" i="12"/>
  <c r="AA1391" i="12"/>
  <c r="Z1393" i="12"/>
  <c r="AA1392" i="12"/>
  <c r="Z1394" i="12"/>
  <c r="AA1393" i="12"/>
  <c r="AA1394" i="12"/>
  <c r="Z1395" i="12"/>
  <c r="Z1396" i="12"/>
  <c r="AA1395" i="12"/>
  <c r="AA1396" i="12"/>
  <c r="Z1397" i="12"/>
  <c r="AA1397" i="12"/>
  <c r="Z1398" i="12"/>
  <c r="Z1399" i="12"/>
  <c r="AA1398" i="12"/>
  <c r="AA1399" i="12"/>
  <c r="Z1400" i="12"/>
  <c r="AA1400" i="12"/>
  <c r="Z1401" i="12"/>
  <c r="AA1401" i="12"/>
  <c r="Z1402" i="12"/>
  <c r="AA1402" i="12"/>
  <c r="Z1403" i="12"/>
  <c r="AA1403" i="12"/>
  <c r="Z1404" i="12"/>
  <c r="Z1405" i="12"/>
  <c r="AA1404" i="12"/>
  <c r="AA1405" i="12"/>
  <c r="Z1406" i="12"/>
  <c r="AA1406" i="12"/>
  <c r="Z1407" i="12"/>
  <c r="AA1407" i="12"/>
  <c r="Z1408" i="12"/>
  <c r="AA1408" i="12"/>
  <c r="Z1409" i="12"/>
  <c r="AA1409" i="12"/>
  <c r="Z1410" i="12"/>
  <c r="Z1411" i="12"/>
  <c r="AA1410" i="12"/>
  <c r="Z1412" i="12"/>
  <c r="AA1411" i="12"/>
  <c r="Z1413" i="12"/>
  <c r="AA1412" i="12"/>
  <c r="AA1413" i="12"/>
  <c r="Z1414" i="12"/>
  <c r="Z1415" i="12"/>
  <c r="AA1414" i="12"/>
  <c r="AA1415" i="12"/>
  <c r="Z1416" i="12"/>
  <c r="Z1417" i="12"/>
  <c r="AA1416" i="12"/>
  <c r="AA1417" i="12"/>
  <c r="Z1418" i="12"/>
  <c r="Z1419" i="12"/>
  <c r="AA1418" i="12"/>
  <c r="Z1420" i="12"/>
  <c r="AA1419" i="12"/>
  <c r="AA1420" i="12"/>
  <c r="Z1421" i="12"/>
  <c r="Z1422" i="12"/>
  <c r="AA1421" i="12"/>
  <c r="AA1422" i="12"/>
  <c r="Z1423" i="12"/>
  <c r="AA1423" i="12"/>
  <c r="Z1424" i="12"/>
  <c r="Z1425" i="12"/>
  <c r="AA1424" i="12"/>
  <c r="AA1425" i="12"/>
  <c r="Z1426" i="12"/>
  <c r="Z1427" i="12"/>
  <c r="AA1426" i="12"/>
  <c r="Z1428" i="12"/>
  <c r="AA1427" i="12"/>
  <c r="Z1429" i="12"/>
  <c r="AA1428" i="12"/>
  <c r="AA1429" i="12"/>
  <c r="Z1430" i="12"/>
  <c r="Z1431" i="12"/>
  <c r="AA1430" i="12"/>
  <c r="AA1431" i="12"/>
  <c r="Z1432" i="12"/>
  <c r="Z1433" i="12"/>
  <c r="AA1432" i="12"/>
  <c r="Z1434" i="12"/>
  <c r="AA1433" i="12"/>
  <c r="AA1434" i="12"/>
  <c r="Z1435" i="12"/>
  <c r="AA1435" i="12"/>
  <c r="Z1436" i="12"/>
  <c r="AA1436" i="12"/>
  <c r="Z1437" i="12"/>
  <c r="Z1438" i="12"/>
  <c r="AA1437" i="12"/>
  <c r="Z1439" i="12"/>
  <c r="AA1438" i="12"/>
  <c r="AA1439" i="12"/>
  <c r="Z1440" i="12"/>
  <c r="AA1440" i="12"/>
  <c r="Z1441" i="12"/>
  <c r="Z1442" i="12"/>
  <c r="AA1441" i="12"/>
  <c r="Z1443" i="12"/>
  <c r="AA1442" i="12"/>
  <c r="AA1443" i="12"/>
  <c r="Z1444" i="12"/>
  <c r="AA1444" i="12"/>
  <c r="Z1445" i="12"/>
  <c r="Z1446" i="12"/>
  <c r="AA1445" i="12"/>
  <c r="AA1446" i="12"/>
  <c r="Z1447" i="12"/>
  <c r="AA1447" i="12"/>
  <c r="Z1448" i="12"/>
  <c r="Z1449" i="12"/>
  <c r="AA1448" i="12"/>
  <c r="Z1450" i="12"/>
  <c r="AA1449" i="12"/>
  <c r="AA1450" i="12"/>
  <c r="Z1451" i="12"/>
  <c r="Z1452" i="12"/>
  <c r="AA1451" i="12"/>
  <c r="AA1452" i="12"/>
  <c r="Z1453" i="12"/>
  <c r="AA1453" i="12"/>
  <c r="Z1454" i="12"/>
  <c r="AA1454" i="12"/>
  <c r="Z1455" i="12"/>
  <c r="AA1455" i="12"/>
  <c r="Z1456" i="12"/>
  <c r="Z1457" i="12"/>
  <c r="AA1456" i="12"/>
  <c r="Z1458" i="12"/>
  <c r="AA1457" i="12"/>
  <c r="Z1459" i="12"/>
  <c r="AA1458" i="12"/>
  <c r="Z1460" i="12"/>
  <c r="AA1459" i="12"/>
  <c r="AA1460" i="12"/>
  <c r="Z1461" i="12"/>
  <c r="AA1461" i="12"/>
  <c r="Z1462" i="12"/>
  <c r="AA1462" i="12"/>
  <c r="Z1463" i="12"/>
  <c r="Z1464" i="12"/>
  <c r="AA1463" i="12"/>
  <c r="AA1464" i="12"/>
  <c r="Z1465" i="12"/>
  <c r="Z1466" i="12"/>
  <c r="AA1465" i="12"/>
  <c r="Z1467" i="12"/>
  <c r="AA1466" i="12"/>
  <c r="Z1468" i="12"/>
  <c r="AA1467" i="12"/>
  <c r="AA1468" i="12"/>
  <c r="Z1469" i="12"/>
  <c r="AA1469" i="12"/>
  <c r="Z1470" i="12"/>
  <c r="AA1470" i="12"/>
  <c r="Z1471" i="12"/>
  <c r="Z1472" i="12"/>
  <c r="AA1471" i="12"/>
  <c r="Z1473" i="12"/>
  <c r="AA1472" i="12"/>
  <c r="AA1473" i="12"/>
  <c r="Z1474" i="12"/>
  <c r="Z1475" i="12"/>
  <c r="AA1474" i="12"/>
  <c r="AA1475" i="12"/>
  <c r="Z1476" i="12"/>
  <c r="AA1476" i="12"/>
  <c r="Z1477" i="12"/>
  <c r="Z1478" i="12"/>
  <c r="AA1477" i="12"/>
  <c r="Z1479" i="12"/>
  <c r="AA1478" i="12"/>
  <c r="AA1479" i="12"/>
  <c r="Z1480" i="12"/>
  <c r="Z1481" i="12"/>
  <c r="AA1480" i="12"/>
  <c r="Z1482" i="12"/>
  <c r="AA1481" i="12"/>
  <c r="Z1483" i="12"/>
  <c r="AA1482" i="12"/>
  <c r="Z1484" i="12"/>
  <c r="AA1483" i="12"/>
  <c r="AA1484" i="12"/>
  <c r="Z1485" i="12"/>
  <c r="AA1485" i="12"/>
  <c r="Z1486" i="12"/>
  <c r="AA1486" i="12"/>
  <c r="Z1487" i="12"/>
  <c r="Z1488" i="12"/>
  <c r="AA1487" i="12"/>
  <c r="Z1489" i="12"/>
  <c r="AA1488" i="12"/>
  <c r="Z1490" i="12"/>
  <c r="AA1489" i="12"/>
  <c r="Z1491" i="12"/>
  <c r="AA1490" i="12"/>
  <c r="AA1491" i="12"/>
  <c r="Z1492" i="12"/>
  <c r="Z1493" i="12"/>
  <c r="AA1492" i="12"/>
  <c r="Z1494" i="12"/>
  <c r="AA1493" i="12"/>
  <c r="AA1494" i="12"/>
  <c r="Z1495" i="12"/>
  <c r="AA1495" i="12"/>
  <c r="Z1496" i="12"/>
  <c r="AA1496" i="12"/>
  <c r="Z1497" i="12"/>
  <c r="Z1498" i="12"/>
  <c r="AA1497" i="12"/>
  <c r="Z1499" i="12"/>
  <c r="AA1498" i="12"/>
  <c r="Z1500" i="12"/>
  <c r="AA1499" i="12"/>
  <c r="Z1501" i="12"/>
  <c r="AA1500" i="12"/>
  <c r="AA1501" i="12"/>
  <c r="Z1502" i="12"/>
  <c r="Z1503" i="12"/>
  <c r="AA1502" i="12"/>
  <c r="Z1504" i="12"/>
  <c r="AA1503" i="12"/>
  <c r="Z1505" i="12"/>
  <c r="AA1504" i="12"/>
  <c r="AA1505" i="12"/>
  <c r="Z1506" i="12"/>
  <c r="Z1507" i="12"/>
  <c r="AA1506" i="12"/>
  <c r="Z1508" i="12"/>
  <c r="AA1507" i="12"/>
  <c r="AA1508" i="12"/>
  <c r="Z1509" i="12"/>
  <c r="AA1509" i="12"/>
  <c r="Z1510" i="12"/>
  <c r="AA1510" i="12"/>
  <c r="Z1511" i="12"/>
  <c r="Z1512" i="12"/>
  <c r="AA1511" i="12"/>
  <c r="AA1512" i="12"/>
  <c r="Z1513" i="12"/>
  <c r="Z1514" i="12"/>
  <c r="AA1513" i="12"/>
  <c r="AA1514" i="12"/>
  <c r="Z1515" i="12"/>
  <c r="AA1515" i="12"/>
  <c r="Z1516" i="12"/>
  <c r="AA1516" i="12"/>
  <c r="Z1517" i="12"/>
  <c r="Z1518" i="12"/>
  <c r="AA1517" i="12"/>
  <c r="Z1519" i="12"/>
  <c r="AA1518" i="12"/>
  <c r="AA1519" i="12"/>
  <c r="Z1520" i="12"/>
  <c r="AA1520" i="12"/>
  <c r="Z1521" i="12"/>
  <c r="Z1522" i="12"/>
  <c r="AA1521" i="12"/>
  <c r="AA1522" i="12"/>
  <c r="Z1523" i="12"/>
  <c r="AA1523" i="12"/>
  <c r="Z1524" i="12"/>
  <c r="Z1525" i="12"/>
  <c r="AA1524" i="12"/>
  <c r="Z1526" i="12"/>
  <c r="AA1525" i="12"/>
  <c r="AA1526" i="12"/>
  <c r="Z1527" i="12"/>
  <c r="AA1527" i="12"/>
  <c r="Z1528" i="12"/>
  <c r="AA1528" i="12"/>
  <c r="Z1529" i="12"/>
  <c r="Z1530" i="12"/>
  <c r="AA1529" i="12"/>
  <c r="AA1530" i="12"/>
  <c r="Z1531" i="12"/>
  <c r="AA1531" i="12"/>
  <c r="Z1532" i="12"/>
  <c r="AA1532" i="12"/>
  <c r="Z1533" i="12"/>
  <c r="AA1533" i="12"/>
  <c r="Z1534" i="12"/>
  <c r="AA1534" i="12"/>
  <c r="Z1535" i="12"/>
  <c r="AA1535" i="12"/>
  <c r="Z1536" i="12"/>
  <c r="AA1536" i="12"/>
  <c r="Z1537" i="12"/>
  <c r="AA1537" i="12"/>
  <c r="Z1538" i="12"/>
  <c r="Z1539" i="12"/>
  <c r="AA1538" i="12"/>
  <c r="AA1539" i="12"/>
  <c r="Z1540" i="12"/>
  <c r="AA1540" i="12"/>
  <c r="Z1541" i="12"/>
  <c r="Z1542" i="12"/>
  <c r="AA1541" i="12"/>
  <c r="AA1542" i="12"/>
  <c r="Z1543" i="12"/>
  <c r="AA1543" i="12"/>
  <c r="Z1544" i="12"/>
  <c r="AA1544" i="12"/>
  <c r="Z1545" i="12"/>
  <c r="AA1545" i="12"/>
  <c r="Z1546" i="12"/>
  <c r="AA1546" i="12"/>
  <c r="Z1547" i="12"/>
  <c r="AA1547" i="12"/>
  <c r="Z1548" i="12"/>
  <c r="AA1548" i="12"/>
  <c r="Z1549" i="12"/>
  <c r="AA1549" i="12"/>
  <c r="Z1550" i="12"/>
  <c r="AA1550" i="12"/>
  <c r="Z1551" i="12"/>
  <c r="Z1552" i="12"/>
  <c r="AA1551" i="12"/>
  <c r="Z1553" i="12"/>
  <c r="AA1552" i="12"/>
  <c r="Z1554" i="12"/>
  <c r="AA1553" i="12"/>
  <c r="AA1554" i="12"/>
  <c r="Z1555" i="12"/>
  <c r="AA1555" i="12"/>
  <c r="Z1556" i="12"/>
  <c r="Z1557" i="12"/>
  <c r="AA1556" i="12"/>
  <c r="AA1557" i="12"/>
  <c r="Z1558" i="12"/>
  <c r="Z1559" i="12"/>
  <c r="AA1558" i="12"/>
  <c r="AA1559" i="12"/>
  <c r="Z1560" i="12"/>
  <c r="AA1560" i="12"/>
  <c r="Z1561" i="12"/>
  <c r="Z1562" i="12"/>
  <c r="AA1561" i="12"/>
  <c r="Z1563" i="12"/>
  <c r="AA1562" i="12"/>
  <c r="AA1563" i="12"/>
  <c r="Z1564" i="12"/>
  <c r="Z1565" i="12"/>
  <c r="AA1564" i="12"/>
  <c r="AA1565" i="12"/>
  <c r="Z1566" i="12"/>
  <c r="AA1566" i="12"/>
  <c r="Z1567" i="12"/>
  <c r="AA1567" i="12"/>
  <c r="Z1568" i="12"/>
  <c r="AA1568" i="12"/>
  <c r="Z1569" i="12"/>
  <c r="AA1569" i="12"/>
  <c r="Z1570" i="12"/>
  <c r="AA1570" i="12"/>
  <c r="Z1571" i="12"/>
  <c r="AA1571" i="12"/>
  <c r="Z1572" i="12"/>
  <c r="AA1572" i="12"/>
  <c r="Z1573" i="12"/>
  <c r="AA1573" i="12"/>
  <c r="Z1574" i="12"/>
  <c r="Z1575" i="12"/>
  <c r="AA1574" i="12"/>
  <c r="AA1575" i="12"/>
  <c r="Z1576" i="12"/>
  <c r="Z1577" i="12"/>
  <c r="AA1576" i="12"/>
  <c r="Z1578" i="12"/>
  <c r="AA1577" i="12"/>
  <c r="AA1578" i="12"/>
  <c r="Z1579" i="12"/>
  <c r="AA1579" i="12"/>
  <c r="Z1580" i="12"/>
  <c r="AA1580" i="12"/>
  <c r="Z1581" i="12"/>
  <c r="AA1581" i="12"/>
  <c r="Z1582" i="12"/>
  <c r="Z1583" i="12"/>
  <c r="AA1582" i="12"/>
  <c r="AA1583" i="12"/>
  <c r="Z1584" i="12"/>
  <c r="AA1584" i="12"/>
  <c r="Z1585" i="12"/>
  <c r="AA1585" i="12"/>
  <c r="Z1586" i="12"/>
  <c r="Z1587" i="12"/>
  <c r="AA1586" i="12"/>
  <c r="AA1587" i="12"/>
  <c r="Z1588" i="12"/>
  <c r="Z1589" i="12"/>
  <c r="AA1588" i="12"/>
  <c r="AA1589" i="12"/>
  <c r="Z1590" i="12"/>
  <c r="Z1591" i="12"/>
  <c r="AA1590" i="12"/>
  <c r="Z1592" i="12"/>
  <c r="AA1591" i="12"/>
  <c r="Z1593" i="12"/>
  <c r="AA1592" i="12"/>
  <c r="AA1593" i="12"/>
  <c r="Z1594" i="12"/>
  <c r="Z1595" i="12"/>
  <c r="AA1594" i="12"/>
  <c r="Z1596" i="12"/>
  <c r="AA1595" i="12"/>
  <c r="Z1597" i="12"/>
  <c r="AA1596" i="12"/>
  <c r="Z1598" i="12"/>
  <c r="AA1597" i="12"/>
  <c r="Z1599" i="12"/>
  <c r="AA1598" i="12"/>
  <c r="AA1599" i="12"/>
  <c r="Z1600" i="12"/>
  <c r="AA1600" i="12"/>
  <c r="Z1601" i="12"/>
  <c r="Z1602" i="12"/>
  <c r="AA1601" i="12"/>
  <c r="Z1603" i="12"/>
  <c r="AA1602" i="12"/>
  <c r="Z1604" i="12"/>
  <c r="AA1603" i="12"/>
  <c r="Z1605" i="12"/>
  <c r="AA1604" i="12"/>
  <c r="AA1605" i="12"/>
  <c r="Z1606" i="12"/>
  <c r="Z1607" i="12"/>
  <c r="AA1606" i="12"/>
  <c r="AA1607" i="12"/>
  <c r="Z1608" i="12"/>
  <c r="Z1609" i="12"/>
  <c r="AA1608" i="12"/>
  <c r="Z1610" i="12"/>
  <c r="AA1609" i="12"/>
  <c r="Z1611" i="12"/>
  <c r="AA1610" i="12"/>
  <c r="Z1612" i="12"/>
  <c r="AA1611" i="12"/>
  <c r="Z1613" i="12"/>
  <c r="AA1612" i="12"/>
  <c r="AA1613" i="12"/>
  <c r="Z1614" i="12"/>
  <c r="Z1615" i="12"/>
  <c r="AA1614" i="12"/>
  <c r="AA1615" i="12"/>
  <c r="Z1616" i="12"/>
  <c r="Z1617" i="12"/>
  <c r="AA1616" i="12"/>
  <c r="Z1618" i="12"/>
  <c r="AA1617" i="12"/>
  <c r="Z1619" i="12"/>
  <c r="AA1618" i="12"/>
  <c r="AA1619" i="12"/>
  <c r="Z1620" i="12"/>
  <c r="Z1621" i="12"/>
  <c r="AA1620" i="12"/>
  <c r="Z1622" i="12"/>
  <c r="AA1621" i="12"/>
  <c r="AA1622" i="12"/>
  <c r="Z1623" i="12"/>
  <c r="Z1624" i="12"/>
  <c r="AA1623" i="12"/>
  <c r="AA1624" i="12"/>
  <c r="Z1625" i="12"/>
  <c r="Z1626" i="12"/>
  <c r="AA1625" i="12"/>
  <c r="AA1626" i="12"/>
  <c r="Z1627" i="12"/>
  <c r="AA1627" i="12"/>
  <c r="Z1628" i="12"/>
  <c r="AA1628" i="12"/>
  <c r="Z1629" i="12"/>
  <c r="Z1630" i="12"/>
  <c r="AA1629" i="12"/>
  <c r="Z1631" i="12"/>
  <c r="AA1630" i="12"/>
  <c r="Z1632" i="12"/>
  <c r="AA1631" i="12"/>
  <c r="Z1633" i="12"/>
  <c r="AA1632" i="12"/>
  <c r="AA1633" i="12"/>
  <c r="Z1634" i="12"/>
  <c r="Z1635" i="12"/>
  <c r="AA1634" i="12"/>
  <c r="Z1636" i="12"/>
  <c r="AA1635" i="12"/>
  <c r="Z1637" i="12"/>
  <c r="AA1636" i="12"/>
  <c r="AA1637" i="12"/>
  <c r="Z1638" i="12"/>
  <c r="AA1638" i="12"/>
  <c r="Z1639" i="12"/>
  <c r="AA1639" i="12"/>
  <c r="Z1640" i="12"/>
  <c r="AA1640" i="12"/>
  <c r="Z1641" i="12"/>
  <c r="Z1642" i="12"/>
  <c r="AA1641" i="12"/>
  <c r="Z1643" i="12"/>
  <c r="AA1642" i="12"/>
  <c r="Z1644" i="12"/>
  <c r="AA1643" i="12"/>
  <c r="AA1644" i="12"/>
  <c r="Z1645" i="12"/>
  <c r="Z1646" i="12"/>
  <c r="AA1645" i="12"/>
  <c r="AA1646" i="12"/>
  <c r="Z1647" i="12"/>
  <c r="Z1648" i="12"/>
  <c r="AA1647" i="12"/>
  <c r="Z1649" i="12"/>
  <c r="AA1648" i="12"/>
  <c r="Z1650" i="12"/>
  <c r="AA1649" i="12"/>
  <c r="Z1651" i="12"/>
  <c r="AA1650" i="12"/>
  <c r="Z1652" i="12"/>
  <c r="AA1651" i="12"/>
  <c r="AA1652" i="12"/>
  <c r="Z1653" i="12"/>
  <c r="Z1654" i="12"/>
  <c r="AA1653" i="12"/>
  <c r="Z1655" i="12"/>
  <c r="AA1654" i="12"/>
  <c r="Z1656" i="12"/>
  <c r="AA1655" i="12"/>
  <c r="Z1657" i="12"/>
  <c r="AA1656" i="12"/>
  <c r="AA1657" i="12"/>
  <c r="Z1658" i="12"/>
  <c r="Z1659" i="12"/>
  <c r="AA1658" i="12"/>
  <c r="AA1659" i="12"/>
  <c r="Z1660" i="12"/>
  <c r="Z1661" i="12"/>
  <c r="AA1660" i="12"/>
  <c r="Z1662" i="12"/>
  <c r="AA1661" i="12"/>
  <c r="Z1663" i="12"/>
  <c r="AA1662" i="12"/>
  <c r="Z1664" i="12"/>
  <c r="AA1663" i="12"/>
  <c r="Z1665" i="12"/>
  <c r="AA1664" i="12"/>
  <c r="Z1666" i="12"/>
  <c r="AA1665" i="12"/>
  <c r="Z1667" i="12"/>
  <c r="AA1666" i="12"/>
  <c r="Z1668" i="12"/>
  <c r="AA1667" i="12"/>
  <c r="AA1668" i="12"/>
  <c r="Z1669" i="12"/>
  <c r="Z1670" i="12"/>
  <c r="AA1669" i="12"/>
  <c r="AA1670" i="12"/>
  <c r="Z1671" i="12"/>
  <c r="Z1672" i="12"/>
  <c r="AA1671" i="12"/>
  <c r="Z1673" i="12"/>
  <c r="AA1672" i="12"/>
  <c r="AA1673" i="12"/>
  <c r="Z1674" i="12"/>
  <c r="AA1674" i="12"/>
  <c r="Z1675" i="12"/>
  <c r="Z1676" i="12"/>
  <c r="AA1675" i="12"/>
  <c r="AA1676" i="12"/>
  <c r="Z1677" i="12"/>
  <c r="Z1678" i="12"/>
  <c r="AA1677" i="12"/>
  <c r="AA1678" i="12"/>
  <c r="Z1679" i="12"/>
  <c r="Z1680" i="12"/>
  <c r="AA1679" i="12"/>
  <c r="Z1681" i="12"/>
  <c r="AA1680" i="12"/>
  <c r="AA1681" i="12"/>
  <c r="Z1682" i="12"/>
  <c r="Z1683" i="12"/>
  <c r="AA1682" i="12"/>
  <c r="Z1684" i="12"/>
  <c r="AA1683" i="12"/>
  <c r="AA1684" i="12"/>
  <c r="Z1685" i="12"/>
  <c r="Z1686" i="12"/>
  <c r="AA1685" i="12"/>
  <c r="Z1687" i="12"/>
  <c r="AA1686" i="12"/>
  <c r="AA1687" i="12"/>
  <c r="Z1688" i="12"/>
  <c r="AA1688" i="12"/>
  <c r="Z1689" i="12"/>
  <c r="AA1689" i="12"/>
  <c r="Z1690" i="12"/>
  <c r="AA1690" i="12"/>
  <c r="Z1691" i="12"/>
  <c r="AA1691" i="12"/>
  <c r="Z1692" i="12"/>
  <c r="Z1693" i="12"/>
  <c r="AA1692" i="12"/>
  <c r="Z1694" i="12"/>
  <c r="AA1693" i="12"/>
  <c r="AA1694" i="12"/>
  <c r="Z1695" i="12"/>
  <c r="AA1695" i="12"/>
  <c r="Z1696" i="12"/>
  <c r="AA1696" i="12"/>
  <c r="Z1697" i="12"/>
  <c r="AA1697" i="12"/>
  <c r="Z1698" i="12"/>
  <c r="Z1699" i="12"/>
  <c r="AA1698" i="12"/>
  <c r="AA1699" i="12"/>
  <c r="Z1700" i="12"/>
  <c r="Z1701" i="12"/>
  <c r="AA1700" i="12"/>
  <c r="AA1701" i="12"/>
  <c r="Z1702" i="12"/>
  <c r="Z1703" i="12"/>
  <c r="AA1702" i="12"/>
  <c r="AA1703" i="12"/>
  <c r="Z1704" i="12"/>
  <c r="Z1705" i="12"/>
  <c r="AA1704" i="12"/>
  <c r="AA1705" i="12"/>
  <c r="Z1706" i="12"/>
  <c r="AA1706" i="12"/>
  <c r="Z1707" i="12"/>
  <c r="Z1708" i="12"/>
  <c r="AA1707" i="12"/>
  <c r="AA1708" i="12"/>
  <c r="Z1709" i="12"/>
  <c r="Z1710" i="12"/>
  <c r="AA1709" i="12"/>
  <c r="Z1711" i="12"/>
  <c r="AA1710" i="12"/>
  <c r="AA1711" i="12"/>
  <c r="Z1712" i="12"/>
  <c r="AA1712" i="12"/>
  <c r="Z1713" i="12"/>
  <c r="AA1713" i="12"/>
  <c r="Z1714" i="12"/>
  <c r="AA1714" i="12"/>
  <c r="Z1715" i="12"/>
  <c r="AA1715" i="12"/>
  <c r="Z1716" i="12"/>
  <c r="Z1717" i="12"/>
  <c r="AA1716" i="12"/>
  <c r="Z1718" i="12"/>
  <c r="AA1717" i="12"/>
  <c r="AA1718" i="12"/>
  <c r="Z1719" i="12"/>
  <c r="AA1719" i="12"/>
  <c r="Z1720" i="12"/>
  <c r="AA1720" i="12"/>
  <c r="Z1721" i="12"/>
  <c r="Z1722" i="12"/>
  <c r="AA1721" i="12"/>
  <c r="AA1722" i="12"/>
  <c r="Z1723" i="12"/>
  <c r="AA1723" i="12"/>
  <c r="Z1724" i="12"/>
  <c r="AA1724" i="12"/>
  <c r="Z1725" i="12"/>
  <c r="AA1725" i="12"/>
  <c r="Z1726" i="12"/>
  <c r="AA1726" i="12"/>
  <c r="Z1727" i="12"/>
  <c r="AA1727" i="12"/>
  <c r="Z1728" i="12"/>
  <c r="Z1729" i="12"/>
  <c r="AA1728" i="12"/>
  <c r="AA1729" i="12"/>
  <c r="Z1730" i="12"/>
  <c r="AA1730" i="12"/>
  <c r="Z1731" i="12"/>
  <c r="AA1731" i="12"/>
  <c r="Z1732" i="12"/>
  <c r="Z1733" i="12"/>
  <c r="AA1732" i="12"/>
  <c r="Z1734" i="12"/>
  <c r="AA1733" i="12"/>
  <c r="AA1734" i="12"/>
  <c r="Z1735" i="12"/>
  <c r="Z1736" i="12"/>
  <c r="AA1735" i="12"/>
  <c r="AA1736" i="12"/>
  <c r="Z1737" i="12"/>
  <c r="AA1737" i="12"/>
  <c r="Z1738" i="12"/>
  <c r="AA1738" i="12"/>
  <c r="Z1739" i="12"/>
  <c r="Z1740" i="12"/>
  <c r="AA1739" i="12"/>
  <c r="AA1740" i="12"/>
  <c r="Z1741" i="12"/>
  <c r="Z1742" i="12"/>
  <c r="AA1741" i="12"/>
  <c r="AA1742" i="12"/>
  <c r="Z1743" i="12"/>
  <c r="AA1743" i="12"/>
  <c r="Z1744" i="12"/>
  <c r="AA1744" i="12"/>
  <c r="Z1745" i="12"/>
  <c r="Z1746" i="12"/>
  <c r="AA1745" i="12"/>
  <c r="AA1746" i="12"/>
  <c r="Z1747" i="12"/>
  <c r="Z1748" i="12"/>
  <c r="AA1747" i="12"/>
  <c r="Z1749" i="12"/>
  <c r="AA1748" i="12"/>
  <c r="Z1750" i="12"/>
  <c r="AA1749" i="12"/>
  <c r="AA1750" i="12"/>
  <c r="Z1751" i="12"/>
  <c r="Z1752" i="12"/>
  <c r="AA1751" i="12"/>
  <c r="Z1753" i="12"/>
  <c r="AA1752" i="12"/>
  <c r="Z1754" i="12"/>
  <c r="AA1753" i="12"/>
  <c r="AA1754" i="12"/>
  <c r="Z1755" i="12"/>
  <c r="AA1755" i="12"/>
  <c r="Z1756" i="12"/>
  <c r="AA1756" i="12"/>
  <c r="Z1757" i="12"/>
  <c r="AA1757" i="12"/>
  <c r="Z1758" i="12"/>
  <c r="AA1758" i="12"/>
  <c r="Z1759" i="12"/>
  <c r="AA1759" i="12"/>
  <c r="Z1760" i="12"/>
  <c r="Z1761" i="12"/>
  <c r="AA1760" i="12"/>
  <c r="Z1762" i="12"/>
  <c r="AA1761" i="12"/>
  <c r="Z1763" i="12"/>
  <c r="AA1762" i="12"/>
  <c r="Z1764" i="12"/>
  <c r="AA1763" i="12"/>
  <c r="AA1764" i="12"/>
  <c r="Z1765" i="12"/>
  <c r="Z1766" i="12"/>
  <c r="AA1765" i="12"/>
  <c r="Z1767" i="12"/>
  <c r="AA1766" i="12"/>
  <c r="AA1767" i="12"/>
  <c r="Z1768" i="12"/>
  <c r="AA1768" i="12"/>
  <c r="Z1769" i="12"/>
  <c r="AA1769" i="12"/>
  <c r="Z1770" i="12"/>
  <c r="Z1771" i="12"/>
  <c r="AA1770" i="12"/>
  <c r="Z1772" i="12"/>
  <c r="AA1771" i="12"/>
  <c r="Z1773" i="12"/>
  <c r="AA1772" i="12"/>
  <c r="AA1773" i="12"/>
  <c r="Z1774" i="12"/>
  <c r="Z1775" i="12"/>
  <c r="AA1774" i="12"/>
  <c r="Z1776" i="12"/>
  <c r="AA1775" i="12"/>
  <c r="Z1777" i="12"/>
  <c r="AA1776" i="12"/>
  <c r="AA1777" i="12"/>
  <c r="Z1778" i="12"/>
  <c r="Z1779" i="12"/>
  <c r="AA1778" i="12"/>
  <c r="AA1779" i="12"/>
  <c r="Z1780" i="12"/>
  <c r="AA1780" i="12"/>
  <c r="Z1781" i="12"/>
  <c r="AA1781" i="12"/>
  <c r="Z1782" i="12"/>
  <c r="AA1782" i="12"/>
  <c r="Z1783" i="12"/>
  <c r="AA1783" i="12"/>
  <c r="Z1784" i="12"/>
  <c r="AA1784" i="12"/>
  <c r="Z1785" i="12"/>
  <c r="AA1785" i="12"/>
  <c r="Z1786" i="12"/>
  <c r="Z1787" i="12"/>
  <c r="AA1786" i="12"/>
  <c r="AA1787" i="12"/>
  <c r="Z1788" i="12"/>
  <c r="Z1789" i="12"/>
  <c r="AA1788" i="12"/>
  <c r="AA1789" i="12"/>
  <c r="Z1790" i="12"/>
  <c r="Z1791" i="12"/>
  <c r="AA1790" i="12"/>
  <c r="AA1791" i="12"/>
  <c r="Z1792" i="12"/>
  <c r="Z1793" i="12"/>
  <c r="AA1792" i="12"/>
  <c r="Z1794" i="12"/>
  <c r="AA1793" i="12"/>
  <c r="AA1794" i="12"/>
  <c r="Z1795" i="12"/>
  <c r="Z1796" i="12"/>
  <c r="AA1795" i="12"/>
  <c r="AA1796" i="12"/>
  <c r="Z1797" i="12"/>
  <c r="Z1798" i="12"/>
  <c r="AA1797" i="12"/>
  <c r="AA1798" i="12"/>
  <c r="Z1799" i="12"/>
  <c r="Z1800" i="12"/>
  <c r="AA1799" i="12"/>
  <c r="Z1801" i="12"/>
  <c r="AA1800" i="12"/>
  <c r="Z1802" i="12"/>
  <c r="AA1801" i="12"/>
  <c r="Z1803" i="12"/>
  <c r="AA1802" i="12"/>
  <c r="Z1804" i="12"/>
  <c r="AA1803" i="12"/>
  <c r="AA1804" i="12"/>
  <c r="Z1805" i="12"/>
  <c r="AA1805" i="12"/>
  <c r="Z1806" i="12"/>
  <c r="Z1807" i="12"/>
  <c r="AA1806" i="12"/>
  <c r="AA1807" i="12"/>
  <c r="Z1808" i="12"/>
  <c r="AA1808" i="12"/>
  <c r="Z1809" i="12"/>
  <c r="AA1809" i="12"/>
  <c r="Z1810" i="12"/>
  <c r="AA1810" i="12"/>
  <c r="Z1811" i="12"/>
  <c r="Z1812" i="12"/>
  <c r="AA1811" i="12"/>
  <c r="Z1813" i="12"/>
  <c r="AA1812" i="12"/>
  <c r="Z1814" i="12"/>
  <c r="AA1813" i="12"/>
  <c r="Z1815" i="12"/>
  <c r="AA1814" i="12"/>
  <c r="AA1815" i="12"/>
  <c r="Z1816" i="12"/>
  <c r="AA1816" i="12"/>
  <c r="Z1817" i="12"/>
  <c r="AA1817" i="12"/>
  <c r="Z1818" i="12"/>
  <c r="AA1818" i="12"/>
  <c r="Z1819" i="12"/>
  <c r="AA1819" i="12"/>
  <c r="Z1820" i="12"/>
  <c r="AA1820" i="12"/>
  <c r="Z1821" i="12"/>
  <c r="AA1821" i="12"/>
  <c r="Z1822" i="12"/>
  <c r="AA1822" i="12"/>
  <c r="Z1823" i="12"/>
  <c r="Z1824" i="12"/>
  <c r="AA1823" i="12"/>
  <c r="AA1824" i="12"/>
  <c r="Z1825" i="12"/>
  <c r="AA1825" i="12"/>
  <c r="Z1826" i="12"/>
  <c r="AA1826" i="12"/>
  <c r="Z1827" i="12"/>
  <c r="AA1827" i="12"/>
  <c r="Z1828" i="12"/>
  <c r="AA1828" i="12"/>
  <c r="Z1829" i="12"/>
  <c r="Z1830" i="12"/>
  <c r="AA1829" i="12"/>
  <c r="Z1831" i="12"/>
  <c r="AA1830" i="12"/>
  <c r="AA1831" i="12"/>
  <c r="Z1832" i="12"/>
  <c r="Z1833" i="12"/>
  <c r="AA1832" i="12"/>
  <c r="Z1834" i="12"/>
  <c r="AA1833" i="12"/>
  <c r="Z1835" i="12"/>
  <c r="AA1834" i="12"/>
  <c r="AA1835" i="12"/>
  <c r="Z1836" i="12"/>
  <c r="AA1836" i="12"/>
  <c r="Z1837" i="12"/>
  <c r="AA1837" i="12"/>
  <c r="Z1838" i="12"/>
  <c r="AA1838" i="12"/>
  <c r="Z1839" i="12"/>
  <c r="AA1839" i="12"/>
  <c r="Z1840" i="12"/>
  <c r="Z1841" i="12"/>
  <c r="AA1840" i="12"/>
  <c r="AA1841" i="12"/>
  <c r="Z1842" i="12"/>
  <c r="Z1843" i="12"/>
  <c r="AA1842" i="12"/>
  <c r="Z1844" i="12"/>
  <c r="AA1843" i="12"/>
  <c r="AA1844" i="12"/>
  <c r="Z1845" i="12"/>
  <c r="Z1846" i="12"/>
  <c r="AA1845" i="12"/>
  <c r="Z1847" i="12"/>
  <c r="AA1846" i="12"/>
  <c r="AA1847" i="12"/>
  <c r="Z1848" i="12"/>
  <c r="AA1848" i="12"/>
  <c r="Z1849" i="12"/>
  <c r="AA1849" i="12"/>
  <c r="Z1850" i="12"/>
  <c r="AA1850" i="12"/>
  <c r="Z1851" i="12"/>
  <c r="Z1852" i="12"/>
  <c r="AA1851" i="12"/>
  <c r="Z1853" i="12"/>
  <c r="AA1852" i="12"/>
  <c r="AA1853" i="12"/>
  <c r="Z1854" i="12"/>
  <c r="AA1854" i="12"/>
  <c r="Z1855" i="12"/>
  <c r="AA1855" i="12"/>
  <c r="Z1856" i="12"/>
  <c r="Z1857" i="12"/>
  <c r="AA1856" i="12"/>
  <c r="AA1857" i="12"/>
  <c r="Z1858" i="12"/>
  <c r="AA1858" i="12"/>
  <c r="Z1859" i="12"/>
  <c r="Z1860" i="12"/>
  <c r="AA1859" i="12"/>
  <c r="AA1860" i="12"/>
  <c r="Z1861" i="12"/>
  <c r="AA1861" i="12"/>
  <c r="Z1862" i="12"/>
  <c r="AA1862" i="12"/>
  <c r="Z1863" i="12"/>
  <c r="AA1863" i="12"/>
  <c r="Z1864" i="12"/>
  <c r="Z1865" i="12"/>
  <c r="AA1864" i="12"/>
  <c r="Z1866" i="12"/>
  <c r="AA1865" i="12"/>
  <c r="Z1867" i="12"/>
  <c r="AA1866" i="12"/>
  <c r="AA1867" i="12"/>
  <c r="Z1868" i="12"/>
  <c r="AA1868" i="12"/>
  <c r="Z1869" i="12"/>
  <c r="Z1870" i="12"/>
  <c r="AA1869" i="12"/>
  <c r="Z1871" i="12"/>
  <c r="AA1870" i="12"/>
  <c r="AA1871" i="12"/>
  <c r="Z1872" i="12"/>
  <c r="Z1873" i="12"/>
  <c r="AA1872" i="12"/>
  <c r="Z1874" i="12"/>
  <c r="AA1873" i="12"/>
  <c r="Z1875" i="12"/>
  <c r="AA1874" i="12"/>
  <c r="AA1875" i="12"/>
  <c r="Z1876" i="12"/>
  <c r="AA1876" i="12"/>
  <c r="Z1877" i="12"/>
  <c r="Z1878" i="12"/>
  <c r="AA1877" i="12"/>
  <c r="AA1878" i="12"/>
  <c r="Z1879" i="12"/>
  <c r="Z1880" i="12"/>
  <c r="AA1879" i="12"/>
  <c r="Z1881" i="12"/>
  <c r="AA1880" i="12"/>
  <c r="AA1881" i="12"/>
  <c r="Z1882" i="12"/>
  <c r="AA1882" i="12"/>
  <c r="Z1883" i="12"/>
  <c r="Z1884" i="12"/>
  <c r="AA1883" i="12"/>
  <c r="Z1885" i="12"/>
  <c r="AA1884" i="12"/>
  <c r="AA1885" i="12"/>
  <c r="Z1886" i="12"/>
  <c r="AA1886" i="12"/>
  <c r="Z1887" i="12"/>
  <c r="AA1887" i="12"/>
  <c r="Z1888" i="12"/>
  <c r="Z1889" i="12"/>
  <c r="AA1888" i="12"/>
  <c r="Z1890" i="12"/>
  <c r="AA1889" i="12"/>
  <c r="AA1890" i="12"/>
  <c r="Z1891" i="12"/>
  <c r="AA1891" i="12"/>
  <c r="Z1892" i="12"/>
  <c r="AA1892" i="12"/>
  <c r="Z1893" i="12"/>
  <c r="AA1893" i="12"/>
  <c r="Z1894" i="12"/>
  <c r="AA1894" i="12"/>
  <c r="Z1895" i="12"/>
  <c r="Z1896" i="12"/>
  <c r="AA1895" i="12"/>
  <c r="Z1897" i="12"/>
  <c r="AA1896" i="12"/>
  <c r="Z1898" i="12"/>
  <c r="AA1897" i="12"/>
  <c r="AA1898" i="12"/>
  <c r="Z1899" i="12"/>
  <c r="AA1899" i="12"/>
  <c r="Z1900" i="12"/>
  <c r="AA1900" i="12"/>
  <c r="Z1901" i="12"/>
  <c r="Z1902" i="12"/>
  <c r="AA1901" i="12"/>
  <c r="AA1902" i="12"/>
  <c r="Z1903" i="12"/>
  <c r="AA1903" i="12"/>
  <c r="Z1904" i="12"/>
  <c r="AA1904" i="12"/>
  <c r="Z1905" i="12"/>
  <c r="Z1906" i="12"/>
  <c r="AA1905" i="12"/>
  <c r="AA1906" i="12"/>
  <c r="Z1907" i="12"/>
  <c r="AA1907" i="12"/>
  <c r="Z1908" i="12"/>
  <c r="AA1908" i="12"/>
  <c r="Z1909" i="12"/>
  <c r="Z1910" i="12"/>
  <c r="AA1909" i="12"/>
  <c r="Z1911" i="12"/>
  <c r="AA1910" i="12"/>
  <c r="AA1911" i="12"/>
  <c r="Z1912" i="12"/>
  <c r="Z1913" i="12"/>
  <c r="AA1912" i="12"/>
  <c r="Z1914" i="12"/>
  <c r="AA1913" i="12"/>
  <c r="AA1914" i="12"/>
  <c r="Z1915" i="12"/>
  <c r="Z1916" i="12"/>
  <c r="AA1915" i="12"/>
  <c r="AA1916" i="12"/>
  <c r="Z1917" i="12"/>
  <c r="Z1918" i="12"/>
  <c r="AA1917" i="12"/>
  <c r="Z1919" i="12"/>
  <c r="AA1918" i="12"/>
  <c r="Z1920" i="12"/>
  <c r="AA1919" i="12"/>
  <c r="Z1921" i="12"/>
  <c r="AA1920" i="12"/>
  <c r="Z1922" i="12"/>
  <c r="AA1921" i="12"/>
  <c r="AA1922" i="12"/>
  <c r="Z1923" i="12"/>
  <c r="AA1923" i="12"/>
  <c r="Z1924" i="12"/>
  <c r="Z1925" i="12"/>
  <c r="AA1924" i="12"/>
  <c r="Z1926" i="12"/>
  <c r="AA1925" i="12"/>
  <c r="Z1927" i="12"/>
  <c r="AA1926" i="12"/>
  <c r="Z1928" i="12"/>
  <c r="AA1927" i="12"/>
  <c r="Z1929" i="12"/>
  <c r="AA1928" i="12"/>
  <c r="Z1930" i="12"/>
  <c r="AA1929" i="12"/>
  <c r="Z1931" i="12"/>
  <c r="AA1930" i="12"/>
  <c r="Z1932" i="12"/>
  <c r="AA1931" i="12"/>
  <c r="Z1933" i="12"/>
  <c r="AA1932" i="12"/>
  <c r="AA1933" i="12"/>
  <c r="Z1934" i="12"/>
  <c r="Z1935" i="12"/>
  <c r="AA1934" i="12"/>
  <c r="AA1935" i="12"/>
  <c r="Z1936" i="12"/>
  <c r="Z1937" i="12"/>
  <c r="AA1936" i="12"/>
  <c r="Z1938" i="12"/>
  <c r="AA1937" i="12"/>
  <c r="AA1938" i="12"/>
  <c r="Z1939" i="12"/>
  <c r="Z1940" i="12"/>
  <c r="AA1939" i="12"/>
  <c r="Z1941" i="12"/>
  <c r="AA1940" i="12"/>
  <c r="AA1941" i="12"/>
  <c r="Z1942" i="12"/>
  <c r="Z1943" i="12"/>
  <c r="AA1942" i="12"/>
  <c r="Z1944" i="12"/>
  <c r="AA1943" i="12"/>
  <c r="Z1945" i="12"/>
  <c r="AA1944" i="12"/>
  <c r="AA1945" i="12"/>
  <c r="Z1946" i="12"/>
  <c r="Z1947" i="12"/>
  <c r="AA1946" i="12"/>
  <c r="Z1948" i="12"/>
  <c r="AA1947" i="12"/>
  <c r="AA1948" i="12"/>
  <c r="Z1949" i="12"/>
  <c r="Z1950" i="12"/>
  <c r="AA1949" i="12"/>
  <c r="AA1950" i="12"/>
  <c r="Z1951" i="12"/>
  <c r="Z1952" i="12"/>
  <c r="AA1951" i="12"/>
  <c r="AA1952" i="12"/>
  <c r="Z1953" i="12"/>
  <c r="Z1954" i="12"/>
  <c r="AA1953" i="12"/>
  <c r="Z1955" i="12"/>
  <c r="AA1954" i="12"/>
  <c r="Z1956" i="12"/>
  <c r="AA1955" i="12"/>
  <c r="AA1956" i="12"/>
  <c r="Z1957" i="12"/>
  <c r="AA1957" i="12"/>
  <c r="Z1958" i="12"/>
  <c r="Z1959" i="12"/>
  <c r="AA1958" i="12"/>
  <c r="AA1959" i="12"/>
  <c r="Z1960" i="12"/>
  <c r="AA1960" i="12"/>
  <c r="Z1961" i="12"/>
  <c r="Z1962" i="12"/>
  <c r="AA1961" i="12"/>
  <c r="Z1963" i="12"/>
  <c r="AA1962" i="12"/>
  <c r="AA1963" i="12"/>
  <c r="Z1964" i="12"/>
  <c r="AA1964" i="12"/>
  <c r="Z1965" i="12"/>
  <c r="AA1965" i="12"/>
  <c r="Z1966" i="12"/>
  <c r="AA1966" i="12"/>
  <c r="Z1967" i="12"/>
  <c r="Z1968" i="12"/>
  <c r="AA1967" i="12"/>
  <c r="Z1969" i="12"/>
  <c r="AA1968" i="12"/>
  <c r="AA1969" i="12"/>
  <c r="Z1970" i="12"/>
  <c r="AA1970" i="12"/>
  <c r="Z1971" i="12"/>
  <c r="Z1972" i="12"/>
  <c r="AA1971" i="12"/>
  <c r="AA1972" i="12"/>
  <c r="Z1973" i="12"/>
  <c r="Z1974" i="12"/>
  <c r="AA1973" i="12"/>
  <c r="Z1975" i="12"/>
  <c r="AA1974" i="12"/>
  <c r="Z1976" i="12"/>
  <c r="AA1975" i="12"/>
  <c r="Z1977" i="12"/>
  <c r="AA1976" i="12"/>
  <c r="AA1977" i="12"/>
  <c r="Z1978" i="12"/>
  <c r="Z1979" i="12"/>
  <c r="AA1978" i="12"/>
  <c r="Z1980" i="12"/>
  <c r="AA1979" i="12"/>
  <c r="AA1980" i="12"/>
  <c r="Z1981" i="12"/>
  <c r="AA1981" i="12"/>
  <c r="Z1982" i="12"/>
  <c r="AA1982" i="12"/>
  <c r="Z1983" i="12"/>
  <c r="Z1984" i="12"/>
  <c r="AA1983" i="12"/>
  <c r="AA1984" i="12"/>
  <c r="Z1985" i="12"/>
  <c r="Z1986" i="12"/>
  <c r="AA1985" i="12"/>
  <c r="AA1986" i="12"/>
  <c r="Z1987" i="12"/>
  <c r="AA1987" i="12"/>
  <c r="Z1988" i="12"/>
  <c r="Z1989" i="12"/>
  <c r="AA1988" i="12"/>
  <c r="Z1990" i="12"/>
  <c r="AA1989" i="12"/>
  <c r="AA1990" i="12"/>
  <c r="Z1991" i="12"/>
  <c r="AA1991" i="12"/>
  <c r="Z1992" i="12"/>
  <c r="Z1993" i="12"/>
  <c r="AA1992" i="12"/>
  <c r="Z1994" i="12"/>
  <c r="AA1993" i="12"/>
  <c r="AA1994" i="12"/>
  <c r="Z1995" i="12"/>
  <c r="Z1996" i="12"/>
  <c r="AA1995" i="12"/>
  <c r="AA1996" i="12"/>
  <c r="Z1997" i="12"/>
  <c r="AA1997" i="12"/>
  <c r="Z1998" i="12"/>
  <c r="AA1998" i="12"/>
  <c r="Z1999" i="12"/>
  <c r="AA1999" i="12"/>
  <c r="Z2000" i="12"/>
  <c r="AA2000" i="12"/>
  <c r="Z2001" i="12"/>
  <c r="Z2002" i="12"/>
  <c r="AA2001" i="12"/>
  <c r="Z2003" i="12"/>
  <c r="AA2002" i="12"/>
  <c r="AA2003" i="12"/>
  <c r="Z2004" i="12"/>
  <c r="Z2005" i="12"/>
  <c r="AA2004" i="12"/>
  <c r="Z2006" i="12"/>
  <c r="AA2005" i="12"/>
  <c r="Z2007" i="12"/>
  <c r="AA2006" i="12"/>
  <c r="AA2007" i="12"/>
  <c r="Z2008" i="12"/>
  <c r="Z2009" i="12"/>
  <c r="AA2008" i="12"/>
  <c r="AA2009" i="12"/>
  <c r="Z2010" i="12"/>
  <c r="Z2011" i="12"/>
  <c r="AA2010" i="12"/>
  <c r="Z2012" i="12"/>
  <c r="AA2011" i="12"/>
  <c r="AA2012" i="12"/>
  <c r="Z2013" i="12"/>
  <c r="Z2014" i="12"/>
  <c r="AA2013" i="12"/>
  <c r="Z2015" i="12"/>
  <c r="AA2014" i="12"/>
  <c r="AA2015" i="12"/>
  <c r="Z2016" i="12"/>
  <c r="AA2016" i="12"/>
  <c r="Z2017" i="12"/>
  <c r="Z2018" i="12"/>
  <c r="AA2017" i="12"/>
  <c r="AA2018" i="12"/>
  <c r="Z2019" i="12"/>
  <c r="Z2020" i="12"/>
  <c r="AA2019" i="12"/>
  <c r="AA2020" i="12"/>
  <c r="Z2021" i="12"/>
  <c r="AA2021" i="12"/>
  <c r="Z2022" i="12"/>
  <c r="Z2023" i="12"/>
  <c r="AA2022" i="12"/>
  <c r="Z2024" i="12"/>
  <c r="AA2023" i="12"/>
  <c r="Z2025" i="12"/>
  <c r="AA2024" i="12"/>
  <c r="AA2025" i="12"/>
  <c r="Z2026" i="12"/>
  <c r="AA2026" i="12"/>
  <c r="Z2027" i="12"/>
  <c r="Z2028" i="12"/>
  <c r="AA2027" i="12"/>
  <c r="Z2029" i="12"/>
  <c r="AA2028" i="12"/>
  <c r="AA2029" i="12"/>
  <c r="Z2030" i="12"/>
  <c r="Z2031" i="12"/>
  <c r="AA2030" i="12"/>
  <c r="AA2031" i="12"/>
  <c r="Z2032" i="12"/>
  <c r="Z2033" i="12"/>
  <c r="AA2032" i="12"/>
  <c r="Z2034" i="12"/>
  <c r="AA2033" i="12"/>
  <c r="Z2035" i="12"/>
  <c r="AA2034" i="12"/>
  <c r="Z2036" i="12"/>
  <c r="AA2035" i="12"/>
  <c r="AA2036" i="12"/>
  <c r="Z2037" i="12"/>
  <c r="AA2037" i="12"/>
  <c r="Z2038" i="12"/>
  <c r="Z2039" i="12"/>
  <c r="AA2038" i="12"/>
  <c r="AA2039" i="12"/>
  <c r="Z2040" i="12"/>
  <c r="Z2041" i="12"/>
  <c r="AA2040" i="12"/>
  <c r="Z2042" i="12"/>
  <c r="AA2041" i="12"/>
  <c r="AA2042" i="12"/>
  <c r="Z2043" i="12"/>
  <c r="Z2044" i="12"/>
  <c r="AA2043" i="12"/>
  <c r="AA2044" i="12"/>
  <c r="Z2045" i="12"/>
  <c r="Z2046" i="12"/>
  <c r="AA2045" i="12"/>
  <c r="AA2046" i="12"/>
  <c r="Z2047" i="12"/>
  <c r="AA2047" i="12"/>
  <c r="Z2048" i="12"/>
  <c r="Z2049" i="12"/>
  <c r="AA2048" i="12"/>
  <c r="AA2049" i="12"/>
  <c r="Z2050" i="12"/>
  <c r="AA2050" i="12"/>
  <c r="Z2051" i="12"/>
  <c r="Z2052" i="12"/>
  <c r="AA2051" i="12"/>
  <c r="Z2053" i="12"/>
  <c r="AA2052" i="12"/>
  <c r="Z2054" i="12"/>
  <c r="AA2053" i="12"/>
  <c r="Z2055" i="12"/>
  <c r="AA2054" i="12"/>
  <c r="Z2056" i="12"/>
  <c r="AA2055" i="12"/>
  <c r="Z2057" i="12"/>
  <c r="AA2056" i="12"/>
  <c r="AA2057" i="12"/>
  <c r="Z2058" i="12"/>
  <c r="Z2059" i="12"/>
  <c r="AA2058" i="12"/>
  <c r="Z2060" i="12"/>
  <c r="AA2059" i="12"/>
  <c r="AA2060" i="12"/>
  <c r="Z2061" i="12"/>
  <c r="Z2062" i="12"/>
  <c r="AA2061" i="12"/>
  <c r="Z2063" i="12"/>
  <c r="AA2062" i="12"/>
  <c r="Z2064" i="12"/>
  <c r="AA2063" i="12"/>
  <c r="Z2065" i="12"/>
  <c r="AA2064" i="12"/>
  <c r="Z2066" i="12"/>
  <c r="AA2065" i="12"/>
  <c r="Z2067" i="12"/>
  <c r="AA2066" i="12"/>
  <c r="AA2067" i="12"/>
  <c r="Z2068" i="12"/>
  <c r="AA2068" i="12"/>
  <c r="Z2069" i="12"/>
  <c r="AA2069" i="12"/>
  <c r="Z2070" i="12"/>
  <c r="AA2070" i="12"/>
  <c r="Z2071" i="12"/>
  <c r="AA2071" i="12"/>
  <c r="Z2072" i="12"/>
  <c r="Z2073" i="12"/>
  <c r="AA2072" i="12"/>
  <c r="Z2074" i="12"/>
  <c r="AA2073" i="12"/>
  <c r="Z2075" i="12"/>
  <c r="AA2074" i="12"/>
  <c r="Z2076" i="12"/>
  <c r="AA2075" i="12"/>
  <c r="AA2076" i="12"/>
  <c r="Z2077" i="12"/>
  <c r="AA2077" i="12"/>
  <c r="Z2078" i="12"/>
  <c r="AA2078" i="12"/>
  <c r="Z2079" i="12"/>
  <c r="Z2080" i="12"/>
  <c r="AA2079" i="12"/>
  <c r="Z2081" i="12"/>
  <c r="AA2080" i="12"/>
  <c r="Z2082" i="12"/>
  <c r="AA2081" i="12"/>
  <c r="Z2083" i="12"/>
  <c r="AA2082" i="12"/>
  <c r="Z2084" i="12"/>
  <c r="AA2083" i="12"/>
  <c r="Z2085" i="12"/>
  <c r="AA2084" i="12"/>
  <c r="Z2086" i="12"/>
  <c r="AA2085" i="12"/>
  <c r="Z2087" i="12"/>
  <c r="AA2086" i="12"/>
  <c r="AA2087" i="12"/>
  <c r="Z2088" i="12"/>
  <c r="AA2088" i="12"/>
  <c r="Z2089" i="12"/>
  <c r="Z2090" i="12"/>
  <c r="AA2089" i="12"/>
  <c r="Z2091" i="12"/>
  <c r="AA2090" i="12"/>
  <c r="Z2092" i="12"/>
  <c r="AA2091" i="12"/>
  <c r="Z2093" i="12"/>
  <c r="AA2092" i="12"/>
  <c r="Z2094" i="12"/>
  <c r="AA2093" i="12"/>
  <c r="Z2095" i="12"/>
  <c r="AA2094" i="12"/>
  <c r="AA2095" i="12"/>
  <c r="Z2096" i="12"/>
  <c r="AA2096" i="12"/>
  <c r="Z2097" i="12"/>
  <c r="AA2097" i="12"/>
  <c r="Z2098" i="12"/>
  <c r="Z2099" i="12"/>
  <c r="AA2098" i="12"/>
  <c r="Z2100" i="12"/>
  <c r="AA2099" i="12"/>
  <c r="AA2100" i="12"/>
  <c r="Z2101" i="12"/>
  <c r="Z2102" i="12"/>
  <c r="AA2101" i="12"/>
  <c r="Z2103" i="12"/>
  <c r="AA2102" i="12"/>
  <c r="AA2103" i="12"/>
  <c r="Z2104" i="12"/>
  <c r="AA2104" i="12"/>
  <c r="Z2105" i="12"/>
  <c r="AA2105" i="12"/>
  <c r="Z2106" i="12"/>
  <c r="AA2106" i="12"/>
  <c r="Z2107" i="12"/>
  <c r="AA2107" i="12"/>
  <c r="Z2108" i="12"/>
  <c r="AA2108" i="12"/>
  <c r="Z2109" i="12"/>
  <c r="Z2110" i="12"/>
  <c r="AA2109" i="12"/>
  <c r="AA2110" i="12"/>
  <c r="Z2111" i="12"/>
  <c r="Z2112" i="12"/>
  <c r="AA2111" i="12"/>
  <c r="AA2112" i="12"/>
  <c r="Z2113" i="12"/>
  <c r="AA2113" i="12"/>
  <c r="Z2114" i="12"/>
  <c r="Z2115" i="12"/>
  <c r="AA2114" i="12"/>
  <c r="Z2116" i="12"/>
  <c r="AA2115" i="12"/>
  <c r="AA2116" i="12"/>
  <c r="Z2117" i="12"/>
  <c r="Z2118" i="12"/>
  <c r="AA2117" i="12"/>
  <c r="AA2118" i="12"/>
  <c r="Z2119" i="12"/>
  <c r="AA2119" i="12"/>
  <c r="Z2120" i="12"/>
  <c r="Z2121" i="12"/>
  <c r="AA2120" i="12"/>
  <c r="Z2122" i="12"/>
  <c r="AA2121" i="12"/>
  <c r="AA2122" i="12"/>
  <c r="Z2123" i="12"/>
  <c r="Z2124" i="12"/>
  <c r="AA2123" i="12"/>
  <c r="AA2124" i="12"/>
  <c r="Z2125" i="12"/>
  <c r="Z2126" i="12"/>
  <c r="AA2125" i="12"/>
  <c r="Z2127" i="12"/>
  <c r="AA2126" i="12"/>
  <c r="AA2127" i="12"/>
  <c r="Z2128" i="12"/>
  <c r="Z2129" i="12"/>
  <c r="AA2128" i="12"/>
  <c r="Z2130" i="12"/>
  <c r="AA2129" i="12"/>
  <c r="AA2130" i="12"/>
  <c r="Z2131" i="12"/>
  <c r="Z2132" i="12"/>
  <c r="AA2131" i="12"/>
  <c r="Z2133" i="12"/>
  <c r="AA2132" i="12"/>
  <c r="Z2134" i="12"/>
  <c r="AA2133" i="12"/>
  <c r="AA2134" i="12"/>
  <c r="Z2135" i="12"/>
  <c r="Z2136" i="12"/>
  <c r="AA2135" i="12"/>
  <c r="Z2137" i="12"/>
  <c r="AA2136" i="12"/>
  <c r="Z2138" i="12"/>
  <c r="AA2137" i="12"/>
  <c r="Z2139" i="12"/>
  <c r="AA2138" i="12"/>
  <c r="AA2139" i="12"/>
  <c r="Z2140" i="12"/>
  <c r="AA2140" i="12"/>
  <c r="Z2141" i="12"/>
  <c r="Z2142" i="12"/>
  <c r="AA2141" i="12"/>
  <c r="AA2142" i="12"/>
  <c r="Z2143" i="12"/>
  <c r="Z2144" i="12"/>
  <c r="AA2143" i="12"/>
  <c r="AA2144" i="12"/>
  <c r="Z2145" i="12"/>
  <c r="Z2146" i="12"/>
  <c r="AA2145" i="12"/>
  <c r="AA2146" i="12"/>
  <c r="Z2147" i="12"/>
  <c r="Z2148" i="12"/>
  <c r="AA2147" i="12"/>
  <c r="Z2149" i="12"/>
  <c r="AA2148" i="12"/>
  <c r="Z2150" i="12"/>
  <c r="AA2149" i="12"/>
  <c r="AA2150" i="12"/>
  <c r="Z2151" i="12"/>
  <c r="Z2152" i="12"/>
  <c r="AA2151" i="12"/>
  <c r="AA2152" i="12"/>
  <c r="Z2153" i="12"/>
  <c r="Z2154" i="12"/>
  <c r="AA2153" i="12"/>
  <c r="Z2155" i="12"/>
  <c r="AA2154" i="12"/>
  <c r="Z2156" i="12"/>
  <c r="AA2155" i="12"/>
  <c r="AA2156" i="12"/>
  <c r="Z2157" i="12"/>
  <c r="AA2157" i="12"/>
  <c r="Z2158" i="12"/>
  <c r="AA2158" i="12"/>
  <c r="Z2159" i="12"/>
  <c r="Z2160" i="12"/>
  <c r="AA2159" i="12"/>
  <c r="Z2161" i="12"/>
  <c r="AA2160" i="12"/>
  <c r="Z2162" i="12"/>
  <c r="AA2161" i="12"/>
  <c r="Z2163" i="12"/>
  <c r="AA2162" i="12"/>
  <c r="Z2164" i="12"/>
  <c r="AA2163" i="12"/>
  <c r="Z2165" i="12"/>
  <c r="AA2164" i="12"/>
  <c r="AA2165" i="12"/>
  <c r="Z2166" i="12"/>
  <c r="Z2167" i="12"/>
  <c r="AA2166" i="12"/>
  <c r="AA2167" i="12"/>
  <c r="Z2168" i="12"/>
  <c r="AA2168" i="12"/>
  <c r="Z2169" i="12"/>
  <c r="AA2169" i="12"/>
  <c r="Z2170" i="12"/>
  <c r="Z2171" i="12"/>
  <c r="AA2170" i="12"/>
  <c r="Z2172" i="12"/>
  <c r="AA2171" i="12"/>
  <c r="Z2173" i="12"/>
  <c r="AA2172" i="12"/>
  <c r="AA2173" i="12"/>
  <c r="Z2174" i="12"/>
  <c r="Z2175" i="12"/>
  <c r="AA2174" i="12"/>
  <c r="AA2175" i="12"/>
  <c r="Z2176" i="12"/>
  <c r="Z2177" i="12"/>
  <c r="AA2176" i="12"/>
  <c r="AA2177" i="12"/>
  <c r="Z2178" i="12"/>
  <c r="Z2179" i="12"/>
  <c r="AA2178" i="12"/>
  <c r="AA2179" i="12"/>
  <c r="Z2180" i="12"/>
  <c r="Z2181" i="12"/>
  <c r="AA2180" i="12"/>
  <c r="AA2181" i="12"/>
  <c r="Z2182" i="12"/>
  <c r="Z2183" i="12"/>
  <c r="AA2182" i="12"/>
  <c r="Z2184" i="12"/>
  <c r="AA2183" i="12"/>
  <c r="Z2185" i="12"/>
  <c r="AA2184" i="12"/>
  <c r="Z2186" i="12"/>
  <c r="AA2185" i="12"/>
  <c r="Z2187" i="12"/>
  <c r="AA2186" i="12"/>
  <c r="Z2188" i="12"/>
  <c r="AA2187" i="12"/>
  <c r="AA2188" i="12"/>
  <c r="Z2189" i="12"/>
  <c r="AA2189" i="12"/>
  <c r="Z2190" i="12"/>
  <c r="Z2191" i="12"/>
  <c r="AA2190" i="12"/>
  <c r="AA2191" i="12"/>
  <c r="Z2192" i="12"/>
  <c r="Z2193" i="12"/>
  <c r="AA2192" i="12"/>
  <c r="Z2194" i="12"/>
  <c r="AA2193" i="12"/>
  <c r="Z2195" i="12"/>
  <c r="AA2194" i="12"/>
  <c r="Z2196" i="12"/>
  <c r="AA2195" i="12"/>
  <c r="AA2196" i="12"/>
  <c r="Z2197" i="12"/>
  <c r="Z2198" i="12"/>
  <c r="AA2197" i="12"/>
  <c r="AA2198" i="12"/>
  <c r="Z2199" i="12"/>
  <c r="Z2200" i="12"/>
  <c r="AA2199" i="12"/>
  <c r="Z2201" i="12"/>
  <c r="AA2200" i="12"/>
  <c r="Z2202" i="12"/>
  <c r="AA2201" i="12"/>
  <c r="AA2202" i="12"/>
  <c r="Z2203" i="12"/>
  <c r="Z2204" i="12"/>
  <c r="AA2203" i="12"/>
  <c r="AA2204" i="12"/>
  <c r="Z2205" i="12"/>
  <c r="AA2205" i="12"/>
  <c r="Z2206" i="12"/>
  <c r="Z2207" i="12"/>
  <c r="AA2206" i="12"/>
  <c r="Z2208" i="12"/>
  <c r="AA2207" i="12"/>
  <c r="Z2209" i="12"/>
  <c r="AA2208" i="12"/>
  <c r="AA2209" i="12"/>
  <c r="Z2210" i="12"/>
  <c r="Z2211" i="12"/>
  <c r="AA2210" i="12"/>
  <c r="Z2212" i="12"/>
  <c r="AA2211" i="12"/>
  <c r="AA2212" i="12"/>
  <c r="Z2213" i="12"/>
  <c r="AA2213" i="12"/>
  <c r="Z2214" i="12"/>
  <c r="Z2215" i="12"/>
  <c r="AA2214" i="12"/>
  <c r="AA2215" i="12"/>
  <c r="Z2216" i="12"/>
  <c r="AA2216" i="12"/>
  <c r="Z2217" i="12"/>
  <c r="AA2217" i="12"/>
  <c r="Z2218" i="12"/>
  <c r="Z2219" i="12"/>
  <c r="AA2218" i="12"/>
  <c r="AA2219" i="12"/>
  <c r="Z2220" i="12"/>
  <c r="AA2220" i="12"/>
  <c r="Z2221" i="12"/>
  <c r="AA2221" i="12"/>
  <c r="Z2222" i="12"/>
  <c r="AA2222" i="12"/>
  <c r="Z2223" i="12"/>
  <c r="AA2223" i="12"/>
  <c r="Z2224" i="12"/>
  <c r="Z2225" i="12"/>
  <c r="AA2224" i="12"/>
  <c r="Z2226" i="12"/>
  <c r="AA2225" i="12"/>
  <c r="Z2227" i="12"/>
  <c r="AA2226" i="12"/>
  <c r="AA2227" i="12"/>
  <c r="Z2228" i="12"/>
  <c r="AA2228" i="12"/>
  <c r="Z2229" i="12"/>
  <c r="Z2230" i="12"/>
  <c r="AA2229" i="12"/>
  <c r="Z2231" i="12"/>
  <c r="AA2230" i="12"/>
  <c r="AA2231" i="12"/>
  <c r="Z2232" i="12"/>
  <c r="Z2233" i="12"/>
  <c r="AA2232" i="12"/>
  <c r="AA2233" i="12"/>
  <c r="Z2234" i="12"/>
  <c r="Z2235" i="12"/>
  <c r="AA2234" i="12"/>
  <c r="Z2236" i="12"/>
  <c r="AA2235" i="12"/>
  <c r="AA2236" i="12"/>
  <c r="Z2237" i="12"/>
  <c r="Z2238" i="12"/>
  <c r="AA2237" i="12"/>
  <c r="Z2239" i="12"/>
  <c r="AA2238" i="12"/>
  <c r="AA2239" i="12"/>
  <c r="Z2240" i="12"/>
  <c r="Z2241" i="12"/>
  <c r="AA2240" i="12"/>
  <c r="Z2242" i="12"/>
  <c r="AA2241" i="12"/>
  <c r="Z2243" i="12"/>
  <c r="AA2242" i="12"/>
  <c r="Z2244" i="12"/>
  <c r="AA2243" i="12"/>
  <c r="Z2245" i="12"/>
  <c r="AA2244" i="12"/>
  <c r="AA2245" i="12"/>
  <c r="Z2246" i="12"/>
  <c r="AA2246" i="12"/>
  <c r="Z2247" i="12"/>
  <c r="Z2248" i="12"/>
  <c r="AA2247" i="12"/>
  <c r="Z2249" i="12"/>
  <c r="AA2248" i="12"/>
  <c r="AA2249" i="12"/>
  <c r="Z2250" i="12"/>
  <c r="AA2250" i="12"/>
  <c r="Z2251" i="12"/>
  <c r="Z2252" i="12"/>
  <c r="AA2251" i="12"/>
  <c r="Z2253" i="12"/>
  <c r="AA2252" i="12"/>
  <c r="AA2253" i="12"/>
  <c r="Z2254" i="12"/>
  <c r="Z2255" i="12"/>
  <c r="AA2254" i="12"/>
  <c r="Z2256" i="12"/>
  <c r="AA2255" i="12"/>
  <c r="AA2256" i="12"/>
  <c r="Z2257" i="12"/>
  <c r="Z2258" i="12"/>
  <c r="AA2257" i="12"/>
  <c r="AA2258" i="12"/>
  <c r="Z2259" i="12"/>
  <c r="Z2260" i="12"/>
  <c r="AA2259" i="12"/>
  <c r="AA2260" i="12"/>
  <c r="Z2261" i="12"/>
  <c r="Z2262" i="12"/>
  <c r="AA2261" i="12"/>
  <c r="Z2263" i="12"/>
  <c r="AA2262" i="12"/>
  <c r="Z2264" i="12"/>
  <c r="AA2263" i="12"/>
  <c r="Z2265" i="12"/>
  <c r="AA2264" i="12"/>
  <c r="Z2266" i="12"/>
  <c r="AA2265" i="12"/>
  <c r="AA2266" i="12"/>
  <c r="Z2267" i="12"/>
  <c r="Z2268" i="12"/>
  <c r="AA2267" i="12"/>
  <c r="Z2269" i="12"/>
  <c r="AA2268" i="12"/>
  <c r="Z2270" i="12"/>
  <c r="AA2269" i="12"/>
  <c r="AA2270" i="12"/>
  <c r="Z2271" i="12"/>
  <c r="Z2272" i="12"/>
  <c r="AA2271" i="12"/>
  <c r="AA2272" i="12"/>
  <c r="Z2273" i="12"/>
  <c r="AA2273" i="12"/>
  <c r="Z2274" i="12"/>
  <c r="Z2275" i="12"/>
  <c r="AA2274" i="12"/>
  <c r="Z2276" i="12"/>
  <c r="AA2275" i="12"/>
  <c r="AA2276" i="12"/>
  <c r="Z2277" i="12"/>
  <c r="Z2278" i="12"/>
  <c r="AA2277" i="12"/>
  <c r="Z2279" i="12"/>
  <c r="AA2278" i="12"/>
  <c r="Z2280" i="12"/>
  <c r="AA2279" i="12"/>
  <c r="Z2281" i="12"/>
  <c r="AA2280" i="12"/>
  <c r="AA2281" i="12"/>
  <c r="Z2282" i="12"/>
  <c r="Z2283" i="12"/>
  <c r="AA2282" i="12"/>
  <c r="AA2283" i="12"/>
  <c r="Z2284" i="12"/>
  <c r="Z2285" i="12"/>
  <c r="AA2284" i="12"/>
  <c r="Z2286" i="12"/>
  <c r="AA2285" i="12"/>
  <c r="AA2286" i="12"/>
  <c r="Z2287" i="12"/>
  <c r="Z2288" i="12"/>
  <c r="AA2287" i="12"/>
  <c r="Z2289" i="12"/>
  <c r="AA2288" i="12"/>
  <c r="AA2289" i="12"/>
  <c r="Z2290" i="12"/>
  <c r="Z2291" i="12"/>
  <c r="AA2290" i="12"/>
  <c r="Z2292" i="12"/>
  <c r="AA2291" i="12"/>
  <c r="AA2292" i="12"/>
  <c r="Z2293" i="12"/>
  <c r="AA2293" i="12"/>
  <c r="Z2294" i="12"/>
  <c r="Z2295" i="12"/>
  <c r="AA2294" i="12"/>
  <c r="AA2295" i="12"/>
  <c r="Z2296" i="12"/>
  <c r="Z2297" i="12"/>
  <c r="AA2296" i="12"/>
  <c r="AA2297" i="12"/>
  <c r="Z2298" i="12"/>
  <c r="AA2298" i="12"/>
  <c r="Z2299" i="12"/>
  <c r="AA2299" i="12"/>
  <c r="Z2300" i="12"/>
  <c r="AA2300" i="12"/>
  <c r="Z2301" i="12"/>
  <c r="AA2301" i="12"/>
  <c r="Z2302" i="12"/>
  <c r="AA2302" i="12"/>
  <c r="Z2303" i="12"/>
  <c r="AA2303" i="12"/>
  <c r="Z2304" i="12"/>
  <c r="Z2305" i="12"/>
  <c r="AA2304" i="12"/>
  <c r="Z2306" i="12"/>
  <c r="AA2305" i="12"/>
  <c r="Z2307" i="12"/>
  <c r="AA2306" i="12"/>
  <c r="Z2308" i="12"/>
  <c r="AA2307" i="12"/>
  <c r="AA2308" i="12"/>
  <c r="Z2309" i="12"/>
  <c r="Z2310" i="12"/>
  <c r="AA2309" i="12"/>
  <c r="AA2310" i="12"/>
  <c r="Z2311" i="12"/>
  <c r="AA2311" i="12"/>
  <c r="Z2312" i="12"/>
  <c r="Z2313" i="12"/>
  <c r="AA2312" i="12"/>
  <c r="AA2313" i="12"/>
  <c r="Z2314" i="12"/>
  <c r="AA2314" i="12"/>
  <c r="Z2315" i="12"/>
  <c r="Z2316" i="12"/>
  <c r="AA2315" i="12"/>
  <c r="AA2316" i="12"/>
  <c r="Z2317" i="12"/>
  <c r="AA2317" i="12"/>
  <c r="Z2318" i="12"/>
  <c r="AA2318" i="12"/>
  <c r="Z2319" i="12"/>
  <c r="AA2319" i="12"/>
  <c r="Z2320" i="12"/>
  <c r="AA2320" i="12"/>
  <c r="Z2321" i="12"/>
  <c r="AA2321" i="12"/>
  <c r="Z2322" i="12"/>
  <c r="Z2323" i="12"/>
  <c r="AA2322" i="12"/>
  <c r="AA2323" i="12"/>
  <c r="Z2324" i="12"/>
  <c r="AA2324" i="12"/>
  <c r="Z2325" i="12"/>
  <c r="Z2326" i="12"/>
  <c r="AA2325" i="12"/>
  <c r="AA2326" i="12"/>
  <c r="Z2327" i="12"/>
  <c r="AA2327" i="12"/>
  <c r="Z2328" i="12"/>
  <c r="Z2329" i="12"/>
  <c r="AA2328" i="12"/>
  <c r="Z2330" i="12"/>
  <c r="AA2329" i="12"/>
  <c r="AA2330" i="12"/>
  <c r="Z2331" i="12"/>
  <c r="AA2331" i="12"/>
  <c r="Z2332" i="12"/>
  <c r="AA2332" i="12"/>
  <c r="Z2333" i="12"/>
  <c r="AA2333" i="12"/>
  <c r="Z2334" i="12"/>
  <c r="Z2335" i="12"/>
  <c r="AA2334" i="12"/>
  <c r="AA2335" i="12"/>
  <c r="Z2336" i="12"/>
  <c r="Z2337" i="12"/>
  <c r="AA2336" i="12"/>
  <c r="Z2338" i="12"/>
  <c r="AA2337" i="12"/>
  <c r="Z2339" i="12"/>
  <c r="AA2338" i="12"/>
  <c r="Z2340" i="12"/>
  <c r="AA2339" i="12"/>
  <c r="AA2340" i="12"/>
  <c r="Z2341" i="12"/>
  <c r="AA2341" i="12"/>
  <c r="Z2342" i="12"/>
  <c r="Z2343" i="12"/>
  <c r="AA2342" i="12"/>
  <c r="AA2343" i="12"/>
  <c r="Z2344" i="12"/>
  <c r="AA2344" i="12"/>
  <c r="Z2345" i="12"/>
  <c r="Z2346" i="12"/>
  <c r="AA2345" i="12"/>
  <c r="AA2346" i="12"/>
  <c r="Z2347" i="12"/>
  <c r="AA2347" i="12"/>
  <c r="Z2348" i="12"/>
  <c r="AA2348" i="12"/>
  <c r="Z2349" i="12"/>
  <c r="AA2349" i="12"/>
  <c r="Z2350" i="12"/>
  <c r="AA2350" i="12"/>
  <c r="Z2351" i="12"/>
  <c r="AA2351" i="12"/>
  <c r="Z2352" i="12"/>
  <c r="Z2353" i="12"/>
  <c r="AA2352" i="12"/>
  <c r="AA2353" i="12"/>
  <c r="Z2354" i="12"/>
  <c r="Z2355" i="12"/>
  <c r="AA2354" i="12"/>
  <c r="Z2356" i="12"/>
  <c r="AA2355" i="12"/>
  <c r="Z2357" i="12"/>
  <c r="AA2356" i="12"/>
  <c r="Z2358" i="12"/>
  <c r="AA2357" i="12"/>
  <c r="AA2358" i="12"/>
  <c r="Z2359" i="12"/>
  <c r="Z2360" i="12"/>
  <c r="AA2359" i="12"/>
  <c r="Z2361" i="12"/>
  <c r="AA2360" i="12"/>
  <c r="Z2362" i="12"/>
  <c r="AA2361" i="12"/>
  <c r="Z2363" i="12"/>
  <c r="AA2362" i="12"/>
  <c r="AA2363" i="12"/>
  <c r="Z2364" i="12"/>
  <c r="AA2364" i="12"/>
  <c r="Z2365" i="12"/>
  <c r="AA2365" i="12"/>
  <c r="Z2366" i="12"/>
  <c r="Z2367" i="12"/>
  <c r="AA2366" i="12"/>
  <c r="AA2367" i="12"/>
  <c r="Z2368" i="12"/>
  <c r="AA2368" i="12"/>
  <c r="Z2369" i="12"/>
  <c r="AA2369" i="12"/>
  <c r="Z2370" i="12"/>
  <c r="Z2371" i="12"/>
  <c r="AA2370" i="12"/>
  <c r="AA2371" i="12"/>
  <c r="Z2372" i="12"/>
  <c r="Z2373" i="12"/>
  <c r="AA2372" i="12"/>
  <c r="AA2373" i="12"/>
  <c r="Z2374" i="12"/>
  <c r="AA2374" i="12"/>
  <c r="Z2375" i="12"/>
  <c r="Z2376" i="12"/>
  <c r="AA2375" i="12"/>
  <c r="Z2377" i="12"/>
  <c r="AA2376" i="12"/>
  <c r="Z2378" i="12"/>
  <c r="AA2377" i="12"/>
  <c r="Z2379" i="12"/>
  <c r="AA2378" i="12"/>
  <c r="AA2379" i="12"/>
  <c r="Z2380" i="12"/>
  <c r="AA2380" i="12"/>
  <c r="Z2381" i="12"/>
  <c r="Z2382" i="12"/>
  <c r="AA2381" i="12"/>
  <c r="Z2383" i="12"/>
  <c r="AA2382" i="12"/>
  <c r="Z2384" i="12"/>
  <c r="AA2383" i="12"/>
  <c r="Z2385" i="12"/>
  <c r="AA2384" i="12"/>
  <c r="AA2385" i="12"/>
  <c r="Z2386" i="12"/>
  <c r="Z2387" i="12"/>
  <c r="AA2386" i="12"/>
  <c r="Z2388" i="12"/>
  <c r="AA2387" i="12"/>
  <c r="Z2389" i="12"/>
  <c r="AA2388" i="12"/>
  <c r="Z2390" i="12"/>
  <c r="AA2389" i="12"/>
  <c r="Z2391" i="12"/>
  <c r="AA2390" i="12"/>
  <c r="Z2392" i="12"/>
  <c r="AA2391" i="12"/>
  <c r="AA2392" i="12"/>
  <c r="Z2393" i="12"/>
  <c r="AA2393" i="12"/>
  <c r="Z2394" i="12"/>
  <c r="Z2395" i="12"/>
  <c r="AA2394" i="12"/>
  <c r="Z2396" i="12"/>
  <c r="AA2395" i="12"/>
  <c r="Z2397" i="12"/>
  <c r="AA2396" i="12"/>
  <c r="AA2397" i="12"/>
  <c r="Z2398" i="12"/>
  <c r="AA2398" i="12"/>
  <c r="Z2399" i="12"/>
  <c r="AA2399" i="12"/>
  <c r="Z2400" i="12"/>
  <c r="Z2401" i="12"/>
  <c r="AA2400" i="12"/>
  <c r="Z2402" i="12"/>
  <c r="AA2401" i="12"/>
  <c r="Z2403" i="12"/>
  <c r="AA2402" i="12"/>
  <c r="AA2403" i="12"/>
  <c r="Z2404" i="12"/>
  <c r="AA2404" i="12"/>
  <c r="Z2405" i="12"/>
  <c r="Z2406" i="12"/>
  <c r="AA2405" i="12"/>
  <c r="AA2406" i="12"/>
  <c r="Z2407" i="12"/>
  <c r="AA2407" i="12"/>
  <c r="Z2408" i="12"/>
  <c r="Z2409" i="12"/>
  <c r="AA2408" i="12"/>
  <c r="AA2409" i="12"/>
  <c r="Z2410" i="12"/>
  <c r="Z2411" i="12"/>
  <c r="AA2410" i="12"/>
  <c r="Z2412" i="12"/>
  <c r="AA2411" i="12"/>
  <c r="AA2412" i="12"/>
  <c r="Z2413" i="12"/>
  <c r="Z2414" i="12"/>
  <c r="AA2413" i="12"/>
  <c r="Z2415" i="12"/>
  <c r="AA2414" i="12"/>
  <c r="AA2415" i="12"/>
  <c r="Z2416" i="12"/>
  <c r="Z2417" i="12"/>
  <c r="AA2416" i="12"/>
  <c r="AA2417" i="12"/>
  <c r="Z2418" i="12"/>
  <c r="AA2418" i="12"/>
  <c r="Z2419" i="12"/>
  <c r="Z2420" i="12"/>
  <c r="AA2419" i="12"/>
  <c r="AA2420" i="12"/>
  <c r="Z2421" i="12"/>
  <c r="Z2422" i="12"/>
  <c r="AA2421" i="12"/>
  <c r="Z2423" i="12"/>
  <c r="AA2422" i="12"/>
  <c r="Z2424" i="12"/>
  <c r="AA2423" i="12"/>
  <c r="AA2424" i="12"/>
  <c r="Z2425" i="12"/>
  <c r="Z2426" i="12"/>
  <c r="AA2425" i="12"/>
  <c r="AA2426" i="12"/>
  <c r="Z2427" i="12"/>
  <c r="Z2428" i="12"/>
  <c r="AA2427" i="12"/>
  <c r="Z2429" i="12"/>
  <c r="AA2428" i="12"/>
  <c r="AA2429" i="12"/>
  <c r="Z2430" i="12"/>
  <c r="AA2430" i="12"/>
  <c r="Z2431" i="12"/>
  <c r="Z2432" i="12"/>
  <c r="AA2431" i="12"/>
  <c r="Z2433" i="12"/>
  <c r="AA2432" i="12"/>
  <c r="Z2434" i="12"/>
  <c r="AA2433" i="12"/>
  <c r="Z2435" i="12"/>
  <c r="AA2434" i="12"/>
  <c r="Z2436" i="12"/>
  <c r="AA2435" i="12"/>
  <c r="Z2437" i="12"/>
  <c r="AA2436" i="12"/>
  <c r="AA2437" i="12"/>
  <c r="Z2438" i="12"/>
  <c r="Z2439" i="12"/>
  <c r="AA2438" i="12"/>
  <c r="Z2440" i="12"/>
  <c r="AA2439" i="12"/>
  <c r="Z2441" i="12"/>
  <c r="AA2440" i="12"/>
  <c r="Z2442" i="12"/>
  <c r="AA2441" i="12"/>
  <c r="AA2442" i="12"/>
  <c r="Z2443" i="12"/>
  <c r="AA2443" i="12"/>
  <c r="Z2444" i="12"/>
  <c r="Z2445" i="12"/>
  <c r="AA2444" i="12"/>
  <c r="AA2445" i="12"/>
  <c r="Z2446" i="12"/>
  <c r="Z2447" i="12"/>
  <c r="AA2446" i="12"/>
  <c r="Z2448" i="12"/>
  <c r="AA2447" i="12"/>
  <c r="Z2449" i="12"/>
  <c r="AA2448" i="12"/>
  <c r="Z2450" i="12"/>
  <c r="AA2449" i="12"/>
  <c r="AA2450" i="12"/>
  <c r="Z2451" i="12"/>
  <c r="AA2451" i="12"/>
  <c r="Z2452" i="12"/>
  <c r="Z2453" i="12"/>
  <c r="AA2452" i="12"/>
  <c r="AA2453" i="12"/>
  <c r="Z2454" i="12"/>
  <c r="Z2455" i="12"/>
  <c r="AA2454" i="12"/>
  <c r="Z2456" i="12"/>
  <c r="AA2455" i="12"/>
  <c r="AA2456" i="12"/>
  <c r="Z2457" i="12"/>
  <c r="AA2457" i="12"/>
  <c r="Z2458" i="12"/>
  <c r="AA2458" i="12"/>
  <c r="Z2459" i="12"/>
  <c r="AA2459" i="12"/>
  <c r="Z2460" i="12"/>
  <c r="AA2460" i="12"/>
  <c r="Z2461" i="12"/>
  <c r="Z2462" i="12"/>
  <c r="AA2461" i="12"/>
  <c r="AA2462" i="12"/>
  <c r="Z2463" i="12"/>
  <c r="Z2464" i="12"/>
  <c r="AA2463" i="12"/>
  <c r="AA2464" i="12"/>
  <c r="Z2465" i="12"/>
  <c r="Z2466" i="12"/>
  <c r="AA2465" i="12"/>
  <c r="Z2467" i="12"/>
  <c r="AA2466" i="12"/>
  <c r="Z2468" i="12"/>
  <c r="AA2467" i="12"/>
  <c r="Z2469" i="12"/>
  <c r="AA2468" i="12"/>
  <c r="AA2469" i="12"/>
  <c r="Z2470" i="12"/>
  <c r="Z2471" i="12"/>
  <c r="AA2470" i="12"/>
  <c r="AA2471" i="12"/>
  <c r="Z2472" i="12"/>
  <c r="Z2473" i="12"/>
  <c r="AA2472" i="12"/>
  <c r="Z2474" i="12"/>
  <c r="AA2473" i="12"/>
  <c r="Z2475" i="12"/>
  <c r="AA2474" i="12"/>
  <c r="AA2475" i="12"/>
  <c r="Z2476" i="12"/>
  <c r="AA2476" i="12"/>
  <c r="Z2477" i="12"/>
  <c r="AA2477" i="12"/>
  <c r="Z2478" i="12"/>
  <c r="Z2479" i="12"/>
  <c r="AA2478" i="12"/>
  <c r="AA2479" i="12"/>
  <c r="Z2480" i="12"/>
  <c r="Z2481" i="12"/>
  <c r="AA2480" i="12"/>
  <c r="AA2481" i="12"/>
  <c r="Z2482" i="12"/>
  <c r="AA2482" i="12"/>
  <c r="Z2483" i="12"/>
  <c r="AA2483" i="12"/>
  <c r="Z2484" i="12"/>
  <c r="Z2485" i="12"/>
  <c r="AA2484" i="12"/>
  <c r="AA2485" i="12"/>
  <c r="Z2486" i="12"/>
  <c r="AA2486" i="12"/>
  <c r="Z2487" i="12"/>
  <c r="Z2488" i="12"/>
  <c r="AA2487" i="12"/>
  <c r="AA2488" i="12"/>
  <c r="Z2489" i="12"/>
  <c r="AA2489" i="12"/>
  <c r="Z2490" i="12"/>
  <c r="Z2491" i="12"/>
  <c r="AA2490" i="12"/>
  <c r="AA2491" i="12"/>
  <c r="Z2492" i="12"/>
  <c r="AA2492" i="12"/>
  <c r="Z2493" i="12"/>
  <c r="Z2494" i="12"/>
  <c r="AA2493" i="12"/>
  <c r="Z2495" i="12"/>
  <c r="AA2494" i="12"/>
  <c r="Z2496" i="12"/>
  <c r="AA2495" i="12"/>
  <c r="Z2497" i="12"/>
  <c r="AA2496" i="12"/>
  <c r="AA2497" i="12"/>
  <c r="Z2498" i="12"/>
  <c r="AA2498" i="12"/>
  <c r="Z2499" i="12"/>
  <c r="AA2499" i="12"/>
  <c r="Z2500" i="12"/>
  <c r="AA2500" i="12"/>
  <c r="Z2501" i="12"/>
  <c r="AA2501" i="12"/>
  <c r="Z2502" i="12"/>
  <c r="AA2502" i="12"/>
  <c r="Z2503" i="12"/>
  <c r="AA2503" i="12"/>
  <c r="Z2504" i="12"/>
  <c r="AA2504" i="12"/>
  <c r="Z2505" i="12"/>
  <c r="AA2505" i="12"/>
  <c r="Z2506" i="12"/>
  <c r="AA2506" i="12"/>
  <c r="Z2507" i="12"/>
  <c r="AA2507" i="12"/>
  <c r="Z2508" i="12"/>
  <c r="Z2509" i="12"/>
  <c r="AA2508" i="12"/>
  <c r="AA2509" i="12"/>
  <c r="Z2510" i="12"/>
  <c r="AA2510" i="12"/>
  <c r="Z2511" i="12"/>
  <c r="AA2511" i="12"/>
  <c r="Z2512" i="12"/>
  <c r="Z2513" i="12"/>
  <c r="AA2512" i="12"/>
  <c r="AA2513" i="12"/>
  <c r="Z2514" i="12"/>
  <c r="Z2515" i="12"/>
  <c r="AA2514" i="12"/>
  <c r="AA2515" i="12"/>
  <c r="Z2516" i="12"/>
  <c r="Z2517" i="12"/>
  <c r="AA2516" i="12"/>
  <c r="Z2518" i="12"/>
  <c r="AA2517" i="12"/>
  <c r="Z2519" i="12"/>
  <c r="AA2518" i="12"/>
  <c r="Z2520" i="12"/>
  <c r="AA2519" i="12"/>
  <c r="Z2521" i="12"/>
  <c r="AA2520" i="12"/>
  <c r="AA2521" i="12"/>
  <c r="Z2522" i="12"/>
  <c r="AA2522" i="12"/>
  <c r="Z2523" i="12"/>
  <c r="AA2523" i="12"/>
  <c r="Z2524" i="12"/>
  <c r="AA2524" i="12"/>
  <c r="Z2525" i="12"/>
  <c r="AA2525" i="12"/>
  <c r="Z2526" i="12"/>
  <c r="Z2527" i="12"/>
  <c r="AA2526" i="12"/>
  <c r="Z2528" i="12"/>
  <c r="AA2527" i="12"/>
  <c r="AA2528" i="12"/>
  <c r="Z2529" i="12"/>
  <c r="AA2529" i="12"/>
  <c r="Z2530" i="12"/>
  <c r="AA2530" i="12"/>
  <c r="Z2531" i="12"/>
  <c r="Z2532" i="12"/>
  <c r="AA2531" i="12"/>
  <c r="Z2533" i="12"/>
  <c r="AA2532" i="12"/>
  <c r="AA2533" i="12"/>
  <c r="Z2534" i="12"/>
  <c r="AA2534" i="12"/>
  <c r="Z2535" i="12"/>
  <c r="Z2536" i="12"/>
  <c r="AA2535" i="12"/>
  <c r="Z2537" i="12"/>
  <c r="AA2536" i="12"/>
  <c r="Z2538" i="12"/>
  <c r="AA2537" i="12"/>
  <c r="Z2539" i="12"/>
  <c r="AA2538" i="12"/>
  <c r="Z2540" i="12"/>
  <c r="AA2539" i="12"/>
  <c r="AA2540" i="12"/>
  <c r="Z2541" i="12"/>
  <c r="Z2542" i="12"/>
  <c r="AA2541" i="12"/>
  <c r="Z2543" i="12"/>
  <c r="AA2542" i="12"/>
  <c r="Z2544" i="12"/>
  <c r="AA2543" i="12"/>
  <c r="AA2544" i="12"/>
  <c r="Z2545" i="12"/>
  <c r="AA2545" i="12"/>
  <c r="Z2546" i="12"/>
  <c r="Z2547" i="12"/>
  <c r="AA2546" i="12"/>
  <c r="Z2548" i="12"/>
  <c r="AA2547" i="12"/>
  <c r="AA2548" i="12"/>
  <c r="Z2549" i="12"/>
  <c r="AA2549" i="12"/>
  <c r="Z2550" i="12"/>
  <c r="AA2550" i="12"/>
  <c r="Z2551" i="12"/>
  <c r="Z2552" i="12"/>
  <c r="AA2551" i="12"/>
  <c r="Z2553" i="12"/>
  <c r="AA2552" i="12"/>
  <c r="Z2554" i="12"/>
  <c r="AA2553" i="12"/>
  <c r="AA2554" i="12"/>
  <c r="Z2555" i="12"/>
  <c r="Z2556" i="12"/>
  <c r="AA2555" i="12"/>
  <c r="AA2556" i="12"/>
  <c r="Z2557" i="12"/>
  <c r="AA2557" i="12"/>
  <c r="Z2558" i="12"/>
  <c r="AA2558" i="12"/>
  <c r="Z2559" i="12"/>
  <c r="Z2560" i="12"/>
  <c r="AA2559" i="12"/>
  <c r="Z2561" i="12"/>
  <c r="AA2560" i="12"/>
  <c r="AA2561" i="12"/>
  <c r="Z2562" i="12"/>
  <c r="Z2563" i="12"/>
  <c r="AA2562" i="12"/>
  <c r="AA2563" i="12"/>
  <c r="Z2564" i="12"/>
  <c r="AA2564" i="12"/>
  <c r="Z2565" i="12"/>
  <c r="Z2566" i="12"/>
  <c r="AA2565" i="12"/>
  <c r="AA2566" i="12"/>
  <c r="Z2567" i="12"/>
  <c r="AA2567" i="12"/>
  <c r="Z2568" i="12"/>
  <c r="AA2568" i="12"/>
  <c r="Z2569" i="12"/>
  <c r="AA2569" i="12"/>
  <c r="Z2570" i="12"/>
  <c r="Z2571" i="12"/>
  <c r="AA2570" i="12"/>
  <c r="AA2571" i="12"/>
  <c r="Z2572" i="12"/>
  <c r="AA2572" i="12"/>
  <c r="Z2573" i="12"/>
  <c r="Z2574" i="12"/>
  <c r="AA2573" i="12"/>
  <c r="Z2575" i="12"/>
  <c r="AA2574" i="12"/>
  <c r="Z2576" i="12"/>
  <c r="AA2575" i="12"/>
  <c r="AA2576" i="12"/>
  <c r="Z2577" i="12"/>
  <c r="Z2578" i="12"/>
  <c r="AA2577" i="12"/>
  <c r="Z2579" i="12"/>
  <c r="AA2578" i="12"/>
  <c r="Z2580" i="12"/>
  <c r="AA2579" i="12"/>
  <c r="Z2581" i="12"/>
  <c r="AA2580" i="12"/>
  <c r="Z2582" i="12"/>
  <c r="AA2581" i="12"/>
  <c r="AA2582" i="12"/>
  <c r="Z2583" i="12"/>
  <c r="AA2583" i="12"/>
  <c r="Z2584" i="12"/>
  <c r="AA2584" i="12"/>
  <c r="Z2585" i="12"/>
  <c r="AA2585" i="12"/>
  <c r="Z2586" i="12"/>
  <c r="Z2587" i="12"/>
  <c r="AA2586" i="12"/>
  <c r="Z2588" i="12"/>
  <c r="AA2587" i="12"/>
  <c r="AA2588" i="12"/>
  <c r="Z2589" i="12"/>
  <c r="Z2590" i="12"/>
  <c r="AA2589" i="12"/>
  <c r="AA2590" i="12"/>
  <c r="Z2591" i="12"/>
  <c r="Z2592" i="12"/>
  <c r="AA2591" i="12"/>
  <c r="Z2593" i="12"/>
  <c r="AA2592" i="12"/>
  <c r="AA2593" i="12"/>
  <c r="Z2594" i="12"/>
  <c r="AA2594" i="12"/>
  <c r="Z2595" i="12"/>
  <c r="AA2595" i="12"/>
  <c r="Z2596" i="12"/>
  <c r="Z2597" i="12"/>
  <c r="AA2596" i="12"/>
  <c r="Z2598" i="12"/>
  <c r="AA2597" i="12"/>
  <c r="Z2599" i="12"/>
  <c r="AA2598" i="12"/>
  <c r="Z2600" i="12"/>
  <c r="AA2599" i="12"/>
  <c r="Z2601" i="12"/>
  <c r="AA2600" i="12"/>
  <c r="AA2601" i="12"/>
  <c r="Z2602" i="12"/>
  <c r="AA2602" i="12"/>
  <c r="Z2603" i="12"/>
  <c r="Z2604" i="12"/>
  <c r="AA2603" i="12"/>
  <c r="Z2605" i="12"/>
  <c r="AA2604" i="12"/>
  <c r="Z2606" i="12"/>
  <c r="AA2605" i="12"/>
  <c r="Z2607" i="12"/>
  <c r="AA2606" i="12"/>
  <c r="AA2607" i="12"/>
  <c r="Z2608" i="12"/>
  <c r="AA2608" i="12"/>
  <c r="Z2609" i="12"/>
  <c r="AA2609" i="12"/>
  <c r="Z2610" i="12"/>
  <c r="AA2610" i="12"/>
  <c r="Z2611" i="12"/>
  <c r="AA2611" i="12"/>
  <c r="Z2612" i="12"/>
  <c r="Z2613" i="12"/>
  <c r="AA2612" i="12"/>
  <c r="Z2614" i="12"/>
  <c r="AA2613" i="12"/>
  <c r="AA2614" i="12"/>
  <c r="Z2615" i="12"/>
  <c r="Z2616" i="12"/>
  <c r="AA2615" i="12"/>
  <c r="AA2616" i="12"/>
  <c r="Z2617" i="12"/>
  <c r="Z2618" i="12"/>
  <c r="AA2617" i="12"/>
  <c r="Z2619" i="12"/>
  <c r="AA2618" i="12"/>
  <c r="Z2620" i="12"/>
  <c r="AA2619" i="12"/>
  <c r="AA2620" i="12"/>
  <c r="Z2621" i="12"/>
  <c r="AA2621" i="12"/>
  <c r="Z2622" i="12"/>
  <c r="AA2622" i="12"/>
  <c r="Z2623" i="12"/>
  <c r="Z2624" i="12"/>
  <c r="AA2623" i="12"/>
  <c r="AA2624" i="12"/>
  <c r="Z2625" i="12"/>
  <c r="Z2626" i="12"/>
  <c r="AA2625" i="12"/>
  <c r="Z2627" i="12"/>
  <c r="AA2626" i="12"/>
  <c r="Z2628" i="12"/>
  <c r="AA2627" i="12"/>
  <c r="AA2628" i="12"/>
  <c r="Z2629" i="12"/>
  <c r="AA2629" i="12"/>
  <c r="Z2630" i="12"/>
  <c r="AA2630" i="12"/>
  <c r="Z2631" i="12"/>
  <c r="AA2631" i="12"/>
  <c r="Z2632" i="12"/>
  <c r="AA2632" i="12"/>
  <c r="Z2633" i="12"/>
  <c r="Z2634" i="12"/>
  <c r="AA2633" i="12"/>
  <c r="AA2634" i="12"/>
  <c r="Z2635" i="12"/>
  <c r="AA2635" i="12"/>
  <c r="Z2636" i="12"/>
  <c r="Z2637" i="12"/>
  <c r="AA2636" i="12"/>
  <c r="Z2638" i="12"/>
  <c r="AA2637" i="12"/>
  <c r="AA2638" i="12"/>
  <c r="Z2639" i="12"/>
  <c r="AA2639" i="12"/>
  <c r="Z2640" i="12"/>
  <c r="AA2640" i="12"/>
  <c r="Z2641" i="12"/>
  <c r="Z2642" i="12"/>
  <c r="AA2641" i="12"/>
  <c r="Z2643" i="12"/>
  <c r="AA2642" i="12"/>
  <c r="AA2643" i="12"/>
  <c r="Z2644" i="12"/>
  <c r="Z2645" i="12"/>
  <c r="AA2644" i="12"/>
  <c r="Z2646" i="12"/>
  <c r="AA2645" i="12"/>
  <c r="Z2647" i="12"/>
  <c r="AA2646" i="12"/>
  <c r="Z2648" i="12"/>
  <c r="AA2647" i="12"/>
  <c r="AA2648" i="12"/>
  <c r="Z2649" i="12"/>
  <c r="Z2650" i="12"/>
  <c r="AA2649" i="12"/>
  <c r="Z2651" i="12"/>
  <c r="AA2650" i="12"/>
  <c r="AA2651" i="12"/>
  <c r="Z2652" i="12"/>
  <c r="AA2652" i="12"/>
  <c r="Z2653" i="12"/>
  <c r="AA2653" i="12"/>
  <c r="Z2654" i="12"/>
  <c r="Z2655" i="12"/>
  <c r="AA2654" i="12"/>
  <c r="AA2655" i="12"/>
  <c r="Z2656" i="12"/>
  <c r="AA2656" i="12"/>
  <c r="Z2657" i="12"/>
  <c r="AA2657" i="12"/>
  <c r="Z2658" i="12"/>
  <c r="AA2658" i="12"/>
  <c r="Z2659" i="12"/>
  <c r="Z2660" i="12"/>
  <c r="AA2659" i="12"/>
  <c r="AA2660" i="12"/>
  <c r="Z2661" i="12"/>
  <c r="AA2661" i="12"/>
  <c r="Z2662" i="12"/>
  <c r="AA2662" i="12"/>
  <c r="Z2663" i="12"/>
  <c r="AA2663" i="12"/>
  <c r="Z2664" i="12"/>
  <c r="AA2664" i="12"/>
  <c r="Z2665" i="12"/>
  <c r="AA2665" i="12"/>
  <c r="Z2666" i="12"/>
  <c r="AA2666" i="12"/>
  <c r="Z2667" i="12"/>
  <c r="Z2668" i="12"/>
  <c r="AA2667" i="12"/>
  <c r="Z2669" i="12"/>
  <c r="AA2668" i="12"/>
  <c r="Z2670" i="12"/>
  <c r="AA2669" i="12"/>
  <c r="AA2670" i="12"/>
  <c r="Z2671" i="12"/>
  <c r="Z2672" i="12"/>
  <c r="AA2671" i="12"/>
  <c r="Z2673" i="12"/>
  <c r="AA2672" i="12"/>
  <c r="AA2673" i="12"/>
  <c r="Z2674" i="12"/>
  <c r="Z2675" i="12"/>
  <c r="AA2674" i="12"/>
  <c r="AA2675" i="12"/>
  <c r="Z2676" i="12"/>
  <c r="AA2676" i="12"/>
  <c r="Z2677" i="12"/>
  <c r="AA2677" i="12"/>
  <c r="Z2678" i="12"/>
  <c r="Z2679" i="12"/>
  <c r="AA2678" i="12"/>
  <c r="Z2680" i="12"/>
  <c r="AA2679" i="12"/>
  <c r="Z2681" i="12"/>
  <c r="AA2680" i="12"/>
  <c r="AA2681" i="12"/>
  <c r="Z2682" i="12"/>
  <c r="Z2683" i="12"/>
  <c r="AA2682" i="12"/>
  <c r="Z2684" i="12"/>
  <c r="AA2683" i="12"/>
  <c r="Z2685" i="12"/>
  <c r="AA2684" i="12"/>
  <c r="Z2686" i="12"/>
  <c r="AA2685" i="12"/>
  <c r="Z2687" i="12"/>
  <c r="AA2686" i="12"/>
  <c r="AA2687" i="12"/>
  <c r="Z2688" i="12"/>
  <c r="AA2688" i="12"/>
  <c r="Z2689" i="12"/>
  <c r="Z2690" i="12"/>
  <c r="AA2689" i="12"/>
  <c r="AA2690" i="12"/>
  <c r="Z2691" i="12"/>
  <c r="AA2691" i="12"/>
  <c r="Z2692" i="12"/>
  <c r="AA2692" i="12"/>
  <c r="Z2693" i="12"/>
  <c r="Z2694" i="12"/>
  <c r="AA2693" i="12"/>
  <c r="Z2695" i="12"/>
  <c r="AA2694" i="12"/>
  <c r="Z2696" i="12"/>
  <c r="AA2695" i="12"/>
  <c r="Z2697" i="12"/>
  <c r="AA2696" i="12"/>
  <c r="AA2697" i="12"/>
  <c r="Z2698" i="12"/>
  <c r="AA2698" i="12"/>
  <c r="Z2699" i="12"/>
  <c r="AA2699" i="12"/>
  <c r="Z2700" i="12"/>
  <c r="Z2701" i="12"/>
  <c r="AA2700" i="12"/>
  <c r="Z2702" i="12"/>
  <c r="AA2701" i="12"/>
  <c r="Z2703" i="12"/>
  <c r="AA2702" i="12"/>
  <c r="Z2704" i="12"/>
  <c r="AA2703" i="12"/>
  <c r="AA2704" i="12"/>
  <c r="Z2705" i="12"/>
  <c r="AA2705" i="12"/>
  <c r="Z2706" i="12"/>
  <c r="Z2707" i="12"/>
  <c r="AA2706" i="12"/>
  <c r="AA2707" i="12"/>
  <c r="Z2708" i="12"/>
  <c r="Z2709" i="12"/>
  <c r="AA2708" i="12"/>
  <c r="AA2709" i="12"/>
  <c r="Z2710" i="12"/>
  <c r="Z2711" i="12"/>
  <c r="AA2710" i="12"/>
  <c r="Z2712" i="12"/>
  <c r="AA2711" i="12"/>
  <c r="AA2712" i="12"/>
  <c r="Z2713" i="12"/>
  <c r="Z2714" i="12"/>
  <c r="AA2713" i="12"/>
  <c r="AA2714" i="12"/>
  <c r="Z2715" i="12"/>
  <c r="Z2716" i="12"/>
  <c r="AA2715" i="12"/>
  <c r="AA2716" i="12"/>
  <c r="Z2717" i="12"/>
  <c r="Z2718" i="12"/>
  <c r="AA2717" i="12"/>
  <c r="AA2718" i="12"/>
  <c r="Z2719" i="12"/>
  <c r="Z2720" i="12"/>
  <c r="AA2719" i="12"/>
  <c r="Z2721" i="12"/>
  <c r="AA2720" i="12"/>
  <c r="AA2721" i="12"/>
  <c r="Z2722" i="12"/>
  <c r="Z2723" i="12"/>
  <c r="AA2722" i="12"/>
  <c r="Z2724" i="12"/>
  <c r="AA2723" i="12"/>
  <c r="Z2725" i="12"/>
  <c r="AA2724" i="12"/>
  <c r="AA2725" i="12"/>
  <c r="Z2726" i="12"/>
  <c r="AA2726" i="12"/>
  <c r="Z2727" i="12"/>
  <c r="Z2728" i="12"/>
  <c r="AA2727" i="12"/>
  <c r="Z2729" i="12"/>
  <c r="AA2728" i="12"/>
  <c r="Z2730" i="12"/>
  <c r="AA2729" i="12"/>
  <c r="Z2731" i="12"/>
  <c r="AA2730" i="12"/>
  <c r="AA2731" i="12"/>
  <c r="Z2732" i="12"/>
  <c r="Z2733" i="12"/>
  <c r="AA2732" i="12"/>
  <c r="Z2734" i="12"/>
  <c r="AA2733" i="12"/>
  <c r="AA2734" i="12"/>
  <c r="Z2735" i="12"/>
  <c r="AA2735" i="12"/>
  <c r="Z2736" i="12"/>
  <c r="AA2736" i="12"/>
  <c r="Z2737" i="12"/>
  <c r="Z2738" i="12"/>
  <c r="AA2737" i="12"/>
  <c r="AA2738" i="12"/>
  <c r="Z2739" i="12"/>
  <c r="AA2739" i="12"/>
  <c r="Z2740" i="12"/>
  <c r="Z2741" i="12"/>
  <c r="AA2740" i="12"/>
  <c r="AA2741" i="12"/>
  <c r="Z2742" i="12"/>
  <c r="Z2743" i="12"/>
  <c r="AA2742" i="12"/>
  <c r="Z2744" i="12"/>
  <c r="AA2743" i="12"/>
  <c r="Z2745" i="12"/>
  <c r="AA2744" i="12"/>
  <c r="Z2746" i="12"/>
  <c r="AA2745" i="12"/>
  <c r="Z2747" i="12"/>
  <c r="AA2746" i="12"/>
  <c r="Z2748" i="12"/>
  <c r="AA2747" i="12"/>
  <c r="AA2748" i="12"/>
  <c r="Z2749" i="12"/>
  <c r="AA2749" i="12"/>
  <c r="Z2750" i="12"/>
  <c r="AA2750" i="12"/>
  <c r="Z2751" i="12"/>
  <c r="AA2751" i="12"/>
  <c r="Z2752" i="12"/>
  <c r="Z2753" i="12"/>
  <c r="AA2752" i="12"/>
  <c r="Z2754" i="12"/>
  <c r="AA2753" i="12"/>
  <c r="Z2755" i="12"/>
  <c r="AA2754" i="12"/>
  <c r="AA2755" i="12"/>
  <c r="Z2756" i="12"/>
  <c r="Z2757" i="12"/>
  <c r="AA2756" i="12"/>
  <c r="AA2757" i="12"/>
  <c r="Z2758" i="12"/>
  <c r="AA2758" i="12"/>
  <c r="Z2759" i="12"/>
  <c r="Z2760" i="12"/>
  <c r="AA2759" i="12"/>
  <c r="AA2760" i="12"/>
  <c r="Z2761" i="12"/>
  <c r="AA2761" i="12"/>
  <c r="Z2762" i="12"/>
  <c r="Z2763" i="12"/>
  <c r="AA2762" i="12"/>
  <c r="Z2764" i="12"/>
  <c r="AA2763" i="12"/>
  <c r="Z2765" i="12"/>
  <c r="AA2764" i="12"/>
  <c r="AA2765" i="12"/>
  <c r="Z2766" i="12"/>
  <c r="Z2767" i="12"/>
  <c r="AA2766" i="12"/>
  <c r="AA2767" i="12"/>
  <c r="Z2768" i="12"/>
  <c r="Z2769" i="12"/>
  <c r="AA2768" i="12"/>
  <c r="Z2770" i="12"/>
  <c r="AA2769" i="12"/>
  <c r="AA2770" i="12"/>
  <c r="Z2771" i="12"/>
  <c r="Z2772" i="12"/>
  <c r="AA2771" i="12"/>
  <c r="AA2772" i="12"/>
  <c r="Z2773" i="12"/>
  <c r="AA2773" i="12"/>
  <c r="Z2774" i="12"/>
  <c r="AA2774" i="12"/>
  <c r="Z2775" i="12"/>
  <c r="Z2776" i="12"/>
  <c r="AA2775" i="12"/>
  <c r="AA2776" i="12"/>
  <c r="Z2777" i="12"/>
  <c r="Z2778" i="12"/>
  <c r="AA2777" i="12"/>
  <c r="AA2778" i="12"/>
  <c r="Z2779" i="12"/>
  <c r="AA2779" i="12"/>
  <c r="Z2780" i="12"/>
  <c r="AA2780" i="12"/>
  <c r="Z2781" i="12"/>
  <c r="AA2781" i="12"/>
  <c r="Z2782" i="12"/>
  <c r="Z2783" i="12"/>
  <c r="AA2782" i="12"/>
  <c r="Z2784" i="12"/>
  <c r="AA2783" i="12"/>
  <c r="Z2785" i="12"/>
  <c r="AA2784" i="12"/>
  <c r="AA2785" i="12"/>
  <c r="Z2786" i="12"/>
  <c r="AA2786" i="12"/>
  <c r="Z2787" i="12"/>
  <c r="AA2787" i="12"/>
  <c r="Z2788" i="12"/>
  <c r="Z2789" i="12"/>
  <c r="AA2788" i="12"/>
  <c r="Z2790" i="12"/>
  <c r="AA2789" i="12"/>
  <c r="Z2791" i="12"/>
  <c r="AA2790" i="12"/>
  <c r="Z2792" i="12"/>
  <c r="AA2791" i="12"/>
  <c r="Z2793" i="12"/>
  <c r="AA2792" i="12"/>
  <c r="AA2793" i="12"/>
  <c r="Z2794" i="12"/>
  <c r="Z2795" i="12"/>
  <c r="AA2794" i="12"/>
  <c r="Z2796" i="12"/>
  <c r="AA2795" i="12"/>
  <c r="Z2797" i="12"/>
  <c r="AA2796" i="12"/>
  <c r="AA2797" i="12"/>
  <c r="Z2798" i="12"/>
  <c r="AA2798" i="12"/>
  <c r="Z2799" i="12"/>
  <c r="AA2799" i="12"/>
  <c r="Z2800" i="12"/>
  <c r="Z2801" i="12"/>
  <c r="AA2800" i="12"/>
  <c r="Z2802" i="12"/>
  <c r="AA2801" i="12"/>
  <c r="Z2803" i="12"/>
  <c r="AA2802" i="12"/>
  <c r="Z2804" i="12"/>
  <c r="AA2803" i="12"/>
  <c r="Z2805" i="12"/>
  <c r="AA2804" i="12"/>
  <c r="AA2805" i="12"/>
  <c r="Z2806" i="12"/>
  <c r="AA2806" i="12"/>
  <c r="Z2807" i="12"/>
  <c r="AA2807" i="12"/>
  <c r="Z2808" i="12"/>
  <c r="AA2808" i="12"/>
  <c r="Z2809" i="12"/>
  <c r="Z2810" i="12"/>
  <c r="AA2809" i="12"/>
  <c r="AA2810" i="12"/>
  <c r="Z2811" i="12"/>
  <c r="AA2811" i="12"/>
  <c r="Z2812" i="12"/>
  <c r="Z2813" i="12"/>
  <c r="AA2812" i="12"/>
  <c r="AA2813" i="12"/>
  <c r="Z2814" i="12"/>
  <c r="Z2815" i="12"/>
  <c r="AA2814" i="12"/>
  <c r="AA2815" i="12"/>
  <c r="Z2816" i="12"/>
  <c r="Z2817" i="12"/>
  <c r="AA2816" i="12"/>
  <c r="Z2818" i="12"/>
  <c r="AA2817" i="12"/>
  <c r="Z2819" i="12"/>
  <c r="AA2818" i="12"/>
  <c r="AA2819" i="12"/>
  <c r="Z2820" i="12"/>
  <c r="Z2821" i="12"/>
  <c r="AA2820" i="12"/>
  <c r="AA2821" i="12"/>
  <c r="Z2822" i="12"/>
  <c r="AA2822" i="12"/>
  <c r="Z2823" i="12"/>
  <c r="AA2823" i="12"/>
  <c r="Z2824" i="12"/>
  <c r="Z2825" i="12"/>
  <c r="AA2824" i="12"/>
  <c r="Z2826" i="12"/>
  <c r="AA2825" i="12"/>
  <c r="AA2826" i="12"/>
  <c r="Z2827" i="12"/>
  <c r="AA2827" i="12"/>
  <c r="Z2828" i="12"/>
  <c r="AA2828" i="12"/>
  <c r="Z2829" i="12"/>
  <c r="Z2830" i="12"/>
  <c r="AA2829" i="12"/>
  <c r="AA2830" i="12"/>
  <c r="Z2831" i="12"/>
  <c r="AA2831" i="12"/>
  <c r="Z2832" i="12"/>
  <c r="Z2833" i="12"/>
  <c r="AA2832" i="12"/>
  <c r="AA2833" i="12"/>
  <c r="Z2834" i="12"/>
  <c r="Z2835" i="12"/>
  <c r="AA2834" i="12"/>
  <c r="Z2836" i="12"/>
  <c r="AA2835" i="12"/>
  <c r="AA2836" i="12"/>
  <c r="Z2837" i="12"/>
  <c r="Z2838" i="12"/>
  <c r="AA2837" i="12"/>
  <c r="AA2838" i="12"/>
  <c r="Z2839" i="12"/>
  <c r="Z2840" i="12"/>
  <c r="AA2839" i="12"/>
  <c r="Z2841" i="12"/>
  <c r="AA2840" i="12"/>
  <c r="Z2842" i="12"/>
  <c r="AA2841" i="12"/>
  <c r="AA2842" i="12"/>
  <c r="Z2843" i="12"/>
  <c r="Z2844" i="12"/>
  <c r="AA2843" i="12"/>
  <c r="Z2845" i="12"/>
  <c r="AA2844" i="12"/>
  <c r="Z2846" i="12"/>
  <c r="AA2845" i="12"/>
  <c r="Z2847" i="12"/>
  <c r="AA2846" i="12"/>
  <c r="Z2848" i="12"/>
  <c r="AA2847" i="12"/>
  <c r="AA2848" i="12"/>
  <c r="Z2849" i="12"/>
  <c r="Z2850" i="12"/>
  <c r="AA2849" i="12"/>
  <c r="Z2851" i="12"/>
  <c r="AA2850" i="12"/>
  <c r="AA2851" i="12"/>
  <c r="Z2852" i="12"/>
  <c r="AA2852" i="12"/>
  <c r="Z2853" i="12"/>
  <c r="AA2853" i="12"/>
  <c r="Z2854" i="12"/>
  <c r="Z2855" i="12"/>
  <c r="AA2854" i="12"/>
  <c r="AA2855" i="12"/>
  <c r="Z2856" i="12"/>
  <c r="Z2857" i="12"/>
  <c r="AA2856" i="12"/>
  <c r="AA2857" i="12"/>
  <c r="Z2858" i="12"/>
  <c r="Z2859" i="12"/>
  <c r="AA2858" i="12"/>
  <c r="AA2859" i="12"/>
  <c r="Z2860" i="12"/>
  <c r="AA2860" i="12"/>
  <c r="Z2861" i="12"/>
  <c r="AA2861" i="12"/>
  <c r="Z2862" i="12"/>
  <c r="Z2863" i="12"/>
  <c r="AA2862" i="12"/>
  <c r="AA2863" i="12"/>
  <c r="Z2864" i="12"/>
  <c r="Z2865" i="12"/>
  <c r="AA2864" i="12"/>
  <c r="AA2865" i="12"/>
  <c r="Z2866" i="12"/>
  <c r="AA2866" i="12"/>
  <c r="Z2867" i="12"/>
  <c r="AA2867" i="12"/>
  <c r="Z2868" i="12"/>
  <c r="Z2869" i="12"/>
  <c r="AA2868" i="12"/>
  <c r="Z2870" i="12"/>
  <c r="AA2869" i="12"/>
  <c r="AA2870" i="12"/>
  <c r="Z2871" i="12"/>
  <c r="AA2871" i="12"/>
  <c r="Z2872" i="12"/>
  <c r="Z2873" i="12"/>
  <c r="AA2872" i="12"/>
  <c r="Z2874" i="12"/>
  <c r="AA2873" i="12"/>
  <c r="AA2874" i="12"/>
  <c r="Z2875" i="12"/>
  <c r="AA2875" i="12"/>
  <c r="Z2876" i="12"/>
  <c r="Z2877" i="12"/>
  <c r="AA2876" i="12"/>
  <c r="AA2877" i="12"/>
  <c r="Z2878" i="12"/>
  <c r="AA2878" i="12"/>
  <c r="Z2879" i="12"/>
  <c r="Z2880" i="12"/>
  <c r="AA2879" i="12"/>
  <c r="AA2880" i="12"/>
  <c r="Z2881" i="12"/>
  <c r="AA2881" i="12"/>
  <c r="Z2882" i="12"/>
  <c r="AA2882" i="12"/>
  <c r="Z2883" i="12"/>
  <c r="Z2884" i="12"/>
  <c r="AA2883" i="12"/>
  <c r="AA2884" i="12"/>
  <c r="Z2885" i="12"/>
  <c r="Z2886" i="12"/>
  <c r="AA2885" i="12"/>
  <c r="AA2886" i="12"/>
  <c r="Z2887" i="12"/>
  <c r="AA2887" i="12"/>
  <c r="Z2888" i="12"/>
  <c r="AA2888" i="12"/>
  <c r="Z2889" i="12"/>
  <c r="Z2890" i="12"/>
  <c r="AA2889" i="12"/>
  <c r="AA2890" i="12"/>
  <c r="Z2891" i="12"/>
  <c r="AA2891" i="12"/>
  <c r="Z2892" i="12"/>
  <c r="Z2893" i="12"/>
  <c r="AA2892" i="12"/>
  <c r="Z2894" i="12"/>
  <c r="AA2893" i="12"/>
  <c r="Z2895" i="12"/>
  <c r="AA2894" i="12"/>
  <c r="Z2896" i="12"/>
  <c r="AA2895" i="12"/>
  <c r="AA2896" i="12"/>
  <c r="Z2897" i="12"/>
  <c r="Z2898" i="12"/>
  <c r="AA2897" i="12"/>
  <c r="Z2899" i="12"/>
  <c r="AA2898" i="12"/>
  <c r="AA2899" i="12"/>
  <c r="Z2900" i="12"/>
  <c r="Z2901" i="12"/>
  <c r="AA2900" i="12"/>
  <c r="Z2902" i="12"/>
  <c r="AA2901" i="12"/>
  <c r="AA2902" i="12"/>
  <c r="Z2903" i="12"/>
  <c r="Z2904" i="12"/>
  <c r="AA2903" i="12"/>
  <c r="Z2905" i="12"/>
  <c r="AA2904" i="12"/>
  <c r="AA2905" i="12"/>
  <c r="Z2906" i="12"/>
  <c r="AA2906" i="12"/>
  <c r="Z2907" i="12"/>
  <c r="AA2907" i="12"/>
  <c r="Z2908" i="12"/>
  <c r="AA2908" i="12"/>
  <c r="Z2909" i="12"/>
  <c r="AA2909" i="12"/>
  <c r="Z2910" i="12"/>
  <c r="AA2910" i="12"/>
  <c r="Z2911" i="12"/>
  <c r="AA2911" i="12"/>
  <c r="Z2912" i="12"/>
  <c r="Z2913" i="12"/>
  <c r="AA2912" i="12"/>
  <c r="AA2913" i="12"/>
  <c r="Z2914" i="12"/>
  <c r="AA2914" i="12"/>
  <c r="Z2915" i="12"/>
  <c r="AA2915" i="12"/>
  <c r="Z2916" i="12"/>
  <c r="AA2916" i="12"/>
  <c r="Z2917" i="12"/>
  <c r="Z2918" i="12"/>
  <c r="AA2917" i="12"/>
  <c r="Z2919" i="12"/>
  <c r="AA2918" i="12"/>
  <c r="AA2919" i="12"/>
  <c r="Z2920" i="12"/>
  <c r="AA2920" i="12"/>
  <c r="Z2921" i="12"/>
  <c r="AA2921" i="12"/>
  <c r="Z2922" i="12"/>
  <c r="AA2922" i="12"/>
  <c r="Z2923" i="12"/>
  <c r="AA2923" i="12"/>
  <c r="Z2924" i="12"/>
  <c r="Z2925" i="12"/>
  <c r="AA2924" i="12"/>
  <c r="Z2926" i="12"/>
  <c r="AA2925" i="12"/>
  <c r="AA2926" i="12"/>
  <c r="Z2927" i="12"/>
  <c r="AA2927" i="12"/>
  <c r="Z2928" i="12"/>
  <c r="AA2928" i="12"/>
  <c r="Z2929" i="12"/>
  <c r="Z2930" i="12"/>
  <c r="AA2929" i="12"/>
  <c r="AA2930" i="12"/>
  <c r="Z2931" i="12"/>
  <c r="Z2932" i="12"/>
  <c r="AA2931" i="12"/>
  <c r="Z2933" i="12"/>
  <c r="AA2932" i="12"/>
  <c r="AA2933" i="12"/>
  <c r="Z2934" i="12"/>
  <c r="AA2934" i="12"/>
  <c r="Z2935" i="12"/>
  <c r="AA2935" i="12"/>
  <c r="Z2936" i="12"/>
  <c r="AA2936" i="12"/>
  <c r="Z2937" i="12"/>
  <c r="Z2938" i="12"/>
  <c r="AA2937" i="12"/>
  <c r="AA2938" i="12"/>
  <c r="Z2939" i="12"/>
  <c r="Z2940" i="12"/>
  <c r="AA2939" i="12"/>
  <c r="Z2941" i="12"/>
  <c r="AA2940" i="12"/>
  <c r="Z2942" i="12"/>
  <c r="AA2941" i="12"/>
  <c r="Z2943" i="12"/>
  <c r="AA2942" i="12"/>
  <c r="AA2943" i="12"/>
  <c r="Z2944" i="12"/>
  <c r="Z2945" i="12"/>
  <c r="AA2944" i="12"/>
  <c r="AA2945" i="12"/>
  <c r="Z2946" i="12"/>
  <c r="Z2947" i="12"/>
  <c r="AA2946" i="12"/>
  <c r="Z2948" i="12"/>
  <c r="AA2947" i="12"/>
  <c r="AA2948" i="12"/>
  <c r="Z2949" i="12"/>
  <c r="Z2950" i="12"/>
  <c r="AA2949" i="12"/>
  <c r="AA2950" i="12"/>
  <c r="Z2951" i="12"/>
  <c r="AA2951" i="12"/>
  <c r="Z2952" i="12"/>
  <c r="Z2953" i="12"/>
  <c r="AA2952" i="12"/>
  <c r="AA2953" i="12"/>
  <c r="Z2954" i="12"/>
  <c r="Z2955" i="12"/>
  <c r="AA2954" i="12"/>
  <c r="AA2955" i="12"/>
  <c r="Z2956" i="12"/>
  <c r="AA2956" i="12"/>
  <c r="Z2957" i="12"/>
  <c r="Z2958" i="12"/>
  <c r="AA2957" i="12"/>
  <c r="Z2959" i="12"/>
  <c r="AA2958" i="12"/>
  <c r="AA2959" i="12"/>
  <c r="Z2960" i="12"/>
  <c r="Z2961" i="12"/>
  <c r="AA2960" i="12"/>
  <c r="AA2961" i="12"/>
  <c r="Z2962" i="12"/>
  <c r="AA2962" i="12"/>
  <c r="Z2963" i="12"/>
  <c r="AA2963" i="12"/>
  <c r="Z2964" i="12"/>
  <c r="Z2965" i="12"/>
  <c r="AA2964" i="12"/>
  <c r="AA2965" i="12"/>
  <c r="Z2966" i="12"/>
  <c r="AA2966" i="12"/>
  <c r="Z2967" i="12"/>
  <c r="AA2967" i="12"/>
  <c r="Z2968" i="12"/>
  <c r="AA2968" i="12"/>
  <c r="Z2969" i="12"/>
  <c r="Z2970" i="12"/>
  <c r="AA2969" i="12"/>
  <c r="AA2970" i="12"/>
  <c r="Z2971" i="12"/>
  <c r="Z2972" i="12"/>
  <c r="AA2971" i="12"/>
  <c r="Z2973" i="12"/>
  <c r="AA2972" i="12"/>
  <c r="Z2974" i="12"/>
  <c r="AA2973" i="12"/>
  <c r="Z2975" i="12"/>
  <c r="AA2974" i="12"/>
  <c r="AA2975" i="12"/>
  <c r="Z2976" i="12"/>
  <c r="AA2976" i="12"/>
  <c r="Z2977" i="12"/>
  <c r="Z2978" i="12"/>
  <c r="AA2977" i="12"/>
  <c r="Z2979" i="12"/>
  <c r="AA2978" i="12"/>
  <c r="AA2979" i="12"/>
  <c r="Z2980" i="12"/>
  <c r="Z2981" i="12"/>
  <c r="AA2980" i="12"/>
  <c r="AA2981" i="12"/>
  <c r="Z2982" i="12"/>
  <c r="Z2983" i="12"/>
  <c r="AA2982" i="12"/>
  <c r="AA2983" i="12"/>
  <c r="Z2984" i="12"/>
  <c r="Z2985" i="12"/>
  <c r="AA2984" i="12"/>
  <c r="AA2985" i="12"/>
  <c r="Z2986" i="12"/>
  <c r="Z2987" i="12"/>
  <c r="AA2986" i="12"/>
  <c r="AA2987" i="12"/>
  <c r="Z2988" i="12"/>
  <c r="AA2988" i="12"/>
  <c r="Z2989" i="12"/>
  <c r="Z2990" i="12"/>
  <c r="AA2989" i="12"/>
  <c r="Z2991" i="12"/>
  <c r="AA2990" i="12"/>
  <c r="AA2991" i="12"/>
  <c r="Z2992" i="12"/>
  <c r="AA2992" i="12"/>
  <c r="Z2993" i="12"/>
  <c r="Z2994" i="12"/>
  <c r="AA2993" i="12"/>
  <c r="Z2995" i="12"/>
  <c r="AA2994" i="12"/>
  <c r="Z2996" i="12"/>
  <c r="AA2995" i="12"/>
  <c r="Z2997" i="12"/>
  <c r="AA2996" i="12"/>
  <c r="AA2997" i="12"/>
  <c r="Z2998" i="12"/>
  <c r="Z2999" i="12"/>
  <c r="AA2998" i="12"/>
  <c r="AA2999" i="12"/>
  <c r="Z3000" i="12"/>
  <c r="AA3000" i="12"/>
  <c r="Z3001" i="12"/>
  <c r="Z3002" i="12"/>
  <c r="AA3001" i="12"/>
  <c r="Z3003" i="12"/>
  <c r="AA3002" i="12"/>
  <c r="Z3004" i="12"/>
  <c r="AA3003" i="12"/>
  <c r="AA3004" i="12"/>
  <c r="Z3005" i="12"/>
  <c r="AA3005" i="12"/>
  <c r="Z3006" i="12"/>
  <c r="AA3006" i="12"/>
  <c r="Z3007" i="12"/>
  <c r="AA3007" i="12"/>
  <c r="Z3008" i="12"/>
  <c r="AA3008" i="12"/>
  <c r="Z3009" i="12"/>
  <c r="AA3009" i="12"/>
  <c r="Z3010" i="12"/>
  <c r="AA3010" i="12"/>
  <c r="Z3011" i="12"/>
  <c r="Z3012" i="12"/>
  <c r="AA3011" i="12"/>
  <c r="AA3012" i="12"/>
  <c r="Z3013" i="12"/>
  <c r="AA3013" i="12"/>
  <c r="Z3014" i="12"/>
  <c r="AA3014" i="12"/>
  <c r="Z3015" i="12"/>
  <c r="AA3015" i="12"/>
  <c r="Z3016" i="12"/>
  <c r="AA3016" i="12"/>
  <c r="Z3017" i="12"/>
  <c r="Z3018" i="12"/>
  <c r="AA3017" i="12"/>
  <c r="AA3018" i="12"/>
  <c r="Z3019" i="12"/>
  <c r="Z3020" i="12"/>
  <c r="AA3019" i="12"/>
  <c r="Z3021" i="12"/>
  <c r="AA3020" i="12"/>
  <c r="AA3021" i="12"/>
  <c r="Z3022" i="12"/>
  <c r="Z3023" i="12"/>
  <c r="AA3022" i="12"/>
  <c r="Z3024" i="12"/>
  <c r="AA3023" i="12"/>
  <c r="AA3024" i="12"/>
  <c r="Z3025" i="12"/>
  <c r="Z3026" i="12"/>
  <c r="AA3025" i="12"/>
  <c r="AA3026" i="12"/>
  <c r="Z3027" i="12"/>
  <c r="AA3027" i="12"/>
  <c r="Z3028" i="12"/>
  <c r="Z3029" i="12"/>
  <c r="AA3028" i="12"/>
  <c r="Z3030" i="12"/>
  <c r="AA3029" i="12"/>
  <c r="AA3030" i="12"/>
  <c r="Z3031" i="12"/>
  <c r="Z3032" i="12"/>
  <c r="AA3031" i="12"/>
  <c r="AA3032" i="12"/>
  <c r="Z3033" i="12"/>
  <c r="AA3033" i="12"/>
  <c r="Z3034" i="12"/>
  <c r="AA3034" i="12"/>
  <c r="Z3035" i="12"/>
  <c r="AA3035" i="12"/>
  <c r="Z3036" i="12"/>
  <c r="Z3037" i="12"/>
  <c r="AA3036" i="12"/>
  <c r="AA3037" i="12"/>
  <c r="Z3038" i="12"/>
  <c r="Z3039" i="12"/>
  <c r="AA3038" i="12"/>
  <c r="Z3040" i="12"/>
  <c r="AA3039" i="12"/>
  <c r="Z3041" i="12"/>
  <c r="AA3040" i="12"/>
  <c r="Z3042" i="12"/>
  <c r="AA3041" i="12"/>
  <c r="AA3042" i="12"/>
  <c r="Z3043" i="12"/>
  <c r="Z3044" i="12"/>
  <c r="AA3043" i="12"/>
  <c r="Z3045" i="12"/>
  <c r="AA3044" i="12"/>
  <c r="Z3046" i="12"/>
  <c r="AA3045" i="12"/>
  <c r="AA3046" i="12"/>
  <c r="Z3047" i="12"/>
  <c r="AA3047" i="12"/>
  <c r="Z3048" i="12"/>
  <c r="AA3048" i="12"/>
  <c r="Z3049" i="12"/>
  <c r="Z3050" i="12"/>
  <c r="AA3049" i="12"/>
  <c r="AA3050" i="12"/>
  <c r="Z3051" i="12"/>
  <c r="AA3051" i="12"/>
  <c r="Z3052" i="12"/>
  <c r="Z3053" i="12"/>
  <c r="AA3052" i="12"/>
  <c r="AA3053" i="12"/>
  <c r="Z3054" i="12"/>
  <c r="AA3054" i="12"/>
  <c r="Z3055" i="12"/>
  <c r="Z3056" i="12"/>
  <c r="AA3055" i="12"/>
  <c r="Z3057" i="12"/>
  <c r="AA3056" i="12"/>
  <c r="Z3058" i="12"/>
  <c r="AA3057" i="12"/>
  <c r="AA3058" i="12"/>
  <c r="Z3059" i="12"/>
  <c r="Z3060" i="12"/>
  <c r="AA3059" i="12"/>
  <c r="AA3060" i="12"/>
  <c r="Z3061" i="12"/>
  <c r="Z3062" i="12"/>
  <c r="AA3061" i="12"/>
  <c r="Z3063" i="12"/>
  <c r="AA3062" i="12"/>
  <c r="Z3064" i="12"/>
  <c r="AA3063" i="12"/>
  <c r="Z3065" i="12"/>
  <c r="AA3064" i="12"/>
  <c r="Z3066" i="12"/>
  <c r="AA3065" i="12"/>
  <c r="AA3066" i="12"/>
  <c r="Z3067" i="12"/>
  <c r="AA3067" i="12"/>
  <c r="Z3068" i="12"/>
  <c r="Z3069" i="12"/>
  <c r="AA3068" i="12"/>
  <c r="Z3070" i="12"/>
  <c r="AA3069" i="12"/>
  <c r="AA3070" i="12"/>
  <c r="Z3071" i="12"/>
  <c r="Z3072" i="12"/>
  <c r="AA3071" i="12"/>
  <c r="Z3073" i="12"/>
  <c r="AA3072" i="12"/>
  <c r="Z3074" i="12"/>
  <c r="AA3073" i="12"/>
  <c r="AA3074" i="12"/>
  <c r="Z3075" i="12"/>
  <c r="AA3075" i="12"/>
  <c r="Z3076" i="12"/>
  <c r="AA3076" i="12"/>
  <c r="Z3077" i="12"/>
  <c r="AA3077" i="12"/>
  <c r="Z3078" i="12"/>
  <c r="AA3078" i="12"/>
  <c r="Z3079" i="12"/>
  <c r="AA3079" i="12"/>
  <c r="Z3080" i="12"/>
  <c r="AA3080" i="12"/>
  <c r="Z3081" i="12"/>
  <c r="AA3081" i="12"/>
  <c r="Z3082" i="12"/>
  <c r="AA3082" i="12"/>
  <c r="Z3083" i="12"/>
  <c r="AA3083" i="12"/>
  <c r="Z3084" i="12"/>
  <c r="AA3084" i="12"/>
  <c r="Z3085" i="12"/>
  <c r="AA3085" i="12"/>
  <c r="Z3086" i="12"/>
  <c r="Z3087" i="12"/>
  <c r="AA3086" i="12"/>
  <c r="AA3087" i="12"/>
  <c r="Z3088" i="12"/>
  <c r="AA3088" i="12"/>
  <c r="Z3089" i="12"/>
  <c r="Z3090" i="12"/>
  <c r="AA3089" i="12"/>
  <c r="Z3091" i="12"/>
  <c r="AA3090" i="12"/>
  <c r="Z3092" i="12"/>
  <c r="AA3091" i="12"/>
  <c r="AA3092" i="12"/>
  <c r="Z3093" i="12"/>
  <c r="AA3093" i="12"/>
  <c r="Z3094" i="12"/>
  <c r="Z3095" i="12"/>
  <c r="AA3094" i="12"/>
  <c r="AA3095" i="12"/>
  <c r="Z3096" i="12"/>
  <c r="AA3096" i="12"/>
  <c r="Z3097" i="12"/>
  <c r="Z3098" i="12"/>
  <c r="AA3097" i="12"/>
  <c r="AA3098" i="12"/>
  <c r="Z3099" i="12"/>
  <c r="Z3100" i="12"/>
  <c r="AA3099" i="12"/>
  <c r="AA3100" i="12"/>
  <c r="Z3101" i="12"/>
  <c r="Z3102" i="12"/>
  <c r="AA3101" i="12"/>
  <c r="AA3102" i="12"/>
  <c r="Z3103" i="12"/>
  <c r="Z3104" i="12"/>
  <c r="AA3103" i="12"/>
  <c r="AA3104" i="12"/>
  <c r="Z3105" i="12"/>
  <c r="Z3106" i="12"/>
  <c r="AA3105" i="12"/>
  <c r="AA3106" i="12"/>
  <c r="Z3107" i="12"/>
  <c r="Z3108" i="12"/>
  <c r="AA3107" i="12"/>
  <c r="Z3109" i="12"/>
  <c r="AA3108" i="12"/>
  <c r="Z3110" i="12"/>
  <c r="AA3109" i="12"/>
  <c r="Z3111" i="12"/>
  <c r="AA3110" i="12"/>
  <c r="AA3111" i="12"/>
  <c r="Z3112" i="12"/>
  <c r="AA3112" i="12"/>
  <c r="Z3113" i="12"/>
  <c r="Z3114" i="12"/>
  <c r="AA3113" i="12"/>
  <c r="Z3115" i="12"/>
  <c r="AA3114" i="12"/>
  <c r="Z3116" i="12"/>
  <c r="AA3115" i="12"/>
  <c r="AA3116" i="12"/>
  <c r="Z3117" i="12"/>
  <c r="Z3118" i="12"/>
  <c r="AA3117" i="12"/>
  <c r="Z3119" i="12"/>
  <c r="AA3118" i="12"/>
  <c r="AA3119" i="12"/>
  <c r="Z3120" i="12"/>
  <c r="Z3121" i="12"/>
  <c r="AA3120" i="12"/>
  <c r="AA3121" i="12"/>
  <c r="Z3122" i="12"/>
  <c r="AA3122" i="12"/>
  <c r="Z3123" i="12"/>
  <c r="Z3124" i="12"/>
  <c r="AA3123" i="12"/>
  <c r="AA3124" i="12"/>
  <c r="Z3125" i="12"/>
  <c r="Z3126" i="12"/>
  <c r="AA3125" i="12"/>
  <c r="Z3127" i="12"/>
  <c r="AA3126" i="12"/>
  <c r="Z3128" i="12"/>
  <c r="AA3127" i="12"/>
  <c r="Z3129" i="12"/>
  <c r="AA3128" i="12"/>
  <c r="Z3130" i="12"/>
  <c r="AA3129" i="12"/>
  <c r="Z3131" i="12"/>
  <c r="AA3130" i="12"/>
  <c r="Z3132" i="12"/>
  <c r="AA3131" i="12"/>
  <c r="AA3132" i="12"/>
  <c r="Z3133" i="12"/>
  <c r="Z3134" i="12"/>
  <c r="AA3133" i="12"/>
  <c r="Z3135" i="12"/>
  <c r="AA3134" i="12"/>
  <c r="AA3135" i="12"/>
  <c r="Z3136" i="12"/>
  <c r="Z3137" i="12"/>
  <c r="AA3136" i="12"/>
  <c r="Z3138" i="12"/>
  <c r="AA3137" i="12"/>
  <c r="AA3138" i="12"/>
  <c r="Z3139" i="12"/>
  <c r="Z3140" i="12"/>
  <c r="AA3139" i="12"/>
  <c r="AA3140" i="12"/>
  <c r="Z3141" i="12"/>
  <c r="AA3141" i="12"/>
  <c r="Z3142" i="12"/>
  <c r="AA3142" i="12"/>
  <c r="Z3143" i="12"/>
  <c r="AA3143" i="12"/>
  <c r="Z3144" i="12"/>
  <c r="Z3145" i="12"/>
  <c r="AA3144" i="12"/>
  <c r="AA3145" i="12"/>
  <c r="Z3146" i="12"/>
  <c r="AA3146" i="12"/>
  <c r="Z3147" i="12"/>
  <c r="Z3148" i="12"/>
  <c r="AA3147" i="12"/>
  <c r="AA3148" i="12"/>
  <c r="Z3149" i="12"/>
  <c r="AA3149" i="12"/>
  <c r="Z3150" i="12"/>
  <c r="AA3150" i="12"/>
  <c r="Z3151" i="12"/>
  <c r="AA3151" i="12"/>
  <c r="Z3152" i="12"/>
  <c r="Z3153" i="12"/>
  <c r="AA3152" i="12"/>
  <c r="Z3154" i="12"/>
  <c r="AA3153" i="12"/>
  <c r="AA3154" i="12"/>
  <c r="Z3155" i="12"/>
  <c r="Z3156" i="12"/>
  <c r="AA3155" i="12"/>
  <c r="Z3157" i="12"/>
  <c r="AA3156" i="12"/>
  <c r="AA3157" i="12"/>
  <c r="Z3158" i="12"/>
  <c r="AA3158" i="12"/>
  <c r="Z3159" i="12"/>
  <c r="AA3159" i="12"/>
  <c r="Z3160" i="12"/>
  <c r="AA3160" i="12"/>
  <c r="Z3161" i="12"/>
  <c r="AA3161" i="12"/>
  <c r="Z3162" i="12"/>
  <c r="Z3163" i="12"/>
  <c r="AA3162" i="12"/>
  <c r="Z3164" i="12"/>
  <c r="AA3163" i="12"/>
  <c r="Z3165" i="12"/>
  <c r="AA3164" i="12"/>
  <c r="AA3165" i="12"/>
  <c r="Z3166" i="12"/>
  <c r="AA3166" i="12"/>
  <c r="Z3167" i="12"/>
  <c r="Z3168" i="12"/>
  <c r="AA3167" i="12"/>
  <c r="Z3169" i="12"/>
  <c r="AA3168" i="12"/>
  <c r="Z3170" i="12"/>
  <c r="AA3169" i="12"/>
  <c r="Z3171" i="12"/>
  <c r="AA3170" i="12"/>
  <c r="AA3171" i="12"/>
  <c r="Z3172" i="12"/>
  <c r="Z3173" i="12"/>
  <c r="AA3172" i="12"/>
  <c r="Z3174" i="12"/>
  <c r="AA3173" i="12"/>
  <c r="AA3174" i="12"/>
  <c r="Z3175" i="12"/>
  <c r="Z3176" i="12"/>
  <c r="AA3175" i="12"/>
  <c r="Z3177" i="12"/>
  <c r="AA3176" i="12"/>
  <c r="Z3178" i="12"/>
  <c r="AA3177" i="12"/>
  <c r="AA3178" i="12"/>
  <c r="Z3179" i="12"/>
  <c r="Z3180" i="12"/>
  <c r="AA3179" i="12"/>
  <c r="AA3180" i="12"/>
  <c r="Z3181" i="12"/>
  <c r="Z3182" i="12"/>
  <c r="AA3181" i="12"/>
  <c r="Z3183" i="12"/>
  <c r="AA3182" i="12"/>
  <c r="Z3184" i="12"/>
  <c r="AA3183" i="12"/>
  <c r="Z3185" i="12"/>
  <c r="AA3184" i="12"/>
  <c r="Z3186" i="12"/>
  <c r="AA3185" i="12"/>
  <c r="Z3187" i="12"/>
  <c r="AA3186" i="12"/>
  <c r="Z3188" i="12"/>
  <c r="AA3187" i="12"/>
  <c r="Z3189" i="12"/>
  <c r="AA3188" i="12"/>
  <c r="AA3189" i="12"/>
  <c r="Z3190" i="12"/>
  <c r="Z3191" i="12"/>
  <c r="AA3190" i="12"/>
  <c r="AA3191" i="12"/>
  <c r="Z3192" i="12"/>
  <c r="AA3192" i="12"/>
  <c r="Z3193" i="12"/>
  <c r="AA3193" i="12"/>
  <c r="Z3194" i="12"/>
  <c r="Z3195" i="12"/>
  <c r="AA3194" i="12"/>
  <c r="AA3195" i="12"/>
  <c r="Z3196" i="12"/>
  <c r="Z3197" i="12"/>
  <c r="AA3196" i="12"/>
  <c r="AA3197" i="12"/>
  <c r="Z3198" i="12"/>
  <c r="Z3199" i="12"/>
  <c r="AA3198" i="12"/>
  <c r="Z3200" i="12"/>
  <c r="AA3199" i="12"/>
  <c r="AA3200" i="12"/>
  <c r="Z3201" i="12"/>
  <c r="AA3201" i="12"/>
  <c r="Z3202" i="12"/>
  <c r="Z3203" i="12"/>
  <c r="AA3202" i="12"/>
  <c r="AA3203" i="12"/>
  <c r="Z3204" i="12"/>
  <c r="AA3204" i="12"/>
  <c r="Z3205" i="12"/>
  <c r="Z3206" i="12"/>
  <c r="AA3205" i="12"/>
  <c r="AA3206" i="12"/>
  <c r="Z3207" i="12"/>
  <c r="AA3207" i="12"/>
  <c r="Z3208" i="12"/>
  <c r="Z3209" i="12"/>
  <c r="AA3208" i="12"/>
  <c r="Z3210" i="12"/>
  <c r="AA3209" i="12"/>
  <c r="Z3211" i="12"/>
  <c r="AA3210" i="12"/>
  <c r="Z3212" i="12"/>
  <c r="AA3211" i="12"/>
  <c r="AA3212" i="12"/>
  <c r="Z3213" i="12"/>
  <c r="Z3214" i="12"/>
  <c r="AA3213" i="12"/>
  <c r="Z3215" i="12"/>
  <c r="AA3214" i="12"/>
  <c r="AA3215" i="12"/>
  <c r="Z3216" i="12"/>
  <c r="AA3216" i="12"/>
  <c r="Z3217" i="12"/>
  <c r="Z3218" i="12"/>
  <c r="AA3217" i="12"/>
  <c r="AA3218" i="12"/>
  <c r="Z3219" i="12"/>
  <c r="AA3219" i="12"/>
  <c r="Z3220" i="12"/>
  <c r="AA3220" i="12"/>
  <c r="Z3221" i="12"/>
  <c r="Z3222" i="12"/>
  <c r="AA3221" i="12"/>
  <c r="Z3223" i="12"/>
  <c r="AA3222" i="12"/>
  <c r="Z3224" i="12"/>
  <c r="AA3223" i="12"/>
  <c r="Z3225" i="12"/>
  <c r="AA3224" i="12"/>
  <c r="AA3225" i="12"/>
  <c r="Z3226" i="12"/>
  <c r="AA3226" i="12"/>
  <c r="Z3227" i="12"/>
  <c r="AA3227" i="12"/>
  <c r="Z3228" i="12"/>
  <c r="AA3228" i="12"/>
  <c r="Z3229" i="12"/>
  <c r="AA3229" i="12"/>
  <c r="Z3230" i="12"/>
  <c r="Z3231" i="12"/>
  <c r="AA3230" i="12"/>
  <c r="Z3232" i="12"/>
  <c r="AA3231" i="12"/>
  <c r="Z3233" i="12"/>
  <c r="AA3232" i="12"/>
  <c r="Z3234" i="12"/>
  <c r="AA3233" i="12"/>
  <c r="Z3235" i="12"/>
  <c r="AA3234" i="12"/>
  <c r="AA3235" i="12"/>
  <c r="Z3236" i="12"/>
  <c r="Z3237" i="12"/>
  <c r="AA3236" i="12"/>
  <c r="AA3237" i="12"/>
  <c r="Z3238" i="12"/>
  <c r="Z3239" i="12"/>
  <c r="AA3238" i="12"/>
  <c r="AA3239" i="12"/>
  <c r="Z3240" i="12"/>
  <c r="Z3241" i="12"/>
  <c r="AA3240" i="12"/>
  <c r="Z3242" i="12"/>
  <c r="AA3241" i="12"/>
  <c r="Z3243" i="12"/>
  <c r="AA3242" i="12"/>
  <c r="Z3244" i="12"/>
  <c r="AA3243" i="12"/>
  <c r="Z3245" i="12"/>
  <c r="AA3244" i="12"/>
  <c r="Z3246" i="12"/>
  <c r="AA3245" i="12"/>
  <c r="AA3246" i="12"/>
  <c r="Z3247" i="12"/>
  <c r="AA3247" i="12"/>
  <c r="Z3248" i="12"/>
  <c r="Z3249" i="12"/>
  <c r="AA3248" i="12"/>
  <c r="AA3249" i="12"/>
  <c r="Z3250" i="12"/>
  <c r="AA3250" i="12"/>
  <c r="Z3251" i="12"/>
  <c r="Z3252" i="12"/>
  <c r="AA3251" i="12"/>
  <c r="Z3253" i="12"/>
  <c r="AA3252" i="12"/>
  <c r="AA3253" i="12"/>
  <c r="Z3254" i="12"/>
  <c r="AA3254" i="12"/>
  <c r="Z3255" i="12"/>
  <c r="AA3255" i="12"/>
  <c r="Z3256" i="12"/>
  <c r="AA3256" i="12"/>
  <c r="Z3257" i="12"/>
  <c r="AA3257" i="12"/>
  <c r="Z3258" i="12"/>
  <c r="AA3258" i="12"/>
  <c r="Z3259" i="12"/>
  <c r="AA3259" i="12"/>
  <c r="Z3260" i="12"/>
  <c r="AA3260" i="12"/>
  <c r="Z3261" i="12"/>
  <c r="AA3261" i="12"/>
  <c r="Z3262" i="12"/>
  <c r="Z3263" i="12"/>
  <c r="AA3262" i="12"/>
  <c r="AA3263" i="12"/>
  <c r="Z3264" i="12"/>
  <c r="Z3265" i="12"/>
  <c r="AA3264" i="12"/>
  <c r="AA3265" i="12"/>
  <c r="Z3266" i="12"/>
  <c r="AA3266" i="12"/>
  <c r="Z3267" i="12"/>
  <c r="Z3268" i="12"/>
  <c r="AA3267" i="12"/>
  <c r="Z3269" i="12"/>
  <c r="AA3268" i="12"/>
  <c r="Z3270" i="12"/>
  <c r="AA3269" i="12"/>
  <c r="Z3271" i="12"/>
  <c r="AA3270" i="12"/>
  <c r="Z3272" i="12"/>
  <c r="AA3271" i="12"/>
  <c r="Z3273" i="12"/>
  <c r="AA3272" i="12"/>
  <c r="AA3273" i="12"/>
  <c r="Z3274" i="12"/>
  <c r="Z3275" i="12"/>
  <c r="AA3274" i="12"/>
  <c r="AA3275" i="12"/>
  <c r="Z3276" i="12"/>
  <c r="AA3276" i="12"/>
  <c r="Z3277" i="12"/>
  <c r="AA3277" i="12"/>
  <c r="Z3278" i="12"/>
  <c r="AA3278" i="12"/>
  <c r="Z3279" i="12"/>
  <c r="Z3280" i="12"/>
  <c r="AA3279" i="12"/>
  <c r="Z3281" i="12"/>
  <c r="AA3280" i="12"/>
  <c r="AA3281" i="12"/>
  <c r="Z3282" i="12"/>
  <c r="Z3283" i="12"/>
  <c r="AA3282" i="12"/>
  <c r="Z3284" i="12"/>
  <c r="AA3283" i="12"/>
  <c r="AA3284" i="12"/>
  <c r="Z3285" i="12"/>
  <c r="AA3285" i="12"/>
  <c r="Z3286" i="12"/>
  <c r="Z3287" i="12"/>
  <c r="AA3286" i="12"/>
  <c r="Z3288" i="12"/>
  <c r="AA3287" i="12"/>
  <c r="AA3288" i="12"/>
  <c r="Z3289" i="12"/>
  <c r="Z3290" i="12"/>
  <c r="AA3289" i="12"/>
  <c r="Z3291" i="12"/>
  <c r="AA3290" i="12"/>
  <c r="Z3292" i="12"/>
  <c r="AA3291" i="12"/>
  <c r="AA3292" i="12"/>
  <c r="Z3293" i="12"/>
  <c r="AA3293" i="12"/>
  <c r="Z3294" i="12"/>
  <c r="Z3295" i="12"/>
  <c r="AA3294" i="12"/>
  <c r="AA3295" i="12"/>
  <c r="Z3296" i="12"/>
  <c r="AA3296" i="12"/>
  <c r="Z3297" i="12"/>
  <c r="Z3298" i="12"/>
  <c r="AA3297" i="12"/>
  <c r="AA3298" i="12"/>
  <c r="Z3299" i="12"/>
  <c r="Z3300" i="12"/>
  <c r="AA3299" i="12"/>
  <c r="Z3301" i="12"/>
  <c r="AA3300" i="12"/>
  <c r="AA3301" i="12"/>
  <c r="Z3302" i="12"/>
  <c r="Z3303" i="12"/>
  <c r="AA3302" i="12"/>
  <c r="AA3303" i="12"/>
  <c r="Z3304" i="12"/>
  <c r="Z3305" i="12"/>
  <c r="AA3304" i="12"/>
  <c r="Z3306" i="12"/>
  <c r="AA3305" i="12"/>
  <c r="Z3307" i="12"/>
  <c r="AA3306" i="12"/>
  <c r="Z3308" i="12"/>
  <c r="AA3307" i="12"/>
  <c r="Z3309" i="12"/>
  <c r="AA3308" i="12"/>
  <c r="AA3309" i="12"/>
  <c r="Z3310" i="12"/>
  <c r="Z3311" i="12"/>
  <c r="AA3310" i="12"/>
  <c r="Z3312" i="12"/>
  <c r="AA3311" i="12"/>
  <c r="Z3313" i="12"/>
  <c r="AA3312" i="12"/>
  <c r="Z3314" i="12"/>
  <c r="AA3313" i="12"/>
  <c r="AA3314" i="12"/>
  <c r="Z3315" i="12"/>
  <c r="AA3315" i="12"/>
  <c r="Z3316" i="12"/>
  <c r="Z3317" i="12"/>
  <c r="AA3316" i="12"/>
  <c r="AA3317" i="12"/>
  <c r="Z3318" i="12"/>
  <c r="Z3319" i="12"/>
  <c r="AA3318" i="12"/>
  <c r="Z3320" i="12"/>
  <c r="AA3319" i="12"/>
  <c r="Z3321" i="12"/>
  <c r="AA3320" i="12"/>
  <c r="AA3321" i="12"/>
  <c r="Z3322" i="12"/>
  <c r="Z3323" i="12"/>
  <c r="AA3322" i="12"/>
  <c r="AA3323" i="12"/>
  <c r="Z3324" i="12"/>
  <c r="Z3325" i="12"/>
  <c r="AA3324" i="12"/>
  <c r="AA3325" i="12"/>
  <c r="Z3326" i="12"/>
  <c r="Z3327" i="12"/>
  <c r="AA3326" i="12"/>
  <c r="Z3328" i="12"/>
  <c r="AA3327" i="12"/>
  <c r="AA3328" i="12"/>
  <c r="Z3329" i="12"/>
  <c r="AA3329" i="12"/>
  <c r="Z3330" i="12"/>
  <c r="Z3331" i="12"/>
  <c r="AA3330" i="12"/>
  <c r="AA3331" i="12"/>
  <c r="Z3332" i="12"/>
  <c r="Z3333" i="12"/>
  <c r="AA3332" i="12"/>
  <c r="Z3334" i="12"/>
  <c r="AA3333" i="12"/>
  <c r="AA3334" i="12"/>
  <c r="Z3335" i="12"/>
  <c r="AA3335" i="12"/>
  <c r="Z3336" i="12"/>
  <c r="Z3337" i="12"/>
  <c r="AA3336" i="12"/>
  <c r="AA3337" i="12"/>
  <c r="Z3338" i="12"/>
  <c r="Z3339" i="12"/>
  <c r="AA3338" i="12"/>
  <c r="Z3340" i="12"/>
  <c r="AA3339" i="12"/>
  <c r="Z3341" i="12"/>
  <c r="AA3340" i="12"/>
  <c r="Z3342" i="12"/>
  <c r="AA3341" i="12"/>
  <c r="AA3342" i="12"/>
  <c r="Z3343" i="12"/>
  <c r="Z3344" i="12"/>
  <c r="AA3343" i="12"/>
  <c r="Z3345" i="12"/>
  <c r="AA3344" i="12"/>
  <c r="AA3345" i="12"/>
  <c r="Z3346" i="12"/>
  <c r="Z3347" i="12"/>
  <c r="AA3346" i="12"/>
  <c r="AA3347" i="12"/>
  <c r="Z3348" i="12"/>
  <c r="Z3349" i="12"/>
  <c r="AA3348" i="12"/>
  <c r="AA3349" i="12"/>
  <c r="Z3350" i="12"/>
  <c r="Z3351" i="12"/>
  <c r="AA3350" i="12"/>
  <c r="Z3352" i="12"/>
  <c r="AA3351" i="12"/>
  <c r="AA3352" i="12"/>
  <c r="Z3353" i="12"/>
  <c r="AA3353" i="12"/>
  <c r="Z3354" i="12"/>
  <c r="Z3355" i="12"/>
  <c r="AA3354" i="12"/>
  <c r="AA3355" i="12"/>
  <c r="Z3356" i="12"/>
  <c r="AA3356" i="12"/>
  <c r="Z3357" i="12"/>
  <c r="AA3357" i="12"/>
  <c r="Z3358" i="12"/>
  <c r="AA3358" i="12"/>
  <c r="Z3359" i="12"/>
  <c r="Z3360" i="12"/>
  <c r="AA3359" i="12"/>
  <c r="Z3361" i="12"/>
  <c r="AA3360" i="12"/>
  <c r="Z3362" i="12"/>
  <c r="AA3361" i="12"/>
  <c r="AA3362" i="12"/>
  <c r="Z3363" i="12"/>
  <c r="Z3364" i="12"/>
  <c r="AA3363" i="12"/>
  <c r="Z3365" i="12"/>
  <c r="AA3364" i="12"/>
  <c r="Z3366" i="12"/>
  <c r="AA3365" i="12"/>
  <c r="AA3366" i="12"/>
  <c r="Z3367" i="12"/>
  <c r="Z3368" i="12"/>
  <c r="AA3367" i="12"/>
  <c r="Z3369" i="12"/>
  <c r="AA3368" i="12"/>
  <c r="Z3370" i="12"/>
  <c r="AA3369" i="12"/>
  <c r="Z3371" i="12"/>
  <c r="AA3370" i="12"/>
  <c r="Z3372" i="12"/>
  <c r="AA3371" i="12"/>
  <c r="Z3373" i="12"/>
  <c r="AA3372" i="12"/>
  <c r="AA3373" i="12"/>
  <c r="Z3374" i="12"/>
  <c r="Z3375" i="12"/>
  <c r="AA3374" i="12"/>
  <c r="AA3375" i="12"/>
  <c r="Z3376" i="12"/>
  <c r="AA3376" i="12"/>
  <c r="Z3377" i="12"/>
  <c r="AA3377" i="12"/>
  <c r="Z3378" i="12"/>
  <c r="Z3379" i="12"/>
  <c r="AA3378" i="12"/>
  <c r="AA3379" i="12"/>
  <c r="Z3380" i="12"/>
  <c r="AA3380" i="12"/>
  <c r="Z3381" i="12"/>
  <c r="Z3382" i="12"/>
  <c r="AA3381" i="12"/>
  <c r="Z3383" i="12"/>
  <c r="AA3382" i="12"/>
  <c r="AA3383" i="12"/>
  <c r="Z3384" i="12"/>
  <c r="AA3384" i="12"/>
  <c r="Z3385" i="12"/>
  <c r="Z3386" i="12"/>
  <c r="AA3385" i="12"/>
  <c r="Z3387" i="12"/>
  <c r="AA3386" i="12"/>
  <c r="Z3388" i="12"/>
  <c r="AA3387" i="12"/>
  <c r="Z3389" i="12"/>
  <c r="AA3388" i="12"/>
  <c r="Z3390" i="12"/>
  <c r="AA3389" i="12"/>
  <c r="AA3390" i="12"/>
  <c r="Z3391" i="12"/>
  <c r="Z3392" i="12"/>
  <c r="AA3391" i="12"/>
  <c r="AA3392" i="12"/>
  <c r="Z3393" i="12"/>
  <c r="Z3394" i="12"/>
  <c r="AA3393" i="12"/>
  <c r="AA3394" i="12"/>
  <c r="Z3395" i="12"/>
  <c r="AA3395" i="12"/>
  <c r="Z3396" i="12"/>
  <c r="Z3397" i="12"/>
  <c r="AA3396" i="12"/>
  <c r="AA3397" i="12"/>
  <c r="Z3398" i="12"/>
  <c r="AA3398" i="12"/>
  <c r="Z3399" i="12"/>
  <c r="Z3400" i="12"/>
  <c r="AA3399" i="12"/>
  <c r="AA3400" i="12"/>
  <c r="Z3401" i="12"/>
  <c r="AA3401" i="12"/>
  <c r="Z3402" i="12"/>
  <c r="AA3402" i="12"/>
  <c r="Z3403" i="12"/>
  <c r="AA3403" i="12"/>
  <c r="Z3404" i="12"/>
  <c r="AA3404" i="12"/>
  <c r="Z3405" i="12"/>
  <c r="Z3406" i="12"/>
  <c r="AA3405" i="12"/>
  <c r="AA3406" i="12"/>
  <c r="Z3407" i="12"/>
  <c r="Z3408" i="12"/>
  <c r="AA3407" i="12"/>
  <c r="AA3408" i="12"/>
  <c r="Z3409" i="12"/>
  <c r="Z3410" i="12"/>
  <c r="AA3409" i="12"/>
  <c r="Z3411" i="12"/>
  <c r="AA3410" i="12"/>
  <c r="AA3411" i="12"/>
  <c r="Z3412" i="12"/>
  <c r="Z3413" i="12"/>
  <c r="AA3412" i="12"/>
  <c r="Z3414" i="12"/>
  <c r="AA3413" i="12"/>
  <c r="Z3415" i="12"/>
  <c r="AA3414" i="12"/>
  <c r="AA3415" i="12"/>
  <c r="Z3416" i="12"/>
  <c r="AA3416" i="12"/>
  <c r="Z3417" i="12"/>
  <c r="AA3417" i="12"/>
  <c r="Z3418" i="12"/>
  <c r="AA3418" i="12"/>
  <c r="Z3419" i="12"/>
  <c r="Z3420" i="12"/>
  <c r="AA3419" i="12"/>
  <c r="AA3420" i="12"/>
  <c r="Z3421" i="12"/>
  <c r="Z3422" i="12"/>
  <c r="AA3421" i="12"/>
  <c r="AA3422" i="12"/>
  <c r="Z3423" i="12"/>
  <c r="Z3424" i="12"/>
  <c r="AA3423" i="12"/>
  <c r="AA3424" i="12"/>
  <c r="Z3425" i="12"/>
  <c r="Z3426" i="12"/>
  <c r="AA3425" i="12"/>
  <c r="AA3426" i="12"/>
  <c r="Z3427" i="12"/>
  <c r="Z3428" i="12"/>
  <c r="AA3427" i="12"/>
  <c r="Z3429" i="12"/>
  <c r="AA3428" i="12"/>
  <c r="Z3430" i="12"/>
  <c r="AA3429" i="12"/>
  <c r="Z3431" i="12"/>
  <c r="AA3430" i="12"/>
  <c r="Z3432" i="12"/>
  <c r="AA3431" i="12"/>
  <c r="AA3432" i="12"/>
  <c r="Z3433" i="12"/>
  <c r="Z3434" i="12"/>
  <c r="AA3433" i="12"/>
  <c r="AA3434" i="12"/>
  <c r="Z3435" i="12"/>
  <c r="Z3436" i="12"/>
  <c r="AA3435" i="12"/>
  <c r="AA3436" i="12"/>
  <c r="Z3437" i="12"/>
  <c r="Z3438" i="12"/>
  <c r="AA3437" i="12"/>
  <c r="AA3438" i="12"/>
  <c r="Z3439" i="12"/>
  <c r="Z3440" i="12"/>
  <c r="AA3439" i="12"/>
  <c r="Z3441" i="12"/>
  <c r="AA3440" i="12"/>
  <c r="Z3442" i="12"/>
  <c r="AA3441" i="12"/>
  <c r="AA3442" i="12"/>
  <c r="Z3443" i="12"/>
  <c r="AA3443" i="12"/>
  <c r="Z3444" i="12"/>
  <c r="AA3444" i="12"/>
  <c r="Z3445" i="12"/>
  <c r="Z3446" i="12"/>
  <c r="AA3445" i="12"/>
  <c r="AA3446" i="12"/>
  <c r="Z3447" i="12"/>
  <c r="Z3448" i="12"/>
  <c r="AA3447" i="12"/>
  <c r="AA3448" i="12"/>
  <c r="Z3449" i="12"/>
  <c r="AA3449" i="12"/>
  <c r="Z3450" i="12"/>
  <c r="Z3451" i="12"/>
  <c r="AA3450" i="12"/>
  <c r="AA3451" i="12"/>
  <c r="Z3452" i="12"/>
  <c r="Z3453" i="12"/>
  <c r="AA3452" i="12"/>
  <c r="Z3454" i="12"/>
  <c r="AA3453" i="12"/>
  <c r="Z3455" i="12"/>
  <c r="AA3454" i="12"/>
  <c r="AA3455" i="12"/>
  <c r="Z3456" i="12"/>
  <c r="AA3456" i="12"/>
  <c r="Z3457" i="12"/>
  <c r="AA3457" i="12"/>
  <c r="Z3458" i="12"/>
  <c r="Z3459" i="12"/>
  <c r="AA3458" i="12"/>
  <c r="Z3460" i="12"/>
  <c r="AA3459" i="12"/>
  <c r="AA3460" i="12"/>
  <c r="Z3461" i="12"/>
  <c r="AA3461" i="12"/>
  <c r="Z3462" i="12"/>
  <c r="AA3462" i="12"/>
  <c r="Z3463" i="12"/>
  <c r="AA3463" i="12"/>
  <c r="Z3464" i="12"/>
  <c r="Z3465" i="12"/>
  <c r="AA3464" i="12"/>
  <c r="AA3465" i="12"/>
  <c r="Z3466" i="12"/>
  <c r="AA3466" i="12"/>
  <c r="Z3467" i="12"/>
  <c r="AA3467" i="12"/>
  <c r="Z3468" i="12"/>
  <c r="Z3469" i="12"/>
  <c r="AA3468" i="12"/>
  <c r="Z3470" i="12"/>
  <c r="AA3469" i="12"/>
  <c r="Z3471" i="12"/>
  <c r="AA3470" i="12"/>
  <c r="AA3471" i="12"/>
  <c r="Z3472" i="12"/>
  <c r="AA3472" i="12"/>
  <c r="Z3473" i="12"/>
  <c r="Z3474" i="12"/>
  <c r="AA3473" i="12"/>
  <c r="Z3475" i="12"/>
  <c r="AA3474" i="12"/>
  <c r="Z3476" i="12"/>
  <c r="AA3475" i="12"/>
  <c r="AA3476" i="12"/>
  <c r="Z3477" i="12"/>
  <c r="AA3477" i="12"/>
  <c r="Z3478" i="12"/>
  <c r="Z3479" i="12"/>
  <c r="AA3478" i="12"/>
  <c r="AA3479" i="12"/>
  <c r="Z3480" i="12"/>
  <c r="Z3481" i="12"/>
  <c r="AA3480" i="12"/>
  <c r="Z3482" i="12"/>
  <c r="AA3481" i="12"/>
  <c r="AA3482" i="12"/>
  <c r="Z3483" i="12"/>
  <c r="Z3484" i="12"/>
  <c r="AA3483" i="12"/>
  <c r="AA3484" i="12"/>
  <c r="Z3485" i="12"/>
  <c r="Z3486" i="12"/>
  <c r="AA3485" i="12"/>
  <c r="Z3487" i="12"/>
  <c r="AA3486" i="12"/>
  <c r="Z3488" i="12"/>
  <c r="AA3487" i="12"/>
  <c r="AA3488" i="12"/>
  <c r="Z3489" i="12"/>
  <c r="Z3490" i="12"/>
  <c r="AA3489" i="12"/>
  <c r="AA3490" i="12"/>
  <c r="Z3491" i="12"/>
  <c r="AA3491" i="12"/>
  <c r="Z3492" i="12"/>
  <c r="AA3492" i="12"/>
  <c r="Z3493" i="12"/>
  <c r="AA3493" i="12"/>
  <c r="Z3494" i="12"/>
  <c r="AA3494" i="12"/>
  <c r="Z3495" i="12"/>
  <c r="Z3496" i="12"/>
  <c r="AA3495" i="12"/>
  <c r="AA3496" i="12"/>
  <c r="Z3497" i="12"/>
  <c r="Z3498" i="12"/>
  <c r="AA3497" i="12"/>
  <c r="Z3499" i="12"/>
  <c r="AA3498" i="12"/>
  <c r="Z3500" i="12"/>
  <c r="AA3499" i="12"/>
  <c r="AA3500" i="12"/>
  <c r="Z3501" i="12"/>
  <c r="Z3502" i="12"/>
  <c r="AA3501" i="12"/>
  <c r="Z3503" i="12"/>
  <c r="AA3502" i="12"/>
  <c r="AA3503" i="12"/>
  <c r="Z3504" i="12"/>
  <c r="Z3505" i="12"/>
  <c r="AA3504" i="12"/>
  <c r="AA3505" i="12"/>
  <c r="Z3506" i="12"/>
  <c r="AA3506" i="12"/>
  <c r="Z3507" i="12"/>
  <c r="AA3507" i="12"/>
  <c r="Z3508" i="12"/>
  <c r="Z3509" i="12"/>
  <c r="AA3508" i="12"/>
  <c r="AA3509" i="12"/>
  <c r="Z3510" i="12"/>
  <c r="AA3510" i="12"/>
  <c r="Z3511" i="12"/>
  <c r="Z3512" i="12"/>
  <c r="AA3511" i="12"/>
  <c r="AA3512" i="12"/>
  <c r="Z3513" i="12"/>
  <c r="AA3513" i="12"/>
  <c r="Z3514" i="12"/>
  <c r="Z3515" i="12"/>
  <c r="AA3514" i="12"/>
  <c r="Z3516" i="12"/>
  <c r="AA3515" i="12"/>
  <c r="AA3516" i="12"/>
  <c r="Z3517" i="12"/>
  <c r="Z3518" i="12"/>
  <c r="AA3517" i="12"/>
  <c r="Z3519" i="12"/>
  <c r="AA3518" i="12"/>
  <c r="AA3519" i="12"/>
  <c r="Z3520" i="12"/>
  <c r="AA3520" i="12"/>
  <c r="Z3521" i="12"/>
  <c r="AA3521" i="12"/>
  <c r="Z3522" i="12"/>
  <c r="Z3523" i="12"/>
  <c r="AA3522" i="12"/>
  <c r="Z3524" i="12"/>
  <c r="AA3523" i="12"/>
  <c r="AA3524" i="12"/>
  <c r="Z3525" i="12"/>
  <c r="AA3525" i="12"/>
  <c r="Z3526" i="12"/>
  <c r="Z3527" i="12"/>
  <c r="AA3526" i="12"/>
  <c r="AA3527" i="12"/>
  <c r="Z3528" i="12"/>
  <c r="AA3528" i="12"/>
  <c r="Z3529" i="12"/>
  <c r="Z3530" i="12"/>
  <c r="AA3529" i="12"/>
  <c r="Z3531" i="12"/>
  <c r="AA3530" i="12"/>
  <c r="AA3531" i="12"/>
  <c r="Z3532" i="12"/>
  <c r="Z3533" i="12"/>
  <c r="AA3532" i="12"/>
  <c r="Z3534" i="12"/>
  <c r="AA3533" i="12"/>
  <c r="Z3535" i="12"/>
  <c r="AA3534" i="12"/>
  <c r="Z3536" i="12"/>
  <c r="AA3535" i="12"/>
  <c r="Z3537" i="12"/>
  <c r="AA3536" i="12"/>
  <c r="Z3538" i="12"/>
  <c r="AA3537" i="12"/>
  <c r="AA3538" i="12"/>
  <c r="Z3539" i="12"/>
  <c r="Z3540" i="12"/>
  <c r="AA3539" i="12"/>
  <c r="Z3541" i="12"/>
  <c r="AA3540" i="12"/>
  <c r="AA3541" i="12"/>
  <c r="Z3542" i="12"/>
  <c r="AA3542" i="12"/>
  <c r="Z3543" i="12"/>
  <c r="AA3543" i="12"/>
  <c r="Z3544" i="12"/>
  <c r="AA3544" i="12"/>
  <c r="Z3545" i="12"/>
  <c r="Z3546" i="12"/>
  <c r="AA3545" i="12"/>
  <c r="Z3547" i="12"/>
  <c r="AA3546" i="12"/>
  <c r="AA3547" i="12"/>
  <c r="Z3548" i="12"/>
  <c r="AA3548" i="12"/>
  <c r="Z3549" i="12"/>
  <c r="AA3549" i="12"/>
  <c r="Z3550" i="12"/>
  <c r="Z3551" i="12"/>
  <c r="AA3550" i="12"/>
  <c r="Z3552" i="12"/>
  <c r="AA3551" i="12"/>
  <c r="AB19" i="12" a="1"/>
  <c r="AA3552" i="12"/>
  <c r="AB561" i="12" l="1"/>
  <c r="AB2070" i="12"/>
  <c r="AB2801" i="12"/>
  <c r="AB818" i="12"/>
  <c r="AB3157" i="12"/>
  <c r="AB47" i="12"/>
  <c r="AB1111" i="12"/>
  <c r="AB2474" i="12"/>
  <c r="AB1280" i="12"/>
  <c r="AB2900" i="12"/>
  <c r="AB1099" i="12"/>
  <c r="AB190" i="12"/>
  <c r="AB972" i="12"/>
  <c r="AB1044" i="12"/>
  <c r="AB381" i="12"/>
  <c r="AB2613" i="12"/>
  <c r="AB1062" i="12"/>
  <c r="AB2103" i="12"/>
  <c r="AB2504" i="12"/>
  <c r="AB1631" i="12"/>
  <c r="AB2185" i="12"/>
  <c r="AB2549" i="12"/>
  <c r="AB2932" i="12"/>
  <c r="AB2093" i="12"/>
  <c r="AB2408" i="12"/>
  <c r="AB366" i="12"/>
  <c r="AB75" i="12"/>
  <c r="AB576" i="12"/>
  <c r="AB2735" i="12"/>
  <c r="AB311" i="12"/>
  <c r="AB3118" i="12"/>
  <c r="AB1220" i="12"/>
  <c r="AB1973" i="12"/>
  <c r="AB711" i="12"/>
  <c r="AB1719" i="12"/>
  <c r="AB61" i="12"/>
  <c r="AB2244" i="12"/>
  <c r="AB187" i="12"/>
  <c r="AB2954" i="12"/>
  <c r="AB3283" i="12"/>
  <c r="AB1650" i="12"/>
  <c r="AB1992" i="12"/>
  <c r="AB1308" i="12"/>
  <c r="AB1295" i="12"/>
  <c r="AB2044" i="12"/>
  <c r="AB2841" i="12"/>
  <c r="AB155" i="12"/>
  <c r="AB3202" i="12"/>
  <c r="AB2127" i="12"/>
  <c r="AB3407" i="12"/>
  <c r="AB1300" i="12"/>
  <c r="AB2365" i="12"/>
  <c r="AB723" i="12"/>
  <c r="AB2418" i="12"/>
  <c r="AB1648" i="12"/>
  <c r="AB2666" i="12"/>
  <c r="AB2323" i="12"/>
  <c r="AB1460" i="12"/>
  <c r="AB1318" i="12"/>
  <c r="AB2720" i="12"/>
  <c r="AB3366" i="12"/>
  <c r="AB845" i="12"/>
  <c r="AB245" i="12"/>
  <c r="AB619" i="12"/>
  <c r="AB31" i="12"/>
  <c r="AB2906" i="12"/>
  <c r="AB921" i="12"/>
  <c r="AB912" i="12"/>
  <c r="AB959" i="12"/>
  <c r="AB3462" i="12"/>
  <c r="AB1630" i="12"/>
  <c r="AB990" i="12"/>
  <c r="AB3542" i="12"/>
  <c r="AB3198" i="12"/>
  <c r="AB1230" i="12"/>
  <c r="AB3107" i="12"/>
  <c r="AB1270" i="12"/>
  <c r="AB945" i="12"/>
  <c r="AB110" i="12"/>
  <c r="AB1776" i="12"/>
  <c r="AB1572" i="12"/>
  <c r="AB1732" i="12"/>
  <c r="AB2958" i="12"/>
  <c r="AB3165" i="12"/>
  <c r="AB3432" i="12"/>
  <c r="AB1326" i="12"/>
  <c r="AB2338" i="12"/>
  <c r="AB880" i="12"/>
  <c r="AB1264" i="12"/>
  <c r="AB1898" i="12"/>
  <c r="AB474" i="12"/>
  <c r="AB2781" i="12"/>
  <c r="AB2100" i="12"/>
  <c r="AB1000" i="12"/>
  <c r="AB258" i="12"/>
  <c r="AB3156" i="12"/>
  <c r="AB504" i="12"/>
  <c r="AB3017" i="12"/>
  <c r="AB924" i="12"/>
  <c r="AB1518" i="12"/>
  <c r="AB1042" i="12"/>
  <c r="AB1621" i="12"/>
  <c r="AB2688" i="12"/>
  <c r="AB3316" i="12"/>
  <c r="AB2756" i="12"/>
  <c r="AB1196" i="12"/>
  <c r="AB3513" i="12"/>
  <c r="AB2794" i="12"/>
  <c r="AB2742" i="12"/>
  <c r="AB1192" i="12"/>
  <c r="AB2690" i="12"/>
  <c r="AB240" i="12"/>
  <c r="AB1336" i="12"/>
  <c r="AB272" i="12"/>
  <c r="AB710" i="12"/>
  <c r="AB2943" i="12"/>
  <c r="AB3080" i="12"/>
  <c r="AB3072" i="12"/>
  <c r="AB1408" i="12"/>
  <c r="AB1663" i="12"/>
  <c r="AB2216" i="12"/>
  <c r="AB1577" i="12"/>
  <c r="AB95" i="12"/>
  <c r="AB2630" i="12"/>
  <c r="AB1227" i="12"/>
  <c r="AB175" i="12"/>
  <c r="AB2787" i="12"/>
  <c r="AB662" i="12"/>
  <c r="AB2845" i="12"/>
  <c r="AB1733" i="12"/>
  <c r="AB2028" i="12"/>
  <c r="AB2704" i="12"/>
  <c r="AB508" i="12"/>
  <c r="AB1594" i="12"/>
  <c r="AB869" i="12"/>
  <c r="AB1312" i="12"/>
  <c r="AB2470" i="12"/>
  <c r="AB2245" i="12"/>
  <c r="AB2228" i="12"/>
  <c r="AB1178" i="12"/>
  <c r="AB983" i="12"/>
  <c r="AB2208" i="12"/>
  <c r="AB1541" i="12"/>
  <c r="AB2570" i="12"/>
  <c r="AB602" i="12"/>
  <c r="AB867" i="12"/>
  <c r="AB713" i="12"/>
  <c r="AB674" i="12"/>
  <c r="AB2886" i="12"/>
  <c r="AB2743" i="12"/>
  <c r="AB377" i="12"/>
  <c r="AB981" i="12"/>
  <c r="AB2309" i="12"/>
  <c r="AB2836" i="12"/>
  <c r="AB1946" i="12"/>
  <c r="AB2929" i="12"/>
  <c r="AB1803" i="12"/>
  <c r="AB1512" i="12"/>
  <c r="AB1935" i="12"/>
  <c r="AB3491" i="12"/>
  <c r="AB3037" i="12"/>
  <c r="AB1269" i="12"/>
  <c r="AB2766" i="12"/>
  <c r="AB1171" i="12"/>
  <c r="AB174" i="12"/>
  <c r="AB1354" i="12"/>
  <c r="AB2942" i="12"/>
  <c r="AB3076" i="12"/>
  <c r="AB1522" i="12"/>
  <c r="AB1357" i="12"/>
  <c r="AB2448" i="12"/>
  <c r="AB679" i="12"/>
  <c r="AB23" i="12"/>
  <c r="AB215" i="12"/>
  <c r="AB2493" i="12"/>
  <c r="AB766" i="12"/>
  <c r="AB1379" i="12"/>
  <c r="AB2495" i="12"/>
  <c r="AB248" i="12"/>
  <c r="AB2924" i="12"/>
  <c r="AB1798" i="12"/>
  <c r="AB3525" i="12"/>
  <c r="AB2388" i="12"/>
  <c r="AB3405" i="12"/>
  <c r="AB338" i="12"/>
  <c r="AB297" i="12"/>
  <c r="AB267" i="12"/>
  <c r="AB569" i="12"/>
  <c r="AB3372" i="12"/>
  <c r="AB2315" i="12"/>
  <c r="AB3518" i="12"/>
  <c r="AB2812" i="12"/>
  <c r="AB836" i="12"/>
  <c r="AB2473" i="12"/>
  <c r="AB1155" i="12"/>
  <c r="AB2251" i="12"/>
  <c r="AB3320" i="12"/>
  <c r="AB2657" i="12"/>
  <c r="AB2160" i="12"/>
  <c r="AB2389" i="12"/>
  <c r="AB980" i="12"/>
  <c r="AB2272" i="12"/>
  <c r="AB909" i="12"/>
  <c r="AB2350" i="12"/>
  <c r="AB1210" i="12"/>
  <c r="AB2706" i="12"/>
  <c r="AB2874" i="12"/>
  <c r="AB2861" i="12"/>
  <c r="AB2223" i="12"/>
  <c r="AB332" i="12"/>
  <c r="AB3191" i="12"/>
  <c r="AB100" i="12"/>
  <c r="AB2707" i="12"/>
  <c r="AB423" i="12"/>
  <c r="AB938" i="12"/>
  <c r="AB3268" i="12"/>
  <c r="AB239" i="12"/>
  <c r="AB701" i="12"/>
  <c r="AB3331" i="12"/>
  <c r="AB166" i="12"/>
  <c r="AB2819" i="12"/>
  <c r="AB758" i="12"/>
  <c r="AB1198" i="12"/>
  <c r="AB2686" i="12"/>
  <c r="AB2382" i="12"/>
  <c r="AB919" i="12"/>
  <c r="AB3339" i="12"/>
  <c r="AB230" i="12"/>
  <c r="AB2257" i="12"/>
  <c r="AB138" i="12"/>
  <c r="AB2462" i="12"/>
  <c r="AB607" i="12"/>
  <c r="AB533" i="12"/>
  <c r="AB251" i="12"/>
  <c r="AB1496" i="12"/>
  <c r="AB2581" i="12"/>
  <c r="AB3132" i="12"/>
  <c r="AB1675" i="12"/>
  <c r="AB970" i="12"/>
  <c r="AB3360" i="12"/>
  <c r="AB1520" i="12"/>
  <c r="AB336" i="12"/>
  <c r="AB2050" i="12"/>
  <c r="AB2352" i="12"/>
  <c r="AB3537" i="12"/>
  <c r="AB1262" i="12"/>
  <c r="AB3323" i="12"/>
  <c r="AB2747" i="12"/>
  <c r="AB3406" i="12"/>
  <c r="AB1899" i="12"/>
  <c r="AB3302" i="12"/>
  <c r="AB140" i="12"/>
  <c r="AB709" i="12"/>
  <c r="AB1686" i="12"/>
  <c r="AB2174" i="12"/>
  <c r="AB591" i="12"/>
  <c r="AB3183" i="12"/>
  <c r="AB1002" i="12"/>
  <c r="AB327" i="12"/>
  <c r="AB2143" i="12"/>
  <c r="AB1871" i="12"/>
  <c r="AB3547" i="12"/>
  <c r="AB1984" i="12"/>
  <c r="AB985" i="12"/>
  <c r="AB242" i="12"/>
  <c r="AB688" i="12"/>
  <c r="AB1061" i="12"/>
  <c r="AB2252" i="12"/>
  <c r="AB3433" i="12"/>
  <c r="AB3237" i="12"/>
  <c r="AB755" i="12"/>
  <c r="AB705" i="12"/>
  <c r="AB712" i="12"/>
  <c r="AB1558" i="12"/>
  <c r="AB1212" i="12"/>
  <c r="AB1444" i="12"/>
  <c r="AB452" i="12"/>
  <c r="AB1200" i="12"/>
  <c r="AB2750" i="12"/>
  <c r="AB118" i="12"/>
  <c r="AB1485" i="12"/>
  <c r="AB633" i="12"/>
  <c r="AB50" i="12"/>
  <c r="AB506" i="12"/>
  <c r="AB562" i="12"/>
  <c r="AB460" i="12"/>
  <c r="AB773" i="12"/>
  <c r="AB1961" i="12"/>
  <c r="AB876" i="12"/>
  <c r="AB874" i="12"/>
  <c r="AB1988" i="12"/>
  <c r="AB2568" i="12"/>
  <c r="AB1557" i="12"/>
  <c r="AB3496" i="12"/>
  <c r="AB3434" i="12"/>
  <c r="AB2574" i="12"/>
  <c r="AB3498" i="12"/>
  <c r="AB1367" i="12"/>
  <c r="AB1976" i="12"/>
  <c r="AB922" i="12"/>
  <c r="AB2823" i="12"/>
  <c r="AB1298" i="12"/>
  <c r="AB3415" i="12"/>
  <c r="AB550" i="12"/>
  <c r="AB2755" i="12"/>
  <c r="AB222" i="12"/>
  <c r="AB416" i="12"/>
  <c r="AB554" i="12"/>
  <c r="AB2349" i="12"/>
  <c r="AB860" i="12"/>
  <c r="AB2803" i="12"/>
  <c r="AB1048" i="12"/>
  <c r="AB3262" i="12"/>
  <c r="AB2122" i="12"/>
  <c r="AB3023" i="12"/>
  <c r="AB1726" i="12"/>
  <c r="AB843" i="12"/>
  <c r="AB3294" i="12"/>
  <c r="AB917" i="12"/>
  <c r="AB1451" i="12"/>
  <c r="AB3292" i="12"/>
  <c r="AB1666" i="12"/>
  <c r="AB2852" i="12"/>
  <c r="AB1866" i="12"/>
  <c r="AB45" i="12"/>
  <c r="AB1952" i="12"/>
  <c r="AB1918" i="12"/>
  <c r="AB3321" i="12"/>
  <c r="AB161" i="12"/>
  <c r="AB214" i="12"/>
  <c r="AB316" i="12"/>
  <c r="AB2370" i="12"/>
  <c r="AB2908" i="12"/>
  <c r="AB1259" i="12"/>
  <c r="AB545" i="12"/>
  <c r="AB2897" i="12"/>
  <c r="AB1662" i="12"/>
  <c r="AB2205" i="12"/>
  <c r="AB2953" i="12"/>
  <c r="AB745" i="12"/>
  <c r="AB595" i="12"/>
  <c r="AB2260" i="12"/>
  <c r="AB1458" i="12"/>
  <c r="AB176" i="12"/>
  <c r="AB2951" i="12"/>
  <c r="AB3140" i="12"/>
  <c r="AB1016" i="12"/>
  <c r="AB2964" i="12"/>
  <c r="AB3329" i="12"/>
  <c r="AB2888" i="12"/>
  <c r="AB1101" i="12"/>
  <c r="AB3361" i="12"/>
  <c r="AB2901" i="12"/>
  <c r="AB2366" i="12"/>
  <c r="AB246" i="12"/>
  <c r="AB1500" i="12"/>
  <c r="AB2212" i="12"/>
  <c r="AB1799" i="12"/>
  <c r="AB424" i="12"/>
  <c r="AB821" i="12"/>
  <c r="AB411" i="12"/>
  <c r="AB223" i="12"/>
  <c r="AB3548" i="12"/>
  <c r="AB2484" i="12"/>
  <c r="AB910" i="12"/>
  <c r="AB3010" i="12"/>
  <c r="AB2394" i="12"/>
  <c r="AB2375" i="12"/>
  <c r="AB372" i="12"/>
  <c r="AB2895" i="12"/>
  <c r="AB3374" i="12"/>
  <c r="AB640" i="12"/>
  <c r="AB584" i="12"/>
  <c r="AB185" i="12"/>
  <c r="AB3389" i="12"/>
  <c r="AB2525" i="12"/>
  <c r="AB126" i="12"/>
  <c r="AB930" i="12"/>
  <c r="AB2096" i="12"/>
  <c r="AB3308" i="12"/>
  <c r="AB216" i="12"/>
  <c r="AB853" i="12"/>
  <c r="AB2198" i="12"/>
  <c r="AB2815" i="12"/>
  <c r="AB2054" i="12"/>
  <c r="AB2148" i="12"/>
  <c r="AB2562" i="12"/>
  <c r="AB3204" i="12"/>
  <c r="AB861" i="12"/>
  <c r="AB1850" i="12"/>
  <c r="AB944" i="12"/>
  <c r="AB1256" i="12"/>
  <c r="AB1811" i="12"/>
  <c r="AB1951" i="12"/>
  <c r="AB130" i="12"/>
  <c r="AB925" i="12"/>
  <c r="AB886" i="12"/>
  <c r="AB2004" i="12"/>
  <c r="AB1777" i="12"/>
  <c r="AB483" i="12"/>
  <c r="AB1854" i="12"/>
  <c r="AB825" i="12"/>
  <c r="AB1089" i="12"/>
  <c r="AB3395" i="12"/>
  <c r="AB235" i="12"/>
  <c r="AB2106" i="12"/>
  <c r="AB1540" i="12"/>
  <c r="AB173" i="12"/>
  <c r="AB2878" i="12"/>
  <c r="AB1658" i="12"/>
  <c r="AB249" i="12"/>
  <c r="AB841" i="12"/>
  <c r="AB2002" i="12"/>
  <c r="AB1870" i="12"/>
  <c r="AB120" i="12"/>
  <c r="AB1189" i="12"/>
  <c r="AB1635" i="12"/>
  <c r="AB456" i="12"/>
  <c r="AB2882" i="12"/>
  <c r="AB1543" i="12"/>
  <c r="AB434" i="12"/>
  <c r="AB3066" i="12"/>
  <c r="AB1145" i="12"/>
  <c r="AB2348" i="12"/>
  <c r="AB706" i="12"/>
  <c r="AB2404" i="12"/>
  <c r="AB1251" i="12"/>
  <c r="AB1795" i="12"/>
  <c r="AB2056" i="12"/>
  <c r="AB2478" i="12"/>
  <c r="AB807" i="12"/>
  <c r="AB1830" i="12"/>
  <c r="AB913" i="12"/>
  <c r="AB1687" i="12"/>
  <c r="AB1728" i="12"/>
  <c r="AB3240" i="12"/>
  <c r="AB3035" i="12"/>
  <c r="AB57" i="12"/>
  <c r="AB38" i="12"/>
  <c r="AB1253" i="12"/>
  <c r="AB801" i="12"/>
  <c r="AB2399" i="12"/>
  <c r="AB3384" i="12"/>
  <c r="AB2546" i="12"/>
  <c r="AB1531" i="12"/>
  <c r="AB3467" i="12"/>
  <c r="AB2593" i="12"/>
  <c r="AB2565" i="12"/>
  <c r="AB2822" i="12"/>
  <c r="AB3019" i="12"/>
  <c r="AB2617" i="12"/>
  <c r="AB1944" i="12"/>
  <c r="AB3150" i="12"/>
  <c r="AB2838" i="12"/>
  <c r="AB1634" i="12"/>
  <c r="AB2741" i="12"/>
  <c r="AB664" i="12"/>
  <c r="AB2360" i="12"/>
  <c r="AB1058" i="12"/>
  <c r="AB1681" i="12"/>
  <c r="AB1684" i="12"/>
  <c r="AB2324" i="12"/>
  <c r="AB1920" i="12"/>
  <c r="AB1620" i="12"/>
  <c r="AB2805" i="12"/>
  <c r="AB1612" i="12"/>
  <c r="AB1764" i="12"/>
  <c r="AB67" i="12"/>
  <c r="AB2276" i="12"/>
  <c r="AB1237" i="12"/>
  <c r="AB2402" i="12"/>
  <c r="AB2979" i="12"/>
  <c r="AB1093" i="12"/>
  <c r="AB1429" i="12"/>
  <c r="AB1967" i="12"/>
  <c r="AB803" i="12"/>
  <c r="AB752" i="12"/>
  <c r="AB2202" i="12"/>
  <c r="AB1103" i="12"/>
  <c r="AB1720" i="12"/>
  <c r="AB2695" i="12"/>
  <c r="AB2361" i="12"/>
  <c r="AB217" i="12"/>
  <c r="AB2025" i="12"/>
  <c r="AB1115" i="12"/>
  <c r="AB820" i="12"/>
  <c r="AB926" i="12"/>
  <c r="AB1426" i="12"/>
  <c r="AB2876" i="12"/>
  <c r="AB1478" i="12"/>
  <c r="AB529" i="12"/>
  <c r="AB2170" i="12"/>
  <c r="AB1291" i="12"/>
  <c r="AB298" i="12"/>
  <c r="AB950" i="12"/>
  <c r="AB1224" i="12"/>
  <c r="AB3168" i="12"/>
  <c r="AB2788" i="12"/>
  <c r="AB1844" i="12"/>
  <c r="AB544" i="12"/>
  <c r="AB2746" i="12"/>
  <c r="AB780" i="12"/>
  <c r="AB2776" i="12"/>
  <c r="AB2928" i="12"/>
  <c r="AB647" i="12"/>
  <c r="AB1242" i="12"/>
  <c r="AB2459" i="12"/>
  <c r="AB934" i="12"/>
  <c r="AB717" i="12"/>
  <c r="AB3149" i="12"/>
  <c r="AB2732" i="12"/>
  <c r="AB1404" i="12"/>
  <c r="AB2597" i="12"/>
  <c r="AB859" i="12"/>
  <c r="AB2236" i="12"/>
  <c r="AB1747" i="12"/>
  <c r="AB1121" i="12"/>
  <c r="AB2157" i="12"/>
  <c r="AB3181" i="12"/>
  <c r="AB2061" i="12"/>
  <c r="AB953" i="12"/>
  <c r="AB1213" i="12"/>
  <c r="AB1399" i="12"/>
  <c r="AB3274" i="12"/>
  <c r="AB3426" i="12"/>
  <c r="AB25" i="12"/>
  <c r="AB1618" i="12"/>
  <c r="AB515" i="12"/>
  <c r="AB1717" i="12"/>
  <c r="AB3313" i="12"/>
  <c r="AB519" i="12"/>
  <c r="AB2182" i="12"/>
  <c r="AB1050" i="12"/>
  <c r="AB2273" i="12"/>
  <c r="AB1673" i="12"/>
  <c r="AB3378" i="12"/>
  <c r="AB1069" i="12"/>
  <c r="AB3551" i="12"/>
  <c r="AB645" i="12"/>
  <c r="AB2011" i="12"/>
  <c r="AB1175" i="12"/>
  <c r="AB3095" i="12"/>
  <c r="AB3040" i="12"/>
  <c r="AB2777" i="12"/>
  <c r="AB43" i="12"/>
  <c r="AB2719" i="12"/>
  <c r="AB2104" i="12"/>
  <c r="AB1164" i="12"/>
  <c r="AB2583" i="12"/>
  <c r="AB2465" i="12"/>
  <c r="AB2921" i="12"/>
  <c r="AB1579" i="12"/>
  <c r="AB181" i="12"/>
  <c r="AB3070" i="12"/>
  <c r="AB764" i="12"/>
  <c r="AB1001" i="12"/>
  <c r="AB898" i="12"/>
  <c r="AB667" i="12"/>
  <c r="AB995" i="12"/>
  <c r="AB2200" i="12"/>
  <c r="AB144" i="12"/>
  <c r="AB738" i="12"/>
  <c r="AB3414" i="12"/>
  <c r="AB1676" i="12"/>
  <c r="AB1194" i="12"/>
  <c r="AB1556" i="12"/>
  <c r="AB3247" i="12"/>
  <c r="AB1999" i="12"/>
  <c r="AB3224" i="12"/>
  <c r="AB565" i="12"/>
  <c r="AB2532" i="12"/>
  <c r="AB125" i="12"/>
  <c r="AB2846" i="12"/>
  <c r="AB2623" i="12"/>
  <c r="AB996" i="12"/>
  <c r="AB395" i="12"/>
  <c r="AB1659" i="12"/>
  <c r="AB1217" i="12"/>
  <c r="AB3184" i="12"/>
  <c r="AB1810" i="12"/>
  <c r="AB809" i="12"/>
  <c r="AB3495" i="12"/>
  <c r="AB1472" i="12"/>
  <c r="AB1130" i="12"/>
  <c r="AB847" i="12"/>
  <c r="AB3478" i="12"/>
  <c r="AB3249" i="12"/>
  <c r="AB3206" i="12"/>
  <c r="AB318" i="12"/>
  <c r="AB518" i="12"/>
  <c r="AB1081" i="12"/>
  <c r="AB3458" i="12"/>
  <c r="AB2035" i="12"/>
  <c r="AB692" i="12"/>
  <c r="AB2311" i="12"/>
  <c r="AB751" i="12"/>
  <c r="AB2559" i="12"/>
  <c r="AB1492" i="12"/>
  <c r="AB3477" i="12"/>
  <c r="AB1206" i="12"/>
  <c r="AB233" i="12"/>
  <c r="AB2972" i="12"/>
  <c r="AB1998" i="12"/>
  <c r="AB3304" i="12"/>
  <c r="AB1139" i="12"/>
  <c r="AB2029" i="12"/>
  <c r="AB2337" i="12"/>
  <c r="AB3489" i="12"/>
  <c r="AB365" i="12"/>
  <c r="AB1904" i="12"/>
  <c r="AB2500" i="12"/>
  <c r="AB582" i="12"/>
  <c r="AB2740" i="12"/>
  <c r="AB3552" i="12"/>
  <c r="AB104" i="12"/>
  <c r="AB2572" i="12"/>
  <c r="AB2786" i="12"/>
  <c r="AB1595" i="12"/>
  <c r="AB2556" i="12"/>
  <c r="AB3155" i="12"/>
  <c r="AB946" i="12"/>
  <c r="AB278" i="12"/>
  <c r="AB3233" i="12"/>
  <c r="AB1980" i="12"/>
  <c r="AB446" i="12"/>
  <c r="AB2120" i="12"/>
  <c r="AB1498" i="12"/>
  <c r="AB3400" i="12"/>
  <c r="AB1243" i="12"/>
  <c r="AB2573" i="12"/>
  <c r="AB1750" i="12"/>
  <c r="AB3362" i="12"/>
  <c r="AB486" i="12"/>
  <c r="AB82" i="12"/>
  <c r="AB1642" i="12"/>
  <c r="AB2731" i="12"/>
  <c r="AB2864" i="12"/>
  <c r="AB2678" i="12"/>
  <c r="AB1473" i="12"/>
  <c r="AB1573" i="12"/>
  <c r="AB172" i="12"/>
  <c r="AB308" i="12"/>
  <c r="AB3340" i="12"/>
  <c r="AB3473" i="12"/>
  <c r="AB2211" i="12"/>
  <c r="AB1559" i="12"/>
  <c r="AB2515" i="12"/>
  <c r="AB1029" i="12"/>
  <c r="AB1356" i="12"/>
  <c r="AB2804" i="12"/>
  <c r="AB1722" i="12"/>
  <c r="AB3241" i="12"/>
  <c r="AB2087" i="12"/>
  <c r="AB3086" i="12"/>
  <c r="AB2611" i="12"/>
  <c r="AB3276" i="12"/>
  <c r="AB2829" i="12"/>
  <c r="AB1553" i="12"/>
  <c r="AB683" i="12"/>
  <c r="AB254" i="12"/>
  <c r="AB3413" i="12"/>
  <c r="AB1629" i="12"/>
  <c r="AB1240" i="12"/>
  <c r="AB2651" i="12"/>
  <c r="AB2010" i="12"/>
  <c r="AB241" i="12"/>
  <c r="AB3440" i="12"/>
  <c r="AB2355" i="12"/>
  <c r="AB1587" i="12"/>
  <c r="AB458" i="12"/>
  <c r="AB2753" i="12"/>
  <c r="AB2140" i="12"/>
  <c r="AB975" i="12"/>
  <c r="AB2578" i="12"/>
  <c r="AB2327" i="12"/>
  <c r="AB476" i="12"/>
  <c r="AB1768" i="12"/>
  <c r="AB2489" i="12"/>
  <c r="AB742" i="12"/>
  <c r="AB940" i="12"/>
  <c r="AB600" i="12"/>
  <c r="AB1816" i="12"/>
  <c r="AB661" i="12"/>
  <c r="AB3012" i="12"/>
  <c r="AB3144" i="12"/>
  <c r="AB3474" i="12"/>
  <c r="AB1216" i="12"/>
  <c r="AB1482" i="12"/>
  <c r="AB605" i="12"/>
  <c r="AB159" i="12"/>
  <c r="AB1897" i="12"/>
  <c r="AB3512" i="12"/>
  <c r="AB546" i="12"/>
  <c r="AB3550" i="12"/>
  <c r="AB1465" i="12"/>
  <c r="AB2230" i="12"/>
  <c r="AB1376" i="12"/>
  <c r="AB905" i="12"/>
  <c r="AB2915" i="12"/>
  <c r="AB599" i="12"/>
  <c r="AB281" i="12"/>
  <c r="AB1085" i="12"/>
  <c r="AB1623" i="12"/>
  <c r="AB2757" i="12"/>
  <c r="AB108" i="12"/>
  <c r="AB2033" i="12"/>
  <c r="AB1782" i="12"/>
  <c r="AB2151" i="12"/>
  <c r="AB966" i="12"/>
  <c r="AB345" i="12"/>
  <c r="AB1739" i="12"/>
  <c r="AB658" i="12"/>
  <c r="AB54" i="12"/>
  <c r="AB2553" i="12"/>
  <c r="AB2875" i="12"/>
  <c r="AB269" i="12"/>
  <c r="AB2055" i="12"/>
  <c r="AB781" i="12"/>
  <c r="AB1506" i="12"/>
  <c r="AB2684" i="12"/>
  <c r="AB1975" i="12"/>
  <c r="AB1388" i="12"/>
  <c r="AB1028" i="12"/>
  <c r="AB1756" i="12"/>
  <c r="AB1827" i="12"/>
  <c r="AB37" i="12"/>
  <c r="AB2114" i="12"/>
  <c r="AB2145" i="12"/>
  <c r="AB2345" i="12"/>
  <c r="AB635" i="12"/>
  <c r="AB1160" i="12"/>
  <c r="AB143" i="12"/>
  <c r="AB1039" i="12"/>
  <c r="AB3455" i="12"/>
  <c r="AB1754" i="12"/>
  <c r="AB611" i="12"/>
  <c r="AB1047" i="12"/>
  <c r="AB2263" i="12"/>
  <c r="AB2591" i="12"/>
  <c r="AB3325" i="12"/>
  <c r="AB2522" i="12"/>
  <c r="AB2763" i="12"/>
  <c r="AB2850" i="12"/>
  <c r="AB156" i="12"/>
  <c r="AB3379" i="12"/>
  <c r="AB1502" i="12"/>
  <c r="AB3344" i="12"/>
  <c r="AB941" i="12"/>
  <c r="AB1978" i="12"/>
  <c r="AB2051" i="12"/>
  <c r="AB2533" i="12"/>
  <c r="AB344" i="12"/>
  <c r="AB2977" i="12"/>
  <c r="AB2589" i="12"/>
  <c r="AB2751" i="12"/>
  <c r="AB3526" i="12"/>
  <c r="AB3256" i="12"/>
  <c r="AB837" i="12"/>
  <c r="AB3018" i="12"/>
  <c r="AB624" i="12"/>
  <c r="AB1743" i="12"/>
  <c r="AB1342" i="12"/>
  <c r="AB2133" i="12"/>
  <c r="AB2089" i="12"/>
  <c r="AB1285" i="12"/>
  <c r="AB330" i="12"/>
  <c r="AB785" i="12"/>
  <c r="AB107" i="12"/>
  <c r="AB3005" i="12"/>
  <c r="AB2153" i="12"/>
  <c r="AB1391" i="12"/>
  <c r="AB560" i="12"/>
  <c r="AB1131" i="12"/>
  <c r="AB475" i="12"/>
  <c r="AB1345" i="12"/>
  <c r="AB760" i="12"/>
  <c r="AB846" i="12"/>
  <c r="AB830" i="12"/>
  <c r="AB707" i="12"/>
  <c r="AB3381" i="12"/>
  <c r="AB1713" i="12"/>
  <c r="AB259" i="12"/>
  <c r="AB51" i="12"/>
  <c r="AB557" i="12"/>
  <c r="AB252" i="12"/>
  <c r="AB2481" i="12"/>
  <c r="AB1019" i="12"/>
  <c r="AB265" i="12"/>
  <c r="AB1307" i="12"/>
  <c r="AB3122" i="12"/>
  <c r="AB528" i="12"/>
  <c r="AB2778" i="12"/>
  <c r="AB1396" i="12"/>
  <c r="AB2105" i="12"/>
  <c r="AB1943" i="12"/>
  <c r="AB2938" i="12"/>
  <c r="AB2436" i="12"/>
  <c r="AB1894" i="12"/>
  <c r="AB3015" i="12"/>
  <c r="AB1382" i="12"/>
  <c r="AB586" i="12"/>
  <c r="AB1432" i="12"/>
  <c r="AB784" i="12"/>
  <c r="AB2950" i="12"/>
  <c r="AB2113" i="12"/>
  <c r="AB1095" i="12"/>
  <c r="AB2396" i="12"/>
  <c r="AB2658" i="12"/>
  <c r="AB2210" i="12"/>
  <c r="AB76" i="12"/>
  <c r="AB3036" i="12"/>
  <c r="AB798" i="12"/>
  <c r="AB3265" i="12"/>
  <c r="AB1191" i="12"/>
  <c r="AB1529" i="12"/>
  <c r="AB1793" i="12"/>
  <c r="AB1179" i="12"/>
  <c r="AB3006" i="12"/>
  <c r="AB956" i="12"/>
  <c r="AB133" i="12"/>
  <c r="AB2147" i="12"/>
  <c r="AB1447" i="12"/>
  <c r="AB1800" i="12"/>
  <c r="AB1567" i="12"/>
  <c r="AB1716" i="12"/>
  <c r="AB512" i="12"/>
  <c r="AB1977" i="12"/>
  <c r="AB34" i="12"/>
  <c r="AB1096" i="12"/>
  <c r="AB1263" i="12"/>
  <c r="AB1593" i="12"/>
  <c r="AB1182" i="12"/>
  <c r="AB3439" i="12"/>
  <c r="AB2062" i="12"/>
  <c r="AB358" i="12"/>
  <c r="AB2856" i="12"/>
  <c r="AB1744" i="12"/>
  <c r="AB890" i="12"/>
  <c r="AB1132" i="12"/>
  <c r="AB2721" i="12"/>
  <c r="AB887" i="12"/>
  <c r="AB2594" i="12"/>
  <c r="AB3014" i="12"/>
  <c r="AB3182" i="12"/>
  <c r="AB3411" i="12"/>
  <c r="AB634" i="12"/>
  <c r="AB3493" i="12"/>
  <c r="AB3058" i="12"/>
  <c r="AB992" i="12"/>
  <c r="AB2566" i="12"/>
  <c r="AB407" i="12"/>
  <c r="AB2760" i="12"/>
  <c r="AB540" i="12"/>
  <c r="AB404" i="12"/>
  <c r="AB150" i="12"/>
  <c r="AB1369" i="12"/>
  <c r="AB2626" i="12"/>
  <c r="AB351" i="12"/>
  <c r="AB1608" i="12"/>
  <c r="AB3522" i="12"/>
  <c r="AB1905" i="12"/>
  <c r="AB618" i="12"/>
  <c r="AB2261" i="12"/>
  <c r="AB2340" i="12"/>
  <c r="AB920" i="12"/>
  <c r="AB750" i="12"/>
  <c r="AB417" i="12"/>
  <c r="AB3089" i="12"/>
  <c r="AB792" i="12"/>
  <c r="AB689" i="12"/>
  <c r="AB771" i="12"/>
  <c r="AB3113" i="12"/>
  <c r="AB2654" i="12"/>
  <c r="AB499" i="12"/>
  <c r="AB1806" i="12"/>
  <c r="AB2118" i="12"/>
  <c r="AB1471" i="12"/>
  <c r="AB465" i="12"/>
  <c r="AB731" i="12"/>
  <c r="AB814" i="12"/>
  <c r="AB3315" i="12"/>
  <c r="AB3469" i="12"/>
  <c r="AB2827" i="12"/>
  <c r="AB3148" i="12"/>
  <c r="AB260" i="12"/>
  <c r="AB1772" i="12"/>
  <c r="AB1797" i="12"/>
  <c r="AB296" i="12"/>
  <c r="AB838" i="12"/>
  <c r="AB1610" i="12"/>
  <c r="AB1330" i="12"/>
  <c r="AB2692" i="12"/>
  <c r="AB625" i="12"/>
  <c r="AB2986" i="12"/>
  <c r="AB2141" i="12"/>
  <c r="AB2523" i="12"/>
  <c r="AB2854" i="12"/>
  <c r="AB461" i="12"/>
  <c r="AB1762" i="12"/>
  <c r="AB1247" i="12"/>
  <c r="AB2326" i="12"/>
  <c r="AB167" i="12"/>
  <c r="AB2996" i="12"/>
  <c r="AB3297" i="12"/>
  <c r="AB3367" i="12"/>
  <c r="AB455" i="12"/>
  <c r="AB1701" i="12"/>
  <c r="AB895" i="12"/>
  <c r="AB2279" i="12"/>
  <c r="AB473" i="12"/>
  <c r="AB1435" i="12"/>
  <c r="AB816" i="12"/>
  <c r="AB3190" i="12"/>
  <c r="AB1076" i="12"/>
  <c r="AB2633" i="12"/>
  <c r="AB3305" i="12"/>
  <c r="AB3376" i="12"/>
  <c r="AB3482" i="12"/>
  <c r="AB152" i="12"/>
  <c r="AB2231" i="12"/>
  <c r="AB581" i="12"/>
  <c r="AB2308" i="12"/>
  <c r="AB3334" i="12"/>
  <c r="AB1708" i="12"/>
  <c r="AB2655" i="12"/>
  <c r="AB106" i="12"/>
  <c r="AB623" i="12"/>
  <c r="AB1221" i="12"/>
  <c r="AB631" i="12"/>
  <c r="AB79" i="12"/>
  <c r="AB1760" i="12"/>
  <c r="AB1885" i="12"/>
  <c r="AB1916" i="12"/>
  <c r="AB72" i="12"/>
  <c r="AB1109" i="12"/>
  <c r="AB3069" i="12"/>
  <c r="AB253" i="12"/>
  <c r="AB2699" i="12"/>
  <c r="AB904" i="12"/>
  <c r="AB436" i="12"/>
  <c r="AB1153" i="12"/>
  <c r="AB3480" i="12"/>
  <c r="AB1317" i="12"/>
  <c r="AB2189" i="12"/>
  <c r="AB317" i="12"/>
  <c r="AB3358" i="12"/>
  <c r="AB735" i="12"/>
  <c r="AB1168" i="12"/>
  <c r="AB1751" i="12"/>
  <c r="AB1378" i="12"/>
  <c r="AB2156" i="12"/>
  <c r="AB2109" i="12"/>
  <c r="AB889" i="12"/>
  <c r="AB276" i="12"/>
  <c r="AB2877" i="12"/>
  <c r="AB2317" i="12"/>
  <c r="AB444" i="12"/>
  <c r="AB1499" i="12"/>
  <c r="AB1987" i="12"/>
  <c r="AB1402" i="12"/>
  <c r="AB1052" i="12"/>
  <c r="AB2412" i="12"/>
  <c r="AB3346" i="12"/>
  <c r="AB2076" i="12"/>
  <c r="AB776" i="12"/>
  <c r="AB1735" i="12"/>
  <c r="AB2694" i="12"/>
  <c r="AB3479" i="12"/>
  <c r="AB46" i="12"/>
  <c r="AB2464" i="12"/>
  <c r="AB1174" i="12"/>
  <c r="AB1007" i="12"/>
  <c r="AB2723" i="12"/>
  <c r="AB1380" i="12"/>
  <c r="AB1930" i="12"/>
  <c r="AB1785" i="12"/>
  <c r="AB639" i="12"/>
  <c r="AB3112" i="12"/>
  <c r="AB401" i="12"/>
  <c r="AB1942" i="12"/>
  <c r="AB261" i="12"/>
  <c r="AB2749" i="12"/>
  <c r="AB353" i="12"/>
  <c r="AB1390" i="12"/>
  <c r="AB1387" i="12"/>
  <c r="AB799" i="12"/>
  <c r="AB36" i="12"/>
  <c r="AB196" i="12"/>
  <c r="AB1486" i="12"/>
  <c r="AB892" i="12"/>
  <c r="AB2499" i="12"/>
  <c r="AB3160" i="12"/>
  <c r="AB2449" i="12"/>
  <c r="AB2480" i="12"/>
  <c r="AB2698" i="12"/>
  <c r="AB3147" i="12"/>
  <c r="AB1971" i="12"/>
  <c r="AB314" i="12"/>
  <c r="AB3293" i="12"/>
  <c r="AB1685" i="12"/>
  <c r="AB724" i="12"/>
  <c r="AB430" i="12"/>
  <c r="AB2101" i="12"/>
  <c r="AB2994" i="12"/>
  <c r="AB3448" i="12"/>
  <c r="AB2944" i="12"/>
  <c r="AB1730" i="12"/>
  <c r="AB2754" i="12"/>
  <c r="AB421" i="12"/>
  <c r="AB387" i="12"/>
  <c r="AB2190" i="12"/>
  <c r="AB2134" i="12"/>
  <c r="AB2910" i="12"/>
  <c r="AB2587" i="12"/>
  <c r="AB3045" i="12"/>
  <c r="AB335" i="12"/>
  <c r="AB1137" i="12"/>
  <c r="AB3359" i="12"/>
  <c r="AB2135" i="12"/>
  <c r="AB2441" i="12"/>
  <c r="AB1450" i="12"/>
  <c r="AB1792" i="12"/>
  <c r="AB3050" i="12"/>
  <c r="AB378" i="12"/>
  <c r="AB1434" i="12"/>
  <c r="AB863" i="12"/>
  <c r="AB2177" i="12"/>
  <c r="AB1639" i="12"/>
  <c r="AB212" i="12"/>
  <c r="AB1165" i="12"/>
  <c r="AB1637" i="12"/>
  <c r="AB1521" i="12"/>
  <c r="AB1855" i="12"/>
  <c r="AB2201" i="12"/>
  <c r="AB1032" i="12"/>
  <c r="AB400" i="12"/>
  <c r="AB2798" i="12"/>
  <c r="AB617" i="12"/>
  <c r="AB3073" i="12"/>
  <c r="AB2066" i="12"/>
  <c r="AB3545" i="12"/>
  <c r="AB324" i="12"/>
  <c r="AB858" i="12"/>
  <c r="AB2831" i="12"/>
  <c r="AB2858" i="12"/>
  <c r="AB1832" i="12"/>
  <c r="AB287" i="12"/>
  <c r="AB1098" i="12"/>
  <c r="AB3128" i="12"/>
  <c r="AB511" i="12"/>
  <c r="AB2544" i="12"/>
  <c r="AB2998" i="12"/>
  <c r="AB442" i="12"/>
  <c r="AB3078" i="12"/>
  <c r="AB1410" i="12"/>
  <c r="AB2945" i="12"/>
  <c r="AB64" i="12"/>
  <c r="AB929" i="12"/>
  <c r="AB1622" i="12"/>
  <c r="AB2034" i="12"/>
  <c r="AB346" i="12"/>
  <c r="AB1252" i="12"/>
  <c r="AB2596" i="12"/>
  <c r="AB802" i="12"/>
  <c r="AB2727" i="12"/>
  <c r="AB3175" i="12"/>
  <c r="AB1173" i="12"/>
  <c r="AB2927" i="12"/>
  <c r="AB2604" i="12"/>
  <c r="AB3082" i="12"/>
  <c r="AB3251" i="12"/>
  <c r="AB2330" i="12"/>
  <c r="AB986" i="12"/>
  <c r="AB2410" i="12"/>
  <c r="AB2405" i="12"/>
  <c r="AB915" i="12"/>
  <c r="AB644" i="12"/>
  <c r="AB406" i="12"/>
  <c r="AB113" i="12"/>
  <c r="AB1695" i="12"/>
  <c r="AB3437" i="12"/>
  <c r="AB2712" i="12"/>
  <c r="AB2851" i="12"/>
  <c r="AB410" i="12"/>
  <c r="AB1580" i="12"/>
  <c r="AB343" i="12"/>
  <c r="AB339" i="12"/>
  <c r="AB1505" i="12"/>
  <c r="AB741" i="12"/>
  <c r="AB2206" i="12"/>
  <c r="AB1596" i="12"/>
  <c r="AB3193" i="12"/>
  <c r="AB451" i="12"/>
  <c r="AB49" i="12"/>
  <c r="AB3303" i="12"/>
  <c r="AB116" i="12"/>
  <c r="AB498" i="12"/>
  <c r="AB1282" i="12"/>
  <c r="AB1516" i="12"/>
  <c r="AB1860" i="12"/>
  <c r="AB957" i="12"/>
  <c r="AB350" i="12"/>
  <c r="AB2386" i="12"/>
  <c r="AB490" i="12"/>
  <c r="AB2639" i="12"/>
  <c r="AB1989" i="12"/>
  <c r="AB2930" i="12"/>
  <c r="AB123" i="12"/>
  <c r="AB2306" i="12"/>
  <c r="AB2485" i="12"/>
  <c r="AB1311" i="12"/>
  <c r="AB3097" i="12"/>
  <c r="AB3453" i="12"/>
  <c r="AB262" i="12"/>
  <c r="AB1578" i="12"/>
  <c r="AB1310" i="12"/>
  <c r="AB2425" i="12"/>
  <c r="AB571" i="12"/>
  <c r="AB2217" i="12"/>
  <c r="AB2458" i="12"/>
  <c r="AB3341" i="12"/>
  <c r="AB2442" i="12"/>
  <c r="AB2077" i="12"/>
  <c r="AB3127" i="12"/>
  <c r="AB790" i="12"/>
  <c r="AB2842" i="12"/>
  <c r="AB157" i="12"/>
  <c r="AB2270" i="12"/>
  <c r="AB2518" i="12"/>
  <c r="AB1297" i="12"/>
  <c r="AB1258" i="12"/>
  <c r="AB1908" i="12"/>
  <c r="AB482" i="12"/>
  <c r="AB2171" i="12"/>
  <c r="AB727" i="12"/>
  <c r="AB1938" i="12"/>
  <c r="AB2150" i="12"/>
  <c r="AB1791" i="12"/>
  <c r="AB967" i="12"/>
  <c r="AB1731" i="12"/>
  <c r="AB3152" i="12"/>
  <c r="AB1783" i="12"/>
  <c r="AB2813" i="12"/>
  <c r="AB3281" i="12"/>
  <c r="AB301" i="12"/>
  <c r="AB3338" i="12"/>
  <c r="AB1362" i="12"/>
  <c r="AB1576" i="12"/>
  <c r="AB949" i="12"/>
  <c r="AB2948" i="12"/>
  <c r="AB3138" i="12"/>
  <c r="AB2774" i="12"/>
  <c r="AB3154" i="12"/>
  <c r="AB3417" i="12"/>
  <c r="AB1562" i="12"/>
  <c r="AB2038" i="12"/>
  <c r="AB1882" i="12"/>
  <c r="AB1211" i="12"/>
  <c r="AB124" i="12"/>
  <c r="AB1266" i="12"/>
  <c r="AB604" i="12"/>
  <c r="AB2624" i="12"/>
  <c r="AB3289" i="12"/>
  <c r="AB2916" i="12"/>
  <c r="AB1056" i="12"/>
  <c r="AB598" i="12"/>
  <c r="AB1912" i="12"/>
  <c r="AB531" i="12"/>
  <c r="AB2780" i="12"/>
  <c r="AB1571" i="12"/>
  <c r="AB2173" i="12"/>
  <c r="AB2299" i="12"/>
  <c r="AB2128" i="12"/>
  <c r="AB900" i="12"/>
  <c r="AB2289" i="12"/>
  <c r="AB1552" i="12"/>
  <c r="AB2541" i="12"/>
  <c r="AB2427" i="12"/>
  <c r="AB2203" i="12"/>
  <c r="AB1359" i="12"/>
  <c r="AB1304" i="12"/>
  <c r="AB1203" i="12"/>
  <c r="AB1962" i="12"/>
  <c r="AB2344" i="12"/>
  <c r="AB3185" i="12"/>
  <c r="AB1841" i="12"/>
  <c r="AB497" i="12"/>
  <c r="AB1503" i="12"/>
  <c r="AB341" i="12"/>
  <c r="AB2825" i="12"/>
  <c r="AB556" i="12"/>
  <c r="AB2970" i="12"/>
  <c r="AB2074" i="12"/>
  <c r="AB1900" i="12"/>
  <c r="AB3081" i="12"/>
  <c r="AB1589" i="12"/>
  <c r="AB457" i="12"/>
  <c r="AB3298" i="12"/>
  <c r="AB431" i="12"/>
  <c r="AB1563" i="12"/>
  <c r="AB2730" i="12"/>
  <c r="AB226" i="12"/>
  <c r="AB2764" i="12"/>
  <c r="AB1117" i="12"/>
  <c r="AB630" i="12"/>
  <c r="AB3356" i="12"/>
  <c r="AB2914" i="12"/>
  <c r="AB1425" i="12"/>
  <c r="AB3250" i="12"/>
  <c r="AB2855" i="12"/>
  <c r="AB493" i="12"/>
  <c r="AB2514" i="12"/>
  <c r="AB2000" i="12"/>
  <c r="AB1294" i="12"/>
  <c r="AB1077" i="12"/>
  <c r="AB666" i="12"/>
  <c r="AB2627" i="12"/>
  <c r="AB1166" i="12"/>
  <c r="AB1617" i="12"/>
  <c r="AB933" i="12"/>
  <c r="AB2433" i="12"/>
  <c r="AB1784" i="12"/>
  <c r="AB3049" i="12"/>
  <c r="AB3393" i="12"/>
  <c r="AB2555" i="12"/>
  <c r="AB2240" i="12"/>
  <c r="AB3159" i="12"/>
  <c r="AB2791" i="12"/>
  <c r="AB2722" i="12"/>
  <c r="AB2296" i="12"/>
  <c r="AB2065" i="12"/>
  <c r="AB998" i="12"/>
  <c r="AB1422" i="12"/>
  <c r="AB1454" i="12"/>
  <c r="AB227" i="12"/>
  <c r="AB877" i="12"/>
  <c r="AB270" i="12"/>
  <c r="AB2976" i="12"/>
  <c r="AB1755" i="12"/>
  <c r="AB2472" i="12"/>
  <c r="AB3027" i="12"/>
  <c r="AB3309" i="12"/>
  <c r="AB1879" i="12"/>
  <c r="AB2881" i="12"/>
  <c r="AB547" i="12"/>
  <c r="AB1067" i="12"/>
  <c r="AB1373" i="12"/>
  <c r="AB1969" i="12"/>
  <c r="AB3248" i="12"/>
  <c r="AB342" i="12"/>
  <c r="AB3174" i="12"/>
  <c r="AB1383" i="12"/>
  <c r="AB603" i="12"/>
  <c r="AB1033" i="12"/>
  <c r="AB1970" i="12"/>
  <c r="AB1517" i="12"/>
  <c r="AB622" i="12"/>
  <c r="AB2834" i="12"/>
  <c r="AB979" i="12"/>
  <c r="AB1602" i="12"/>
  <c r="AB1638" i="12"/>
  <c r="AB1497" i="12"/>
  <c r="AB2374" i="12"/>
  <c r="AB3451" i="12"/>
  <c r="AB1288" i="12"/>
  <c r="AB2560" i="12"/>
  <c r="AB347" i="12"/>
  <c r="AB2590" i="12"/>
  <c r="AB2734" i="12"/>
  <c r="AB32" i="12"/>
  <c r="AB681" i="12"/>
  <c r="AB3383" i="12"/>
  <c r="AB1653" i="12"/>
  <c r="AB1157" i="12"/>
  <c r="AB1926" i="12"/>
  <c r="AB1201" i="12"/>
  <c r="AB3093" i="12"/>
  <c r="AB163" i="12"/>
  <c r="AB1845" i="12"/>
  <c r="AB510" i="12"/>
  <c r="AB263" i="12"/>
  <c r="AB2761" i="12"/>
  <c r="AB3311" i="12"/>
  <c r="AB3500" i="12"/>
  <c r="AB191" i="12"/>
  <c r="AB2671" i="12"/>
  <c r="AB1603" i="12"/>
  <c r="AB440" i="12"/>
  <c r="AB739" i="12"/>
  <c r="AB3527" i="12"/>
  <c r="AB1615" i="12"/>
  <c r="AB1995" i="12"/>
  <c r="AB221" i="12"/>
  <c r="AB2502" i="12"/>
  <c r="AB2090" i="12"/>
  <c r="AB333" i="12"/>
  <c r="AB2354" i="12"/>
  <c r="AB3456" i="12"/>
  <c r="AB2043" i="12"/>
  <c r="AB1780" i="12"/>
  <c r="AB725" i="12"/>
  <c r="AB987" i="12"/>
  <c r="AB1347" i="12"/>
  <c r="AB3531" i="12"/>
  <c r="AB1614" i="12"/>
  <c r="AB2646" i="12"/>
  <c r="AB3416" i="12"/>
  <c r="AB2606" i="12"/>
  <c r="AB1672" i="12"/>
  <c r="AB1647" i="12"/>
  <c r="AB3007" i="12"/>
  <c r="AB2081" i="12"/>
  <c r="AB2716" i="12"/>
  <c r="AB2387" i="12"/>
  <c r="AB2554" i="12"/>
  <c r="AB627" i="12"/>
  <c r="AB1074" i="12"/>
  <c r="AB3048" i="12"/>
  <c r="AB2952" i="12"/>
  <c r="AB2437" i="12"/>
  <c r="AB756" i="12"/>
  <c r="AB1657" i="12"/>
  <c r="AB2524" i="12"/>
  <c r="AB1222" i="12"/>
  <c r="AB186" i="12"/>
  <c r="AB282" i="12"/>
  <c r="AB2435" i="12"/>
  <c r="AB97" i="12"/>
  <c r="AB2558" i="12"/>
  <c r="AB3337" i="12"/>
  <c r="AB1181" i="12"/>
  <c r="AB1530" i="12"/>
  <c r="AB1874" i="12"/>
  <c r="AB3373" i="12"/>
  <c r="AB2571" i="12"/>
  <c r="AB1591" i="12"/>
  <c r="AB1826" i="12"/>
  <c r="AB822" i="12"/>
  <c r="AB78" i="12"/>
  <c r="AB2016" i="12"/>
  <c r="AB3314" i="12"/>
  <c r="AB3092" i="12"/>
  <c r="AB1271" i="12"/>
  <c r="AB2853" i="12"/>
  <c r="AB2947" i="12"/>
  <c r="AB1523" i="12"/>
  <c r="AB2913" i="12"/>
  <c r="AB3125" i="12"/>
  <c r="AB2598" i="12"/>
  <c r="AB1374" i="12"/>
  <c r="AB1884" i="12"/>
  <c r="AB2369" i="12"/>
  <c r="AB514" i="12"/>
  <c r="AB3210" i="12"/>
  <c r="AB1759" i="12"/>
  <c r="AB2865" i="12"/>
  <c r="AB232" i="12"/>
  <c r="AB2072" i="12"/>
  <c r="AB2896" i="12"/>
  <c r="AB1706" i="12"/>
  <c r="AB3286" i="12"/>
  <c r="AB2363" i="12"/>
  <c r="AB87" i="12"/>
  <c r="AB1226" i="12"/>
  <c r="AB390" i="12"/>
  <c r="AB2498" i="12"/>
  <c r="AB2809" i="12"/>
  <c r="AB453" i="12"/>
  <c r="AB3254" i="12"/>
  <c r="AB3038" i="12"/>
  <c r="AB885" i="12"/>
  <c r="AB2676" i="12"/>
  <c r="AB649" i="12"/>
  <c r="AB2314" i="12"/>
  <c r="AB3503" i="12"/>
  <c r="AB449" i="12"/>
  <c r="AB3079" i="12"/>
  <c r="AB3295" i="12"/>
  <c r="AB3044" i="12"/>
  <c r="AB2285" i="12"/>
  <c r="AB408" i="12"/>
  <c r="AB1041" i="12"/>
  <c r="AB1003" i="12"/>
  <c r="AB1455" i="12"/>
  <c r="AB1538" i="12"/>
  <c r="AB1135" i="12"/>
  <c r="AB1053" i="12"/>
  <c r="AB1546" i="12"/>
  <c r="AB3120" i="12"/>
  <c r="AB1821" i="12"/>
  <c r="AB2705" i="12"/>
  <c r="AB1489" i="12"/>
  <c r="AB295" i="12"/>
  <c r="AB947" i="12"/>
  <c r="AB2638" i="12"/>
  <c r="AB2001" i="12"/>
  <c r="AB3266" i="12"/>
  <c r="AB56" i="12"/>
  <c r="AB914" i="12"/>
  <c r="AB393" i="12"/>
  <c r="AB1949" i="12"/>
  <c r="AB2413" i="12"/>
  <c r="AB3317" i="12"/>
  <c r="AB3212" i="12"/>
  <c r="AB184" i="12"/>
  <c r="AB2021" i="12"/>
  <c r="AB1363" i="12"/>
  <c r="AB2847" i="12"/>
  <c r="AB646" i="12"/>
  <c r="AB2488" i="12"/>
  <c r="AB3363" i="12"/>
  <c r="AB177" i="12"/>
  <c r="AB103" i="12"/>
  <c r="AB563" i="12"/>
  <c r="AB2600" i="12"/>
  <c r="AB2936" i="12"/>
  <c r="AB101" i="12"/>
  <c r="AB1427" i="12"/>
  <c r="AB1889" i="12"/>
  <c r="AB1439" i="12"/>
  <c r="AB1643" i="12"/>
  <c r="AB1459" i="12"/>
  <c r="AB2247" i="12"/>
  <c r="AB2923" i="12"/>
  <c r="AB1142" i="12"/>
  <c r="AB3490" i="12"/>
  <c r="AB2987" i="12"/>
  <c r="AB2419" i="12"/>
  <c r="AB1006" i="12"/>
  <c r="AB1118" i="12"/>
  <c r="AB2483" i="12"/>
  <c r="AB2003" i="12"/>
  <c r="AB2444" i="12"/>
  <c r="AB3398" i="12"/>
  <c r="AB743" i="12"/>
  <c r="AB2891" i="12"/>
  <c r="AB1807" i="12"/>
  <c r="AB955" i="12"/>
  <c r="AB716" i="12"/>
  <c r="AB1705" i="12"/>
  <c r="AB459" i="12"/>
  <c r="AB1737" i="12"/>
  <c r="AB2800" i="12"/>
  <c r="AB2454" i="12"/>
  <c r="AB1477" i="12"/>
  <c r="AB1365" i="12"/>
  <c r="AB2592" i="12"/>
  <c r="AB2385" i="12"/>
  <c r="AB937" i="12"/>
  <c r="AB811" i="12"/>
  <c r="AB238" i="12"/>
  <c r="AB1123" i="12"/>
  <c r="AB2023" i="12"/>
  <c r="AB538" i="12"/>
  <c r="AB1161" i="12"/>
  <c r="AB2955" i="12"/>
  <c r="AB111" i="12"/>
  <c r="AB1302" i="12"/>
  <c r="AB541" i="12"/>
  <c r="AB2689" i="12"/>
  <c r="AB616" i="12"/>
  <c r="AB2364" i="12"/>
  <c r="AB850" i="12"/>
  <c r="AB2496" i="12"/>
  <c r="AB1511" i="12"/>
  <c r="AB2579" i="12"/>
  <c r="AB3158" i="12"/>
  <c r="AB891" i="12"/>
  <c r="AB315" i="12"/>
  <c r="AB1892" i="12"/>
  <c r="AB1545" i="12"/>
  <c r="AB1829" i="12"/>
  <c r="AB832" i="12"/>
  <c r="AB2772" i="12"/>
  <c r="AB2873" i="12"/>
  <c r="AB3345" i="12"/>
  <c r="AB2020" i="12"/>
  <c r="AB1664" i="12"/>
  <c r="AB808" i="12"/>
  <c r="AB3312" i="12"/>
  <c r="AB787" i="12"/>
  <c r="AB1740" i="12"/>
  <c r="AB2785" i="12"/>
  <c r="AB3424" i="12"/>
  <c r="AB1661" i="12"/>
  <c r="AB2358" i="12"/>
  <c r="AB2362" i="12"/>
  <c r="AB2126" i="12"/>
  <c r="AB3194" i="12"/>
  <c r="AB1442" i="12"/>
  <c r="AB225" i="12"/>
  <c r="AB2828" i="12"/>
  <c r="AB2082" i="12"/>
  <c r="AB1290" i="12"/>
  <c r="AB86" i="12"/>
  <c r="AB496" i="12"/>
  <c r="AB1937" i="12"/>
  <c r="AB3318" i="12"/>
  <c r="AB1968" i="12"/>
  <c r="AB1880" i="12"/>
  <c r="AB2022" i="12"/>
  <c r="AB2175" i="12"/>
  <c r="AB1604" i="12"/>
  <c r="AB2866" i="12"/>
  <c r="AB2530" i="12"/>
  <c r="AB2507" i="12"/>
  <c r="AB2371" i="12"/>
  <c r="AB33" i="12"/>
  <c r="AB3365" i="12"/>
  <c r="AB2795" i="12"/>
  <c r="AB3549" i="12"/>
  <c r="AB3115" i="12"/>
  <c r="AB566" i="12"/>
  <c r="AB2453" i="12"/>
  <c r="AB2320" i="12"/>
  <c r="AB1636" i="12"/>
  <c r="AB1668" i="12"/>
  <c r="AB3357" i="12"/>
  <c r="AB3544" i="12"/>
  <c r="AB1151" i="12"/>
  <c r="AB1225" i="12"/>
  <c r="AB1824" i="12"/>
  <c r="AB1914" i="12"/>
  <c r="AB2973" i="12"/>
  <c r="AB3161" i="12"/>
  <c r="AB304" i="12"/>
  <c r="AB812" i="12"/>
  <c r="AB1864" i="12"/>
  <c r="AB1835" i="12"/>
  <c r="AB871" i="12"/>
  <c r="AB2439" i="12"/>
  <c r="AB520" i="12"/>
  <c r="AB3394" i="12"/>
  <c r="AB2026" i="12"/>
  <c r="AB3228" i="12"/>
  <c r="AB2726" i="12"/>
  <c r="AB3220" i="12"/>
  <c r="AB3177" i="12"/>
  <c r="AB748" i="12"/>
  <c r="AB1887" i="12"/>
  <c r="AB678" i="12"/>
  <c r="AB294" i="12"/>
  <c r="AB132" i="12"/>
  <c r="AB1861" i="12"/>
  <c r="AB870" i="12"/>
  <c r="AB1817" i="12"/>
  <c r="AB2789" i="12"/>
  <c r="AB447" i="12"/>
  <c r="AB1770" i="12"/>
  <c r="AB2775" i="12"/>
  <c r="AB2239" i="12"/>
  <c r="AB1802" i="12"/>
  <c r="AB373" i="12"/>
  <c r="AB3013" i="12"/>
  <c r="AB1542" i="12"/>
  <c r="AB1872" i="12"/>
  <c r="AB2248" i="12"/>
  <c r="AB3534" i="12"/>
  <c r="AB2672" i="12"/>
  <c r="AB2316" i="12"/>
  <c r="AB2282" i="12"/>
  <c r="AB2782" i="12"/>
  <c r="AB1445" i="12"/>
  <c r="AB3408" i="12"/>
  <c r="AB1031" i="12"/>
  <c r="AB2919" i="12"/>
  <c r="AB1108" i="12"/>
  <c r="AB2729" i="12"/>
  <c r="AB2115" i="12"/>
  <c r="AB2278" i="12"/>
  <c r="AB3205" i="12"/>
  <c r="AB3539" i="12"/>
  <c r="AB3335" i="12"/>
  <c r="AB1749" i="12"/>
  <c r="AB1787" i="12"/>
  <c r="AB2221" i="12"/>
  <c r="AB2608" i="12"/>
  <c r="AB3541" i="12"/>
  <c r="AB907" i="12"/>
  <c r="AB3055" i="12"/>
  <c r="AB2519" i="12"/>
  <c r="AB1329" i="12"/>
  <c r="AB2602" i="12"/>
  <c r="AB3197" i="12"/>
  <c r="AB3454" i="12"/>
  <c r="AB391" i="12"/>
  <c r="AB2885" i="12"/>
  <c r="AB759" i="12"/>
  <c r="AB3163" i="12"/>
  <c r="AB41" i="12"/>
  <c r="AB1321" i="12"/>
  <c r="AB2238" i="12"/>
  <c r="AB1815" i="12"/>
  <c r="AB1724" i="12"/>
  <c r="AB2039" i="12"/>
  <c r="AB3087" i="12"/>
  <c r="AB1788" i="12"/>
  <c r="AB2091" i="12"/>
  <c r="AB326" i="12"/>
  <c r="AB3057" i="12"/>
  <c r="AB1208" i="12"/>
  <c r="AB2334" i="12"/>
  <c r="AB2068" i="12"/>
  <c r="AB2047" i="12"/>
  <c r="AB1704" i="12"/>
  <c r="AB1891" i="12"/>
  <c r="AB1246" i="12"/>
  <c r="AB2144" i="12"/>
  <c r="AB2088" i="12"/>
  <c r="AB275" i="12"/>
  <c r="AB2542" i="12"/>
  <c r="AB2770" i="12"/>
  <c r="AB3008" i="12"/>
  <c r="AB1491" i="12"/>
  <c r="AB2641" i="12"/>
  <c r="AB1334" i="12"/>
  <c r="AB2381" i="12"/>
  <c r="AB578" i="12"/>
  <c r="AB3062" i="12"/>
  <c r="AB526" i="12"/>
  <c r="AB2811" i="12"/>
  <c r="AB105" i="12"/>
  <c r="AB3223" i="12"/>
  <c r="AB3063" i="12"/>
  <c r="AB3348" i="12"/>
  <c r="AB2894" i="12"/>
  <c r="AB2520" i="12"/>
  <c r="AB2342" i="12"/>
  <c r="AB22" i="12"/>
  <c r="AB3447" i="12"/>
  <c r="AB765" i="12"/>
  <c r="AB2084" i="12"/>
  <c r="AB567" i="12"/>
  <c r="AB1218" i="12"/>
  <c r="AB1985" i="12"/>
  <c r="AB3504" i="12"/>
  <c r="AB1896" i="12"/>
  <c r="AB835" i="12"/>
  <c r="AB2191" i="12"/>
  <c r="AB2969" i="12"/>
  <c r="AB1805" i="12"/>
  <c r="AB1504" i="12"/>
  <c r="AB334" i="12"/>
  <c r="AB20" i="12"/>
  <c r="AB3282" i="12"/>
  <c r="AB2849" i="12"/>
  <c r="AB3269" i="12"/>
  <c r="AB732" i="12"/>
  <c r="AB266" i="12"/>
  <c r="AB614" i="12"/>
  <c r="AB2487" i="12"/>
  <c r="AB1078" i="12"/>
  <c r="AB2992" i="12"/>
  <c r="AB2333" i="12"/>
  <c r="AB881" i="12"/>
  <c r="AB3033" i="12"/>
  <c r="AB1507" i="12"/>
  <c r="AB1903" i="12"/>
  <c r="AB2517" i="12"/>
  <c r="AB1555" i="12"/>
  <c r="AB1060" i="12"/>
  <c r="AB2991" i="12"/>
  <c r="AB3121" i="12"/>
  <c r="AB98" i="12"/>
  <c r="AB1936" i="12"/>
  <c r="AB2708" i="12"/>
  <c r="AB977" i="12"/>
  <c r="AB3094" i="12"/>
  <c r="AB1215" i="12"/>
  <c r="AB1700" i="12"/>
  <c r="AB1430" i="12"/>
  <c r="AB3117" i="12"/>
  <c r="AB284" i="12"/>
  <c r="AB2962" i="12"/>
  <c r="AB3436" i="12"/>
  <c r="AB1838" i="12"/>
  <c r="AB2660" i="12"/>
  <c r="AB371" i="12"/>
  <c r="AB2769" i="12"/>
  <c r="AB127" i="12"/>
  <c r="AB91" i="12"/>
  <c r="AB1710" i="12"/>
  <c r="AB171" i="12"/>
  <c r="AB2610" i="12"/>
  <c r="AB2117" i="12"/>
  <c r="AB419" i="12"/>
  <c r="AB2848" i="12"/>
  <c r="AB536" i="12"/>
  <c r="AB2879" i="12"/>
  <c r="AB3034" i="12"/>
  <c r="AB654" i="12"/>
  <c r="AB1436" i="12"/>
  <c r="AB1344" i="12"/>
  <c r="AB1611" i="12"/>
  <c r="AB21" i="12"/>
  <c r="AB376" i="12"/>
  <c r="AB2670" i="12"/>
  <c r="AB2009" i="12"/>
  <c r="AB1910" i="12"/>
  <c r="AB2476" i="12"/>
  <c r="AB1292" i="12"/>
  <c r="AB2820" i="12"/>
  <c r="AB2378" i="12"/>
  <c r="AB1934" i="12"/>
  <c r="AB1254" i="12"/>
  <c r="AB3507" i="12"/>
  <c r="AB392" i="12"/>
  <c r="AB893" i="12"/>
  <c r="AB1723" i="12"/>
  <c r="AB1313" i="12"/>
  <c r="AB976" i="12"/>
  <c r="AB789" i="12"/>
  <c r="AB978" i="12"/>
  <c r="AB2711" i="12"/>
  <c r="AB1641" i="12"/>
  <c r="AB3232" i="12"/>
  <c r="AB1418" i="12"/>
  <c r="AB501" i="12"/>
  <c r="AB505" i="12"/>
  <c r="AB1015" i="12"/>
  <c r="AB1353" i="12"/>
  <c r="AB141" i="12"/>
  <c r="AB954" i="12"/>
  <c r="AB682" i="12"/>
  <c r="AB2988" i="12"/>
  <c r="AB425" i="12"/>
  <c r="AB3488" i="12"/>
  <c r="AB2697" i="12"/>
  <c r="AB3170" i="12"/>
  <c r="AB652" i="12"/>
  <c r="AB286" i="12"/>
  <c r="AB1199" i="12"/>
  <c r="AB3180" i="12"/>
  <c r="AB964" i="12"/>
  <c r="AB2648" i="12"/>
  <c r="AB734" i="12"/>
  <c r="AB1609" i="12"/>
  <c r="AB2997" i="12"/>
  <c r="AB2649" i="12"/>
  <c r="AB3244" i="12"/>
  <c r="AB1417" i="12"/>
  <c r="AB2482" i="12"/>
  <c r="AB2367" i="12"/>
  <c r="AB2531" i="12"/>
  <c r="AB1633" i="12"/>
  <c r="AB201" i="12"/>
  <c r="AB883" i="12"/>
  <c r="AB1190" i="12"/>
  <c r="AB1551" i="12"/>
  <c r="AB708" i="12"/>
  <c r="AB865" i="12"/>
  <c r="AB3207" i="12"/>
  <c r="AB555" i="12"/>
  <c r="AB3420" i="12"/>
  <c r="AB2234" i="12"/>
  <c r="AB3343" i="12"/>
  <c r="AB1584" i="12"/>
  <c r="AB535" i="12"/>
  <c r="AB427" i="12"/>
  <c r="AB1315" i="12"/>
  <c r="AB368" i="12"/>
  <c r="AB844" i="12"/>
  <c r="AB257" i="12"/>
  <c r="AB650" i="12"/>
  <c r="AB478" i="12"/>
  <c r="AB361" i="12"/>
  <c r="AB3114" i="12"/>
  <c r="AB628" i="12"/>
  <c r="AB521" i="12"/>
  <c r="AB1320" i="12"/>
  <c r="AB2806" i="12"/>
  <c r="AB2529" i="12"/>
  <c r="AB1349" i="12"/>
  <c r="AB1956" i="12"/>
  <c r="AB2939" i="12"/>
  <c r="AB2376" i="12"/>
  <c r="AB2824" i="12"/>
  <c r="AB1893" i="12"/>
  <c r="AB1086" i="12"/>
  <c r="AB1560" i="12"/>
  <c r="AB1921" i="12"/>
  <c r="AB857" i="12"/>
  <c r="AB200" i="12"/>
  <c r="AB2222" i="12"/>
  <c r="AB1274" i="12"/>
  <c r="AB413" i="12"/>
  <c r="AB3431" i="12"/>
  <c r="AB1745" i="12"/>
  <c r="AB28" i="12"/>
  <c r="AB810" i="12"/>
  <c r="AB3137" i="12"/>
  <c r="AB302" i="12"/>
  <c r="AB1452" i="12"/>
  <c r="AB2014" i="12"/>
  <c r="AB1322" i="12"/>
  <c r="AB1319" i="12"/>
  <c r="AB575" i="12"/>
  <c r="AB2501" i="12"/>
  <c r="AB59" i="12"/>
  <c r="AB1134" i="12"/>
  <c r="AB385" i="12"/>
  <c r="AB1395" i="12"/>
  <c r="AB991" i="12"/>
  <c r="AB2162" i="12"/>
  <c r="AB2218" i="12"/>
  <c r="AB2802" i="12"/>
  <c r="AB2187" i="12"/>
  <c r="AB963" i="12"/>
  <c r="AB660" i="12"/>
  <c r="AB3046" i="12"/>
  <c r="AB2966" i="12"/>
  <c r="AB2456" i="12"/>
  <c r="AB102" i="12"/>
  <c r="AB2605" i="12"/>
  <c r="AB1514" i="12"/>
  <c r="AB2903" i="12"/>
  <c r="AB1112" i="12"/>
  <c r="AB1928" i="12"/>
  <c r="AB93" i="12"/>
  <c r="AB638" i="12"/>
  <c r="AB1986" i="12"/>
  <c r="AB2771" i="12"/>
  <c r="AB1188" i="12"/>
  <c r="AB729" i="12"/>
  <c r="AB2551" i="12"/>
  <c r="AB1279" i="12"/>
  <c r="AB1162" i="12"/>
  <c r="AB1083" i="12"/>
  <c r="AB951" i="12"/>
  <c r="AB1008" i="12"/>
  <c r="AB183" i="12"/>
  <c r="AB815" i="12"/>
  <c r="AB3026" i="12"/>
  <c r="AB234" i="12"/>
  <c r="AB1667" i="12"/>
  <c r="AB2826" i="12"/>
  <c r="AB2925" i="12"/>
  <c r="AB484" i="12"/>
  <c r="AB3520" i="12"/>
  <c r="AB1348" i="12"/>
  <c r="AB2116" i="12"/>
  <c r="AB2075" i="12"/>
  <c r="AB3028" i="12"/>
  <c r="AB1453" i="12"/>
  <c r="AB2293" i="12"/>
  <c r="AB2709" i="12"/>
  <c r="AB268" i="12"/>
  <c r="AB1010" i="12"/>
  <c r="AB3196" i="12"/>
  <c r="AB189" i="12"/>
  <c r="AB1813" i="12"/>
  <c r="AB527" i="12"/>
  <c r="AB3064" i="12"/>
  <c r="AB2892" i="12"/>
  <c r="AB1068" i="12"/>
  <c r="AB1159" i="12"/>
  <c r="AB574" i="12"/>
  <c r="AB2341" i="12"/>
  <c r="AB305" i="12"/>
  <c r="AB2183" i="12"/>
  <c r="AB2467" i="12"/>
  <c r="AB2893" i="12"/>
  <c r="AB48" i="12"/>
  <c r="AB2063" i="12"/>
  <c r="AB1592" i="12"/>
  <c r="AB1014" i="12"/>
  <c r="AB684" i="12"/>
  <c r="AB1721" i="12"/>
  <c r="AB182" i="12"/>
  <c r="AB1550" i="12"/>
  <c r="AB1741" i="12"/>
  <c r="AB1332" i="12"/>
  <c r="AB42" i="12"/>
  <c r="AB3296" i="12"/>
  <c r="AB3189" i="12"/>
  <c r="AB179" i="12"/>
  <c r="AB2552" i="12"/>
  <c r="AB1167" i="12"/>
  <c r="AB768" i="12"/>
  <c r="AB3102" i="12"/>
  <c r="AB1939" i="12"/>
  <c r="AB1281" i="12"/>
  <c r="AB3430" i="12"/>
  <c r="AB2662" i="12"/>
  <c r="AB2290" i="12"/>
  <c r="AB1814" i="12"/>
  <c r="AB2783" i="12"/>
  <c r="AB902" i="12"/>
  <c r="AB2042" i="12"/>
  <c r="AB1463" i="12"/>
  <c r="AB1691" i="12"/>
  <c r="AB218" i="12"/>
  <c r="AB1386" i="12"/>
  <c r="AB65" i="12"/>
  <c r="AB1725" i="12"/>
  <c r="AB1902" i="12"/>
  <c r="AB2614" i="12"/>
  <c r="AB3546" i="12"/>
  <c r="AB3245" i="12"/>
  <c r="AB1585" i="12"/>
  <c r="AB1873" i="12"/>
  <c r="AB2204" i="12"/>
  <c r="AB507" i="12"/>
  <c r="AB577" i="12"/>
  <c r="AB1605" i="12"/>
  <c r="AB1180" i="12"/>
  <c r="AB224" i="12"/>
  <c r="AB1778" i="12"/>
  <c r="AB1994" i="12"/>
  <c r="AB1013" i="12"/>
  <c r="AB989" i="12"/>
  <c r="AB1950" i="12"/>
  <c r="AB1268" i="12"/>
  <c r="AB3543" i="12"/>
  <c r="AB2297" i="12"/>
  <c r="AB2313" i="12"/>
  <c r="AB2163" i="12"/>
  <c r="AB2195" i="12"/>
  <c r="AB2674" i="12"/>
  <c r="AB1368" i="12"/>
  <c r="AB774" i="12"/>
  <c r="AB2959" i="12"/>
  <c r="AB1466" i="12"/>
  <c r="AB1501" i="12"/>
  <c r="AB3351" i="12"/>
  <c r="AB1384" i="12"/>
  <c r="AB1948" i="12"/>
  <c r="AB1381" i="12"/>
  <c r="AB884" i="12"/>
  <c r="AB1187" i="12"/>
  <c r="AB872" i="12"/>
  <c r="AB1746" i="12"/>
  <c r="AB3452" i="12"/>
  <c r="AB3085" i="12"/>
  <c r="AB2395" i="12"/>
  <c r="AB469" i="12"/>
  <c r="AB2302" i="12"/>
  <c r="AB1761" i="12"/>
  <c r="AB3139" i="12"/>
  <c r="AB2357" i="12"/>
  <c r="AB2335" i="12"/>
  <c r="AB1122" i="12"/>
  <c r="AB3171" i="12"/>
  <c r="AB1277" i="12"/>
  <c r="AB3352" i="12"/>
  <c r="AB2431" i="12"/>
  <c r="AB1104" i="12"/>
  <c r="AB733" i="12"/>
  <c r="AB718" i="12"/>
  <c r="AB2466" i="12"/>
  <c r="AB320" i="12"/>
  <c r="AB974" i="12"/>
  <c r="AB994" i="12"/>
  <c r="AB3497" i="12"/>
  <c r="AB804" i="12"/>
  <c r="AB2577" i="12"/>
  <c r="AB481" i="12"/>
  <c r="AB3535" i="12"/>
  <c r="AB2423" i="12"/>
  <c r="AB1267" i="12"/>
  <c r="AB310" i="12"/>
  <c r="AB1837" i="12"/>
  <c r="AB3000" i="12"/>
  <c r="AB3020" i="12"/>
  <c r="AB3328" i="12"/>
  <c r="AB2904" i="12"/>
  <c r="AB1377" i="12"/>
  <c r="AB1249" i="12"/>
  <c r="AB1495" i="12"/>
  <c r="AB3141" i="12"/>
  <c r="AB2277" i="12"/>
  <c r="AB1508" i="12"/>
  <c r="AB136" i="12"/>
  <c r="AB2168" i="12"/>
  <c r="AB1883" i="12"/>
  <c r="AB1644" i="12"/>
  <c r="AB1228" i="12"/>
  <c r="AB1154" i="12"/>
  <c r="AB3306" i="12"/>
  <c r="AB1038" i="12"/>
  <c r="AB643" i="12"/>
  <c r="AB3326" i="12"/>
  <c r="AB1628" i="12"/>
  <c r="AB1479" i="12"/>
  <c r="AB1335" i="12"/>
  <c r="AB2993" i="12"/>
  <c r="AB2283" i="12"/>
  <c r="AB1116" i="12"/>
  <c r="AB778" i="12"/>
  <c r="AB1413" i="12"/>
  <c r="AB826" i="12"/>
  <c r="AB1084" i="12"/>
  <c r="AB3532" i="12"/>
  <c r="AB1625" i="12"/>
  <c r="AB145" i="12"/>
  <c r="AB2108" i="12"/>
  <c r="AB2512" i="12"/>
  <c r="AB149" i="12"/>
  <c r="AB2911" i="12"/>
  <c r="AB71" i="12"/>
  <c r="AB1794" i="12"/>
  <c r="AB3211" i="12"/>
  <c r="AB1341" i="12"/>
  <c r="AB2752" i="12"/>
  <c r="AB3485" i="12"/>
  <c r="AB2905" i="12"/>
  <c r="AB868" i="12"/>
  <c r="AB2288" i="12"/>
  <c r="AB2917" i="12"/>
  <c r="AB2262" i="12"/>
  <c r="AB3284" i="12"/>
  <c r="AB2457" i="12"/>
  <c r="AB3214" i="12"/>
  <c r="AB3234" i="12"/>
  <c r="AB572" i="12"/>
  <c r="AB1715" i="12"/>
  <c r="AB730" i="12"/>
  <c r="AB2031" i="12"/>
  <c r="AB2797" i="12"/>
  <c r="AB3143" i="12"/>
  <c r="AB3104" i="12"/>
  <c r="AB2475" i="12"/>
  <c r="AB2620" i="12"/>
  <c r="AB1703" i="12"/>
  <c r="AB3380" i="12"/>
  <c r="AB1959" i="12"/>
  <c r="AB800" i="12"/>
  <c r="AB3391" i="12"/>
  <c r="AB2491" i="12"/>
  <c r="AB1338" i="12"/>
  <c r="AB918" i="12"/>
  <c r="AB229" i="12"/>
  <c r="AB199" i="12"/>
  <c r="AB1088" i="12"/>
  <c r="AB2380" i="12"/>
  <c r="AB721" i="12"/>
  <c r="AB1689" i="12"/>
  <c r="AB3404" i="12"/>
  <c r="AB2569" i="12"/>
  <c r="AB2615" i="12"/>
  <c r="AB3091" i="12"/>
  <c r="AB1790" i="12"/>
  <c r="AB2094" i="12"/>
  <c r="AB651" i="12"/>
  <c r="AB1316" i="12"/>
  <c r="AB1141" i="12"/>
  <c r="AB3145" i="12"/>
  <c r="AB2287" i="12"/>
  <c r="AB1176" i="12"/>
  <c r="AB209" i="12"/>
  <c r="AB2650" i="12"/>
  <c r="AB3350" i="12"/>
  <c r="AB211" i="12"/>
  <c r="AB1925" i="12"/>
  <c r="AB2372" i="12"/>
  <c r="AB2792" i="12"/>
  <c r="AB1901" i="12"/>
  <c r="AB2119" i="12"/>
  <c r="AB2269" i="12"/>
  <c r="AB2416" i="12"/>
  <c r="AB943" i="12"/>
  <c r="AB2432" i="12"/>
  <c r="AB2989" i="12"/>
  <c r="AB271" i="12"/>
  <c r="AB1996" i="12"/>
  <c r="AB2368" i="12"/>
  <c r="AB2397" i="12"/>
  <c r="AB1169" i="12"/>
  <c r="AB969" i="12"/>
  <c r="AB2968" i="12"/>
  <c r="AB355" i="12"/>
  <c r="AB1766" i="12"/>
  <c r="AB40" i="12"/>
  <c r="AB680" i="12"/>
  <c r="AB203" i="12"/>
  <c r="AB1301" i="12"/>
  <c r="AB74" i="12"/>
  <c r="AB1696" i="12"/>
  <c r="AB2922" i="12"/>
  <c r="AB1350" i="12"/>
  <c r="AB3099" i="12"/>
  <c r="AB1147" i="12"/>
  <c r="AB1283" i="12"/>
  <c r="AB699" i="12"/>
  <c r="AB2069" i="12"/>
  <c r="AB228" i="12"/>
  <c r="AB1080" i="12"/>
  <c r="AB2628" i="12"/>
  <c r="AB1443" i="12"/>
  <c r="AB1411" i="12"/>
  <c r="AB3354" i="12"/>
  <c r="AB1699" i="12"/>
  <c r="AB1244" i="12"/>
  <c r="AB1025" i="12"/>
  <c r="AB2006" i="12"/>
  <c r="AB2796" i="12"/>
  <c r="AB1289" i="12"/>
  <c r="AB1440" i="12"/>
  <c r="AB1851" i="12"/>
  <c r="AB570" i="12"/>
  <c r="AB2588" i="12"/>
  <c r="AB703" i="12"/>
  <c r="AB2616" i="12"/>
  <c r="AB2880" i="12"/>
  <c r="AB637" i="12"/>
  <c r="AB2209" i="12"/>
  <c r="AB2393" i="12"/>
  <c r="AB2268" i="12"/>
  <c r="AB583" i="12"/>
  <c r="AB813" i="12"/>
  <c r="AB676" i="12"/>
  <c r="AB2121" i="12"/>
  <c r="AB1022" i="12"/>
  <c r="AB2188" i="12"/>
  <c r="AB791" i="12"/>
  <c r="AB352" i="12"/>
  <c r="AB2509" i="12"/>
  <c r="AB2112" i="12"/>
  <c r="AB3146" i="12"/>
  <c r="AB849" i="12"/>
  <c r="AB491" i="12"/>
  <c r="AB2653" i="12"/>
  <c r="AB158" i="12"/>
  <c r="AB323" i="12"/>
  <c r="AB3449" i="12"/>
  <c r="AB1464" i="12"/>
  <c r="AB2249" i="12"/>
  <c r="AB319" i="12"/>
  <c r="AB823" i="12"/>
  <c r="AB2599" i="12"/>
  <c r="AB2164" i="12"/>
  <c r="AB121" i="12"/>
  <c r="AB2575" i="12"/>
  <c r="AB2739" i="12"/>
  <c r="AB178" i="12"/>
  <c r="AB1328" i="12"/>
  <c r="AB961" i="12"/>
  <c r="AB2460" i="12"/>
  <c r="AB2867" i="12"/>
  <c r="AB2267" i="12"/>
  <c r="AB2510" i="12"/>
  <c r="AB3517" i="12"/>
  <c r="AB3538" i="12"/>
  <c r="AB2409" i="12"/>
  <c r="AB897" i="12"/>
  <c r="AB3246" i="12"/>
  <c r="AB2884" i="12"/>
  <c r="AB1352" i="12"/>
  <c r="AB197" i="12"/>
  <c r="AB1360" i="12"/>
  <c r="AB609" i="12"/>
  <c r="AB1836" i="12"/>
  <c r="AB982" i="12"/>
  <c r="AB1655" i="12"/>
  <c r="AB1324" i="12"/>
  <c r="AB779" i="12"/>
  <c r="AB2790" i="12"/>
  <c r="AB1843" i="12"/>
  <c r="AB2246" i="12"/>
  <c r="AB237" i="12"/>
  <c r="AB1574" i="12"/>
  <c r="AB2256" i="12"/>
  <c r="AB3514" i="12"/>
  <c r="AB3053" i="12"/>
  <c r="AB1393" i="12"/>
  <c r="AB2622" i="12"/>
  <c r="AB2725" i="12"/>
  <c r="AB2295" i="12"/>
  <c r="AB247" i="12"/>
  <c r="AB677" i="12"/>
  <c r="AB2830" i="12"/>
  <c r="AB553" i="12"/>
  <c r="AB3369" i="12"/>
  <c r="AB2243" i="12"/>
  <c r="AB558" i="12"/>
  <c r="AB3119" i="12"/>
  <c r="AB1340" i="12"/>
  <c r="AB435" i="12"/>
  <c r="AB3167" i="12"/>
  <c r="AB165" i="12"/>
  <c r="AB2045" i="12"/>
  <c r="AB1796" i="12"/>
  <c r="AB3109" i="12"/>
  <c r="AB1490" i="12"/>
  <c r="AB2339" i="12"/>
  <c r="AB1202" i="12"/>
  <c r="AB1524" i="12"/>
  <c r="AB2443" i="12"/>
  <c r="AB3444" i="12"/>
  <c r="AB1456" i="12"/>
  <c r="AB559" i="12"/>
  <c r="AB1314" i="12"/>
  <c r="AB428" i="12"/>
  <c r="AB3516" i="12"/>
  <c r="AB2535" i="12"/>
  <c r="AB3529" i="12"/>
  <c r="AB1671" i="12"/>
  <c r="AB906" i="12"/>
  <c r="AB728" i="12"/>
  <c r="AB2860" i="12"/>
  <c r="AB1184" i="12"/>
  <c r="AB2161" i="12"/>
  <c r="AB2661" i="12"/>
  <c r="AB1469" i="12"/>
  <c r="AB3172" i="12"/>
  <c r="AB962" i="12"/>
  <c r="AB2980" i="12"/>
  <c r="AB988" i="12"/>
  <c r="AB485" i="12"/>
  <c r="AB2152" i="12"/>
  <c r="AB1519" i="12"/>
  <c r="AB3083" i="12"/>
  <c r="AB2539" i="12"/>
  <c r="AB2543" i="12"/>
  <c r="AB3235" i="12"/>
  <c r="AB1601" i="12"/>
  <c r="AB1197" i="12"/>
  <c r="AB3060" i="12"/>
  <c r="AB993" i="12"/>
  <c r="AB525" i="12"/>
  <c r="AB697" i="12"/>
  <c r="AB1714" i="12"/>
  <c r="AB2668" i="12"/>
  <c r="AB587" i="12"/>
  <c r="AB147" i="12"/>
  <c r="AB2040" i="12"/>
  <c r="AB1158" i="12"/>
  <c r="AB1654" i="12"/>
  <c r="AB2359" i="12"/>
  <c r="AB1801" i="12"/>
  <c r="AB340" i="12"/>
  <c r="AB1958" i="12"/>
  <c r="AB1533" i="12"/>
  <c r="AB153" i="12"/>
  <c r="AB309" i="12"/>
  <c r="AB2124" i="12"/>
  <c r="AB1561" i="12"/>
  <c r="AB1177" i="12"/>
  <c r="AB3322" i="12"/>
  <c r="AB2079" i="12"/>
  <c r="AB2537" i="12"/>
  <c r="AB375" i="12"/>
  <c r="AB99" i="12"/>
  <c r="AB797" i="12"/>
  <c r="AB2647" i="12"/>
  <c r="AB84" i="12"/>
  <c r="AB3402" i="12"/>
  <c r="AB3231" i="12"/>
  <c r="AB592" i="12"/>
  <c r="AB370" i="12"/>
  <c r="AB2390" i="12"/>
  <c r="AB2463" i="12"/>
  <c r="AB1248" i="12"/>
  <c r="AB1273" i="12"/>
  <c r="AB2632" i="12"/>
  <c r="AB3192" i="12"/>
  <c r="AB2540" i="12"/>
  <c r="AB3465" i="12"/>
  <c r="AB1909" i="12"/>
  <c r="AB2609" i="12"/>
  <c r="AB3435" i="12"/>
  <c r="AB873" i="12"/>
  <c r="AB69" i="12"/>
  <c r="AB1209" i="12"/>
  <c r="AB2146" i="12"/>
  <c r="AB1046" i="12"/>
  <c r="AB250" i="12"/>
  <c r="AB2403" i="12"/>
  <c r="AB2937" i="12"/>
  <c r="AB362" i="12"/>
  <c r="AB1982" i="12"/>
  <c r="AB2255" i="12"/>
  <c r="AB3347" i="12"/>
  <c r="AB112" i="12"/>
  <c r="AB3271" i="12"/>
  <c r="AB3236" i="12"/>
  <c r="AB687" i="12"/>
  <c r="AB3100" i="12"/>
  <c r="AB3438" i="12"/>
  <c r="AB3528" i="12"/>
  <c r="AB2241" i="12"/>
  <c r="AB2669" i="12"/>
  <c r="AB1771" i="12"/>
  <c r="AB2799" i="12"/>
  <c r="AB2292" i="12"/>
  <c r="AB1758" i="12"/>
  <c r="AB2192" i="12"/>
  <c r="AB3105" i="12"/>
  <c r="AB2918" i="12"/>
  <c r="AB1424" i="12"/>
  <c r="AB747" i="12"/>
  <c r="AB462" i="12"/>
  <c r="AB1698" i="12"/>
  <c r="AB597" i="12"/>
  <c r="AB875" i="12"/>
  <c r="AB1932" i="12"/>
  <c r="AB3387" i="12"/>
  <c r="AB1446" i="12"/>
  <c r="AB608" i="12"/>
  <c r="AB2078" i="12"/>
  <c r="AB2871" i="12"/>
  <c r="AB1865" i="12"/>
  <c r="AB2636" i="12"/>
  <c r="AB3511" i="12"/>
  <c r="AB2870" i="12"/>
  <c r="AB1126" i="12"/>
  <c r="AB2585" i="12"/>
  <c r="AB3457" i="12"/>
  <c r="AB1765" i="12"/>
  <c r="AB2125" i="12"/>
  <c r="AB942" i="12"/>
  <c r="AB1004" i="12"/>
  <c r="AB2762" i="12"/>
  <c r="AB1231" i="12"/>
  <c r="AB2548" i="12"/>
  <c r="AB537" i="12"/>
  <c r="AB3219" i="12"/>
  <c r="AB502" i="12"/>
  <c r="AB2576" i="12"/>
  <c r="AB403" i="12"/>
  <c r="AB1375" i="12"/>
  <c r="AB675" i="12"/>
  <c r="AB2724" i="12"/>
  <c r="AB1953" i="12"/>
  <c r="AB1423" i="12"/>
  <c r="AB2912" i="12"/>
  <c r="AB1005" i="12"/>
  <c r="AB1331" i="12"/>
  <c r="AB3310" i="12"/>
  <c r="AB412" i="12"/>
  <c r="AB1965" i="12"/>
  <c r="AB1358" i="12"/>
  <c r="AB916" i="12"/>
  <c r="AB1361" i="12"/>
  <c r="AB2680" i="12"/>
  <c r="AB3505" i="12"/>
  <c r="AB1219" i="12"/>
  <c r="AB1877" i="12"/>
  <c r="AB3195" i="12"/>
  <c r="AB1690" i="12"/>
  <c r="AB1619" i="12"/>
  <c r="AB3533" i="12"/>
  <c r="AB213" i="12"/>
  <c r="AB737" i="12"/>
  <c r="AB2400" i="12"/>
  <c r="AB83" i="12"/>
  <c r="AB274" i="12"/>
  <c r="AB1842" i="12"/>
  <c r="AB2728" i="12"/>
  <c r="AB2265" i="12"/>
  <c r="AB202" i="12"/>
  <c r="AB1370" i="12"/>
  <c r="AB2818" i="12"/>
  <c r="AB3260" i="12"/>
  <c r="AB3110" i="12"/>
  <c r="AB2220" i="12"/>
  <c r="AB88" i="12"/>
  <c r="AB2193" i="12"/>
  <c r="AB379" i="12"/>
  <c r="AB325" i="12"/>
  <c r="AB300" i="12"/>
  <c r="AB3263" i="12"/>
  <c r="AB2111" i="12"/>
  <c r="AB2181" i="12"/>
  <c r="AB3501" i="12"/>
  <c r="AB2428" i="12"/>
  <c r="AB2080" i="12"/>
  <c r="AB3176" i="12"/>
  <c r="AB1859" i="12"/>
  <c r="AB698" i="12"/>
  <c r="AB2052" i="12"/>
  <c r="AB2837" i="12"/>
  <c r="AB1255" i="12"/>
  <c r="AB466" i="12"/>
  <c r="AB3030" i="12"/>
  <c r="AB1702" i="12"/>
  <c r="AB3215" i="12"/>
  <c r="AB3188" i="12"/>
  <c r="AB2990" i="12"/>
  <c r="AB2685" i="12"/>
  <c r="AB2595" i="12"/>
  <c r="AB1753" i="12"/>
  <c r="AB2207" i="12"/>
  <c r="AB530" i="12"/>
  <c r="AB367" i="12"/>
  <c r="AB2233" i="12"/>
  <c r="AB19" i="12"/>
  <c r="AB2479" i="12"/>
  <c r="AB3162" i="12"/>
  <c r="AB2012" i="12"/>
  <c r="AB1337" i="12"/>
  <c r="AB3257" i="12"/>
  <c r="AB894" i="12"/>
  <c r="AB1120" i="12"/>
  <c r="AB817" i="12"/>
  <c r="AB29" i="12"/>
  <c r="AB2391" i="12"/>
  <c r="AB2197" i="12"/>
  <c r="AB704" i="12"/>
  <c r="AB1260" i="12"/>
  <c r="AB2086" i="12"/>
  <c r="AB169" i="12"/>
  <c r="AB409" i="12"/>
  <c r="AB2130" i="12"/>
  <c r="AB139" i="12"/>
  <c r="AB204" i="12"/>
  <c r="AB277" i="12"/>
  <c r="AB2417" i="12"/>
  <c r="AB2225" i="12"/>
  <c r="AB27" i="12"/>
  <c r="AB3409" i="12"/>
  <c r="AB1398" i="12"/>
  <c r="AB1890" i="12"/>
  <c r="AB1163" i="12"/>
  <c r="AB129" i="12"/>
  <c r="AB1110" i="12"/>
  <c r="AB999" i="12"/>
  <c r="AB154" i="12"/>
  <c r="AB3521" i="12"/>
  <c r="AB3301" i="12"/>
  <c r="AB3164" i="12"/>
  <c r="AB441" i="12"/>
  <c r="AB1945" i="12"/>
  <c r="AB3273" i="12"/>
  <c r="AB3410" i="12"/>
  <c r="AB3275" i="12"/>
  <c r="AB1570" i="12"/>
  <c r="AB299" i="12"/>
  <c r="AB382" i="12"/>
  <c r="AB1275" i="12"/>
  <c r="AB386" i="12"/>
  <c r="AB2406" i="12"/>
  <c r="AB3428" i="12"/>
  <c r="AB2407" i="12"/>
  <c r="AB236" i="12"/>
  <c r="AB786" i="12"/>
  <c r="AB503" i="12"/>
  <c r="AB1438" i="12"/>
  <c r="AB1822" i="12"/>
  <c r="AB1261" i="12"/>
  <c r="AB573" i="12"/>
  <c r="AB1566" i="12"/>
  <c r="AB1931" i="12"/>
  <c r="AB1105" i="12"/>
  <c r="AB3153" i="12"/>
  <c r="AB3041" i="12"/>
  <c r="AB1082" i="12"/>
  <c r="AB753" i="12"/>
  <c r="AB636" i="12"/>
  <c r="AB1392" i="12"/>
  <c r="AB2710" i="12"/>
  <c r="AB2844" i="12"/>
  <c r="AB89" i="12"/>
  <c r="AB3203" i="12"/>
  <c r="AB479" i="12"/>
  <c r="AB437" i="12"/>
  <c r="AB726" i="12"/>
  <c r="AB2580" i="12"/>
  <c r="AB770" i="12"/>
  <c r="AB2765" i="12"/>
  <c r="AB1711" i="12"/>
  <c r="AB1606" i="12"/>
  <c r="AB824" i="12"/>
  <c r="AB2673" i="12"/>
  <c r="AB672" i="12"/>
  <c r="AB1709" i="12"/>
  <c r="AB3270" i="12"/>
  <c r="AB1107" i="12"/>
  <c r="AB1236" i="12"/>
  <c r="AB2642" i="12"/>
  <c r="AB2974" i="12"/>
  <c r="AB1568" i="12"/>
  <c r="AB206" i="12"/>
  <c r="AB1974" i="12"/>
  <c r="AB3227" i="12"/>
  <c r="AB128" i="12"/>
  <c r="AB763" i="12"/>
  <c r="AB3130" i="12"/>
  <c r="AB1575" i="12"/>
  <c r="AB3217" i="12"/>
  <c r="AB997" i="12"/>
  <c r="AB2810" i="12"/>
  <c r="AB1127" i="12"/>
  <c r="AB2166" i="12"/>
  <c r="AB1467" i="12"/>
  <c r="AB3443" i="12"/>
  <c r="AB1457" i="12"/>
  <c r="AB524" i="12"/>
  <c r="AB1955" i="12"/>
  <c r="AB58" i="12"/>
  <c r="AB896" i="12"/>
  <c r="AB839" i="12"/>
  <c r="AB414" i="12"/>
  <c r="AB135" i="12"/>
  <c r="AB2015" i="12"/>
  <c r="AB2199" i="12"/>
  <c r="AB3199" i="12"/>
  <c r="AB3460" i="12"/>
  <c r="AB968" i="12"/>
  <c r="AB2957" i="12"/>
  <c r="AB2978" i="12"/>
  <c r="AB2007" i="12"/>
  <c r="AB693" i="12"/>
  <c r="AB668" i="12"/>
  <c r="AB1150" i="12"/>
  <c r="AB2561" i="12"/>
  <c r="AB1138" i="12"/>
  <c r="AB1875" i="12"/>
  <c r="AB1682" i="12"/>
  <c r="AB2835" i="12"/>
  <c r="AB2447" i="12"/>
  <c r="AB1947" i="12"/>
  <c r="AB3466" i="12"/>
  <c r="AB3375" i="12"/>
  <c r="AB1412" i="12"/>
  <c r="AB1409" i="12"/>
  <c r="AB1915" i="12"/>
  <c r="AB1789" i="12"/>
  <c r="AB3022" i="12"/>
  <c r="AB2286" i="12"/>
  <c r="AB2325" i="12"/>
  <c r="AB788" i="12"/>
  <c r="AB2194" i="12"/>
  <c r="AB2455" i="12"/>
  <c r="AB1049" i="12"/>
  <c r="AB3459" i="12"/>
  <c r="AB2142" i="12"/>
  <c r="AB80" i="12"/>
  <c r="AB2971" i="12"/>
  <c r="AB1565" i="12"/>
  <c r="AB2833" i="12"/>
  <c r="AB1090" i="12"/>
  <c r="AB2494" i="12"/>
  <c r="AB2322" i="12"/>
  <c r="AB1372" i="12"/>
  <c r="AB384" i="12"/>
  <c r="AB2048" i="12"/>
  <c r="AB2941" i="12"/>
  <c r="AB1856" i="12"/>
  <c r="AB374" i="12"/>
  <c r="AB1597" i="12"/>
  <c r="AB463" i="12"/>
  <c r="AB62" i="12"/>
  <c r="AB928" i="12"/>
  <c r="AB2434" i="12"/>
  <c r="AB3106" i="12"/>
  <c r="AB3285" i="12"/>
  <c r="AB1265" i="12"/>
  <c r="AB3001" i="12"/>
  <c r="AB2336" i="12"/>
  <c r="AB1073" i="12"/>
  <c r="AB1152" i="12"/>
  <c r="AB3200" i="12"/>
  <c r="AB148" i="12"/>
  <c r="AB2321" i="12"/>
  <c r="AB306" i="12"/>
  <c r="AB2603" i="12"/>
  <c r="AB1406" i="12"/>
  <c r="AB3272" i="12"/>
  <c r="AB2887" i="12"/>
  <c r="AB3523" i="12"/>
  <c r="AB1027" i="12"/>
  <c r="AB2869" i="12"/>
  <c r="AB720" i="12"/>
  <c r="AB2832" i="12"/>
  <c r="AB1868" i="12"/>
  <c r="AB3442" i="12"/>
  <c r="AB3225" i="12"/>
  <c r="AB854" i="12"/>
  <c r="AB2693" i="12"/>
  <c r="AB665" i="12"/>
  <c r="AB1569" i="12"/>
  <c r="AB3178" i="12"/>
  <c r="AB1055" i="12"/>
  <c r="AB2294" i="12"/>
  <c r="AB3071" i="12"/>
  <c r="AB2982" i="12"/>
  <c r="AB3327" i="12"/>
  <c r="AB193" i="12"/>
  <c r="AB279" i="12"/>
  <c r="AB2398" i="12"/>
  <c r="AB1185" i="12"/>
  <c r="AB1656" i="12"/>
  <c r="AB2619" i="12"/>
  <c r="AB719" i="12"/>
  <c r="AB3324" i="12"/>
  <c r="AB399" i="12"/>
  <c r="AB2511" i="12"/>
  <c r="AB1066" i="12"/>
  <c r="AB879" i="12"/>
  <c r="AB396" i="12"/>
  <c r="AB2748" i="12"/>
  <c r="AB1437" i="12"/>
  <c r="AB3208" i="12"/>
  <c r="AB2683" i="12"/>
  <c r="AB3187" i="12"/>
  <c r="AB1626" i="12"/>
  <c r="AB2421" i="12"/>
  <c r="AB3218" i="12"/>
  <c r="AB3486" i="12"/>
  <c r="AB3288" i="12"/>
  <c r="AB3506" i="12"/>
  <c r="AB2422" i="12"/>
  <c r="AB2237" i="12"/>
  <c r="AB2232" i="12"/>
  <c r="AB2250" i="12"/>
  <c r="AB1734" i="12"/>
  <c r="AB2060" i="12"/>
  <c r="AB321" i="12"/>
  <c r="AB2071" i="12"/>
  <c r="AB1193" i="12"/>
  <c r="AB1475" i="12"/>
  <c r="AB1186" i="12"/>
  <c r="AB3009" i="12"/>
  <c r="AB162" i="12"/>
  <c r="AB3336" i="12"/>
  <c r="AB3151" i="12"/>
  <c r="AB2816" i="12"/>
  <c r="AB1539" i="12"/>
  <c r="AB280" i="12"/>
  <c r="AB1645" i="12"/>
  <c r="AB1509" i="12"/>
  <c r="AB1238" i="12"/>
  <c r="AB2967" i="12"/>
  <c r="AB3461" i="12"/>
  <c r="AB3259" i="12"/>
  <c r="AB3031" i="12"/>
  <c r="AB1415" i="12"/>
  <c r="AB1136" i="12"/>
  <c r="AB3238" i="12"/>
  <c r="AB1527" i="12"/>
  <c r="AB1823" i="12"/>
  <c r="AB1607" i="12"/>
  <c r="AB3261" i="12"/>
  <c r="AB1071" i="12"/>
  <c r="AB2305" i="12"/>
  <c r="AB971" i="12"/>
  <c r="AB2505" i="12"/>
  <c r="AB2898" i="12"/>
  <c r="AB1065" i="12"/>
  <c r="AB2907" i="12"/>
  <c r="AB663" i="12"/>
  <c r="AB2136" i="12"/>
  <c r="AB534" i="12"/>
  <c r="AB2303" i="12"/>
  <c r="AB1204" i="12"/>
  <c r="AB2226" i="12"/>
  <c r="AB2862" i="12"/>
  <c r="AB1917" i="12"/>
  <c r="AB901" i="12"/>
  <c r="AB1858" i="12"/>
  <c r="AB673" i="12"/>
  <c r="AB1299" i="12"/>
  <c r="AB2227" i="12"/>
  <c r="AB1857" i="12"/>
  <c r="AB2681" i="12"/>
  <c r="AB1045" i="12"/>
  <c r="AB2521" i="12"/>
  <c r="AB2149" i="12"/>
  <c r="AB471" i="12"/>
  <c r="AB3536" i="12"/>
  <c r="AB2085" i="12"/>
  <c r="AB1848" i="12"/>
  <c r="AB2645" i="12"/>
  <c r="AB1888" i="12"/>
  <c r="AB2377" i="12"/>
  <c r="AB1763" i="12"/>
  <c r="AB288" i="12"/>
  <c r="AB744" i="12"/>
  <c r="AB984" i="12"/>
  <c r="AB3173" i="12"/>
  <c r="AB3123" i="12"/>
  <c r="AB1878" i="12"/>
  <c r="AB1470" i="12"/>
  <c r="AB3300" i="12"/>
  <c r="AB2667" i="12"/>
  <c r="AB3422" i="12"/>
  <c r="AB1407" i="12"/>
  <c r="AB394" i="12"/>
  <c r="AB855" i="12"/>
  <c r="AB2184" i="12"/>
  <c r="AB1366" i="12"/>
  <c r="AB422" i="12"/>
  <c r="AB2332" i="12"/>
  <c r="AB2933" i="12"/>
  <c r="AB1510" i="12"/>
  <c r="AB864" i="12"/>
  <c r="AB114" i="12"/>
  <c r="AB1476" i="12"/>
  <c r="AB1808" i="12"/>
  <c r="AB2635" i="12"/>
  <c r="AB3425" i="12"/>
  <c r="AB30" i="12"/>
  <c r="AB794" i="12"/>
  <c r="AB3307" i="12"/>
  <c r="AB1303" i="12"/>
  <c r="AB1640" i="12"/>
  <c r="AB2414" i="12"/>
  <c r="AB908" i="12"/>
  <c r="AB580" i="12"/>
  <c r="AB1678" i="12"/>
  <c r="AB1804" i="12"/>
  <c r="AB3510" i="12"/>
  <c r="AB2857" i="12"/>
  <c r="AB405" i="12"/>
  <c r="AB3047" i="12"/>
  <c r="AB1923" i="12"/>
  <c r="AB1011" i="12"/>
  <c r="AB2701" i="12"/>
  <c r="AB415" i="12"/>
  <c r="AB445" i="12"/>
  <c r="AB292" i="12"/>
  <c r="AB2057" i="12"/>
  <c r="AB2644" i="12"/>
  <c r="AB3067" i="12"/>
  <c r="AB2373" i="12"/>
  <c r="AB488" i="12"/>
  <c r="AB68" i="12"/>
  <c r="AB702" i="12"/>
  <c r="AB2663" i="12"/>
  <c r="AB3029" i="12"/>
  <c r="AB3419" i="12"/>
  <c r="AB1929" i="12"/>
  <c r="AB467" i="12"/>
  <c r="AB2621" i="12"/>
  <c r="AB2167" i="12"/>
  <c r="AB3043" i="12"/>
  <c r="AB1401" i="12"/>
  <c r="AB522" i="12"/>
  <c r="AB1100" i="12"/>
  <c r="AB1419" i="12"/>
  <c r="AB1862" i="12"/>
  <c r="AB1250" i="12"/>
  <c r="AB715" i="12"/>
  <c r="AB2839" i="12"/>
  <c r="AB303" i="12"/>
  <c r="AB3333" i="12"/>
  <c r="AB3098" i="12"/>
  <c r="AB532" i="12"/>
  <c r="AB827" i="12"/>
  <c r="AB782" i="12"/>
  <c r="AB2271" i="12"/>
  <c r="AB2513" i="12"/>
  <c r="AB516" i="12"/>
  <c r="AB653" i="12"/>
  <c r="AB500" i="12"/>
  <c r="AB2041" i="12"/>
  <c r="AB1979" i="12"/>
  <c r="AB935" i="12"/>
  <c r="AB2131" i="12"/>
  <c r="AB1030" i="12"/>
  <c r="AB1059" i="12"/>
  <c r="AB389" i="12"/>
  <c r="AB1143" i="12"/>
  <c r="AB2714" i="12"/>
  <c r="AB2703" i="12"/>
  <c r="AB2274" i="12"/>
  <c r="AB714" i="12"/>
  <c r="AB1906" i="12"/>
  <c r="AB1688" i="12"/>
  <c r="AB3468" i="12"/>
  <c r="AB198" i="12"/>
  <c r="AB2312" i="12"/>
  <c r="AB2868" i="12"/>
  <c r="AB205" i="12"/>
  <c r="AB2215" i="12"/>
  <c r="AB1346" i="12"/>
  <c r="AB1021" i="12"/>
  <c r="AB290" i="12"/>
  <c r="AB3186" i="12"/>
  <c r="AB402" i="12"/>
  <c r="AB3201" i="12"/>
  <c r="AB1431" i="12"/>
  <c r="AB2618" i="12"/>
  <c r="AB856" i="12"/>
  <c r="AB1037" i="12"/>
  <c r="AB696" i="12"/>
  <c r="AB2401" i="12"/>
  <c r="AB1020" i="12"/>
  <c r="AB3349" i="12"/>
  <c r="AB1017" i="12"/>
  <c r="AB548" i="12"/>
  <c r="AB2450" i="12"/>
  <c r="AB911" i="12"/>
  <c r="AB3418" i="12"/>
  <c r="AB1911" i="12"/>
  <c r="AB3464" i="12"/>
  <c r="AB1773" i="12"/>
  <c r="AB593" i="12"/>
  <c r="AB134" i="12"/>
  <c r="AB3068" i="12"/>
  <c r="AB1343" i="12"/>
  <c r="AB1913" i="12"/>
  <c r="AB2563" i="12"/>
  <c r="AB52" i="12"/>
  <c r="AB3399" i="12"/>
  <c r="AB596" i="12"/>
  <c r="AB2665" i="12"/>
  <c r="AB2691" i="12"/>
  <c r="AB1853" i="12"/>
  <c r="AB613" i="12"/>
  <c r="AB2318" i="12"/>
  <c r="AB1309" i="12"/>
  <c r="AB1513" i="12"/>
  <c r="AB2926" i="12"/>
  <c r="AB1544" i="12"/>
  <c r="AB3169" i="12"/>
  <c r="AB2700" i="12"/>
  <c r="AB3508" i="12"/>
  <c r="AB3134" i="12"/>
  <c r="AB1449" i="12"/>
  <c r="AB357" i="12"/>
  <c r="AB3077" i="12"/>
  <c r="AB1233" i="12"/>
  <c r="AB255" i="12"/>
  <c r="AB2859" i="12"/>
  <c r="AB2139" i="12"/>
  <c r="AB1035" i="12"/>
  <c r="AB754" i="12"/>
  <c r="AB448" i="12"/>
  <c r="AB398" i="12"/>
  <c r="AB1624" i="12"/>
  <c r="AB188" i="12"/>
  <c r="AB2307" i="12"/>
  <c r="AB1057" i="12"/>
  <c r="AB3481" i="12"/>
  <c r="AB1276" i="12"/>
  <c r="AB1590" i="12"/>
  <c r="AB2235" i="12"/>
  <c r="AB2291" i="12"/>
  <c r="AB806" i="12"/>
  <c r="AB2275" i="12"/>
  <c r="AB2503" i="12"/>
  <c r="AB3054" i="12"/>
  <c r="AB1355" i="12"/>
  <c r="AB1616" i="12"/>
  <c r="AB468" i="12"/>
  <c r="AB2351" i="12"/>
  <c r="AB1241" i="12"/>
  <c r="AB2284" i="12"/>
  <c r="AB888" i="12"/>
  <c r="AB3103" i="12"/>
  <c r="AB1070" i="12"/>
  <c r="AB2266" i="12"/>
  <c r="AB2032" i="12"/>
  <c r="AB620" i="12"/>
  <c r="AB1525" i="12"/>
  <c r="AB1997" i="12"/>
  <c r="AB606" i="12"/>
  <c r="AB443" i="12"/>
  <c r="AB1972" i="12"/>
  <c r="AB470" i="12"/>
  <c r="AB1820" i="12"/>
  <c r="AB2019" i="12"/>
  <c r="AB2430" i="12"/>
  <c r="AB291" i="12"/>
  <c r="AB952" i="12"/>
  <c r="AB1403" i="12"/>
  <c r="AB63" i="12"/>
  <c r="AB2415" i="12"/>
  <c r="AB307" i="12"/>
  <c r="AB1526" i="12"/>
  <c r="AB1128" i="12"/>
  <c r="AB1941" i="12"/>
  <c r="AB2196" i="12"/>
  <c r="AB2601" i="12"/>
  <c r="AB2253" i="12"/>
  <c r="AB208" i="12"/>
  <c r="AB2890" i="12"/>
  <c r="AB1991" i="12"/>
  <c r="AB1554" i="12"/>
  <c r="AB2036" i="12"/>
  <c r="AB2984" i="12"/>
  <c r="AB848" i="12"/>
  <c r="AB70" i="12"/>
  <c r="AB3002" i="12"/>
  <c r="AB539" i="12"/>
  <c r="AB2677" i="12"/>
  <c r="AB1064" i="12"/>
  <c r="AB2224" i="12"/>
  <c r="AB3382" i="12"/>
  <c r="AB3090" i="12"/>
  <c r="AB2095" i="12"/>
  <c r="AB438" i="12"/>
  <c r="AB775" i="12"/>
  <c r="AB3051" i="12"/>
  <c r="AB2242" i="12"/>
  <c r="AB3229" i="12"/>
  <c r="AB659" i="12"/>
  <c r="AB2920" i="12"/>
  <c r="AB772" i="12"/>
  <c r="AB700" i="12"/>
  <c r="AB1480" i="12"/>
  <c r="AB3492" i="12"/>
  <c r="AB2451" i="12"/>
  <c r="AB694" i="12"/>
  <c r="AB3484" i="12"/>
  <c r="AB1323" i="12"/>
  <c r="AB1397" i="12"/>
  <c r="AB1305" i="12"/>
  <c r="AB656" i="12"/>
  <c r="AB1692" i="12"/>
  <c r="AB927" i="12"/>
  <c r="AB958" i="12"/>
  <c r="AB1537" i="12"/>
  <c r="AB3179" i="12"/>
  <c r="AB293" i="12"/>
  <c r="AB923" i="12"/>
  <c r="AB1327" i="12"/>
  <c r="AB2767" i="12"/>
  <c r="AB1026" i="12"/>
  <c r="AB3101" i="12"/>
  <c r="AB3494" i="12"/>
  <c r="AB648" i="12"/>
  <c r="AB2158" i="12"/>
  <c r="AB219" i="12"/>
  <c r="AB2304" i="12"/>
  <c r="AB426" i="12"/>
  <c r="AB1144" i="12"/>
  <c r="AB757" i="12"/>
  <c r="AB3264" i="12"/>
  <c r="AB1535" i="12"/>
  <c r="AB1549" i="12"/>
  <c r="AB1742" i="12"/>
  <c r="AB2083" i="12"/>
  <c r="AB3024" i="12"/>
  <c r="AB552" i="12"/>
  <c r="AB1325" i="12"/>
  <c r="AB1775" i="12"/>
  <c r="AB2733" i="12"/>
  <c r="AB1869" i="12"/>
  <c r="AB1364" i="12"/>
  <c r="AB2186" i="12"/>
  <c r="AB931" i="12"/>
  <c r="AB2356" i="12"/>
  <c r="AB312" i="12"/>
  <c r="AB691" i="12"/>
  <c r="AB746" i="12"/>
  <c r="AB796" i="12"/>
  <c r="AB1156" i="12"/>
  <c r="AB487" i="12"/>
  <c r="AB53" i="12"/>
  <c r="AB1043" i="12"/>
  <c r="AB364" i="12"/>
  <c r="AB2656" i="12"/>
  <c r="AB3287" i="12"/>
  <c r="AB66" i="12"/>
  <c r="AB1767" i="12"/>
  <c r="AB1954" i="12"/>
  <c r="AB3052" i="12"/>
  <c r="AB2717" i="12"/>
  <c r="AB1536" i="12"/>
  <c r="AB2107" i="12"/>
  <c r="AB2534" i="12"/>
  <c r="AB2744" i="12"/>
  <c r="AB151" i="12"/>
  <c r="AB1448" i="12"/>
  <c r="AB2584" i="12"/>
  <c r="AB3209" i="12"/>
  <c r="AB973" i="12"/>
  <c r="AB1600" i="12"/>
  <c r="AB2018" i="12"/>
  <c r="AB283" i="12"/>
  <c r="AB388" i="12"/>
  <c r="AB2099" i="12"/>
  <c r="AB932" i="12"/>
  <c r="AB1736" i="12"/>
  <c r="AB192" i="12"/>
  <c r="AB1924" i="12"/>
  <c r="AB119" i="12"/>
  <c r="AB948" i="12"/>
  <c r="AB92" i="12"/>
  <c r="AB1012" i="12"/>
  <c r="AB2383" i="12"/>
  <c r="AB1660" i="12"/>
  <c r="AB2526" i="12"/>
  <c r="AB2178" i="12"/>
  <c r="AB44" i="12"/>
  <c r="AB3502" i="12"/>
  <c r="AB1993" i="12"/>
  <c r="AB589" i="12"/>
  <c r="AB3386" i="12"/>
  <c r="AB3074" i="12"/>
  <c r="AB601" i="12"/>
  <c r="AB2301" i="12"/>
  <c r="AB1693" i="12"/>
  <c r="AB3061" i="12"/>
  <c r="AB1278" i="12"/>
  <c r="AB2097" i="12"/>
  <c r="AB2310" i="12"/>
  <c r="AB3142" i="12"/>
  <c r="AB454" i="12"/>
  <c r="AB2492" i="12"/>
  <c r="AB1333" i="12"/>
  <c r="AB2808" i="12"/>
  <c r="AB1119" i="12"/>
  <c r="AB1665" i="12"/>
  <c r="AB1234" i="12"/>
  <c r="AB641" i="12"/>
  <c r="AB1232" i="12"/>
  <c r="AB3499" i="12"/>
  <c r="AB77" i="12"/>
  <c r="AB1819" i="12"/>
  <c r="AB1712" i="12"/>
  <c r="AB418" i="12"/>
  <c r="AB2773" i="12"/>
  <c r="AB2738" i="12"/>
  <c r="AB3388" i="12"/>
  <c r="AB55" i="12"/>
  <c r="AB842" i="12"/>
  <c r="AB793" i="12"/>
  <c r="AB1828" i="12"/>
  <c r="AB795" i="12"/>
  <c r="AB2745" i="12"/>
  <c r="AB480" i="12"/>
  <c r="AB492" i="12"/>
  <c r="AB2536" i="12"/>
  <c r="AB1774" i="12"/>
  <c r="AB695" i="12"/>
  <c r="AB1564" i="12"/>
  <c r="AB3412" i="12"/>
  <c r="AB740" i="12"/>
  <c r="AB1124" i="12"/>
  <c r="AB349" i="12"/>
  <c r="AB420" i="12"/>
  <c r="AB3446" i="12"/>
  <c r="AB2440" i="12"/>
  <c r="AB1919" i="12"/>
  <c r="AB432" i="12"/>
  <c r="AB1245" i="12"/>
  <c r="AB899" i="12"/>
  <c r="AB1840" i="12"/>
  <c r="AB549" i="12"/>
  <c r="AB1818" i="12"/>
  <c r="AB3025" i="12"/>
  <c r="AB3021" i="12"/>
  <c r="AB3519" i="12"/>
  <c r="AB122" i="12"/>
  <c r="AB3524" i="12"/>
  <c r="AB1528" i="12"/>
  <c r="AB1113" i="12"/>
  <c r="AB1532" i="12"/>
  <c r="AB1149" i="12"/>
  <c r="AB2793" i="12"/>
  <c r="AB1677" i="12"/>
  <c r="AB1481" i="12"/>
  <c r="AB328" i="12"/>
  <c r="AB1461" i="12"/>
  <c r="AB2420" i="12"/>
  <c r="AB3059" i="12"/>
  <c r="AB3403" i="12"/>
  <c r="AB621" i="12"/>
  <c r="AB3441" i="12"/>
  <c r="AB3476" i="12"/>
  <c r="AB2981" i="12"/>
  <c r="AB3463" i="12"/>
  <c r="AB1769" i="12"/>
  <c r="AB1627" i="12"/>
  <c r="AB2737" i="12"/>
  <c r="AB3011" i="12"/>
  <c r="AB2814" i="12"/>
  <c r="AB903" i="12"/>
  <c r="AB1581" i="12"/>
  <c r="AB1757" i="12"/>
  <c r="AB3370" i="12"/>
  <c r="AB3129" i="12"/>
  <c r="AB523" i="12"/>
  <c r="AB2328" i="12"/>
  <c r="AB256" i="12"/>
  <c r="AB1036" i="12"/>
  <c r="AB3429" i="12"/>
  <c r="AB2300" i="12"/>
  <c r="AB2497" i="12"/>
  <c r="AB2017" i="12"/>
  <c r="AB1863" i="12"/>
  <c r="AB3135" i="12"/>
  <c r="AB1272" i="12"/>
  <c r="AB2567" i="12"/>
  <c r="AB626" i="12"/>
  <c r="AB3515" i="12"/>
  <c r="AB472" i="12"/>
  <c r="AB160" i="12"/>
  <c r="AB1207" i="12"/>
  <c r="AB2736" i="12"/>
  <c r="AB2899" i="12"/>
  <c r="AB833" i="12"/>
  <c r="AB383" i="12"/>
  <c r="AB3075" i="12"/>
  <c r="AB1729" i="12"/>
  <c r="AB632" i="12"/>
  <c r="AB2154" i="12"/>
  <c r="AB3487" i="12"/>
  <c r="AB1833" i="12"/>
  <c r="AB939" i="12"/>
  <c r="AB24" i="12"/>
  <c r="AB1940" i="12"/>
  <c r="AB3096" i="12"/>
  <c r="AB2258" i="12"/>
  <c r="AB2445" i="12"/>
  <c r="AB579" i="12"/>
  <c r="AB2902" i="12"/>
  <c r="AB542" i="12"/>
  <c r="AB2872" i="12"/>
  <c r="AB3470" i="12"/>
  <c r="AB2840" i="12"/>
  <c r="AB3472" i="12"/>
  <c r="AB1548" i="12"/>
  <c r="AB2446" i="12"/>
  <c r="AB131" i="12"/>
  <c r="AB3290" i="12"/>
  <c r="AB828" i="12"/>
  <c r="AB1718" i="12"/>
  <c r="AB642" i="12"/>
  <c r="AB2073" i="12"/>
  <c r="AB851" i="12"/>
  <c r="AB1462" i="12"/>
  <c r="AB2759" i="12"/>
  <c r="AB3222" i="12"/>
  <c r="AB3221" i="12"/>
  <c r="AB1024" i="12"/>
  <c r="AB2675" i="12"/>
  <c r="AB115" i="12"/>
  <c r="AB3445" i="12"/>
  <c r="AB3392" i="12"/>
  <c r="AB2461" i="12"/>
  <c r="AB749" i="12"/>
  <c r="AB585" i="12"/>
  <c r="AB109" i="12"/>
  <c r="AB2030" i="12"/>
  <c r="AB2985" i="12"/>
  <c r="AB1205" i="12"/>
  <c r="AB657" i="12"/>
  <c r="AB2960" i="12"/>
  <c r="AB1963" i="12"/>
  <c r="AB3396" i="12"/>
  <c r="AB2319" i="12"/>
  <c r="AB2965" i="12"/>
  <c r="AB2490" i="12"/>
  <c r="AB1239" i="12"/>
  <c r="AB2863" i="12"/>
  <c r="AB1867" i="12"/>
  <c r="AB195" i="12"/>
  <c r="AB1825" i="12"/>
  <c r="AB85" i="12"/>
  <c r="AB1812" i="12"/>
  <c r="AB2696" i="12"/>
  <c r="AB761" i="12"/>
  <c r="AB1125" i="12"/>
  <c r="AB2629" i="12"/>
  <c r="AB2384" i="12"/>
  <c r="AB2821" i="12"/>
  <c r="AB1483" i="12"/>
  <c r="AB2946" i="12"/>
  <c r="AB1428" i="12"/>
  <c r="AB1933" i="12"/>
  <c r="AB3475" i="12"/>
  <c r="AB3056" i="12"/>
  <c r="AB3385" i="12"/>
  <c r="AB1707" i="12"/>
  <c r="AB1983" i="12"/>
  <c r="AB2625" i="12"/>
  <c r="AB264" i="12"/>
  <c r="AB1738" i="12"/>
  <c r="AB3136" i="12"/>
  <c r="AB1097" i="12"/>
  <c r="AB840" i="12"/>
  <c r="AB1786" i="12"/>
  <c r="AB1515" i="12"/>
  <c r="AB2713" i="12"/>
  <c r="AB1876" i="12"/>
  <c r="AB3509" i="12"/>
  <c r="AB2132" i="12"/>
  <c r="AB494" i="12"/>
  <c r="AB1102" i="12"/>
  <c r="AB1072" i="12"/>
  <c r="AB2155" i="12"/>
  <c r="AB3255" i="12"/>
  <c r="AB1284" i="12"/>
  <c r="AB243" i="12"/>
  <c r="AB1040" i="12"/>
  <c r="AB1433" i="12"/>
  <c r="AB2664" i="12"/>
  <c r="AB3364" i="12"/>
  <c r="AB2659" i="12"/>
  <c r="AB3342" i="12"/>
  <c r="AB220" i="12"/>
  <c r="AB2059" i="12"/>
  <c r="AB1034" i="12"/>
  <c r="AB3042" i="12"/>
  <c r="AB1394" i="12"/>
  <c r="AB685" i="12"/>
  <c r="AB960" i="12"/>
  <c r="AB1487" i="12"/>
  <c r="AB2516" i="12"/>
  <c r="AB3423" i="12"/>
  <c r="AB2024" i="12"/>
  <c r="AB137" i="12"/>
  <c r="AB590" i="12"/>
  <c r="AB1140" i="12"/>
  <c r="AB568" i="12"/>
  <c r="AB2557" i="12"/>
  <c r="AB397" i="12"/>
  <c r="AB690" i="12"/>
  <c r="AB2715" i="12"/>
  <c r="AB464" i="12"/>
  <c r="AB3213" i="12"/>
  <c r="AB1494" i="12"/>
  <c r="AB3258" i="12"/>
  <c r="AB3239" i="12"/>
  <c r="AB3111" i="12"/>
  <c r="AB2999" i="12"/>
  <c r="AB1588" i="12"/>
  <c r="AB244" i="12"/>
  <c r="AB594" i="12"/>
  <c r="AB3226" i="12"/>
  <c r="AB2102" i="12"/>
  <c r="AB1148" i="12"/>
  <c r="AB1133" i="12"/>
  <c r="AB2005" i="12"/>
  <c r="AB2817" i="12"/>
  <c r="AB2486" i="12"/>
  <c r="AB3421" i="12"/>
  <c r="AB3332" i="12"/>
  <c r="AB3126" i="12"/>
  <c r="AB805" i="12"/>
  <c r="AB94" i="12"/>
  <c r="AB2807" i="12"/>
  <c r="AB3267" i="12"/>
  <c r="AB1534" i="12"/>
  <c r="AB2123" i="12"/>
  <c r="AB170" i="12"/>
  <c r="AB285" i="12"/>
  <c r="AB564" i="12"/>
  <c r="AB2586" i="12"/>
  <c r="AB3530" i="12"/>
  <c r="AB615" i="12"/>
  <c r="AB3483" i="12"/>
  <c r="AB2037" i="12"/>
  <c r="AB207" i="12"/>
  <c r="AB2564" i="12"/>
  <c r="AB862" i="12"/>
  <c r="AB2995" i="12"/>
  <c r="AB2983" i="12"/>
  <c r="AB1990" i="12"/>
  <c r="AB231" i="12"/>
  <c r="AB2687" i="12"/>
  <c r="AB180" i="12"/>
  <c r="AB2331" i="12"/>
  <c r="AB2652" i="12"/>
  <c r="AB2058" i="12"/>
  <c r="AB2637" i="12"/>
  <c r="AB3253" i="12"/>
  <c r="AB3401" i="12"/>
  <c r="AB2138" i="12"/>
  <c r="AB2768" i="12"/>
  <c r="AB1727" i="12"/>
  <c r="AB1960" i="12"/>
  <c r="AB762" i="12"/>
  <c r="AB2550" i="12"/>
  <c r="AB2469" i="12"/>
  <c r="AB1852" i="12"/>
  <c r="AB1183" i="12"/>
  <c r="AB73" i="12"/>
  <c r="AB439" i="12"/>
  <c r="AB1493" i="12"/>
  <c r="AB2758" i="12"/>
  <c r="AB2179" i="12"/>
  <c r="AB670" i="12"/>
  <c r="AB3353" i="12"/>
  <c r="AB769" i="12"/>
  <c r="AB2612" i="12"/>
  <c r="AB2527" i="12"/>
  <c r="AB2264" i="12"/>
  <c r="AB2528" i="12"/>
  <c r="AB3003" i="12"/>
  <c r="AB882" i="12"/>
  <c r="AB2949" i="12"/>
  <c r="AB2049" i="12"/>
  <c r="AB655" i="12"/>
  <c r="AB3330" i="12"/>
  <c r="AB3216" i="12"/>
  <c r="AB2280" i="12"/>
  <c r="AB369" i="12"/>
  <c r="AB3291" i="12"/>
  <c r="AB543" i="12"/>
  <c r="AB1649" i="12"/>
  <c r="AB3371" i="12"/>
  <c r="AB3242" i="12"/>
  <c r="AB1697" i="12"/>
  <c r="AB2843" i="12"/>
  <c r="AB2935" i="12"/>
  <c r="AB96" i="12"/>
  <c r="AB1079" i="12"/>
  <c r="AB348" i="12"/>
  <c r="AB1683" i="12"/>
  <c r="AB3450" i="12"/>
  <c r="AB2353" i="12"/>
  <c r="AB1752" i="12"/>
  <c r="AB477" i="12"/>
  <c r="AB1385" i="12"/>
  <c r="AB329" i="12"/>
  <c r="AB3166" i="12"/>
  <c r="AB3088" i="12"/>
  <c r="AB2254" i="12"/>
  <c r="AB671" i="12"/>
  <c r="AB2424" i="12"/>
  <c r="AB359" i="12"/>
  <c r="AB1599" i="12"/>
  <c r="AB1488" i="12"/>
  <c r="AB2784" i="12"/>
  <c r="AB2956" i="12"/>
  <c r="AB878" i="12"/>
  <c r="AB1051" i="12"/>
  <c r="AB936" i="12"/>
  <c r="AB777" i="12"/>
  <c r="AB551" i="12"/>
  <c r="AB1966" i="12"/>
  <c r="AB429" i="12"/>
  <c r="AB331" i="12"/>
  <c r="AB2129" i="12"/>
  <c r="AB1781" i="12"/>
  <c r="AB517" i="12"/>
  <c r="AB194" i="12"/>
  <c r="AB2538" i="12"/>
  <c r="AB2008" i="12"/>
  <c r="AB1400" i="12"/>
  <c r="AB3131" i="12"/>
  <c r="AB1632" i="12"/>
  <c r="AB142" i="12"/>
  <c r="AB834" i="12"/>
  <c r="AB1881" i="12"/>
  <c r="AB3065" i="12"/>
  <c r="AB686" i="12"/>
  <c r="AB2013" i="12"/>
  <c r="AB1129" i="12"/>
  <c r="AB1674" i="12"/>
  <c r="AB2889" i="12"/>
  <c r="AB81" i="12"/>
  <c r="AB1831" i="12"/>
  <c r="AB829" i="12"/>
  <c r="AB2213" i="12"/>
  <c r="AB2165" i="12"/>
  <c r="AB1172" i="12"/>
  <c r="AB2411" i="12"/>
  <c r="AB2438" i="12"/>
  <c r="AB2931" i="12"/>
  <c r="AB3039" i="12"/>
  <c r="AB2702" i="12"/>
  <c r="AB1922" i="12"/>
  <c r="AB2631" i="12"/>
  <c r="AB1670" i="12"/>
  <c r="AB1170" i="12"/>
  <c r="AB3368" i="12"/>
  <c r="AB3230" i="12"/>
  <c r="AB3427" i="12"/>
  <c r="AB1018" i="12"/>
  <c r="AB3397" i="12"/>
  <c r="AB1106" i="12"/>
  <c r="AB3377" i="12"/>
  <c r="AB1214" i="12"/>
  <c r="AB3390" i="12"/>
  <c r="AB1547" i="12"/>
  <c r="AB2452" i="12"/>
  <c r="AB1054" i="12"/>
  <c r="AB2027" i="12"/>
  <c r="AB1847" i="12"/>
  <c r="AB1075" i="12"/>
  <c r="AB354" i="12"/>
  <c r="AB2346" i="12"/>
  <c r="AB736" i="12"/>
  <c r="AB2634" i="12"/>
  <c r="AB1652" i="12"/>
  <c r="AB1114" i="12"/>
  <c r="AB3279" i="12"/>
  <c r="AB2961" i="12"/>
  <c r="AB363" i="12"/>
  <c r="AB2426" i="12"/>
  <c r="AB60" i="12"/>
  <c r="AB1287" i="12"/>
  <c r="AB1063" i="12"/>
  <c r="AB3280" i="12"/>
  <c r="AB1094" i="12"/>
  <c r="AB2679" i="12"/>
  <c r="AB1416" i="12"/>
  <c r="AB2975" i="12"/>
  <c r="AB2159" i="12"/>
  <c r="AB767" i="12"/>
  <c r="AB2343" i="12"/>
  <c r="AB3004" i="12"/>
  <c r="AB669" i="12"/>
  <c r="AB2379" i="12"/>
  <c r="AB1646" i="12"/>
  <c r="AB513" i="12"/>
  <c r="AB612" i="12"/>
  <c r="AB2779" i="12"/>
  <c r="AB3540" i="12"/>
  <c r="AB2508" i="12"/>
  <c r="AB356" i="12"/>
  <c r="AB3084" i="12"/>
  <c r="AB1957" i="12"/>
  <c r="AB1087" i="12"/>
  <c r="AB1441" i="12"/>
  <c r="AB2329" i="12"/>
  <c r="AB450" i="12"/>
  <c r="AB2963" i="12"/>
  <c r="AB2582" i="12"/>
  <c r="AB2506" i="12"/>
  <c r="AB2547" i="12"/>
  <c r="AB3319" i="12"/>
  <c r="AB3016" i="12"/>
  <c r="AB1886" i="12"/>
  <c r="AB2682" i="12"/>
  <c r="AB2229" i="12"/>
  <c r="AB1235" i="12"/>
  <c r="AB2169" i="12"/>
  <c r="AB1651" i="12"/>
  <c r="AB1613" i="12"/>
  <c r="AB1927" i="12"/>
  <c r="AB3133" i="12"/>
  <c r="AB1669" i="12"/>
  <c r="AB2607" i="12"/>
  <c r="AB26" i="12"/>
  <c r="AB2883" i="12"/>
  <c r="AB588" i="12"/>
  <c r="AB90" i="12"/>
  <c r="AB819" i="12"/>
  <c r="AB289" i="12"/>
  <c r="AB2934" i="12"/>
  <c r="AB722" i="12"/>
  <c r="AB1293" i="12"/>
  <c r="AB2180" i="12"/>
  <c r="AB273" i="12"/>
  <c r="AB3032" i="12"/>
  <c r="AB1091" i="12"/>
  <c r="AB3355" i="12"/>
  <c r="AB1229" i="12"/>
  <c r="AB2259" i="12"/>
  <c r="AB1468" i="12"/>
  <c r="AB168" i="12"/>
  <c r="AB2347" i="12"/>
  <c r="AB2940" i="12"/>
  <c r="AB2477" i="12"/>
  <c r="AB965" i="12"/>
  <c r="AB629" i="12"/>
  <c r="AB2392" i="12"/>
  <c r="AB2067" i="12"/>
  <c r="AB2643" i="12"/>
  <c r="AB1371" i="12"/>
  <c r="AB1421" i="12"/>
  <c r="AB2092" i="12"/>
  <c r="AB1414" i="12"/>
  <c r="AB3277" i="12"/>
  <c r="AB1834" i="12"/>
  <c r="AB117" i="12"/>
  <c r="AB1389" i="12"/>
  <c r="AB1306" i="12"/>
  <c r="AB35" i="12"/>
  <c r="AB852" i="12"/>
  <c r="AB380" i="12"/>
  <c r="AB1474" i="12"/>
  <c r="AB783" i="12"/>
  <c r="AB1023" i="12"/>
  <c r="AB210" i="12"/>
  <c r="AB3116" i="12"/>
  <c r="AB1748" i="12"/>
  <c r="AB489" i="12"/>
  <c r="AB1351" i="12"/>
  <c r="AB1484" i="12"/>
  <c r="AB1009" i="12"/>
  <c r="AB2640" i="12"/>
  <c r="AB2718" i="12"/>
  <c r="AB610" i="12"/>
  <c r="AB433" i="12"/>
  <c r="AB164" i="12"/>
  <c r="AB509" i="12"/>
  <c r="AB3124" i="12"/>
  <c r="AB322" i="12"/>
  <c r="AB1694" i="12"/>
  <c r="AB39" i="12"/>
  <c r="AB831" i="12"/>
  <c r="AB866" i="12"/>
  <c r="AB2429" i="12"/>
  <c r="AB2545" i="12"/>
  <c r="AB1296" i="12"/>
  <c r="AB360" i="12"/>
  <c r="AB2176" i="12"/>
  <c r="AB2909" i="12"/>
  <c r="AB495" i="12"/>
  <c r="AB3243" i="12"/>
  <c r="AB1586" i="12"/>
  <c r="AB1195" i="12"/>
  <c r="AB1092" i="12"/>
  <c r="AB1420" i="12"/>
  <c r="AB1981" i="12"/>
  <c r="AB2468" i="12"/>
  <c r="AB1146" i="12"/>
  <c r="AB1895" i="12"/>
  <c r="AB2471" i="12"/>
  <c r="AB1809" i="12"/>
  <c r="AB2214" i="12"/>
  <c r="AB3252" i="12"/>
  <c r="AB337" i="12"/>
  <c r="AB313" i="12"/>
  <c r="AB2298" i="12"/>
  <c r="AB2137" i="12"/>
  <c r="AB2281" i="12"/>
  <c r="AB1679" i="12"/>
  <c r="AB2098" i="12"/>
  <c r="AB3299" i="12"/>
  <c r="AB1779" i="12"/>
  <c r="AB1964" i="12"/>
  <c r="AB1849" i="12"/>
  <c r="AB1907" i="12"/>
  <c r="AB3278" i="12"/>
  <c r="AB1846" i="12"/>
  <c r="AB1582" i="12"/>
  <c r="AB1339" i="12"/>
  <c r="AB1839" i="12"/>
  <c r="AB1223" i="12"/>
  <c r="AB2172" i="12"/>
  <c r="AB2064" i="12"/>
  <c r="AB2046" i="12"/>
  <c r="AB1257" i="12"/>
  <c r="AB2110" i="12"/>
  <c r="AB1286" i="12"/>
  <c r="AB1405" i="12"/>
  <c r="AB2053" i="12"/>
  <c r="AB146" i="12"/>
  <c r="AB3471" i="12"/>
  <c r="AB1583" i="12"/>
  <c r="AB1598" i="12"/>
  <c r="AB3108" i="12"/>
  <c r="AB2219" i="12"/>
  <c r="AB1680" i="12"/>
  <c r="V383" i="12"/>
  <c r="W78" i="12" s="1"/>
  <c r="D25" i="6"/>
  <c r="AA33" i="12"/>
  <c r="AC19" i="12" s="1" a="1"/>
  <c r="D24" i="6"/>
  <c r="AC1011" i="12" l="1"/>
  <c r="AC2580" i="12"/>
  <c r="AC1682" i="12"/>
  <c r="AC2276" i="12"/>
  <c r="AC1717" i="12"/>
  <c r="AC1010" i="12"/>
  <c r="AC3250" i="12"/>
  <c r="AC1355" i="12"/>
  <c r="AC523" i="12"/>
  <c r="AC215" i="12"/>
  <c r="AC3447" i="12"/>
  <c r="AC2219" i="12"/>
  <c r="AC1764" i="12"/>
  <c r="AC3487" i="12"/>
  <c r="AC2882" i="12"/>
  <c r="AC1319" i="12"/>
  <c r="AC2919" i="12"/>
  <c r="AC226" i="12"/>
  <c r="AC2442" i="12"/>
  <c r="AC3251" i="12"/>
  <c r="AC3370" i="12"/>
  <c r="AC1360" i="12"/>
  <c r="AC1825" i="12"/>
  <c r="AC3471" i="12"/>
  <c r="AC279" i="12"/>
  <c r="AC2247" i="12"/>
  <c r="AC1748" i="12"/>
  <c r="AC1583" i="12"/>
  <c r="AC1508" i="12"/>
  <c r="AC2488" i="12"/>
  <c r="AC149" i="12"/>
  <c r="AC2459" i="12"/>
  <c r="AC1441" i="12"/>
  <c r="AC3033" i="12"/>
  <c r="AC2439" i="12"/>
  <c r="AC154" i="12"/>
  <c r="AC2618" i="12"/>
  <c r="AC384" i="12"/>
  <c r="AC2678" i="12"/>
  <c r="AC1601" i="12"/>
  <c r="AC1288" i="12"/>
  <c r="AC1960" i="12"/>
  <c r="AC2023" i="12"/>
  <c r="AC1296" i="12"/>
  <c r="AC3000" i="12"/>
  <c r="AC1345" i="12"/>
  <c r="AC1321" i="12"/>
  <c r="AC1518" i="12"/>
  <c r="AC2916" i="12"/>
  <c r="AC1939" i="12"/>
  <c r="AC664" i="12"/>
  <c r="AC956" i="12"/>
  <c r="AC820" i="12"/>
  <c r="AC2475" i="12"/>
  <c r="AC1733" i="12"/>
  <c r="AC3045" i="12"/>
  <c r="AC3232" i="12"/>
  <c r="AC1474" i="12"/>
  <c r="AC1022" i="12"/>
  <c r="AC3161" i="12"/>
  <c r="AC2017" i="12"/>
  <c r="AC1326" i="12"/>
  <c r="AC1822" i="12"/>
  <c r="AC1482" i="12"/>
  <c r="AC743" i="12"/>
  <c r="AC2928" i="12"/>
  <c r="AC3167" i="12"/>
  <c r="AC1966" i="12"/>
  <c r="AC1479" i="12"/>
  <c r="AC2524" i="12"/>
  <c r="AC3425" i="12"/>
  <c r="AC3290" i="12"/>
  <c r="AC405" i="12"/>
  <c r="AC2673" i="12"/>
  <c r="AC2364" i="12"/>
  <c r="AC2194" i="12"/>
  <c r="AC1588" i="12"/>
  <c r="AC1134" i="12"/>
  <c r="AC1131" i="12"/>
  <c r="AC1638" i="12"/>
  <c r="AC229" i="12"/>
  <c r="AC343" i="12"/>
  <c r="AC2152" i="12"/>
  <c r="AC608" i="12"/>
  <c r="AC2672" i="12"/>
  <c r="AC2437" i="12"/>
  <c r="AC3051" i="12"/>
  <c r="AC553" i="12"/>
  <c r="AC3208" i="12"/>
  <c r="AC2185" i="12"/>
  <c r="AC1876" i="12"/>
  <c r="AC1662" i="12"/>
  <c r="AC1730" i="12"/>
  <c r="AC3339" i="12"/>
  <c r="AC861" i="12"/>
  <c r="AC1830" i="12"/>
  <c r="AC3481" i="12"/>
  <c r="AC2501" i="12"/>
  <c r="AC1423" i="12"/>
  <c r="AC1128" i="12"/>
  <c r="AC1500" i="12"/>
  <c r="AC642" i="12"/>
  <c r="AC388" i="12"/>
  <c r="AC3018" i="12"/>
  <c r="AC2601" i="12"/>
  <c r="AC3493" i="12"/>
  <c r="AC1109" i="12"/>
  <c r="AC1849" i="12"/>
  <c r="AC32" i="12"/>
  <c r="AC1439" i="12"/>
  <c r="AC652" i="12"/>
  <c r="AC733" i="12"/>
  <c r="AC2525" i="12"/>
  <c r="AC676" i="12"/>
  <c r="AC2982" i="12"/>
  <c r="AC375" i="12"/>
  <c r="AC1769" i="12"/>
  <c r="AC1886" i="12"/>
  <c r="AC1527" i="12"/>
  <c r="AC585" i="12"/>
  <c r="AC435" i="12"/>
  <c r="AC490" i="12"/>
  <c r="AC184" i="12"/>
  <c r="AC1461" i="12"/>
  <c r="AC2094" i="12"/>
  <c r="AC2812" i="12"/>
  <c r="AC1712" i="12"/>
  <c r="AC807" i="12"/>
  <c r="AC2794" i="12"/>
  <c r="AC1264" i="12"/>
  <c r="AC2745" i="12"/>
  <c r="AC144" i="12"/>
  <c r="AC85" i="12"/>
  <c r="AC321" i="12"/>
  <c r="AC2333" i="12"/>
  <c r="AC2983" i="12"/>
  <c r="AC3454" i="12"/>
  <c r="AC34" i="12"/>
  <c r="AC1911" i="12"/>
  <c r="AC2810" i="12"/>
  <c r="AC298" i="12"/>
  <c r="AC484" i="12"/>
  <c r="AC1745" i="12"/>
  <c r="AC3074" i="12"/>
  <c r="AC1942" i="12"/>
  <c r="AC2935" i="12"/>
  <c r="AC2945" i="12"/>
  <c r="AC2000" i="12"/>
  <c r="AC2868" i="12"/>
  <c r="AC488" i="12"/>
  <c r="AC874" i="12"/>
  <c r="AC2092" i="12"/>
  <c r="AC1058" i="12"/>
  <c r="AC2331" i="12"/>
  <c r="AC1620" i="12"/>
  <c r="AC1695" i="12"/>
  <c r="AC2766" i="12"/>
  <c r="AC28" i="12"/>
  <c r="AC3344" i="12"/>
  <c r="AC3533" i="12"/>
  <c r="AC3412" i="12"/>
  <c r="AC1357" i="12"/>
  <c r="AC2197" i="12"/>
  <c r="AC1163" i="12"/>
  <c r="AC2762" i="12"/>
  <c r="AC1897" i="12"/>
  <c r="AC1092" i="12"/>
  <c r="AC1987" i="12"/>
  <c r="AC2487" i="12"/>
  <c r="AC1127" i="12"/>
  <c r="AC1449" i="12"/>
  <c r="AC3409" i="12"/>
  <c r="AC1699" i="12"/>
  <c r="AC814" i="12"/>
  <c r="AC462" i="12"/>
  <c r="AC2816" i="12"/>
  <c r="AC1999" i="12"/>
  <c r="AC314" i="12"/>
  <c r="AC1189" i="12"/>
  <c r="AC815" i="12"/>
  <c r="AC363" i="12"/>
  <c r="AC1359" i="12"/>
  <c r="AC231" i="12"/>
  <c r="AC2477" i="12"/>
  <c r="AC2865" i="12"/>
  <c r="AC1549" i="12"/>
  <c r="AC3334" i="12"/>
  <c r="AC2480" i="12"/>
  <c r="AC1819" i="12"/>
  <c r="AC1905" i="12"/>
  <c r="AC301" i="12"/>
  <c r="AC699" i="12"/>
  <c r="AC120" i="12"/>
  <c r="AC3522" i="12"/>
  <c r="AC1623" i="12"/>
  <c r="AC133" i="12"/>
  <c r="AC3345" i="12"/>
  <c r="AC2541" i="12"/>
  <c r="AC143" i="12"/>
  <c r="AC3476" i="12"/>
  <c r="AC353" i="12"/>
  <c r="AC1736" i="12"/>
  <c r="AC3475" i="12"/>
  <c r="AC3341" i="12"/>
  <c r="AC2407" i="12"/>
  <c r="AC137" i="12"/>
  <c r="AC1722" i="12"/>
  <c r="AC319" i="12"/>
  <c r="AC2464" i="12"/>
  <c r="AC2604" i="12"/>
  <c r="AC432" i="12"/>
  <c r="AC525" i="12"/>
  <c r="AC1340" i="12"/>
  <c r="AC639" i="12"/>
  <c r="AC3519" i="12"/>
  <c r="AC823" i="12"/>
  <c r="AC2657" i="12"/>
  <c r="AC2417" i="12"/>
  <c r="AC3056" i="12"/>
  <c r="AC3367" i="12"/>
  <c r="AC3453" i="12"/>
  <c r="AC198" i="12"/>
  <c r="AC1514" i="12"/>
  <c r="AC3282" i="12"/>
  <c r="AC895" i="12"/>
  <c r="AC3203" i="12"/>
  <c r="AC1487" i="12"/>
  <c r="AC2049" i="12"/>
  <c r="AC1729" i="12"/>
  <c r="AC1642" i="12"/>
  <c r="AC1473" i="12"/>
  <c r="AC141" i="12"/>
  <c r="AC1995" i="12"/>
  <c r="AC3047" i="12"/>
  <c r="AC2503" i="12"/>
  <c r="AC1256" i="12"/>
  <c r="AC596" i="12"/>
  <c r="AC164" i="12"/>
  <c r="AC726" i="12"/>
  <c r="AC1603" i="12"/>
  <c r="AC3356" i="12"/>
  <c r="AC348" i="12"/>
  <c r="AC1677" i="12"/>
  <c r="AC1364" i="12"/>
  <c r="AC3378" i="12"/>
  <c r="AC2748" i="12"/>
  <c r="AC2391" i="12"/>
  <c r="AC210" i="12"/>
  <c r="AC833" i="12"/>
  <c r="AC2771" i="12"/>
  <c r="AC297" i="12"/>
  <c r="AC2648" i="12"/>
  <c r="AC981" i="12"/>
  <c r="AC1015" i="12"/>
  <c r="AC1085" i="12"/>
  <c r="AC1416" i="12"/>
  <c r="AC1789" i="12"/>
  <c r="AC794" i="12"/>
  <c r="AC753" i="12"/>
  <c r="AC2387" i="12"/>
  <c r="AC3259" i="12"/>
  <c r="AC3540" i="12"/>
  <c r="AC2273" i="12"/>
  <c r="AC1522" i="12"/>
  <c r="AC3428" i="12"/>
  <c r="AC1392" i="12"/>
  <c r="AC3547" i="12"/>
  <c r="AC1064" i="12"/>
  <c r="AC755" i="12"/>
  <c r="AC160" i="12"/>
  <c r="AC3360" i="12"/>
  <c r="AC1756" i="12"/>
  <c r="AC1018" i="12"/>
  <c r="AC1903" i="12"/>
  <c r="AC1126" i="12"/>
  <c r="AC3013" i="12"/>
  <c r="AC1139" i="12"/>
  <c r="AC644" i="12"/>
  <c r="AC3460" i="12"/>
  <c r="AC2386" i="12"/>
  <c r="AC2494" i="12"/>
  <c r="AC2710" i="12"/>
  <c r="AC2560" i="12"/>
  <c r="AC419" i="12"/>
  <c r="AC170" i="12"/>
  <c r="AC406" i="12"/>
  <c r="AC2622" i="12"/>
  <c r="AC787" i="12"/>
  <c r="AC1183" i="12"/>
  <c r="AC3212" i="12"/>
  <c r="AC1803" i="12"/>
  <c r="AC1265" i="12"/>
  <c r="AC1701" i="12"/>
  <c r="AC3122" i="12"/>
  <c r="AC2404" i="12"/>
  <c r="AC2856" i="12"/>
  <c r="AC557" i="12"/>
  <c r="AC1613" i="12"/>
  <c r="AC1732" i="12"/>
  <c r="AC2834" i="12"/>
  <c r="AC2231" i="12"/>
  <c r="AC3402" i="12"/>
  <c r="AC2520" i="12"/>
  <c r="AC183" i="12"/>
  <c r="AC2780" i="12"/>
  <c r="AC3545" i="12"/>
  <c r="AC2087" i="12"/>
  <c r="AC547" i="12"/>
  <c r="AC455" i="12"/>
  <c r="AC1187" i="12"/>
  <c r="AC52" i="12"/>
  <c r="AC1083" i="12"/>
  <c r="AC3038" i="12"/>
  <c r="AC3284" i="12"/>
  <c r="AC821" i="12"/>
  <c r="AC1940" i="12"/>
  <c r="AC1051" i="12"/>
  <c r="AC400" i="12"/>
  <c r="AC1220" i="12"/>
  <c r="AC1900" i="12"/>
  <c r="AC827" i="12"/>
  <c r="AC3026" i="12"/>
  <c r="AC2937" i="12"/>
  <c r="AC2895" i="12"/>
  <c r="AC3127" i="12"/>
  <c r="AC437" i="12"/>
  <c r="AC2538" i="12"/>
  <c r="AC2702" i="12"/>
  <c r="AC2467" i="12"/>
  <c r="AC3123" i="12"/>
  <c r="AC441" i="12"/>
  <c r="AC1839" i="12"/>
  <c r="AC2180" i="12"/>
  <c r="AC766" i="12"/>
  <c r="AC1665" i="12"/>
  <c r="AC2376" i="12"/>
  <c r="AC3286" i="12"/>
  <c r="AC2564" i="12"/>
  <c r="AC889" i="12"/>
  <c r="AC2738" i="12"/>
  <c r="AC1176" i="12"/>
  <c r="AC3312" i="12"/>
  <c r="AC240" i="12"/>
  <c r="AC591" i="12"/>
  <c r="AC1934" i="12"/>
  <c r="AC777" i="12"/>
  <c r="AC2081" i="12"/>
  <c r="AC2777" i="12"/>
  <c r="AC3511" i="12"/>
  <c r="AC1507" i="12"/>
  <c r="AC2705" i="12"/>
  <c r="AC2449" i="12"/>
  <c r="AC1626" i="12"/>
  <c r="AC2005" i="12"/>
  <c r="AC3258" i="12"/>
  <c r="AC581" i="12"/>
  <c r="AC2257" i="12"/>
  <c r="AC2746" i="12"/>
  <c r="AC1674" i="12"/>
  <c r="AC1177" i="12"/>
  <c r="AC105" i="12"/>
  <c r="AC2620" i="12"/>
  <c r="AC2526" i="12"/>
  <c r="AC2484" i="12"/>
  <c r="AC2426" i="12"/>
  <c r="AC3135" i="12"/>
  <c r="AC965" i="12"/>
  <c r="AC1175" i="12"/>
  <c r="AC322" i="12"/>
  <c r="AC1100" i="12"/>
  <c r="AC3512" i="12"/>
  <c r="AC3305" i="12"/>
  <c r="AC2795" i="12"/>
  <c r="AC824" i="12"/>
  <c r="AC1809" i="12"/>
  <c r="AC730" i="12"/>
  <c r="AC1316" i="12"/>
  <c r="AC1098" i="12"/>
  <c r="AC729" i="12"/>
  <c r="AC775" i="12"/>
  <c r="AC3032" i="12"/>
  <c r="AC1576" i="12"/>
  <c r="AC1029" i="12"/>
  <c r="AC2757" i="12"/>
  <c r="AC1534" i="12"/>
  <c r="AC1917" i="12"/>
  <c r="AC175" i="12"/>
  <c r="AC931" i="12"/>
  <c r="AC2582" i="12"/>
  <c r="AC1257" i="12"/>
  <c r="AC2326" i="12"/>
  <c r="AC1332" i="12"/>
  <c r="AC1872" i="12"/>
  <c r="AC305" i="12"/>
  <c r="AC3404" i="12"/>
  <c r="AC1498" i="12"/>
  <c r="AC976" i="12"/>
  <c r="AC867" i="12"/>
  <c r="AC1361" i="12"/>
  <c r="AC1772" i="12"/>
  <c r="AC2471" i="12"/>
  <c r="AC2288" i="12"/>
  <c r="AC529" i="12"/>
  <c r="AC2875" i="12"/>
  <c r="AC498" i="12"/>
  <c r="AC2617" i="12"/>
  <c r="AC2645" i="12"/>
  <c r="AC1331" i="12"/>
  <c r="AC1704" i="12"/>
  <c r="AC2756" i="12"/>
  <c r="AC2739" i="12"/>
  <c r="AC2201" i="12"/>
  <c r="AC354" i="12"/>
  <c r="AC2224" i="12"/>
  <c r="AC880" i="12"/>
  <c r="AC2406" i="12"/>
  <c r="AC1898" i="12"/>
  <c r="AC342" i="12"/>
  <c r="AC1493" i="12"/>
  <c r="AC2922" i="12"/>
  <c r="AC3042" i="12"/>
  <c r="AC2845" i="12"/>
  <c r="AC368" i="12"/>
  <c r="AC2910" i="12"/>
  <c r="AC2866" i="12"/>
  <c r="AC764" i="12"/>
  <c r="AC1944" i="12"/>
  <c r="AC317" i="12"/>
  <c r="AC2532" i="12"/>
  <c r="AC415" i="12"/>
  <c r="AC3320" i="12"/>
  <c r="AC912" i="12"/>
  <c r="AC1643" i="12"/>
  <c r="AC232" i="12"/>
  <c r="AC146" i="12"/>
  <c r="AC2676" i="12"/>
  <c r="AC994" i="12"/>
  <c r="AC1427" i="12"/>
  <c r="AC640" i="12"/>
  <c r="AC520" i="12"/>
  <c r="AC514" i="12"/>
  <c r="AC3386" i="12"/>
  <c r="AC3372" i="12"/>
  <c r="AC2440" i="12"/>
  <c r="AC1228" i="12"/>
  <c r="AC1890" i="12"/>
  <c r="AC1866" i="12"/>
  <c r="AC168" i="12"/>
  <c r="AC3191" i="12"/>
  <c r="AC3530" i="12"/>
  <c r="AC1589" i="12"/>
  <c r="AC1119" i="12"/>
  <c r="AC2055" i="12"/>
  <c r="AC1884" i="12"/>
  <c r="AC771" i="12"/>
  <c r="AC1709" i="12"/>
  <c r="AC1953" i="12"/>
  <c r="AC3119" i="12"/>
  <c r="AC2275" i="12"/>
  <c r="AC3419" i="12"/>
  <c r="AC2806" i="12"/>
  <c r="AC2112" i="12"/>
  <c r="AC1771" i="12"/>
  <c r="AC2754" i="12"/>
  <c r="AC73" i="12"/>
  <c r="AC1071" i="12"/>
  <c r="AC3461" i="12"/>
  <c r="AC3291" i="12"/>
  <c r="AC3011" i="12"/>
  <c r="AC684" i="12"/>
  <c r="AC2736" i="12"/>
  <c r="AC2367" i="12"/>
  <c r="AC2064" i="12"/>
  <c r="AC702" i="12"/>
  <c r="AC1919" i="12"/>
  <c r="AC410" i="12"/>
  <c r="AC748" i="12"/>
  <c r="AC1382" i="12"/>
  <c r="AC205" i="12"/>
  <c r="AC1587" i="12"/>
  <c r="AC22" i="12"/>
  <c r="AC3004" i="12"/>
  <c r="AC64" i="12"/>
  <c r="AC151" i="12"/>
  <c r="AC3478" i="12"/>
  <c r="AC1060" i="12"/>
  <c r="AC3268" i="12"/>
  <c r="AC2507" i="12"/>
  <c r="AC109" i="12"/>
  <c r="AC925" i="12"/>
  <c r="AC189" i="12"/>
  <c r="AC711" i="12"/>
  <c r="AC206" i="12"/>
  <c r="AC1805" i="12"/>
  <c r="AC303" i="12"/>
  <c r="AC1902" i="12"/>
  <c r="AC1430" i="12"/>
  <c r="AC444" i="12"/>
  <c r="AC863" i="12"/>
  <c r="AC2864" i="12"/>
  <c r="AC1807" i="12"/>
  <c r="AC3385" i="12"/>
  <c r="AC332" i="12"/>
  <c r="AC954" i="12"/>
  <c r="AC2322" i="12"/>
  <c r="AC3255" i="12"/>
  <c r="AC2614" i="12"/>
  <c r="AC1399" i="12"/>
  <c r="AC2048" i="12"/>
  <c r="AC1155" i="12"/>
  <c r="AC2839" i="12"/>
  <c r="AC2703" i="12"/>
  <c r="AC1585" i="12"/>
  <c r="AC2933" i="12"/>
  <c r="AC1209" i="12"/>
  <c r="AC2909" i="12"/>
  <c r="AC196" i="12"/>
  <c r="AC482" i="12"/>
  <c r="AC1799" i="12"/>
  <c r="AC1113" i="12"/>
  <c r="AC2718" i="12"/>
  <c r="AC1146" i="12"/>
  <c r="AC2343" i="12"/>
  <c r="AC3398" i="12"/>
  <c r="AC169" i="12"/>
  <c r="AC1135" i="12"/>
  <c r="AC902" i="12"/>
  <c r="AC2577" i="12"/>
  <c r="AC86" i="12"/>
  <c r="AC2266" i="12"/>
  <c r="AC1281" i="12"/>
  <c r="AC2134" i="12"/>
  <c r="AC1166" i="12"/>
  <c r="AC1244" i="12"/>
  <c r="AC984" i="12"/>
  <c r="AC1837" i="12"/>
  <c r="AC3527" i="12"/>
  <c r="AC1870" i="12"/>
  <c r="AC1808" i="12"/>
  <c r="AC1019" i="12"/>
  <c r="AC999" i="12"/>
  <c r="AC1045" i="12"/>
  <c r="AC2519" i="12"/>
  <c r="AC942" i="12"/>
  <c r="AC1680" i="12"/>
  <c r="AC1086" i="12"/>
  <c r="AC2093" i="12"/>
  <c r="AC1333" i="12"/>
  <c r="AC2773" i="12"/>
  <c r="AC1033" i="12"/>
  <c r="AC2948" i="12"/>
  <c r="AC472" i="12"/>
  <c r="AC291" i="12"/>
  <c r="AC1655" i="12"/>
  <c r="AC2915" i="12"/>
  <c r="AC23" i="12"/>
  <c r="AC1274" i="12"/>
  <c r="AC1090" i="12"/>
  <c r="AC26" i="12"/>
  <c r="AC2713" i="12"/>
  <c r="AC1827" i="12"/>
  <c r="AC524" i="12"/>
  <c r="AC409" i="12"/>
  <c r="AC969" i="12"/>
  <c r="AC2080" i="12"/>
  <c r="AC159" i="12"/>
  <c r="AC1901" i="12"/>
  <c r="AC3005" i="12"/>
  <c r="AC2616" i="12"/>
  <c r="AC2262" i="12"/>
  <c r="AC2384" i="12"/>
  <c r="AC1099" i="12"/>
  <c r="AC194" i="12"/>
  <c r="AC3467" i="12"/>
  <c r="AC2039" i="12"/>
  <c r="AC3035" i="12"/>
  <c r="AC2647" i="12"/>
  <c r="AC706" i="12"/>
  <c r="AC1122" i="12"/>
  <c r="AC2482" i="12"/>
  <c r="AC2498" i="12"/>
  <c r="AC1530" i="12"/>
  <c r="AC3240" i="12"/>
  <c r="AC1726" i="12"/>
  <c r="AC507" i="12"/>
  <c r="AC1327" i="12"/>
  <c r="AC1489" i="12"/>
  <c r="AC2038" i="12"/>
  <c r="AC504" i="12"/>
  <c r="AC857" i="12"/>
  <c r="AC158" i="12"/>
  <c r="AC1673" i="12"/>
  <c r="AC2318" i="12"/>
  <c r="AC740" i="12"/>
  <c r="AC2611" i="12"/>
  <c r="AC380" i="12"/>
  <c r="AC3445" i="12"/>
  <c r="AC222" i="12"/>
  <c r="AC3187" i="12"/>
  <c r="AC3177" i="12"/>
  <c r="AC1275" i="12"/>
  <c r="AC2154" i="12"/>
  <c r="AC434" i="12"/>
  <c r="AC3319" i="12"/>
  <c r="AC506" i="12"/>
  <c r="AC2115" i="12"/>
  <c r="AC1740" i="12"/>
  <c r="AC121" i="12"/>
  <c r="AC2815" i="12"/>
  <c r="AC2052" i="12"/>
  <c r="AC2143" i="12"/>
  <c r="AC1379" i="12"/>
  <c r="AC2020" i="12"/>
  <c r="AC1469" i="12"/>
  <c r="AC2078" i="12"/>
  <c r="AC2899" i="12"/>
  <c r="AC2393" i="12"/>
  <c r="AC3523" i="12"/>
  <c r="AC2067" i="12"/>
  <c r="AC2040" i="12"/>
  <c r="AC1404" i="12"/>
  <c r="AC3057" i="12"/>
  <c r="AC838" i="12"/>
  <c r="AC563" i="12"/>
  <c r="AC805" i="12"/>
  <c r="AC3280" i="12"/>
  <c r="AC3465" i="12"/>
  <c r="AC1574" i="12"/>
  <c r="AC2954" i="12"/>
  <c r="AC3115" i="12"/>
  <c r="AC1226" i="12"/>
  <c r="AC2956" i="12"/>
  <c r="AC3350" i="12"/>
  <c r="AC1446" i="12"/>
  <c r="AC138" i="12"/>
  <c r="AC2077" i="12"/>
  <c r="AC1167" i="12"/>
  <c r="AC3436" i="12"/>
  <c r="AC3036" i="12"/>
  <c r="AC869" i="12"/>
  <c r="AC564" i="12"/>
  <c r="AC2761" i="12"/>
  <c r="AC3375" i="12"/>
  <c r="AC3265" i="12"/>
  <c r="AC2809" i="12"/>
  <c r="AC2517" i="12"/>
  <c r="AC839" i="12"/>
  <c r="AC1554" i="12"/>
  <c r="AC1101" i="12"/>
  <c r="AC2643" i="12"/>
  <c r="AC1743" i="12"/>
  <c r="AC2588" i="12"/>
  <c r="AC1267" i="12"/>
  <c r="AC414" i="12"/>
  <c r="AC1144" i="12"/>
  <c r="AC2625" i="12"/>
  <c r="AC2058" i="12"/>
  <c r="AC118" i="12"/>
  <c r="AC1969" i="12"/>
  <c r="AC2782" i="12"/>
  <c r="AC128" i="12"/>
  <c r="AC2292" i="12"/>
  <c r="AC289" i="12"/>
  <c r="AC1437" i="12"/>
  <c r="AC2833" i="12"/>
  <c r="AC2223" i="12"/>
  <c r="AC3430" i="12"/>
  <c r="AC696" i="12"/>
  <c r="AC82" i="12"/>
  <c r="AC2001" i="12"/>
  <c r="AC1593" i="12"/>
  <c r="AC2975" i="12"/>
  <c r="AC2098" i="12"/>
  <c r="AC3002" i="12"/>
  <c r="AC560" i="12"/>
  <c r="AC1658" i="12"/>
  <c r="AC2623" i="12"/>
  <c r="AC991" i="12"/>
  <c r="AC2530" i="12"/>
  <c r="AC83" i="12"/>
  <c r="AC1262" i="12"/>
  <c r="AC1773" i="12"/>
  <c r="AC2859" i="12"/>
  <c r="AC1039" i="12"/>
  <c r="AC1273" i="12"/>
  <c r="AC460" i="12"/>
  <c r="AC2769" i="12"/>
  <c r="AC3121" i="12"/>
  <c r="AC1017" i="12"/>
  <c r="AC1599" i="12"/>
  <c r="AC3041" i="12"/>
  <c r="AC1410" i="12"/>
  <c r="AC1857" i="12"/>
  <c r="AC1378" i="12"/>
  <c r="AC2019" i="12"/>
  <c r="AC3352" i="12"/>
  <c r="AC1696" i="12"/>
  <c r="AC2646" i="12"/>
  <c r="AC2332" i="12"/>
  <c r="AC3408" i="12"/>
  <c r="AC1241" i="12"/>
  <c r="AC2300" i="12"/>
  <c r="AC2686" i="12"/>
  <c r="AC3156" i="12"/>
  <c r="AC35" i="12"/>
  <c r="AC878" i="12"/>
  <c r="AC1353" i="12"/>
  <c r="AC3382" i="12"/>
  <c r="AC2974" i="12"/>
  <c r="AC2470" i="12"/>
  <c r="AC3316" i="12"/>
  <c r="AC3261" i="12"/>
  <c r="AC1529" i="12"/>
  <c r="AC3358" i="12"/>
  <c r="AC3387" i="12"/>
  <c r="AC2888" i="12"/>
  <c r="AC1619" i="12"/>
  <c r="AC2107" i="12"/>
  <c r="AC2111" i="12"/>
  <c r="AC1608" i="12"/>
  <c r="AC1957" i="12"/>
  <c r="AC3124" i="12"/>
  <c r="AC2298" i="12"/>
  <c r="AC1794" i="12"/>
  <c r="AC1477" i="12"/>
  <c r="AC1817" i="12"/>
  <c r="AC3173" i="12"/>
  <c r="AC1542" i="12"/>
  <c r="AC2981" i="12"/>
  <c r="AC1105" i="12"/>
  <c r="AC1657" i="12"/>
  <c r="AC1036" i="12"/>
  <c r="AC3432" i="12"/>
  <c r="AC3146" i="12"/>
  <c r="AC1381" i="12"/>
  <c r="AC868" i="12"/>
  <c r="AC2455" i="12"/>
  <c r="AC1458" i="12"/>
  <c r="AC2963" i="12"/>
  <c r="AC763" i="12"/>
  <c r="AC2610" i="12"/>
  <c r="AC2018" i="12"/>
  <c r="AC2457" i="12"/>
  <c r="AC859" i="12"/>
  <c r="AC2329" i="12"/>
  <c r="AC1308" i="12"/>
  <c r="AC3163" i="12"/>
  <c r="AC829" i="12"/>
  <c r="AC658" i="12"/>
  <c r="AC2221" i="12"/>
  <c r="AC1850" i="12"/>
  <c r="AC2135" i="12"/>
  <c r="AC428" i="12"/>
  <c r="AC2244" i="12"/>
  <c r="AC3184" i="12"/>
  <c r="AC211" i="12"/>
  <c r="AC166" i="12"/>
  <c r="AC3201" i="12"/>
  <c r="AC1978" i="12"/>
  <c r="AC261" i="12"/>
  <c r="AC1668" i="12"/>
  <c r="AC3548" i="12"/>
  <c r="AC1075" i="12"/>
  <c r="AC2215" i="12"/>
  <c r="AC913" i="12"/>
  <c r="AC1391" i="12"/>
  <c r="AC2188" i="12"/>
  <c r="AC1062" i="12"/>
  <c r="AC1291" i="12"/>
  <c r="AC703" i="12"/>
  <c r="AC587" i="12"/>
  <c r="AC429" i="12"/>
  <c r="AC1450" i="12"/>
  <c r="AC2624" i="12"/>
  <c r="AC191" i="12"/>
  <c r="AC223" i="12"/>
  <c r="AC347" i="12"/>
  <c r="AC2750" i="12"/>
  <c r="AC2808" i="12"/>
  <c r="AC538" i="12"/>
  <c r="AC2082" i="12"/>
  <c r="AC2863" i="12"/>
  <c r="AC2316" i="12"/>
  <c r="AC3490" i="12"/>
  <c r="AC3180" i="12"/>
  <c r="AC781" i="12"/>
  <c r="AC41" i="12"/>
  <c r="AC3451" i="12"/>
  <c r="AC1928" i="12"/>
  <c r="AC2548" i="12"/>
  <c r="AC659" i="12"/>
  <c r="AC894" i="12"/>
  <c r="AC1956" i="12"/>
  <c r="AC1247" i="12"/>
  <c r="AC3330" i="12"/>
  <c r="AC3120" i="12"/>
  <c r="AC2172" i="12"/>
  <c r="AC1497" i="12"/>
  <c r="AC3484" i="12"/>
  <c r="AC474" i="12"/>
  <c r="AC1389" i="12"/>
  <c r="AC3393" i="12"/>
  <c r="AC3014" i="12"/>
  <c r="AC112" i="12"/>
  <c r="AC3294" i="12"/>
  <c r="AC3266" i="12"/>
  <c r="AC2857" i="12"/>
  <c r="AC2587" i="12"/>
  <c r="AC3132" i="12"/>
  <c r="AC1224" i="12"/>
  <c r="AC834" i="12"/>
  <c r="AC996" i="12"/>
  <c r="AC673" i="12"/>
  <c r="AC2423" i="12"/>
  <c r="AC1462" i="12"/>
  <c r="AC1234" i="12"/>
  <c r="AC75" i="12"/>
  <c r="AC1506" i="12"/>
  <c r="AC2968" i="12"/>
  <c r="AC2240" i="12"/>
  <c r="AC1124" i="12"/>
  <c r="AC1958" i="12"/>
  <c r="AC2213" i="12"/>
  <c r="AC3435" i="12"/>
  <c r="AC2226" i="12"/>
  <c r="AC2168" i="12"/>
  <c r="AC394" i="12"/>
  <c r="AC2036" i="12"/>
  <c r="AC602" i="12"/>
  <c r="AC3237" i="12"/>
  <c r="AC130" i="12"/>
  <c r="AC1633" i="12"/>
  <c r="AC126" i="12"/>
  <c r="AC1400" i="12"/>
  <c r="AC40" i="12"/>
  <c r="AC3497" i="12"/>
  <c r="AC203" i="12"/>
  <c r="AC2555" i="12"/>
  <c r="AC1306" i="12"/>
  <c r="AC3017" i="12"/>
  <c r="AC1698" i="12"/>
  <c r="AC202" i="12"/>
  <c r="AC393" i="12"/>
  <c r="AC2784" i="12"/>
  <c r="AC923" i="12"/>
  <c r="AC1318" i="12"/>
  <c r="AC2483" i="12"/>
  <c r="AC1253" i="12"/>
  <c r="AC1091" i="12"/>
  <c r="AC216" i="12"/>
  <c r="AC909" i="12"/>
  <c r="AC1561" i="12"/>
  <c r="AC2516" i="12"/>
  <c r="AC2443" i="12"/>
  <c r="AC80" i="12"/>
  <c r="AC2220" i="12"/>
  <c r="AC3458" i="12"/>
  <c r="AC919" i="12"/>
  <c r="AC1422" i="12"/>
  <c r="AC3153" i="12"/>
  <c r="AC2778" i="12"/>
  <c r="AC632" i="12"/>
  <c r="AC430" i="12"/>
  <c r="AC2521" i="12"/>
  <c r="AC2950" i="12"/>
  <c r="AC29" i="12"/>
  <c r="AC653" i="12"/>
  <c r="AC3189" i="12"/>
  <c r="AC386" i="12"/>
  <c r="AC3470" i="12"/>
  <c r="AC131" i="12"/>
  <c r="AC245" i="12"/>
  <c r="AC327" i="12"/>
  <c r="AC2083" i="12"/>
  <c r="AC443" i="12"/>
  <c r="AC924" i="12"/>
  <c r="AC701" i="12"/>
  <c r="AC362" i="12"/>
  <c r="AC3509" i="12"/>
  <c r="AC2650" i="12"/>
  <c r="AC3207" i="12"/>
  <c r="AC2789" i="12"/>
  <c r="AC1607" i="12"/>
  <c r="AC3204" i="12"/>
  <c r="AC1777" i="12"/>
  <c r="AC1387" i="12"/>
  <c r="AC55" i="12"/>
  <c r="AC1996" i="12"/>
  <c r="AC122" i="12"/>
  <c r="AC2340" i="12"/>
  <c r="AC3147" i="12"/>
  <c r="AC2338" i="12"/>
  <c r="AC668" i="12"/>
  <c r="AC2130" i="12"/>
  <c r="AC265" i="12"/>
  <c r="AC1823" i="12"/>
  <c r="AC1524" i="12"/>
  <c r="AC1881" i="12"/>
  <c r="AC2121" i="12"/>
  <c r="AC287" i="12"/>
  <c r="AC100" i="12"/>
  <c r="AC1754" i="12"/>
  <c r="AC1559" i="12"/>
  <c r="AC326" i="12"/>
  <c r="AC537" i="12"/>
  <c r="AC1582" i="12"/>
  <c r="AC3279" i="12"/>
  <c r="AC3006" i="12"/>
  <c r="AC3449" i="12"/>
  <c r="AC532" i="12"/>
  <c r="AC2658" i="12"/>
  <c r="AC2793" i="12"/>
  <c r="AC2523" i="12"/>
  <c r="AC533" i="12"/>
  <c r="AC179" i="12"/>
  <c r="AC1690" i="12"/>
  <c r="AC693" i="12"/>
  <c r="AC3256" i="12"/>
  <c r="AC3366" i="12"/>
  <c r="AC1371" i="12"/>
  <c r="AC2708" i="12"/>
  <c r="AC1032" i="12"/>
  <c r="AC25" i="12"/>
  <c r="AC2270" i="12"/>
  <c r="AC1591" i="12"/>
  <c r="AC1330" i="12"/>
  <c r="AC3325" i="12"/>
  <c r="AC1885" i="12"/>
  <c r="AC2249" i="12"/>
  <c r="AC2908" i="12"/>
  <c r="AC2186" i="12"/>
  <c r="AC1718" i="12"/>
  <c r="AC1286" i="12"/>
  <c r="AC737" i="12"/>
  <c r="AC871" i="12"/>
  <c r="AC1464" i="12"/>
  <c r="AC470" i="12"/>
  <c r="AC3304" i="12"/>
  <c r="AC1398" i="12"/>
  <c r="AC2732" i="12"/>
  <c r="AC605" i="12"/>
  <c r="AC2994" i="12"/>
  <c r="AC2946" i="12"/>
  <c r="AC2562" i="12"/>
  <c r="AC2414" i="12"/>
  <c r="AC531" i="12"/>
  <c r="AC1478" i="12"/>
  <c r="AC3379" i="12"/>
  <c r="AC3526" i="12"/>
  <c r="AC3288" i="12"/>
  <c r="AC616" i="12"/>
  <c r="AC2128" i="12"/>
  <c r="AC1452" i="12"/>
  <c r="AC885" i="12"/>
  <c r="AC1412" i="12"/>
  <c r="AC3438" i="12"/>
  <c r="AC2829" i="12"/>
  <c r="AC2163" i="12"/>
  <c r="AC2514" i="12"/>
  <c r="AC2802" i="12"/>
  <c r="AC2613" i="12"/>
  <c r="AC1193" i="12"/>
  <c r="AC2942" i="12"/>
  <c r="AC2674" i="12"/>
  <c r="AC2722" i="12"/>
  <c r="AC1385" i="12"/>
  <c r="AC2684" i="12"/>
  <c r="AC2986" i="12"/>
  <c r="AC174" i="12"/>
  <c r="AC497" i="12"/>
  <c r="AC1831" i="12"/>
  <c r="AC2177" i="12"/>
  <c r="AC468" i="12"/>
  <c r="AC1687" i="12"/>
  <c r="AC2892" i="12"/>
  <c r="AC1869" i="12"/>
  <c r="AC427" i="12"/>
  <c r="AC1802" i="12"/>
  <c r="AC209" i="12"/>
  <c r="AC2103" i="12"/>
  <c r="AC713" i="12"/>
  <c r="AC3105" i="12"/>
  <c r="AC1305" i="12"/>
  <c r="AC2198" i="12"/>
  <c r="AC2433" i="12"/>
  <c r="AC2943" i="12"/>
  <c r="AC3544" i="12"/>
  <c r="AC1108" i="12"/>
  <c r="AC3030" i="12"/>
  <c r="AC556" i="12"/>
  <c r="AC1298" i="12"/>
  <c r="AC378" i="12"/>
  <c r="AC1132" i="12"/>
  <c r="AC1959" i="12"/>
  <c r="AC2006" i="12"/>
  <c r="AC3058" i="12"/>
  <c r="AC1250" i="12"/>
  <c r="AC2590" i="12"/>
  <c r="AC2438" i="12"/>
  <c r="AC736" i="12"/>
  <c r="AC836" i="12"/>
  <c r="AC214" i="12"/>
  <c r="AC3068" i="12"/>
  <c r="AC3225" i="12"/>
  <c r="AC275" i="12"/>
  <c r="AC2788" i="12"/>
  <c r="AC758" i="12"/>
  <c r="AC2730" i="12"/>
  <c r="AC284" i="12"/>
  <c r="AC2597" i="12"/>
  <c r="AC3059" i="12"/>
  <c r="AC1130" i="12"/>
  <c r="AC761" i="12"/>
  <c r="AC147" i="12"/>
  <c r="AC2286" i="12"/>
  <c r="AC1413" i="12"/>
  <c r="AC2505" i="12"/>
  <c r="AC2101" i="12"/>
  <c r="AC986" i="12"/>
  <c r="AC2307" i="12"/>
  <c r="AC2851" i="12"/>
  <c r="AC918" i="12"/>
  <c r="AC2921" i="12"/>
  <c r="AC3391" i="12"/>
  <c r="AC420" i="12"/>
  <c r="AC819" i="12"/>
  <c r="AC2428" i="12"/>
  <c r="AC2958" i="12"/>
  <c r="AC3427" i="12"/>
  <c r="AC2639" i="12"/>
  <c r="AC1737" i="12"/>
  <c r="AC267" i="12"/>
  <c r="AC2913" i="12"/>
  <c r="AC1341" i="12"/>
  <c r="AC1495" i="12"/>
  <c r="AC1706" i="12"/>
  <c r="AC2380" i="12"/>
  <c r="AC1334" i="12"/>
  <c r="AC2941" i="12"/>
  <c r="AC238" i="12"/>
  <c r="AC943" i="12"/>
  <c r="AC2836" i="12"/>
  <c r="AC3215" i="12"/>
  <c r="AC1798" i="12"/>
  <c r="AC30" i="12"/>
  <c r="AC1380" i="12"/>
  <c r="AC739" i="12"/>
  <c r="AC2927" i="12"/>
  <c r="AC1432" i="12"/>
  <c r="AC1711" i="12"/>
  <c r="AC1952" i="12"/>
  <c r="AC1339" i="12"/>
  <c r="AC1320" i="12"/>
  <c r="AC1568" i="12"/>
  <c r="AC840" i="12"/>
  <c r="AC3550" i="12"/>
  <c r="AC2683" i="12"/>
  <c r="AC3197" i="12"/>
  <c r="AC489" i="12"/>
  <c r="AC1492" i="12"/>
  <c r="AC1249" i="12"/>
  <c r="AC290" i="12"/>
  <c r="AC295" i="12"/>
  <c r="AC2411" i="12"/>
  <c r="AC2515" i="12"/>
  <c r="AC3254" i="12"/>
  <c r="AC250" i="12"/>
  <c r="AC679" i="12"/>
  <c r="AC2210" i="12"/>
  <c r="AC1873" i="12"/>
  <c r="AC2749" i="12"/>
  <c r="AC1909" i="12"/>
  <c r="AC2844" i="12"/>
  <c r="AC1052" i="12"/>
  <c r="AC1266" i="12"/>
  <c r="AC1499" i="12"/>
  <c r="AC2075" i="12"/>
  <c r="AC1106" i="12"/>
  <c r="AC604" i="12"/>
  <c r="AC2230" i="12"/>
  <c r="AC3397" i="12"/>
  <c r="AC2342" i="12"/>
  <c r="AC1719" i="12"/>
  <c r="AC688" i="12"/>
  <c r="AC1295" i="12"/>
  <c r="AC212" i="12"/>
  <c r="AC896" i="12"/>
  <c r="AC1565" i="12"/>
  <c r="AC900" i="12"/>
  <c r="AC3007" i="12"/>
  <c r="AC355" i="12"/>
  <c r="AC3075" i="12"/>
  <c r="AC2858" i="12"/>
  <c r="AC3231" i="12"/>
  <c r="AC1788" i="12"/>
  <c r="AC2014" i="12"/>
  <c r="AC3516" i="12"/>
  <c r="AC2775" i="12"/>
  <c r="AC1123" i="12"/>
  <c r="AC371" i="12"/>
  <c r="AC1402" i="12"/>
  <c r="AC3510" i="12"/>
  <c r="AC1213" i="12"/>
  <c r="AC990" i="12"/>
  <c r="AC2929" i="12"/>
  <c r="AC124" i="12"/>
  <c r="AC3413" i="12"/>
  <c r="AC3459" i="12"/>
  <c r="AC333" i="12"/>
  <c r="AC3185" i="12"/>
  <c r="AC1255" i="12"/>
  <c r="AC2129" i="12"/>
  <c r="AC2476" i="12"/>
  <c r="AC2200" i="12"/>
  <c r="AC2153" i="12"/>
  <c r="AC3102" i="12"/>
  <c r="AC1346" i="12"/>
  <c r="AC2962" i="12"/>
  <c r="AC2636" i="12"/>
  <c r="AC2662" i="12"/>
  <c r="AC411" i="12"/>
  <c r="AC451" i="12"/>
  <c r="AC2894" i="12"/>
  <c r="AC890" i="12"/>
  <c r="AC2282" i="12"/>
  <c r="AC1801" i="12"/>
  <c r="AC74" i="12"/>
  <c r="AC2136" i="12"/>
  <c r="AC2165" i="12"/>
  <c r="AC3109" i="12"/>
  <c r="AC554" i="12"/>
  <c r="AC2074" i="12"/>
  <c r="AC2489" i="12"/>
  <c r="AC3003" i="12"/>
  <c r="AC3532" i="12"/>
  <c r="AC2432" i="12"/>
  <c r="AC802" i="12"/>
  <c r="AC2579" i="12"/>
  <c r="AC2124" i="12"/>
  <c r="AC1212" i="12"/>
  <c r="AC1922" i="12"/>
  <c r="AC2383" i="12"/>
  <c r="AC3515" i="12"/>
  <c r="AC1670" i="12"/>
  <c r="AC1309" i="12"/>
  <c r="AC1581" i="12"/>
  <c r="AC2691" i="12"/>
  <c r="AC382" i="12"/>
  <c r="AC2955" i="12"/>
  <c r="AC1889" i="12"/>
  <c r="AC3296" i="12"/>
  <c r="AC735" i="12"/>
  <c r="AC1616" i="12"/>
  <c r="AC2690" i="12"/>
  <c r="AC1714" i="12"/>
  <c r="AC3333" i="12"/>
  <c r="AC3027" i="12"/>
  <c r="AC884" i="12"/>
  <c r="AC1611" i="12"/>
  <c r="AC3535" i="12"/>
  <c r="AC2032" i="12"/>
  <c r="AC496" i="12"/>
  <c r="AC2416" i="12"/>
  <c r="AC2898" i="12"/>
  <c r="AC1156" i="12"/>
  <c r="AC244" i="12"/>
  <c r="AC220" i="12"/>
  <c r="AC2235" i="12"/>
  <c r="AC3190" i="12"/>
  <c r="AC2949" i="12"/>
  <c r="AC2880" i="12"/>
  <c r="AC635" i="12"/>
  <c r="AC3165" i="12"/>
  <c r="AC2140" i="12"/>
  <c r="AC3483" i="12"/>
  <c r="AC3223" i="12"/>
  <c r="AC1420" i="12"/>
  <c r="AC916" i="12"/>
  <c r="AC3092" i="12"/>
  <c r="AC1363" i="12"/>
  <c r="AC2615" i="12"/>
  <c r="AC2649" i="12"/>
  <c r="AC897" i="12"/>
  <c r="AC3117" i="12"/>
  <c r="AC1020" i="12"/>
  <c r="AC2879" i="12"/>
  <c r="AC1908" i="12"/>
  <c r="AC199" i="12"/>
  <c r="AC125" i="12"/>
  <c r="AC555" i="12"/>
  <c r="AC3373" i="12"/>
  <c r="AC3079" i="12"/>
  <c r="AC219" i="12"/>
  <c r="AC776" i="12"/>
  <c r="AC3342" i="12"/>
  <c r="AC79" i="12"/>
  <c r="AC3289" i="12"/>
  <c r="AC837" i="12"/>
  <c r="AC2403" i="12"/>
  <c r="AC2473" i="12"/>
  <c r="AC1415" i="12"/>
  <c r="AC1578" i="12"/>
  <c r="AC1203" i="12"/>
  <c r="AC2554" i="12"/>
  <c r="AC3050" i="12"/>
  <c r="AC1037" i="12"/>
  <c r="AC2173" i="12"/>
  <c r="AC351" i="12"/>
  <c r="AC2508" i="12"/>
  <c r="AC188" i="12"/>
  <c r="AC842" i="12"/>
  <c r="AC2546" i="12"/>
  <c r="AC3329" i="12"/>
  <c r="AC2357" i="12"/>
  <c r="AC3309" i="12"/>
  <c r="AC162" i="12"/>
  <c r="AC751" i="12"/>
  <c r="AC1031" i="12"/>
  <c r="AC2984" i="12"/>
  <c r="AC732" i="12"/>
  <c r="AC2716" i="12"/>
  <c r="AC442" i="12"/>
  <c r="AC1251" i="12"/>
  <c r="AC2725" i="12"/>
  <c r="AC345" i="12"/>
  <c r="AC1627" i="12"/>
  <c r="AC2430" i="12"/>
  <c r="AC3500" i="12"/>
  <c r="AC2932" i="12"/>
  <c r="AC1796" i="12"/>
  <c r="AC1394" i="12"/>
  <c r="AC1936" i="12"/>
  <c r="AC2638" i="12"/>
  <c r="AC1089" i="12"/>
  <c r="AC2062" i="12"/>
  <c r="AC385" i="12"/>
  <c r="AC1486" i="12"/>
  <c r="AC3131" i="12"/>
  <c r="AC617" i="12"/>
  <c r="AC379" i="12"/>
  <c r="AC2245" i="12"/>
  <c r="AC445" i="12"/>
  <c r="AC2925" i="12"/>
  <c r="AC2783" i="12"/>
  <c r="AC469" i="12"/>
  <c r="AC1161" i="12"/>
  <c r="AC2785" i="12"/>
  <c r="AC526" i="12"/>
  <c r="AC2462" i="12"/>
  <c r="AC1661" i="12"/>
  <c r="AC2781" i="12"/>
  <c r="AC3521" i="12"/>
  <c r="AC2346" i="12"/>
  <c r="AC3439" i="12"/>
  <c r="AC2819" i="12"/>
  <c r="AC945" i="12"/>
  <c r="AC2989" i="12"/>
  <c r="AC3210" i="12"/>
  <c r="AC2306" i="12"/>
  <c r="AC1865" i="12"/>
  <c r="AC2729" i="12"/>
  <c r="AC344" i="12"/>
  <c r="AC2409" i="12"/>
  <c r="AC663" i="12"/>
  <c r="AC2091" i="12"/>
  <c r="AC2259" i="12"/>
  <c r="AC858" i="12"/>
  <c r="AC2131" i="12"/>
  <c r="AC3133" i="12"/>
  <c r="AC1171" i="12"/>
  <c r="AC712" i="12"/>
  <c r="AC1852" i="12"/>
  <c r="AC3285" i="12"/>
  <c r="AC2320" i="12"/>
  <c r="AC3423" i="12"/>
  <c r="AC3080" i="12"/>
  <c r="AC2324" i="12"/>
  <c r="AC1125" i="12"/>
  <c r="AC3347" i="12"/>
  <c r="AC46" i="12"/>
  <c r="AC2378" i="12"/>
  <c r="AC1653" i="12"/>
  <c r="AC2552" i="12"/>
  <c r="AC24" i="12"/>
  <c r="AC1547" i="12"/>
  <c r="AC1994" i="12"/>
  <c r="AC225" i="12"/>
  <c r="AC1042" i="12"/>
  <c r="AC408" i="12"/>
  <c r="AC62" i="12"/>
  <c r="AC1154" i="12"/>
  <c r="AC535" i="12"/>
  <c r="AC2241" i="12"/>
  <c r="AC2394" i="12"/>
  <c r="AC260" i="12"/>
  <c r="AC691" i="12"/>
  <c r="AC1048" i="12"/>
  <c r="AC440" i="12"/>
  <c r="AC2041" i="12"/>
  <c r="AC1310" i="12"/>
  <c r="AC738" i="12"/>
  <c r="AC1663" i="12"/>
  <c r="AC217" i="12"/>
  <c r="AC61" i="12"/>
  <c r="AC306" i="12"/>
  <c r="AC94" i="12"/>
  <c r="AC2402" i="12"/>
  <c r="AC510" i="12"/>
  <c r="AC1926" i="12"/>
  <c r="AC493" i="12"/>
  <c r="AC2637" i="12"/>
  <c r="AC3340" i="12"/>
  <c r="AC2881" i="12"/>
  <c r="AC309" i="12"/>
  <c r="AC843" i="12"/>
  <c r="AC3171" i="12"/>
  <c r="AC2319" i="12"/>
  <c r="AC3016" i="12"/>
  <c r="AC1765" i="12"/>
  <c r="AC2253" i="12"/>
  <c r="AC3009" i="12"/>
  <c r="AC66" i="12"/>
  <c r="AC930" i="12"/>
  <c r="AC396" i="12"/>
  <c r="AC3479" i="12"/>
  <c r="AC145" i="12"/>
  <c r="AC3182" i="12"/>
  <c r="AC1116" i="12"/>
  <c r="AC2181" i="12"/>
  <c r="AC1001" i="12"/>
  <c r="AC2626" i="12"/>
  <c r="AC3176" i="12"/>
  <c r="AC330" i="12"/>
  <c r="AC1931" i="12"/>
  <c r="AC1854" i="12"/>
  <c r="AC2528" i="12"/>
  <c r="AC2086" i="12"/>
  <c r="AC1290" i="12"/>
  <c r="AC1813" i="12"/>
  <c r="AC1543" i="12"/>
  <c r="AC1570" i="12"/>
  <c r="AC390" i="12"/>
  <c r="AC3140" i="12"/>
  <c r="AC798" i="12"/>
  <c r="AC2855" i="12"/>
  <c r="AC2125" i="12"/>
  <c r="AC2139" i="12"/>
  <c r="AC2141" i="12"/>
  <c r="AC412" i="12"/>
  <c r="AC1078" i="12"/>
  <c r="AC746" i="12"/>
  <c r="AC1200" i="12"/>
  <c r="AC234" i="12"/>
  <c r="AC3275" i="12"/>
  <c r="AC2374" i="12"/>
  <c r="AC1721" i="12"/>
  <c r="AC3552" i="12"/>
  <c r="AC2302" i="12"/>
  <c r="AC3426" i="12"/>
  <c r="AC2184" i="12"/>
  <c r="AC1938" i="12"/>
  <c r="AC3126" i="12"/>
  <c r="AC2644" i="12"/>
  <c r="AC1436" i="12"/>
  <c r="AC2396" i="12"/>
  <c r="AC1946" i="12"/>
  <c r="AC2304" i="12"/>
  <c r="AC643" i="12"/>
  <c r="AC1862" i="12"/>
  <c r="AC1747" i="12"/>
  <c r="AC186" i="12"/>
  <c r="AC832" i="12"/>
  <c r="AC2096" i="12"/>
  <c r="AC177" i="12"/>
  <c r="AC2534" i="12"/>
  <c r="AC2308" i="12"/>
  <c r="AC2999" i="12"/>
  <c r="AC1425" i="12"/>
  <c r="AC2279" i="12"/>
  <c r="AC1470" i="12"/>
  <c r="AC1102" i="12"/>
  <c r="AC1632" i="12"/>
  <c r="AC1821" i="12"/>
  <c r="AC1191" i="12"/>
  <c r="AC3219" i="12"/>
  <c r="AC242" i="12"/>
  <c r="AC1009" i="12"/>
  <c r="AC2400" i="12"/>
  <c r="AC3489" i="12"/>
  <c r="AC2846" i="12"/>
  <c r="AC239" i="12"/>
  <c r="AC495" i="12"/>
  <c r="AC294" i="12"/>
  <c r="AC1460" i="12"/>
  <c r="AC571" i="12"/>
  <c r="AC1041" i="12"/>
  <c r="AC2837" i="12"/>
  <c r="AC1000" i="12"/>
  <c r="AC808" i="12"/>
  <c r="AC2461" i="12"/>
  <c r="AC3462" i="12"/>
  <c r="AC2667" i="12"/>
  <c r="AC1526" i="12"/>
  <c r="AC235" i="12"/>
  <c r="AC2595" i="12"/>
  <c r="AC2660" i="12"/>
  <c r="AC1072" i="12"/>
  <c r="AC450" i="12"/>
  <c r="AC2116" i="12"/>
  <c r="AC3480" i="12"/>
  <c r="AC1238" i="12"/>
  <c r="AC2227" i="12"/>
  <c r="AC508" i="12"/>
  <c r="AC672" i="12"/>
  <c r="AC3295" i="12"/>
  <c r="AC1390" i="12"/>
  <c r="AC2603" i="12"/>
  <c r="AC53" i="12"/>
  <c r="AC1153" i="12"/>
  <c r="AC3417" i="12"/>
  <c r="AC3049" i="12"/>
  <c r="AC3508" i="12"/>
  <c r="AC3362" i="12"/>
  <c r="AC1453" i="12"/>
  <c r="AC1716" i="12"/>
  <c r="AC1517" i="12"/>
  <c r="AC65" i="12"/>
  <c r="AC792" i="12"/>
  <c r="AC156" i="12"/>
  <c r="AC3043" i="12"/>
  <c r="AC364" i="12"/>
  <c r="AC1552" i="12"/>
  <c r="AC1294" i="12"/>
  <c r="AC1240" i="12"/>
  <c r="AC2978" i="12"/>
  <c r="AC3024" i="12"/>
  <c r="AC1292" i="12"/>
  <c r="AC2265" i="12"/>
  <c r="AC3028" i="12"/>
  <c r="AC1269" i="12"/>
  <c r="AC2976" i="12"/>
  <c r="AC1806" i="12"/>
  <c r="AC1664" i="12"/>
  <c r="AC1692" i="12"/>
  <c r="AC3098" i="12"/>
  <c r="AC2930" i="12"/>
  <c r="AC3192" i="12"/>
  <c r="AC2553" i="12"/>
  <c r="AC77" i="12"/>
  <c r="AC3060" i="12"/>
  <c r="AC2246" i="12"/>
  <c r="AC2256" i="12"/>
  <c r="AC1915" i="12"/>
  <c r="AC1297" i="12"/>
  <c r="AC2350" i="12"/>
  <c r="AC2931" i="12"/>
  <c r="AC3437" i="12"/>
  <c r="AC2755" i="12"/>
  <c r="AC315" i="12"/>
  <c r="AC649" i="12"/>
  <c r="AC466" i="12"/>
  <c r="AC2711" i="12"/>
  <c r="AC3154" i="12"/>
  <c r="AC2706" i="12"/>
  <c r="AC3114" i="12"/>
  <c r="AC550" i="12"/>
  <c r="AC509" i="12"/>
  <c r="AC656" i="12"/>
  <c r="AC3025" i="12"/>
  <c r="AC1614" i="12"/>
  <c r="AC3534" i="12"/>
  <c r="AC2317" i="12"/>
  <c r="AC848" i="12"/>
  <c r="AC562" i="12"/>
  <c r="AC1694" i="12"/>
  <c r="AC438" i="12"/>
  <c r="AC2137" i="12"/>
  <c r="AC1566" i="12"/>
  <c r="AC2621" i="12"/>
  <c r="AC2089" i="12"/>
  <c r="AC2109" i="12"/>
  <c r="AC2328" i="12"/>
  <c r="AC3274" i="12"/>
  <c r="AC2033" i="12"/>
  <c r="AC1535" i="12"/>
  <c r="AC1586" i="12"/>
  <c r="AC2752" i="12"/>
  <c r="AC1625" i="12"/>
  <c r="AC395" i="12"/>
  <c r="AC1195" i="12"/>
  <c r="AC2599" i="12"/>
  <c r="AC588" i="12"/>
  <c r="AC2997" i="12"/>
  <c r="AC273" i="12"/>
  <c r="AC1853" i="12"/>
  <c r="AC3128" i="12"/>
  <c r="AC3078" i="12"/>
  <c r="AC908" i="12"/>
  <c r="AC2456" i="12"/>
  <c r="AC1219" i="12"/>
  <c r="AC2527" i="12"/>
  <c r="AC2379" i="12"/>
  <c r="AC631" i="12"/>
  <c r="AC2155" i="12"/>
  <c r="AC31" i="12"/>
  <c r="AC822" i="12"/>
  <c r="AC1945" i="12"/>
  <c r="AC2458" i="12"/>
  <c r="AC841" i="12"/>
  <c r="AC68" i="12"/>
  <c r="AC1795" i="12"/>
  <c r="AC1672" i="12"/>
  <c r="AC1409" i="12"/>
  <c r="AC3301" i="12"/>
  <c r="AC3103" i="12"/>
  <c r="AC2575" i="12"/>
  <c r="AC2002" i="12"/>
  <c r="AC812" i="12"/>
  <c r="AC2570" i="12"/>
  <c r="AC972" i="12"/>
  <c r="AC1652" i="12"/>
  <c r="AC773" i="12"/>
  <c r="AC1202" i="12"/>
  <c r="AC1260" i="12"/>
  <c r="AC318" i="12"/>
  <c r="AC648" i="12"/>
  <c r="AC1751" i="12"/>
  <c r="AC2873" i="12"/>
  <c r="AC3236" i="12"/>
  <c r="AC2669" i="12"/>
  <c r="AC89" i="12"/>
  <c r="AC3531" i="12"/>
  <c r="AC1376" i="12"/>
  <c r="AC2724" i="12"/>
  <c r="AC1878" i="12"/>
  <c r="AC3315" i="12"/>
  <c r="AC646" i="12"/>
  <c r="AC1471" i="12"/>
  <c r="AC374" i="12"/>
  <c r="AC3113" i="12"/>
  <c r="AC678" i="12"/>
  <c r="AC2465" i="12"/>
  <c r="AC2547" i="12"/>
  <c r="AC3549" i="12"/>
  <c r="AC1463" i="12"/>
  <c r="AC1429" i="12"/>
  <c r="AC1008" i="12"/>
  <c r="AC2399" i="12"/>
  <c r="AC970" i="12"/>
  <c r="AC293" i="12"/>
  <c r="AC3306" i="12"/>
  <c r="AC1230" i="12"/>
  <c r="AC760" i="12"/>
  <c r="AC2499" i="12"/>
  <c r="AC1374" i="12"/>
  <c r="AC1277" i="12"/>
  <c r="AC1188" i="12"/>
  <c r="AC611" i="12"/>
  <c r="AC2027" i="12"/>
  <c r="AC1067" i="12"/>
  <c r="AC2133" i="12"/>
  <c r="AC1882" i="12"/>
  <c r="AC2759" i="12"/>
  <c r="AC2972" i="12"/>
  <c r="AC2502" i="12"/>
  <c r="AC1016" i="12"/>
  <c r="AC1811" i="12"/>
  <c r="AC2353" i="12"/>
  <c r="AC402" i="12"/>
  <c r="AC2042" i="12"/>
  <c r="AC27" i="12"/>
  <c r="AC1252" i="12"/>
  <c r="AC3277" i="12"/>
  <c r="AC1503" i="12"/>
  <c r="AC492" i="12"/>
  <c r="AC619" i="12"/>
  <c r="AC694" i="12"/>
  <c r="AC566" i="12"/>
  <c r="AC2010" i="12"/>
  <c r="AC2008" i="12"/>
  <c r="AC418" i="12"/>
  <c r="AC459" i="12"/>
  <c r="AC2289" i="12"/>
  <c r="AC1182" i="12"/>
  <c r="AC1617" i="12"/>
  <c r="AC3034" i="12"/>
  <c r="AC365" i="12"/>
  <c r="AC799" i="12"/>
  <c r="AC1971" i="12"/>
  <c r="AC2453" i="12"/>
  <c r="AC1222" i="12"/>
  <c r="AC1510" i="12"/>
  <c r="AC2979" i="12"/>
  <c r="AC1114" i="12"/>
  <c r="AC1276" i="12"/>
  <c r="AC3054" i="12"/>
  <c r="AC1235" i="12"/>
  <c r="AC3195" i="12"/>
  <c r="AC2504" i="12"/>
  <c r="AC2095" i="12"/>
  <c r="AC391" i="12"/>
  <c r="AC33" i="12"/>
  <c r="AC2609" i="12"/>
  <c r="AC1068" i="12"/>
  <c r="AC117" i="12"/>
  <c r="AC134" i="12"/>
  <c r="AC1239" i="12"/>
  <c r="AC422" i="12"/>
  <c r="AC2811" i="12"/>
  <c r="AC3283" i="12"/>
  <c r="AC1575" i="12"/>
  <c r="AC2823" i="12"/>
  <c r="AC2206" i="12"/>
  <c r="AC2998" i="12"/>
  <c r="AC1679" i="12"/>
  <c r="AC2334" i="12"/>
  <c r="AC2159" i="12"/>
  <c r="AC2774" i="12"/>
  <c r="AC1880" i="12"/>
  <c r="AC772" i="12"/>
  <c r="AC3403" i="12"/>
  <c r="AC938" i="12"/>
  <c r="AC2110" i="12"/>
  <c r="AC1117" i="12"/>
  <c r="AC669" i="12"/>
  <c r="AC2290" i="12"/>
  <c r="AC259" i="12"/>
  <c r="AC1344" i="12"/>
  <c r="AC2381" i="12"/>
  <c r="AC769" i="12"/>
  <c r="AC3107" i="12"/>
  <c r="AC2360" i="12"/>
  <c r="AC2561" i="12"/>
  <c r="AC2779" i="12"/>
  <c r="AC2142" i="12"/>
  <c r="AC3271" i="12"/>
  <c r="AC3048" i="12"/>
  <c r="AC3170" i="12"/>
  <c r="AC358" i="12"/>
  <c r="AC1797" i="12"/>
  <c r="AC157" i="12"/>
  <c r="AC2341" i="12"/>
  <c r="AC1531" i="12"/>
  <c r="AC747" i="12"/>
  <c r="AC683" i="12"/>
  <c r="AC2013" i="12"/>
  <c r="AC1738" i="12"/>
  <c r="AC3087" i="12"/>
  <c r="AC3152" i="12"/>
  <c r="AC2723" i="12"/>
  <c r="AC3138" i="12"/>
  <c r="AC2354" i="12"/>
  <c r="AC3015" i="12"/>
  <c r="AC2964" i="12"/>
  <c r="AC2022" i="12"/>
  <c r="AC1457" i="12"/>
  <c r="AC3390" i="12"/>
  <c r="AC2824" i="12"/>
  <c r="AC1110" i="12"/>
  <c r="AC1258" i="12"/>
  <c r="AC941" i="12"/>
  <c r="AC2051" i="12"/>
  <c r="AC43" i="12"/>
  <c r="AC2612" i="12"/>
  <c r="AC280" i="12"/>
  <c r="AC601" i="12"/>
  <c r="AC2335" i="12"/>
  <c r="AC641" i="12"/>
  <c r="AC3486" i="12"/>
  <c r="AC252" i="12"/>
  <c r="AC2199" i="12"/>
  <c r="AC373" i="12"/>
  <c r="AC2161" i="12"/>
  <c r="AC2853" i="12"/>
  <c r="AC3513" i="12"/>
  <c r="AC3084" i="12"/>
  <c r="AC1242" i="12"/>
  <c r="AC3169" i="12"/>
  <c r="AC1697" i="12"/>
  <c r="AC2366" i="12"/>
  <c r="AC1302" i="12"/>
  <c r="AC1646" i="12"/>
  <c r="AC1455" i="12"/>
  <c r="AC2715" i="12"/>
  <c r="AC3227" i="12"/>
  <c r="AC1158" i="12"/>
  <c r="AC3085" i="12"/>
  <c r="AC271" i="12"/>
  <c r="AC1685" i="12"/>
  <c r="AC997" i="12"/>
  <c r="AC1556" i="12"/>
  <c r="AC2870" i="12"/>
  <c r="AC2352" i="12"/>
  <c r="AC3158" i="12"/>
  <c r="AC774" i="12"/>
  <c r="AC463" i="12"/>
  <c r="AC1907" i="12"/>
  <c r="AC3141" i="12"/>
  <c r="AC1236" i="12"/>
  <c r="AC572" i="12"/>
  <c r="AC501" i="12"/>
  <c r="AC2421" i="12"/>
  <c r="AC2466" i="12"/>
  <c r="AC1826" i="12"/>
  <c r="AC570" i="12"/>
  <c r="AC1428" i="12"/>
  <c r="AC346" i="12"/>
  <c r="AC1548" i="12"/>
  <c r="AC1843" i="12"/>
  <c r="AC2030" i="12"/>
  <c r="AC1895" i="12"/>
  <c r="AC879" i="12"/>
  <c r="AC1731" i="12"/>
  <c r="AC901" i="12"/>
  <c r="AC336" i="12"/>
  <c r="AC2760" i="12"/>
  <c r="AC1079" i="12"/>
  <c r="AC2359" i="12"/>
  <c r="AC1644" i="12"/>
  <c r="AC944" i="12"/>
  <c r="AC2518" i="12"/>
  <c r="AC1630" i="12"/>
  <c r="AC1509" i="12"/>
  <c r="AC3464" i="12"/>
  <c r="AC3278" i="12"/>
  <c r="AC47" i="12"/>
  <c r="AC1221" i="12"/>
  <c r="AC2680" i="12"/>
  <c r="AC2905" i="12"/>
  <c r="AC3252" i="12"/>
  <c r="AC2630" i="12"/>
  <c r="AC423" i="12"/>
  <c r="AC622" i="12"/>
  <c r="AC3095" i="12"/>
  <c r="AC3392" i="12"/>
  <c r="AC939" i="12"/>
  <c r="AC367" i="12"/>
  <c r="AC3172" i="12"/>
  <c r="AC2252" i="12"/>
  <c r="AC1610" i="12"/>
  <c r="AC1847" i="12"/>
  <c r="AC3429" i="12"/>
  <c r="AC1874" i="12"/>
  <c r="AC3466" i="12"/>
  <c r="AC1351" i="12"/>
  <c r="AC2272" i="12"/>
  <c r="AC2938" i="12"/>
  <c r="AC2301" i="12"/>
  <c r="AC115" i="12"/>
  <c r="AC403" i="12"/>
  <c r="AC2557" i="12"/>
  <c r="AC1708" i="12"/>
  <c r="AC2218" i="12"/>
  <c r="AC1315" i="12"/>
  <c r="AC276" i="12"/>
  <c r="AC1955" i="12"/>
  <c r="AC3498" i="12"/>
  <c r="AC1784" i="12"/>
  <c r="AC1778" i="12"/>
  <c r="AC2478" i="12"/>
  <c r="AC1246" i="12"/>
  <c r="AC1521" i="12"/>
  <c r="AC795" i="12"/>
  <c r="AC2113" i="12"/>
  <c r="AC1077" i="12"/>
  <c r="AC873" i="12"/>
  <c r="AC3376" i="12"/>
  <c r="AC59" i="12"/>
  <c r="AC597" i="12"/>
  <c r="AC2583" i="12"/>
  <c r="AC2692" i="12"/>
  <c r="AC2661" i="12"/>
  <c r="AC1283" i="12"/>
  <c r="AC1312" i="12"/>
  <c r="AC3297" i="12"/>
  <c r="AC2485" i="12"/>
  <c r="AC2056" i="12"/>
  <c r="AC744" i="12"/>
  <c r="AC328" i="12"/>
  <c r="AC2569" i="12"/>
  <c r="AC1675" i="12"/>
  <c r="AC3071" i="12"/>
  <c r="AC1151" i="12"/>
  <c r="AC590" i="12"/>
  <c r="AC1111" i="12"/>
  <c r="AC2971" i="12"/>
  <c r="AC2108" i="12"/>
  <c r="AC2967" i="12"/>
  <c r="AC3383" i="12"/>
  <c r="AC3488" i="12"/>
  <c r="AC1304" i="12"/>
  <c r="AC2450" i="12"/>
  <c r="AC1074" i="12"/>
  <c r="AC2907" i="12"/>
  <c r="AC104" i="12"/>
  <c r="AC2770" i="12"/>
  <c r="AC3472" i="12"/>
  <c r="AC2966" i="12"/>
  <c r="AC1713" i="12"/>
  <c r="AC2665" i="12"/>
  <c r="AC2060" i="12"/>
  <c r="AC1768" i="12"/>
  <c r="AC849" i="12"/>
  <c r="AC2953" i="12"/>
  <c r="AC1533" i="12"/>
  <c r="AC3495" i="12"/>
  <c r="AC401" i="12"/>
  <c r="AC3414" i="12"/>
  <c r="AC3001" i="12"/>
  <c r="AC3542" i="12"/>
  <c r="AC2418" i="12"/>
  <c r="AC2435" i="12"/>
  <c r="AC741" i="12"/>
  <c r="AC1660" i="12"/>
  <c r="AC686" i="12"/>
  <c r="AC359" i="12"/>
  <c r="AC3099" i="12"/>
  <c r="AC3338" i="12"/>
  <c r="AC2029" i="12"/>
  <c r="AC2043" i="12"/>
  <c r="AC2890" i="12"/>
  <c r="AC155" i="12"/>
  <c r="AC662" i="12"/>
  <c r="AC573" i="12"/>
  <c r="AC2607" i="12"/>
  <c r="AC2412" i="12"/>
  <c r="AC767" i="12"/>
  <c r="AC3226" i="12"/>
  <c r="AC3406" i="12"/>
  <c r="AC1693" i="12"/>
  <c r="AC2993" i="12"/>
  <c r="AC227" i="12"/>
  <c r="AC932" i="12"/>
  <c r="AC2847" i="12"/>
  <c r="AC2251" i="12"/>
  <c r="AC667" i="12"/>
  <c r="AC1636" i="12"/>
  <c r="AC1914" i="12"/>
  <c r="AC67" i="12"/>
  <c r="AC3463" i="12"/>
  <c r="AC491" i="12"/>
  <c r="AC3143" i="12"/>
  <c r="AC1494" i="12"/>
  <c r="AC3482" i="12"/>
  <c r="AC1468" i="12"/>
  <c r="AC1261" i="12"/>
  <c r="AC715" i="12"/>
  <c r="AC1520" i="12"/>
  <c r="AC690" i="12"/>
  <c r="AC881" i="12"/>
  <c r="AC2696" i="12"/>
  <c r="AC2653" i="12"/>
  <c r="AC103" i="12"/>
  <c r="AC2633" i="12"/>
  <c r="AC963" i="12"/>
  <c r="AC3194" i="12"/>
  <c r="AC329" i="12"/>
  <c r="AC1147" i="12"/>
  <c r="AC710" i="12"/>
  <c r="AC2071" i="12"/>
  <c r="AC1787" i="12"/>
  <c r="AC119" i="12"/>
  <c r="AC456" i="12"/>
  <c r="AC1759" i="12"/>
  <c r="AC3157" i="12"/>
  <c r="AC1573" i="12"/>
  <c r="AC1027" i="12"/>
  <c r="AC835" i="12"/>
  <c r="AC1366" i="12"/>
  <c r="AC1800" i="12"/>
  <c r="AC1590" i="12"/>
  <c r="AC1393" i="12"/>
  <c r="AC1684" i="12"/>
  <c r="AC723" i="12"/>
  <c r="AC2069" i="12"/>
  <c r="AC1762" i="12"/>
  <c r="AC1710" i="12"/>
  <c r="AC2003" i="12"/>
  <c r="AC877" i="12"/>
  <c r="AC3456" i="12"/>
  <c r="AC1829" i="12"/>
  <c r="AC1742" i="12"/>
  <c r="AC685" i="12"/>
  <c r="AC1059" i="12"/>
  <c r="AC626" i="12"/>
  <c r="AC2821" i="12"/>
  <c r="AC1118" i="12"/>
  <c r="AC197" i="12"/>
  <c r="AC2688" i="12"/>
  <c r="AC92" i="12"/>
  <c r="AC3241" i="12"/>
  <c r="AC1268" i="12"/>
  <c r="AC56" i="12"/>
  <c r="AC3040" i="12"/>
  <c r="AC1539" i="12"/>
  <c r="AC3262" i="12"/>
  <c r="AC3216" i="12"/>
  <c r="AC208" i="12"/>
  <c r="AC3374" i="12"/>
  <c r="AC1047" i="12"/>
  <c r="AC2175" i="12"/>
  <c r="AC69" i="12"/>
  <c r="AC935" i="12"/>
  <c r="AC2551" i="12"/>
  <c r="AC790" i="12"/>
  <c r="AC817" i="12"/>
  <c r="AC262" i="12"/>
  <c r="AC958" i="12"/>
  <c r="AC2182" i="12"/>
  <c r="AC1650" i="12"/>
  <c r="AC447" i="12"/>
  <c r="AC503" i="12"/>
  <c r="AC3186" i="12"/>
  <c r="AC1160" i="12"/>
  <c r="AC2492" i="12"/>
  <c r="AC2991" i="12"/>
  <c r="AC78" i="12"/>
  <c r="AC1328" i="12"/>
  <c r="AC1967" i="12"/>
  <c r="AC2767" i="12"/>
  <c r="AC1998" i="12"/>
  <c r="AC1836" i="12"/>
  <c r="AC3546" i="12"/>
  <c r="AC1475" i="12"/>
  <c r="AC3012" i="12"/>
  <c r="AC3433" i="12"/>
  <c r="AC1055" i="12"/>
  <c r="AC1640" i="12"/>
  <c r="AC2828" i="12"/>
  <c r="AC272" i="12"/>
  <c r="AC1063" i="12"/>
  <c r="AC1780" i="12"/>
  <c r="AC545" i="12"/>
  <c r="AC2537" i="12"/>
  <c r="AC2281" i="12"/>
  <c r="AC2509" i="12"/>
  <c r="AC1034" i="12"/>
  <c r="AC21" i="12"/>
  <c r="AC1986" i="12"/>
  <c r="AC3514" i="12"/>
  <c r="AC2731" i="12"/>
  <c r="AC302" i="12"/>
  <c r="AC3336" i="12"/>
  <c r="AC1899" i="12"/>
  <c r="AC2105" i="12"/>
  <c r="AC1192" i="12"/>
  <c r="AC2695" i="12"/>
  <c r="AC1602" i="12"/>
  <c r="AC1215" i="12"/>
  <c r="AC1546" i="12"/>
  <c r="AC993" i="12"/>
  <c r="AC2436" i="12"/>
  <c r="AC1752" i="12"/>
  <c r="AC3272" i="12"/>
  <c r="AC2236" i="12"/>
  <c r="AC3477" i="12"/>
  <c r="AC2903" i="12"/>
  <c r="AC3188" i="12"/>
  <c r="AC2852" i="12"/>
  <c r="AC1120" i="12"/>
  <c r="AC370" i="12"/>
  <c r="AC1637" i="12"/>
  <c r="AC173" i="12"/>
  <c r="AC108" i="12"/>
  <c r="AC3100" i="12"/>
  <c r="AC2869" i="12"/>
  <c r="AC1466" i="12"/>
  <c r="AC955" i="12"/>
  <c r="AC674" i="12"/>
  <c r="AC2659" i="12"/>
  <c r="AC249" i="12"/>
  <c r="AC3420" i="12"/>
  <c r="AC3101" i="12"/>
  <c r="AC2011" i="12"/>
  <c r="AC2481" i="12"/>
  <c r="AC2355" i="12"/>
  <c r="AC2796" i="12"/>
  <c r="AC500" i="12"/>
  <c r="AC2790" i="12"/>
  <c r="AC1828" i="12"/>
  <c r="AC1270" i="12"/>
  <c r="AC851" i="12"/>
  <c r="AC1142" i="12"/>
  <c r="AC1963" i="12"/>
  <c r="AC1985" i="12"/>
  <c r="AC1198" i="12"/>
  <c r="AC2817" i="12"/>
  <c r="AC1879" i="12"/>
  <c r="AC3106" i="12"/>
  <c r="AC3518" i="12"/>
  <c r="AC3377" i="12"/>
  <c r="AC1700" i="12"/>
  <c r="AC3213" i="12"/>
  <c r="AC1863" i="12"/>
  <c r="AC3273" i="12"/>
  <c r="AC1115" i="12"/>
  <c r="AC1741" i="12"/>
  <c r="AC2090" i="12"/>
  <c r="AC81" i="12"/>
  <c r="AC872" i="12"/>
  <c r="AC567" i="12"/>
  <c r="AC387" i="12"/>
  <c r="AC3314" i="12"/>
  <c r="AC1263" i="12"/>
  <c r="AC1358" i="12"/>
  <c r="AC3503" i="12"/>
  <c r="AC1846" i="12"/>
  <c r="AC3446" i="12"/>
  <c r="AC478" i="12"/>
  <c r="AC522" i="12"/>
  <c r="AC1149" i="12"/>
  <c r="AC651" i="12"/>
  <c r="AC392" i="12"/>
  <c r="AC1096" i="12"/>
  <c r="AC989" i="12"/>
  <c r="AC1501" i="12"/>
  <c r="AC584" i="12"/>
  <c r="AC1891" i="12"/>
  <c r="AC2044" i="12"/>
  <c r="AC3181" i="12"/>
  <c r="AC1216" i="12"/>
  <c r="AC2238" i="12"/>
  <c r="AC2744" i="12"/>
  <c r="AC770" i="12"/>
  <c r="AC236" i="12"/>
  <c r="AC2193" i="12"/>
  <c r="AC3415" i="12"/>
  <c r="AC813" i="12"/>
  <c r="AC2337" i="12"/>
  <c r="AC2463" i="12"/>
  <c r="AC3264" i="12"/>
  <c r="AC3525" i="12"/>
  <c r="AC2563" i="12"/>
  <c r="AC2258" i="12"/>
  <c r="AC72" i="12"/>
  <c r="AC1401" i="12"/>
  <c r="AC3178" i="12"/>
  <c r="AC2395" i="12"/>
  <c r="AC1544" i="12"/>
  <c r="AC248" i="12"/>
  <c r="AC3246" i="12"/>
  <c r="AC2818" i="12"/>
  <c r="AC3368" i="12"/>
  <c r="AC3145" i="12"/>
  <c r="AC1073" i="12"/>
  <c r="AC334" i="12"/>
  <c r="AC2758" i="12"/>
  <c r="AC1513" i="12"/>
  <c r="AC3332" i="12"/>
  <c r="AC1916" i="12"/>
  <c r="AC977" i="12"/>
  <c r="AC313" i="12"/>
  <c r="AC87" i="12"/>
  <c r="AC1180" i="12"/>
  <c r="AC3020" i="12"/>
  <c r="AC967" i="12"/>
  <c r="AC2805" i="12"/>
  <c r="AC2568" i="12"/>
  <c r="AC299" i="12"/>
  <c r="AC2104" i="12"/>
  <c r="AC2826" i="12"/>
  <c r="AC2114" i="12"/>
  <c r="AC266" i="12"/>
  <c r="AC1790" i="12"/>
  <c r="AC2906" i="12"/>
  <c r="AC519" i="12"/>
  <c r="AC90" i="12"/>
  <c r="AC543" i="12"/>
  <c r="AC3348" i="12"/>
  <c r="AC952" i="12"/>
  <c r="AC213" i="12"/>
  <c r="AC615" i="12"/>
  <c r="AC2735" i="12"/>
  <c r="AC1066" i="12"/>
  <c r="AC1577" i="12"/>
  <c r="AC1248" i="12"/>
  <c r="AC304" i="12"/>
  <c r="AC3337" i="12"/>
  <c r="AC1760" i="12"/>
  <c r="AC1076" i="12"/>
  <c r="AC920" i="12"/>
  <c r="AC1932" i="12"/>
  <c r="AC512" i="12"/>
  <c r="AC1989" i="12"/>
  <c r="AC1237" i="12"/>
  <c r="AC2675" i="12"/>
  <c r="AC1725" i="12"/>
  <c r="AC540" i="12"/>
  <c r="AC172" i="12"/>
  <c r="AC3066" i="12"/>
  <c r="AC2445" i="12"/>
  <c r="AC936" i="12"/>
  <c r="AC1519" i="12"/>
  <c r="AC446" i="12"/>
  <c r="AC1749" i="12"/>
  <c r="AC2791" i="12"/>
  <c r="AC1233" i="12"/>
  <c r="AC2878" i="12"/>
  <c r="AC2959" i="12"/>
  <c r="AC1816" i="12"/>
  <c r="AC3248" i="12"/>
  <c r="AC1791" i="12"/>
  <c r="AC1973" i="12"/>
  <c r="AC2694" i="12"/>
  <c r="AC1337" i="12"/>
  <c r="AC3311" i="12"/>
  <c r="AC2305" i="12"/>
  <c r="AC3364" i="12"/>
  <c r="AC3221" i="12"/>
  <c r="AC3214" i="12"/>
  <c r="AC1649" i="12"/>
  <c r="AC828" i="12"/>
  <c r="AC3328" i="12"/>
  <c r="AC876" i="12"/>
  <c r="AC3149" i="12"/>
  <c r="AC2377" i="12"/>
  <c r="AC2685" i="12"/>
  <c r="AC3506" i="12"/>
  <c r="AC1968" i="12"/>
  <c r="AC3021" i="12"/>
  <c r="AC123" i="12"/>
  <c r="AC2510" i="12"/>
  <c r="AC2311" i="12"/>
  <c r="AC3243" i="12"/>
  <c r="AC1204" i="12"/>
  <c r="AC2160" i="12"/>
  <c r="AC278" i="12"/>
  <c r="AC1912" i="12"/>
  <c r="AC2838" i="12"/>
  <c r="AC268" i="12"/>
  <c r="AC551" i="12"/>
  <c r="AC2260" i="12"/>
  <c r="AC928" i="12"/>
  <c r="AC576" i="12"/>
  <c r="AC70" i="12"/>
  <c r="AC3441" i="12"/>
  <c r="AC3357" i="12"/>
  <c r="AC521" i="12"/>
  <c r="AC1681" i="12"/>
  <c r="AC1941" i="12"/>
  <c r="AC2681" i="12"/>
  <c r="AC3029" i="12"/>
  <c r="AC2264" i="12"/>
  <c r="AC1084" i="12"/>
  <c r="AC1356" i="12"/>
  <c r="AC398" i="12"/>
  <c r="AC720" i="12"/>
  <c r="AC3440" i="12"/>
  <c r="AC3069" i="12"/>
  <c r="AC399" i="12"/>
  <c r="AC153" i="12"/>
  <c r="AC783" i="12"/>
  <c r="AC3062" i="12"/>
  <c r="AC534" i="12"/>
  <c r="AC2742" i="12"/>
  <c r="AC2743" i="12"/>
  <c r="AC2144" i="12"/>
  <c r="AC1541" i="12"/>
  <c r="AC2885" i="12"/>
  <c r="AC2362" i="12"/>
  <c r="AC731" i="12"/>
  <c r="AC721" i="12"/>
  <c r="AC2486" i="12"/>
  <c r="AC3108" i="12"/>
  <c r="AC3253" i="12"/>
  <c r="AC1580" i="12"/>
  <c r="AC1645" i="12"/>
  <c r="AC1669" i="12"/>
  <c r="AC1628" i="12"/>
  <c r="AC1407" i="12"/>
  <c r="AC647" i="12"/>
  <c r="AC2854" i="12"/>
  <c r="AC1396" i="12"/>
  <c r="AC3455" i="12"/>
  <c r="AC864" i="12"/>
  <c r="AC937" i="12"/>
  <c r="AC1841" i="12"/>
  <c r="AC1782" i="12"/>
  <c r="AC2592" i="12"/>
  <c r="AC2024" i="12"/>
  <c r="AC992" i="12"/>
  <c r="AC1137" i="12"/>
  <c r="AC1232" i="12"/>
  <c r="AC3529" i="12"/>
  <c r="AC974" i="12"/>
  <c r="AC2269" i="12"/>
  <c r="AC1596" i="12"/>
  <c r="AC2576" i="12"/>
  <c r="AC1021" i="12"/>
  <c r="AC350" i="12"/>
  <c r="AC700" i="12"/>
  <c r="AC3293" i="12"/>
  <c r="AC3539" i="12"/>
  <c r="AC598" i="12"/>
  <c r="AC2162" i="12"/>
  <c r="AC2765" i="12"/>
  <c r="AC1551" i="12"/>
  <c r="AC1894" i="12"/>
  <c r="AC1370" i="12"/>
  <c r="AC2911" i="12"/>
  <c r="AC2164" i="12"/>
  <c r="AC2608" i="12"/>
  <c r="AC636" i="12"/>
  <c r="AC580" i="12"/>
  <c r="AC542" i="12"/>
  <c r="AC2741" i="12"/>
  <c r="AC2995" i="12"/>
  <c r="AC99" i="12"/>
  <c r="AC850" i="12"/>
  <c r="AC1877" i="12"/>
  <c r="AC975" i="12"/>
  <c r="AC810" i="12"/>
  <c r="AC2375" i="12"/>
  <c r="AC2065" i="12"/>
  <c r="AC2323" i="12"/>
  <c r="AC549" i="12"/>
  <c r="AC282" i="12"/>
  <c r="AC3299" i="12"/>
  <c r="AC1289" i="12"/>
  <c r="AC1688" i="12"/>
  <c r="AC2191" i="12"/>
  <c r="AC2234" i="12"/>
  <c r="AC3496" i="12"/>
  <c r="AC3473" i="12"/>
  <c r="AC2936" i="12"/>
  <c r="AC3444" i="12"/>
  <c r="AC1666" i="12"/>
  <c r="AC2640" i="12"/>
  <c r="AC2344" i="12"/>
  <c r="AC2451" i="12"/>
  <c r="AC2025" i="12"/>
  <c r="AC3307" i="12"/>
  <c r="AC3151" i="12"/>
  <c r="AC1993" i="12"/>
  <c r="AC3055" i="12"/>
  <c r="AC2419" i="12"/>
  <c r="AC2424" i="12"/>
  <c r="AC1133" i="12"/>
  <c r="AC204" i="12"/>
  <c r="AC1781" i="12"/>
  <c r="AC1988" i="12"/>
  <c r="AC2545" i="12"/>
  <c r="AC19" i="12"/>
  <c r="AC927" i="12"/>
  <c r="AC3175" i="12"/>
  <c r="AC599" i="12"/>
  <c r="AC2068" i="12"/>
  <c r="AC1138" i="12"/>
  <c r="AC2924" i="12"/>
  <c r="AC1035" i="12"/>
  <c r="AC1622" i="12"/>
  <c r="AC2841" i="12"/>
  <c r="AC2904" i="12"/>
  <c r="AC1141" i="12"/>
  <c r="AC1419" i="12"/>
  <c r="AC1300" i="12"/>
  <c r="AC3130" i="12"/>
  <c r="AC1157" i="12"/>
  <c r="AC2243" i="12"/>
  <c r="AC1367" i="12"/>
  <c r="AC413" i="12"/>
  <c r="AC1483" i="12"/>
  <c r="AC1689" i="12"/>
  <c r="AC76" i="12"/>
  <c r="AC3263" i="12"/>
  <c r="AC2522" i="12"/>
  <c r="AC3537" i="12"/>
  <c r="AC1667" i="12"/>
  <c r="AC2037" i="12"/>
  <c r="AC190" i="12"/>
  <c r="AC917" i="12"/>
  <c r="AC3517" i="12"/>
  <c r="AC3039" i="12"/>
  <c r="AC2066" i="12"/>
  <c r="AC979" i="12"/>
  <c r="AC862" i="12"/>
  <c r="AC650" i="12"/>
  <c r="AC1921" i="12"/>
  <c r="AC1676" i="12"/>
  <c r="AC1856" i="12"/>
  <c r="AC846" i="12"/>
  <c r="AC2831" i="12"/>
  <c r="AC3257" i="12"/>
  <c r="AC48" i="12"/>
  <c r="AC3242" i="12"/>
  <c r="AC583" i="12"/>
  <c r="AC352" i="12"/>
  <c r="AC464" i="12"/>
  <c r="AC1259" i="12"/>
  <c r="AC922" i="12"/>
  <c r="AC1618" i="12"/>
  <c r="AC2212" i="12"/>
  <c r="AC1065" i="12"/>
  <c r="AC1456" i="12"/>
  <c r="AC1070" i="12"/>
  <c r="AC1984" i="12"/>
  <c r="AC784" i="12"/>
  <c r="AC754" i="12"/>
  <c r="AC1720" i="12"/>
  <c r="AC2920" i="12"/>
  <c r="AC1046" i="12"/>
  <c r="AC3434" i="12"/>
  <c r="AC339" i="12"/>
  <c r="AC855" i="12"/>
  <c r="AC1835" i="12"/>
  <c r="AC377" i="12"/>
  <c r="AC625" i="12"/>
  <c r="AC88" i="12"/>
  <c r="AC750" i="12"/>
  <c r="AC1707" i="12"/>
  <c r="AC2550" i="12"/>
  <c r="AC856" i="12"/>
  <c r="AC2372" i="12"/>
  <c r="AC1104" i="12"/>
  <c r="AC3321" i="12"/>
  <c r="AC1887" i="12"/>
  <c r="AC1338" i="12"/>
  <c r="AC3389" i="12"/>
  <c r="AC3209" i="12"/>
  <c r="AC3410" i="12"/>
  <c r="AC331" i="12"/>
  <c r="AC3394" i="12"/>
  <c r="AC2602" i="12"/>
  <c r="AC63" i="12"/>
  <c r="AC2028" i="12"/>
  <c r="AC1970" i="12"/>
  <c r="AC765" i="12"/>
  <c r="AC269" i="12"/>
  <c r="AC1605" i="12"/>
  <c r="AC2874" i="12"/>
  <c r="AC797" i="12"/>
  <c r="AC707" i="12"/>
  <c r="AC237" i="12"/>
  <c r="AC586" i="12"/>
  <c r="AC2960" i="12"/>
  <c r="AC335" i="12"/>
  <c r="AC3199" i="12"/>
  <c r="AC796" i="12"/>
  <c r="AC806" i="12"/>
  <c r="AC2593" i="12"/>
  <c r="AC2254" i="12"/>
  <c r="AC2574" i="12"/>
  <c r="AC2848" i="12"/>
  <c r="AC830" i="12"/>
  <c r="AC1087" i="12"/>
  <c r="AC2720" i="12"/>
  <c r="AC2208" i="12"/>
  <c r="AC971" i="12"/>
  <c r="AC2970" i="12"/>
  <c r="AC42" i="12"/>
  <c r="AC561" i="12"/>
  <c r="AC1728" i="12"/>
  <c r="AC957" i="12"/>
  <c r="AC1225" i="12"/>
  <c r="AC2148" i="12"/>
  <c r="AC2571" i="12"/>
  <c r="AC518" i="12"/>
  <c r="AC3224" i="12"/>
  <c r="AC1211" i="12"/>
  <c r="AC107" i="12"/>
  <c r="AC2914" i="12"/>
  <c r="AC2222" i="12"/>
  <c r="AC57" i="12"/>
  <c r="AC1208" i="12"/>
  <c r="AC793" i="12"/>
  <c r="AC905" i="12"/>
  <c r="AC2261" i="12"/>
  <c r="AC899" i="12"/>
  <c r="AC2840" i="12"/>
  <c r="AC1883" i="12"/>
  <c r="AC129" i="12"/>
  <c r="AC2009" i="12"/>
  <c r="AC1395" i="12"/>
  <c r="AC505" i="12"/>
  <c r="AC1417" i="12"/>
  <c r="AC218" i="12"/>
  <c r="AC454" i="12"/>
  <c r="AC2862" i="12"/>
  <c r="AC3331" i="12"/>
  <c r="AC20" i="12"/>
  <c r="AC1562" i="12"/>
  <c r="AC1284" i="12"/>
  <c r="AC3269" i="12"/>
  <c r="AC2444" i="12"/>
  <c r="AC1918" i="12"/>
  <c r="AC3082" i="12"/>
  <c r="AC1609" i="12"/>
  <c r="AC1406" i="12"/>
  <c r="AC471" i="12"/>
  <c r="AC2652" i="12"/>
  <c r="AC1207" i="12"/>
  <c r="AC110" i="12"/>
  <c r="AC1421" i="12"/>
  <c r="AC2405" i="12"/>
  <c r="AC697" i="12"/>
  <c r="AC3281" i="12"/>
  <c r="AC759" i="12"/>
  <c r="AC1053" i="12"/>
  <c r="AC2079" i="12"/>
  <c r="AC3388" i="12"/>
  <c r="AC3448" i="12"/>
  <c r="AC1528" i="12"/>
  <c r="AC1173" i="12"/>
  <c r="AC1299" i="12"/>
  <c r="AC3125" i="12"/>
  <c r="AC1715" i="12"/>
  <c r="AC425" i="12"/>
  <c r="AC2813" i="12"/>
  <c r="AC1095" i="12"/>
  <c r="AC2277" i="12"/>
  <c r="AC139" i="12"/>
  <c r="AC589" i="12"/>
  <c r="AC2605" i="12"/>
  <c r="AC2803" i="12"/>
  <c r="AC3485" i="12"/>
  <c r="AC1892" i="12"/>
  <c r="AC926" i="12"/>
  <c r="AC687" i="12"/>
  <c r="AC1757" i="12"/>
  <c r="AC308" i="12"/>
  <c r="AC50" i="12"/>
  <c r="AC645" i="12"/>
  <c r="AC708" i="12"/>
  <c r="AC609" i="12"/>
  <c r="AC2388" i="12"/>
  <c r="AC2798" i="12"/>
  <c r="AC2170" i="12"/>
  <c r="AC2712" i="12"/>
  <c r="AC724" i="12"/>
  <c r="AC1755" i="12"/>
  <c r="AC2589" i="12"/>
  <c r="AC1746" i="12"/>
  <c r="AC811" i="12"/>
  <c r="AC3507" i="12"/>
  <c r="AC1785" i="12"/>
  <c r="AC1724" i="12"/>
  <c r="AC3308" i="12"/>
  <c r="AC3139" i="12"/>
  <c r="AC1006" i="12"/>
  <c r="AC3008" i="12"/>
  <c r="AC2363" i="12"/>
  <c r="AC1438" i="12"/>
  <c r="AC2572" i="12"/>
  <c r="AC2849" i="12"/>
  <c r="AC3327" i="12"/>
  <c r="AC1229" i="12"/>
  <c r="AC592" i="12"/>
  <c r="AC1947" i="12"/>
  <c r="AC1245" i="12"/>
  <c r="AC2410" i="12"/>
  <c r="AC634" i="12"/>
  <c r="AC1648" i="12"/>
  <c r="AC2325" i="12"/>
  <c r="AC475" i="12"/>
  <c r="AC426" i="12"/>
  <c r="AC101" i="12"/>
  <c r="AC3298" i="12"/>
  <c r="AC163" i="12"/>
  <c r="AC1354" i="12"/>
  <c r="AC3053" i="12"/>
  <c r="AC2267" i="12"/>
  <c r="AC1812" i="12"/>
  <c r="AC709" i="12"/>
  <c r="AC2871" i="12"/>
  <c r="AC1050" i="12"/>
  <c r="AC3073" i="12"/>
  <c r="AC3094" i="12"/>
  <c r="AC270" i="12"/>
  <c r="AC1867" i="12"/>
  <c r="AC3287" i="12"/>
  <c r="AC1287" i="12"/>
  <c r="AC1774" i="12"/>
  <c r="AC2204" i="12"/>
  <c r="AC1181" i="12"/>
  <c r="AC3267" i="12"/>
  <c r="AC2980" i="12"/>
  <c r="AC3369" i="12"/>
  <c r="AC1279" i="12"/>
  <c r="AC258" i="12"/>
  <c r="AC2295" i="12"/>
  <c r="AC3505" i="12"/>
  <c r="AC2084" i="12"/>
  <c r="AC2294" i="12"/>
  <c r="AC1491" i="12"/>
  <c r="AC2727" i="12"/>
  <c r="AC568" i="12"/>
  <c r="AC1976" i="12"/>
  <c r="AC3166" i="12"/>
  <c r="AC2469" i="12"/>
  <c r="AC548" i="12"/>
  <c r="AC1906" i="12"/>
  <c r="AC516" i="12"/>
  <c r="AC1172" i="12"/>
  <c r="AC681" i="12"/>
  <c r="AC875" i="12"/>
  <c r="AC2581" i="12"/>
  <c r="AC1243" i="12"/>
  <c r="AC3070" i="12"/>
  <c r="AC1910" i="12"/>
  <c r="AC2700" i="12"/>
  <c r="AC1992" i="12"/>
  <c r="AC2336" i="12"/>
  <c r="AC3144" i="12"/>
  <c r="AC1201" i="12"/>
  <c r="AC2671" i="12"/>
  <c r="AC2918" i="12"/>
  <c r="AC2861" i="12"/>
  <c r="AC1545" i="12"/>
  <c r="AC2446" i="12"/>
  <c r="AC791" i="12"/>
  <c r="AC1983" i="12"/>
  <c r="AC1550" i="12"/>
  <c r="AC1990" i="12"/>
  <c r="AC2787" i="12"/>
  <c r="AC1868" i="12"/>
  <c r="AC1972" i="12"/>
  <c r="AC1555" i="12"/>
  <c r="AC680" i="12"/>
  <c r="AC1744" i="12"/>
  <c r="AC111" i="12"/>
  <c r="AC2072" i="12"/>
  <c r="AC2947" i="12"/>
  <c r="AC906" i="12"/>
  <c r="AC689" i="12"/>
  <c r="AC3492" i="12"/>
  <c r="AC1440" i="12"/>
  <c r="AC2214" i="12"/>
  <c r="AC1451" i="12"/>
  <c r="AC1786" i="12"/>
  <c r="AC2733" i="12"/>
  <c r="AC2747" i="12"/>
  <c r="AC1343" i="12"/>
  <c r="AC1964" i="12"/>
  <c r="AC757" i="12"/>
  <c r="AC1145" i="12"/>
  <c r="AC558" i="12"/>
  <c r="AC973" i="12"/>
  <c r="AC2313" i="12"/>
  <c r="AC71" i="12"/>
  <c r="AC603" i="12"/>
  <c r="AC1592" i="12"/>
  <c r="AC3318" i="12"/>
  <c r="AC515" i="12"/>
  <c r="AC2651" i="12"/>
  <c r="AC1174" i="12"/>
  <c r="AC2493" i="12"/>
  <c r="AC2500" i="12"/>
  <c r="AC1049" i="12"/>
  <c r="AC950" i="12"/>
  <c r="AC3222" i="12"/>
  <c r="AC3380" i="12"/>
  <c r="AC2529" i="12"/>
  <c r="AC513" i="12"/>
  <c r="AC903" i="12"/>
  <c r="AC1443" i="12"/>
  <c r="AC2073" i="12"/>
  <c r="AC2427" i="12"/>
  <c r="AC292" i="12"/>
  <c r="AC887" i="12"/>
  <c r="AC487" i="12"/>
  <c r="AC2682" i="12"/>
  <c r="AC1783" i="12"/>
  <c r="AC785" i="12"/>
  <c r="AC3363" i="12"/>
  <c r="AC1948" i="12"/>
  <c r="AC2408" i="12"/>
  <c r="AC195" i="12"/>
  <c r="AC1352" i="12"/>
  <c r="AC2123" i="12"/>
  <c r="AC98" i="12"/>
  <c r="AC1569" i="12"/>
  <c r="AC3528" i="12"/>
  <c r="AC2687" i="12"/>
  <c r="AC3179" i="12"/>
  <c r="AC2278" i="12"/>
  <c r="AC3110" i="12"/>
  <c r="AC3499" i="12"/>
  <c r="AC3399" i="12"/>
  <c r="AC1311" i="12"/>
  <c r="AC1567" i="12"/>
  <c r="AC579" i="12"/>
  <c r="AC801" i="12"/>
  <c r="AC479" i="12"/>
  <c r="AC803" i="12"/>
  <c r="AC3504" i="12"/>
  <c r="AC1205" i="12"/>
  <c r="AC845" i="12"/>
  <c r="AC1516" i="12"/>
  <c r="AC2887" i="12"/>
  <c r="AC2420" i="12"/>
  <c r="AC633" i="12"/>
  <c r="AC2506" i="12"/>
  <c r="AC665" i="12"/>
  <c r="AC1317" i="12"/>
  <c r="AC2348" i="12"/>
  <c r="AC786" i="12"/>
  <c r="AC2584" i="12"/>
  <c r="AC2031" i="12"/>
  <c r="AC241" i="12"/>
  <c r="AC1025" i="12"/>
  <c r="AC2126" i="12"/>
  <c r="AC3551" i="12"/>
  <c r="AC3129" i="12"/>
  <c r="AC2361" i="12"/>
  <c r="AC1442" i="12"/>
  <c r="AC2389" i="12"/>
  <c r="AC1683" i="12"/>
  <c r="AC1859" i="12"/>
  <c r="AC2996" i="12"/>
  <c r="AC2132" i="12"/>
  <c r="AC2429" i="12"/>
  <c r="AC2268" i="12"/>
  <c r="AC448" i="12"/>
  <c r="AC3019" i="12"/>
  <c r="AC383" i="12"/>
  <c r="AC3023" i="12"/>
  <c r="AC1348" i="12"/>
  <c r="AC2297" i="12"/>
  <c r="AC1943" i="12"/>
  <c r="AC185" i="12"/>
  <c r="AC307" i="12"/>
  <c r="AC2274" i="12"/>
  <c r="AC2099" i="12"/>
  <c r="AC1384" i="12"/>
  <c r="AC2513" i="12"/>
  <c r="AC1476" i="12"/>
  <c r="AC3520" i="12"/>
  <c r="AC1043" i="12"/>
  <c r="AC2544" i="12"/>
  <c r="AC142" i="12"/>
  <c r="AC1454" i="12"/>
  <c r="AC433" i="12"/>
  <c r="AC2670" i="12"/>
  <c r="AC1612" i="12"/>
  <c r="AC3159" i="12"/>
  <c r="AC95" i="12"/>
  <c r="AC360" i="12"/>
  <c r="AC431" i="12"/>
  <c r="AC1150" i="12"/>
  <c r="AC1350" i="12"/>
  <c r="AC1435" i="12"/>
  <c r="AC1349" i="12"/>
  <c r="AC2988" i="12"/>
  <c r="AC866" i="12"/>
  <c r="AC113" i="12"/>
  <c r="AC546" i="12"/>
  <c r="AC2016" i="12"/>
  <c r="AC1505" i="12"/>
  <c r="AC2228" i="12"/>
  <c r="AC1447" i="12"/>
  <c r="AC1313" i="12"/>
  <c r="AC1502" i="12"/>
  <c r="AC1600" i="12"/>
  <c r="AC559" i="12"/>
  <c r="AC366" i="12"/>
  <c r="AC536" i="12"/>
  <c r="AC2901" i="12"/>
  <c r="AC1272" i="12"/>
  <c r="AC3136" i="12"/>
  <c r="AC982" i="12"/>
  <c r="AC2666" i="12"/>
  <c r="AC1553" i="12"/>
  <c r="AC2533" i="12"/>
  <c r="AC1014" i="12"/>
  <c r="AC1028" i="12"/>
  <c r="AC404" i="12"/>
  <c r="AC2535" i="12"/>
  <c r="AC1770" i="12"/>
  <c r="AC3037" i="12"/>
  <c r="AC2886" i="12"/>
  <c r="AC1615" i="12"/>
  <c r="AC372" i="12"/>
  <c r="AC2598" i="12"/>
  <c r="AC1810" i="12"/>
  <c r="AC630" i="12"/>
  <c r="AC3091" i="12"/>
  <c r="AC654" i="12"/>
  <c r="AC349" i="12"/>
  <c r="AC959" i="12"/>
  <c r="AC2800" i="12"/>
  <c r="AC1003" i="12"/>
  <c r="AC2804" i="12"/>
  <c r="AC3052" i="12"/>
  <c r="AC381" i="12"/>
  <c r="AC485" i="12"/>
  <c r="AC987" i="12"/>
  <c r="AC39" i="12"/>
  <c r="AC1465" i="12"/>
  <c r="AC2012" i="12"/>
  <c r="AC221" i="12"/>
  <c r="AC593" i="12"/>
  <c r="AC2146" i="12"/>
  <c r="AC1023" i="12"/>
  <c r="AC2559" i="12"/>
  <c r="AC610" i="12"/>
  <c r="AC2764" i="12"/>
  <c r="AC3468" i="12"/>
  <c r="AC38" i="12"/>
  <c r="AC670" i="12"/>
  <c r="AC780" i="12"/>
  <c r="AC1950" i="12"/>
  <c r="AC2242" i="12"/>
  <c r="AC2632" i="12"/>
  <c r="AC3313" i="12"/>
  <c r="AC376" i="12"/>
  <c r="AC988" i="12"/>
  <c r="AC97" i="12"/>
  <c r="AC2992" i="12"/>
  <c r="AC2211" i="12"/>
  <c r="AC1165" i="12"/>
  <c r="AC870" i="12"/>
  <c r="AC2166" i="12"/>
  <c r="AC1038" i="12"/>
  <c r="AC439" i="12"/>
  <c r="AC1763" i="12"/>
  <c r="AC3174" i="12"/>
  <c r="AC1329" i="12"/>
  <c r="AC1448" i="12"/>
  <c r="AC1143" i="12"/>
  <c r="AC2835" i="12"/>
  <c r="AC2822" i="12"/>
  <c r="AC1199" i="12"/>
  <c r="AC3300" i="12"/>
  <c r="AC1793" i="12"/>
  <c r="AC2884" i="12"/>
  <c r="AC2776" i="12"/>
  <c r="AC1148" i="12"/>
  <c r="AC2237" i="12"/>
  <c r="AC2102" i="12"/>
  <c r="AC949" i="12"/>
  <c r="AC717" i="12"/>
  <c r="AC3353" i="12"/>
  <c r="AC1557" i="12"/>
  <c r="AC2088" i="12"/>
  <c r="AC187" i="12"/>
  <c r="AC1197" i="12"/>
  <c r="AC3384" i="12"/>
  <c r="AC2578" i="12"/>
  <c r="AC1097" i="12"/>
  <c r="AC904" i="12"/>
  <c r="AC2309" i="12"/>
  <c r="AC481" i="12"/>
  <c r="AC624" i="12"/>
  <c r="AC3424" i="12"/>
  <c r="AC995" i="12"/>
  <c r="AC1779" i="12"/>
  <c r="AC102" i="12"/>
  <c r="AC2726" i="12"/>
  <c r="AC1373" i="12"/>
  <c r="AC1301" i="12"/>
  <c r="AC3249" i="12"/>
  <c r="AC779" i="12"/>
  <c r="AC2059" i="12"/>
  <c r="AC964" i="12"/>
  <c r="AC816" i="12"/>
  <c r="AC2628" i="12"/>
  <c r="AC1190" i="12"/>
  <c r="AC800" i="12"/>
  <c r="AC251" i="12"/>
  <c r="AC3196" i="12"/>
  <c r="AC150" i="12"/>
  <c r="AC1386" i="12"/>
  <c r="AC277" i="12"/>
  <c r="AC3400" i="12"/>
  <c r="AC91" i="12"/>
  <c r="AC1571" i="12"/>
  <c r="AC1368" i="12"/>
  <c r="AC3292" i="12"/>
  <c r="AC2536" i="12"/>
  <c r="AC1651" i="12"/>
  <c r="AC2299" i="12"/>
  <c r="AC3077" i="12"/>
  <c r="AC2321" i="12"/>
  <c r="AC2496" i="12"/>
  <c r="AC1584" i="12"/>
  <c r="AC3324" i="12"/>
  <c r="AC2698" i="12"/>
  <c r="AC614" i="12"/>
  <c r="AC962" i="12"/>
  <c r="AC3354" i="12"/>
  <c r="AC2431" i="12"/>
  <c r="AC3276" i="12"/>
  <c r="AC3067" i="12"/>
  <c r="AC946" i="12"/>
  <c r="AC2248" i="12"/>
  <c r="AC1322" i="12"/>
  <c r="AC1629" i="12"/>
  <c r="AC2737" i="12"/>
  <c r="AC2280" i="12"/>
  <c r="AC1935" i="12"/>
  <c r="AC3381" i="12"/>
  <c r="AC3193" i="12"/>
  <c r="AC1057" i="12"/>
  <c r="AC2097" i="12"/>
  <c r="AC3206" i="12"/>
  <c r="AC818" i="12"/>
  <c r="AC3063" i="12"/>
  <c r="AC1705" i="12"/>
  <c r="AC2751" i="12"/>
  <c r="AC2707" i="12"/>
  <c r="AC914" i="12"/>
  <c r="AC3072" i="12"/>
  <c r="AC136" i="12"/>
  <c r="AC3160" i="12"/>
  <c r="AC2209" i="12"/>
  <c r="AC3112" i="12"/>
  <c r="AC1654" i="12"/>
  <c r="AC2327" i="12"/>
  <c r="AC1949" i="12"/>
  <c r="AC2591" i="12"/>
  <c r="AC1056" i="12"/>
  <c r="AC1280" i="12"/>
  <c r="AC2183" i="12"/>
  <c r="AC1303" i="12"/>
  <c r="AC2543" i="12"/>
  <c r="AC257" i="12"/>
  <c r="AC2149" i="12"/>
  <c r="AC3411" i="12"/>
  <c r="AC2203" i="12"/>
  <c r="AC1814" i="12"/>
  <c r="AC623" i="12"/>
  <c r="AC2447" i="12"/>
  <c r="AC182" i="12"/>
  <c r="AC3421" i="12"/>
  <c r="AC2460" i="12"/>
  <c r="AC2167" i="12"/>
  <c r="AC2542" i="12"/>
  <c r="AC2035" i="12"/>
  <c r="AC2768" i="12"/>
  <c r="AC714" i="12"/>
  <c r="AC2189" i="12"/>
  <c r="AC1405" i="12"/>
  <c r="AC1975" i="12"/>
  <c r="AC2664" i="12"/>
  <c r="AC3422" i="12"/>
  <c r="AC1081" i="12"/>
  <c r="AC3238" i="12"/>
  <c r="AC2719" i="12"/>
  <c r="AC789" i="12"/>
  <c r="AC338" i="12"/>
  <c r="AC1775" i="12"/>
  <c r="AC1937" i="12"/>
  <c r="AC2820" i="12"/>
  <c r="AC2468" i="12"/>
  <c r="AC677" i="12"/>
  <c r="AC2872" i="12"/>
  <c r="AC171" i="12"/>
  <c r="AC467" i="12"/>
  <c r="AC1925" i="12"/>
  <c r="AC2957" i="12"/>
  <c r="AC1930" i="12"/>
  <c r="AC1218" i="12"/>
  <c r="AC2454" i="12"/>
  <c r="AC264" i="12"/>
  <c r="AC742" i="12"/>
  <c r="AC2850" i="12"/>
  <c r="AC1860" i="12"/>
  <c r="AC978" i="12"/>
  <c r="AC1044" i="12"/>
  <c r="AC2606" i="12"/>
  <c r="AC1012" i="12"/>
  <c r="AC2801" i="12"/>
  <c r="AC2934" i="12"/>
  <c r="AC2178" i="12"/>
  <c r="AC575" i="12"/>
  <c r="AC1365" i="12"/>
  <c r="AC2860" i="12"/>
  <c r="AC1040" i="12"/>
  <c r="AC2026" i="12"/>
  <c r="AC778" i="12"/>
  <c r="AC1094" i="12"/>
  <c r="AC2877" i="12"/>
  <c r="AC1515" i="12"/>
  <c r="AC3407" i="12"/>
  <c r="AC2368" i="12"/>
  <c r="AC1377" i="12"/>
  <c r="AC274" i="12"/>
  <c r="AC3322" i="12"/>
  <c r="AC2239" i="12"/>
  <c r="AC3142" i="12"/>
  <c r="AC2573" i="12"/>
  <c r="AC54" i="12"/>
  <c r="AC3247" i="12"/>
  <c r="AC3046" i="12"/>
  <c r="AC148" i="12"/>
  <c r="AC458" i="12"/>
  <c r="AC2187" i="12"/>
  <c r="AC246" i="12"/>
  <c r="AC2392" i="12"/>
  <c r="AC1005" i="12"/>
  <c r="AC2635" i="12"/>
  <c r="AC3198" i="12"/>
  <c r="AC2117" i="12"/>
  <c r="AC2714" i="12"/>
  <c r="AC1624" i="12"/>
  <c r="AC494" i="12"/>
  <c r="AC2634" i="12"/>
  <c r="AC2070" i="12"/>
  <c r="AC2283" i="12"/>
  <c r="AC704" i="12"/>
  <c r="AC1703" i="12"/>
  <c r="AC948" i="12"/>
  <c r="AC311" i="12"/>
  <c r="AC2303" i="12"/>
  <c r="AC607" i="12"/>
  <c r="AC2961" i="12"/>
  <c r="AC3260" i="12"/>
  <c r="AC2351" i="12"/>
  <c r="AC2786" i="12"/>
  <c r="AC2255" i="12"/>
  <c r="AC1563" i="12"/>
  <c r="AC1979" i="12"/>
  <c r="AC1621" i="12"/>
  <c r="AC2127" i="12"/>
  <c r="AC233" i="12"/>
  <c r="AC176" i="12"/>
  <c r="AC3086" i="12"/>
  <c r="AC2825" i="12"/>
  <c r="AC1904" i="12"/>
  <c r="AC1691" i="12"/>
  <c r="AC3343" i="12"/>
  <c r="AC3270" i="12"/>
  <c r="AC3233" i="12"/>
  <c r="AC3326" i="12"/>
  <c r="AC1467" i="12"/>
  <c r="AC3220" i="12"/>
  <c r="AC2347" i="12"/>
  <c r="AC180" i="12"/>
  <c r="AC2271" i="12"/>
  <c r="AC3418" i="12"/>
  <c r="AC480" i="12"/>
  <c r="AC2627" i="12"/>
  <c r="AC666" i="12"/>
  <c r="AC998" i="12"/>
  <c r="AC2205" i="12"/>
  <c r="AC320" i="12"/>
  <c r="AC2287" i="12"/>
  <c r="AC886" i="12"/>
  <c r="AC1727" i="12"/>
  <c r="AC473" i="12"/>
  <c r="AC3118" i="12"/>
  <c r="AC1560" i="12"/>
  <c r="AC2358" i="12"/>
  <c r="AC539" i="12"/>
  <c r="AC1604" i="12"/>
  <c r="AC1418" i="12"/>
  <c r="AC1991" i="12"/>
  <c r="AC114" i="12"/>
  <c r="AC2987" i="12"/>
  <c r="AC1761" i="12"/>
  <c r="AC953" i="12"/>
  <c r="AC728" i="12"/>
  <c r="AC1217" i="12"/>
  <c r="AC3090" i="12"/>
  <c r="AC1433" i="12"/>
  <c r="AC1414" i="12"/>
  <c r="AC3081" i="12"/>
  <c r="AC3474" i="12"/>
  <c r="AC1002" i="12"/>
  <c r="AC809" i="12"/>
  <c r="AC1026" i="12"/>
  <c r="AC1776" i="12"/>
  <c r="AC718" i="12"/>
  <c r="AC477" i="12"/>
  <c r="AC2312" i="12"/>
  <c r="AC854" i="12"/>
  <c r="AC804" i="12"/>
  <c r="AC1069" i="12"/>
  <c r="AC2448" i="12"/>
  <c r="AC2385" i="12"/>
  <c r="AC3442" i="12"/>
  <c r="AC749" i="12"/>
  <c r="AC2119" i="12"/>
  <c r="AC357" i="12"/>
  <c r="AC2138" i="12"/>
  <c r="AC3116" i="12"/>
  <c r="AC1702" i="12"/>
  <c r="AC1635" i="12"/>
  <c r="AC1980" i="12"/>
  <c r="AC1223" i="12"/>
  <c r="AC1372" i="12"/>
  <c r="AC2061" i="12"/>
  <c r="AC499" i="12"/>
  <c r="AC1804" i="12"/>
  <c r="AC1324" i="12"/>
  <c r="AC2216" i="12"/>
  <c r="AC3164" i="12"/>
  <c r="AC2122" i="12"/>
  <c r="AC2697" i="12"/>
  <c r="AC1007" i="12"/>
  <c r="AC2799" i="12"/>
  <c r="AC3097" i="12"/>
  <c r="AC3405" i="12"/>
  <c r="AC3230" i="12"/>
  <c r="AC1792" i="12"/>
  <c r="AC2472" i="12"/>
  <c r="AC1858" i="12"/>
  <c r="AC2057" i="12"/>
  <c r="AC37" i="12"/>
  <c r="AC1186" i="12"/>
  <c r="AC436" i="12"/>
  <c r="AC2511" i="12"/>
  <c r="AC1082" i="12"/>
  <c r="AC3168" i="12"/>
  <c r="AC1194" i="12"/>
  <c r="AC2225" i="12"/>
  <c r="AC1723" i="12"/>
  <c r="AC2293" i="12"/>
  <c r="AC3431" i="12"/>
  <c r="AC762" i="12"/>
  <c r="AC1962" i="12"/>
  <c r="AC3089" i="12"/>
  <c r="AC768" i="12"/>
  <c r="AC3205" i="12"/>
  <c r="AC1832" i="12"/>
  <c r="AC389" i="12"/>
  <c r="AC2371" i="12"/>
  <c r="AC1977" i="12"/>
  <c r="AC2296" i="12"/>
  <c r="AC2807" i="12"/>
  <c r="AC660" i="12"/>
  <c r="AC1815" i="12"/>
  <c r="AC3443" i="12"/>
  <c r="AC595" i="12"/>
  <c r="AC421" i="12"/>
  <c r="AC2054" i="12"/>
  <c r="AC3218" i="12"/>
  <c r="AC2656" i="12"/>
  <c r="AC3371" i="12"/>
  <c r="AC934" i="12"/>
  <c r="AC453" i="12"/>
  <c r="AC1840" i="12"/>
  <c r="AC283" i="12"/>
  <c r="AC1961" i="12"/>
  <c r="AC1842" i="12"/>
  <c r="AC224" i="12"/>
  <c r="AC2558" i="12"/>
  <c r="AC530" i="12"/>
  <c r="AC3538" i="12"/>
  <c r="AC1164" i="12"/>
  <c r="AC3088" i="12"/>
  <c r="AC3235" i="12"/>
  <c r="AC60" i="12"/>
  <c r="AC1851" i="12"/>
  <c r="AC1206" i="12"/>
  <c r="AC476" i="12"/>
  <c r="AC3022" i="12"/>
  <c r="AC1838" i="12"/>
  <c r="AC1480" i="12"/>
  <c r="AC2120" i="12"/>
  <c r="AC3303" i="12"/>
  <c r="AC517" i="12"/>
  <c r="AC1490" i="12"/>
  <c r="AC1152" i="12"/>
  <c r="AC1639" i="12"/>
  <c r="AC2314" i="12"/>
  <c r="AC682" i="12"/>
  <c r="AC2202" i="12"/>
  <c r="AC2053" i="12"/>
  <c r="AC2050" i="12"/>
  <c r="AC1594" i="12"/>
  <c r="AC2897" i="12"/>
  <c r="AC2556" i="12"/>
  <c r="AC424" i="12"/>
  <c r="AC2156" i="12"/>
  <c r="AC2063" i="12"/>
  <c r="AC243" i="12"/>
  <c r="AC852" i="12"/>
  <c r="AC2565" i="12"/>
  <c r="AC1169" i="12"/>
  <c r="AC725" i="12"/>
  <c r="AC2345" i="12"/>
  <c r="AC2734" i="12"/>
  <c r="AC541" i="12"/>
  <c r="AC3524" i="12"/>
  <c r="AC2893" i="12"/>
  <c r="AC2883" i="12"/>
  <c r="AC844" i="12"/>
  <c r="AC207" i="12"/>
  <c r="AC3349" i="12"/>
  <c r="AC947" i="12"/>
  <c r="AC1140" i="12"/>
  <c r="AC2939" i="12"/>
  <c r="AC2973" i="12"/>
  <c r="AC2349" i="12"/>
  <c r="AC3361" i="12"/>
  <c r="AC3083" i="12"/>
  <c r="AC3351" i="12"/>
  <c r="AC1572" i="12"/>
  <c r="AC1523" i="12"/>
  <c r="AC1445" i="12"/>
  <c r="AC2179" i="12"/>
  <c r="AC2157" i="12"/>
  <c r="AC1659" i="12"/>
  <c r="AC1564" i="12"/>
  <c r="AC2232" i="12"/>
  <c r="AC2763" i="12"/>
  <c r="AC734" i="12"/>
  <c r="AC1634" i="12"/>
  <c r="AC200" i="12"/>
  <c r="AC3202" i="12"/>
  <c r="AC3211" i="12"/>
  <c r="AC3148" i="12"/>
  <c r="AC2709" i="12"/>
  <c r="AC921" i="12"/>
  <c r="AC132" i="12"/>
  <c r="AC1227" i="12"/>
  <c r="AC756" i="12"/>
  <c r="AC968" i="12"/>
  <c r="AC2174" i="12"/>
  <c r="AC2422" i="12"/>
  <c r="AC3234" i="12"/>
  <c r="AC1818" i="12"/>
  <c r="AC2398" i="12"/>
  <c r="AC853" i="12"/>
  <c r="AC2106" i="12"/>
  <c r="AC1307" i="12"/>
  <c r="AC1933" i="12"/>
  <c r="AC2284" i="12"/>
  <c r="AC3317" i="12"/>
  <c r="AC2952" i="12"/>
  <c r="AC3395" i="12"/>
  <c r="AC3359" i="12"/>
  <c r="AC1766" i="12"/>
  <c r="AC263" i="12"/>
  <c r="AC1538" i="12"/>
  <c r="AC2196" i="12"/>
  <c r="AC882" i="12"/>
  <c r="AC1444" i="12"/>
  <c r="AC230" i="12"/>
  <c r="AC898" i="12"/>
  <c r="AC1342" i="12"/>
  <c r="AC2415" i="12"/>
  <c r="AC1888" i="12"/>
  <c r="AC2585" i="12"/>
  <c r="AC1103" i="12"/>
  <c r="AC2600" i="12"/>
  <c r="AC3245" i="12"/>
  <c r="AC486" i="12"/>
  <c r="AC745" i="12"/>
  <c r="AC727" i="12"/>
  <c r="AC1121" i="12"/>
  <c r="AC1824" i="12"/>
  <c r="AC1864" i="12"/>
  <c r="AC2047" i="12"/>
  <c r="AC96" i="12"/>
  <c r="AC1511" i="12"/>
  <c r="AC1920" i="12"/>
  <c r="AC1426" i="12"/>
  <c r="AC1088" i="12"/>
  <c r="AC1739" i="12"/>
  <c r="AC527" i="12"/>
  <c r="AC1424" i="12"/>
  <c r="AC2085" i="12"/>
  <c r="AC296" i="12"/>
  <c r="AC1598" i="12"/>
  <c r="AC782" i="12"/>
  <c r="AC2490" i="12"/>
  <c r="AC1981" i="12"/>
  <c r="AC3031" i="12"/>
  <c r="AC2586" i="12"/>
  <c r="AC300" i="12"/>
  <c r="AC201" i="12"/>
  <c r="AC1913" i="12"/>
  <c r="AC1411" i="12"/>
  <c r="AC3064" i="12"/>
  <c r="AC3044" i="12"/>
  <c r="AC1997" i="12"/>
  <c r="AC847" i="12"/>
  <c r="AC181" i="12"/>
  <c r="AC2642" i="12"/>
  <c r="AC3501" i="12"/>
  <c r="AC1314" i="12"/>
  <c r="AC3096" i="12"/>
  <c r="AC1833" i="12"/>
  <c r="AC1532" i="12"/>
  <c r="AC1750" i="12"/>
  <c r="AC253" i="12"/>
  <c r="AC3183" i="12"/>
  <c r="AC3396" i="12"/>
  <c r="AC2425" i="12"/>
  <c r="AC1631" i="12"/>
  <c r="AC3494" i="12"/>
  <c r="AC606" i="12"/>
  <c r="AC3502" i="12"/>
  <c r="AC1210" i="12"/>
  <c r="AC722" i="12"/>
  <c r="AC2704" i="12"/>
  <c r="AC127" i="12"/>
  <c r="AC2373" i="12"/>
  <c r="AC2977" i="12"/>
  <c r="AC1093" i="12"/>
  <c r="AC2792" i="12"/>
  <c r="AC2413" i="12"/>
  <c r="AC582" i="12"/>
  <c r="AC1753" i="12"/>
  <c r="AC369" i="12"/>
  <c r="AC3543" i="12"/>
  <c r="AC1597" i="12"/>
  <c r="AC1893" i="12"/>
  <c r="AC1965" i="12"/>
  <c r="AC2497" i="12"/>
  <c r="AC966" i="12"/>
  <c r="AC1558" i="12"/>
  <c r="AC1178" i="12"/>
  <c r="AC2717" i="12"/>
  <c r="AC2629" i="12"/>
  <c r="AC1335" i="12"/>
  <c r="AC621" i="12"/>
  <c r="AC3150" i="12"/>
  <c r="AC3335" i="12"/>
  <c r="AC2701" i="12"/>
  <c r="AC1606" i="12"/>
  <c r="AC356" i="12"/>
  <c r="AC577" i="12"/>
  <c r="AC2566" i="12"/>
  <c r="AC3416" i="12"/>
  <c r="AC2832" i="12"/>
  <c r="AC483" i="12"/>
  <c r="AC2531" i="12"/>
  <c r="AC361" i="12"/>
  <c r="AC2158" i="12"/>
  <c r="AC2843" i="12"/>
  <c r="AC2889" i="12"/>
  <c r="AC2990" i="12"/>
  <c r="AC600" i="12"/>
  <c r="AC929" i="12"/>
  <c r="AC2641" i="12"/>
  <c r="AC228" i="12"/>
  <c r="AC2944" i="12"/>
  <c r="AC1459" i="12"/>
  <c r="AC2540" i="12"/>
  <c r="AC193" i="12"/>
  <c r="AC2654" i="12"/>
  <c r="AC165" i="12"/>
  <c r="AC865" i="12"/>
  <c r="AC407" i="12"/>
  <c r="AC1496" i="12"/>
  <c r="AC2330" i="12"/>
  <c r="AC2233" i="12"/>
  <c r="AC569" i="12"/>
  <c r="AC2100" i="12"/>
  <c r="AC2045" i="12"/>
  <c r="AC3310" i="12"/>
  <c r="AC620" i="12"/>
  <c r="AC716" i="12"/>
  <c r="AC2549" i="12"/>
  <c r="AC883" i="12"/>
  <c r="AC1271" i="12"/>
  <c r="AC254" i="12"/>
  <c r="AC637" i="12"/>
  <c r="AC2169" i="12"/>
  <c r="AC316" i="12"/>
  <c r="AC1974" i="12"/>
  <c r="AC2631" i="12"/>
  <c r="AC3457" i="12"/>
  <c r="AC1735" i="12"/>
  <c r="AC3137" i="12"/>
  <c r="AC1734" i="12"/>
  <c r="AC2923" i="12"/>
  <c r="AC3229" i="12"/>
  <c r="AC1834" i="12"/>
  <c r="AC3228" i="12"/>
  <c r="AC256" i="12"/>
  <c r="AC2007" i="12"/>
  <c r="AC1170" i="12"/>
  <c r="AC1254" i="12"/>
  <c r="AC2655" i="12"/>
  <c r="AC2382" i="12"/>
  <c r="AC2512" i="12"/>
  <c r="AC3065" i="12"/>
  <c r="AC312" i="12"/>
  <c r="AC692" i="12"/>
  <c r="AC3536" i="12"/>
  <c r="AC1323" i="12"/>
  <c r="AC2250" i="12"/>
  <c r="AC1278" i="12"/>
  <c r="AC1168" i="12"/>
  <c r="AC286" i="12"/>
  <c r="AC3365" i="12"/>
  <c r="AC93" i="12"/>
  <c r="AC1537" i="12"/>
  <c r="AC2369" i="12"/>
  <c r="AC826" i="12"/>
  <c r="AC2390" i="12"/>
  <c r="AC2539" i="12"/>
  <c r="AC1403" i="12"/>
  <c r="AC281" i="12"/>
  <c r="AC3200" i="12"/>
  <c r="AC1004" i="12"/>
  <c r="AC3355" i="12"/>
  <c r="AC2699" i="12"/>
  <c r="AC2315" i="12"/>
  <c r="AC2118" i="12"/>
  <c r="AC152" i="12"/>
  <c r="AC2151" i="12"/>
  <c r="AC2926" i="12"/>
  <c r="AC2917" i="12"/>
  <c r="AC1758" i="12"/>
  <c r="AC613" i="12"/>
  <c r="AC1107" i="12"/>
  <c r="AC1061" i="12"/>
  <c r="AC416" i="12"/>
  <c r="AC2370" i="12"/>
  <c r="AC1484" i="12"/>
  <c r="AC2728" i="12"/>
  <c r="AC135" i="12"/>
  <c r="AC628" i="12"/>
  <c r="AC1136" i="12"/>
  <c r="AC1927" i="12"/>
  <c r="AC1579" i="12"/>
  <c r="AC1844" i="12"/>
  <c r="AC544" i="12"/>
  <c r="AC49" i="12"/>
  <c r="AC2827" i="12"/>
  <c r="AC2985" i="12"/>
  <c r="AC449" i="12"/>
  <c r="AC1369" i="12"/>
  <c r="AC2291" i="12"/>
  <c r="AC1472" i="12"/>
  <c r="AC2668" i="12"/>
  <c r="AC2940" i="12"/>
  <c r="AC1871" i="12"/>
  <c r="AC2689" i="12"/>
  <c r="AC1845" i="12"/>
  <c r="AC3010" i="12"/>
  <c r="AC1820" i="12"/>
  <c r="AC1540" i="12"/>
  <c r="AC2479" i="12"/>
  <c r="AC1347" i="12"/>
  <c r="AC2434" i="12"/>
  <c r="AC1325" i="12"/>
  <c r="AC3076" i="12"/>
  <c r="AC161" i="12"/>
  <c r="AC1855" i="12"/>
  <c r="AC2772" i="12"/>
  <c r="AC612" i="12"/>
  <c r="AC1214" i="12"/>
  <c r="AC1285" i="12"/>
  <c r="AC825" i="12"/>
  <c r="AC2263" i="12"/>
  <c r="AC3061" i="12"/>
  <c r="AC324" i="12"/>
  <c r="AC1686" i="12"/>
  <c r="AC2912" i="12"/>
  <c r="AC2285" i="12"/>
  <c r="AC888" i="12"/>
  <c r="AC2876" i="12"/>
  <c r="AC1293" i="12"/>
  <c r="AC3541" i="12"/>
  <c r="AC2190" i="12"/>
  <c r="AC2452" i="12"/>
  <c r="AC2145" i="12"/>
  <c r="AC2441" i="12"/>
  <c r="AC892" i="12"/>
  <c r="AC2147" i="12"/>
  <c r="AC1671" i="12"/>
  <c r="AC3346" i="12"/>
  <c r="AC2356" i="12"/>
  <c r="AC2891" i="12"/>
  <c r="AC911" i="12"/>
  <c r="AC1848" i="12"/>
  <c r="AC578" i="12"/>
  <c r="AC528" i="12"/>
  <c r="AC2693" i="12"/>
  <c r="AC891" i="12"/>
  <c r="AC2814" i="12"/>
  <c r="AC1656" i="12"/>
  <c r="AC2619" i="12"/>
  <c r="AC2753" i="12"/>
  <c r="AC2830" i="12"/>
  <c r="AC1336" i="12"/>
  <c r="AC288" i="12"/>
  <c r="AC2842" i="12"/>
  <c r="AC1929" i="12"/>
  <c r="AC1184" i="12"/>
  <c r="AC1485" i="12"/>
  <c r="AC3452" i="12"/>
  <c r="AC1434" i="12"/>
  <c r="AC285" i="12"/>
  <c r="AC1080" i="12"/>
  <c r="AC1383" i="12"/>
  <c r="AC457" i="12"/>
  <c r="AC1112" i="12"/>
  <c r="AC310" i="12"/>
  <c r="AC325" i="12"/>
  <c r="AC2192" i="12"/>
  <c r="AC2076" i="12"/>
  <c r="AC1375" i="12"/>
  <c r="AC2171" i="12"/>
  <c r="AC2896" i="12"/>
  <c r="AC3239" i="12"/>
  <c r="AC2217" i="12"/>
  <c r="AC960" i="12"/>
  <c r="AC106" i="12"/>
  <c r="AC1488" i="12"/>
  <c r="AC167" i="12"/>
  <c r="AC2677" i="12"/>
  <c r="AC2034" i="12"/>
  <c r="AC1678" i="12"/>
  <c r="AC2900" i="12"/>
  <c r="AC2867" i="12"/>
  <c r="AC2339" i="12"/>
  <c r="AC1408" i="12"/>
  <c r="AC1647" i="12"/>
  <c r="AC552" i="12"/>
  <c r="AC980" i="12"/>
  <c r="AC638" i="12"/>
  <c r="AC1595" i="12"/>
  <c r="AC1129" i="12"/>
  <c r="AC951" i="12"/>
  <c r="AC2965" i="12"/>
  <c r="AC893" i="12"/>
  <c r="AC2740" i="12"/>
  <c r="AC44" i="12"/>
  <c r="AC337" i="12"/>
  <c r="AC2046" i="12"/>
  <c r="AC788" i="12"/>
  <c r="AC1767" i="12"/>
  <c r="AC1054" i="12"/>
  <c r="AC698" i="12"/>
  <c r="AC2310" i="12"/>
  <c r="AC1397" i="12"/>
  <c r="AC51" i="12"/>
  <c r="AC2474" i="12"/>
  <c r="AC3104" i="12"/>
  <c r="AC1525" i="12"/>
  <c r="AC2401" i="12"/>
  <c r="AC3244" i="12"/>
  <c r="AC2679" i="12"/>
  <c r="AC1861" i="12"/>
  <c r="AC58" i="12"/>
  <c r="AC961" i="12"/>
  <c r="AC1196" i="12"/>
  <c r="AC627" i="12"/>
  <c r="AC1536" i="12"/>
  <c r="AC465" i="12"/>
  <c r="AC2150" i="12"/>
  <c r="AC655" i="12"/>
  <c r="AC1162" i="12"/>
  <c r="AC3323" i="12"/>
  <c r="AC2015" i="12"/>
  <c r="AC2902" i="12"/>
  <c r="AC594" i="12"/>
  <c r="AC1231" i="12"/>
  <c r="AC247" i="12"/>
  <c r="AC933" i="12"/>
  <c r="AC84" i="12"/>
  <c r="AC2021" i="12"/>
  <c r="AC661" i="12"/>
  <c r="AC2397" i="12"/>
  <c r="AC1875" i="12"/>
  <c r="AC323" i="12"/>
  <c r="AC940" i="12"/>
  <c r="AC1024" i="12"/>
  <c r="AC3217" i="12"/>
  <c r="AC1504" i="12"/>
  <c r="AC2663" i="12"/>
  <c r="AC629" i="12"/>
  <c r="AC1641" i="12"/>
  <c r="AC2207" i="12"/>
  <c r="AC341" i="12"/>
  <c r="AC695" i="12"/>
  <c r="AC1185" i="12"/>
  <c r="AC140" i="12"/>
  <c r="AC1013" i="12"/>
  <c r="AC2797" i="12"/>
  <c r="AC565" i="12"/>
  <c r="AC1179" i="12"/>
  <c r="AC860" i="12"/>
  <c r="AC675" i="12"/>
  <c r="AC192" i="12"/>
  <c r="AC178" i="12"/>
  <c r="AC2229" i="12"/>
  <c r="AC3469" i="12"/>
  <c r="AC2195" i="12"/>
  <c r="AC915" i="12"/>
  <c r="AC3162" i="12"/>
  <c r="AC752" i="12"/>
  <c r="AC3093" i="12"/>
  <c r="AC3302" i="12"/>
  <c r="AC657" i="12"/>
  <c r="AC2176" i="12"/>
  <c r="AC1282" i="12"/>
  <c r="AC1896" i="12"/>
  <c r="AC452" i="12"/>
  <c r="AC1512" i="12"/>
  <c r="AC3450" i="12"/>
  <c r="AC3491" i="12"/>
  <c r="AC910" i="12"/>
  <c r="AC1159" i="12"/>
  <c r="AC1982" i="12"/>
  <c r="AC985" i="12"/>
  <c r="AC397" i="12"/>
  <c r="AC3401" i="12"/>
  <c r="AC2951" i="12"/>
  <c r="AC2365" i="12"/>
  <c r="AC417" i="12"/>
  <c r="AC907" i="12"/>
  <c r="AC1362" i="12"/>
  <c r="AC45" i="12"/>
  <c r="AC461" i="12"/>
  <c r="AC2004" i="12"/>
  <c r="AC2567" i="12"/>
  <c r="AC574" i="12"/>
  <c r="AC2594" i="12"/>
  <c r="AC3111" i="12"/>
  <c r="AC705" i="12"/>
  <c r="AC2969" i="12"/>
  <c r="AC719" i="12"/>
  <c r="AC511" i="12"/>
  <c r="AC2596" i="12"/>
  <c r="AC1388" i="12"/>
  <c r="AC3155" i="12"/>
  <c r="AC502" i="12"/>
  <c r="AC255" i="12"/>
  <c r="AC2491" i="12"/>
  <c r="AC618" i="12"/>
  <c r="AC36" i="12"/>
  <c r="AC3134" i="12"/>
  <c r="AC1030" i="12"/>
  <c r="AC340" i="12"/>
  <c r="AC983" i="12"/>
  <c r="AC1481" i="12"/>
  <c r="AC2495" i="12"/>
  <c r="AC1924" i="12"/>
  <c r="AC831" i="12"/>
  <c r="AC116" i="12"/>
  <c r="AC671" i="12"/>
  <c r="AC1954" i="12"/>
  <c r="AC1951" i="12"/>
  <c r="AC1431" i="12"/>
  <c r="AC1923" i="12"/>
  <c r="AC2721" i="12"/>
  <c r="J6" i="12"/>
  <c r="J13" i="12"/>
  <c r="K14" i="12"/>
  <c r="K15" i="12"/>
  <c r="J16" i="12"/>
  <c r="J12" i="12"/>
  <c r="K11" i="12"/>
  <c r="J14" i="12"/>
  <c r="K9" i="12"/>
  <c r="K3" i="12"/>
  <c r="J11" i="12"/>
  <c r="K10" i="12"/>
  <c r="J9" i="12"/>
  <c r="J5" i="12"/>
  <c r="J15" i="12"/>
  <c r="K16" i="12"/>
  <c r="J4" i="12"/>
  <c r="K6" i="12"/>
  <c r="K7" i="12"/>
  <c r="K8" i="12"/>
  <c r="K12" i="12"/>
  <c r="K13" i="12"/>
  <c r="K5" i="12"/>
  <c r="J7" i="12"/>
  <c r="K4" i="12"/>
  <c r="J8" i="12"/>
  <c r="J3" i="12"/>
  <c r="J10" i="12"/>
  <c r="G10" i="12" l="1"/>
  <c r="G3" i="12"/>
  <c r="G8" i="12"/>
  <c r="H4" i="12"/>
  <c r="G7" i="12"/>
  <c r="H5" i="12"/>
  <c r="H13" i="12"/>
  <c r="I13" i="12" s="1"/>
  <c r="H12" i="12"/>
  <c r="I12" i="12" s="1"/>
  <c r="H8" i="12"/>
  <c r="H7" i="12"/>
  <c r="H6" i="12"/>
  <c r="G4" i="12"/>
  <c r="H16" i="12"/>
  <c r="G15" i="12"/>
  <c r="G5" i="12"/>
  <c r="G9" i="12"/>
  <c r="H10" i="12"/>
  <c r="I10" i="12" s="1"/>
  <c r="G11" i="12"/>
  <c r="H3" i="12"/>
  <c r="I3" i="12" s="1"/>
  <c r="H9" i="12"/>
  <c r="G14" i="12"/>
  <c r="H11" i="12"/>
  <c r="I11" i="12" s="1"/>
  <c r="G12" i="12"/>
  <c r="G16" i="12"/>
  <c r="H15" i="12"/>
  <c r="H14" i="12"/>
  <c r="G13" i="12"/>
  <c r="G6" i="12"/>
  <c r="I5" i="12" l="1"/>
  <c r="I16" i="12"/>
  <c r="I9" i="12"/>
  <c r="I4" i="12"/>
  <c r="I14" i="12"/>
  <c r="I7" i="12"/>
  <c r="I6" i="12"/>
  <c r="I15"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<sst xmlns="http://schemas.openxmlformats.org/spreadsheetml/2006/main" count="1927" uniqueCount="172">
  <si>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</si>
  <si>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</si>
  <si>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</si>
  <si>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</si>
  <si>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</si>
  <si>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</si>
  <si>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</si>
  <si>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</si>
  <si>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</si>
  <si>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</si>
  <si>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</si>
  <si>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</si>
  <si>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</si>
  <si>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</si>
  <si>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</si>
  <si>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</si>
  <si>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</si>
  <si>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</si>
  <si>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</si>
  <si>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</si>
  <si>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</si>
  <si>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</si>
  <si>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</si>
  <si>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</si>
  <si>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</si>
  <si>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</si>
  <si>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</si>
  <si>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</si>
  <si>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</si>
  <si>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</si>
  <si>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</si>
  <si>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</si>
  <si>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</si>
  <si>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</si>
  <si>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</si>
  <si>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</si>
  <si>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</si>
  <si>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</si>
  <si>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</si>
  <si>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</si>
  <si>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</si>
  <si>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</si>
  <si>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</si>
  <si>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</si>
  <si>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</si>
  <si>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</si>
  <si>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</si>
  <si>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</si>
  <si>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</si>
  <si>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</si>
  <si>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</si>
  <si>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</si>
  <si>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</si>
  <si>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</si>
  <si>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InterpolatorID</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</si>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</sst>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Monitor!$AB$19:$AB$3552</c:f>
              <c:numCache>
                <c:formatCode>0.0000%</c:formatCode>
                <c:ptCount val="3534"/>
                <c:pt idx="0">
                  <c:v>6.6799999999994099E-4</c:v>
                </c:pt>
                <c:pt idx="1">
                  <c:v>6.6745008967922996E-4</c:v>
                </c:pt>
                <c:pt idx="2">
                  <c:v>6.6322790740195854E-4</c:v>
                </c:pt>
                <c:pt idx="3">
                  <c:v>6.6141102992913956E-4</c:v>
                </c:pt>
                <c:pt idx="4">
                  <c:v>6.5960669355317732E-4</c:v>
                </c:pt>
                <c:pt idx="5">
                  <c:v>6.5552333985920543E-4</c:v>
                </c:pt>
                <c:pt idx="6">
                  <c:v>6.5490601494417819E-4</c:v>
                </c:pt>
                <c:pt idx="7">
                  <c:v>6.5081920215298334E-4</c:v>
                </c:pt>
                <c:pt idx="8">
                  <c:v>6.4911805384641459E-4</c:v>
                </c:pt>
                <c:pt idx="9">
                  <c:v>6.4743895851494403E-4</c:v>
                </c:pt>
                <c:pt idx="10">
                  <c:v>6.4391600116168784E-4</c:v>
                </c:pt>
                <c:pt idx="11">
                  <c:v>6.4323595881926154E-4</c:v>
                </c:pt>
                <c:pt idx="12">
                  <c:v>6.483370410342768E-4</c:v>
                </c:pt>
                <c:pt idx="13">
                  <c:v>6.467818355110072E-4</c:v>
                </c:pt>
                <c:pt idx="14">
                  <c:v>6.4525783321571701E-4</c:v>
                </c:pt>
                <c:pt idx="15">
                  <c:v>6.4376661377489076E-4</c:v>
                </c:pt>
                <c:pt idx="16">
                  <c:v>6.4091349516349257E-4</c:v>
                </c:pt>
                <c:pt idx="17">
                  <c:v>6.3816190388044818E-4</c:v>
                </c:pt>
                <c:pt idx="18">
                  <c:v>6.3685903990418069E-4</c:v>
                </c:pt>
                <c:pt idx="19">
                  <c:v>6.3559888461957846E-4</c:v>
                </c:pt>
                <c:pt idx="20">
                  <c:v>6.3438316701517835E-4</c:v>
                </c:pt>
                <c:pt idx="21">
                  <c:v>6.3251967595406714E-4</c:v>
                </c:pt>
                <c:pt idx="22">
                  <c:v>6.2999999999982471E-4</c:v>
                </c:pt>
                <c:pt idx="23">
                  <c:v>6.2905444191902924E-4</c:v>
                </c:pt>
                <c:pt idx="24">
                  <c:v>6.282037481548544E-4</c:v>
                </c:pt>
                <c:pt idx="25">
                  <c:v>6.2744513653411986E-4</c:v>
                </c:pt>
                <c:pt idx="26">
                  <c:v>6.2693940580496826E-4</c:v>
                </c:pt>
                <c:pt idx="27">
                  <c:v>6.252673251100258E-4</c:v>
                </c:pt>
                <c:pt idx="28">
                  <c:v>6.2491884868941E-4</c:v>
                </c:pt>
                <c:pt idx="29">
                  <c:v>6.2464063560842167E-4</c:v>
                </c:pt>
                <c:pt idx="30">
                  <c:v>6.253695367148958E-4</c:v>
                </c:pt>
                <c:pt idx="31">
                  <c:v>6.2492938626215971E-4</c:v>
                </c:pt>
                <c:pt idx="32">
                  <c:v>6.2413780012325918E-4</c:v>
                </c:pt>
                <c:pt idx="33">
                  <c:v>6.2453642885176017E-4</c:v>
                </c:pt>
                <c:pt idx="34">
                  <c:v>6.4040565517131838E-4</c:v>
                </c:pt>
                <c:pt idx="35">
                  <c:v>6.4024181292029211E-4</c:v>
                </c:pt>
                <c:pt idx="36">
                  <c:v>6.4010541044953815E-4</c:v>
                </c:pt>
                <c:pt idx="37">
                  <c:v>6.4022851601317778E-4</c:v>
                </c:pt>
                <c:pt idx="38">
                  <c:v>6.4032952395909825E-4</c:v>
                </c:pt>
                <c:pt idx="39">
                  <c:v>6.4041002389016719E-4</c:v>
                </c:pt>
                <c:pt idx="40">
                  <c:v>6.4038628075626584E-4</c:v>
                </c:pt>
                <c:pt idx="41">
                  <c:v>6.404096523244747E-4</c:v>
                </c:pt>
                <c:pt idx="42">
                  <c:v>6.4021805560064162E-4</c:v>
                </c:pt>
                <c:pt idx="43">
                  <c:v>6.4000000000054356E-4</c:v>
                </c:pt>
                <c:pt idx="44">
                  <c:v>6.3974488323370127E-4</c:v>
                </c:pt>
                <c:pt idx="45">
                  <c:v>6.3877541919384626E-4</c:v>
                </c:pt>
                <c:pt idx="46">
                  <c:v>6.3888034668624068E-4</c:v>
                </c:pt>
                <c:pt idx="47">
                  <c:v>6.3853243809463146E-4</c:v>
                </c:pt>
                <c:pt idx="48">
                  <c:v>6.3830319611054035E-4</c:v>
                </c:pt>
                <c:pt idx="49">
                  <c:v>6.3807850258501553E-4</c:v>
                </c:pt>
                <c:pt idx="50">
                  <c:v>6.3699652180359385E-4</c:v>
                </c:pt>
                <c:pt idx="51">
                  <c:v>6.3720603403145015E-4</c:v>
                </c:pt>
                <c:pt idx="52">
                  <c:v>6.3702359619060406E-4</c:v>
                </c:pt>
                <c:pt idx="53">
                  <c:v>6.3682617305667625E-4</c:v>
                </c:pt>
                <c:pt idx="54">
                  <c:v>6.3663314427936629E-4</c:v>
                </c:pt>
                <c:pt idx="55">
                  <c:v>6.3691713172493345E-4</c:v>
                </c:pt>
                <c:pt idx="56">
                  <c:v>6.3721397768488582E-4</c:v>
                </c:pt>
                <c:pt idx="57">
                  <c:v>6.421890440604759E-4</c:v>
                </c:pt>
                <c:pt idx="58">
                  <c:v>6.4202004029297348E-4</c:v>
                </c:pt>
                <c:pt idx="59">
                  <c:v>6.4185450338748596E-4</c:v>
                </c:pt>
                <c:pt idx="60">
                  <c:v>6.4066171758402014E-4</c:v>
                </c:pt>
                <c:pt idx="61">
                  <c:v>6.4101617641380577E-4</c:v>
                </c:pt>
                <c:pt idx="62">
                  <c:v>6.410714220915915E-4</c:v>
                </c:pt>
                <c:pt idx="63">
                  <c:v>6.4092202556426841E-4</c:v>
                </c:pt>
                <c:pt idx="64">
                  <c:v>6.4077439498563696E-4</c:v>
                </c:pt>
                <c:pt idx="65">
                  <c:v>6.3965893465893616E-4</c:v>
                </c:pt>
                <c:pt idx="66">
                  <c:v>6.3999999999987201E-4</c:v>
                </c:pt>
                <c:pt idx="67">
                  <c:v>6.401017428785792E-4</c:v>
                </c:pt>
                <c:pt idx="68">
                  <c:v>6.4002194117985178E-4</c:v>
                </c:pt>
                <c:pt idx="69">
                  <c:v>6.3997138590988145E-4</c:v>
                </c:pt>
                <c:pt idx="70">
                  <c:v>6.3933952626157051E-4</c:v>
                </c:pt>
                <c:pt idx="71">
                  <c:v>6.3967489732644147E-4</c:v>
                </c:pt>
                <c:pt idx="72">
                  <c:v>6.4024945716590275E-4</c:v>
                </c:pt>
                <c:pt idx="73">
                  <c:v>6.4043102474687296E-4</c:v>
                </c:pt>
                <c:pt idx="74">
                  <c:v>6.406616225698835E-4</c:v>
                </c:pt>
                <c:pt idx="75">
                  <c:v>6.407663843195139E-4</c:v>
                </c:pt>
                <c:pt idx="76">
                  <c:v>6.4120859917261375E-4</c:v>
                </c:pt>
                <c:pt idx="77">
                  <c:v>6.4272523729400652E-4</c:v>
                </c:pt>
                <c:pt idx="78">
                  <c:v>6.3494424312941647E-4</c:v>
                </c:pt>
                <c:pt idx="79">
                  <c:v>6.3554671394287397E-4</c:v>
                </c:pt>
                <c:pt idx="80">
                  <c:v>6.3622615354196228E-4</c:v>
                </c:pt>
                <c:pt idx="81">
                  <c:v>6.3698658350140288E-4</c:v>
                </c:pt>
                <c:pt idx="82">
                  <c:v>6.3979549768265439E-4</c:v>
                </c:pt>
                <c:pt idx="83">
                  <c:v>6.4092206004209753E-4</c:v>
                </c:pt>
                <c:pt idx="84">
                  <c:v>6.421511870655552E-4</c:v>
                </c:pt>
                <c:pt idx="85">
                  <c:v>6.4348748691698784E-4</c:v>
                </c:pt>
                <c:pt idx="86">
                  <c:v>6.4493566553269527E-4</c:v>
                </c:pt>
                <c:pt idx="87">
                  <c:v>6.5000000000008584E-4</c:v>
                </c:pt>
                <c:pt idx="88">
                  <c:v>6.5194309438218435E-4</c:v>
                </c:pt>
                <c:pt idx="89">
                  <c:v>6.5401329145748852E-4</c:v>
                </c:pt>
                <c:pt idx="90">
                  <c:v>6.5620587201723813E-4</c:v>
                </c:pt>
                <c:pt idx="91">
                  <c:v>6.5851595349455494E-4</c:v>
                </c:pt>
                <c:pt idx="92">
                  <c:v>6.6609992729736158E-4</c:v>
                </c:pt>
                <c:pt idx="93">
                  <c:v>6.68827919463151E-4</c:v>
                </c:pt>
                <c:pt idx="94">
                  <c:v>6.7164654919320754E-4</c:v>
                </c:pt>
                <c:pt idx="95">
                  <c:v>6.7454995368849372E-4</c:v>
                </c:pt>
                <c:pt idx="96">
                  <c:v>6.8031000816458657E-4</c:v>
                </c:pt>
                <c:pt idx="97">
                  <c:v>6.8756707204507578E-4</c:v>
                </c:pt>
                <c:pt idx="98">
                  <c:v>6.9012196239516869E-4</c:v>
                </c:pt>
                <c:pt idx="99">
                  <c:v>6.9406655429365158E-4</c:v>
                </c:pt>
                <c:pt idx="100">
                  <c:v>6.3715640816053851E-4</c:v>
                </c:pt>
                <c:pt idx="101">
                  <c:v>6.4240807590849544E-4</c:v>
                </c:pt>
                <c:pt idx="102">
                  <c:v>6.5060725905659105E-4</c:v>
                </c:pt>
                <c:pt idx="103">
                  <c:v>6.5398696190947087E-4</c:v>
                </c:pt>
                <c:pt idx="104">
                  <c:v>6.5735775730528371E-4</c:v>
                </c:pt>
                <c:pt idx="105">
                  <c:v>6.6071150907513233E-4</c:v>
                </c:pt>
                <c:pt idx="106">
                  <c:v>6.6556765039715567E-4</c:v>
                </c:pt>
                <c:pt idx="107">
                  <c:v>6.7378766815787096E-4</c:v>
                </c:pt>
                <c:pt idx="108">
                  <c:v>6.7692847090536953E-4</c:v>
                </c:pt>
                <c:pt idx="109">
                  <c:v>6.8000000000026145E-4</c:v>
                </c:pt>
                <c:pt idx="110">
                  <c:v>6.8299471311338131E-4</c:v>
                </c:pt>
                <c:pt idx="111">
                  <c:v>6.8683502546639462E-4</c:v>
                </c:pt>
                <c:pt idx="112">
                  <c:v>6.9420930977365691E-4</c:v>
                </c:pt>
                <c:pt idx="113">
                  <c:v>6.9682766497844125E-4</c:v>
                </c:pt>
                <c:pt idx="114">
                  <c:v>6.9937441509502791E-4</c:v>
                </c:pt>
                <c:pt idx="115">
                  <c:v>7.0185091862055697E-4</c:v>
                </c:pt>
                <c:pt idx="116">
                  <c:v>7.0461868708084194E-4</c:v>
                </c:pt>
                <c:pt idx="117">
                  <c:v>7.1108368174901374E-4</c:v>
                </c:pt>
                <c:pt idx="118">
                  <c:v>7.1323137476610426E-4</c:v>
                </c:pt>
                <c:pt idx="119">
                  <c:v>7.1531819916594453E-4</c:v>
                </c:pt>
                <c:pt idx="120">
                  <c:v>7.1734592243960602E-4</c:v>
                </c:pt>
                <c:pt idx="121">
                  <c:v>7.1933855253183509E-4</c:v>
                </c:pt>
                <c:pt idx="122">
                  <c:v>6.7851292857125335E-4</c:v>
                </c:pt>
                <c:pt idx="123">
                  <c:v>6.8030093689463143E-4</c:v>
                </c:pt>
                <c:pt idx="124">
                  <c:v>6.8204063227579137E-4</c:v>
                </c:pt>
                <c:pt idx="125">
                  <c:v>6.8373419226781579E-4</c:v>
                </c:pt>
                <c:pt idx="126">
                  <c:v>6.8538385317020215E-4</c:v>
                </c:pt>
                <c:pt idx="127">
                  <c:v>6.9009268548943378E-4</c:v>
                </c:pt>
                <c:pt idx="128">
                  <c:v>6.9159028790513892E-4</c:v>
                </c:pt>
                <c:pt idx="129">
                  <c:v>6.9305605388669572E-4</c:v>
                </c:pt>
                <c:pt idx="130">
                  <c:v>6.9449257219803277E-4</c:v>
                </c:pt>
                <c:pt idx="131">
                  <c:v>6.9590249034466145E-4</c:v>
                </c:pt>
                <c:pt idx="132">
                  <c:v>6.9999999999975453E-4</c:v>
                </c:pt>
                <c:pt idx="133">
                  <c:v>7.0133100803892404E-4</c:v>
                </c:pt>
                <c:pt idx="134">
                  <c:v>7.0264856352078369E-4</c:v>
                </c:pt>
                <c:pt idx="135">
                  <c:v>7.0395465447441543E-4</c:v>
                </c:pt>
                <c:pt idx="136">
                  <c:v>7.052512830881245E-4</c:v>
                </c:pt>
                <c:pt idx="137">
                  <c:v>7.0910462915892169E-4</c:v>
                </c:pt>
                <c:pt idx="138">
                  <c:v>7.1038371348045796E-4</c:v>
                </c:pt>
                <c:pt idx="139">
                  <c:v>7.116635587919466E-4</c:v>
                </c:pt>
                <c:pt idx="140">
                  <c:v>7.129462522387891E-4</c:v>
                </c:pt>
                <c:pt idx="141">
                  <c:v>7.142338951234144E-4</c:v>
                </c:pt>
                <c:pt idx="142">
                  <c:v>7.1816629122846312E-4</c:v>
                </c:pt>
                <c:pt idx="143">
                  <c:v>6.9965687676612996E-4</c:v>
                </c:pt>
                <c:pt idx="144">
                  <c:v>7.01042883581459E-4</c:v>
                </c:pt>
                <c:pt idx="145">
                  <c:v>7.0245041546005001E-4</c:v>
                </c:pt>
                <c:pt idx="146">
                  <c:v>7.0465805255086073E-4</c:v>
                </c:pt>
                <c:pt idx="147">
                  <c:v>7.0834048103718232E-4</c:v>
                </c:pt>
                <c:pt idx="148">
                  <c:v>7.0988927704185301E-4</c:v>
                </c:pt>
                <c:pt idx="149">
                  <c:v>7.1147315222542975E-4</c:v>
                </c:pt>
                <c:pt idx="150">
                  <c:v>7.130944149058208E-4</c:v>
                </c:pt>
                <c:pt idx="151">
                  <c:v>7.1649663295701011E-4</c:v>
                </c:pt>
                <c:pt idx="152">
                  <c:v>7.1999999997309188E-4</c:v>
                </c:pt>
                <c:pt idx="153">
                  <c:v>7.2184182205766595E-4</c:v>
                </c:pt>
                <c:pt idx="154">
                  <c:v>7.23719237153183E-4</c:v>
                </c:pt>
                <c:pt idx="155">
                  <c:v>7.2562245979496402E-4</c:v>
                </c:pt>
                <c:pt idx="156">
                  <c:v>7.3040906448426125E-4</c:v>
                </c:pt>
                <c:pt idx="157">
                  <c:v>7.3347533862129846E-4</c:v>
                </c:pt>
                <c:pt idx="158">
                  <c:v>7.3549432527609984E-4</c:v>
                </c:pt>
                <c:pt idx="159">
                  <c:v>7.3753404333831165E-4</c:v>
                </c:pt>
                <c:pt idx="160">
                  <c:v>7.395937634591121E-4</c:v>
                </c:pt>
                <c:pt idx="161">
                  <c:v>7.4801924433340924E-4</c:v>
                </c:pt>
                <c:pt idx="162">
                  <c:v>7.5016920128991829E-4</c:v>
                </c:pt>
                <c:pt idx="163">
                  <c:v>7.5233548427548053E-4</c:v>
                </c:pt>
                <c:pt idx="164">
                  <c:v>7.526773584025355E-4</c:v>
                </c:pt>
                <c:pt idx="165">
                  <c:v>7.4635313607429349E-4</c:v>
                </c:pt>
                <c:pt idx="166">
                  <c:v>7.4863151206502247E-4</c:v>
                </c:pt>
                <c:pt idx="167">
                  <c:v>7.5092946894826337E-4</c:v>
                </c:pt>
                <c:pt idx="168">
                  <c:v>7.5324679776061999E-4</c:v>
                </c:pt>
                <c:pt idx="169">
                  <c:v>7.5558332305869632E-4</c:v>
                </c:pt>
                <c:pt idx="170">
                  <c:v>7.6270682626797964E-4</c:v>
                </c:pt>
                <c:pt idx="171">
                  <c:v>7.651190535166981E-4</c:v>
                </c:pt>
                <c:pt idx="172">
                  <c:v>7.6755010286402164E-4</c:v>
                </c:pt>
                <c:pt idx="173">
                  <c:v>7.6999999999972999E-4</c:v>
                </c:pt>
                <c:pt idx="174">
                  <c:v>7.7243407814756059E-4</c:v>
                </c:pt>
                <c:pt idx="175">
                  <c:v>7.7944726374070295E-4</c:v>
                </c:pt>
                <c:pt idx="176">
                  <c:v>7.8169456412868158E-4</c:v>
                </c:pt>
                <c:pt idx="177">
                  <c:v>7.8389964679679072E-4</c:v>
                </c:pt>
                <c:pt idx="178">
                  <c:v>7.8606433092719803E-4</c:v>
                </c:pt>
                <c:pt idx="179">
                  <c:v>7.8819044994562224E-4</c:v>
                </c:pt>
                <c:pt idx="180">
                  <c:v>7.9435596427151979E-4</c:v>
                </c:pt>
                <c:pt idx="181">
                  <c:v>7.9634644200887977E-4</c:v>
                </c:pt>
                <c:pt idx="182">
                  <c:v>7.9830773544203567E-4</c:v>
                </c:pt>
                <c:pt idx="183">
                  <c:v>8.0024176346460299E-4</c:v>
                </c:pt>
                <c:pt idx="184">
                  <c:v>8.0215045921550531E-4</c:v>
                </c:pt>
                <c:pt idx="185">
                  <c:v>7.9507958765954328E-4</c:v>
                </c:pt>
                <c:pt idx="186">
                  <c:v>7.9690655889054702E-4</c:v>
                </c:pt>
                <c:pt idx="187">
                  <c:v>7.9871807729440093E-4</c:v>
                </c:pt>
                <c:pt idx="188">
                  <c:v>8.0051616145816089E-4</c:v>
                </c:pt>
                <c:pt idx="189">
                  <c:v>8.0230284420979871E-4</c:v>
                </c:pt>
                <c:pt idx="190">
                  <c:v>8.0761502592365181E-4</c:v>
                </c:pt>
                <c:pt idx="191">
                  <c:v>8.0937671617139898E-4</c:v>
                </c:pt>
                <c:pt idx="192">
                  <c:v>8.1113738279268792E-4</c:v>
                </c:pt>
                <c:pt idx="193">
                  <c:v>8.1289914407372426E-4</c:v>
                </c:pt>
                <c:pt idx="194">
                  <c:v>8.1466413254163011E-4</c:v>
                </c:pt>
                <c:pt idx="195">
                  <c:v>8.19999999999838E-4</c:v>
                </c:pt>
                <c:pt idx="196">
                  <c:v>8.2178983116355634E-4</c:v>
                </c:pt>
                <c:pt idx="197">
                  <c:v>8.2357400726711821E-4</c:v>
                </c:pt>
                <c:pt idx="198">
                  <c:v>8.2535413676279622E-4</c:v>
                </c:pt>
                <c:pt idx="199">
                  <c:v>8.2713184190237371E-4</c:v>
                </c:pt>
                <c:pt idx="200">
                  <c:v>8.3246684071081414E-4</c:v>
                </c:pt>
                <c:pt idx="201">
                  <c:v>8.3425134695556524E-4</c:v>
                </c:pt>
                <c:pt idx="202">
                  <c:v>8.3604174711380532E-4</c:v>
                </c:pt>
                <c:pt idx="203">
                  <c:v>8.3783974624053296E-4</c:v>
                </c:pt>
                <c:pt idx="204">
                  <c:v>8.3964706319377086E-4</c:v>
                </c:pt>
                <c:pt idx="205">
                  <c:v>8.4658506832204969E-4</c:v>
                </c:pt>
                <c:pt idx="206">
                  <c:v>8.4188142433296584E-4</c:v>
                </c:pt>
                <c:pt idx="207">
                  <c:v>8.4385563305381436E-4</c:v>
                </c:pt>
                <c:pt idx="208">
                  <c:v>8.4786477425817291E-4</c:v>
                </c:pt>
                <c:pt idx="209">
                  <c:v>8.4891215534527024E-4</c:v>
                </c:pt>
                <c:pt idx="210">
                  <c:v>8.5413279168401334E-4</c:v>
                </c:pt>
                <c:pt idx="211">
                  <c:v>8.5628245935353642E-4</c:v>
                </c:pt>
                <c:pt idx="212">
                  <c:v>8.5846794037013009E-4</c:v>
                </c:pt>
                <c:pt idx="213">
                  <c:v>8.6357861111914015E-4</c:v>
                </c:pt>
                <c:pt idx="214">
                  <c:v>8.6443504853795121E-4</c:v>
                </c:pt>
                <c:pt idx="215">
                  <c:v>8.6999999999996509E-4</c:v>
                </c:pt>
                <c:pt idx="216">
                  <c:v>8.7244024738195405E-4</c:v>
                </c:pt>
                <c:pt idx="217">
                  <c:v>8.7492531672747501E-4</c:v>
                </c:pt>
                <c:pt idx="218">
                  <c:v>8.8133284080684686E-4</c:v>
                </c:pt>
                <c:pt idx="219">
                  <c:v>8.8199231168053691E-4</c:v>
                </c:pt>
                <c:pt idx="220">
                  <c:v>8.8792853787122506E-4</c:v>
                </c:pt>
                <c:pt idx="221">
                  <c:v>8.906257055530315E-4</c:v>
                </c:pt>
                <c:pt idx="222">
                  <c:v>8.9334864376533008E-4</c:v>
                </c:pt>
                <c:pt idx="223">
                  <c:v>9.0055161764907195E-4</c:v>
                </c:pt>
                <c:pt idx="224">
                  <c:v>9.1007167337945878E-4</c:v>
                </c:pt>
                <c:pt idx="225">
                  <c:v>9.1289687420708959E-4</c:v>
                </c:pt>
                <c:pt idx="226">
                  <c:v>9.1343098708578303E-4</c:v>
                </c:pt>
                <c:pt idx="227">
                  <c:v>9.1848221502508615E-4</c:v>
                </c:pt>
                <c:pt idx="228">
                  <c:v>9.2242253431671034E-4</c:v>
                </c:pt>
                <c:pt idx="229">
                  <c:v>9.2525386746977745E-4</c:v>
                </c:pt>
                <c:pt idx="230">
                  <c:v>9.2807664039534505E-4</c:v>
                </c:pt>
                <c:pt idx="231">
                  <c:v>9.3088795113321096E-4</c:v>
                </c:pt>
                <c:pt idx="232">
                  <c:v>9.3781275247344434E-4</c:v>
                </c:pt>
                <c:pt idx="233">
                  <c:v>9.4196012960127452E-4</c:v>
                </c:pt>
                <c:pt idx="234">
                  <c:v>9.4467019659875452E-4</c:v>
                </c:pt>
                <c:pt idx="235">
                  <c:v>9.4735114761054654E-4</c:v>
                </c:pt>
                <c:pt idx="236">
                  <c:v>9.4999999999999913E-4</c:v>
                </c:pt>
                <c:pt idx="237">
                  <c:v>9.5579025716440087E-4</c:v>
                </c:pt>
                <c:pt idx="238">
                  <c:v>9.6027066807601697E-4</c:v>
                </c:pt>
                <c:pt idx="239">
                  <c:v>9.6276768147512688E-4</c:v>
                </c:pt>
                <c:pt idx="240">
                  <c:v>9.6524104642884908E-4</c:v>
                </c:pt>
                <c:pt idx="241">
                  <c:v>9.6769309473139476E-4</c:v>
                </c:pt>
                <c:pt idx="242">
                  <c:v>9.7242798502144981E-4</c:v>
                </c:pt>
                <c:pt idx="243">
                  <c:v>9.7733526313936551E-4</c:v>
                </c:pt>
                <c:pt idx="244">
                  <c:v>9.7971621092758253E-4</c:v>
                </c:pt>
                <c:pt idx="245">
                  <c:v>9.8209013632744578E-4</c:v>
                </c:pt>
                <c:pt idx="246">
                  <c:v>9.8445947229989172E-4</c:v>
                </c:pt>
                <c:pt idx="247">
                  <c:v>9.8855914004206363E-4</c:v>
                </c:pt>
                <c:pt idx="248">
                  <c:v>9.9473981652862544E-4</c:v>
                </c:pt>
                <c:pt idx="249">
                  <c:v>9.9710309744654286E-4</c:v>
                </c:pt>
                <c:pt idx="250">
                  <c:v>9.9947993132712539E-4</c:v>
                </c:pt>
                <c:pt idx="251">
                  <c:v>1.0033586940971424E-3</c:v>
                </c:pt>
                <c:pt idx="252">
                  <c:v>1.0050214189568191E-3</c:v>
                </c:pt>
                <c:pt idx="253">
                  <c:v>1.0116569887842824E-3</c:v>
                </c:pt>
                <c:pt idx="254">
                  <c:v>1.0141690978637337E-3</c:v>
                </c:pt>
                <c:pt idx="255">
                  <c:v>1.0167128798874521E-3</c:v>
                </c:pt>
                <c:pt idx="256">
                  <c:v>1.0208421163356957E-3</c:v>
                </c:pt>
                <c:pt idx="257">
                  <c:v>1.0226868444260676E-3</c:v>
                </c:pt>
                <c:pt idx="258">
                  <c:v>1.0300000000003182E-3</c:v>
                </c:pt>
                <c:pt idx="259">
                  <c:v>1.0327886993404642E-3</c:v>
                </c:pt>
                <c:pt idx="260">
                  <c:v>1.0356207292141195E-3</c:v>
                </c:pt>
                <c:pt idx="261">
                  <c:v>1.0403545052093829E-3</c:v>
                </c:pt>
                <c:pt idx="262">
                  <c:v>1.0423356292025919E-3</c:v>
                </c:pt>
                <c:pt idx="263">
                  <c:v>1.0502726163654967E-3</c:v>
                </c:pt>
                <c:pt idx="264">
                  <c:v>1.0532690600356424E-3</c:v>
                </c:pt>
                <c:pt idx="265">
                  <c:v>1.0562765529164649E-3</c:v>
                </c:pt>
                <c:pt idx="266">
                  <c:v>1.0613682532877703E-3</c:v>
                </c:pt>
                <c:pt idx="267">
                  <c:v>1.0633471933953491E-3</c:v>
                </c:pt>
                <c:pt idx="268">
                  <c:v>1.0713103825246344E-3</c:v>
                </c:pt>
                <c:pt idx="269">
                  <c:v>1.0732209683376856E-3</c:v>
                </c:pt>
                <c:pt idx="270">
                  <c:v>1.0761634924195667E-3</c:v>
                </c:pt>
                <c:pt idx="271">
                  <c:v>1.0790786920964141E-3</c:v>
                </c:pt>
                <c:pt idx="272">
                  <c:v>1.0841146629491185E-3</c:v>
                </c:pt>
                <c:pt idx="273">
                  <c:v>1.0903620454151986E-3</c:v>
                </c:pt>
                <c:pt idx="274">
                  <c:v>1.0930620715675834E-3</c:v>
                </c:pt>
                <c:pt idx="275">
                  <c:v>1.0957030323221493E-3</c:v>
                </c:pt>
                <c:pt idx="276">
                  <c:v>1.0982794773217912E-3</c:v>
                </c:pt>
                <c:pt idx="277">
                  <c:v>1.1029059936810109E-3</c:v>
                </c:pt>
                <c:pt idx="278">
                  <c:v>1.1078294908362096E-3</c:v>
                </c:pt>
                <c:pt idx="279">
                  <c:v>1.1099999999419907E-3</c:v>
                </c:pt>
                <c:pt idx="280">
                  <c:v>1.1120743250593477E-3</c:v>
                </c:pt>
                <c:pt idx="281">
                  <c:v>1.1140567071556392E-3</c:v>
                </c:pt>
                <c:pt idx="282">
                  <c:v>1.1179826917370695E-3</c:v>
                </c:pt>
                <c:pt idx="283">
                  <c:v>1.1211936177630542E-3</c:v>
                </c:pt>
                <c:pt idx="284">
                  <c:v>1.1228119638296095E-3</c:v>
                </c:pt>
                <c:pt idx="285">
                  <c:v>1.124377094294622E-3</c:v>
                </c:pt>
                <c:pt idx="286">
                  <c:v>1.1258956916124629E-3</c:v>
                </c:pt>
                <c:pt idx="287">
                  <c:v>1.1305317743744382E-3</c:v>
                </c:pt>
                <c:pt idx="288">
                  <c:v>1.1316406771847548E-3</c:v>
                </c:pt>
                <c:pt idx="289">
                  <c:v>1.1330291242500532E-3</c:v>
                </c:pt>
                <c:pt idx="290">
                  <c:v>1.1344125000801166E-3</c:v>
                </c:pt>
                <c:pt idx="291">
                  <c:v>1.135797942850897E-3</c:v>
                </c:pt>
                <c:pt idx="292">
                  <c:v>1.2055333092582231E-3</c:v>
                </c:pt>
                <c:pt idx="293">
                  <c:v>1.2091018662711537E-3</c:v>
                </c:pt>
                <c:pt idx="294">
                  <c:v>1.2106339806139399E-3</c:v>
                </c:pt>
                <c:pt idx="295">
                  <c:v>1.2122137721788965E-3</c:v>
                </c:pt>
                <c:pt idx="296">
                  <c:v>1.2158428924591289E-3</c:v>
                </c:pt>
                <c:pt idx="297">
                  <c:v>1.2165607517944199E-3</c:v>
                </c:pt>
                <c:pt idx="298">
                  <c:v>1.2210948654679389E-3</c:v>
                </c:pt>
                <c:pt idx="299">
                  <c:v>1.2231218133505208E-3</c:v>
                </c:pt>
                <c:pt idx="300">
                  <c:v>1.2252507406167361E-3</c:v>
                </c:pt>
                <c:pt idx="301">
                  <c:v>1.2300000005049936E-3</c:v>
                </c:pt>
                <c:pt idx="302">
                  <c:v>1.2311212825914897E-3</c:v>
                </c:pt>
                <c:pt idx="303">
                  <c:v>1.237610223681991E-3</c:v>
                </c:pt>
                <c:pt idx="304">
                  <c:v>1.2404207879085603E-3</c:v>
                </c:pt>
                <c:pt idx="305">
                  <c:v>1.2433351881809781E-3</c:v>
                </c:pt>
                <c:pt idx="306">
                  <c:v>1.2493514722113476E-3</c:v>
                </c:pt>
                <c:pt idx="307">
                  <c:v>1.250971523159738E-3</c:v>
                </c:pt>
                <c:pt idx="308">
                  <c:v>1.2593060401670979E-3</c:v>
                </c:pt>
                <c:pt idx="309">
                  <c:v>1.2627476708319035E-3</c:v>
                </c:pt>
                <c:pt idx="310">
                  <c:v>1.2662608276656098E-3</c:v>
                </c:pt>
                <c:pt idx="311">
                  <c:v>1.2730830075172619E-3</c:v>
                </c:pt>
                <c:pt idx="312">
                  <c:v>1.2767384709511467E-3</c:v>
                </c:pt>
                <c:pt idx="313">
                  <c:v>1.2847308056474422E-3</c:v>
                </c:pt>
                <c:pt idx="314">
                  <c:v>1.2885713282065458E-3</c:v>
                </c:pt>
                <c:pt idx="315">
                  <c:v>1.2924490651189874E-3</c:v>
                </c:pt>
                <c:pt idx="316">
                  <c:v>1.2995906589919498E-3</c:v>
                </c:pt>
                <c:pt idx="317">
                  <c:v>1.3019050073688079E-3</c:v>
                </c:pt>
                <c:pt idx="318">
                  <c:v>1.3122172542932794E-3</c:v>
                </c:pt>
                <c:pt idx="319">
                  <c:v>1.3162104787118011E-3</c:v>
                </c:pt>
                <c:pt idx="320">
                  <c:v>1.3202046031369136E-3</c:v>
                </c:pt>
                <c:pt idx="321">
                  <c:v>1.3271734259570353E-3</c:v>
                </c:pt>
                <c:pt idx="322">
                  <c:v>1.3296476779421649E-3</c:v>
                </c:pt>
                <c:pt idx="323">
                  <c:v>1.3400000007050045E-3</c:v>
                </c:pt>
                <c:pt idx="324">
                  <c:v>1.3438872094438128E-3</c:v>
                </c:pt>
                <c:pt idx="325">
                  <c:v>1.347745968268892E-3</c:v>
                </c:pt>
                <c:pt idx="326">
                  <c:v>1.3542037026131343E-3</c:v>
                </c:pt>
                <c:pt idx="327">
                  <c:v>1.3566950574639776E-3</c:v>
                </c:pt>
                <c:pt idx="328">
                  <c:v>1.3667320165654674E-3</c:v>
                </c:pt>
                <c:pt idx="329">
                  <c:v>1.3704917167145021E-3</c:v>
                </c:pt>
                <c:pt idx="330">
                  <c:v>1.3742470066044224E-3</c:v>
                </c:pt>
                <c:pt idx="331">
                  <c:v>1.3807549698929831E-3</c:v>
                </c:pt>
                <c:pt idx="332">
                  <c:v>1.3831472657502512E-3</c:v>
                </c:pt>
                <c:pt idx="333">
                  <c:v>1.3916194791941568E-3</c:v>
                </c:pt>
                <c:pt idx="334">
                  <c:v>1.3939184074407297E-3</c:v>
                </c:pt>
                <c:pt idx="335">
                  <c:v>1.3961882691542415E-3</c:v>
                </c:pt>
                <c:pt idx="336">
                  <c:v>1.3998736402807451E-3</c:v>
                </c:pt>
                <c:pt idx="337">
                  <c:v>1.4035687384065655E-3</c:v>
                </c:pt>
                <c:pt idx="338">
                  <c:v>1.4165037136163303E-3</c:v>
                </c:pt>
                <c:pt idx="339">
                  <c:v>1.4185188591276251E-3</c:v>
                </c:pt>
                <c:pt idx="340">
                  <c:v>1.4223170878205149E-3</c:v>
                </c:pt>
                <c:pt idx="341">
                  <c:v>1.4261469632662475E-3</c:v>
                </c:pt>
                <c:pt idx="342">
                  <c:v>1.4300121995232755E-3</c:v>
                </c:pt>
                <c:pt idx="343">
                  <c:v>1.4442934178560862E-3</c:v>
                </c:pt>
                <c:pt idx="344">
                  <c:v>1.4459016415678209E-3</c:v>
                </c:pt>
                <c:pt idx="345">
                  <c:v>1.4500000005084372E-3</c:v>
                </c:pt>
                <c:pt idx="346">
                  <c:v>1.4541555027592476E-3</c:v>
                </c:pt>
                <c:pt idx="347">
                  <c:v>1.4583676464688742E-3</c:v>
                </c:pt>
                <c:pt idx="348">
                  <c:v>1.4745589177531195E-3</c:v>
                </c:pt>
                <c:pt idx="349">
                  <c:v>1.4757553876392927E-3</c:v>
                </c:pt>
                <c:pt idx="350">
                  <c:v>1.4802303261112241E-3</c:v>
                </c:pt>
                <c:pt idx="351">
                  <c:v>1.4847537599575016E-3</c:v>
                </c:pt>
                <c:pt idx="352">
                  <c:v>1.4893243409584678E-3</c:v>
                </c:pt>
                <c:pt idx="353">
                  <c:v>1.5070221050532025E-3</c:v>
                </c:pt>
                <c:pt idx="354">
                  <c:v>1.5080512667294472E-3</c:v>
                </c:pt>
                <c:pt idx="355">
                  <c:v>1.5128374548113316E-3</c:v>
                </c:pt>
                <c:pt idx="356">
                  <c:v>1.5176627574841192E-3</c:v>
                </c:pt>
                <c:pt idx="357">
                  <c:v>1.5263736345019672E-3</c:v>
                </c:pt>
                <c:pt idx="358">
                  <c:v>1.5412027287512173E-3</c:v>
                </c:pt>
                <c:pt idx="359">
                  <c:v>1.5461986159360408E-3</c:v>
                </c:pt>
                <c:pt idx="360">
                  <c:v>1.5512186818818358E-3</c:v>
                </c:pt>
                <c:pt idx="361">
                  <c:v>1.5562615811422103E-3</c:v>
                </c:pt>
                <c:pt idx="362">
                  <c:v>1.561325970953023E-3</c:v>
                </c:pt>
                <c:pt idx="363">
                  <c:v>1.5766346963159998E-3</c:v>
                </c:pt>
                <c:pt idx="364">
                  <c:v>1.581771674373435E-3</c:v>
                </c:pt>
                <c:pt idx="365">
                  <c:v>1.5869234694207027E-3</c:v>
                </c:pt>
                <c:pt idx="366">
                  <c:v>1.5920887547968246E-3</c:v>
                </c:pt>
                <c:pt idx="367">
                  <c:v>1.6099999994596331E-3</c:v>
                </c:pt>
                <c:pt idx="368">
                  <c:v>1.6158619508531175E-3</c:v>
                </c:pt>
                <c:pt idx="369">
                  <c:v>1.6179770826391532E-3</c:v>
                </c:pt>
                <c:pt idx="370">
                  <c:v>1.6231073867824196E-3</c:v>
                </c:pt>
                <c:pt idx="371">
                  <c:v>1.6282089064783331E-3</c:v>
                </c:pt>
                <c:pt idx="372">
                  <c:v>1.633282870354203E-3</c:v>
                </c:pt>
                <c:pt idx="373">
                  <c:v>1.648351725578922E-3</c:v>
                </c:pt>
                <c:pt idx="374">
                  <c:v>1.6533277687687269E-3</c:v>
                </c:pt>
                <c:pt idx="375">
                  <c:v>1.6582824115144775E-3</c:v>
                </c:pt>
                <c:pt idx="376">
                  <c:v>1.6632168873362732E-3</c:v>
                </c:pt>
                <c:pt idx="377">
                  <c:v>1.6681324305720204E-3</c:v>
                </c:pt>
                <c:pt idx="378">
                  <c:v>1.6768293727777077E-3</c:v>
                </c:pt>
                <c:pt idx="379">
                  <c:v>1.6876299929063493E-3</c:v>
                </c:pt>
                <c:pt idx="380">
                  <c:v>1.690647376601042E-3</c:v>
                </c:pt>
                <c:pt idx="381">
                  <c:v>1.6955208058695769E-3</c:v>
                </c:pt>
                <c:pt idx="382">
                  <c:v>1.7003793092062399E-3</c:v>
                </c:pt>
                <c:pt idx="383">
                  <c:v>1.7165187074099984E-3</c:v>
                </c:pt>
                <c:pt idx="384">
                  <c:v>1.7196885029427753E-3</c:v>
                </c:pt>
                <c:pt idx="385">
                  <c:v>1.7244907135644187E-3</c:v>
                </c:pt>
                <c:pt idx="386">
                  <c:v>1.7292853387625021E-3</c:v>
                </c:pt>
                <c:pt idx="387">
                  <c:v>1.7340736048206305E-3</c:v>
                </c:pt>
                <c:pt idx="388">
                  <c:v>1.7499999999378972E-3</c:v>
                </c:pt>
                <c:pt idx="389">
                  <c:v>1.753187631973719E-3</c:v>
                </c:pt>
                <c:pt idx="390">
                  <c:v>1.7579617135263436E-3</c:v>
                </c:pt>
                <c:pt idx="391">
                  <c:v>1.7627327595813691E-3</c:v>
                </c:pt>
                <c:pt idx="392">
                  <c:v>1.7675012499962751E-3</c:v>
                </c:pt>
                <c:pt idx="393">
                  <c:v>1.783473770897812E-3</c:v>
                </c:pt>
                <c:pt idx="394">
                  <c:v>1.7865761059579902E-3</c:v>
                </c:pt>
                <c:pt idx="395">
                  <c:v>1.7913517452060239E-3</c:v>
                </c:pt>
                <c:pt idx="396">
                  <c:v>1.7961328708327019E-3</c:v>
                </c:pt>
                <c:pt idx="397">
                  <c:v>1.8009208587769449E-3</c:v>
                </c:pt>
                <c:pt idx="398">
                  <c:v>1.8170926346552838E-3</c:v>
                </c:pt>
                <c:pt idx="399">
                  <c:v>1.8201693085630579E-3</c:v>
                </c:pt>
                <c:pt idx="400">
                  <c:v>1.8267890187680606E-3</c:v>
                </c:pt>
                <c:pt idx="401">
                  <c:v>1.8316594194723369E-3</c:v>
                </c:pt>
                <c:pt idx="402">
                  <c:v>1.8365465411493513E-3</c:v>
                </c:pt>
                <c:pt idx="403">
                  <c:v>1.8513227731293141E-3</c:v>
                </c:pt>
                <c:pt idx="404">
                  <c:v>1.856291370406661E-3</c:v>
                </c:pt>
                <c:pt idx="405">
                  <c:v>1.8612840351076663E-3</c:v>
                </c:pt>
                <c:pt idx="406">
                  <c:v>1.8663022668802083E-3</c:v>
                </c:pt>
                <c:pt idx="407">
                  <c:v>1.8713475754933001E-3</c:v>
                </c:pt>
                <c:pt idx="408">
                  <c:v>1.8866612118672156E-3</c:v>
                </c:pt>
                <c:pt idx="409">
                  <c:v>1.8918301279395209E-3</c:v>
                </c:pt>
                <c:pt idx="410">
                  <c:v>1.8970338215074346E-3</c:v>
                </c:pt>
                <c:pt idx="411">
                  <c:v>1.9022733613665583E-3</c:v>
                </c:pt>
                <c:pt idx="412">
                  <c:v>1.9075478127130096E-3</c:v>
                </c:pt>
                <c:pt idx="413">
                  <c:v>1.923566128418515E-3</c:v>
                </c:pt>
                <c:pt idx="414">
                  <c:v>1.9289656652849302E-3</c:v>
                </c:pt>
                <c:pt idx="415">
                  <c:v>1.9343927802511491E-3</c:v>
                </c:pt>
                <c:pt idx="416">
                  <c:v>1.9398459747334972E-3</c:v>
                </c:pt>
                <c:pt idx="417">
                  <c:v>1.9453237395137294E-3</c:v>
                </c:pt>
                <c:pt idx="418">
                  <c:v>1.9674499449674953E-3</c:v>
                </c:pt>
                <c:pt idx="419">
                  <c:v>1.9730275506779759E-3</c:v>
                </c:pt>
                <c:pt idx="420">
                  <c:v>1.9786204480021462E-3</c:v>
                </c:pt>
                <c:pt idx="421">
                  <c:v>1.9842270532613236E-3</c:v>
                </c:pt>
                <c:pt idx="422">
                  <c:v>1.9339903374893963E-3</c:v>
                </c:pt>
                <c:pt idx="423">
                  <c:v>1.937150014970889E-3</c:v>
                </c:pt>
                <c:pt idx="424">
                  <c:v>1.9427923560315617E-3</c:v>
                </c:pt>
                <c:pt idx="425">
                  <c:v>1.9484386762659098E-3</c:v>
                </c:pt>
                <c:pt idx="426">
                  <c:v>1.9540873087041674E-3</c:v>
                </c:pt>
                <c:pt idx="427">
                  <c:v>1.9735669016849094E-3</c:v>
                </c:pt>
                <c:pt idx="428">
                  <c:v>1.9766712466976828E-3</c:v>
                </c:pt>
                <c:pt idx="429">
                  <c:v>1.9823060611937906E-3</c:v>
                </c:pt>
                <c:pt idx="430">
                  <c:v>1.9879329614191123E-3</c:v>
                </c:pt>
                <c:pt idx="431">
                  <c:v>1.9935502055148367E-3</c:v>
                </c:pt>
                <c:pt idx="432">
                  <c:v>2.0129250667842514E-3</c:v>
                </c:pt>
                <c:pt idx="433">
                  <c:v>2.0158880601420714E-3</c:v>
                </c:pt>
                <c:pt idx="434">
                  <c:v>2.0214350878084396E-3</c:v>
                </c:pt>
                <c:pt idx="435">
                  <c:v>2.0269696376840739E-3</c:v>
                </c:pt>
                <c:pt idx="436">
                  <c:v>2.0324938572798719E-3</c:v>
                </c:pt>
                <c:pt idx="437">
                  <c:v>2.0516912026263276E-3</c:v>
                </c:pt>
                <c:pt idx="438">
                  <c:v>2.0545309010003149E-3</c:v>
                </c:pt>
                <c:pt idx="439">
                  <c:v>2.0600361997714272E-3</c:v>
                </c:pt>
                <c:pt idx="440">
                  <c:v>2.0655443640735559E-3</c:v>
                </c:pt>
                <c:pt idx="441">
                  <c:v>2.0710576449983905E-3</c:v>
                </c:pt>
                <c:pt idx="442">
                  <c:v>2.0903835969047786E-3</c:v>
                </c:pt>
                <c:pt idx="443">
                  <c:v>2.0932074747190416E-3</c:v>
                </c:pt>
                <c:pt idx="444">
                  <c:v>2.0987806230914501E-3</c:v>
                </c:pt>
                <c:pt idx="445">
                  <c:v>2.1043727054135155E-3</c:v>
                </c:pt>
                <c:pt idx="446">
                  <c:v>2.1099860763700825E-3</c:v>
                </c:pt>
                <c:pt idx="447">
                  <c:v>2.1297750913710795E-3</c:v>
                </c:pt>
                <c:pt idx="448">
                  <c:v>2.1327000582932556E-3</c:v>
                </c:pt>
                <c:pt idx="449">
                  <c:v>2.1384557107495539E-3</c:v>
                </c:pt>
                <c:pt idx="450">
                  <c:v>2.144247090785421E-3</c:v>
                </c:pt>
                <c:pt idx="451">
                  <c:v>2.1500766567022645E-3</c:v>
                </c:pt>
                <c:pt idx="452">
                  <c:v>2.1706738669443407E-3</c:v>
                </c:pt>
                <c:pt idx="453">
                  <c:v>2.1738264633685439E-3</c:v>
                </c:pt>
                <c:pt idx="454">
                  <c:v>2.1798843513873858E-3</c:v>
                </c:pt>
                <c:pt idx="455">
                  <c:v>2.1859941265611319E-3</c:v>
                </c:pt>
                <c:pt idx="456">
                  <c:v>2.1921515366545336E-3</c:v>
                </c:pt>
                <c:pt idx="457">
                  <c:v>2.2137534007917836E-3</c:v>
                </c:pt>
                <c:pt idx="458">
                  <c:v>2.2171441185891432E-3</c:v>
                </c:pt>
                <c:pt idx="459">
                  <c:v>2.2234543329176658E-3</c:v>
                </c:pt>
                <c:pt idx="460">
                  <c:v>2.2297777823043212E-3</c:v>
                </c:pt>
                <c:pt idx="461">
                  <c:v>2.2361086075725393E-3</c:v>
                </c:pt>
                <c:pt idx="462">
                  <c:v>2.2580264994752032E-3</c:v>
                </c:pt>
                <c:pt idx="463">
                  <c:v>2.2702498344292451E-3</c:v>
                </c:pt>
                <c:pt idx="464">
                  <c:v>2.2765461314347545E-3</c:v>
                </c:pt>
                <c:pt idx="465">
                  <c:v>2.2887857978288522E-3</c:v>
                </c:pt>
                <c:pt idx="466">
                  <c:v>2.2920366239218199E-3</c:v>
                </c:pt>
                <c:pt idx="467">
                  <c:v>2.3074862053294189E-3</c:v>
                </c:pt>
                <c:pt idx="468">
                  <c:v>2.3135233566951986E-3</c:v>
                </c:pt>
                <c:pt idx="469">
                  <c:v>2.3194958614238042E-3</c:v>
                </c:pt>
                <c:pt idx="470">
                  <c:v>2.3314663419802331E-3</c:v>
                </c:pt>
                <c:pt idx="471">
                  <c:v>2.33426125098497E-3</c:v>
                </c:pt>
                <c:pt idx="472">
                  <c:v>2.3481695885173718E-3</c:v>
                </c:pt>
                <c:pt idx="473">
                  <c:v>2.3536222600251608E-3</c:v>
                </c:pt>
                <c:pt idx="474">
                  <c:v>2.3589680426260935E-3</c:v>
                </c:pt>
                <c:pt idx="475">
                  <c:v>2.3704182178976583E-3</c:v>
                </c:pt>
                <c:pt idx="476">
                  <c:v>2.3724692705872166E-3</c:v>
                </c:pt>
                <c:pt idx="477">
                  <c:v>2.3842733025084117E-3</c:v>
                </c:pt>
                <c:pt idx="478">
                  <c:v>2.3890923028041765E-3</c:v>
                </c:pt>
                <c:pt idx="479">
                  <c:v>2.3938450269940337E-3</c:v>
                </c:pt>
                <c:pt idx="480">
                  <c:v>2.4049322068930485E-3</c:v>
                </c:pt>
                <c:pt idx="481">
                  <c:v>2.4063860710083862E-3</c:v>
                </c:pt>
                <c:pt idx="482">
                  <c:v>2.416834705812501E-3</c:v>
                </c:pt>
                <c:pt idx="483">
                  <c:v>2.4213224373432376E-3</c:v>
                </c:pt>
                <c:pt idx="484">
                  <c:v>2.4257884769526721E-3</c:v>
                </c:pt>
                <c:pt idx="485">
                  <c:v>2.4269409130008093E-3</c:v>
                </c:pt>
                <c:pt idx="486">
                  <c:v>2.4280567989526077E-3</c:v>
                </c:pt>
                <c:pt idx="487">
                  <c:v>2.4446601723288144E-3</c:v>
                </c:pt>
                <c:pt idx="488">
                  <c:v>2.449118490731358E-3</c:v>
                </c:pt>
                <c:pt idx="489">
                  <c:v>2.4536017420796639E-3</c:v>
                </c:pt>
                <c:pt idx="490">
                  <c:v>2.4581167605406263E-3</c:v>
                </c:pt>
                <c:pt idx="491">
                  <c:v>2.469524804762333E-3</c:v>
                </c:pt>
                <c:pt idx="492">
                  <c:v>2.4766325570799029E-3</c:v>
                </c:pt>
                <c:pt idx="493">
                  <c:v>2.4814102918704305E-3</c:v>
                </c:pt>
                <c:pt idx="494">
                  <c:v>2.4862616197654647E-3</c:v>
                </c:pt>
                <c:pt idx="495">
                  <c:v>2.4911936486167988E-3</c:v>
                </c:pt>
                <c:pt idx="496">
                  <c:v>2.5173158199079896E-3</c:v>
                </c:pt>
                <c:pt idx="497">
                  <c:v>2.522881588100984E-3</c:v>
                </c:pt>
                <c:pt idx="498">
                  <c:v>2.5285673556211747E-3</c:v>
                </c:pt>
                <c:pt idx="499">
                  <c:v>2.5415666648851785E-3</c:v>
                </c:pt>
                <c:pt idx="500">
                  <c:v>2.5524262033186857E-3</c:v>
                </c:pt>
                <c:pt idx="501">
                  <c:v>2.5586485753531416E-3</c:v>
                </c:pt>
                <c:pt idx="502">
                  <c:v>2.5649654055460514E-3</c:v>
                </c:pt>
                <c:pt idx="503">
                  <c:v>2.5713723448656787E-3</c:v>
                </c:pt>
                <c:pt idx="504">
                  <c:v>2.5887952212391078E-3</c:v>
                </c:pt>
                <c:pt idx="505">
                  <c:v>2.6082624726300862E-3</c:v>
                </c:pt>
                <c:pt idx="506">
                  <c:v>2.615120084086168E-3</c:v>
                </c:pt>
                <c:pt idx="507">
                  <c:v>2.6293636515518242E-3</c:v>
                </c:pt>
                <c:pt idx="508">
                  <c:v>2.6326722446569596E-3</c:v>
                </c:pt>
                <c:pt idx="509">
                  <c:v>2.6501960438150784E-3</c:v>
                </c:pt>
                <c:pt idx="510">
                  <c:v>2.6573367017057111E-3</c:v>
                </c:pt>
                <c:pt idx="511">
                  <c:v>2.6645083543713516E-3</c:v>
                </c:pt>
                <c:pt idx="512">
                  <c:v>2.6790538408393684E-3</c:v>
                </c:pt>
                <c:pt idx="513">
                  <c:v>2.6826002803865285E-3</c:v>
                </c:pt>
                <c:pt idx="514">
                  <c:v>2.7006663778406104E-3</c:v>
                </c:pt>
                <c:pt idx="515">
                  <c:v>2.7079253339754874E-3</c:v>
                </c:pt>
                <c:pt idx="516">
                  <c:v>2.7151866873992535E-3</c:v>
                </c:pt>
                <c:pt idx="517">
                  <c:v>2.7298055129373797E-3</c:v>
                </c:pt>
                <c:pt idx="518">
                  <c:v>2.7807175152614752E-3</c:v>
                </c:pt>
                <c:pt idx="519">
                  <c:v>2.820679274966939E-3</c:v>
                </c:pt>
                <c:pt idx="520">
                  <c:v>2.8717600316270609E-3</c:v>
                </c:pt>
                <c:pt idx="521">
                  <c:v>2.9229028496661697E-3</c:v>
                </c:pt>
                <c:pt idx="522">
                  <c:v>2.9740904904400917E-3</c:v>
                </c:pt>
                <c:pt idx="523">
                  <c:v>3.0253057135198515E-3</c:v>
                </c:pt>
                <c:pt idx="524">
                  <c:v>3.0875363405493609E-3</c:v>
                </c:pt>
                <c:pt idx="525">
                  <c:v>3.138736370578799E-3</c:v>
                </c:pt>
                <c:pt idx="526">
                  <c:v>3.1899085753345391E-3</c:v>
                </c:pt>
                <c:pt idx="527">
                  <c:v>3.241035706333079E-3</c:v>
                </c:pt>
                <c:pt idx="528">
                  <c:v>3.2921005132751659E-3</c:v>
                </c:pt>
                <c:pt idx="529">
                  <c:v>3.3430857440492324E-3</c:v>
                </c:pt>
                <c:pt idx="530">
                  <c:v>3.3939741447374136E-3</c:v>
                </c:pt>
                <c:pt idx="531">
                  <c:v>3.4447484596250035E-3</c:v>
                </c:pt>
                <c:pt idx="532">
                  <c:v>3.4774612077536999E-3</c:v>
                </c:pt>
                <c:pt idx="533">
                  <c:v>3.5280350926011851E-3</c:v>
                </c:pt>
                <c:pt idx="534">
                  <c:v>3.5784492525276455E-3</c:v>
                </c:pt>
                <c:pt idx="535">
                  <c:v>3.6286864265563461E-3</c:v>
                </c:pt>
                <c:pt idx="536">
                  <c:v>3.6787293520133433E-3</c:v>
                </c:pt>
                <c:pt idx="537">
                  <c:v>3.7320595526373298E-3</c:v>
                </c:pt>
                <c:pt idx="538">
                  <c:v>3.7816403746352388E-3</c:v>
                </c:pt>
                <c:pt idx="539">
                  <c:v>3.8309739205043439E-3</c:v>
                </c:pt>
                <c:pt idx="540">
                  <c:v>3.8800429205653321E-3</c:v>
                </c:pt>
                <c:pt idx="541">
                  <c:v>3.9254259406454502E-3</c:v>
                </c:pt>
                <c:pt idx="542">
                  <c:v>3.9739407658156978E-3</c:v>
                </c:pt>
                <c:pt idx="543">
                  <c:v>4.0221405712041938E-3</c:v>
                </c:pt>
                <c:pt idx="544">
                  <c:v>4.0700181435206415E-3</c:v>
                </c:pt>
                <c:pt idx="545">
                  <c:v>4.1208854125761602E-3</c:v>
                </c:pt>
                <c:pt idx="546">
                  <c:v>4.1681330117657031E-3</c:v>
                </c:pt>
                <c:pt idx="547">
                  <c:v>4.2150988774681568E-3</c:v>
                </c:pt>
                <c:pt idx="548">
                  <c:v>4.2617976134996993E-3</c:v>
                </c:pt>
                <c:pt idx="549">
                  <c:v>4.3148602190882807E-3</c:v>
                </c:pt>
                <c:pt idx="550">
                  <c:v>4.3578128549388176E-3</c:v>
                </c:pt>
                <c:pt idx="551">
                  <c:v>4.4037822593451757E-3</c:v>
                </c:pt>
                <c:pt idx="552">
                  <c:v>4.4495506238357695E-3</c:v>
                </c:pt>
                <c:pt idx="553">
                  <c:v>4.4951364575685614E-3</c:v>
                </c:pt>
                <c:pt idx="554">
                  <c:v>4.5405590157624083E-3</c:v>
                </c:pt>
                <c:pt idx="555">
                  <c:v>4.5858382997646281E-3</c:v>
                </c:pt>
                <c:pt idx="556">
                  <c:v>4.6309950571207809E-3</c:v>
                </c:pt>
                <c:pt idx="557">
                  <c:v>4.6760507816453302E-3</c:v>
                </c:pt>
                <c:pt idx="558">
                  <c:v>4.733958504024232E-3</c:v>
                </c:pt>
                <c:pt idx="559">
                  <c:v>4.7789156886064504E-3</c:v>
                </c:pt>
                <c:pt idx="560">
                  <c:v>4.8238466143025772E-3</c:v>
                </c:pt>
                <c:pt idx="561">
                  <c:v>4.8687752762251024E-3</c:v>
                </c:pt>
                <c:pt idx="562">
                  <c:v>4.9328595857754242E-3</c:v>
                </c:pt>
                <c:pt idx="563">
                  <c:v>4.9587254423169086E-3</c:v>
                </c:pt>
                <c:pt idx="564">
                  <c:v>5.0037985900862891E-3</c:v>
                </c:pt>
                <c:pt idx="565">
                  <c:v>5.0489727614633105E-3</c:v>
                </c:pt>
                <c:pt idx="566">
                  <c:v>5.0942756054795776E-3</c:v>
                </c:pt>
                <c:pt idx="567">
                  <c:v>5.1397355022337948E-3</c:v>
                </c:pt>
                <c:pt idx="568">
                  <c:v>5.1853815630006506E-3</c:v>
                </c:pt>
                <c:pt idx="569">
                  <c:v>5.2312427403044138E-3</c:v>
                </c:pt>
                <c:pt idx="570">
                  <c:v>5.2773336500371486E-3</c:v>
                </c:pt>
                <c:pt idx="571">
                  <c:v>5.3236566715487623E-3</c:v>
                </c:pt>
                <c:pt idx="572">
                  <c:v>5.370213811372572E-3</c:v>
                </c:pt>
                <c:pt idx="573">
                  <c:v>5.4170070763179994E-3</c:v>
                </c:pt>
                <c:pt idx="574">
                  <c:v>5.4640384734688414E-3</c:v>
                </c:pt>
                <c:pt idx="575">
                  <c:v>5.5113100101893174E-3</c:v>
                </c:pt>
                <c:pt idx="576">
                  <c:v>5.5588236941227775E-3</c:v>
                </c:pt>
                <c:pt idx="577">
                  <c:v>5.6065815331973147E-3</c:v>
                </c:pt>
                <c:pt idx="578">
                  <c:v>5.6545855356262015E-3</c:v>
                </c:pt>
                <c:pt idx="579">
                  <c:v>5.7028377099117749E-3</c:v>
                </c:pt>
                <c:pt idx="580">
                  <c:v>5.7513400648471673E-3</c:v>
                </c:pt>
                <c:pt idx="581">
                  <c:v>5.8000946095184639E-3</c:v>
                </c:pt>
                <c:pt idx="582">
                  <c:v>5.8491033533094603E-3</c:v>
                </c:pt>
                <c:pt idx="583">
                  <c:v>5.8983683059012264E-3</c:v>
                </c:pt>
                <c:pt idx="584">
                  <c:v>5.9331984764222877E-3</c:v>
                </c:pt>
                <c:pt idx="585">
                  <c:v>5.9829015486084552E-3</c:v>
                </c:pt>
                <c:pt idx="586">
                  <c:v>6.0328662409234995E-3</c:v>
                </c:pt>
                <c:pt idx="587">
                  <c:v>6.0830945636095573E-3</c:v>
                </c:pt>
                <c:pt idx="588">
                  <c:v>6.137339982212154E-3</c:v>
                </c:pt>
                <c:pt idx="589">
                  <c:v>6.1881222770850987E-3</c:v>
                </c:pt>
                <c:pt idx="590">
                  <c:v>6.2391743904166089E-3</c:v>
                </c:pt>
                <c:pt idx="591">
                  <c:v>6.3057749993711987E-3</c:v>
                </c:pt>
                <c:pt idx="592">
                  <c:v>6.3420961193679098E-3</c:v>
                </c:pt>
                <c:pt idx="593">
                  <c:v>6.3901133498631708E-3</c:v>
                </c:pt>
                <c:pt idx="594">
                  <c:v>6.4422433978789263E-3</c:v>
                </c:pt>
                <c:pt idx="595">
                  <c:v>6.4946531140652923E-3</c:v>
                </c:pt>
                <c:pt idx="596">
                  <c:v>6.5473396109803818E-3</c:v>
                </c:pt>
                <c:pt idx="597">
                  <c:v>6.6042289754465093E-3</c:v>
                </c:pt>
                <c:pt idx="598">
                  <c:v>6.6574496962562265E-3</c:v>
                </c:pt>
                <c:pt idx="599">
                  <c:v>6.7109082576364788E-3</c:v>
                </c:pt>
                <c:pt idx="600">
                  <c:v>6.7645914663877664E-3</c:v>
                </c:pt>
                <c:pt idx="601">
                  <c:v>6.8296535280963841E-3</c:v>
                </c:pt>
                <c:pt idx="602">
                  <c:v>6.8958168859896193E-3</c:v>
                </c:pt>
                <c:pt idx="603">
                  <c:v>6.9501664120459744E-3</c:v>
                </c:pt>
                <c:pt idx="604">
                  <c:v>7.0046788841862089E-3</c:v>
                </c:pt>
                <c:pt idx="605">
                  <c:v>7.0593396302167507E-3</c:v>
                </c:pt>
                <c:pt idx="606">
                  <c:v>7.1141337053387977E-3</c:v>
                </c:pt>
                <c:pt idx="607">
                  <c:v>7.1690458920995546E-3</c:v>
                </c:pt>
                <c:pt idx="608">
                  <c:v>7.2240607003461266E-3</c:v>
                </c:pt>
                <c:pt idx="609">
                  <c:v>7.2791623671771997E-3</c:v>
                </c:pt>
                <c:pt idx="610">
                  <c:v>7.3423934099351492E-3</c:v>
                </c:pt>
                <c:pt idx="611">
                  <c:v>7.3976151136049325E-3</c:v>
                </c:pt>
                <c:pt idx="612">
                  <c:v>7.4528727638304478E-3</c:v>
                </c:pt>
                <c:pt idx="613">
                  <c:v>7.508149633662739E-3</c:v>
                </c:pt>
                <c:pt idx="614">
                  <c:v>7.5594160934284622E-3</c:v>
                </c:pt>
                <c:pt idx="615">
                  <c:v>7.6146863997020448E-3</c:v>
                </c:pt>
                <c:pt idx="616">
                  <c:v>7.6699248520113528E-3</c:v>
                </c:pt>
                <c:pt idx="617">
                  <c:v>7.7408701130879344E-3</c:v>
                </c:pt>
                <c:pt idx="618">
                  <c:v>7.7802344172251212E-3</c:v>
                </c:pt>
                <c:pt idx="619">
                  <c:v>7.8392437264292007E-3</c:v>
                </c:pt>
                <c:pt idx="620">
                  <c:v>7.8941640915396617E-3</c:v>
                </c:pt>
                <c:pt idx="621">
                  <c:v>7.9489616112845031E-3</c:v>
                </c:pt>
                <c:pt idx="622">
                  <c:v>8.0036277756488586E-3</c:v>
                </c:pt>
                <c:pt idx="623">
                  <c:v>8.0542217018182861E-3</c:v>
                </c:pt>
                <c:pt idx="624">
                  <c:v>8.1086205717069582E-3</c:v>
                </c:pt>
                <c:pt idx="625">
                  <c:v>8.1628732293943778E-3</c:v>
                </c:pt>
                <c:pt idx="626">
                  <c:v>8.2169746049199164E-3</c:v>
                </c:pt>
                <c:pt idx="627">
                  <c:v>8.2787007095680171E-3</c:v>
                </c:pt>
                <c:pt idx="628">
                  <c:v>8.328582277964066E-3</c:v>
                </c:pt>
                <c:pt idx="629">
                  <c:v>8.3821869569575148E-3</c:v>
                </c:pt>
                <c:pt idx="630">
                  <c:v>8.4356197103241867E-3</c:v>
                </c:pt>
                <c:pt idx="631">
                  <c:v>8.4888754653114282E-3</c:v>
                </c:pt>
                <c:pt idx="632">
                  <c:v>8.5419491486665479E-3</c:v>
                </c:pt>
                <c:pt idx="633">
                  <c:v>8.5948356866381321E-3</c:v>
                </c:pt>
                <c:pt idx="634">
                  <c:v>8.6475300049851499E-3</c:v>
                </c:pt>
                <c:pt idx="635">
                  <c:v>8.7000270289769675E-3</c:v>
                </c:pt>
                <c:pt idx="636">
                  <c:v>8.744781026198311E-3</c:v>
                </c:pt>
                <c:pt idx="637">
                  <c:v>8.796898799873526E-3</c:v>
                </c:pt>
                <c:pt idx="638">
                  <c:v>8.8488047728451716E-3</c:v>
                </c:pt>
                <c:pt idx="639">
                  <c:v>8.9004938689838421E-3</c:v>
                </c:pt>
                <c:pt idx="640">
                  <c:v>8.9556688451781843E-3</c:v>
                </c:pt>
                <c:pt idx="641">
                  <c:v>9.0068922494579255E-3</c:v>
                </c:pt>
                <c:pt idx="642">
                  <c:v>9.0578831844549349E-3</c:v>
                </c:pt>
                <c:pt idx="643">
                  <c:v>9.1086365719922086E-3</c:v>
                </c:pt>
                <c:pt idx="644">
                  <c:v>9.1591473334563696E-3</c:v>
                </c:pt>
                <c:pt idx="645">
                  <c:v>9.2057897123259298E-3</c:v>
                </c:pt>
                <c:pt idx="646">
                  <c:v>9.2558185014083635E-3</c:v>
                </c:pt>
                <c:pt idx="647">
                  <c:v>9.3055902362504869E-3</c:v>
                </c:pt>
                <c:pt idx="648">
                  <c:v>9.3551078379987013E-3</c:v>
                </c:pt>
                <c:pt idx="649">
                  <c:v>9.4079320679091583E-3</c:v>
                </c:pt>
                <c:pt idx="650">
                  <c:v>9.4569560228720158E-3</c:v>
                </c:pt>
                <c:pt idx="651">
                  <c:v>9.5057563769947329E-3</c:v>
                </c:pt>
                <c:pt idx="652">
                  <c:v>9.5543432594194285E-3</c:v>
                </c:pt>
                <c:pt idx="653">
                  <c:v>9.6061191130475589E-3</c:v>
                </c:pt>
                <c:pt idx="654">
                  <c:v>9.6542915752342775E-3</c:v>
                </c:pt>
                <c:pt idx="655">
                  <c:v>9.7022825503160909E-3</c:v>
                </c:pt>
                <c:pt idx="656">
                  <c:v>9.750103135694679E-3</c:v>
                </c:pt>
                <c:pt idx="657">
                  <c:v>9.7977646500298967E-3</c:v>
                </c:pt>
                <c:pt idx="658">
                  <c:v>9.8452786332577837E-3</c:v>
                </c:pt>
                <c:pt idx="659">
                  <c:v>9.8926568466028621E-3</c:v>
                </c:pt>
                <c:pt idx="660">
                  <c:v>9.9399112726031701E-3</c:v>
                </c:pt>
                <c:pt idx="661">
                  <c:v>9.9870541151230001E-3</c:v>
                </c:pt>
                <c:pt idx="662">
                  <c:v>1.0041046508789193E-2</c:v>
                </c:pt>
                <c:pt idx="663">
                  <c:v>1.0088006740874313E-2</c:v>
                </c:pt>
                <c:pt idx="664">
                  <c:v>1.0134894778399539E-2</c:v>
                </c:pt>
                <c:pt idx="665">
                  <c:v>1.0181723576421896E-2</c:v>
                </c:pt>
                <c:pt idx="666">
                  <c:v>1.022502148727643E-2</c:v>
                </c:pt>
                <c:pt idx="667">
                  <c:v>1.0271767517576838E-2</c:v>
                </c:pt>
                <c:pt idx="668">
                  <c:v>1.0331842833865651E-2</c:v>
                </c:pt>
                <c:pt idx="669">
                  <c:v>1.0378564737259247E-2</c:v>
                </c:pt>
                <c:pt idx="670">
                  <c:v>1.0425299235900531E-2</c:v>
                </c:pt>
                <c:pt idx="671">
                  <c:v>1.0482593414946688E-2</c:v>
                </c:pt>
                <c:pt idx="672">
                  <c:v>1.052941326032329E-2</c:v>
                </c:pt>
                <c:pt idx="673">
                  <c:v>1.057628739472994E-2</c:v>
                </c:pt>
                <c:pt idx="674">
                  <c:v>1.0623218819183274E-2</c:v>
                </c:pt>
                <c:pt idx="675">
                  <c:v>1.0659607546579497E-2</c:v>
                </c:pt>
                <c:pt idx="676">
                  <c:v>1.0706638131698084E-2</c:v>
                </c:pt>
                <c:pt idx="677">
                  <c:v>1.0753727839847949E-2</c:v>
                </c:pt>
                <c:pt idx="678">
                  <c:v>1.0811530746951081E-2</c:v>
                </c:pt>
                <c:pt idx="679">
                  <c:v>1.0858758619360059E-2</c:v>
                </c:pt>
                <c:pt idx="680">
                  <c:v>1.0906047781390159E-2</c:v>
                </c:pt>
                <c:pt idx="681">
                  <c:v>1.0953398899881724E-2</c:v>
                </c:pt>
                <c:pt idx="682">
                  <c:v>1.1000812641745586E-2</c:v>
                </c:pt>
                <c:pt idx="683">
                  <c:v>1.1037545000463346E-2</c:v>
                </c:pt>
                <c:pt idx="684">
                  <c:v>1.1095830663584187E-2</c:v>
                </c:pt>
                <c:pt idx="685">
                  <c:v>1.1143436277732559E-2</c:v>
                </c:pt>
                <c:pt idx="686">
                  <c:v>1.1191107183602209E-2</c:v>
                </c:pt>
                <c:pt idx="687">
                  <c:v>1.1228023349210537E-2</c:v>
                </c:pt>
                <c:pt idx="688">
                  <c:v>1.1268584177138012E-2</c:v>
                </c:pt>
                <c:pt idx="689">
                  <c:v>1.1316422333278944E-2</c:v>
                </c:pt>
                <c:pt idx="690">
                  <c:v>1.1364328169921519E-2</c:v>
                </c:pt>
                <c:pt idx="691">
                  <c:v>1.1412302354353402E-2</c:v>
                </c:pt>
                <c:pt idx="692">
                  <c:v>1.1463983214974181E-2</c:v>
                </c:pt>
                <c:pt idx="693">
                  <c:v>1.1512102836099264E-2</c:v>
                </c:pt>
                <c:pt idx="694">
                  <c:v>1.1560292863642624E-2</c:v>
                </c:pt>
                <c:pt idx="695">
                  <c:v>1.1608553965229779E-2</c:v>
                </c:pt>
                <c:pt idx="696">
                  <c:v>1.1656886808560028E-2</c:v>
                </c:pt>
                <c:pt idx="697">
                  <c:v>1.1701620141568773E-2</c:v>
                </c:pt>
                <c:pt idx="698">
                  <c:v>1.1750091450545501E-2</c:v>
                </c:pt>
                <c:pt idx="699">
                  <c:v>1.1798635569310481E-2</c:v>
                </c:pt>
                <c:pt idx="700">
                  <c:v>1.1847243613977824E-2</c:v>
                </c:pt>
                <c:pt idx="701">
                  <c:v>1.1899594201044023E-2</c:v>
                </c:pt>
                <c:pt idx="702">
                  <c:v>1.1948288823276055E-2</c:v>
                </c:pt>
                <c:pt idx="703">
                  <c:v>1.1997003093732672E-2</c:v>
                </c:pt>
                <c:pt idx="704">
                  <c:v>1.204572251770163E-2</c:v>
                </c:pt>
                <c:pt idx="705">
                  <c:v>1.209074727181724E-2</c:v>
                </c:pt>
                <c:pt idx="706">
                  <c:v>1.213943882979974E-2</c:v>
                </c:pt>
                <c:pt idx="707">
                  <c:v>1.2188092509066386E-2</c:v>
                </c:pt>
                <c:pt idx="708">
                  <c:v>1.2236693014592704E-2</c:v>
                </c:pt>
                <c:pt idx="709">
                  <c:v>1.2285224865415442E-2</c:v>
                </c:pt>
                <c:pt idx="710">
                  <c:v>1.233367239461888E-2</c:v>
                </c:pt>
                <c:pt idx="711">
                  <c:v>1.238201974931363E-2</c:v>
                </c:pt>
                <c:pt idx="712">
                  <c:v>1.243025089062692E-2</c:v>
                </c:pt>
                <c:pt idx="713">
                  <c:v>1.2478349593685371E-2</c:v>
                </c:pt>
                <c:pt idx="714">
                  <c:v>1.254417941574104E-2</c:v>
                </c:pt>
                <c:pt idx="715">
                  <c:v>1.2591874020089138E-2</c:v>
                </c:pt>
                <c:pt idx="716">
                  <c:v>1.2639381578982842E-2</c:v>
                </c:pt>
                <c:pt idx="717">
                  <c:v>1.2686685465092962E-2</c:v>
                </c:pt>
                <c:pt idx="718">
                  <c:v>1.2723279207806006E-2</c:v>
                </c:pt>
                <c:pt idx="719">
                  <c:v>1.2770189467829568E-2</c:v>
                </c:pt>
                <c:pt idx="720">
                  <c:v>1.281684712608543E-2</c:v>
                </c:pt>
                <c:pt idx="721">
                  <c:v>1.2863234616317821E-2</c:v>
                </c:pt>
                <c:pt idx="722">
                  <c:v>1.29093341882254E-2</c:v>
                </c:pt>
                <c:pt idx="723">
                  <c:v>1.2965277701308307E-2</c:v>
                </c:pt>
                <c:pt idx="724">
                  <c:v>1.3010675098323659E-2</c:v>
                </c:pt>
                <c:pt idx="725">
                  <c:v>1.3055730763213405E-2</c:v>
                </c:pt>
                <c:pt idx="726">
                  <c:v>1.310043709836726E-2</c:v>
                </c:pt>
                <c:pt idx="727">
                  <c:v>1.3134935183445984E-2</c:v>
                </c:pt>
                <c:pt idx="728">
                  <c:v>1.3179006482219419E-2</c:v>
                </c:pt>
                <c:pt idx="729">
                  <c:v>1.3222716953423062E-2</c:v>
                </c:pt>
                <c:pt idx="730">
                  <c:v>1.3266062464101081E-2</c:v>
                </c:pt>
                <c:pt idx="731">
                  <c:v>1.3318584053631347E-2</c:v>
                </c:pt>
                <c:pt idx="732">
                  <c:v>1.3361107563780153E-2</c:v>
                </c:pt>
                <c:pt idx="733">
                  <c:v>1.3403252800626384E-2</c:v>
                </c:pt>
                <c:pt idx="734">
                  <c:v>1.3445015629740039E-2</c:v>
                </c:pt>
                <c:pt idx="735">
                  <c:v>1.3486391916562616E-2</c:v>
                </c:pt>
                <c:pt idx="736">
                  <c:v>1.3527377526414848E-2</c:v>
                </c:pt>
                <c:pt idx="737">
                  <c:v>1.3567968324504872E-2</c:v>
                </c:pt>
                <c:pt idx="738">
                  <c:v>1.360816017593768E-2</c:v>
                </c:pt>
                <c:pt idx="739">
                  <c:v>1.3647948945722001E-2</c:v>
                </c:pt>
                <c:pt idx="740">
                  <c:v>1.3672658138953691E-2</c:v>
                </c:pt>
                <c:pt idx="741">
                  <c:v>1.3711774738854097E-2</c:v>
                </c:pt>
                <c:pt idx="742">
                  <c:v>1.3750477386317976E-2</c:v>
                </c:pt>
                <c:pt idx="743">
                  <c:v>1.3788761947524528E-2</c:v>
                </c:pt>
                <c:pt idx="744">
                  <c:v>1.3829445572152363E-2</c:v>
                </c:pt>
                <c:pt idx="745">
                  <c:v>1.3866851109871041E-2</c:v>
                </c:pt>
                <c:pt idx="746">
                  <c:v>1.3903825851557463E-2</c:v>
                </c:pt>
                <c:pt idx="747">
                  <c:v>1.3940365662934539E-2</c:v>
                </c:pt>
                <c:pt idx="748">
                  <c:v>1.3976466409707598E-2</c:v>
                </c:pt>
                <c:pt idx="749">
                  <c:v>1.4009458003678662E-2</c:v>
                </c:pt>
                <c:pt idx="750">
                  <c:v>1.4044700210657663E-2</c:v>
                </c:pt>
                <c:pt idx="751">
                  <c:v>1.4079491315965288E-2</c:v>
                </c:pt>
                <c:pt idx="752">
                  <c:v>1.4113832166660975E-2</c:v>
                </c:pt>
                <c:pt idx="753">
                  <c:v>1.4150274101491202E-2</c:v>
                </c:pt>
                <c:pt idx="754">
                  <c:v>1.4183716712863679E-2</c:v>
                </c:pt>
                <c:pt idx="755">
                  <c:v>1.4216741666816737E-2</c:v>
                </c:pt>
                <c:pt idx="756">
                  <c:v>1.4249359861136788E-2</c:v>
                </c:pt>
                <c:pt idx="757">
                  <c:v>1.4281582352253007E-2</c:v>
                </c:pt>
                <c:pt idx="758">
                  <c:v>1.4311001481306779E-2</c:v>
                </c:pt>
                <c:pt idx="759">
                  <c:v>1.4342486752093358E-2</c:v>
                </c:pt>
                <c:pt idx="760">
                  <c:v>1.4373609189859292E-2</c:v>
                </c:pt>
                <c:pt idx="761">
                  <c:v>1.4404380549802944E-2</c:v>
                </c:pt>
                <c:pt idx="762">
                  <c:v>1.4434812746584509E-2</c:v>
                </c:pt>
                <c:pt idx="763">
                  <c:v>1.4464917854320282E-2</c:v>
                </c:pt>
                <c:pt idx="764">
                  <c:v>1.4494708106572933E-2</c:v>
                </c:pt>
                <c:pt idx="765">
                  <c:v>1.452419589634312E-2</c:v>
                </c:pt>
                <c:pt idx="766">
                  <c:v>1.4564820665617461E-2</c:v>
                </c:pt>
                <c:pt idx="767">
                  <c:v>1.459368063796658E-2</c:v>
                </c:pt>
                <c:pt idx="768">
                  <c:v>1.4622279767885894E-2</c:v>
                </c:pt>
                <c:pt idx="769">
                  <c:v>1.4650630737662452E-2</c:v>
                </c:pt>
                <c:pt idx="770">
                  <c:v>1.4672026586354194E-2</c:v>
                </c:pt>
                <c:pt idx="771">
                  <c:v>1.4699949186373894E-2</c:v>
                </c:pt>
                <c:pt idx="772">
                  <c:v>1.4727661378562544E-2</c:v>
                </c:pt>
                <c:pt idx="773">
                  <c:v>1.4755176682684688E-2</c:v>
                </c:pt>
                <c:pt idx="774">
                  <c:v>1.4782508776175467E-2</c:v>
                </c:pt>
                <c:pt idx="775">
                  <c:v>1.4816254953032883E-2</c:v>
                </c:pt>
                <c:pt idx="776">
                  <c:v>1.4843236940096012E-2</c:v>
                </c:pt>
                <c:pt idx="777">
                  <c:v>1.4870077626021898E-2</c:v>
                </c:pt>
                <c:pt idx="778">
                  <c:v>1.48967847639115E-2</c:v>
                </c:pt>
                <c:pt idx="779">
                  <c:v>1.4916876378219259E-2</c:v>
                </c:pt>
                <c:pt idx="780">
                  <c:v>1.4943342509404895E-2</c:v>
                </c:pt>
                <c:pt idx="781">
                  <c:v>1.4969675494227962E-2</c:v>
                </c:pt>
                <c:pt idx="782">
                  <c:v>1.4995875315928534E-2</c:v>
                </c:pt>
                <c:pt idx="783">
                  <c:v>1.502194195777333E-2</c:v>
                </c:pt>
                <c:pt idx="784">
                  <c:v>1.5054231334750503E-2</c:v>
                </c:pt>
                <c:pt idx="785">
                  <c:v>1.5080006230061917E-2</c:v>
                </c:pt>
                <c:pt idx="786">
                  <c:v>1.5105647880702551E-2</c:v>
                </c:pt>
                <c:pt idx="787">
                  <c:v>1.5131156269963189E-2</c:v>
                </c:pt>
                <c:pt idx="788">
                  <c:v>1.5156531381159544E-2</c:v>
                </c:pt>
                <c:pt idx="789">
                  <c:v>1.518177319763612E-2</c:v>
                </c:pt>
                <c:pt idx="790">
                  <c:v>1.5206881702763211E-2</c:v>
                </c:pt>
                <c:pt idx="791">
                  <c:v>1.5231856879937321E-2</c:v>
                </c:pt>
                <c:pt idx="792">
                  <c:v>1.5246440247031567E-2</c:v>
                </c:pt>
                <c:pt idx="793">
                  <c:v>1.5271191144020972E-2</c:v>
                </c:pt>
                <c:pt idx="794">
                  <c:v>1.5295808689072264E-2</c:v>
                </c:pt>
                <c:pt idx="795">
                  <c:v>1.5320292865819754E-2</c:v>
                </c:pt>
                <c:pt idx="796">
                  <c:v>1.5344643657922917E-2</c:v>
                </c:pt>
                <c:pt idx="797">
                  <c:v>1.5370871777873696E-2</c:v>
                </c:pt>
                <c:pt idx="798">
                  <c:v>1.5394947242069133E-2</c:v>
                </c:pt>
                <c:pt idx="799">
                  <c:v>1.5418889267503431E-2</c:v>
                </c:pt>
                <c:pt idx="800">
                  <c:v>1.5442697837916188E-2</c:v>
                </c:pt>
                <c:pt idx="801">
                  <c:v>1.5464396278703479E-2</c:v>
                </c:pt>
                <c:pt idx="802">
                  <c:v>1.5487946421262633E-2</c:v>
                </c:pt>
                <c:pt idx="803">
                  <c:v>1.5511363034384995E-2</c:v>
                </c:pt>
                <c:pt idx="804">
                  <c:v>1.5534643350654661E-2</c:v>
                </c:pt>
                <c:pt idx="805">
                  <c:v>1.5559719178037961E-2</c:v>
                </c:pt>
                <c:pt idx="806">
                  <c:v>1.5582691871755826E-2</c:v>
                </c:pt>
                <c:pt idx="807">
                  <c:v>1.5605503241069745E-2</c:v>
                </c:pt>
                <c:pt idx="808">
                  <c:v>1.5628145006496685E-2</c:v>
                </c:pt>
                <c:pt idx="809">
                  <c:v>1.5650608811942808E-2</c:v>
                </c:pt>
                <c:pt idx="810">
                  <c:v>1.5671015188195119E-2</c:v>
                </c:pt>
                <c:pt idx="811">
                  <c:v>1.5693114196694509E-2</c:v>
                </c:pt>
                <c:pt idx="812">
                  <c:v>1.571501057574123E-2</c:v>
                </c:pt>
                <c:pt idx="813">
                  <c:v>1.5736695626470894E-2</c:v>
                </c:pt>
                <c:pt idx="814">
                  <c:v>1.5758160573004918E-2</c:v>
                </c:pt>
                <c:pt idx="815">
                  <c:v>1.5779396562458466E-2</c:v>
                </c:pt>
                <c:pt idx="816">
                  <c:v>1.580039466494752E-2</c:v>
                </c:pt>
                <c:pt idx="817">
                  <c:v>1.5821145873591978E-2</c:v>
                </c:pt>
                <c:pt idx="818">
                  <c:v>1.5850204312019393E-2</c:v>
                </c:pt>
                <c:pt idx="819">
                  <c:v>1.5870322397638744E-2</c:v>
                </c:pt>
                <c:pt idx="820">
                  <c:v>1.5890163370184097E-2</c:v>
                </c:pt>
                <c:pt idx="821">
                  <c:v>1.5909718109131773E-2</c:v>
                </c:pt>
                <c:pt idx="822">
                  <c:v>1.5924124753246442E-2</c:v>
                </c:pt>
                <c:pt idx="823">
                  <c:v>1.5943152504310831E-2</c:v>
                </c:pt>
                <c:pt idx="824">
                  <c:v>1.5961867371710452E-2</c:v>
                </c:pt>
                <c:pt idx="825">
                  <c:v>1.5980259815223573E-2</c:v>
                </c:pt>
                <c:pt idx="826">
                  <c:v>1.5998320218552058E-2</c:v>
                </c:pt>
                <c:pt idx="827">
                  <c:v>1.6020515451384974E-2</c:v>
                </c:pt>
                <c:pt idx="828">
                  <c:v>1.6037804889917438E-2</c:v>
                </c:pt>
                <c:pt idx="829">
                  <c:v>1.6054732537416645E-2</c:v>
                </c:pt>
                <c:pt idx="830">
                  <c:v>1.6071292093007925E-2</c:v>
                </c:pt>
                <c:pt idx="831">
                  <c:v>1.6083318758826473E-2</c:v>
                </c:pt>
                <c:pt idx="832">
                  <c:v>1.6099215346861456E-2</c:v>
                </c:pt>
                <c:pt idx="833">
                  <c:v>1.6114738064210776E-2</c:v>
                </c:pt>
                <c:pt idx="834">
                  <c:v>1.6129884906839455E-2</c:v>
                </c:pt>
                <c:pt idx="835">
                  <c:v>1.6144653870867155E-2</c:v>
                </c:pt>
                <c:pt idx="836">
                  <c:v>1.6162802151524124E-2</c:v>
                </c:pt>
                <c:pt idx="837">
                  <c:v>1.6176727241687661E-2</c:v>
                </c:pt>
                <c:pt idx="838">
                  <c:v>1.6190267963281539E-2</c:v>
                </c:pt>
                <c:pt idx="839">
                  <c:v>1.6203422312709756E-2</c:v>
                </c:pt>
                <c:pt idx="840">
                  <c:v>1.6216188286549513E-2</c:v>
                </c:pt>
                <c:pt idx="841">
                  <c:v>1.6228563881558931E-2</c:v>
                </c:pt>
                <c:pt idx="842">
                  <c:v>1.624054709467793E-2</c:v>
                </c:pt>
                <c:pt idx="843">
                  <c:v>1.625213592303423E-2</c:v>
                </c:pt>
                <c:pt idx="844">
                  <c:v>1.625920435970294E-2</c:v>
                </c:pt>
                <c:pt idx="845">
                  <c:v>1.627011297795428E-2</c:v>
                </c:pt>
                <c:pt idx="846">
                  <c:v>1.6280621846685103E-2</c:v>
                </c:pt>
                <c:pt idx="847">
                  <c:v>1.6290728964249088E-2</c:v>
                </c:pt>
                <c:pt idx="848">
                  <c:v>1.6300432329202384E-2</c:v>
                </c:pt>
                <c:pt idx="849">
                  <c:v>1.6310620334883862E-2</c:v>
                </c:pt>
                <c:pt idx="850">
                  <c:v>1.6319480769213707E-2</c:v>
                </c:pt>
                <c:pt idx="851">
                  <c:v>1.632793128666497E-2</c:v>
                </c:pt>
                <c:pt idx="852">
                  <c:v>1.6335969886537276E-2</c:v>
                </c:pt>
                <c:pt idx="853">
                  <c:v>1.634282282887857E-2</c:v>
                </c:pt>
                <c:pt idx="854">
                  <c:v>1.6350061659636685E-2</c:v>
                </c:pt>
                <c:pt idx="855">
                  <c:v>1.6356882836775416E-2</c:v>
                </c:pt>
                <c:pt idx="856">
                  <c:v>1.6363293467748292E-2</c:v>
                </c:pt>
                <c:pt idx="857">
                  <c:v>1.6369977384181871E-2</c:v>
                </c:pt>
                <c:pt idx="858">
                  <c:v>1.6375617611893635E-2</c:v>
                </c:pt>
                <c:pt idx="859">
                  <c:v>1.6380923664325163E-2</c:v>
                </c:pt>
                <c:pt idx="860">
                  <c:v>1.638592079262146E-2</c:v>
                </c:pt>
                <c:pt idx="861">
                  <c:v>1.6390689415897896E-2</c:v>
                </c:pt>
                <c:pt idx="862">
                  <c:v>1.6395118392876468E-2</c:v>
                </c:pt>
                <c:pt idx="863">
                  <c:v>1.6399316526777639E-2</c:v>
                </c:pt>
                <c:pt idx="864">
                  <c:v>1.6403310121822629E-2</c:v>
                </c:pt>
                <c:pt idx="865">
                  <c:v>1.6407125708277771E-2</c:v>
                </c:pt>
                <c:pt idx="866">
                  <c:v>1.641079004242817E-2</c:v>
                </c:pt>
                <c:pt idx="867">
                  <c:v>1.6414330106561431E-2</c:v>
                </c:pt>
                <c:pt idx="868">
                  <c:v>1.6417773108947483E-2</c:v>
                </c:pt>
                <c:pt idx="869">
                  <c:v>1.6421146483829332E-2</c:v>
                </c:pt>
                <c:pt idx="870">
                  <c:v>1.64263291307397E-2</c:v>
                </c:pt>
                <c:pt idx="871">
                  <c:v>1.642968418090085E-2</c:v>
                </c:pt>
                <c:pt idx="872">
                  <c:v>1.6433058041974615E-2</c:v>
                </c:pt>
                <c:pt idx="873">
                  <c:v>1.6436478659173834E-2</c:v>
                </c:pt>
                <c:pt idx="874">
                  <c:v>1.6440640901772646E-2</c:v>
                </c:pt>
                <c:pt idx="875">
                  <c:v>1.6443573054482023E-2</c:v>
                </c:pt>
                <c:pt idx="876">
                  <c:v>1.6447303834734538E-2</c:v>
                </c:pt>
                <c:pt idx="877">
                  <c:v>1.6451195375434602E-2</c:v>
                </c:pt>
                <c:pt idx="878">
                  <c:v>1.6455276733616613E-2</c:v>
                </c:pt>
                <c:pt idx="879">
                  <c:v>1.6460706542174165E-2</c:v>
                </c:pt>
                <c:pt idx="880">
                  <c:v>1.6465348921108482E-2</c:v>
                </c:pt>
                <c:pt idx="881">
                  <c:v>1.6470279362468882E-2</c:v>
                </c:pt>
                <c:pt idx="882">
                  <c:v>1.6475508213952418E-2</c:v>
                </c:pt>
                <c:pt idx="883">
                  <c:v>1.6480162543514632E-2</c:v>
                </c:pt>
                <c:pt idx="884">
                  <c:v>1.6485976399730321E-2</c:v>
                </c:pt>
                <c:pt idx="885">
                  <c:v>1.6492100020023132E-2</c:v>
                </c:pt>
                <c:pt idx="886">
                  <c:v>1.6498537282047105E-2</c:v>
                </c:pt>
                <c:pt idx="887">
                  <c:v>1.6507239416338474E-2</c:v>
                </c:pt>
                <c:pt idx="888">
                  <c:v>1.651336534469916E-2</c:v>
                </c:pt>
                <c:pt idx="889">
                  <c:v>1.6520791731148867E-2</c:v>
                </c:pt>
                <c:pt idx="890">
                  <c:v>1.6528547564264175E-2</c:v>
                </c:pt>
                <c:pt idx="891">
                  <c:v>1.6536636722964876E-2</c:v>
                </c:pt>
                <c:pt idx="892">
                  <c:v>1.6545063086402318E-2</c:v>
                </c:pt>
                <c:pt idx="893">
                  <c:v>1.6553830533965055E-2</c:v>
                </c:pt>
                <c:pt idx="894">
                  <c:v>1.6562942945287085E-2</c:v>
                </c:pt>
                <c:pt idx="895">
                  <c:v>1.6572404200252654E-2</c:v>
                </c:pt>
                <c:pt idx="896">
                  <c:v>1.6579811365508637E-2</c:v>
                </c:pt>
                <c:pt idx="897">
                  <c:v>1.6589927425966079E-2</c:v>
                </c:pt>
                <c:pt idx="898">
                  <c:v>1.6600403383212375E-2</c:v>
                </c:pt>
                <c:pt idx="899">
                  <c:v>1.6611243117746085E-2</c:v>
                </c:pt>
                <c:pt idx="900">
                  <c:v>1.6622450510345544E-2</c:v>
                </c:pt>
                <c:pt idx="901">
                  <c:v>1.6634029442078532E-2</c:v>
                </c:pt>
                <c:pt idx="902">
                  <c:v>1.66459837943106E-2</c:v>
                </c:pt>
                <c:pt idx="903">
                  <c:v>1.6659716423968782E-2</c:v>
                </c:pt>
                <c:pt idx="904">
                  <c:v>1.6671034287250374E-2</c:v>
                </c:pt>
                <c:pt idx="905">
                  <c:v>1.6684138192233015E-2</c:v>
                </c:pt>
                <c:pt idx="906">
                  <c:v>1.6697633046279109E-2</c:v>
                </c:pt>
                <c:pt idx="907">
                  <c:v>1.6711521306829936E-2</c:v>
                </c:pt>
                <c:pt idx="908">
                  <c:v>1.672579138956299E-2</c:v>
                </c:pt>
                <c:pt idx="909">
                  <c:v>1.6740423612736314E-2</c:v>
                </c:pt>
                <c:pt idx="910">
                  <c:v>1.6755398023521512E-2</c:v>
                </c:pt>
                <c:pt idx="911">
                  <c:v>1.6770694489022353E-2</c:v>
                </c:pt>
                <c:pt idx="912">
                  <c:v>1.6786292696233492E-2</c:v>
                </c:pt>
                <c:pt idx="913">
                  <c:v>1.6802827448532193E-2</c:v>
                </c:pt>
                <c:pt idx="914">
                  <c:v>1.6818992385608168E-2</c:v>
                </c:pt>
                <c:pt idx="915">
                  <c:v>1.6835396281248458E-2</c:v>
                </c:pt>
                <c:pt idx="916">
                  <c:v>1.6852017964920338E-2</c:v>
                </c:pt>
                <c:pt idx="917">
                  <c:v>1.6868836084820382E-2</c:v>
                </c:pt>
                <c:pt idx="918">
                  <c:v>1.6885829107843572E-2</c:v>
                </c:pt>
                <c:pt idx="919">
                  <c:v>1.69029753195559E-2</c:v>
                </c:pt>
                <c:pt idx="920">
                  <c:v>1.6920252824166992E-2</c:v>
                </c:pt>
                <c:pt idx="921">
                  <c:v>1.6937639544511114E-2</c:v>
                </c:pt>
                <c:pt idx="922">
                  <c:v>1.6960089894373316E-2</c:v>
                </c:pt>
                <c:pt idx="923">
                  <c:v>1.6977611745377787E-2</c:v>
                </c:pt>
                <c:pt idx="924">
                  <c:v>1.6995171939211167E-2</c:v>
                </c:pt>
                <c:pt idx="925">
                  <c:v>1.7012748028548155E-2</c:v>
                </c:pt>
                <c:pt idx="926">
                  <c:v>1.7028687919426657E-2</c:v>
                </c:pt>
                <c:pt idx="927">
                  <c:v>1.7046237242084462E-2</c:v>
                </c:pt>
                <c:pt idx="928">
                  <c:v>1.7063734744438154E-2</c:v>
                </c:pt>
                <c:pt idx="929">
                  <c:v>1.7086117899066285E-2</c:v>
                </c:pt>
                <c:pt idx="930">
                  <c:v>1.7109034081674211E-2</c:v>
                </c:pt>
                <c:pt idx="931">
                  <c:v>1.7125286930084336E-2</c:v>
                </c:pt>
                <c:pt idx="932">
                  <c:v>1.714226099384749E-2</c:v>
                </c:pt>
                <c:pt idx="933">
                  <c:v>1.7159063696633624E-2</c:v>
                </c:pt>
                <c:pt idx="934">
                  <c:v>1.7171083420417583E-2</c:v>
                </c:pt>
                <c:pt idx="935">
                  <c:v>1.7187572237558544E-2</c:v>
                </c:pt>
                <c:pt idx="936">
                  <c:v>1.7203885082275983E-2</c:v>
                </c:pt>
                <c:pt idx="937">
                  <c:v>1.7220021154174092E-2</c:v>
                </c:pt>
                <c:pt idx="938">
                  <c:v>1.7240442714002747E-2</c:v>
                </c:pt>
                <c:pt idx="939">
                  <c:v>1.7256186014126942E-2</c:v>
                </c:pt>
                <c:pt idx="940">
                  <c:v>1.7271749945225266E-2</c:v>
                </c:pt>
                <c:pt idx="941">
                  <c:v>1.7287133706811165E-2</c:v>
                </c:pt>
                <c:pt idx="942">
                  <c:v>1.7302336498424293E-2</c:v>
                </c:pt>
                <c:pt idx="943">
                  <c:v>1.7313080536900175E-2</c:v>
                </c:pt>
                <c:pt idx="944">
                  <c:v>1.7332195970010764E-2</c:v>
                </c:pt>
                <c:pt idx="945">
                  <c:v>1.7346851049191495E-2</c:v>
                </c:pt>
                <c:pt idx="946">
                  <c:v>1.7361321956814221E-2</c:v>
                </c:pt>
                <c:pt idx="947">
                  <c:v>1.7371483296906225E-2</c:v>
                </c:pt>
                <c:pt idx="948">
                  <c:v>1.7382892045847493E-2</c:v>
                </c:pt>
                <c:pt idx="949">
                  <c:v>1.7396870244519854E-2</c:v>
                </c:pt>
                <c:pt idx="950">
                  <c:v>1.7410661398636017E-2</c:v>
                </c:pt>
                <c:pt idx="951">
                  <c:v>1.7424264708278063E-2</c:v>
                </c:pt>
                <c:pt idx="952">
                  <c:v>1.7438992947121083E-2</c:v>
                </c:pt>
                <c:pt idx="953">
                  <c:v>1.7452204997171129E-2</c:v>
                </c:pt>
                <c:pt idx="954">
                  <c:v>1.7465226737342993E-2</c:v>
                </c:pt>
                <c:pt idx="955">
                  <c:v>1.7478057367789446E-2</c:v>
                </c:pt>
                <c:pt idx="956">
                  <c:v>1.749069608869885E-2</c:v>
                </c:pt>
                <c:pt idx="957">
                  <c:v>1.7501895040745362E-2</c:v>
                </c:pt>
                <c:pt idx="958">
                  <c:v>1.7514161044051901E-2</c:v>
                </c:pt>
                <c:pt idx="959">
                  <c:v>1.752623280471614E-2</c:v>
                </c:pt>
                <c:pt idx="960">
                  <c:v>1.7538109523126209E-2</c:v>
                </c:pt>
                <c:pt idx="961">
                  <c:v>1.7550983059251707E-2</c:v>
                </c:pt>
                <c:pt idx="962">
                  <c:v>1.7562453528895274E-2</c:v>
                </c:pt>
                <c:pt idx="963">
                  <c:v>1.7573726491340549E-2</c:v>
                </c:pt>
                <c:pt idx="964">
                  <c:v>1.7591040178448286E-2</c:v>
                </c:pt>
                <c:pt idx="965">
                  <c:v>1.7596078847783851E-2</c:v>
                </c:pt>
                <c:pt idx="966">
                  <c:v>1.7605229172841071E-2</c:v>
                </c:pt>
                <c:pt idx="967">
                  <c:v>1.761571820961259E-2</c:v>
                </c:pt>
                <c:pt idx="968">
                  <c:v>1.7626005808662356E-2</c:v>
                </c:pt>
                <c:pt idx="969">
                  <c:v>1.7636091170746829E-2</c:v>
                </c:pt>
                <c:pt idx="970">
                  <c:v>1.7645973496668833E-2</c:v>
                </c:pt>
                <c:pt idx="971">
                  <c:v>1.7655651987275801E-2</c:v>
                </c:pt>
                <c:pt idx="972">
                  <c:v>1.7665125843461537E-2</c:v>
                </c:pt>
                <c:pt idx="973">
                  <c:v>1.7674394266168427E-2</c:v>
                </c:pt>
                <c:pt idx="974">
                  <c:v>1.768848529733243E-2</c:v>
                </c:pt>
                <c:pt idx="975">
                  <c:v>1.7697267226900924E-2</c:v>
                </c:pt>
                <c:pt idx="976">
                  <c:v>1.7705840990927407E-2</c:v>
                </c:pt>
                <c:pt idx="977">
                  <c:v>1.7714205790300138E-2</c:v>
                </c:pt>
                <c:pt idx="978">
                  <c:v>1.7719524685707318E-2</c:v>
                </c:pt>
                <c:pt idx="979">
                  <c:v>1.7727513922175333E-2</c:v>
                </c:pt>
                <c:pt idx="980">
                  <c:v>1.7735291998707471E-2</c:v>
                </c:pt>
                <c:pt idx="981">
                  <c:v>1.7742858116556001E-2</c:v>
                </c:pt>
                <c:pt idx="982">
                  <c:v>1.7750211477030407E-2</c:v>
                </c:pt>
                <c:pt idx="983">
                  <c:v>1.775996158542625E-2</c:v>
                </c:pt>
                <c:pt idx="984">
                  <c:v>1.7766841261701794E-2</c:v>
                </c:pt>
                <c:pt idx="985">
                  <c:v>1.7773505582425884E-2</c:v>
                </c:pt>
                <c:pt idx="986">
                  <c:v>1.7779953748998188E-2</c:v>
                </c:pt>
                <c:pt idx="987">
                  <c:v>1.7783758968588009E-2</c:v>
                </c:pt>
                <c:pt idx="988">
                  <c:v>1.7789819015520035E-2</c:v>
                </c:pt>
                <c:pt idx="989">
                  <c:v>1.7795660715866222E-2</c:v>
                </c:pt>
                <c:pt idx="990">
                  <c:v>1.7803568903912329E-2</c:v>
                </c:pt>
                <c:pt idx="991">
                  <c:v>1.7808924322884698E-2</c:v>
                </c:pt>
                <c:pt idx="992">
                  <c:v>1.7814058797414975E-2</c:v>
                </c:pt>
                <c:pt idx="993">
                  <c:v>1.7818971529348922E-2</c:v>
                </c:pt>
                <c:pt idx="994">
                  <c:v>1.7823661720599782E-2</c:v>
                </c:pt>
                <c:pt idx="995">
                  <c:v>1.782608094408155E-2</c:v>
                </c:pt>
                <c:pt idx="996">
                  <c:v>1.7832371289044302E-2</c:v>
                </c:pt>
                <c:pt idx="997">
                  <c:v>1.7836389070408683E-2</c:v>
                </c:pt>
                <c:pt idx="998">
                  <c:v>1.7840181119432717E-2</c:v>
                </c:pt>
                <c:pt idx="999">
                  <c:v>1.7841893081823219E-2</c:v>
                </c:pt>
                <c:pt idx="1000">
                  <c:v>1.7844069505493266E-2</c:v>
                </c:pt>
                <c:pt idx="1001">
                  <c:v>1.7847261591808321E-2</c:v>
                </c:pt>
                <c:pt idx="1002">
                  <c:v>1.7850225096341803E-2</c:v>
                </c:pt>
                <c:pt idx="1003">
                  <c:v>1.7852959221849457E-2</c:v>
                </c:pt>
                <c:pt idx="1004">
                  <c:v>1.7856003377271674E-2</c:v>
                </c:pt>
                <c:pt idx="1005">
                  <c:v>1.7858259690266578E-2</c:v>
                </c:pt>
                <c:pt idx="1006">
                  <c:v>1.7860284164600247E-2</c:v>
                </c:pt>
                <c:pt idx="1007">
                  <c:v>1.7862076003295247E-2</c:v>
                </c:pt>
                <c:pt idx="1008">
                  <c:v>1.7863634409451459E-2</c:v>
                </c:pt>
                <c:pt idx="1009">
                  <c:v>1.7864502379222612E-2</c:v>
                </c:pt>
                <c:pt idx="1010">
                  <c:v>1.7865608535096694E-2</c:v>
                </c:pt>
                <c:pt idx="1011">
                  <c:v>1.7866479397223415E-2</c:v>
                </c:pt>
                <c:pt idx="1012">
                  <c:v>1.7867119163409079E-2</c:v>
                </c:pt>
                <c:pt idx="1013">
                  <c:v>1.786792647641923E-2</c:v>
                </c:pt>
                <c:pt idx="1014">
                  <c:v>1.7868110621882063E-2</c:v>
                </c:pt>
                <c:pt idx="1015">
                  <c:v>1.7868085170381375E-2</c:v>
                </c:pt>
                <c:pt idx="1016">
                  <c:v>1.7867857066687639E-2</c:v>
                </c:pt>
                <c:pt idx="1017">
                  <c:v>1.786709203214212E-2</c:v>
                </c:pt>
                <c:pt idx="1018">
                  <c:v>1.7866490275364674E-2</c:v>
                </c:pt>
                <c:pt idx="1019">
                  <c:v>1.7865706255076427E-2</c:v>
                </c:pt>
                <c:pt idx="1020">
                  <c:v>1.7864747145262535E-2</c:v>
                </c:pt>
                <c:pt idx="1021">
                  <c:v>1.786362016831718E-2</c:v>
                </c:pt>
                <c:pt idx="1022">
                  <c:v>1.7862332595038687E-2</c:v>
                </c:pt>
                <c:pt idx="1023">
                  <c:v>1.7860891744622027E-2</c:v>
                </c:pt>
                <c:pt idx="1024">
                  <c:v>1.785930498465485E-2</c:v>
                </c:pt>
                <c:pt idx="1025">
                  <c:v>1.7857579731109522E-2</c:v>
                </c:pt>
                <c:pt idx="1026">
                  <c:v>1.785706449373434E-2</c:v>
                </c:pt>
                <c:pt idx="1027">
                  <c:v>1.7855058169398426E-2</c:v>
                </c:pt>
                <c:pt idx="1028">
                  <c:v>1.7852937830751401E-2</c:v>
                </c:pt>
                <c:pt idx="1029">
                  <c:v>1.7850710896767517E-2</c:v>
                </c:pt>
                <c:pt idx="1030">
                  <c:v>1.7847638305545994E-2</c:v>
                </c:pt>
                <c:pt idx="1031">
                  <c:v>1.784523254220052E-2</c:v>
                </c:pt>
                <c:pt idx="1032">
                  <c:v>1.784274202670133E-2</c:v>
                </c:pt>
                <c:pt idx="1033">
                  <c:v>1.7840174482387342E-2</c:v>
                </c:pt>
                <c:pt idx="1034">
                  <c:v>1.7837537680421501E-2</c:v>
                </c:pt>
                <c:pt idx="1035">
                  <c:v>1.7835532183880929E-2</c:v>
                </c:pt>
                <c:pt idx="1036">
                  <c:v>1.7832770767345064E-2</c:v>
                </c:pt>
                <c:pt idx="1037">
                  <c:v>1.782996302686065E-2</c:v>
                </c:pt>
                <c:pt idx="1038">
                  <c:v>1.7827111237011223E-2</c:v>
                </c:pt>
                <c:pt idx="1039">
                  <c:v>1.7823560893346468E-2</c:v>
                </c:pt>
                <c:pt idx="1040">
                  <c:v>1.7820631586850301E-2</c:v>
                </c:pt>
                <c:pt idx="1041">
                  <c:v>1.7817659508142132E-2</c:v>
                </c:pt>
                <c:pt idx="1042">
                  <c:v>1.7814645112086087E-2</c:v>
                </c:pt>
                <c:pt idx="1043">
                  <c:v>1.7812207523730517E-2</c:v>
                </c:pt>
                <c:pt idx="1044">
                  <c:v>1.7809101012814913E-2</c:v>
                </c:pt>
                <c:pt idx="1045">
                  <c:v>1.7805953640661905E-2</c:v>
                </c:pt>
                <c:pt idx="1046">
                  <c:v>1.7802765862206076E-2</c:v>
                </c:pt>
                <c:pt idx="1047">
                  <c:v>1.7799538132381155E-2</c:v>
                </c:pt>
                <c:pt idx="1048">
                  <c:v>1.7796270906121292E-2</c:v>
                </c:pt>
                <c:pt idx="1049">
                  <c:v>1.7792964638359356E-2</c:v>
                </c:pt>
                <c:pt idx="1050">
                  <c:v>1.7789619784026919E-2</c:v>
                </c:pt>
                <c:pt idx="1051">
                  <c:v>1.7786236798056423E-2</c:v>
                </c:pt>
                <c:pt idx="1052">
                  <c:v>1.7782092489701425E-2</c:v>
                </c:pt>
                <c:pt idx="1053">
                  <c:v>1.7778645302395712E-2</c:v>
                </c:pt>
                <c:pt idx="1054">
                  <c:v>1.777516122538508E-2</c:v>
                </c:pt>
                <c:pt idx="1055">
                  <c:v>1.7771640713503942E-2</c:v>
                </c:pt>
                <c:pt idx="1056">
                  <c:v>1.7768254969602382E-2</c:v>
                </c:pt>
                <c:pt idx="1057">
                  <c:v>1.7764660396898627E-2</c:v>
                </c:pt>
                <c:pt idx="1058">
                  <c:v>1.7761691184292664E-2</c:v>
                </c:pt>
                <c:pt idx="1059">
                  <c:v>1.7757366587620983E-2</c:v>
                </c:pt>
                <c:pt idx="1060">
                  <c:v>1.7753668260750005E-2</c:v>
                </c:pt>
                <c:pt idx="1061">
                  <c:v>1.7749777980477787E-2</c:v>
                </c:pt>
                <c:pt idx="1062">
                  <c:v>1.7746015159744985E-2</c:v>
                </c:pt>
                <c:pt idx="1063">
                  <c:v>1.7742219542763827E-2</c:v>
                </c:pt>
                <c:pt idx="1064">
                  <c:v>1.7738391584355553E-2</c:v>
                </c:pt>
                <c:pt idx="1065">
                  <c:v>1.7734680597978957E-2</c:v>
                </c:pt>
                <c:pt idx="1066">
                  <c:v>1.7730787043645804E-2</c:v>
                </c:pt>
                <c:pt idx="1067">
                  <c:v>1.7726862543346423E-2</c:v>
                </c:pt>
                <c:pt idx="1068">
                  <c:v>1.7722907551915676E-2</c:v>
                </c:pt>
                <c:pt idx="1069">
                  <c:v>1.7718922524187108E-2</c:v>
                </c:pt>
                <c:pt idx="1070">
                  <c:v>1.7714770133622108E-2</c:v>
                </c:pt>
                <c:pt idx="1071">
                  <c:v>1.7710728520024466E-2</c:v>
                </c:pt>
                <c:pt idx="1072">
                  <c:v>1.7706658203489215E-2</c:v>
                </c:pt>
                <c:pt idx="1073">
                  <c:v>1.7702559638815195E-2</c:v>
                </c:pt>
                <c:pt idx="1074">
                  <c:v>1.7698433280802114E-2</c:v>
                </c:pt>
                <c:pt idx="1075">
                  <c:v>1.7694279584245735E-2</c:v>
                </c:pt>
                <c:pt idx="1076">
                  <c:v>1.7690099003937868E-2</c:v>
                </c:pt>
                <c:pt idx="1077">
                  <c:v>1.7685891994670321E-2</c:v>
                </c:pt>
                <c:pt idx="1078">
                  <c:v>1.7682144700630984E-2</c:v>
                </c:pt>
                <c:pt idx="1079">
                  <c:v>1.7677878725053036E-2</c:v>
                </c:pt>
                <c:pt idx="1080">
                  <c:v>1.7673587810129874E-2</c:v>
                </c:pt>
                <c:pt idx="1081">
                  <c:v>1.7669272410731619E-2</c:v>
                </c:pt>
                <c:pt idx="1082">
                  <c:v>1.7664590805333332E-2</c:v>
                </c:pt>
                <c:pt idx="1083">
                  <c:v>1.7660233025539485E-2</c:v>
                </c:pt>
                <c:pt idx="1084">
                  <c:v>1.7655852031638278E-2</c:v>
                </c:pt>
                <c:pt idx="1085">
                  <c:v>1.7651448278419579E-2</c:v>
                </c:pt>
                <c:pt idx="1086">
                  <c:v>1.7647022220668454E-2</c:v>
                </c:pt>
                <c:pt idx="1087">
                  <c:v>1.7642891312710667E-2</c:v>
                </c:pt>
                <c:pt idx="1088">
                  <c:v>1.763841725809184E-2</c:v>
                </c:pt>
                <c:pt idx="1089">
                  <c:v>1.763392235784542E-2</c:v>
                </c:pt>
                <c:pt idx="1090">
                  <c:v>1.7629407066812309E-2</c:v>
                </c:pt>
                <c:pt idx="1091">
                  <c:v>1.7624573281217925E-2</c:v>
                </c:pt>
                <c:pt idx="1092">
                  <c:v>1.7620022946596477E-2</c:v>
                </c:pt>
                <c:pt idx="1093">
                  <c:v>1.7615453490851106E-2</c:v>
                </c:pt>
                <c:pt idx="1094">
                  <c:v>1.7610865368740236E-2</c:v>
                </c:pt>
                <c:pt idx="1095">
                  <c:v>1.7606259035017911E-2</c:v>
                </c:pt>
                <c:pt idx="1096">
                  <c:v>1.7601912584716099E-2</c:v>
                </c:pt>
                <c:pt idx="1097">
                  <c:v>1.7597267293410507E-2</c:v>
                </c:pt>
                <c:pt idx="1098">
                  <c:v>1.7592605249911301E-2</c:v>
                </c:pt>
                <c:pt idx="1099">
                  <c:v>1.7587926909027149E-2</c:v>
                </c:pt>
                <c:pt idx="1100">
                  <c:v>1.7583232725559835E-2</c:v>
                </c:pt>
                <c:pt idx="1101">
                  <c:v>1.7578523154309005E-2</c:v>
                </c:pt>
                <c:pt idx="1102">
                  <c:v>1.7573798650069562E-2</c:v>
                </c:pt>
                <c:pt idx="1103">
                  <c:v>1.7569059667632555E-2</c:v>
                </c:pt>
                <c:pt idx="1104">
                  <c:v>1.7563891000479646E-2</c:v>
                </c:pt>
                <c:pt idx="1105">
                  <c:v>1.7559129666591601E-2</c:v>
                </c:pt>
                <c:pt idx="1106">
                  <c:v>1.7554355059348103E-2</c:v>
                </c:pt>
                <c:pt idx="1107">
                  <c:v>1.7549567633411318E-2</c:v>
                </c:pt>
                <c:pt idx="1108">
                  <c:v>1.7544767843442083E-2</c:v>
                </c:pt>
                <c:pt idx="1109">
                  <c:v>1.7540034509499623E-2</c:v>
                </c:pt>
                <c:pt idx="1110">
                  <c:v>1.753521046098161E-2</c:v>
                </c:pt>
                <c:pt idx="1111">
                  <c:v>1.753037544438836E-2</c:v>
                </c:pt>
                <c:pt idx="1112">
                  <c:v>1.7525529914384746E-2</c:v>
                </c:pt>
                <c:pt idx="1113">
                  <c:v>1.7520599345868002E-2</c:v>
                </c:pt>
                <c:pt idx="1114">
                  <c:v>1.7515734919305231E-2</c:v>
                </c:pt>
                <c:pt idx="1115">
                  <c:v>1.7510861311205161E-2</c:v>
                </c:pt>
                <c:pt idx="1116">
                  <c:v>1.7505978976193302E-2</c:v>
                </c:pt>
                <c:pt idx="1117">
                  <c:v>1.7501160476175389E-2</c:v>
                </c:pt>
                <c:pt idx="1118">
                  <c:v>1.7496261413427822E-2</c:v>
                </c:pt>
                <c:pt idx="1119">
                  <c:v>1.749135501980106E-2</c:v>
                </c:pt>
                <c:pt idx="1120">
                  <c:v>1.7486441749926591E-2</c:v>
                </c:pt>
                <c:pt idx="1121">
                  <c:v>1.7480818747652241E-2</c:v>
                </c:pt>
                <c:pt idx="1122">
                  <c:v>1.7475823103432639E-2</c:v>
                </c:pt>
                <c:pt idx="1123">
                  <c:v>1.7470891654203555E-2</c:v>
                </c:pt>
                <c:pt idx="1124">
                  <c:v>1.746595517985073E-2</c:v>
                </c:pt>
                <c:pt idx="1125">
                  <c:v>1.7461014134959481E-2</c:v>
                </c:pt>
                <c:pt idx="1126">
                  <c:v>1.7456068974111155E-2</c:v>
                </c:pt>
                <c:pt idx="1127">
                  <c:v>1.7451120151881792E-2</c:v>
                </c:pt>
                <c:pt idx="1128">
                  <c:v>1.7446168122843473E-2</c:v>
                </c:pt>
                <c:pt idx="1129">
                  <c:v>1.7441213341564725E-2</c:v>
                </c:pt>
                <c:pt idx="1130">
                  <c:v>1.7436521385268567E-2</c:v>
                </c:pt>
                <c:pt idx="1131">
                  <c:v>1.7431561629547631E-2</c:v>
                </c:pt>
                <c:pt idx="1132">
                  <c:v>1.7426600615157418E-2</c:v>
                </c:pt>
                <c:pt idx="1133">
                  <c:v>1.7421638796736204E-2</c:v>
                </c:pt>
                <c:pt idx="1134">
                  <c:v>1.7413709932989085E-2</c:v>
                </c:pt>
                <c:pt idx="1135">
                  <c:v>1.7411714566318424E-2</c:v>
                </c:pt>
                <c:pt idx="1136">
                  <c:v>1.7406753063571614E-2</c:v>
                </c:pt>
                <c:pt idx="1137">
                  <c:v>1.7401792575291584E-2</c:v>
                </c:pt>
                <c:pt idx="1138">
                  <c:v>1.7396833556091548E-2</c:v>
                </c:pt>
                <c:pt idx="1139">
                  <c:v>1.7391876460579964E-2</c:v>
                </c:pt>
                <c:pt idx="1140">
                  <c:v>1.738692174336097E-2</c:v>
                </c:pt>
                <c:pt idx="1141">
                  <c:v>1.7381969859033952E-2</c:v>
                </c:pt>
                <c:pt idx="1142">
                  <c:v>1.7377021262193537E-2</c:v>
                </c:pt>
                <c:pt idx="1143">
                  <c:v>1.7372076407430045E-2</c:v>
                </c:pt>
                <c:pt idx="1144">
                  <c:v>1.7367135749329462E-2</c:v>
                </c:pt>
                <c:pt idx="1145">
                  <c:v>1.7362199742472592E-2</c:v>
                </c:pt>
                <c:pt idx="1146">
                  <c:v>1.7357268841436783E-2</c:v>
                </c:pt>
                <c:pt idx="1147">
                  <c:v>1.7352343500793774E-2</c:v>
                </c:pt>
                <c:pt idx="1148">
                  <c:v>1.7347424175110534E-2</c:v>
                </c:pt>
                <c:pt idx="1149">
                  <c:v>1.7342511318951023E-2</c:v>
                </c:pt>
                <c:pt idx="1150">
                  <c:v>1.7337605386873147E-2</c:v>
                </c:pt>
                <c:pt idx="1151">
                  <c:v>1.7332706833431778E-2</c:v>
                </c:pt>
                <c:pt idx="1152">
                  <c:v>1.732781611317619E-2</c:v>
                </c:pt>
                <c:pt idx="1153">
                  <c:v>1.7322933680650885E-2</c:v>
                </c:pt>
                <c:pt idx="1154">
                  <c:v>1.7318059990397785E-2</c:v>
                </c:pt>
                <c:pt idx="1155">
                  <c:v>1.7313195496953187E-2</c:v>
                </c:pt>
                <c:pt idx="1156">
                  <c:v>1.7308054766854444E-2</c:v>
                </c:pt>
                <c:pt idx="1157">
                  <c:v>1.7303207459068347E-2</c:v>
                </c:pt>
                <c:pt idx="1158">
                  <c:v>1.7298370579557947E-2</c:v>
                </c:pt>
                <c:pt idx="1159">
                  <c:v>1.7293544582757975E-2</c:v>
                </c:pt>
                <c:pt idx="1160">
                  <c:v>1.7288804042716991E-2</c:v>
                </c:pt>
                <c:pt idx="1161">
                  <c:v>1.7284001944977315E-2</c:v>
                </c:pt>
                <c:pt idx="1162">
                  <c:v>1.727921212633626E-2</c:v>
                </c:pt>
                <c:pt idx="1163">
                  <c:v>1.7274742072683757E-2</c:v>
                </c:pt>
                <c:pt idx="1164">
                  <c:v>1.7269671144102102E-2</c:v>
                </c:pt>
                <c:pt idx="1165">
                  <c:v>1.7264842586714447E-2</c:v>
                </c:pt>
                <c:pt idx="1166">
                  <c:v>1.7260105492718707E-2</c:v>
                </c:pt>
                <c:pt idx="1167">
                  <c:v>1.725538290843397E-2</c:v>
                </c:pt>
                <c:pt idx="1168">
                  <c:v>1.7250674553198109E-2</c:v>
                </c:pt>
                <c:pt idx="1169">
                  <c:v>1.724606028121969E-2</c:v>
                </c:pt>
                <c:pt idx="1170">
                  <c:v>1.7241375783202943E-2</c:v>
                </c:pt>
                <c:pt idx="1171">
                  <c:v>1.7236700284824154E-2</c:v>
                </c:pt>
                <c:pt idx="1172">
                  <c:v>1.7232032067315342E-2</c:v>
                </c:pt>
                <c:pt idx="1173">
                  <c:v>1.7225129854074896E-2</c:v>
                </c:pt>
                <c:pt idx="1174">
                  <c:v>1.7220714626027474E-2</c:v>
                </c:pt>
                <c:pt idx="1175">
                  <c:v>1.721605817356562E-2</c:v>
                </c:pt>
                <c:pt idx="1176">
                  <c:v>1.7211401259619286E-2</c:v>
                </c:pt>
                <c:pt idx="1177">
                  <c:v>1.7206742106406596E-2</c:v>
                </c:pt>
                <c:pt idx="1178">
                  <c:v>1.7202078925275689E-2</c:v>
                </c:pt>
                <c:pt idx="1179">
                  <c:v>1.719740991670559E-2</c:v>
                </c:pt>
                <c:pt idx="1180">
                  <c:v>1.7192733270303146E-2</c:v>
                </c:pt>
                <c:pt idx="1181">
                  <c:v>1.718804716480522E-2</c:v>
                </c:pt>
                <c:pt idx="1182">
                  <c:v>1.7183485393942273E-2</c:v>
                </c:pt>
                <c:pt idx="1183">
                  <c:v>1.7178770712440547E-2</c:v>
                </c:pt>
                <c:pt idx="1184">
                  <c:v>1.717404085927229E-2</c:v>
                </c:pt>
                <c:pt idx="1185">
                  <c:v>1.7169293991657657E-2</c:v>
                </c:pt>
                <c:pt idx="1186">
                  <c:v>1.7164469368707767E-2</c:v>
                </c:pt>
                <c:pt idx="1187">
                  <c:v>1.7159685277656149E-2</c:v>
                </c:pt>
                <c:pt idx="1188">
                  <c:v>1.7154878626497304E-2</c:v>
                </c:pt>
                <c:pt idx="1189">
                  <c:v>1.7148662442852104E-2</c:v>
                </c:pt>
                <c:pt idx="1190">
                  <c:v>1.7145190045299658E-2</c:v>
                </c:pt>
                <c:pt idx="1191">
                  <c:v>1.7140350932267189E-2</c:v>
                </c:pt>
                <c:pt idx="1192">
                  <c:v>1.7135432462599989E-2</c:v>
                </c:pt>
                <c:pt idx="1193">
                  <c:v>1.7130482070641457E-2</c:v>
                </c:pt>
                <c:pt idx="1194">
                  <c:v>1.7125499407636222E-2</c:v>
                </c:pt>
                <c:pt idx="1195">
                  <c:v>1.7120447947086795E-2</c:v>
                </c:pt>
                <c:pt idx="1196">
                  <c:v>1.7115403715237093E-2</c:v>
                </c:pt>
                <c:pt idx="1197">
                  <c:v>1.7110327715568852E-2</c:v>
                </c:pt>
                <c:pt idx="1198">
                  <c:v>1.7105220119765067E-2</c:v>
                </c:pt>
                <c:pt idx="1199">
                  <c:v>1.7100134714280714E-2</c:v>
                </c:pt>
                <c:pt idx="1200">
                  <c:v>1.7094935330972734E-2</c:v>
                </c:pt>
                <c:pt idx="1201">
                  <c:v>1.708973157089641E-2</c:v>
                </c:pt>
                <c:pt idx="1202">
                  <c:v>1.708449691229548E-2</c:v>
                </c:pt>
                <c:pt idx="1203">
                  <c:v>1.7079231526863903E-2</c:v>
                </c:pt>
                <c:pt idx="1204">
                  <c:v>1.7073935586291736E-2</c:v>
                </c:pt>
                <c:pt idx="1205">
                  <c:v>1.7068609262271637E-2</c:v>
                </c:pt>
                <c:pt idx="1206">
                  <c:v>1.7063252726493224E-2</c:v>
                </c:pt>
                <c:pt idx="1207">
                  <c:v>1.7057866150647857E-2</c:v>
                </c:pt>
                <c:pt idx="1208">
                  <c:v>1.7052438363500483E-2</c:v>
                </c:pt>
                <c:pt idx="1209">
                  <c:v>1.7046996860934142E-2</c:v>
                </c:pt>
                <c:pt idx="1210">
                  <c:v>1.7041525811463974E-2</c:v>
                </c:pt>
                <c:pt idx="1211">
                  <c:v>1.7036025386759697E-2</c:v>
                </c:pt>
                <c:pt idx="1212">
                  <c:v>1.7030495758490576E-2</c:v>
                </c:pt>
                <c:pt idx="1213">
                  <c:v>1.702493709832413E-2</c:v>
                </c:pt>
                <c:pt idx="1214">
                  <c:v>1.7019341605533346E-2</c:v>
                </c:pt>
                <c:pt idx="1215">
                  <c:v>1.7013733368971079E-2</c:v>
                </c:pt>
                <c:pt idx="1216">
                  <c:v>1.7008088643117307E-2</c:v>
                </c:pt>
                <c:pt idx="1217">
                  <c:v>1.7002415572033198E-2</c:v>
                </c:pt>
                <c:pt idx="1218">
                  <c:v>1.6996714327383193E-2</c:v>
                </c:pt>
                <c:pt idx="1219">
                  <c:v>1.6990985080832167E-2</c:v>
                </c:pt>
                <c:pt idx="1220">
                  <c:v>1.6985228004042372E-2</c:v>
                </c:pt>
                <c:pt idx="1221">
                  <c:v>1.6979443268677362E-2</c:v>
                </c:pt>
                <c:pt idx="1222">
                  <c:v>1.6973631046397632E-2</c:v>
                </c:pt>
                <c:pt idx="1223">
                  <c:v>1.6967791508864988E-2</c:v>
                </c:pt>
                <c:pt idx="1224">
                  <c:v>1.6961924827739033E-2</c:v>
                </c:pt>
                <c:pt idx="1225">
                  <c:v>1.6955219292561319E-2</c:v>
                </c:pt>
                <c:pt idx="1226">
                  <c:v>1.694929715624716E-2</c:v>
                </c:pt>
                <c:pt idx="1227">
                  <c:v>1.6943348404724844E-2</c:v>
                </c:pt>
                <c:pt idx="1228">
                  <c:v>1.6937373209643142E-2</c:v>
                </c:pt>
                <c:pt idx="1229">
                  <c:v>1.6931371742646847E-2</c:v>
                </c:pt>
                <c:pt idx="1230">
                  <c:v>1.6925344175380323E-2</c:v>
                </c:pt>
                <c:pt idx="1231">
                  <c:v>1.6919290679487924E-2</c:v>
                </c:pt>
                <c:pt idx="1232">
                  <c:v>1.6913211426612677E-2</c:v>
                </c:pt>
                <c:pt idx="1233">
                  <c:v>1.6907106588394529E-2</c:v>
                </c:pt>
                <c:pt idx="1234">
                  <c:v>1.6900822624216508E-2</c:v>
                </c:pt>
                <c:pt idx="1235">
                  <c:v>1.6894661039370686E-2</c:v>
                </c:pt>
                <c:pt idx="1236">
                  <c:v>1.6888474417684003E-2</c:v>
                </c:pt>
                <c:pt idx="1237">
                  <c:v>1.6882262930822619E-2</c:v>
                </c:pt>
                <c:pt idx="1238">
                  <c:v>1.6876086231235873E-2</c:v>
                </c:pt>
                <c:pt idx="1239">
                  <c:v>1.6869827513456205E-2</c:v>
                </c:pt>
                <c:pt idx="1240">
                  <c:v>1.6861744818244057E-2</c:v>
                </c:pt>
                <c:pt idx="1241">
                  <c:v>1.6855430669436754E-2</c:v>
                </c:pt>
                <c:pt idx="1242">
                  <c:v>1.6848048607293865E-2</c:v>
                </c:pt>
                <c:pt idx="1243">
                  <c:v>1.6842520556643877E-2</c:v>
                </c:pt>
                <c:pt idx="1244">
                  <c:v>1.6836129243696606E-2</c:v>
                </c:pt>
                <c:pt idx="1245">
                  <c:v>1.682971451045653E-2</c:v>
                </c:pt>
                <c:pt idx="1246">
                  <c:v>1.6823503822139693E-2</c:v>
                </c:pt>
                <c:pt idx="1247">
                  <c:v>1.6817048433542252E-2</c:v>
                </c:pt>
                <c:pt idx="1248">
                  <c:v>1.6810570105729693E-2</c:v>
                </c:pt>
                <c:pt idx="1249">
                  <c:v>1.680406901034133E-2</c:v>
                </c:pt>
                <c:pt idx="1250">
                  <c:v>1.6797295548278544E-2</c:v>
                </c:pt>
                <c:pt idx="1251">
                  <c:v>1.6790743898312772E-2</c:v>
                </c:pt>
                <c:pt idx="1252">
                  <c:v>1.6784170029718774E-2</c:v>
                </c:pt>
                <c:pt idx="1253">
                  <c:v>1.6777574114156219E-2</c:v>
                </c:pt>
                <c:pt idx="1254">
                  <c:v>1.6770956323283931E-2</c:v>
                </c:pt>
                <c:pt idx="1255">
                  <c:v>1.6764593930531792E-2</c:v>
                </c:pt>
                <c:pt idx="1256">
                  <c:v>1.6757655802240257E-2</c:v>
                </c:pt>
                <c:pt idx="1257">
                  <c:v>1.6750973415377048E-2</c:v>
                </c:pt>
                <c:pt idx="1258">
                  <c:v>1.6744269839823894E-2</c:v>
                </c:pt>
                <c:pt idx="1259">
                  <c:v>1.6737843599349721E-2</c:v>
                </c:pt>
                <c:pt idx="1260">
                  <c:v>1.6731204248483632E-2</c:v>
                </c:pt>
                <c:pt idx="1261">
                  <c:v>1.672444506248328E-2</c:v>
                </c:pt>
                <c:pt idx="1262">
                  <c:v>1.6717665328643449E-2</c:v>
                </c:pt>
                <c:pt idx="1263">
                  <c:v>1.6710865218571052E-2</c:v>
                </c:pt>
                <c:pt idx="1264">
                  <c:v>1.6703937180448318E-2</c:v>
                </c:pt>
                <c:pt idx="1265">
                  <c:v>1.6697095145527613E-2</c:v>
                </c:pt>
                <c:pt idx="1266">
                  <c:v>1.6690233260658337E-2</c:v>
                </c:pt>
                <c:pt idx="1267">
                  <c:v>1.6683351697450541E-2</c:v>
                </c:pt>
                <c:pt idx="1268">
                  <c:v>1.6676450627512523E-2</c:v>
                </c:pt>
                <c:pt idx="1269">
                  <c:v>1.6669646267102323E-2</c:v>
                </c:pt>
                <c:pt idx="1270">
                  <c:v>1.6662708328286341E-2</c:v>
                </c:pt>
                <c:pt idx="1271">
                  <c:v>1.6655751386039884E-2</c:v>
                </c:pt>
                <c:pt idx="1272">
                  <c:v>1.6648775611954918E-2</c:v>
                </c:pt>
                <c:pt idx="1273">
                  <c:v>1.6641658683027766E-2</c:v>
                </c:pt>
                <c:pt idx="1274">
                  <c:v>1.6634644176378357E-2</c:v>
                </c:pt>
                <c:pt idx="1275">
                  <c:v>1.6627611364204861E-2</c:v>
                </c:pt>
                <c:pt idx="1276">
                  <c:v>1.6616523230310525E-2</c:v>
                </c:pt>
                <c:pt idx="1277">
                  <c:v>1.6612609189510803E-2</c:v>
                </c:pt>
                <c:pt idx="1278">
                  <c:v>1.6606535107756309E-2</c:v>
                </c:pt>
                <c:pt idx="1279">
                  <c:v>1.6599432315221083E-2</c:v>
                </c:pt>
                <c:pt idx="1280">
                  <c:v>1.6592312063515042E-2</c:v>
                </c:pt>
                <c:pt idx="1281">
                  <c:v>1.6585174524214347E-2</c:v>
                </c:pt>
                <c:pt idx="1282">
                  <c:v>1.657801986888989E-2</c:v>
                </c:pt>
                <c:pt idx="1283">
                  <c:v>1.6570848269113439E-2</c:v>
                </c:pt>
                <c:pt idx="1284">
                  <c:v>1.6563659896453684E-2</c:v>
                </c:pt>
                <c:pt idx="1285">
                  <c:v>1.6556454922477128E-2</c:v>
                </c:pt>
                <c:pt idx="1286">
                  <c:v>1.6548663969477562E-2</c:v>
                </c:pt>
                <c:pt idx="1287">
                  <c:v>1.6541420582668501E-2</c:v>
                </c:pt>
                <c:pt idx="1288">
                  <c:v>1.6534161155890514E-2</c:v>
                </c:pt>
                <c:pt idx="1289">
                  <c:v>1.652688586073452E-2</c:v>
                </c:pt>
                <c:pt idx="1290">
                  <c:v>1.6520039197456371E-2</c:v>
                </c:pt>
                <c:pt idx="1291">
                  <c:v>1.6512736832235447E-2</c:v>
                </c:pt>
                <c:pt idx="1292">
                  <c:v>1.650541907830258E-2</c:v>
                </c:pt>
                <c:pt idx="1293">
                  <c:v>1.6498086107217588E-2</c:v>
                </c:pt>
                <c:pt idx="1294">
                  <c:v>1.6490738090535036E-2</c:v>
                </c:pt>
                <c:pt idx="1295">
                  <c:v>1.6482910462813125E-2</c:v>
                </c:pt>
                <c:pt idx="1296">
                  <c:v>1.6475528893436741E-2</c:v>
                </c:pt>
                <c:pt idx="1297">
                  <c:v>1.6468132828347765E-2</c:v>
                </c:pt>
                <c:pt idx="1298">
                  <c:v>1.6460722439119498E-2</c:v>
                </c:pt>
                <c:pt idx="1299">
                  <c:v>1.6453778327488244E-2</c:v>
                </c:pt>
                <c:pt idx="1300">
                  <c:v>1.6446343639782986E-2</c:v>
                </c:pt>
                <c:pt idx="1301">
                  <c:v>1.6438895107311956E-2</c:v>
                </c:pt>
                <c:pt idx="1302">
                  <c:v>1.6431432901614442E-2</c:v>
                </c:pt>
                <c:pt idx="1303">
                  <c:v>1.6423461635775228E-2</c:v>
                </c:pt>
                <c:pt idx="1304">
                  <c:v>1.6415968904611541E-2</c:v>
                </c:pt>
                <c:pt idx="1305">
                  <c:v>1.6408463050254569E-2</c:v>
                </c:pt>
                <c:pt idx="1306">
                  <c:v>1.6400944244259124E-2</c:v>
                </c:pt>
                <c:pt idx="1307">
                  <c:v>1.6393412658175295E-2</c:v>
                </c:pt>
                <c:pt idx="1308">
                  <c:v>1.6385868463554023E-2</c:v>
                </c:pt>
                <c:pt idx="1309">
                  <c:v>1.6378311831942393E-2</c:v>
                </c:pt>
                <c:pt idx="1310">
                  <c:v>1.6370742934884035E-2</c:v>
                </c:pt>
                <c:pt idx="1311">
                  <c:v>1.6363161943923028E-2</c:v>
                </c:pt>
                <c:pt idx="1312">
                  <c:v>1.6356447682062861E-2</c:v>
                </c:pt>
                <c:pt idx="1313">
                  <c:v>1.6348848646458337E-2</c:v>
                </c:pt>
                <c:pt idx="1314">
                  <c:v>1.6341237972136862E-2</c:v>
                </c:pt>
                <c:pt idx="1315">
                  <c:v>1.6333615830591314E-2</c:v>
                </c:pt>
                <c:pt idx="1316">
                  <c:v>1.6325802444384238E-2</c:v>
                </c:pt>
                <c:pt idx="1317">
                  <c:v>1.6318156802516054E-2</c:v>
                </c:pt>
                <c:pt idx="1318">
                  <c:v>1.6310500219797002E-2</c:v>
                </c:pt>
                <c:pt idx="1319">
                  <c:v>1.6302832867716728E-2</c:v>
                </c:pt>
                <c:pt idx="1320">
                  <c:v>1.6295154917762664E-2</c:v>
                </c:pt>
                <c:pt idx="1321">
                  <c:v>1.6287651772779282E-2</c:v>
                </c:pt>
                <c:pt idx="1322">
                  <c:v>1.6279954162201602E-2</c:v>
                </c:pt>
                <c:pt idx="1323">
                  <c:v>1.6272246456239505E-2</c:v>
                </c:pt>
                <c:pt idx="1324">
                  <c:v>1.6264528826362017E-2</c:v>
                </c:pt>
                <c:pt idx="1325">
                  <c:v>1.6256612201751355E-2</c:v>
                </c:pt>
                <c:pt idx="1326">
                  <c:v>1.6248874265641471E-2</c:v>
                </c:pt>
                <c:pt idx="1327">
                  <c:v>1.6241126931997404E-2</c:v>
                </c:pt>
                <c:pt idx="1328">
                  <c:v>1.6233370372286837E-2</c:v>
                </c:pt>
                <c:pt idx="1329">
                  <c:v>1.6225604757973484E-2</c:v>
                </c:pt>
                <c:pt idx="1330">
                  <c:v>1.6218024246815212E-2</c:v>
                </c:pt>
                <c:pt idx="1331">
                  <c:v>1.6210241950449868E-2</c:v>
                </c:pt>
                <c:pt idx="1332">
                  <c:v>1.620245110183037E-2</c:v>
                </c:pt>
                <c:pt idx="1333">
                  <c:v>1.6194651872402779E-2</c:v>
                </c:pt>
                <c:pt idx="1334">
                  <c:v>1.6186844433611836E-2</c:v>
                </c:pt>
                <c:pt idx="1335">
                  <c:v>1.6179028956897417E-2</c:v>
                </c:pt>
                <c:pt idx="1336">
                  <c:v>1.6171205613698957E-2</c:v>
                </c:pt>
                <c:pt idx="1337">
                  <c:v>1.6163374575451923E-2</c:v>
                </c:pt>
                <c:pt idx="1338">
                  <c:v>1.615453043988805E-2</c:v>
                </c:pt>
                <c:pt idx="1339">
                  <c:v>1.6146680455651645E-2</c:v>
                </c:pt>
                <c:pt idx="1340">
                  <c:v>1.6138823351140547E-2</c:v>
                </c:pt>
                <c:pt idx="1341">
                  <c:v>1.6130959297820182E-2</c:v>
                </c:pt>
                <c:pt idx="1342">
                  <c:v>1.612370159363636E-2</c:v>
                </c:pt>
                <c:pt idx="1343">
                  <c:v>1.6115826450485867E-2</c:v>
                </c:pt>
                <c:pt idx="1344">
                  <c:v>1.610794483651893E-2</c:v>
                </c:pt>
                <c:pt idx="1345">
                  <c:v>1.6100056923166059E-2</c:v>
                </c:pt>
                <c:pt idx="1346">
                  <c:v>1.6092162881856466E-2</c:v>
                </c:pt>
                <c:pt idx="1347">
                  <c:v>1.6083638654615855E-2</c:v>
                </c:pt>
                <c:pt idx="1348">
                  <c:v>1.6075730760430788E-2</c:v>
                </c:pt>
                <c:pt idx="1349">
                  <c:v>1.6067817289061842E-2</c:v>
                </c:pt>
                <c:pt idx="1350">
                  <c:v>1.6059898411948659E-2</c:v>
                </c:pt>
                <c:pt idx="1351">
                  <c:v>1.6052606755744579E-2</c:v>
                </c:pt>
                <c:pt idx="1352">
                  <c:v>1.6044679546532901E-2</c:v>
                </c:pt>
                <c:pt idx="1353">
                  <c:v>1.6036747409285977E-2</c:v>
                </c:pt>
                <c:pt idx="1354">
                  <c:v>1.6028810515410732E-2</c:v>
                </c:pt>
                <c:pt idx="1355">
                  <c:v>1.6020869036311051E-2</c:v>
                </c:pt>
                <c:pt idx="1356">
                  <c:v>1.6012281228999743E-2</c:v>
                </c:pt>
                <c:pt idx="1357">
                  <c:v>1.6004329311795466E-2</c:v>
                </c:pt>
                <c:pt idx="1358">
                  <c:v>1.5996373360276372E-2</c:v>
                </c:pt>
                <c:pt idx="1359">
                  <c:v>1.5988413545858459E-2</c:v>
                </c:pt>
                <c:pt idx="1360">
                  <c:v>1.598045003995386E-2</c:v>
                </c:pt>
                <c:pt idx="1361">
                  <c:v>1.5972483013974276E-2</c:v>
                </c:pt>
                <c:pt idx="1362">
                  <c:v>1.5964512639327112E-2</c:v>
                </c:pt>
                <c:pt idx="1363">
                  <c:v>1.5956539087416764E-2</c:v>
                </c:pt>
                <c:pt idx="1364">
                  <c:v>1.5949654170063755E-2</c:v>
                </c:pt>
                <c:pt idx="1365">
                  <c:v>1.5941677262831761E-2</c:v>
                </c:pt>
                <c:pt idx="1366">
                  <c:v>1.5933697631048578E-2</c:v>
                </c:pt>
                <c:pt idx="1367">
                  <c:v>1.5925715446071052E-2</c:v>
                </c:pt>
                <c:pt idx="1368">
                  <c:v>1.591773087925118E-2</c:v>
                </c:pt>
                <c:pt idx="1369">
                  <c:v>1.5909523504174791E-2</c:v>
                </c:pt>
                <c:pt idx="1370">
                  <c:v>1.5901534249947381E-2</c:v>
                </c:pt>
                <c:pt idx="1371">
                  <c:v>1.5893543140256053E-2</c:v>
                </c:pt>
                <c:pt idx="1372">
                  <c:v>1.5885550346449024E-2</c:v>
                </c:pt>
                <c:pt idx="1373">
                  <c:v>1.5877778314709618E-2</c:v>
                </c:pt>
                <c:pt idx="1374">
                  <c:v>1.5869783055110484E-2</c:v>
                </c:pt>
                <c:pt idx="1375">
                  <c:v>1.5861786613068037E-2</c:v>
                </c:pt>
                <c:pt idx="1376">
                  <c:v>1.5853789159912628E-2</c:v>
                </c:pt>
                <c:pt idx="1377">
                  <c:v>1.5845567112752361E-2</c:v>
                </c:pt>
                <c:pt idx="1378">
                  <c:v>1.5837567812453723E-2</c:v>
                </c:pt>
                <c:pt idx="1379">
                  <c:v>1.5829568027414045E-2</c:v>
                </c:pt>
                <c:pt idx="1380">
                  <c:v>1.5821567928960455E-2</c:v>
                </c:pt>
                <c:pt idx="1381">
                  <c:v>1.5813567688419208E-2</c:v>
                </c:pt>
                <c:pt idx="1382">
                  <c:v>1.5805792801861344E-2</c:v>
                </c:pt>
                <c:pt idx="1383">
                  <c:v>1.5797793067979168E-2</c:v>
                </c:pt>
                <c:pt idx="1384">
                  <c:v>1.5789793693539854E-2</c:v>
                </c:pt>
                <c:pt idx="1385">
                  <c:v>1.5781794849850792E-2</c:v>
                </c:pt>
                <c:pt idx="1386">
                  <c:v>1.5773796708215392E-2</c:v>
                </c:pt>
                <c:pt idx="1387">
                  <c:v>1.5765799439936189E-2</c:v>
                </c:pt>
                <c:pt idx="1388">
                  <c:v>1.5757803216311733E-2</c:v>
                </c:pt>
                <c:pt idx="1389">
                  <c:v>1.574980820863793E-2</c:v>
                </c:pt>
                <c:pt idx="1390">
                  <c:v>1.5740678417811533E-2</c:v>
                </c:pt>
                <c:pt idx="1391">
                  <c:v>1.5732685481616902E-2</c:v>
                </c:pt>
                <c:pt idx="1392">
                  <c:v>1.5724694337686241E-2</c:v>
                </c:pt>
                <c:pt idx="1393">
                  <c:v>1.5716705157340572E-2</c:v>
                </c:pt>
                <c:pt idx="1394">
                  <c:v>1.570940173729949E-2</c:v>
                </c:pt>
                <c:pt idx="1395">
                  <c:v>1.5701417369083728E-2</c:v>
                </c:pt>
                <c:pt idx="1396">
                  <c:v>1.5693435440845796E-2</c:v>
                </c:pt>
                <c:pt idx="1397">
                  <c:v>1.5685456123873391E-2</c:v>
                </c:pt>
                <c:pt idx="1398">
                  <c:v>1.5677479589452877E-2</c:v>
                </c:pt>
                <c:pt idx="1399">
                  <c:v>1.5668820904164223E-2</c:v>
                </c:pt>
                <c:pt idx="1400">
                  <c:v>1.5660850265662312E-2</c:v>
                </c:pt>
                <c:pt idx="1401">
                  <c:v>1.5652882961211721E-2</c:v>
                </c:pt>
                <c:pt idx="1402">
                  <c:v>1.5644919162107678E-2</c:v>
                </c:pt>
                <c:pt idx="1403">
                  <c:v>1.5637644650433803E-2</c:v>
                </c:pt>
                <c:pt idx="1404">
                  <c:v>1.5629688408169879E-2</c:v>
                </c:pt>
                <c:pt idx="1405">
                  <c:v>1.5621736147380775E-2</c:v>
                </c:pt>
                <c:pt idx="1406">
                  <c:v>1.5613788039331026E-2</c:v>
                </c:pt>
                <c:pt idx="1407">
                  <c:v>1.560584425528036E-2</c:v>
                </c:pt>
                <c:pt idx="1408">
                  <c:v>1.5597219571985206E-2</c:v>
                </c:pt>
                <c:pt idx="1409">
                  <c:v>1.5589285106359176E-2</c:v>
                </c:pt>
                <c:pt idx="1410">
                  <c:v>1.5581355516346177E-2</c:v>
                </c:pt>
                <c:pt idx="1411">
                  <c:v>1.5573430973216949E-2</c:v>
                </c:pt>
                <c:pt idx="1412">
                  <c:v>1.5565511648240512E-2</c:v>
                </c:pt>
                <c:pt idx="1413">
                  <c:v>1.5557597712681592E-2</c:v>
                </c:pt>
                <c:pt idx="1414">
                  <c:v>1.5549689337803188E-2</c:v>
                </c:pt>
                <c:pt idx="1415">
                  <c:v>1.5541786694864869E-2</c:v>
                </c:pt>
                <c:pt idx="1416">
                  <c:v>1.5535028472249827E-2</c:v>
                </c:pt>
                <c:pt idx="1417">
                  <c:v>1.5527137046385234E-2</c:v>
                </c:pt>
                <c:pt idx="1418">
                  <c:v>1.5519251802879575E-2</c:v>
                </c:pt>
                <c:pt idx="1419">
                  <c:v>1.5511372912947935E-2</c:v>
                </c:pt>
                <c:pt idx="1420">
                  <c:v>1.5503500547803195E-2</c:v>
                </c:pt>
                <c:pt idx="1421">
                  <c:v>1.5495408030574722E-2</c:v>
                </c:pt>
                <c:pt idx="1422">
                  <c:v>1.5487549441714189E-2</c:v>
                </c:pt>
                <c:pt idx="1423">
                  <c:v>1.5479697903963682E-2</c:v>
                </c:pt>
                <c:pt idx="1424">
                  <c:v>1.5471853588531303E-2</c:v>
                </c:pt>
                <c:pt idx="1425">
                  <c:v>1.5464242586138948E-2</c:v>
                </c:pt>
                <c:pt idx="1426">
                  <c:v>1.5456412965032792E-2</c:v>
                </c:pt>
                <c:pt idx="1427">
                  <c:v>1.5448591067818439E-2</c:v>
                </c:pt>
                <c:pt idx="1428">
                  <c:v>1.5440777126469445E-2</c:v>
                </c:pt>
                <c:pt idx="1429">
                  <c:v>1.5432746759990557E-2</c:v>
                </c:pt>
                <c:pt idx="1430">
                  <c:v>1.5424950139735216E-2</c:v>
                </c:pt>
                <c:pt idx="1431">
                  <c:v>1.5417162548466225E-2</c:v>
                </c:pt>
                <c:pt idx="1432">
                  <c:v>1.5409384336258717E-2</c:v>
                </c:pt>
                <c:pt idx="1433">
                  <c:v>1.5400506885413074E-2</c:v>
                </c:pt>
                <c:pt idx="1434">
                  <c:v>1.5392972336834097E-2</c:v>
                </c:pt>
                <c:pt idx="1435">
                  <c:v>1.5385225333902342E-2</c:v>
                </c:pt>
                <c:pt idx="1436">
                  <c:v>1.5377489136980376E-2</c:v>
                </c:pt>
                <c:pt idx="1437">
                  <c:v>1.5369764100487456E-2</c:v>
                </c:pt>
                <c:pt idx="1438">
                  <c:v>1.5362050579516333E-2</c:v>
                </c:pt>
                <c:pt idx="1439">
                  <c:v>1.5354348929835457E-2</c:v>
                </c:pt>
                <c:pt idx="1440">
                  <c:v>1.534665950788457E-2</c:v>
                </c:pt>
                <c:pt idx="1441">
                  <c:v>1.5338982670779999E-2</c:v>
                </c:pt>
                <c:pt idx="1442">
                  <c:v>1.5330450629823697E-2</c:v>
                </c:pt>
                <c:pt idx="1443">
                  <c:v>1.5322803140128355E-2</c:v>
                </c:pt>
                <c:pt idx="1444">
                  <c:v>1.5315169403016946E-2</c:v>
                </c:pt>
                <c:pt idx="1445">
                  <c:v>1.5303416216348816E-2</c:v>
                </c:pt>
                <c:pt idx="1446">
                  <c:v>1.5300585886744928E-2</c:v>
                </c:pt>
                <c:pt idx="1447">
                  <c:v>1.5292354272153908E-2</c:v>
                </c:pt>
                <c:pt idx="1448">
                  <c:v>1.5284779113640472E-2</c:v>
                </c:pt>
                <c:pt idx="1449">
                  <c:v>1.527721949513783E-2</c:v>
                </c:pt>
                <c:pt idx="1450">
                  <c:v>1.5269675776109356E-2</c:v>
                </c:pt>
                <c:pt idx="1451">
                  <c:v>1.5262148316679091E-2</c:v>
                </c:pt>
                <c:pt idx="1452">
                  <c:v>1.5254637477628277E-2</c:v>
                </c:pt>
                <c:pt idx="1453">
                  <c:v>1.5247143615003782E-2</c:v>
                </c:pt>
                <c:pt idx="1454">
                  <c:v>1.5239666994785276E-2</c:v>
                </c:pt>
                <c:pt idx="1455">
                  <c:v>1.5232207807906298E-2</c:v>
                </c:pt>
                <c:pt idx="1456">
                  <c:v>1.5224766243024587E-2</c:v>
                </c:pt>
                <c:pt idx="1457">
                  <c:v>1.5217342488796153E-2</c:v>
                </c:pt>
                <c:pt idx="1458">
                  <c:v>1.5209936733874413E-2</c:v>
                </c:pt>
                <c:pt idx="1459">
                  <c:v>1.5202549166909328E-2</c:v>
                </c:pt>
                <c:pt idx="1460">
                  <c:v>1.5195179976549128E-2</c:v>
                </c:pt>
                <c:pt idx="1461">
                  <c:v>1.5187829351441615E-2</c:v>
                </c:pt>
                <c:pt idx="1462">
                  <c:v>1.5180497480229404E-2</c:v>
                </c:pt>
                <c:pt idx="1463">
                  <c:v>1.5173184551554246E-2</c:v>
                </c:pt>
                <c:pt idx="1464">
                  <c:v>1.5165890754054865E-2</c:v>
                </c:pt>
                <c:pt idx="1465">
                  <c:v>1.5158616276369125E-2</c:v>
                </c:pt>
                <c:pt idx="1466">
                  <c:v>1.5151361307131433E-2</c:v>
                </c:pt>
                <c:pt idx="1467">
                  <c:v>1.5144126034974895E-2</c:v>
                </c:pt>
                <c:pt idx="1468">
                  <c:v>1.5137484009930365E-2</c:v>
                </c:pt>
                <c:pt idx="1469">
                  <c:v>1.5130285108061458E-2</c:v>
                </c:pt>
                <c:pt idx="1470">
                  <c:v>1.5123106425771091E-2</c:v>
                </c:pt>
                <c:pt idx="1471">
                  <c:v>1.5115948151664876E-2</c:v>
                </c:pt>
                <c:pt idx="1472">
                  <c:v>1.510825173238731E-2</c:v>
                </c:pt>
                <c:pt idx="1473">
                  <c:v>1.510113860387689E-2</c:v>
                </c:pt>
                <c:pt idx="1474">
                  <c:v>1.5093863008319216E-2</c:v>
                </c:pt>
                <c:pt idx="1475">
                  <c:v>1.5086975587815327E-2</c:v>
                </c:pt>
                <c:pt idx="1476">
                  <c:v>1.5079926077493675E-2</c:v>
                </c:pt>
                <c:pt idx="1477">
                  <c:v>1.5073437640463139E-2</c:v>
                </c:pt>
                <c:pt idx="1478">
                  <c:v>1.5066427504388876E-2</c:v>
                </c:pt>
                <c:pt idx="1479">
                  <c:v>1.5059439285258916E-2</c:v>
                </c:pt>
                <c:pt idx="1480">
                  <c:v>1.505247317165955E-2</c:v>
                </c:pt>
                <c:pt idx="1481">
                  <c:v>1.5045529352175306E-2</c:v>
                </c:pt>
                <c:pt idx="1482">
                  <c:v>1.5038088865889374E-2</c:v>
                </c:pt>
                <c:pt idx="1483">
                  <c:v>1.5031194399318966E-2</c:v>
                </c:pt>
                <c:pt idx="1484">
                  <c:v>1.5024322836262455E-2</c:v>
                </c:pt>
                <c:pt idx="1485">
                  <c:v>1.5015050993425972E-2</c:v>
                </c:pt>
                <c:pt idx="1486">
                  <c:v>1.5008231489658132E-2</c:v>
                </c:pt>
                <c:pt idx="1487">
                  <c:v>1.5001435492288001E-2</c:v>
                </c:pt>
                <c:pt idx="1488">
                  <c:v>1.4994663189886494E-2</c:v>
                </c:pt>
                <c:pt idx="1489">
                  <c:v>1.498791477102321E-2</c:v>
                </c:pt>
                <c:pt idx="1490">
                  <c:v>1.4981190424265114E-2</c:v>
                </c:pt>
                <c:pt idx="1491">
                  <c:v>1.4974490338177856E-2</c:v>
                </c:pt>
                <c:pt idx="1492">
                  <c:v>1.4967814701324881E-2</c:v>
                </c:pt>
                <c:pt idx="1493">
                  <c:v>1.4961163702269202E-2</c:v>
                </c:pt>
                <c:pt idx="1494">
                  <c:v>1.4954228142508045E-2</c:v>
                </c:pt>
                <c:pt idx="1495">
                  <c:v>1.4947630145222124E-2</c:v>
                </c:pt>
                <c:pt idx="1496">
                  <c:v>1.4941057380673408E-2</c:v>
                </c:pt>
                <c:pt idx="1497">
                  <c:v>1.4934510037430623E-2</c:v>
                </c:pt>
                <c:pt idx="1498">
                  <c:v>1.4928136511539441E-2</c:v>
                </c:pt>
                <c:pt idx="1499">
                  <c:v>1.4921638937075397E-2</c:v>
                </c:pt>
                <c:pt idx="1500">
                  <c:v>1.4913323102598417E-2</c:v>
                </c:pt>
                <c:pt idx="1501">
                  <c:v>1.4908721893741431E-2</c:v>
                </c:pt>
                <c:pt idx="1502">
                  <c:v>1.4902302801983186E-2</c:v>
                </c:pt>
                <c:pt idx="1503">
                  <c:v>1.4894859584250719E-2</c:v>
                </c:pt>
                <c:pt idx="1504">
                  <c:v>1.4888499305517902E-2</c:v>
                </c:pt>
                <c:pt idx="1505">
                  <c:v>1.4882165983523231E-2</c:v>
                </c:pt>
                <c:pt idx="1506">
                  <c:v>1.4875859806823702E-2</c:v>
                </c:pt>
                <c:pt idx="1507">
                  <c:v>1.4869713635281121E-2</c:v>
                </c:pt>
                <c:pt idx="1508">
                  <c:v>1.4863460541059465E-2</c:v>
                </c:pt>
                <c:pt idx="1509">
                  <c:v>1.4857235143076993E-2</c:v>
                </c:pt>
                <c:pt idx="1510">
                  <c:v>1.4851037629879275E-2</c:v>
                </c:pt>
                <c:pt idx="1511">
                  <c:v>1.484461738794054E-2</c:v>
                </c:pt>
                <c:pt idx="1512">
                  <c:v>1.4838603356768667E-2</c:v>
                </c:pt>
                <c:pt idx="1513">
                  <c:v>1.4832492476583751E-2</c:v>
                </c:pt>
                <c:pt idx="1514">
                  <c:v>1.4826410250093468E-2</c:v>
                </c:pt>
                <c:pt idx="1515">
                  <c:v>1.4820356865843088E-2</c:v>
                </c:pt>
                <c:pt idx="1516">
                  <c:v>1.4814332512377005E-2</c:v>
                </c:pt>
                <c:pt idx="1517">
                  <c:v>1.4808337378237011E-2</c:v>
                </c:pt>
                <c:pt idx="1518">
                  <c:v>1.48023716519662E-2</c:v>
                </c:pt>
                <c:pt idx="1519">
                  <c:v>1.4796435522104192E-2</c:v>
                </c:pt>
                <c:pt idx="1520">
                  <c:v>1.4790855125537692E-2</c:v>
                </c:pt>
                <c:pt idx="1521">
                  <c:v>1.4784972861880755E-2</c:v>
                </c:pt>
                <c:pt idx="1522">
                  <c:v>1.4779120715867886E-2</c:v>
                </c:pt>
                <c:pt idx="1523">
                  <c:v>1.4773298876017901E-2</c:v>
                </c:pt>
                <c:pt idx="1524">
                  <c:v>1.4767406633994631E-2</c:v>
                </c:pt>
                <c:pt idx="1525">
                  <c:v>1.4761647993841769E-2</c:v>
                </c:pt>
                <c:pt idx="1526">
                  <c:v>1.4755920240220481E-2</c:v>
                </c:pt>
                <c:pt idx="1527">
                  <c:v>1.4750223561652053E-2</c:v>
                </c:pt>
                <c:pt idx="1528">
                  <c:v>1.4744558146657332E-2</c:v>
                </c:pt>
                <c:pt idx="1529">
                  <c:v>1.4739014823267565E-2</c:v>
                </c:pt>
                <c:pt idx="1530">
                  <c:v>1.4733410405009912E-2</c:v>
                </c:pt>
                <c:pt idx="1531">
                  <c:v>1.472783780103562E-2</c:v>
                </c:pt>
                <c:pt idx="1532">
                  <c:v>1.4722297199858207E-2</c:v>
                </c:pt>
                <c:pt idx="1533">
                  <c:v>1.4716706623483429E-2</c:v>
                </c:pt>
                <c:pt idx="1534">
                  <c:v>1.4711232748836687E-2</c:v>
                </c:pt>
                <c:pt idx="1535">
                  <c:v>1.4705791457394212E-2</c:v>
                </c:pt>
                <c:pt idx="1536">
                  <c:v>1.470038293767114E-2</c:v>
                </c:pt>
                <c:pt idx="1537">
                  <c:v>1.4694315282852404E-2</c:v>
                </c:pt>
                <c:pt idx="1538">
                  <c:v>1.4688975405977585E-2</c:v>
                </c:pt>
                <c:pt idx="1539">
                  <c:v>1.4683668878400452E-2</c:v>
                </c:pt>
                <c:pt idx="1540">
                  <c:v>1.4678395888629663E-2</c:v>
                </c:pt>
                <c:pt idx="1541">
                  <c:v>1.4673156625173876E-2</c:v>
                </c:pt>
                <c:pt idx="1542">
                  <c:v>1.4667951276540862E-2</c:v>
                </c:pt>
                <c:pt idx="1543">
                  <c:v>1.4662780031237952E-2</c:v>
                </c:pt>
                <c:pt idx="1544">
                  <c:v>1.4657643077772477E-2</c:v>
                </c:pt>
                <c:pt idx="1545">
                  <c:v>1.4652540604653095E-2</c:v>
                </c:pt>
                <c:pt idx="1546">
                  <c:v>1.4647315527264993E-2</c:v>
                </c:pt>
                <c:pt idx="1547">
                  <c:v>1.4642289638964674E-2</c:v>
                </c:pt>
                <c:pt idx="1548">
                  <c:v>1.4637298841398153E-2</c:v>
                </c:pt>
                <c:pt idx="1549">
                  <c:v>1.4632343323090709E-2</c:v>
                </c:pt>
                <c:pt idx="1550">
                  <c:v>1.4627465964396383E-2</c:v>
                </c:pt>
                <c:pt idx="1551">
                  <c:v>1.4621883960956801E-2</c:v>
                </c:pt>
                <c:pt idx="1552">
                  <c:v>1.4617038116314525E-2</c:v>
                </c:pt>
                <c:pt idx="1553">
                  <c:v>1.4612228316976259E-2</c:v>
                </c:pt>
                <c:pt idx="1554">
                  <c:v>1.460745475146355E-2</c:v>
                </c:pt>
                <c:pt idx="1555">
                  <c:v>1.4602627977711813E-2</c:v>
                </c:pt>
                <c:pt idx="1556">
                  <c:v>1.4597934923920638E-2</c:v>
                </c:pt>
                <c:pt idx="1557">
                  <c:v>1.4593278714556328E-2</c:v>
                </c:pt>
                <c:pt idx="1558">
                  <c:v>1.4588659538159679E-2</c:v>
                </c:pt>
                <c:pt idx="1559">
                  <c:v>1.4584137029467663E-2</c:v>
                </c:pt>
                <c:pt idx="1560">
                  <c:v>1.4579584825825866E-2</c:v>
                </c:pt>
                <c:pt idx="1561">
                  <c:v>1.4575070175651725E-2</c:v>
                </c:pt>
                <c:pt idx="1562">
                  <c:v>1.4570556933028641E-2</c:v>
                </c:pt>
                <c:pt idx="1563">
                  <c:v>1.456612574956246E-2</c:v>
                </c:pt>
                <c:pt idx="1564">
                  <c:v>1.4561732730306138E-2</c:v>
                </c:pt>
                <c:pt idx="1565">
                  <c:v>1.4557378063800037E-2</c:v>
                </c:pt>
                <c:pt idx="1566">
                  <c:v>1.4553061938587535E-2</c:v>
                </c:pt>
                <c:pt idx="1567">
                  <c:v>1.4548781454705593E-2</c:v>
                </c:pt>
                <c:pt idx="1568">
                  <c:v>1.4544546066217681E-2</c:v>
                </c:pt>
                <c:pt idx="1569">
                  <c:v>1.4540346696148796E-2</c:v>
                </c:pt>
                <c:pt idx="1570">
                  <c:v>1.4536186621550444E-2</c:v>
                </c:pt>
                <c:pt idx="1571">
                  <c:v>1.4532030589739883E-2</c:v>
                </c:pt>
                <c:pt idx="1572">
                  <c:v>1.452791369893178E-2</c:v>
                </c:pt>
                <c:pt idx="1573">
                  <c:v>1.4523858904962021E-2</c:v>
                </c:pt>
                <c:pt idx="1574">
                  <c:v>1.4519844085053451E-2</c:v>
                </c:pt>
                <c:pt idx="1575">
                  <c:v>1.4515869427724882E-2</c:v>
                </c:pt>
                <c:pt idx="1576">
                  <c:v>1.4511959943154204E-2</c:v>
                </c:pt>
                <c:pt idx="1577">
                  <c:v>1.4508068981429518E-2</c:v>
                </c:pt>
                <c:pt idx="1578">
                  <c:v>1.4504218762986109E-2</c:v>
                </c:pt>
                <c:pt idx="1579">
                  <c:v>1.4500409476353169E-2</c:v>
                </c:pt>
                <c:pt idx="1580">
                  <c:v>1.4496641310057254E-2</c:v>
                </c:pt>
                <c:pt idx="1581">
                  <c:v>1.4492875455031251E-2</c:v>
                </c:pt>
                <c:pt idx="1582">
                  <c:v>1.4489187214338064E-2</c:v>
                </c:pt>
                <c:pt idx="1583">
                  <c:v>1.4485540644402328E-2</c:v>
                </c:pt>
                <c:pt idx="1584">
                  <c:v>1.4481935933752134E-2</c:v>
                </c:pt>
                <c:pt idx="1585">
                  <c:v>1.4478423882263274E-2</c:v>
                </c:pt>
                <c:pt idx="1586">
                  <c:v>1.4474906397177655E-2</c:v>
                </c:pt>
                <c:pt idx="1587">
                  <c:v>1.4471431352168104E-2</c:v>
                </c:pt>
                <c:pt idx="1588">
                  <c:v>1.4467998935773475E-2</c:v>
                </c:pt>
                <c:pt idx="1589">
                  <c:v>1.4464546868335808E-2</c:v>
                </c:pt>
                <c:pt idx="1590">
                  <c:v>1.4461197272547887E-2</c:v>
                </c:pt>
                <c:pt idx="1591">
                  <c:v>1.4457890855775689E-2</c:v>
                </c:pt>
                <c:pt idx="1592">
                  <c:v>1.4454627806556576E-2</c:v>
                </c:pt>
                <c:pt idx="1593">
                  <c:v>1.4451408313431443E-2</c:v>
                </c:pt>
                <c:pt idx="1594">
                  <c:v>1.4448232564942067E-2</c:v>
                </c:pt>
                <c:pt idx="1595">
                  <c:v>1.4445100749631555E-2</c:v>
                </c:pt>
                <c:pt idx="1596">
                  <c:v>1.4442013056045219E-2</c:v>
                </c:pt>
                <c:pt idx="1597">
                  <c:v>1.4438969672730135E-2</c:v>
                </c:pt>
                <c:pt idx="1598">
                  <c:v>1.4436424018203093E-2</c:v>
                </c:pt>
                <c:pt idx="1599">
                  <c:v>1.4433485534088134E-2</c:v>
                </c:pt>
                <c:pt idx="1600">
                  <c:v>1.4430592002331571E-2</c:v>
                </c:pt>
                <c:pt idx="1601">
                  <c:v>1.4427743611521042E-2</c:v>
                </c:pt>
                <c:pt idx="1602">
                  <c:v>1.4424629693778236E-2</c:v>
                </c:pt>
                <c:pt idx="1603">
                  <c:v>1.4421862534620248E-2</c:v>
                </c:pt>
                <c:pt idx="1604">
                  <c:v>1.4419141036238842E-2</c:v>
                </c:pt>
                <c:pt idx="1605">
                  <c:v>1.4416465387208853E-2</c:v>
                </c:pt>
                <c:pt idx="1606">
                  <c:v>1.4413835776108181E-2</c:v>
                </c:pt>
                <c:pt idx="1607">
                  <c:v>1.441161178766538E-2</c:v>
                </c:pt>
                <c:pt idx="1608">
                  <c:v>1.4409084664094331E-2</c:v>
                </c:pt>
                <c:pt idx="1609">
                  <c:v>1.4406604190243496E-2</c:v>
                </c:pt>
                <c:pt idx="1610">
                  <c:v>1.4404170554720286E-2</c:v>
                </c:pt>
                <c:pt idx="1611">
                  <c:v>1.4401384889931245E-2</c:v>
                </c:pt>
                <c:pt idx="1612">
                  <c:v>1.4399035466669406E-2</c:v>
                </c:pt>
                <c:pt idx="1613">
                  <c:v>1.4396733401445493E-2</c:v>
                </c:pt>
                <c:pt idx="1614">
                  <c:v>1.4394478882857064E-2</c:v>
                </c:pt>
                <c:pt idx="1615">
                  <c:v>1.4392711553442105E-2</c:v>
                </c:pt>
                <c:pt idx="1616">
                  <c:v>1.4390562908773037E-2</c:v>
                </c:pt>
                <c:pt idx="1617">
                  <c:v>1.4388462422751361E-2</c:v>
                </c:pt>
                <c:pt idx="1618">
                  <c:v>1.4386410284005976E-2</c:v>
                </c:pt>
                <c:pt idx="1619">
                  <c:v>1.4384406681166206E-2</c:v>
                </c:pt>
                <c:pt idx="1620">
                  <c:v>1.438245180286654E-2</c:v>
                </c:pt>
                <c:pt idx="1621">
                  <c:v>1.4380545837742318E-2</c:v>
                </c:pt>
                <c:pt idx="1622">
                  <c:v>1.4378688974432754E-2</c:v>
                </c:pt>
                <c:pt idx="1623">
                  <c:v>1.4376881401580926E-2</c:v>
                </c:pt>
                <c:pt idx="1624">
                  <c:v>1.4374236611145931E-2</c:v>
                </c:pt>
                <c:pt idx="1625">
                  <c:v>1.4372510473890258E-2</c:v>
                </c:pt>
                <c:pt idx="1626">
                  <c:v>1.43708341157171E-2</c:v>
                </c:pt>
                <c:pt idx="1627">
                  <c:v>1.4369207725246403E-2</c:v>
                </c:pt>
                <c:pt idx="1628">
                  <c:v>1.4367822389962761E-2</c:v>
                </c:pt>
                <c:pt idx="1629">
                  <c:v>1.4366300101769678E-2</c:v>
                </c:pt>
                <c:pt idx="1630">
                  <c:v>1.436482836264614E-2</c:v>
                </c:pt>
                <c:pt idx="1631">
                  <c:v>1.4363407361230703E-2</c:v>
                </c:pt>
                <c:pt idx="1632">
                  <c:v>1.4362037286166314E-2</c:v>
                </c:pt>
                <c:pt idx="1633">
                  <c:v>1.4360509267250963E-2</c:v>
                </c:pt>
                <c:pt idx="1634">
                  <c:v>1.4359237932306019E-2</c:v>
                </c:pt>
                <c:pt idx="1635">
                  <c:v>1.4358018074133535E-2</c:v>
                </c:pt>
                <c:pt idx="1636">
                  <c:v>1.435684988138437E-2</c:v>
                </c:pt>
                <c:pt idx="1637">
                  <c:v>1.4355957408839447E-2</c:v>
                </c:pt>
                <c:pt idx="1638">
                  <c:v>1.4354896853567712E-2</c:v>
                </c:pt>
                <c:pt idx="1639">
                  <c:v>1.4353888545242086E-2</c:v>
                </c:pt>
                <c:pt idx="1640">
                  <c:v>1.4352932672534067E-2</c:v>
                </c:pt>
                <c:pt idx="1641">
                  <c:v>1.4352029424118225E-2</c:v>
                </c:pt>
                <c:pt idx="1642">
                  <c:v>1.435093626356485E-2</c:v>
                </c:pt>
                <c:pt idx="1643">
                  <c:v>1.4350135011253057E-2</c:v>
                </c:pt>
                <c:pt idx="1644">
                  <c:v>1.4349386933688523E-2</c:v>
                </c:pt>
                <c:pt idx="1645">
                  <c:v>1.4348692219553906E-2</c:v>
                </c:pt>
                <c:pt idx="1646">
                  <c:v>1.4348051057536284E-2</c:v>
                </c:pt>
                <c:pt idx="1647">
                  <c:v>1.434746363632715E-2</c:v>
                </c:pt>
                <c:pt idx="1648">
                  <c:v>1.4346930144620648E-2</c:v>
                </c:pt>
                <c:pt idx="1649">
                  <c:v>1.4346450771115779E-2</c:v>
                </c:pt>
                <c:pt idx="1650">
                  <c:v>1.4347398115904401E-2</c:v>
                </c:pt>
                <c:pt idx="1651">
                  <c:v>1.4347047278218186E-2</c:v>
                </c:pt>
                <c:pt idx="1652">
                  <c:v>1.434675120312944E-2</c:v>
                </c:pt>
                <c:pt idx="1653">
                  <c:v>1.4346510079392119E-2</c:v>
                </c:pt>
                <c:pt idx="1654">
                  <c:v>1.4345451829723743E-2</c:v>
                </c:pt>
                <c:pt idx="1655">
                  <c:v>1.4345309142192007E-2</c:v>
                </c:pt>
                <c:pt idx="1656">
                  <c:v>1.434522192524359E-2</c:v>
                </c:pt>
                <c:pt idx="1657">
                  <c:v>1.4345190367628054E-2</c:v>
                </c:pt>
                <c:pt idx="1658">
                  <c:v>1.4345214658099327E-2</c:v>
                </c:pt>
                <c:pt idx="1659">
                  <c:v>1.4346227886200295E-2</c:v>
                </c:pt>
                <c:pt idx="1660">
                  <c:v>1.4346376707444224E-2</c:v>
                </c:pt>
                <c:pt idx="1661">
                  <c:v>1.4346581990245305E-2</c:v>
                </c:pt>
                <c:pt idx="1662">
                  <c:v>1.4346843923400042E-2</c:v>
                </c:pt>
                <c:pt idx="1663">
                  <c:v>1.4346180438506231E-2</c:v>
                </c:pt>
                <c:pt idx="1664">
                  <c:v>1.4346543781611779E-2</c:v>
                </c:pt>
                <c:pt idx="1665">
                  <c:v>1.4346964294220558E-2</c:v>
                </c:pt>
                <c:pt idx="1666">
                  <c:v>1.4347442165126682E-2</c:v>
                </c:pt>
                <c:pt idx="1667">
                  <c:v>1.4347977583127327E-2</c:v>
                </c:pt>
                <c:pt idx="1668">
                  <c:v>1.4349615753061751E-2</c:v>
                </c:pt>
                <c:pt idx="1669">
                  <c:v>1.4350279525451922E-2</c:v>
                </c:pt>
                <c:pt idx="1670">
                  <c:v>1.4351001458761614E-2</c:v>
                </c:pt>
                <c:pt idx="1671">
                  <c:v>1.4351781741834607E-2</c:v>
                </c:pt>
                <c:pt idx="1672">
                  <c:v>1.4352620563521556E-2</c:v>
                </c:pt>
                <c:pt idx="1673">
                  <c:v>1.4353518112678274E-2</c:v>
                </c:pt>
                <c:pt idx="1674">
                  <c:v>1.4354474578166162E-2</c:v>
                </c:pt>
                <c:pt idx="1675">
                  <c:v>1.4355490148851343E-2</c:v>
                </c:pt>
                <c:pt idx="1676">
                  <c:v>1.4355035343407528E-2</c:v>
                </c:pt>
                <c:pt idx="1677">
                  <c:v>1.4356152262845345E-2</c:v>
                </c:pt>
                <c:pt idx="1678">
                  <c:v>1.4357328790657662E-2</c:v>
                </c:pt>
                <c:pt idx="1679">
                  <c:v>1.43585651157022E-2</c:v>
                </c:pt>
                <c:pt idx="1680">
                  <c:v>1.4359861426838875E-2</c:v>
                </c:pt>
                <c:pt idx="1681">
                  <c:v>1.4361621620204748E-2</c:v>
                </c:pt>
                <c:pt idx="1682">
                  <c:v>1.436304290416216E-2</c:v>
                </c:pt>
                <c:pt idx="1683">
                  <c:v>1.4364524756740727E-2</c:v>
                </c:pt>
                <c:pt idx="1684">
                  <c:v>1.4366067366835473E-2</c:v>
                </c:pt>
                <c:pt idx="1685">
                  <c:v>1.4367249384521863E-2</c:v>
                </c:pt>
                <c:pt idx="1686">
                  <c:v>1.436890957866095E-2</c:v>
                </c:pt>
                <c:pt idx="1687">
                  <c:v>1.4370631041617747E-2</c:v>
                </c:pt>
                <c:pt idx="1688">
                  <c:v>1.4372412617395641E-2</c:v>
                </c:pt>
                <c:pt idx="1689">
                  <c:v>1.4374689896434648E-2</c:v>
                </c:pt>
                <c:pt idx="1690">
                  <c:v>1.4376586736032827E-2</c:v>
                </c:pt>
                <c:pt idx="1691">
                  <c:v>1.4378534910704465E-2</c:v>
                </c:pt>
                <c:pt idx="1692">
                  <c:v>1.4380531580044931E-2</c:v>
                </c:pt>
                <c:pt idx="1693">
                  <c:v>1.4382573894467865E-2</c:v>
                </c:pt>
                <c:pt idx="1694">
                  <c:v>1.4384207394981027E-2</c:v>
                </c:pt>
                <c:pt idx="1695">
                  <c:v>1.4386330716208881E-2</c:v>
                </c:pt>
                <c:pt idx="1696">
                  <c:v>1.4388491361883565E-2</c:v>
                </c:pt>
                <c:pt idx="1697">
                  <c:v>1.4390686430223844E-2</c:v>
                </c:pt>
                <c:pt idx="1698">
                  <c:v>1.4392913010209726E-2</c:v>
                </c:pt>
                <c:pt idx="1699">
                  <c:v>1.439516818159167E-2</c:v>
                </c:pt>
                <c:pt idx="1700">
                  <c:v>1.4397449014878744E-2</c:v>
                </c:pt>
                <c:pt idx="1701">
                  <c:v>1.4399752571347397E-2</c:v>
                </c:pt>
                <c:pt idx="1702">
                  <c:v>1.4403908122795493E-2</c:v>
                </c:pt>
                <c:pt idx="1703">
                  <c:v>1.4406247688514713E-2</c:v>
                </c:pt>
                <c:pt idx="1704">
                  <c:v>1.440860048327889E-2</c:v>
                </c:pt>
                <c:pt idx="1705">
                  <c:v>1.4410963593842894E-2</c:v>
                </c:pt>
                <c:pt idx="1706">
                  <c:v>1.4411964408120398E-2</c:v>
                </c:pt>
                <c:pt idx="1707">
                  <c:v>1.4414341403954223E-2</c:v>
                </c:pt>
                <c:pt idx="1708">
                  <c:v>1.4416720198887059E-2</c:v>
                </c:pt>
                <c:pt idx="1709">
                  <c:v>1.441909779635722E-2</c:v>
                </c:pt>
                <c:pt idx="1710">
                  <c:v>1.442147119061212E-2</c:v>
                </c:pt>
                <c:pt idx="1711">
                  <c:v>1.4425079259722067E-2</c:v>
                </c:pt>
                <c:pt idx="1712">
                  <c:v>1.4427431515726315E-2</c:v>
                </c:pt>
                <c:pt idx="1713">
                  <c:v>1.4429770131925604E-2</c:v>
                </c:pt>
                <c:pt idx="1714">
                  <c:v>1.443209373697581E-2</c:v>
                </c:pt>
                <c:pt idx="1715">
                  <c:v>1.4434402240928996E-2</c:v>
                </c:pt>
                <c:pt idx="1716">
                  <c:v>1.4436695592657194E-2</c:v>
                </c:pt>
                <c:pt idx="1717">
                  <c:v>1.443897374103287E-2</c:v>
                </c:pt>
                <c:pt idx="1718">
                  <c:v>1.444123663492935E-2</c:v>
                </c:pt>
                <c:pt idx="1719">
                  <c:v>1.444348422321824E-2</c:v>
                </c:pt>
                <c:pt idx="1720">
                  <c:v>1.4445716454773732E-2</c:v>
                </c:pt>
                <c:pt idx="1721">
                  <c:v>1.4447933278467424E-2</c:v>
                </c:pt>
                <c:pt idx="1722">
                  <c:v>1.4450134643173514E-2</c:v>
                </c:pt>
                <c:pt idx="1723">
                  <c:v>1.4452320497764898E-2</c:v>
                </c:pt>
                <c:pt idx="1724">
                  <c:v>1.4454490791114907E-2</c:v>
                </c:pt>
                <c:pt idx="1725">
                  <c:v>1.4456645472097299E-2</c:v>
                </c:pt>
                <c:pt idx="1726">
                  <c:v>1.4458784489585406E-2</c:v>
                </c:pt>
                <c:pt idx="1727">
                  <c:v>1.4460907792454285E-2</c:v>
                </c:pt>
                <c:pt idx="1728">
                  <c:v>1.4461275381658669E-2</c:v>
                </c:pt>
                <c:pt idx="1729">
                  <c:v>1.446337135422059E-2</c:v>
                </c:pt>
                <c:pt idx="1730">
                  <c:v>1.446545147588269E-2</c:v>
                </c:pt>
                <c:pt idx="1731">
                  <c:v>1.4467515695527849E-2</c:v>
                </c:pt>
                <c:pt idx="1732">
                  <c:v>1.4469994809318152E-2</c:v>
                </c:pt>
                <c:pt idx="1733">
                  <c:v>1.4472025992046099E-2</c:v>
                </c:pt>
                <c:pt idx="1734">
                  <c:v>1.4474041115128126E-2</c:v>
                </c:pt>
                <c:pt idx="1735">
                  <c:v>1.4477749575696116E-2</c:v>
                </c:pt>
                <c:pt idx="1736">
                  <c:v>1.4478022977876662E-2</c:v>
                </c:pt>
                <c:pt idx="1737">
                  <c:v>1.4479564208561968E-2</c:v>
                </c:pt>
                <c:pt idx="1738">
                  <c:v>1.4481515682850651E-2</c:v>
                </c:pt>
                <c:pt idx="1739">
                  <c:v>1.448345084619867E-2</c:v>
                </c:pt>
                <c:pt idx="1740">
                  <c:v>1.4485369647492436E-2</c:v>
                </c:pt>
                <c:pt idx="1741">
                  <c:v>1.4487693012690433E-2</c:v>
                </c:pt>
                <c:pt idx="1742">
                  <c:v>1.4489577818365044E-2</c:v>
                </c:pt>
                <c:pt idx="1743">
                  <c:v>1.4491446104337566E-2</c:v>
                </c:pt>
                <c:pt idx="1744">
                  <c:v>1.4493297819493281E-2</c:v>
                </c:pt>
                <c:pt idx="1745">
                  <c:v>1.4494666008813479E-2</c:v>
                </c:pt>
                <c:pt idx="1746">
                  <c:v>1.449772553915848E-2</c:v>
                </c:pt>
                <c:pt idx="1747">
                  <c:v>1.4499520052020742E-2</c:v>
                </c:pt>
                <c:pt idx="1748">
                  <c:v>1.4501297767697825E-2</c:v>
                </c:pt>
                <c:pt idx="1749">
                  <c:v>1.4503058635073693E-2</c:v>
                </c:pt>
                <c:pt idx="1750">
                  <c:v>1.4504802603034505E-2</c:v>
                </c:pt>
                <c:pt idx="1751">
                  <c:v>1.4506529620466424E-2</c:v>
                </c:pt>
                <c:pt idx="1752">
                  <c:v>1.4508239636254295E-2</c:v>
                </c:pt>
                <c:pt idx="1753">
                  <c:v>1.450993259928428E-2</c:v>
                </c:pt>
                <c:pt idx="1754">
                  <c:v>1.4512419356051241E-2</c:v>
                </c:pt>
                <c:pt idx="1755">
                  <c:v>1.4514075706596657E-2</c:v>
                </c:pt>
                <c:pt idx="1756">
                  <c:v>1.451571484237507E-2</c:v>
                </c:pt>
                <c:pt idx="1757">
                  <c:v>1.4517336712269109E-2</c:v>
                </c:pt>
                <c:pt idx="1758">
                  <c:v>1.4518540601552827E-2</c:v>
                </c:pt>
                <c:pt idx="1759">
                  <c:v>1.452012898071829E-2</c:v>
                </c:pt>
                <c:pt idx="1760">
                  <c:v>1.4521699944993678E-2</c:v>
                </c:pt>
                <c:pt idx="1761">
                  <c:v>1.452369408472003E-2</c:v>
                </c:pt>
                <c:pt idx="1762">
                  <c:v>1.4524789424420063E-2</c:v>
                </c:pt>
                <c:pt idx="1763">
                  <c:v>1.4526702485535174E-2</c:v>
                </c:pt>
                <c:pt idx="1764">
                  <c:v>1.4528202062981305E-2</c:v>
                </c:pt>
                <c:pt idx="1765">
                  <c:v>1.4529683965615822E-2</c:v>
                </c:pt>
                <c:pt idx="1766">
                  <c:v>1.4531148142323525E-2</c:v>
                </c:pt>
                <c:pt idx="1767">
                  <c:v>1.4532204784476333E-2</c:v>
                </c:pt>
                <c:pt idx="1768">
                  <c:v>1.4533634589558532E-2</c:v>
                </c:pt>
                <c:pt idx="1769">
                  <c:v>1.45350465197383E-2</c:v>
                </c:pt>
                <c:pt idx="1770">
                  <c:v>1.4536440523902423E-2</c:v>
                </c:pt>
                <c:pt idx="1771">
                  <c:v>1.4538586035333116E-2</c:v>
                </c:pt>
                <c:pt idx="1772">
                  <c:v>1.4539558095753701E-2</c:v>
                </c:pt>
                <c:pt idx="1773">
                  <c:v>1.4540896759800271E-2</c:v>
                </c:pt>
                <c:pt idx="1774">
                  <c:v>1.4542217289016246E-2</c:v>
                </c:pt>
                <c:pt idx="1775">
                  <c:v>1.4543519632290773E-2</c:v>
                </c:pt>
                <c:pt idx="1776">
                  <c:v>1.4544803738513867E-2</c:v>
                </c:pt>
                <c:pt idx="1777">
                  <c:v>1.4546069556572064E-2</c:v>
                </c:pt>
                <c:pt idx="1778">
                  <c:v>1.4547317035356683E-2</c:v>
                </c:pt>
                <c:pt idx="1779">
                  <c:v>1.4548546123757739E-2</c:v>
                </c:pt>
                <c:pt idx="1780">
                  <c:v>1.4549009896829354E-2</c:v>
                </c:pt>
                <c:pt idx="1781">
                  <c:v>1.4550204631641094E-2</c:v>
                </c:pt>
                <c:pt idx="1782">
                  <c:v>1.4551380831527594E-2</c:v>
                </c:pt>
                <c:pt idx="1783">
                  <c:v>1.4552538445385113E-2</c:v>
                </c:pt>
                <c:pt idx="1784">
                  <c:v>1.4553677422110793E-2</c:v>
                </c:pt>
                <c:pt idx="1785">
                  <c:v>1.4555164710289592E-2</c:v>
                </c:pt>
                <c:pt idx="1786">
                  <c:v>1.4555899259752137E-2</c:v>
                </c:pt>
                <c:pt idx="1787">
                  <c:v>1.4556982018463399E-2</c:v>
                </c:pt>
                <c:pt idx="1788">
                  <c:v>1.4558045935631829E-2</c:v>
                </c:pt>
                <c:pt idx="1789">
                  <c:v>1.4559090960156765E-2</c:v>
                </c:pt>
                <c:pt idx="1790">
                  <c:v>1.4560117040936229E-2</c:v>
                </c:pt>
                <c:pt idx="1791">
                  <c:v>1.4561124126870875E-2</c:v>
                </c:pt>
                <c:pt idx="1792">
                  <c:v>1.4562112166858723E-2</c:v>
                </c:pt>
                <c:pt idx="1793">
                  <c:v>1.4563081109802624E-2</c:v>
                </c:pt>
                <c:pt idx="1794">
                  <c:v>1.456403090460104E-2</c:v>
                </c:pt>
                <c:pt idx="1795">
                  <c:v>1.4564961500155941E-2</c:v>
                </c:pt>
                <c:pt idx="1796">
                  <c:v>1.4565872845368862E-2</c:v>
                </c:pt>
                <c:pt idx="1797">
                  <c:v>1.4566539854233663E-2</c:v>
                </c:pt>
                <c:pt idx="1798">
                  <c:v>1.4567411141829545E-2</c:v>
                </c:pt>
                <c:pt idx="1799">
                  <c:v>1.4568263022922065E-2</c:v>
                </c:pt>
                <c:pt idx="1800">
                  <c:v>1.456909544641706E-2</c:v>
                </c:pt>
                <c:pt idx="1801">
                  <c:v>1.4569908361219935E-2</c:v>
                </c:pt>
                <c:pt idx="1802">
                  <c:v>1.4570701716238301E-2</c:v>
                </c:pt>
                <c:pt idx="1803">
                  <c:v>1.4571475460378441E-2</c:v>
                </c:pt>
                <c:pt idx="1804">
                  <c:v>1.457222954254885E-2</c:v>
                </c:pt>
                <c:pt idx="1805">
                  <c:v>1.4572963911658019E-2</c:v>
                </c:pt>
                <c:pt idx="1806">
                  <c:v>1.4574693474270763E-2</c:v>
                </c:pt>
                <c:pt idx="1807">
                  <c:v>1.4575384047214373E-2</c:v>
                </c:pt>
                <c:pt idx="1808">
                  <c:v>1.4576054740474435E-2</c:v>
                </c:pt>
                <c:pt idx="1809">
                  <c:v>1.4576705502954425E-2</c:v>
                </c:pt>
                <c:pt idx="1810">
                  <c:v>1.4577003740902806E-2</c:v>
                </c:pt>
                <c:pt idx="1811">
                  <c:v>1.4577787132688782E-2</c:v>
                </c:pt>
                <c:pt idx="1812">
                  <c:v>1.4578373478168056E-2</c:v>
                </c:pt>
                <c:pt idx="1813">
                  <c:v>1.4578939678351624E-2</c:v>
                </c:pt>
                <c:pt idx="1814">
                  <c:v>1.4580214307620109E-2</c:v>
                </c:pt>
                <c:pt idx="1815">
                  <c:v>1.4580985946313432E-2</c:v>
                </c:pt>
                <c:pt idx="1816">
                  <c:v>1.4581487060303305E-2</c:v>
                </c:pt>
                <c:pt idx="1817">
                  <c:v>1.4581967811226247E-2</c:v>
                </c:pt>
                <c:pt idx="1818">
                  <c:v>1.458146671166909E-2</c:v>
                </c:pt>
                <c:pt idx="1819">
                  <c:v>1.4581910967185835E-2</c:v>
                </c:pt>
                <c:pt idx="1820">
                  <c:v>1.4582334719781688E-2</c:v>
                </c:pt>
                <c:pt idx="1821">
                  <c:v>1.4582737918368775E-2</c:v>
                </c:pt>
                <c:pt idx="1822">
                  <c:v>1.45840643315234E-2</c:v>
                </c:pt>
                <c:pt idx="1823">
                  <c:v>1.4584421831066917E-2</c:v>
                </c:pt>
                <c:pt idx="1824">
                  <c:v>1.458475860988938E-2</c:v>
                </c:pt>
                <c:pt idx="1825">
                  <c:v>1.4585074616900047E-2</c:v>
                </c:pt>
                <c:pt idx="1826">
                  <c:v>1.4585369801009461E-2</c:v>
                </c:pt>
                <c:pt idx="1827">
                  <c:v>1.4584722614911843E-2</c:v>
                </c:pt>
                <c:pt idx="1828">
                  <c:v>1.458589749616542E-2</c:v>
                </c:pt>
                <c:pt idx="1829">
                  <c:v>1.4586129905034342E-2</c:v>
                </c:pt>
                <c:pt idx="1830">
                  <c:v>1.4586341286647202E-2</c:v>
                </c:pt>
                <c:pt idx="1831">
                  <c:v>1.4585628195046002E-2</c:v>
                </c:pt>
                <c:pt idx="1832">
                  <c:v>1.4585202014423015E-2</c:v>
                </c:pt>
                <c:pt idx="1833">
                  <c:v>1.4585357626377277E-2</c:v>
                </c:pt>
                <c:pt idx="1834">
                  <c:v>1.4585492029255496E-2</c:v>
                </c:pt>
                <c:pt idx="1835">
                  <c:v>1.4585605171984714E-2</c:v>
                </c:pt>
                <c:pt idx="1836">
                  <c:v>1.4585990911020929E-2</c:v>
                </c:pt>
                <c:pt idx="1837">
                  <c:v>1.4586059839416668E-2</c:v>
                </c:pt>
                <c:pt idx="1838">
                  <c:v>1.4586107349931311E-2</c:v>
                </c:pt>
                <c:pt idx="1839">
                  <c:v>1.4586133391492746E-2</c:v>
                </c:pt>
                <c:pt idx="1840">
                  <c:v>1.4586137913026223E-2</c:v>
                </c:pt>
                <c:pt idx="1841">
                  <c:v>1.4585834705148019E-2</c:v>
                </c:pt>
                <c:pt idx="1842">
                  <c:v>1.4585797596809075E-2</c:v>
                </c:pt>
                <c:pt idx="1843">
                  <c:v>1.4585738819752041E-2</c:v>
                </c:pt>
                <c:pt idx="1844">
                  <c:v>1.4585658322907494E-2</c:v>
                </c:pt>
                <c:pt idx="1845">
                  <c:v>1.4585835932791998E-2</c:v>
                </c:pt>
                <c:pt idx="1846">
                  <c:v>1.4585710261674529E-2</c:v>
                </c:pt>
                <c:pt idx="1847">
                  <c:v>1.4585562713039681E-2</c:v>
                </c:pt>
                <c:pt idx="1848">
                  <c:v>1.4585286526557644E-2</c:v>
                </c:pt>
                <c:pt idx="1849">
                  <c:v>1.4584899334582044E-2</c:v>
                </c:pt>
                <c:pt idx="1850">
                  <c:v>1.4584716366605363E-2</c:v>
                </c:pt>
                <c:pt idx="1851">
                  <c:v>1.4584482401410742E-2</c:v>
                </c:pt>
                <c:pt idx="1852">
                  <c:v>1.458422630791207E-2</c:v>
                </c:pt>
                <c:pt idx="1853">
                  <c:v>1.4583948035046545E-2</c:v>
                </c:pt>
                <c:pt idx="1854">
                  <c:v>1.4583647531755787E-2</c:v>
                </c:pt>
                <c:pt idx="1855">
                  <c:v>1.4583324746977874E-2</c:v>
                </c:pt>
                <c:pt idx="1856">
                  <c:v>1.4582979629654425E-2</c:v>
                </c:pt>
                <c:pt idx="1857">
                  <c:v>1.458261212872794E-2</c:v>
                </c:pt>
                <c:pt idx="1858">
                  <c:v>1.4583515511273938E-2</c:v>
                </c:pt>
                <c:pt idx="1859">
                  <c:v>1.4583094882431643E-2</c:v>
                </c:pt>
                <c:pt idx="1860">
                  <c:v>1.4582651694032975E-2</c:v>
                </c:pt>
                <c:pt idx="1861">
                  <c:v>1.4582185895012116E-2</c:v>
                </c:pt>
                <c:pt idx="1862">
                  <c:v>1.4580941680148316E-2</c:v>
                </c:pt>
                <c:pt idx="1863">
                  <c:v>1.4580435487370131E-2</c:v>
                </c:pt>
                <c:pt idx="1864">
                  <c:v>1.4579906544474963E-2</c:v>
                </c:pt>
                <c:pt idx="1865">
                  <c:v>1.4579354800406825E-2</c:v>
                </c:pt>
                <c:pt idx="1866">
                  <c:v>1.4578780204111472E-2</c:v>
                </c:pt>
                <c:pt idx="1867">
                  <c:v>1.4578913418321625E-2</c:v>
                </c:pt>
                <c:pt idx="1868">
                  <c:v>1.4578287915210382E-2</c:v>
                </c:pt>
                <c:pt idx="1869">
                  <c:v>1.4577639392990801E-2</c:v>
                </c:pt>
                <c:pt idx="1870">
                  <c:v>1.4576967800605226E-2</c:v>
                </c:pt>
                <c:pt idx="1871">
                  <c:v>1.4575562652366871E-2</c:v>
                </c:pt>
                <c:pt idx="1872">
                  <c:v>1.4574849870604515E-2</c:v>
                </c:pt>
                <c:pt idx="1873">
                  <c:v>1.4574113879255338E-2</c:v>
                </c:pt>
                <c:pt idx="1874">
                  <c:v>1.4574049708300658E-2</c:v>
                </c:pt>
                <c:pt idx="1875">
                  <c:v>1.4573261999264595E-2</c:v>
                </c:pt>
                <c:pt idx="1876">
                  <c:v>1.4572450913739401E-2</c:v>
                </c:pt>
                <c:pt idx="1877">
                  <c:v>1.4571616400675157E-2</c:v>
                </c:pt>
                <c:pt idx="1878">
                  <c:v>1.4570758409022378E-2</c:v>
                </c:pt>
                <c:pt idx="1879">
                  <c:v>1.4569207671219653E-2</c:v>
                </c:pt>
                <c:pt idx="1880">
                  <c:v>1.4568971785755842E-2</c:v>
                </c:pt>
                <c:pt idx="1881">
                  <c:v>1.456804305204655E-2</c:v>
                </c:pt>
                <c:pt idx="1882">
                  <c:v>1.4567090635559369E-2</c:v>
                </c:pt>
                <c:pt idx="1883">
                  <c:v>1.4566114485248678E-2</c:v>
                </c:pt>
                <c:pt idx="1884">
                  <c:v>1.4564256881125125E-2</c:v>
                </c:pt>
                <c:pt idx="1885">
                  <c:v>1.4563240153362925E-2</c:v>
                </c:pt>
                <c:pt idx="1886">
                  <c:v>1.4562199557068077E-2</c:v>
                </c:pt>
                <c:pt idx="1887">
                  <c:v>1.4561135041206683E-2</c:v>
                </c:pt>
                <c:pt idx="1888">
                  <c:v>1.456025414822822E-2</c:v>
                </c:pt>
                <c:pt idx="1889">
                  <c:v>1.4559139861605903E-2</c:v>
                </c:pt>
                <c:pt idx="1890">
                  <c:v>1.4558815966939885E-2</c:v>
                </c:pt>
                <c:pt idx="1891">
                  <c:v>1.4556839005507033E-2</c:v>
                </c:pt>
                <c:pt idx="1892">
                  <c:v>1.455565233396742E-2</c:v>
                </c:pt>
                <c:pt idx="1893">
                  <c:v>1.4554242777360003E-2</c:v>
                </c:pt>
                <c:pt idx="1894">
                  <c:v>1.4553009395663449E-2</c:v>
                </c:pt>
                <c:pt idx="1895">
                  <c:v>1.4551751686164264E-2</c:v>
                </c:pt>
                <c:pt idx="1896">
                  <c:v>1.4550469597836893E-2</c:v>
                </c:pt>
                <c:pt idx="1897">
                  <c:v>1.4549354500212159E-2</c:v>
                </c:pt>
                <c:pt idx="1898">
                  <c:v>1.4548021681061812E-2</c:v>
                </c:pt>
                <c:pt idx="1899">
                  <c:v>1.4546664325388269E-2</c:v>
                </c:pt>
                <c:pt idx="1900">
                  <c:v>1.4545282382168302E-2</c:v>
                </c:pt>
                <c:pt idx="1901">
                  <c:v>1.4543691687981983E-2</c:v>
                </c:pt>
                <c:pt idx="1902">
                  <c:v>1.4542262255220813E-2</c:v>
                </c:pt>
                <c:pt idx="1903">
                  <c:v>1.4540808086485937E-2</c:v>
                </c:pt>
                <c:pt idx="1904">
                  <c:v>1.4539329130761017E-2</c:v>
                </c:pt>
                <c:pt idx="1905">
                  <c:v>1.4537825337029719E-2</c:v>
                </c:pt>
                <c:pt idx="1906">
                  <c:v>1.4536296654278346E-2</c:v>
                </c:pt>
                <c:pt idx="1907">
                  <c:v>1.4534743031493639E-2</c:v>
                </c:pt>
                <c:pt idx="1908">
                  <c:v>1.4533164417662335E-2</c:v>
                </c:pt>
                <c:pt idx="1909">
                  <c:v>1.4531560761774252E-2</c:v>
                </c:pt>
                <c:pt idx="1910">
                  <c:v>1.4530600550742808E-2</c:v>
                </c:pt>
                <c:pt idx="1911">
                  <c:v>1.4528939133223118E-2</c:v>
                </c:pt>
                <c:pt idx="1912">
                  <c:v>1.4527252502021533E-2</c:v>
                </c:pt>
                <c:pt idx="1913">
                  <c:v>1.4525540606126385E-2</c:v>
                </c:pt>
                <c:pt idx="1914">
                  <c:v>1.4523324914641915E-2</c:v>
                </c:pt>
                <c:pt idx="1915">
                  <c:v>1.4521568036252697E-2</c:v>
                </c:pt>
                <c:pt idx="1916">
                  <c:v>1.4519785754104383E-2</c:v>
                </c:pt>
                <c:pt idx="1917">
                  <c:v>1.45179780171934E-2</c:v>
                </c:pt>
                <c:pt idx="1918">
                  <c:v>1.4516144774516612E-2</c:v>
                </c:pt>
                <c:pt idx="1919">
                  <c:v>1.451473581558884E-2</c:v>
                </c:pt>
                <c:pt idx="1920">
                  <c:v>1.4512845638564907E-2</c:v>
                </c:pt>
                <c:pt idx="1921">
                  <c:v>1.4510929788782862E-2</c:v>
                </c:pt>
                <c:pt idx="1922">
                  <c:v>1.450898821524178E-2</c:v>
                </c:pt>
                <c:pt idx="1923">
                  <c:v>1.450659418964022E-2</c:v>
                </c:pt>
                <c:pt idx="1924">
                  <c:v>1.4504606841382238E-2</c:v>
                </c:pt>
                <c:pt idx="1925">
                  <c:v>1.4502593630373628E-2</c:v>
                </c:pt>
                <c:pt idx="1926">
                  <c:v>1.4500554505621734E-2</c:v>
                </c:pt>
                <c:pt idx="1927">
                  <c:v>1.4498489416134344E-2</c:v>
                </c:pt>
                <c:pt idx="1928">
                  <c:v>1.4496795719054918E-2</c:v>
                </c:pt>
                <c:pt idx="1929">
                  <c:v>1.4494672651228859E-2</c:v>
                </c:pt>
                <c:pt idx="1930">
                  <c:v>1.4492523451667743E-2</c:v>
                </c:pt>
                <c:pt idx="1931">
                  <c:v>1.4490348069380104E-2</c:v>
                </c:pt>
                <c:pt idx="1932">
                  <c:v>1.4488146453376191E-2</c:v>
                </c:pt>
                <c:pt idx="1933">
                  <c:v>1.4485918552667112E-2</c:v>
                </c:pt>
                <c:pt idx="1934">
                  <c:v>1.4483664316264837E-2</c:v>
                </c:pt>
                <c:pt idx="1935">
                  <c:v>1.4481383693184774E-2</c:v>
                </c:pt>
                <c:pt idx="1936">
                  <c:v>1.4478492610087041E-2</c:v>
                </c:pt>
                <c:pt idx="1937">
                  <c:v>1.4476169071987437E-2</c:v>
                </c:pt>
                <c:pt idx="1938">
                  <c:v>1.4473819017703667E-2</c:v>
                </c:pt>
                <c:pt idx="1939">
                  <c:v>1.4471442396260817E-2</c:v>
                </c:pt>
                <c:pt idx="1940">
                  <c:v>1.4469039156687504E-2</c:v>
                </c:pt>
                <c:pt idx="1941">
                  <c:v>1.4466716376341629E-2</c:v>
                </c:pt>
                <c:pt idx="1942">
                  <c:v>1.4464257722882344E-2</c:v>
                </c:pt>
                <c:pt idx="1943">
                  <c:v>1.4461772293687581E-2</c:v>
                </c:pt>
                <c:pt idx="1944">
                  <c:v>1.4459260037788005E-2</c:v>
                </c:pt>
                <c:pt idx="1945">
                  <c:v>1.4456621902912461E-2</c:v>
                </c:pt>
                <c:pt idx="1946">
                  <c:v>1.445405788420682E-2</c:v>
                </c:pt>
                <c:pt idx="1947">
                  <c:v>1.4451466895046582E-2</c:v>
                </c:pt>
                <c:pt idx="1948">
                  <c:v>1.444884927664521E-2</c:v>
                </c:pt>
                <c:pt idx="1949">
                  <c:v>1.4446297293911026E-2</c:v>
                </c:pt>
                <c:pt idx="1950">
                  <c:v>1.4443627945793095E-2</c:v>
                </c:pt>
                <c:pt idx="1951">
                  <c:v>1.4440935331896412E-2</c:v>
                </c:pt>
                <c:pt idx="1952">
                  <c:v>1.4438220550267463E-2</c:v>
                </c:pt>
                <c:pt idx="1953">
                  <c:v>1.4435484701853714E-2</c:v>
                </c:pt>
                <c:pt idx="1954">
                  <c:v>1.4432644428164667E-2</c:v>
                </c:pt>
                <c:pt idx="1955">
                  <c:v>1.4429870747395846E-2</c:v>
                </c:pt>
                <c:pt idx="1956">
                  <c:v>1.4427079211073968E-2</c:v>
                </c:pt>
                <c:pt idx="1957">
                  <c:v>1.442427093771558E-2</c:v>
                </c:pt>
                <c:pt idx="1958">
                  <c:v>1.442144704875733E-2</c:v>
                </c:pt>
                <c:pt idx="1959">
                  <c:v>1.4418608668549774E-2</c:v>
                </c:pt>
                <c:pt idx="1960">
                  <c:v>1.4415756924360916E-2</c:v>
                </c:pt>
                <c:pt idx="1961">
                  <c:v>1.4412892946374878E-2</c:v>
                </c:pt>
                <c:pt idx="1962">
                  <c:v>1.4410414218122494E-2</c:v>
                </c:pt>
                <c:pt idx="1963">
                  <c:v>1.4407527797493531E-2</c:v>
                </c:pt>
                <c:pt idx="1964">
                  <c:v>1.4404632848984661E-2</c:v>
                </c:pt>
                <c:pt idx="1965">
                  <c:v>1.4401730484631937E-2</c:v>
                </c:pt>
                <c:pt idx="1966">
                  <c:v>1.4398586304845168E-2</c:v>
                </c:pt>
                <c:pt idx="1967">
                  <c:v>1.439567267103925E-2</c:v>
                </c:pt>
                <c:pt idx="1968">
                  <c:v>1.4392754868739151E-2</c:v>
                </c:pt>
                <c:pt idx="1969">
                  <c:v>1.4389834039208561E-2</c:v>
                </c:pt>
                <c:pt idx="1970">
                  <c:v>1.4386911326596303E-2</c:v>
                </c:pt>
                <c:pt idx="1971">
                  <c:v>1.4384223197249973E-2</c:v>
                </c:pt>
                <c:pt idx="1972">
                  <c:v>1.4381300297315843E-2</c:v>
                </c:pt>
                <c:pt idx="1973">
                  <c:v>1.4378378965359716E-2</c:v>
                </c:pt>
                <c:pt idx="1974">
                  <c:v>1.4375459841341511E-2</c:v>
                </c:pt>
                <c:pt idx="1975">
                  <c:v>1.4372307059212247E-2</c:v>
                </c:pt>
                <c:pt idx="1976">
                  <c:v>1.4369392325410171E-2</c:v>
                </c:pt>
                <c:pt idx="1977">
                  <c:v>1.4366479902042779E-2</c:v>
                </c:pt>
                <c:pt idx="1978">
                  <c:v>1.4363569813602392E-2</c:v>
                </c:pt>
                <c:pt idx="1979">
                  <c:v>1.4360662084580023E-2</c:v>
                </c:pt>
                <c:pt idx="1980">
                  <c:v>1.4357993562378574E-2</c:v>
                </c:pt>
                <c:pt idx="1981">
                  <c:v>1.4355090822026403E-2</c:v>
                </c:pt>
                <c:pt idx="1982">
                  <c:v>1.4352190520176106E-2</c:v>
                </c:pt>
                <c:pt idx="1983">
                  <c:v>1.4349292681320349E-2</c:v>
                </c:pt>
                <c:pt idx="1984">
                  <c:v>1.4346397329953946E-2</c:v>
                </c:pt>
                <c:pt idx="1985">
                  <c:v>1.4343504490569993E-2</c:v>
                </c:pt>
                <c:pt idx="1986">
                  <c:v>1.4340614187662875E-2</c:v>
                </c:pt>
                <c:pt idx="1987">
                  <c:v>1.4337726445725688E-2</c:v>
                </c:pt>
                <c:pt idx="1988">
                  <c:v>1.4334443754605887E-2</c:v>
                </c:pt>
                <c:pt idx="1989">
                  <c:v>1.4331560806823509E-2</c:v>
                </c:pt>
                <c:pt idx="1990">
                  <c:v>1.4328680484109027E-2</c:v>
                </c:pt>
                <c:pt idx="1991">
                  <c:v>1.4325802810948491E-2</c:v>
                </c:pt>
                <c:pt idx="1992">
                  <c:v>1.4322927811831485E-2</c:v>
                </c:pt>
                <c:pt idx="1993">
                  <c:v>1.4320135416299272E-2</c:v>
                </c:pt>
                <c:pt idx="1994">
                  <c:v>1.4317265928014924E-2</c:v>
                </c:pt>
                <c:pt idx="1995">
                  <c:v>1.4314399189118107E-2</c:v>
                </c:pt>
                <c:pt idx="1996">
                  <c:v>1.4311535224098683E-2</c:v>
                </c:pt>
                <c:pt idx="1997">
                  <c:v>1.4308593783975105E-2</c:v>
                </c:pt>
                <c:pt idx="1998">
                  <c:v>1.4305735343363825E-2</c:v>
                </c:pt>
                <c:pt idx="1999">
                  <c:v>1.4302879748209894E-2</c:v>
                </c:pt>
                <c:pt idx="2000">
                  <c:v>1.430002702300113E-2</c:v>
                </c:pt>
                <c:pt idx="2001">
                  <c:v>1.4297257864239476E-2</c:v>
                </c:pt>
                <c:pt idx="2002">
                  <c:v>1.4294411056733262E-2</c:v>
                </c:pt>
                <c:pt idx="2003">
                  <c:v>1.429156719452029E-2</c:v>
                </c:pt>
                <c:pt idx="2004">
                  <c:v>1.4288726302088221E-2</c:v>
                </c:pt>
                <c:pt idx="2005">
                  <c:v>1.428548323576021E-2</c:v>
                </c:pt>
                <c:pt idx="2006">
                  <c:v>1.428256756079453E-2</c:v>
                </c:pt>
                <c:pt idx="2007">
                  <c:v>1.4279736047306764E-2</c:v>
                </c:pt>
                <c:pt idx="2008">
                  <c:v>1.4276907603155165E-2</c:v>
                </c:pt>
                <c:pt idx="2009">
                  <c:v>1.427408225282578E-2</c:v>
                </c:pt>
                <c:pt idx="2010">
                  <c:v>1.4271260020804657E-2</c:v>
                </c:pt>
                <c:pt idx="2011">
                  <c:v>1.4268440931576525E-2</c:v>
                </c:pt>
                <c:pt idx="2012">
                  <c:v>1.4265625009627868E-2</c:v>
                </c:pt>
                <c:pt idx="2013">
                  <c:v>1.4262812279444296E-2</c:v>
                </c:pt>
                <c:pt idx="2014">
                  <c:v>1.4260331632055314E-2</c:v>
                </c:pt>
                <c:pt idx="2015">
                  <c:v>1.4257525876905368E-2</c:v>
                </c:pt>
                <c:pt idx="2016">
                  <c:v>1.4254723394576141E-2</c:v>
                </c:pt>
                <c:pt idx="2017">
                  <c:v>1.4250243453972151E-2</c:v>
                </c:pt>
                <c:pt idx="2018">
                  <c:v>1.4248880084746743E-2</c:v>
                </c:pt>
                <c:pt idx="2019">
                  <c:v>1.4246335829392769E-2</c:v>
                </c:pt>
                <c:pt idx="2020">
                  <c:v>1.4243546683227283E-2</c:v>
                </c:pt>
                <c:pt idx="2021">
                  <c:v>1.4240760932324677E-2</c:v>
                </c:pt>
                <c:pt idx="2022">
                  <c:v>1.4237978601171312E-2</c:v>
                </c:pt>
                <c:pt idx="2023">
                  <c:v>1.4235199714256141E-2</c:v>
                </c:pt>
                <c:pt idx="2024">
                  <c:v>1.4232424296066384E-2</c:v>
                </c:pt>
                <c:pt idx="2025">
                  <c:v>1.4229652371089696E-2</c:v>
                </c:pt>
                <c:pt idx="2026">
                  <c:v>1.4226883963813301E-2</c:v>
                </c:pt>
                <c:pt idx="2027">
                  <c:v>1.4224119098725289E-2</c:v>
                </c:pt>
                <c:pt idx="2028">
                  <c:v>1.4221357800312445E-2</c:v>
                </c:pt>
                <c:pt idx="2029">
                  <c:v>1.4218600093061999E-2</c:v>
                </c:pt>
                <c:pt idx="2030">
                  <c:v>1.4215846001461601E-2</c:v>
                </c:pt>
                <c:pt idx="2031">
                  <c:v>1.4213095549997178E-2</c:v>
                </c:pt>
                <c:pt idx="2032">
                  <c:v>1.421034876315682E-2</c:v>
                </c:pt>
                <c:pt idx="2033">
                  <c:v>1.4207605665425156E-2</c:v>
                </c:pt>
                <c:pt idx="2034">
                  <c:v>1.4204866281291138E-2</c:v>
                </c:pt>
                <c:pt idx="2035">
                  <c:v>1.4202130635239828E-2</c:v>
                </c:pt>
                <c:pt idx="2036">
                  <c:v>1.4199398751758017E-2</c:v>
                </c:pt>
                <c:pt idx="2037">
                  <c:v>1.4196670655332064E-2</c:v>
                </c:pt>
                <c:pt idx="2038">
                  <c:v>1.4193946370447033E-2</c:v>
                </c:pt>
                <c:pt idx="2039">
                  <c:v>1.4191225921589713E-2</c:v>
                </c:pt>
                <c:pt idx="2040">
                  <c:v>1.4188164518687048E-2</c:v>
                </c:pt>
                <c:pt idx="2041">
                  <c:v>1.4185451098584075E-2</c:v>
                </c:pt>
                <c:pt idx="2042">
                  <c:v>1.4182741580276676E-2</c:v>
                </c:pt>
                <c:pt idx="2043">
                  <c:v>1.4180035988246039E-2</c:v>
                </c:pt>
                <c:pt idx="2044">
                  <c:v>1.4177421248312255E-2</c:v>
                </c:pt>
                <c:pt idx="2045">
                  <c:v>1.4174723768885176E-2</c:v>
                </c:pt>
                <c:pt idx="2046">
                  <c:v>1.4172379604812423E-2</c:v>
                </c:pt>
                <c:pt idx="2047">
                  <c:v>1.4169340839459019E-2</c:v>
                </c:pt>
                <c:pt idx="2048">
                  <c:v>1.4166655438425609E-2</c:v>
                </c:pt>
                <c:pt idx="2049">
                  <c:v>1.4163886258872124E-2</c:v>
                </c:pt>
                <c:pt idx="2050">
                  <c:v>1.4161208836272915E-2</c:v>
                </c:pt>
                <c:pt idx="2051">
                  <c:v>1.4158535535803526E-2</c:v>
                </c:pt>
                <c:pt idx="2052">
                  <c:v>1.4155866381945589E-2</c:v>
                </c:pt>
                <c:pt idx="2053">
                  <c:v>1.4153290049336952E-2</c:v>
                </c:pt>
                <c:pt idx="2054">
                  <c:v>1.4150629466109373E-2</c:v>
                </c:pt>
                <c:pt idx="2055">
                  <c:v>1.414797310486939E-2</c:v>
                </c:pt>
                <c:pt idx="2056">
                  <c:v>1.4145320990098518E-2</c:v>
                </c:pt>
                <c:pt idx="2057">
                  <c:v>1.4141271033919246E-2</c:v>
                </c:pt>
                <c:pt idx="2058">
                  <c:v>1.4138897969574278E-2</c:v>
                </c:pt>
                <c:pt idx="2059">
                  <c:v>1.4136260599985623E-2</c:v>
                </c:pt>
                <c:pt idx="2060">
                  <c:v>1.4133627585281333E-2</c:v>
                </c:pt>
                <c:pt idx="2061">
                  <c:v>1.4130998949945121E-2</c:v>
                </c:pt>
                <c:pt idx="2062">
                  <c:v>1.4128374718456745E-2</c:v>
                </c:pt>
                <c:pt idx="2063">
                  <c:v>1.4125754915297719E-2</c:v>
                </c:pt>
                <c:pt idx="2064">
                  <c:v>1.4123139564947805E-2</c:v>
                </c:pt>
                <c:pt idx="2065">
                  <c:v>1.4120528691888077E-2</c:v>
                </c:pt>
                <c:pt idx="2066">
                  <c:v>1.4118105495999249E-2</c:v>
                </c:pt>
                <c:pt idx="2067">
                  <c:v>1.4115504111534886E-2</c:v>
                </c:pt>
                <c:pt idx="2068">
                  <c:v>1.4112907281692422E-2</c:v>
                </c:pt>
                <c:pt idx="2069">
                  <c:v>1.4110315030953575E-2</c:v>
                </c:pt>
                <c:pt idx="2070">
                  <c:v>1.4107634850566394E-2</c:v>
                </c:pt>
                <c:pt idx="2071">
                  <c:v>1.4105051593312386E-2</c:v>
                </c:pt>
                <c:pt idx="2072">
                  <c:v>1.4101737099517769E-2</c:v>
                </c:pt>
                <c:pt idx="2073">
                  <c:v>1.4099899055085047E-2</c:v>
                </c:pt>
                <c:pt idx="2074">
                  <c:v>1.4097329823074082E-2</c:v>
                </c:pt>
                <c:pt idx="2075">
                  <c:v>1.4094859058673283E-2</c:v>
                </c:pt>
                <c:pt idx="2076">
                  <c:v>1.4092299547146213E-2</c:v>
                </c:pt>
                <c:pt idx="2077">
                  <c:v>1.4089744810574355E-2</c:v>
                </c:pt>
                <c:pt idx="2078">
                  <c:v>1.4087194873439434E-2</c:v>
                </c:pt>
                <c:pt idx="2079">
                  <c:v>1.4084555013254263E-2</c:v>
                </c:pt>
                <c:pt idx="2080">
                  <c:v>1.4082014492699243E-2</c:v>
                </c:pt>
                <c:pt idx="2081">
                  <c:v>1.4079478843067122E-2</c:v>
                </c:pt>
                <c:pt idx="2082">
                  <c:v>1.4076948088839301E-2</c:v>
                </c:pt>
                <c:pt idx="2083">
                  <c:v>1.4074613845750247E-2</c:v>
                </c:pt>
                <c:pt idx="2084">
                  <c:v>1.4071997409730213E-2</c:v>
                </c:pt>
                <c:pt idx="2085">
                  <c:v>1.406948175411335E-2</c:v>
                </c:pt>
                <c:pt idx="2086">
                  <c:v>1.4066971093780238E-2</c:v>
                </c:pt>
                <c:pt idx="2087">
                  <c:v>1.4064465453209125E-2</c:v>
                </c:pt>
                <c:pt idx="2088">
                  <c:v>1.4061964856879992E-2</c:v>
                </c:pt>
                <c:pt idx="2089">
                  <c:v>1.4059469329273691E-2</c:v>
                </c:pt>
                <c:pt idx="2090">
                  <c:v>1.4056978894869773E-2</c:v>
                </c:pt>
                <c:pt idx="2091">
                  <c:v>1.4054493578149523E-2</c:v>
                </c:pt>
                <c:pt idx="2092">
                  <c:v>1.4051816984530337E-2</c:v>
                </c:pt>
                <c:pt idx="2093">
                  <c:v>1.4049341414341934E-2</c:v>
                </c:pt>
                <c:pt idx="2094">
                  <c:v>1.4046871031340913E-2</c:v>
                </c:pt>
                <c:pt idx="2095">
                  <c:v>1.4044405860005278E-2</c:v>
                </c:pt>
                <c:pt idx="2096">
                  <c:v>1.4042045255466091E-2</c:v>
                </c:pt>
                <c:pt idx="2097">
                  <c:v>1.403959086980657E-2</c:v>
                </c:pt>
                <c:pt idx="2098">
                  <c:v>1.4037141771216193E-2</c:v>
                </c:pt>
                <c:pt idx="2099">
                  <c:v>1.4034697984173738E-2</c:v>
                </c:pt>
                <c:pt idx="2100">
                  <c:v>1.4032259533156675E-2</c:v>
                </c:pt>
                <c:pt idx="2101">
                  <c:v>1.402972564771905E-2</c:v>
                </c:pt>
                <c:pt idx="2102">
                  <c:v>1.4027297643415943E-2</c:v>
                </c:pt>
                <c:pt idx="2103">
                  <c:v>1.4024875046599604E-2</c:v>
                </c:pt>
                <c:pt idx="2104">
                  <c:v>1.4022457881745835E-2</c:v>
                </c:pt>
                <c:pt idx="2105">
                  <c:v>1.4020148175196865E-2</c:v>
                </c:pt>
                <c:pt idx="2106">
                  <c:v>1.4017742254376044E-2</c:v>
                </c:pt>
                <c:pt idx="2107">
                  <c:v>1.4015341840928579E-2</c:v>
                </c:pt>
                <c:pt idx="2108">
                  <c:v>1.4012946959329317E-2</c:v>
                </c:pt>
                <c:pt idx="2109">
                  <c:v>1.4010113471622723E-2</c:v>
                </c:pt>
                <c:pt idx="2110">
                  <c:v>1.4007730211538496E-2</c:v>
                </c:pt>
                <c:pt idx="2111">
                  <c:v>1.4005352558251494E-2</c:v>
                </c:pt>
                <c:pt idx="2112">
                  <c:v>1.4002980536240156E-2</c:v>
                </c:pt>
                <c:pt idx="2113">
                  <c:v>1.4000614169978973E-2</c:v>
                </c:pt>
                <c:pt idx="2114">
                  <c:v>1.3998253483946824E-2</c:v>
                </c:pt>
                <c:pt idx="2115">
                  <c:v>1.3995898502618636E-2</c:v>
                </c:pt>
                <c:pt idx="2116">
                  <c:v>1.3993549250470217E-2</c:v>
                </c:pt>
                <c:pt idx="2117">
                  <c:v>1.3991205751979569E-2</c:v>
                </c:pt>
                <c:pt idx="2118">
                  <c:v>1.3989080447502187E-2</c:v>
                </c:pt>
                <c:pt idx="2119">
                  <c:v>1.3986749195428196E-2</c:v>
                </c:pt>
                <c:pt idx="2120">
                  <c:v>1.3984423774417226E-2</c:v>
                </c:pt>
                <c:pt idx="2121">
                  <c:v>1.3982104208947093E-2</c:v>
                </c:pt>
                <c:pt idx="2122">
                  <c:v>1.3979682954472931E-2</c:v>
                </c:pt>
                <c:pt idx="2123">
                  <c:v>1.3976716456792862E-2</c:v>
                </c:pt>
                <c:pt idx="2124">
                  <c:v>1.3974415959841457E-2</c:v>
                </c:pt>
                <c:pt idx="2125">
                  <c:v>1.3972121421340397E-2</c:v>
                </c:pt>
                <c:pt idx="2126">
                  <c:v>1.3969832865767589E-2</c:v>
                </c:pt>
                <c:pt idx="2127">
                  <c:v>1.39678786080745E-2</c:v>
                </c:pt>
                <c:pt idx="2128">
                  <c:v>1.3965603146696469E-2</c:v>
                </c:pt>
                <c:pt idx="2129">
                  <c:v>1.3963333747666052E-2</c:v>
                </c:pt>
                <c:pt idx="2130">
                  <c:v>1.3961070435461732E-2</c:v>
                </c:pt>
                <c:pt idx="2131">
                  <c:v>1.3958480688493745E-2</c:v>
                </c:pt>
                <c:pt idx="2132">
                  <c:v>1.3956228544490652E-2</c:v>
                </c:pt>
                <c:pt idx="2133">
                  <c:v>1.3953982554751105E-2</c:v>
                </c:pt>
                <c:pt idx="2134">
                  <c:v>1.395207854448369E-2</c:v>
                </c:pt>
                <c:pt idx="2135">
                  <c:v>1.3949846033590549E-2</c:v>
                </c:pt>
                <c:pt idx="2136">
                  <c:v>1.3947619756396556E-2</c:v>
                </c:pt>
                <c:pt idx="2137">
                  <c:v>1.3945399737378475E-2</c:v>
                </c:pt>
                <c:pt idx="2138">
                  <c:v>1.3943186001015222E-2</c:v>
                </c:pt>
                <c:pt idx="2139">
                  <c:v>1.3940637226464282E-2</c:v>
                </c:pt>
                <c:pt idx="2140">
                  <c:v>1.3938777474164981E-2</c:v>
                </c:pt>
                <c:pt idx="2141">
                  <c:v>1.393658273263625E-2</c:v>
                </c:pt>
                <c:pt idx="2142">
                  <c:v>1.3934394371674132E-2</c:v>
                </c:pt>
                <c:pt idx="2143">
                  <c:v>1.3931866526462821E-2</c:v>
                </c:pt>
                <c:pt idx="2144">
                  <c:v>1.3929458689049544E-2</c:v>
                </c:pt>
                <c:pt idx="2145">
                  <c:v>1.3927287689186567E-2</c:v>
                </c:pt>
                <c:pt idx="2146">
                  <c:v>1.3925123157749386E-2</c:v>
                </c:pt>
                <c:pt idx="2147">
                  <c:v>1.3922965119211683E-2</c:v>
                </c:pt>
                <c:pt idx="2148">
                  <c:v>1.3920930710451578E-2</c:v>
                </c:pt>
                <c:pt idx="2149">
                  <c:v>1.3918786124273923E-2</c:v>
                </c:pt>
                <c:pt idx="2150">
                  <c:v>1.3916648106430717E-2</c:v>
                </c:pt>
                <c:pt idx="2151">
                  <c:v>1.3914516681396885E-2</c:v>
                </c:pt>
                <c:pt idx="2152">
                  <c:v>1.39123918736456E-2</c:v>
                </c:pt>
                <c:pt idx="2153">
                  <c:v>1.3910154609408676E-2</c:v>
                </c:pt>
                <c:pt idx="2154">
                  <c:v>1.3908042706431758E-2</c:v>
                </c:pt>
                <c:pt idx="2155">
                  <c:v>1.3905937492144221E-2</c:v>
                </c:pt>
                <c:pt idx="2156">
                  <c:v>1.3903838991017981E-2</c:v>
                </c:pt>
                <c:pt idx="2157">
                  <c:v>1.3901867950747633E-2</c:v>
                </c:pt>
                <c:pt idx="2158">
                  <c:v>1.3899783360658955E-2</c:v>
                </c:pt>
                <c:pt idx="2159">
                  <c:v>1.3897705559173801E-2</c:v>
                </c:pt>
                <c:pt idx="2160">
                  <c:v>1.3895634570766223E-2</c:v>
                </c:pt>
                <c:pt idx="2161">
                  <c:v>1.3893448039388238E-2</c:v>
                </c:pt>
                <c:pt idx="2162">
                  <c:v>1.3891390331174916E-2</c:v>
                </c:pt>
                <c:pt idx="2163">
                  <c:v>1.3889339507437343E-2</c:v>
                </c:pt>
                <c:pt idx="2164">
                  <c:v>1.3887295592648324E-2</c:v>
                </c:pt>
                <c:pt idx="2165">
                  <c:v>1.3885258611280654E-2</c:v>
                </c:pt>
                <c:pt idx="2166">
                  <c:v>1.3883228587807576E-2</c:v>
                </c:pt>
                <c:pt idx="2167">
                  <c:v>1.3881205546702772E-2</c:v>
                </c:pt>
                <c:pt idx="2168">
                  <c:v>1.3879189512438602E-2</c:v>
                </c:pt>
                <c:pt idx="2169">
                  <c:v>1.3877180509488747E-2</c:v>
                </c:pt>
                <c:pt idx="2170">
                  <c:v>1.3875810155132121E-2</c:v>
                </c:pt>
                <c:pt idx="2171">
                  <c:v>1.3873817478440081E-2</c:v>
                </c:pt>
                <c:pt idx="2172">
                  <c:v>1.3871831916641233E-2</c:v>
                </c:pt>
                <c:pt idx="2173">
                  <c:v>1.3869853494214057E-2</c:v>
                </c:pt>
                <c:pt idx="2174">
                  <c:v>1.386749784840823E-2</c:v>
                </c:pt>
                <c:pt idx="2175">
                  <c:v>1.3865532439011032E-2</c:v>
                </c:pt>
                <c:pt idx="2176">
                  <c:v>1.3863574236309403E-2</c:v>
                </c:pt>
                <c:pt idx="2177">
                  <c:v>1.3861623264776879E-2</c:v>
                </c:pt>
                <c:pt idx="2178">
                  <c:v>1.3859679548889182E-2</c:v>
                </c:pt>
                <c:pt idx="2179">
                  <c:v>1.3858134257150267E-2</c:v>
                </c:pt>
                <c:pt idx="2180">
                  <c:v>1.3856206495675516E-2</c:v>
                </c:pt>
                <c:pt idx="2181">
                  <c:v>1.3854286069386984E-2</c:v>
                </c:pt>
                <c:pt idx="2182">
                  <c:v>1.385237300276273E-2</c:v>
                </c:pt>
                <c:pt idx="2183">
                  <c:v>1.3850070660720104E-2</c:v>
                </c:pt>
                <c:pt idx="2184">
                  <c:v>1.3848170992661399E-2</c:v>
                </c:pt>
                <c:pt idx="2185">
                  <c:v>1.3846278751567968E-2</c:v>
                </c:pt>
                <c:pt idx="2186">
                  <c:v>1.3844393961915091E-2</c:v>
                </c:pt>
                <c:pt idx="2187">
                  <c:v>1.3842918921285481E-2</c:v>
                </c:pt>
                <c:pt idx="2188">
                  <c:v>1.3841050526656792E-2</c:v>
                </c:pt>
                <c:pt idx="2189">
                  <c:v>1.3839189663030591E-2</c:v>
                </c:pt>
                <c:pt idx="2190">
                  <c:v>1.3837336354883212E-2</c:v>
                </c:pt>
                <c:pt idx="2191">
                  <c:v>1.3835490626690991E-2</c:v>
                </c:pt>
                <c:pt idx="2192">
                  <c:v>1.3833652502930695E-2</c:v>
                </c:pt>
                <c:pt idx="2193">
                  <c:v>1.3831822008079515E-2</c:v>
                </c:pt>
                <c:pt idx="2194">
                  <c:v>1.3829999166613788E-2</c:v>
                </c:pt>
                <c:pt idx="2195">
                  <c:v>1.3828184003011565E-2</c:v>
                </c:pt>
                <c:pt idx="2196">
                  <c:v>1.3825684690523705E-2</c:v>
                </c:pt>
                <c:pt idx="2197">
                  <c:v>1.3823882500350257E-2</c:v>
                </c:pt>
                <c:pt idx="2198">
                  <c:v>1.3822088051202752E-2</c:v>
                </c:pt>
                <c:pt idx="2199">
                  <c:v>1.3820301367553103E-2</c:v>
                </c:pt>
                <c:pt idx="2200">
                  <c:v>1.3818662717990713E-2</c:v>
                </c:pt>
                <c:pt idx="2201">
                  <c:v>1.3816892137702614E-2</c:v>
                </c:pt>
                <c:pt idx="2202">
                  <c:v>1.381512939838766E-2</c:v>
                </c:pt>
                <c:pt idx="2203">
                  <c:v>1.38133745245199E-2</c:v>
                </c:pt>
                <c:pt idx="2204">
                  <c:v>1.3811627540571627E-2</c:v>
                </c:pt>
                <c:pt idx="2205">
                  <c:v>1.3809745711591419E-2</c:v>
                </c:pt>
                <c:pt idx="2206">
                  <c:v>1.3808014071666045E-2</c:v>
                </c:pt>
                <c:pt idx="2207">
                  <c:v>1.3806290388335172E-2</c:v>
                </c:pt>
                <c:pt idx="2208">
                  <c:v>1.3804574272917886E-2</c:v>
                </c:pt>
                <c:pt idx="2209">
                  <c:v>1.380300896100644E-2</c:v>
                </c:pt>
                <c:pt idx="2210">
                  <c:v>1.3801304629338996E-2</c:v>
                </c:pt>
                <c:pt idx="2211">
                  <c:v>1.3799604233770472E-2</c:v>
                </c:pt>
                <c:pt idx="2212">
                  <c:v>1.3797906589869412E-2</c:v>
                </c:pt>
                <c:pt idx="2213">
                  <c:v>1.3796210510584042E-2</c:v>
                </c:pt>
                <c:pt idx="2214">
                  <c:v>1.3794371622986355E-2</c:v>
                </c:pt>
                <c:pt idx="2215">
                  <c:v>1.3792675729709937E-2</c:v>
                </c:pt>
                <c:pt idx="2216">
                  <c:v>1.3790977941478167E-2</c:v>
                </c:pt>
                <c:pt idx="2217">
                  <c:v>1.3789277054428841E-2</c:v>
                </c:pt>
                <c:pt idx="2218">
                  <c:v>1.3787571862063188E-2</c:v>
                </c:pt>
                <c:pt idx="2219">
                  <c:v>1.3785861155246763E-2</c:v>
                </c:pt>
                <c:pt idx="2220">
                  <c:v>1.378414372221164E-2</c:v>
                </c:pt>
                <c:pt idx="2221">
                  <c:v>1.3782418348553772E-2</c:v>
                </c:pt>
                <c:pt idx="2222">
                  <c:v>1.3781358476963115E-2</c:v>
                </c:pt>
                <c:pt idx="2223">
                  <c:v>1.3779606584128445E-2</c:v>
                </c:pt>
                <c:pt idx="2224">
                  <c:v>1.3777842766981054E-2</c:v>
                </c:pt>
                <c:pt idx="2225">
                  <c:v>1.3776065832106542E-2</c:v>
                </c:pt>
                <c:pt idx="2226">
                  <c:v>1.3773888121769627E-2</c:v>
                </c:pt>
                <c:pt idx="2227">
                  <c:v>1.3772086222144708E-2</c:v>
                </c:pt>
                <c:pt idx="2228">
                  <c:v>1.3770267726876459E-2</c:v>
                </c:pt>
                <c:pt idx="2229">
                  <c:v>1.3768431413416698E-2</c:v>
                </c:pt>
                <c:pt idx="2230">
                  <c:v>1.3766576056612986E-2</c:v>
                </c:pt>
                <c:pt idx="2231">
                  <c:v>1.3765061596295796E-2</c:v>
                </c:pt>
                <c:pt idx="2232">
                  <c:v>1.3763159206343991E-2</c:v>
                </c:pt>
                <c:pt idx="2233">
                  <c:v>1.3761234074438917E-2</c:v>
                </c:pt>
                <c:pt idx="2234">
                  <c:v>1.3759285508324864E-2</c:v>
                </c:pt>
                <c:pt idx="2235">
                  <c:v>1.3756973409263355E-2</c:v>
                </c:pt>
                <c:pt idx="2236">
                  <c:v>1.3754983091111317E-2</c:v>
                </c:pt>
                <c:pt idx="2237">
                  <c:v>1.375296918324811E-2</c:v>
                </c:pt>
                <c:pt idx="2238">
                  <c:v>1.3750931641994577E-2</c:v>
                </c:pt>
                <c:pt idx="2239">
                  <c:v>1.3748870423672869E-2</c:v>
                </c:pt>
                <c:pt idx="2240">
                  <c:v>1.3747098781067852E-2</c:v>
                </c:pt>
                <c:pt idx="2241">
                  <c:v>1.3744984697057634E-2</c:v>
                </c:pt>
                <c:pt idx="2242">
                  <c:v>1.3742846792909297E-2</c:v>
                </c:pt>
                <c:pt idx="2243">
                  <c:v>1.374068502494423E-2</c:v>
                </c:pt>
                <c:pt idx="2244">
                  <c:v>1.3738499349485544E-2</c:v>
                </c:pt>
                <c:pt idx="2245">
                  <c:v>1.3736289722858928E-2</c:v>
                </c:pt>
                <c:pt idx="2246">
                  <c:v>1.373405610138663E-2</c:v>
                </c:pt>
                <c:pt idx="2247">
                  <c:v>1.3731798441397351E-2</c:v>
                </c:pt>
                <c:pt idx="2248">
                  <c:v>1.3729065978983988E-2</c:v>
                </c:pt>
                <c:pt idx="2249">
                  <c:v>1.3726769237013015E-2</c:v>
                </c:pt>
                <c:pt idx="2250">
                  <c:v>1.3724448345621455E-2</c:v>
                </c:pt>
                <c:pt idx="2251">
                  <c:v>1.372210326114391E-2</c:v>
                </c:pt>
                <c:pt idx="2252">
                  <c:v>1.3719733939919833E-2</c:v>
                </c:pt>
                <c:pt idx="2253">
                  <c:v>1.3717421665057988E-2</c:v>
                </c:pt>
                <c:pt idx="2254">
                  <c:v>1.371500189488079E-2</c:v>
                </c:pt>
                <c:pt idx="2255">
                  <c:v>1.371255775294755E-2</c:v>
                </c:pt>
                <c:pt idx="2256">
                  <c:v>1.3710089195598248E-2</c:v>
                </c:pt>
                <c:pt idx="2257">
                  <c:v>1.3707522254466049E-2</c:v>
                </c:pt>
                <c:pt idx="2258">
                  <c:v>1.3705006595901051E-2</c:v>
                </c:pt>
                <c:pt idx="2259">
                  <c:v>1.3702466394980283E-2</c:v>
                </c:pt>
                <c:pt idx="2260">
                  <c:v>1.3699901608050706E-2</c:v>
                </c:pt>
                <c:pt idx="2261">
                  <c:v>1.369737864961768E-2</c:v>
                </c:pt>
                <c:pt idx="2262">
                  <c:v>1.3694762682989747E-2</c:v>
                </c:pt>
                <c:pt idx="2263">
                  <c:v>1.3692121995362941E-2</c:v>
                </c:pt>
                <c:pt idx="2264">
                  <c:v>1.3689456543085584E-2</c:v>
                </c:pt>
                <c:pt idx="2265">
                  <c:v>1.3686766282509956E-2</c:v>
                </c:pt>
                <c:pt idx="2266">
                  <c:v>1.3683994135806506E-2</c:v>
                </c:pt>
                <c:pt idx="2267">
                  <c:v>1.3681256024600449E-2</c:v>
                </c:pt>
                <c:pt idx="2268">
                  <c:v>1.3678492978195737E-2</c:v>
                </c:pt>
                <c:pt idx="2269">
                  <c:v>1.3675704952948604E-2</c:v>
                </c:pt>
                <c:pt idx="2270">
                  <c:v>1.3672891905216613E-2</c:v>
                </c:pt>
                <c:pt idx="2271">
                  <c:v>1.3670053791360418E-2</c:v>
                </c:pt>
                <c:pt idx="2272">
                  <c:v>1.3667190567737582E-2</c:v>
                </c:pt>
                <c:pt idx="2273">
                  <c:v>1.3664302190710523E-2</c:v>
                </c:pt>
                <c:pt idx="2274">
                  <c:v>1.3661595508967022E-2</c:v>
                </c:pt>
                <c:pt idx="2275">
                  <c:v>1.3658647043537793E-2</c:v>
                </c:pt>
                <c:pt idx="2276">
                  <c:v>1.3655673273550975E-2</c:v>
                </c:pt>
                <c:pt idx="2277">
                  <c:v>1.3652674155366638E-2</c:v>
                </c:pt>
                <c:pt idx="2278">
                  <c:v>1.3649549300595197E-2</c:v>
                </c:pt>
                <c:pt idx="2279">
                  <c:v>1.364650519542835E-2</c:v>
                </c:pt>
                <c:pt idx="2280">
                  <c:v>1.3643435623315358E-2</c:v>
                </c:pt>
                <c:pt idx="2281">
                  <c:v>1.3640340540625108E-2</c:v>
                </c:pt>
                <c:pt idx="2282">
                  <c:v>1.3637219903728674E-2</c:v>
                </c:pt>
                <c:pt idx="2283">
                  <c:v>1.363414469052673E-2</c:v>
                </c:pt>
                <c:pt idx="2284">
                  <c:v>1.3630966913189975E-2</c:v>
                </c:pt>
                <c:pt idx="2285">
                  <c:v>1.3627763438594275E-2</c:v>
                </c:pt>
                <c:pt idx="2286">
                  <c:v>1.3624534223111304E-2</c:v>
                </c:pt>
                <c:pt idx="2287">
                  <c:v>1.3621231879199466E-2</c:v>
                </c:pt>
                <c:pt idx="2288">
                  <c:v>1.3617957000913537E-2</c:v>
                </c:pt>
                <c:pt idx="2289">
                  <c:v>1.361465626304996E-2</c:v>
                </c:pt>
                <c:pt idx="2290">
                  <c:v>1.3611329621989417E-2</c:v>
                </c:pt>
                <c:pt idx="2291">
                  <c:v>1.3607977034112593E-2</c:v>
                </c:pt>
                <c:pt idx="2292">
                  <c:v>1.3604615928639022E-2</c:v>
                </c:pt>
                <c:pt idx="2293">
                  <c:v>1.3601205305500273E-2</c:v>
                </c:pt>
                <c:pt idx="2294">
                  <c:v>1.3597768592506086E-2</c:v>
                </c:pt>
                <c:pt idx="2295">
                  <c:v>1.3594305746040597E-2</c:v>
                </c:pt>
                <c:pt idx="2296">
                  <c:v>1.3590816722492242E-2</c:v>
                </c:pt>
                <c:pt idx="2297">
                  <c:v>1.3587301478245157E-2</c:v>
                </c:pt>
                <c:pt idx="2298">
                  <c:v>1.3583759969689923E-2</c:v>
                </c:pt>
                <c:pt idx="2299">
                  <c:v>1.3580192153217985E-2</c:v>
                </c:pt>
                <c:pt idx="2300">
                  <c:v>1.3576638868560963E-2</c:v>
                </c:pt>
                <c:pt idx="2301">
                  <c:v>1.3573026449097622E-2</c:v>
                </c:pt>
                <c:pt idx="2302">
                  <c:v>1.3569387607179286E-2</c:v>
                </c:pt>
                <c:pt idx="2303">
                  <c:v>1.3565722299206549E-2</c:v>
                </c:pt>
                <c:pt idx="2304">
                  <c:v>1.356203048157956E-2</c:v>
                </c:pt>
                <c:pt idx="2305">
                  <c:v>1.3558291965381853E-2</c:v>
                </c:pt>
                <c:pt idx="2306">
                  <c:v>1.3554544942033205E-2</c:v>
                </c:pt>
                <c:pt idx="2307">
                  <c:v>1.3550672250540758E-2</c:v>
                </c:pt>
                <c:pt idx="2308">
                  <c:v>1.3546970918182265E-2</c:v>
                </c:pt>
                <c:pt idx="2309">
                  <c:v>1.3543172222734937E-2</c:v>
                </c:pt>
                <c:pt idx="2310">
                  <c:v>1.3539320431665544E-2</c:v>
                </c:pt>
                <c:pt idx="2311">
                  <c:v>1.3535441825782483E-2</c:v>
                </c:pt>
                <c:pt idx="2312">
                  <c:v>1.3531536361498203E-2</c:v>
                </c:pt>
                <c:pt idx="2313">
                  <c:v>1.3527567290829967E-2</c:v>
                </c:pt>
                <c:pt idx="2314">
                  <c:v>1.352360589074725E-2</c:v>
                </c:pt>
                <c:pt idx="2315">
                  <c:v>1.3519617497427597E-2</c:v>
                </c:pt>
                <c:pt idx="2316">
                  <c:v>1.3515602067285326E-2</c:v>
                </c:pt>
                <c:pt idx="2317">
                  <c:v>1.3511025224262502E-2</c:v>
                </c:pt>
                <c:pt idx="2318">
                  <c:v>1.3506953816460835E-2</c:v>
                </c:pt>
                <c:pt idx="2319">
                  <c:v>1.3502855238953124E-2</c:v>
                </c:pt>
                <c:pt idx="2320">
                  <c:v>1.3498729448162794E-2</c:v>
                </c:pt>
                <c:pt idx="2321">
                  <c:v>1.3494576400515474E-2</c:v>
                </c:pt>
                <c:pt idx="2322">
                  <c:v>1.349039605243503E-2</c:v>
                </c:pt>
                <c:pt idx="2323">
                  <c:v>1.3486188360351922E-2</c:v>
                </c:pt>
                <c:pt idx="2324">
                  <c:v>1.3481953280693527E-2</c:v>
                </c:pt>
                <c:pt idx="2325">
                  <c:v>1.3477690769891623E-2</c:v>
                </c:pt>
                <c:pt idx="2326">
                  <c:v>1.3473206738299107E-2</c:v>
                </c:pt>
                <c:pt idx="2327">
                  <c:v>1.3468882807468857E-2</c:v>
                </c:pt>
                <c:pt idx="2328">
                  <c:v>1.3464531302533014E-2</c:v>
                </c:pt>
                <c:pt idx="2329">
                  <c:v>1.346015217992729E-2</c:v>
                </c:pt>
                <c:pt idx="2330">
                  <c:v>1.3455745396088693E-2</c:v>
                </c:pt>
                <c:pt idx="2331">
                  <c:v>1.3451310907455098E-2</c:v>
                </c:pt>
                <c:pt idx="2332">
                  <c:v>1.3446848670466537E-2</c:v>
                </c:pt>
                <c:pt idx="2333">
                  <c:v>1.3439942634608338E-2</c:v>
                </c:pt>
                <c:pt idx="2334">
                  <c:v>1.3437840777192865E-2</c:v>
                </c:pt>
                <c:pt idx="2335">
                  <c:v>1.343142356735301E-2</c:v>
                </c:pt>
                <c:pt idx="2336">
                  <c:v>1.3426840102574856E-2</c:v>
                </c:pt>
                <c:pt idx="2337">
                  <c:v>1.342222865709373E-2</c:v>
                </c:pt>
                <c:pt idx="2338">
                  <c:v>1.3417589187359252E-2</c:v>
                </c:pt>
                <c:pt idx="2339">
                  <c:v>1.3413015441752984E-2</c:v>
                </c:pt>
                <c:pt idx="2340">
                  <c:v>1.3408321990149224E-2</c:v>
                </c:pt>
                <c:pt idx="2341">
                  <c:v>1.34036003877488E-2</c:v>
                </c:pt>
                <c:pt idx="2342">
                  <c:v>1.3398850591007523E-2</c:v>
                </c:pt>
                <c:pt idx="2343">
                  <c:v>1.339386713087942E-2</c:v>
                </c:pt>
                <c:pt idx="2344">
                  <c:v>1.3389161421081748E-2</c:v>
                </c:pt>
                <c:pt idx="2345">
                  <c:v>1.3384324562330832E-2</c:v>
                </c:pt>
                <c:pt idx="2346">
                  <c:v>1.3379459330990424E-2</c:v>
                </c:pt>
                <c:pt idx="2347">
                  <c:v>1.3374565683525777E-2</c:v>
                </c:pt>
                <c:pt idx="2348">
                  <c:v>1.3369643576404328E-2</c:v>
                </c:pt>
                <c:pt idx="2349">
                  <c:v>1.3364692966094806E-2</c:v>
                </c:pt>
                <c:pt idx="2350">
                  <c:v>1.3359713809067251E-2</c:v>
                </c:pt>
                <c:pt idx="2351">
                  <c:v>1.3354706061793439E-2</c:v>
                </c:pt>
                <c:pt idx="2352">
                  <c:v>1.3349914814451991E-2</c:v>
                </c:pt>
                <c:pt idx="2353">
                  <c:v>1.3344854256717373E-2</c:v>
                </c:pt>
                <c:pt idx="2354">
                  <c:v>1.3339764986360145E-2</c:v>
                </c:pt>
                <c:pt idx="2355">
                  <c:v>1.33346469598582E-2</c:v>
                </c:pt>
                <c:pt idx="2356">
                  <c:v>1.332950013369426E-2</c:v>
                </c:pt>
                <c:pt idx="2357">
                  <c:v>1.332419071522593E-2</c:v>
                </c:pt>
                <c:pt idx="2358">
                  <c:v>1.3319119908309961E-2</c:v>
                </c:pt>
                <c:pt idx="2359">
                  <c:v>1.3313886422060319E-2</c:v>
                </c:pt>
                <c:pt idx="2360">
                  <c:v>1.3308623962088794E-2</c:v>
                </c:pt>
                <c:pt idx="2361">
                  <c:v>1.3303332484886013E-2</c:v>
                </c:pt>
                <c:pt idx="2362">
                  <c:v>1.3298011946942606E-2</c:v>
                </c:pt>
                <c:pt idx="2363">
                  <c:v>1.3292662304751394E-2</c:v>
                </c:pt>
                <c:pt idx="2364">
                  <c:v>1.3287283514807402E-2</c:v>
                </c:pt>
                <c:pt idx="2365">
                  <c:v>1.3281875533608281E-2</c:v>
                </c:pt>
                <c:pt idx="2366">
                  <c:v>1.3276438317650371E-2</c:v>
                </c:pt>
                <c:pt idx="2367">
                  <c:v>1.3270971823435718E-2</c:v>
                </c:pt>
                <c:pt idx="2368">
                  <c:v>1.3265476007465494E-2</c:v>
                </c:pt>
                <c:pt idx="2369">
                  <c:v>1.3259320486892913E-2</c:v>
                </c:pt>
                <c:pt idx="2370">
                  <c:v>1.3253764012044944E-2</c:v>
                </c:pt>
                <c:pt idx="2371">
                  <c:v>1.3248178082846855E-2</c:v>
                </c:pt>
                <c:pt idx="2372">
                  <c:v>1.3242562655806809E-2</c:v>
                </c:pt>
                <c:pt idx="2373">
                  <c:v>1.3236917687436496E-2</c:v>
                </c:pt>
                <c:pt idx="2374">
                  <c:v>1.3231243134248493E-2</c:v>
                </c:pt>
                <c:pt idx="2375">
                  <c:v>1.3225538952758027E-2</c:v>
                </c:pt>
                <c:pt idx="2376">
                  <c:v>1.3219805099481207E-2</c:v>
                </c:pt>
                <c:pt idx="2377">
                  <c:v>1.3214041530936792E-2</c:v>
                </c:pt>
                <c:pt idx="2378">
                  <c:v>1.3207700317296867E-2</c:v>
                </c:pt>
                <c:pt idx="2379">
                  <c:v>1.3201870115924752E-2</c:v>
                </c:pt>
                <c:pt idx="2380">
                  <c:v>1.3196010056545698E-2</c:v>
                </c:pt>
                <c:pt idx="2381">
                  <c:v>1.3190120095684052E-2</c:v>
                </c:pt>
                <c:pt idx="2382">
                  <c:v>1.3184392504083554E-2</c:v>
                </c:pt>
                <c:pt idx="2383">
                  <c:v>1.3176740179118388E-2</c:v>
                </c:pt>
                <c:pt idx="2384">
                  <c:v>1.317075404387406E-2</c:v>
                </c:pt>
                <c:pt idx="2385">
                  <c:v>1.3164737824953856E-2</c:v>
                </c:pt>
                <c:pt idx="2386">
                  <c:v>1.3157419300731244E-2</c:v>
                </c:pt>
                <c:pt idx="2387">
                  <c:v>1.3151999530716035E-2</c:v>
                </c:pt>
                <c:pt idx="2388">
                  <c:v>1.3145885611179371E-2</c:v>
                </c:pt>
                <c:pt idx="2389">
                  <c:v>1.313974142181391E-2</c:v>
                </c:pt>
                <c:pt idx="2390">
                  <c:v>1.3134203954016628E-2</c:v>
                </c:pt>
                <c:pt idx="2391">
                  <c:v>1.3128006320352213E-2</c:v>
                </c:pt>
                <c:pt idx="2392">
                  <c:v>1.3121778298802803E-2</c:v>
                </c:pt>
                <c:pt idx="2393">
                  <c:v>1.3115519845915068E-2</c:v>
                </c:pt>
                <c:pt idx="2394">
                  <c:v>1.3108564906671501E-2</c:v>
                </c:pt>
                <c:pt idx="2395">
                  <c:v>1.3102238185826219E-2</c:v>
                </c:pt>
                <c:pt idx="2396">
                  <c:v>1.3095880891001031E-2</c:v>
                </c:pt>
                <c:pt idx="2397">
                  <c:v>1.3089492978752835E-2</c:v>
                </c:pt>
                <c:pt idx="2398">
                  <c:v>1.3083074405642834E-2</c:v>
                </c:pt>
                <c:pt idx="2399">
                  <c:v>1.3077327637513323E-2</c:v>
                </c:pt>
                <c:pt idx="2400">
                  <c:v>1.30701451030792E-2</c:v>
                </c:pt>
                <c:pt idx="2401">
                  <c:v>1.3063634286757421E-2</c:v>
                </c:pt>
                <c:pt idx="2402">
                  <c:v>1.3057092635830235E-2</c:v>
                </c:pt>
                <c:pt idx="2403">
                  <c:v>1.305125203572929E-2</c:v>
                </c:pt>
                <c:pt idx="2404">
                  <c:v>1.3045147638856978E-2</c:v>
                </c:pt>
                <c:pt idx="2405">
                  <c:v>1.3038525551200851E-2</c:v>
                </c:pt>
                <c:pt idx="2406">
                  <c:v>1.3031872475723795E-2</c:v>
                </c:pt>
                <c:pt idx="2407">
                  <c:v>1.302518836900419E-2</c:v>
                </c:pt>
                <c:pt idx="2408">
                  <c:v>1.3018217591333451E-2</c:v>
                </c:pt>
                <c:pt idx="2409">
                  <c:v>1.3011468810835489E-2</c:v>
                </c:pt>
                <c:pt idx="2410">
                  <c:v>1.3004688864739074E-2</c:v>
                </c:pt>
                <c:pt idx="2411">
                  <c:v>1.2997877709629263E-2</c:v>
                </c:pt>
                <c:pt idx="2412">
                  <c:v>1.2991035302093312E-2</c:v>
                </c:pt>
                <c:pt idx="2413">
                  <c:v>1.2984429641120137E-2</c:v>
                </c:pt>
                <c:pt idx="2414">
                  <c:v>1.2977527100013932E-2</c:v>
                </c:pt>
                <c:pt idx="2415">
                  <c:v>1.2970593180349634E-2</c:v>
                </c:pt>
                <c:pt idx="2416">
                  <c:v>1.2963627838723728E-2</c:v>
                </c:pt>
                <c:pt idx="2417">
                  <c:v>1.2956352958711037E-2</c:v>
                </c:pt>
                <c:pt idx="2418">
                  <c:v>1.294932212506301E-2</c:v>
                </c:pt>
                <c:pt idx="2419">
                  <c:v>1.2942259735157155E-2</c:v>
                </c:pt>
                <c:pt idx="2420">
                  <c:v>1.2931097832977037E-2</c:v>
                </c:pt>
                <c:pt idx="2421">
                  <c:v>1.2927308110776364E-2</c:v>
                </c:pt>
                <c:pt idx="2422">
                  <c:v>1.2921173497357566E-2</c:v>
                </c:pt>
                <c:pt idx="2423">
                  <c:v>1.2913986986837631E-2</c:v>
                </c:pt>
                <c:pt idx="2424">
                  <c:v>1.2906768707191141E-2</c:v>
                </c:pt>
                <c:pt idx="2425">
                  <c:v>1.2899518615034456E-2</c:v>
                </c:pt>
                <c:pt idx="2426">
                  <c:v>1.2892236666982171E-2</c:v>
                </c:pt>
                <c:pt idx="2427">
                  <c:v>1.2884922819652853E-2</c:v>
                </c:pt>
                <c:pt idx="2428">
                  <c:v>1.2877577029668163E-2</c:v>
                </c:pt>
                <c:pt idx="2429">
                  <c:v>1.2870199253650646E-2</c:v>
                </c:pt>
                <c:pt idx="2430">
                  <c:v>1.2861231291238702E-2</c:v>
                </c:pt>
                <c:pt idx="2431">
                  <c:v>1.2853776553188185E-2</c:v>
                </c:pt>
                <c:pt idx="2432">
                  <c:v>1.2846289678550084E-2</c:v>
                </c:pt>
                <c:pt idx="2433">
                  <c:v>1.2838770623959517E-2</c:v>
                </c:pt>
                <c:pt idx="2434">
                  <c:v>1.2832185942723694E-2</c:v>
                </c:pt>
                <c:pt idx="2435">
                  <c:v>1.282461016441956E-2</c:v>
                </c:pt>
                <c:pt idx="2436">
                  <c:v>1.2817002088333054E-2</c:v>
                </c:pt>
                <c:pt idx="2437">
                  <c:v>1.2809361671106072E-2</c:v>
                </c:pt>
                <c:pt idx="2438">
                  <c:v>1.2801688869382256E-2</c:v>
                </c:pt>
                <c:pt idx="2439">
                  <c:v>1.2792978089225918E-2</c:v>
                </c:pt>
                <c:pt idx="2440">
                  <c:v>1.2785232560923739E-2</c:v>
                </c:pt>
                <c:pt idx="2441">
                  <c:v>1.2777454505826968E-2</c:v>
                </c:pt>
                <c:pt idx="2442">
                  <c:v>1.2769643880591354E-2</c:v>
                </c:pt>
                <c:pt idx="2443">
                  <c:v>1.2762837576015545E-2</c:v>
                </c:pt>
                <c:pt idx="2444">
                  <c:v>1.2754969556963525E-2</c:v>
                </c:pt>
                <c:pt idx="2445">
                  <c:v>1.2747068849986134E-2</c:v>
                </c:pt>
                <c:pt idx="2446">
                  <c:v>1.2738074811444589E-2</c:v>
                </c:pt>
                <c:pt idx="2447">
                  <c:v>1.2730100685424879E-2</c:v>
                </c:pt>
                <c:pt idx="2448">
                  <c:v>1.2722093729245505E-2</c:v>
                </c:pt>
                <c:pt idx="2449">
                  <c:v>1.27140538995794E-2</c:v>
                </c:pt>
                <c:pt idx="2450">
                  <c:v>1.2705981153101224E-2</c:v>
                </c:pt>
                <c:pt idx="2451">
                  <c:v>1.269897573494645E-2</c:v>
                </c:pt>
                <c:pt idx="2452">
                  <c:v>1.2689736736415021E-2</c:v>
                </c:pt>
                <c:pt idx="2453">
                  <c:v>1.268156497956662E-2</c:v>
                </c:pt>
                <c:pt idx="2454">
                  <c:v>1.2673360132626692E-2</c:v>
                </c:pt>
                <c:pt idx="2455">
                  <c:v>1.266625441118794E-2</c:v>
                </c:pt>
                <c:pt idx="2456">
                  <c:v>1.2658750140743864E-2</c:v>
                </c:pt>
                <c:pt idx="2457">
                  <c:v>1.2650459153658476E-2</c:v>
                </c:pt>
                <c:pt idx="2458">
                  <c:v>1.2642134923575783E-2</c:v>
                </c:pt>
                <c:pt idx="2459">
                  <c:v>1.2633777407186339E-2</c:v>
                </c:pt>
                <c:pt idx="2460">
                  <c:v>1.2624996529011915E-2</c:v>
                </c:pt>
                <c:pt idx="2461">
                  <c:v>1.2616569616716037E-2</c:v>
                </c:pt>
                <c:pt idx="2462">
                  <c:v>1.2608109284137354E-2</c:v>
                </c:pt>
                <c:pt idx="2463">
                  <c:v>1.2599615487978631E-2</c:v>
                </c:pt>
                <c:pt idx="2464">
                  <c:v>1.2591088184941757E-2</c:v>
                </c:pt>
                <c:pt idx="2465">
                  <c:v>1.2582930871401006E-2</c:v>
                </c:pt>
                <c:pt idx="2466">
                  <c:v>1.2574339138414506E-2</c:v>
                </c:pt>
                <c:pt idx="2467">
                  <c:v>1.2565713850924301E-2</c:v>
                </c:pt>
                <c:pt idx="2468">
                  <c:v>1.255705581247105E-2</c:v>
                </c:pt>
                <c:pt idx="2469">
                  <c:v>1.2547952533234505E-2</c:v>
                </c:pt>
                <c:pt idx="2470">
                  <c:v>1.2539230560983255E-2</c:v>
                </c:pt>
                <c:pt idx="2471">
                  <c:v>1.2530479733636551E-2</c:v>
                </c:pt>
                <c:pt idx="2472">
                  <c:v>1.2521701298344026E-2</c:v>
                </c:pt>
                <c:pt idx="2473">
                  <c:v>1.2513317995334141E-2</c:v>
                </c:pt>
                <c:pt idx="2474">
                  <c:v>1.2504489684096289E-2</c:v>
                </c:pt>
                <c:pt idx="2475">
                  <c:v>1.249563739405452E-2</c:v>
                </c:pt>
                <c:pt idx="2476">
                  <c:v>1.2486762388870278E-2</c:v>
                </c:pt>
                <c:pt idx="2477">
                  <c:v>1.2477865934647248E-2</c:v>
                </c:pt>
                <c:pt idx="2478">
                  <c:v>1.2468949299937103E-2</c:v>
                </c:pt>
                <c:pt idx="2479">
                  <c:v>1.2460013755732434E-2</c:v>
                </c:pt>
                <c:pt idx="2480">
                  <c:v>1.2451060575471615E-2</c:v>
                </c:pt>
                <c:pt idx="2481">
                  <c:v>1.2442091035037911E-2</c:v>
                </c:pt>
                <c:pt idx="2482">
                  <c:v>1.2430946865926645E-2</c:v>
                </c:pt>
                <c:pt idx="2483">
                  <c:v>1.2421945017505131E-2</c:v>
                </c:pt>
                <c:pt idx="2484">
                  <c:v>1.2412930970912112E-2</c:v>
                </c:pt>
                <c:pt idx="2485">
                  <c:v>1.2403905977999114E-2</c:v>
                </c:pt>
                <c:pt idx="2486">
                  <c:v>1.2396174312602952E-2</c:v>
                </c:pt>
                <c:pt idx="2487">
                  <c:v>1.2387132597680383E-2</c:v>
                </c:pt>
                <c:pt idx="2488">
                  <c:v>1.2378083596957001E-2</c:v>
                </c:pt>
                <c:pt idx="2489">
                  <c:v>1.2369028592009178E-2</c:v>
                </c:pt>
                <c:pt idx="2490">
                  <c:v>1.2359968866830155E-2</c:v>
                </c:pt>
                <c:pt idx="2491">
                  <c:v>1.2349596550988063E-2</c:v>
                </c:pt>
                <c:pt idx="2492">
                  <c:v>1.2340530185342298E-2</c:v>
                </c:pt>
                <c:pt idx="2493">
                  <c:v>1.2331462842263774E-2</c:v>
                </c:pt>
                <c:pt idx="2494">
                  <c:v>1.2322394851377852E-2</c:v>
                </c:pt>
                <c:pt idx="2495">
                  <c:v>1.2314639592113416E-2</c:v>
                </c:pt>
                <c:pt idx="2496">
                  <c:v>1.2305571403931417E-2</c:v>
                </c:pt>
                <c:pt idx="2497">
                  <c:v>1.2296502623805874E-2</c:v>
                </c:pt>
                <c:pt idx="2498">
                  <c:v>1.228743327179113E-2</c:v>
                </c:pt>
                <c:pt idx="2499">
                  <c:v>1.227704589099054E-2</c:v>
                </c:pt>
                <c:pt idx="2500">
                  <c:v>1.2267974438121229E-2</c:v>
                </c:pt>
                <c:pt idx="2501">
                  <c:v>1.2258902478452587E-2</c:v>
                </c:pt>
                <c:pt idx="2502">
                  <c:v>1.2249830032040393E-2</c:v>
                </c:pt>
                <c:pt idx="2503">
                  <c:v>1.2240757118939148E-2</c:v>
                </c:pt>
                <c:pt idx="2504">
                  <c:v>1.2231683759205064E-2</c:v>
                </c:pt>
                <c:pt idx="2505">
                  <c:v>1.2222609972891348E-2</c:v>
                </c:pt>
                <c:pt idx="2506">
                  <c:v>1.2213535780052066E-2</c:v>
                </c:pt>
                <c:pt idx="2507">
                  <c:v>1.2204461200740854E-2</c:v>
                </c:pt>
                <c:pt idx="2508">
                  <c:v>1.2197154779713363E-2</c:v>
                </c:pt>
                <c:pt idx="2509">
                  <c:v>1.2188080785033764E-2</c:v>
                </c:pt>
                <c:pt idx="2510">
                  <c:v>1.2179006457448594E-2</c:v>
                </c:pt>
                <c:pt idx="2511">
                  <c:v>1.2169931817006431E-2</c:v>
                </c:pt>
                <c:pt idx="2512">
                  <c:v>1.216085688375761E-2</c:v>
                </c:pt>
                <c:pt idx="2513">
                  <c:v>1.2151338001170395E-2</c:v>
                </c:pt>
                <c:pt idx="2514">
                  <c:v>1.2142262226109073E-2</c:v>
                </c:pt>
                <c:pt idx="2515">
                  <c:v>1.2133186220037352E-2</c:v>
                </c:pt>
                <c:pt idx="2516">
                  <c:v>1.2124110003002578E-2</c:v>
                </c:pt>
                <c:pt idx="2517">
                  <c:v>1.2115478527087957E-2</c:v>
                </c:pt>
                <c:pt idx="2518">
                  <c:v>1.2106402258003079E-2</c:v>
                </c:pt>
                <c:pt idx="2519">
                  <c:v>1.2097325836444564E-2</c:v>
                </c:pt>
                <c:pt idx="2520">
                  <c:v>1.2088249282458352E-2</c:v>
                </c:pt>
                <c:pt idx="2521">
                  <c:v>1.2078726455056431E-2</c:v>
                </c:pt>
                <c:pt idx="2522">
                  <c:v>1.2069649393240801E-2</c:v>
                </c:pt>
                <c:pt idx="2523">
                  <c:v>1.2060572260790525E-2</c:v>
                </c:pt>
                <c:pt idx="2524">
                  <c:v>1.2051495077751209E-2</c:v>
                </c:pt>
                <c:pt idx="2525">
                  <c:v>1.2042417864167581E-2</c:v>
                </c:pt>
                <c:pt idx="2526">
                  <c:v>1.2033788300097591E-2</c:v>
                </c:pt>
                <c:pt idx="2527">
                  <c:v>1.2024711380379759E-2</c:v>
                </c:pt>
                <c:pt idx="2528">
                  <c:v>1.2015634488590795E-2</c:v>
                </c:pt>
                <c:pt idx="2529">
                  <c:v>1.2006557644772249E-2</c:v>
                </c:pt>
                <c:pt idx="2530">
                  <c:v>1.1997480868968749E-2</c:v>
                </c:pt>
                <c:pt idx="2531">
                  <c:v>1.1988404181220963E-2</c:v>
                </c:pt>
                <c:pt idx="2532">
                  <c:v>1.1979327601571325E-2</c:v>
                </c:pt>
                <c:pt idx="2533">
                  <c:v>1.1970251150061383E-2</c:v>
                </c:pt>
                <c:pt idx="2534">
                  <c:v>1.1959374739020196E-2</c:v>
                </c:pt>
                <c:pt idx="2535">
                  <c:v>1.1950297478784684E-2</c:v>
                </c:pt>
                <c:pt idx="2536">
                  <c:v>1.1941220413471532E-2</c:v>
                </c:pt>
                <c:pt idx="2537">
                  <c:v>1.1932143563123629E-2</c:v>
                </c:pt>
                <c:pt idx="2538">
                  <c:v>1.1924420427874834E-2</c:v>
                </c:pt>
                <c:pt idx="2539">
                  <c:v>1.1915344891193757E-2</c:v>
                </c:pt>
                <c:pt idx="2540">
                  <c:v>1.1906269624600022E-2</c:v>
                </c:pt>
                <c:pt idx="2541">
                  <c:v>1.1897194648131805E-2</c:v>
                </c:pt>
                <c:pt idx="2542">
                  <c:v>1.1888119981829034E-2</c:v>
                </c:pt>
                <c:pt idx="2543">
                  <c:v>1.1877688097637069E-2</c:v>
                </c:pt>
                <c:pt idx="2544">
                  <c:v>1.1868613313203918E-2</c:v>
                </c:pt>
                <c:pt idx="2545">
                  <c:v>1.1859538904061962E-2</c:v>
                </c:pt>
                <c:pt idx="2546">
                  <c:v>1.1850464890251084E-2</c:v>
                </c:pt>
                <c:pt idx="2547">
                  <c:v>1.184275200412001E-2</c:v>
                </c:pt>
                <c:pt idx="2548">
                  <c:v>1.1833679619599432E-2</c:v>
                </c:pt>
                <c:pt idx="2549">
                  <c:v>1.1824607685505438E-2</c:v>
                </c:pt>
                <c:pt idx="2550">
                  <c:v>1.1815536221873582E-2</c:v>
                </c:pt>
                <c:pt idx="2551">
                  <c:v>1.1806465248738986E-2</c:v>
                </c:pt>
                <c:pt idx="2552">
                  <c:v>1.1796030231471423E-2</c:v>
                </c:pt>
                <c:pt idx="2553">
                  <c:v>1.1786959546038549E-2</c:v>
                </c:pt>
                <c:pt idx="2554">
                  <c:v>1.1777889416235195E-2</c:v>
                </c:pt>
                <c:pt idx="2555">
                  <c:v>1.1768819862099099E-2</c:v>
                </c:pt>
                <c:pt idx="2556">
                  <c:v>1.1759750903663695E-2</c:v>
                </c:pt>
                <c:pt idx="2557">
                  <c:v>1.1750682560965E-2</c:v>
                </c:pt>
                <c:pt idx="2558">
                  <c:v>1.1741614854036452E-2</c:v>
                </c:pt>
                <c:pt idx="2559">
                  <c:v>1.1732547802913636E-2</c:v>
                </c:pt>
                <c:pt idx="2560">
                  <c:v>1.1725765333933158E-2</c:v>
                </c:pt>
                <c:pt idx="2561">
                  <c:v>1.1716700843868092E-2</c:v>
                </c:pt>
                <c:pt idx="2562">
                  <c:v>1.1707637061304265E-2</c:v>
                </c:pt>
                <c:pt idx="2563">
                  <c:v>1.169857400627383E-2</c:v>
                </c:pt>
                <c:pt idx="2564">
                  <c:v>1.1689511698803643E-2</c:v>
                </c:pt>
                <c:pt idx="2565">
                  <c:v>1.1679992268286629E-2</c:v>
                </c:pt>
                <c:pt idx="2566">
                  <c:v>1.1670931286241077E-2</c:v>
                </c:pt>
                <c:pt idx="2567">
                  <c:v>1.1661871113525712E-2</c:v>
                </c:pt>
                <c:pt idx="2568">
                  <c:v>1.1652811770170662E-2</c:v>
                </c:pt>
                <c:pt idx="2569">
                  <c:v>1.1644212075885016E-2</c:v>
                </c:pt>
                <c:pt idx="2570">
                  <c:v>1.1635154674384822E-2</c:v>
                </c:pt>
                <c:pt idx="2571">
                  <c:v>1.1626098160641678E-2</c:v>
                </c:pt>
                <c:pt idx="2572">
                  <c:v>1.1617042554683763E-2</c:v>
                </c:pt>
                <c:pt idx="2573">
                  <c:v>1.1607528194775707E-2</c:v>
                </c:pt>
                <c:pt idx="2574">
                  <c:v>1.1598474248162611E-2</c:v>
                </c:pt>
                <c:pt idx="2575">
                  <c:v>1.158942127110011E-2</c:v>
                </c:pt>
                <c:pt idx="2576">
                  <c:v>1.1580369283613503E-2</c:v>
                </c:pt>
                <c:pt idx="2577">
                  <c:v>1.1570025392472949E-2</c:v>
                </c:pt>
                <c:pt idx="2578">
                  <c:v>1.1561436369133283E-2</c:v>
                </c:pt>
                <c:pt idx="2579">
                  <c:v>1.155238782972956E-2</c:v>
                </c:pt>
                <c:pt idx="2580">
                  <c:v>1.1543340361170908E-2</c:v>
                </c:pt>
                <c:pt idx="2581">
                  <c:v>1.1534293983481088E-2</c:v>
                </c:pt>
                <c:pt idx="2582">
                  <c:v>1.1525248716684745E-2</c:v>
                </c:pt>
                <c:pt idx="2583">
                  <c:v>1.1516204580802106E-2</c:v>
                </c:pt>
                <c:pt idx="2584">
                  <c:v>1.1507161595856493E-2</c:v>
                </c:pt>
                <c:pt idx="2585">
                  <c:v>1.1498119781869457E-2</c:v>
                </c:pt>
                <c:pt idx="2586">
                  <c:v>1.1487229431120368E-2</c:v>
                </c:pt>
                <c:pt idx="2587">
                  <c:v>1.1478189243795588E-2</c:v>
                </c:pt>
                <c:pt idx="2588">
                  <c:v>1.1469150294273315E-2</c:v>
                </c:pt>
                <c:pt idx="2589">
                  <c:v>1.146011260257516E-2</c:v>
                </c:pt>
                <c:pt idx="2590">
                  <c:v>1.1452465821152665E-2</c:v>
                </c:pt>
                <c:pt idx="2591">
                  <c:v>1.14420410727428E-2</c:v>
                </c:pt>
                <c:pt idx="2592">
                  <c:v>1.1433007274651377E-2</c:v>
                </c:pt>
                <c:pt idx="2593">
                  <c:v>1.1419741785390689E-2</c:v>
                </c:pt>
                <c:pt idx="2594">
                  <c:v>1.141494371222262E-2</c:v>
                </c:pt>
                <c:pt idx="2595">
                  <c:v>1.14059139879272E-2</c:v>
                </c:pt>
                <c:pt idx="2596">
                  <c:v>1.1396885661603682E-2</c:v>
                </c:pt>
                <c:pt idx="2597">
                  <c:v>1.1387858753272374E-2</c:v>
                </c:pt>
                <c:pt idx="2598">
                  <c:v>1.1378833282952288E-2</c:v>
                </c:pt>
                <c:pt idx="2599">
                  <c:v>1.1369809270662872E-2</c:v>
                </c:pt>
                <c:pt idx="2600">
                  <c:v>1.1360786736421411E-2</c:v>
                </c:pt>
                <c:pt idx="2601">
                  <c:v>1.1351765700246918E-2</c:v>
                </c:pt>
                <c:pt idx="2602">
                  <c:v>1.134274618215754E-2</c:v>
                </c:pt>
                <c:pt idx="2603">
                  <c:v>1.133372820216927E-2</c:v>
                </c:pt>
                <c:pt idx="2604">
                  <c:v>1.1324711780300686E-2</c:v>
                </c:pt>
                <c:pt idx="2605">
                  <c:v>1.1315696936568212E-2</c:v>
                </c:pt>
                <c:pt idx="2606">
                  <c:v>1.1306683690987401E-2</c:v>
                </c:pt>
                <c:pt idx="2607">
                  <c:v>1.1297672063574245E-2</c:v>
                </c:pt>
                <c:pt idx="2608">
                  <c:v>1.1288662074344299E-2</c:v>
                </c:pt>
                <c:pt idx="2609">
                  <c:v>1.1279653743313986E-2</c:v>
                </c:pt>
                <c:pt idx="2610">
                  <c:v>1.1270647090497996E-2</c:v>
                </c:pt>
                <c:pt idx="2611">
                  <c:v>1.1261642135908863E-2</c:v>
                </c:pt>
                <c:pt idx="2612">
                  <c:v>1.1254506576918328E-2</c:v>
                </c:pt>
                <c:pt idx="2613">
                  <c:v>1.1245505677219825E-2</c:v>
                </c:pt>
                <c:pt idx="2614">
                  <c:v>1.1236506528959654E-2</c:v>
                </c:pt>
                <c:pt idx="2615">
                  <c:v>1.1227509152148768E-2</c:v>
                </c:pt>
                <c:pt idx="2616">
                  <c:v>1.1218046093990597E-2</c:v>
                </c:pt>
                <c:pt idx="2617">
                  <c:v>1.120905217709584E-2</c:v>
                </c:pt>
                <c:pt idx="2618">
                  <c:v>1.1198188837126442E-2</c:v>
                </c:pt>
                <c:pt idx="2619">
                  <c:v>1.1191069862886286E-2</c:v>
                </c:pt>
                <c:pt idx="2620">
                  <c:v>1.1182081505592223E-2</c:v>
                </c:pt>
                <c:pt idx="2621">
                  <c:v>1.1173563212304947E-2</c:v>
                </c:pt>
                <c:pt idx="2622">
                  <c:v>1.1164578795924137E-2</c:v>
                </c:pt>
                <c:pt idx="2623">
                  <c:v>1.1155596311069207E-2</c:v>
                </c:pt>
                <c:pt idx="2624">
                  <c:v>1.1146615777748019E-2</c:v>
                </c:pt>
                <c:pt idx="2625">
                  <c:v>1.1137168517599791E-2</c:v>
                </c:pt>
                <c:pt idx="2626">
                  <c:v>1.1128191819755396E-2</c:v>
                </c:pt>
                <c:pt idx="2627">
                  <c:v>1.1119217135180114E-2</c:v>
                </c:pt>
                <c:pt idx="2628">
                  <c:v>1.1110244483882113E-2</c:v>
                </c:pt>
                <c:pt idx="2629">
                  <c:v>1.1098837666212495E-2</c:v>
                </c:pt>
                <c:pt idx="2630">
                  <c:v>1.1088462347325238E-2</c:v>
                </c:pt>
                <c:pt idx="2631">
                  <c:v>1.1079496819145596E-2</c:v>
                </c:pt>
                <c:pt idx="2632">
                  <c:v>1.1070533412840061E-2</c:v>
                </c:pt>
                <c:pt idx="2633">
                  <c:v>1.1061572148413726E-2</c:v>
                </c:pt>
                <c:pt idx="2634">
                  <c:v>1.1052613045873008E-2</c:v>
                </c:pt>
                <c:pt idx="2635">
                  <c:v>1.1043656125220805E-2</c:v>
                </c:pt>
                <c:pt idx="2636">
                  <c:v>1.1034701406460456E-2</c:v>
                </c:pt>
                <c:pt idx="2637">
                  <c:v>1.1025748909597941E-2</c:v>
                </c:pt>
                <c:pt idx="2638">
                  <c:v>1.101585805881344E-2</c:v>
                </c:pt>
                <c:pt idx="2639">
                  <c:v>1.1006909857127732E-2</c:v>
                </c:pt>
                <c:pt idx="2640">
                  <c:v>1.0997963940787848E-2</c:v>
                </c:pt>
                <c:pt idx="2641">
                  <c:v>1.0989020329794749E-2</c:v>
                </c:pt>
                <c:pt idx="2642">
                  <c:v>1.0980549758315189E-2</c:v>
                </c:pt>
                <c:pt idx="2643">
                  <c:v>1.0971610915370225E-2</c:v>
                </c:pt>
                <c:pt idx="2644">
                  <c:v>1.0960121593191987E-2</c:v>
                </c:pt>
                <c:pt idx="2645">
                  <c:v>1.0953740340382764E-2</c:v>
                </c:pt>
                <c:pt idx="2646">
                  <c:v>1.0944808648341931E-2</c:v>
                </c:pt>
                <c:pt idx="2647">
                  <c:v>1.0935408196254319E-2</c:v>
                </c:pt>
                <c:pt idx="2648">
                  <c:v>1.0926481282748526E-2</c:v>
                </c:pt>
                <c:pt idx="2649">
                  <c:v>1.0917556834601518E-2</c:v>
                </c:pt>
                <c:pt idx="2650">
                  <c:v>1.0908634871813821E-2</c:v>
                </c:pt>
                <c:pt idx="2651">
                  <c:v>1.0900186942673354E-2</c:v>
                </c:pt>
                <c:pt idx="2652">
                  <c:v>1.0891270092443797E-2</c:v>
                </c:pt>
                <c:pt idx="2653">
                  <c:v>1.0882355785845994E-2</c:v>
                </c:pt>
                <c:pt idx="2654">
                  <c:v>1.0873444042877937E-2</c:v>
                </c:pt>
                <c:pt idx="2655">
                  <c:v>1.0863591176509532E-2</c:v>
                </c:pt>
                <c:pt idx="2656">
                  <c:v>1.0855156407575107E-2</c:v>
                </c:pt>
                <c:pt idx="2657">
                  <c:v>1.0846252402266825E-2</c:v>
                </c:pt>
                <c:pt idx="2658">
                  <c:v>1.0837351042304226E-2</c:v>
                </c:pt>
                <c:pt idx="2659">
                  <c:v>1.0828452347684356E-2</c:v>
                </c:pt>
                <c:pt idx="2660">
                  <c:v>1.0819556338402959E-2</c:v>
                </c:pt>
                <c:pt idx="2661">
                  <c:v>1.0810663034454477E-2</c:v>
                </c:pt>
                <c:pt idx="2662">
                  <c:v>1.080177245583726E-2</c:v>
                </c:pt>
                <c:pt idx="2663">
                  <c:v>1.0792884622544879E-2</c:v>
                </c:pt>
                <c:pt idx="2664">
                  <c:v>1.0784944454866373E-2</c:v>
                </c:pt>
                <c:pt idx="2665">
                  <c:v>1.0776062291161615E-2</c:v>
                </c:pt>
                <c:pt idx="2666">
                  <c:v>1.0767182929305721E-2</c:v>
                </c:pt>
                <c:pt idx="2667">
                  <c:v>1.0758306389294123E-2</c:v>
                </c:pt>
                <c:pt idx="2668">
                  <c:v>1.0751323230971681E-2</c:v>
                </c:pt>
                <c:pt idx="2669">
                  <c:v>1.0740561854769303E-2</c:v>
                </c:pt>
                <c:pt idx="2670">
                  <c:v>1.0731693900241677E-2</c:v>
                </c:pt>
                <c:pt idx="2671">
                  <c:v>1.0722828847526468E-2</c:v>
                </c:pt>
                <c:pt idx="2672">
                  <c:v>1.0713966716615156E-2</c:v>
                </c:pt>
                <c:pt idx="2673">
                  <c:v>1.0705107527497907E-2</c:v>
                </c:pt>
                <c:pt idx="2674">
                  <c:v>1.0696251300167076E-2</c:v>
                </c:pt>
                <c:pt idx="2675">
                  <c:v>1.0687398054611953E-2</c:v>
                </c:pt>
                <c:pt idx="2676">
                  <c:v>1.0678547810822258E-2</c:v>
                </c:pt>
                <c:pt idx="2677">
                  <c:v>1.0669700588789034E-2</c:v>
                </c:pt>
                <c:pt idx="2678">
                  <c:v>1.066085640850069E-2</c:v>
                </c:pt>
                <c:pt idx="2679">
                  <c:v>1.0652015289946068E-2</c:v>
                </c:pt>
                <c:pt idx="2680">
                  <c:v>1.0643177253114894E-2</c:v>
                </c:pt>
                <c:pt idx="2681">
                  <c:v>1.0633553650997661E-2</c:v>
                </c:pt>
                <c:pt idx="2682">
                  <c:v>1.0624722315200199E-2</c:v>
                </c:pt>
                <c:pt idx="2683">
                  <c:v>1.0615894122208975E-2</c:v>
                </c:pt>
                <c:pt idx="2684">
                  <c:v>1.0607069092011975E-2</c:v>
                </c:pt>
                <c:pt idx="2685">
                  <c:v>1.0598247244594981E-2</c:v>
                </c:pt>
                <c:pt idx="2686">
                  <c:v>1.0589428599944217E-2</c:v>
                </c:pt>
                <c:pt idx="2687">
                  <c:v>1.0580613178046346E-2</c:v>
                </c:pt>
                <c:pt idx="2688">
                  <c:v>1.0571800998885826E-2</c:v>
                </c:pt>
                <c:pt idx="2689">
                  <c:v>1.0562992082449317E-2</c:v>
                </c:pt>
                <c:pt idx="2690">
                  <c:v>1.0552766157437929E-2</c:v>
                </c:pt>
                <c:pt idx="2691">
                  <c:v>1.0543963783713667E-2</c:v>
                </c:pt>
                <c:pt idx="2692">
                  <c:v>1.0535164737882147E-2</c:v>
                </c:pt>
                <c:pt idx="2693">
                  <c:v>1.0526369039928256E-2</c:v>
                </c:pt>
                <c:pt idx="2694">
                  <c:v>1.051553872572732E-2</c:v>
                </c:pt>
                <c:pt idx="2695">
                  <c:v>1.0506750761711814E-2</c:v>
                </c:pt>
                <c:pt idx="2696">
                  <c:v>1.049796620949524E-2</c:v>
                </c:pt>
                <c:pt idx="2697">
                  <c:v>1.0489185089062485E-2</c:v>
                </c:pt>
                <c:pt idx="2698">
                  <c:v>1.0478206732074882E-2</c:v>
                </c:pt>
                <c:pt idx="2699">
                  <c:v>1.0470212683931241E-2</c:v>
                </c:pt>
                <c:pt idx="2700">
                  <c:v>1.0461441985563234E-2</c:v>
                </c:pt>
                <c:pt idx="2701">
                  <c:v>1.0452674804132076E-2</c:v>
                </c:pt>
                <c:pt idx="2702">
                  <c:v>1.0445331663024859E-2</c:v>
                </c:pt>
                <c:pt idx="2703">
                  <c:v>1.0436571552915641E-2</c:v>
                </c:pt>
                <c:pt idx="2704">
                  <c:v>1.0427815014461305E-2</c:v>
                </c:pt>
                <c:pt idx="2705">
                  <c:v>1.04190620676415E-2</c:v>
                </c:pt>
                <c:pt idx="2706">
                  <c:v>1.0408892350393033E-2</c:v>
                </c:pt>
                <c:pt idx="2707">
                  <c:v>1.0400146690196992E-2</c:v>
                </c:pt>
                <c:pt idx="2708">
                  <c:v>1.0391404686806991E-2</c:v>
                </c:pt>
                <c:pt idx="2709">
                  <c:v>1.038266636020275E-2</c:v>
                </c:pt>
                <c:pt idx="2710">
                  <c:v>1.0373931730363122E-2</c:v>
                </c:pt>
                <c:pt idx="2711">
                  <c:v>1.0366620929933786E-2</c:v>
                </c:pt>
                <c:pt idx="2712">
                  <c:v>1.0356473640896147E-2</c:v>
                </c:pt>
                <c:pt idx="2713">
                  <c:v>1.0347750221226516E-2</c:v>
                </c:pt>
                <c:pt idx="2714">
                  <c:v>1.0339030578235639E-2</c:v>
                </c:pt>
                <c:pt idx="2715">
                  <c:v>1.0331734534854798E-2</c:v>
                </c:pt>
                <c:pt idx="2716">
                  <c:v>1.0323495640512582E-2</c:v>
                </c:pt>
                <c:pt idx="2717">
                  <c:v>1.0314787320099236E-2</c:v>
                </c:pt>
                <c:pt idx="2718">
                  <c:v>1.030608284929092E-2</c:v>
                </c:pt>
                <c:pt idx="2719">
                  <c:v>1.0297382248061107E-2</c:v>
                </c:pt>
                <c:pt idx="2720">
                  <c:v>1.0288212447271114E-2</c:v>
                </c:pt>
                <c:pt idx="2721">
                  <c:v>1.0279519683682823E-2</c:v>
                </c:pt>
                <c:pt idx="2722">
                  <c:v>1.026893876287382E-2</c:v>
                </c:pt>
                <c:pt idx="2723">
                  <c:v>1.0262145970235252E-2</c:v>
                </c:pt>
                <c:pt idx="2724">
                  <c:v>1.0253465060323907E-2</c:v>
                </c:pt>
                <c:pt idx="2725">
                  <c:v>1.0245261020441069E-2</c:v>
                </c:pt>
                <c:pt idx="2726">
                  <c:v>1.0236588065554933E-2</c:v>
                </c:pt>
                <c:pt idx="2727">
                  <c:v>1.0227919342432747E-2</c:v>
                </c:pt>
                <c:pt idx="2728">
                  <c:v>1.0219256323333748E-2</c:v>
                </c:pt>
                <c:pt idx="2729">
                  <c:v>1.0210129416049103E-2</c:v>
                </c:pt>
                <c:pt idx="2730">
                  <c:v>1.0201484598943007E-2</c:v>
                </c:pt>
                <c:pt idx="2731">
                  <c:v>1.0192851587687195E-2</c:v>
                </c:pt>
                <c:pt idx="2732">
                  <c:v>1.0179313975196513E-2</c:v>
                </c:pt>
                <c:pt idx="2733">
                  <c:v>1.0174867280667122E-2</c:v>
                </c:pt>
                <c:pt idx="2734">
                  <c:v>1.0167507515273079E-2</c:v>
                </c:pt>
                <c:pt idx="2735">
                  <c:v>1.0158939256885005E-2</c:v>
                </c:pt>
                <c:pt idx="2736">
                  <c:v>1.0150392408898297E-2</c:v>
                </c:pt>
                <c:pt idx="2737">
                  <c:v>1.0141868949351785E-2</c:v>
                </c:pt>
                <c:pt idx="2738">
                  <c:v>1.0133370859536204E-2</c:v>
                </c:pt>
                <c:pt idx="2739">
                  <c:v>1.0124900123990241E-2</c:v>
                </c:pt>
                <c:pt idx="2740">
                  <c:v>1.0116458730506685E-2</c:v>
                </c:pt>
                <c:pt idx="2741">
                  <c:v>1.0108048670126272E-2</c:v>
                </c:pt>
                <c:pt idx="2742">
                  <c:v>1.0097898734400184E-2</c:v>
                </c:pt>
                <c:pt idx="2743">
                  <c:v>1.0089570257795902E-2</c:v>
                </c:pt>
                <c:pt idx="2744">
                  <c:v>1.0081279517895702E-2</c:v>
                </c:pt>
                <c:pt idx="2745">
                  <c:v>1.0073028478110098E-2</c:v>
                </c:pt>
                <c:pt idx="2746">
                  <c:v>1.0066107966132515E-2</c:v>
                </c:pt>
                <c:pt idx="2747">
                  <c:v>1.0057931477022693E-2</c:v>
                </c:pt>
                <c:pt idx="2748">
                  <c:v>1.0049800412223739E-2</c:v>
                </c:pt>
                <c:pt idx="2749">
                  <c:v>1.0041716778398034E-2</c:v>
                </c:pt>
                <c:pt idx="2750">
                  <c:v>1.0033682585445146E-2</c:v>
                </c:pt>
                <c:pt idx="2751">
                  <c:v>1.0024466293716346E-2</c:v>
                </c:pt>
                <c:pt idx="2752">
                  <c:v>1.001654839754279E-2</c:v>
                </c:pt>
                <c:pt idx="2753">
                  <c:v>1.0008685825310795E-2</c:v>
                </c:pt>
                <c:pt idx="2754">
                  <c:v>1.0000879148027253E-2</c:v>
                </c:pt>
                <c:pt idx="2755">
                  <c:v>9.9943163460428953E-3</c:v>
                </c:pt>
                <c:pt idx="2756">
                  <c:v>9.9866102842454778E-3</c:v>
                </c:pt>
                <c:pt idx="2757">
                  <c:v>9.9789604049100224E-3</c:v>
                </c:pt>
                <c:pt idx="2758">
                  <c:v>9.9713668127737291E-3</c:v>
                </c:pt>
                <c:pt idx="2759">
                  <c:v>9.962687865171049E-3</c:v>
                </c:pt>
                <c:pt idx="2760">
                  <c:v>9.9552187624738567E-3</c:v>
                </c:pt>
                <c:pt idx="2761">
                  <c:v>9.9478062888041507E-3</c:v>
                </c:pt>
                <c:pt idx="2762">
                  <c:v>9.9404505489112636E-3</c:v>
                </c:pt>
                <c:pt idx="2763">
                  <c:v>9.9331516475501067E-3</c:v>
                </c:pt>
                <c:pt idx="2764">
                  <c:v>9.9259096894768837E-3</c:v>
                </c:pt>
                <c:pt idx="2765">
                  <c:v>9.9187247794538143E-3</c:v>
                </c:pt>
                <c:pt idx="2766">
                  <c:v>9.9115970222431217E-3</c:v>
                </c:pt>
                <c:pt idx="2767">
                  <c:v>9.9045265226147608E-3</c:v>
                </c:pt>
                <c:pt idx="2768">
                  <c:v>9.8992424874935134E-3</c:v>
                </c:pt>
                <c:pt idx="2769">
                  <c:v>9.8922670736032586E-3</c:v>
                </c:pt>
                <c:pt idx="2770">
                  <c:v>9.8853491856439844E-3</c:v>
                </c:pt>
                <c:pt idx="2771">
                  <c:v>9.8784889283986127E-3</c:v>
                </c:pt>
                <c:pt idx="2772">
                  <c:v>9.8713556858866808E-3</c:v>
                </c:pt>
                <c:pt idx="2773">
                  <c:v>9.8646149880485343E-3</c:v>
                </c:pt>
                <c:pt idx="2774">
                  <c:v>9.8579322444882506E-3</c:v>
                </c:pt>
                <c:pt idx="2775">
                  <c:v>9.851307560001998E-3</c:v>
                </c:pt>
                <c:pt idx="2776">
                  <c:v>9.8447410393907794E-3</c:v>
                </c:pt>
                <c:pt idx="2777">
                  <c:v>9.8385434981881851E-3</c:v>
                </c:pt>
                <c:pt idx="2778">
                  <c:v>9.8320895901534474E-3</c:v>
                </c:pt>
                <c:pt idx="2779">
                  <c:v>9.8256941512231844E-3</c:v>
                </c:pt>
                <c:pt idx="2780">
                  <c:v>9.8193572862143239E-3</c:v>
                </c:pt>
                <c:pt idx="2781">
                  <c:v>9.8127845627364457E-3</c:v>
                </c:pt>
                <c:pt idx="2782">
                  <c:v>9.8065692263959031E-3</c:v>
                </c:pt>
                <c:pt idx="2783">
                  <c:v>9.8004127876393128E-3</c:v>
                </c:pt>
                <c:pt idx="2784">
                  <c:v>9.7943153512988611E-3</c:v>
                </c:pt>
                <c:pt idx="2785">
                  <c:v>9.7882770222089341E-3</c:v>
                </c:pt>
                <c:pt idx="2786">
                  <c:v>9.7825720186424311E-3</c:v>
                </c:pt>
                <c:pt idx="2787">
                  <c:v>9.7766481062360727E-3</c:v>
                </c:pt>
                <c:pt idx="2788">
                  <c:v>9.7707836064146198E-3</c:v>
                </c:pt>
                <c:pt idx="2789">
                  <c:v>9.7649786240294502E-3</c:v>
                </c:pt>
                <c:pt idx="2790">
                  <c:v>9.7592332639345903E-3</c:v>
                </c:pt>
                <c:pt idx="2791">
                  <c:v>9.7535476309898068E-3</c:v>
                </c:pt>
                <c:pt idx="2792">
                  <c:v>9.7479218300584002E-3</c:v>
                </c:pt>
                <c:pt idx="2793">
                  <c:v>9.7423559660076466E-3</c:v>
                </c:pt>
                <c:pt idx="2794">
                  <c:v>9.7356493199226672E-3</c:v>
                </c:pt>
                <c:pt idx="2795">
                  <c:v>9.7302245833470243E-3</c:v>
                </c:pt>
                <c:pt idx="2796">
                  <c:v>9.7248601442712791E-3</c:v>
                </c:pt>
                <c:pt idx="2797">
                  <c:v>9.7195561075805615E-3</c:v>
                </c:pt>
                <c:pt idx="2798">
                  <c:v>9.7149814527472088E-3</c:v>
                </c:pt>
                <c:pt idx="2799">
                  <c:v>9.7097858587995699E-3</c:v>
                </c:pt>
                <c:pt idx="2800">
                  <c:v>9.7046509543237385E-3</c:v>
                </c:pt>
                <c:pt idx="2801">
                  <c:v>9.6995768442237808E-3</c:v>
                </c:pt>
                <c:pt idx="2802">
                  <c:v>9.6945636334076889E-3</c:v>
                </c:pt>
                <c:pt idx="2803">
                  <c:v>9.6890062117649025E-3</c:v>
                </c:pt>
                <c:pt idx="2804">
                  <c:v>9.6841279289850216E-3</c:v>
                </c:pt>
                <c:pt idx="2805">
                  <c:v>9.6793108878487251E-3</c:v>
                </c:pt>
                <c:pt idx="2806">
                  <c:v>9.6745551932854116E-3</c:v>
                </c:pt>
                <c:pt idx="2807">
                  <c:v>9.6704147406765032E-3</c:v>
                </c:pt>
                <c:pt idx="2808">
                  <c:v>9.6657691288831102E-3</c:v>
                </c:pt>
                <c:pt idx="2809">
                  <c:v>9.6611851508562208E-3</c:v>
                </c:pt>
                <c:pt idx="2810">
                  <c:v>9.6566629115409607E-3</c:v>
                </c:pt>
                <c:pt idx="2811">
                  <c:v>9.6522025158885701E-3</c:v>
                </c:pt>
                <c:pt idx="2812">
                  <c:v>9.6473151805079402E-3</c:v>
                </c:pt>
                <c:pt idx="2813">
                  <c:v>9.6429918503465415E-3</c:v>
                </c:pt>
                <c:pt idx="2814">
                  <c:v>9.6387307063566241E-3</c:v>
                </c:pt>
                <c:pt idx="2815">
                  <c:v>9.634531853511423E-3</c:v>
                </c:pt>
                <c:pt idx="2816">
                  <c:v>9.630395396789759E-3</c:v>
                </c:pt>
                <c:pt idx="2817">
                  <c:v>9.6263214411721719E-3</c:v>
                </c:pt>
                <c:pt idx="2818">
                  <c:v>9.6223100916477972E-3</c:v>
                </c:pt>
                <c:pt idx="2819">
                  <c:v>9.6183614532083499E-3</c:v>
                </c:pt>
                <c:pt idx="2820">
                  <c:v>9.615117083452614E-3</c:v>
                </c:pt>
                <c:pt idx="2821">
                  <c:v>9.6112720462486236E-3</c:v>
                </c:pt>
                <c:pt idx="2822">
                  <c:v>9.607489989044633E-3</c:v>
                </c:pt>
                <c:pt idx="2823">
                  <c:v>9.6037710168492413E-3</c:v>
                </c:pt>
                <c:pt idx="2824">
                  <c:v>9.6001152346741371E-3</c:v>
                </c:pt>
                <c:pt idx="2825">
                  <c:v>9.5964158333386E-3</c:v>
                </c:pt>
                <c:pt idx="2826">
                  <c:v>9.5928912176408351E-3</c:v>
                </c:pt>
                <c:pt idx="2827">
                  <c:v>9.5894301162599525E-3</c:v>
                </c:pt>
                <c:pt idx="2828">
                  <c:v>9.5860326342310561E-3</c:v>
                </c:pt>
                <c:pt idx="2829">
                  <c:v>9.582787849943564E-3</c:v>
                </c:pt>
                <c:pt idx="2830">
                  <c:v>9.5795134134638131E-3</c:v>
                </c:pt>
                <c:pt idx="2831">
                  <c:v>9.5763029022451693E-3</c:v>
                </c:pt>
                <c:pt idx="2832">
                  <c:v>9.5731564213417178E-3</c:v>
                </c:pt>
                <c:pt idx="2833">
                  <c:v>9.5700031909844632E-3</c:v>
                </c:pt>
                <c:pt idx="2834">
                  <c:v>9.566989631115564E-3</c:v>
                </c:pt>
                <c:pt idx="2835">
                  <c:v>9.5640404259985205E-3</c:v>
                </c:pt>
                <c:pt idx="2836">
                  <c:v>9.5611556807132358E-3</c:v>
                </c:pt>
                <c:pt idx="2837">
                  <c:v>9.5583355003453201E-3</c:v>
                </c:pt>
                <c:pt idx="2838">
                  <c:v>9.5556280563696364E-3</c:v>
                </c:pt>
                <c:pt idx="2839">
                  <c:v>9.5529327297010393E-3</c:v>
                </c:pt>
                <c:pt idx="2840">
                  <c:v>9.5503022739945268E-3</c:v>
                </c:pt>
                <c:pt idx="2841">
                  <c:v>9.5477367943554124E-3</c:v>
                </c:pt>
                <c:pt idx="2842">
                  <c:v>9.5452363958960802E-3</c:v>
                </c:pt>
                <c:pt idx="2843">
                  <c:v>9.542801183734656E-3</c:v>
                </c:pt>
                <c:pt idx="2844">
                  <c:v>9.5404312629945604E-3</c:v>
                </c:pt>
                <c:pt idx="2845">
                  <c:v>9.5381267388054032E-3</c:v>
                </c:pt>
                <c:pt idx="2846">
                  <c:v>9.5358367968473821E-3</c:v>
                </c:pt>
                <c:pt idx="2847">
                  <c:v>9.5336867179466565E-3</c:v>
                </c:pt>
                <c:pt idx="2848">
                  <c:v>9.5316023973264705E-3</c:v>
                </c:pt>
                <c:pt idx="2849">
                  <c:v>9.5295839401487274E-3</c:v>
                </c:pt>
                <c:pt idx="2850">
                  <c:v>9.5276044782263026E-3</c:v>
                </c:pt>
                <c:pt idx="2851">
                  <c:v>9.5257039473211919E-3</c:v>
                </c:pt>
                <c:pt idx="2852">
                  <c:v>9.5238695675793159E-3</c:v>
                </c:pt>
                <c:pt idx="2853">
                  <c:v>9.5221014441834225E-3</c:v>
                </c:pt>
                <c:pt idx="2854">
                  <c:v>9.5203996823232506E-3</c:v>
                </c:pt>
                <c:pt idx="2855">
                  <c:v>9.5188622193760116E-3</c:v>
                </c:pt>
                <c:pt idx="2856">
                  <c:v>9.5173077514233741E-3</c:v>
                </c:pt>
                <c:pt idx="2857">
                  <c:v>9.5158199884546393E-3</c:v>
                </c:pt>
                <c:pt idx="2858">
                  <c:v>9.5143990356897235E-3</c:v>
                </c:pt>
                <c:pt idx="2859">
                  <c:v>9.5128899780956011E-3</c:v>
                </c:pt>
                <c:pt idx="2860">
                  <c:v>9.5115885947640103E-3</c:v>
                </c:pt>
                <c:pt idx="2861">
                  <c:v>9.5103543094666541E-3</c:v>
                </c:pt>
                <c:pt idx="2862">
                  <c:v>9.5091872274452455E-3</c:v>
                </c:pt>
                <c:pt idx="2863">
                  <c:v>9.5080874539454369E-3</c:v>
                </c:pt>
                <c:pt idx="2864">
                  <c:v>9.5072822266246467E-3</c:v>
                </c:pt>
                <c:pt idx="2865">
                  <c:v>9.506331892046303E-3</c:v>
                </c:pt>
                <c:pt idx="2866">
                  <c:v>9.505449209682543E-3</c:v>
                </c:pt>
                <c:pt idx="2867">
                  <c:v>9.5046342848173204E-3</c:v>
                </c:pt>
                <c:pt idx="2868">
                  <c:v>9.5038872227367361E-3</c:v>
                </c:pt>
                <c:pt idx="2869">
                  <c:v>9.5032081287389266E-3</c:v>
                </c:pt>
                <c:pt idx="2870">
                  <c:v>9.5025971081237476E-3</c:v>
                </c:pt>
                <c:pt idx="2871">
                  <c:v>9.5020542662035152E-3</c:v>
                </c:pt>
                <c:pt idx="2872">
                  <c:v>9.5010087929256245E-3</c:v>
                </c:pt>
                <c:pt idx="2873">
                  <c:v>9.5005780798007901E-3</c:v>
                </c:pt>
                <c:pt idx="2874">
                  <c:v>9.5002158147055194E-3</c:v>
                </c:pt>
                <c:pt idx="2875">
                  <c:v>9.499922102961092E-3</c:v>
                </c:pt>
                <c:pt idx="2876">
                  <c:v>9.4996970499002641E-3</c:v>
                </c:pt>
                <c:pt idx="2877">
                  <c:v>9.4996786293510948E-3</c:v>
                </c:pt>
                <c:pt idx="2878">
                  <c:v>9.49959616329118E-3</c:v>
                </c:pt>
                <c:pt idx="2879">
                  <c:v>9.4995826812862179E-3</c:v>
                </c:pt>
                <c:pt idx="2880">
                  <c:v>9.4996382886967622E-3</c:v>
                </c:pt>
                <c:pt idx="2881">
                  <c:v>9.499605351846914E-3</c:v>
                </c:pt>
                <c:pt idx="2882">
                  <c:v>9.4997944631927227E-3</c:v>
                </c:pt>
                <c:pt idx="2883">
                  <c:v>9.5000529707276599E-3</c:v>
                </c:pt>
                <c:pt idx="2884">
                  <c:v>9.5003809798352695E-3</c:v>
                </c:pt>
                <c:pt idx="2885">
                  <c:v>9.5009563551404445E-3</c:v>
                </c:pt>
                <c:pt idx="2886">
                  <c:v>9.5014287120399731E-3</c:v>
                </c:pt>
                <c:pt idx="2887">
                  <c:v>9.5019708960870815E-3</c:v>
                </c:pt>
                <c:pt idx="2888">
                  <c:v>9.5025830127029379E-3</c:v>
                </c:pt>
                <c:pt idx="2889">
                  <c:v>9.5033683415080006E-3</c:v>
                </c:pt>
                <c:pt idx="2890">
                  <c:v>9.5039269489553702E-3</c:v>
                </c:pt>
                <c:pt idx="2891">
                  <c:v>9.5047544633549159E-3</c:v>
                </c:pt>
                <c:pt idx="2892">
                  <c:v>9.5056523377556029E-3</c:v>
                </c:pt>
                <c:pt idx="2893">
                  <c:v>9.5066206776098713E-3</c:v>
                </c:pt>
                <c:pt idx="2894">
                  <c:v>9.5076595883829707E-3</c:v>
                </c:pt>
                <c:pt idx="2895">
                  <c:v>9.5087691755428045E-3</c:v>
                </c:pt>
                <c:pt idx="2896">
                  <c:v>9.5099495445696344E-3</c:v>
                </c:pt>
                <c:pt idx="2897">
                  <c:v>9.5112008009481438E-3</c:v>
                </c:pt>
                <c:pt idx="2898">
                  <c:v>9.5135044167746884E-3</c:v>
                </c:pt>
                <c:pt idx="2899">
                  <c:v>9.5149183778668999E-3</c:v>
                </c:pt>
                <c:pt idx="2900">
                  <c:v>9.5164035805015076E-3</c:v>
                </c:pt>
                <c:pt idx="2901">
                  <c:v>9.5179601302139809E-3</c:v>
                </c:pt>
                <c:pt idx="2902">
                  <c:v>9.5187893460050993E-3</c:v>
                </c:pt>
                <c:pt idx="2903">
                  <c:v>9.5212876930494197E-3</c:v>
                </c:pt>
                <c:pt idx="2904">
                  <c:v>9.5235434959340028E-3</c:v>
                </c:pt>
                <c:pt idx="2905">
                  <c:v>9.5249019108082228E-3</c:v>
                </c:pt>
                <c:pt idx="2906">
                  <c:v>9.5268167792069858E-3</c:v>
                </c:pt>
                <c:pt idx="2907">
                  <c:v>9.5288036280615079E-3</c:v>
                </c:pt>
                <c:pt idx="2908">
                  <c:v>9.5308625629625665E-3</c:v>
                </c:pt>
                <c:pt idx="2909">
                  <c:v>9.5329936895104488E-3</c:v>
                </c:pt>
                <c:pt idx="2910">
                  <c:v>9.5351971133153766E-3</c:v>
                </c:pt>
                <c:pt idx="2911">
                  <c:v>9.5374729399931892E-3</c:v>
                </c:pt>
                <c:pt idx="2912">
                  <c:v>9.5398212751705326E-3</c:v>
                </c:pt>
                <c:pt idx="2913">
                  <c:v>9.5422422244826888E-3</c:v>
                </c:pt>
                <c:pt idx="2914">
                  <c:v>9.5447358935714221E-3</c:v>
                </c:pt>
                <c:pt idx="2915">
                  <c:v>9.5473023880888724E-3</c:v>
                </c:pt>
                <c:pt idx="2916">
                  <c:v>9.5499418136945173E-3</c:v>
                </c:pt>
                <c:pt idx="2917">
                  <c:v>9.5526542760595041E-3</c:v>
                </c:pt>
                <c:pt idx="2918">
                  <c:v>9.5554398808593045E-3</c:v>
                </c:pt>
                <c:pt idx="2919">
                  <c:v>9.5582987337819135E-3</c:v>
                </c:pt>
                <c:pt idx="2920">
                  <c:v>9.5612309405226793E-3</c:v>
                </c:pt>
                <c:pt idx="2921">
                  <c:v>9.5642366067864477E-3</c:v>
                </c:pt>
                <c:pt idx="2922">
                  <c:v>9.5673158382845545E-3</c:v>
                </c:pt>
                <c:pt idx="2923">
                  <c:v>9.5704687407417235E-3</c:v>
                </c:pt>
                <c:pt idx="2924">
                  <c:v>9.5725474256540006E-3</c:v>
                </c:pt>
                <c:pt idx="2925">
                  <c:v>9.5758317861865533E-3</c:v>
                </c:pt>
                <c:pt idx="2926">
                  <c:v>9.5791901062543035E-3</c:v>
                </c:pt>
                <c:pt idx="2927">
                  <c:v>9.5826224915990434E-3</c:v>
                </c:pt>
                <c:pt idx="2928">
                  <c:v>9.5873420183052154E-3</c:v>
                </c:pt>
                <c:pt idx="2929">
                  <c:v>9.5913499855083632E-3</c:v>
                </c:pt>
                <c:pt idx="2930">
                  <c:v>9.5946107273288672E-3</c:v>
                </c:pt>
                <c:pt idx="2931">
                  <c:v>9.5983568045377322E-3</c:v>
                </c:pt>
                <c:pt idx="2932">
                  <c:v>9.602177504614914E-3</c:v>
                </c:pt>
                <c:pt idx="2933">
                  <c:v>9.6047780971703148E-3</c:v>
                </c:pt>
                <c:pt idx="2934">
                  <c:v>9.608731900988288E-3</c:v>
                </c:pt>
                <c:pt idx="2935">
                  <c:v>9.6127606163456496E-3</c:v>
                </c:pt>
                <c:pt idx="2936">
                  <c:v>9.616864349066322E-3</c:v>
                </c:pt>
                <c:pt idx="2937">
                  <c:v>9.6210432049852052E-3</c:v>
                </c:pt>
                <c:pt idx="2938">
                  <c:v>9.6266747115425506E-3</c:v>
                </c:pt>
                <c:pt idx="2939">
                  <c:v>9.6310207350153269E-3</c:v>
                </c:pt>
                <c:pt idx="2940">
                  <c:v>9.6354422281337716E-3</c:v>
                </c:pt>
                <c:pt idx="2941">
                  <c:v>9.6404553049228153E-3</c:v>
                </c:pt>
                <c:pt idx="2942">
                  <c:v>9.645043819581596E-3</c:v>
                </c:pt>
                <c:pt idx="2943">
                  <c:v>9.6497081380238475E-3</c:v>
                </c:pt>
                <c:pt idx="2944">
                  <c:v>9.6544483661534265E-3</c:v>
                </c:pt>
                <c:pt idx="2945">
                  <c:v>9.6592646098838525E-3</c:v>
                </c:pt>
                <c:pt idx="2946">
                  <c:v>9.6641569751405032E-3</c:v>
                </c:pt>
                <c:pt idx="2947">
                  <c:v>9.669125567855345E-3</c:v>
                </c:pt>
                <c:pt idx="2948">
                  <c:v>9.6741704939722045E-3</c:v>
                </c:pt>
                <c:pt idx="2949">
                  <c:v>9.6792918594454467E-3</c:v>
                </c:pt>
                <c:pt idx="2950">
                  <c:v>9.6855464452327376E-3</c:v>
                </c:pt>
                <c:pt idx="2951">
                  <c:v>9.6908323156610562E-3</c:v>
                </c:pt>
                <c:pt idx="2952">
                  <c:v>9.696194962789154E-3</c:v>
                </c:pt>
                <c:pt idx="2953">
                  <c:v>9.701634492620936E-3</c:v>
                </c:pt>
                <c:pt idx="2954">
                  <c:v>9.7065997216841168E-3</c:v>
                </c:pt>
                <c:pt idx="2955">
                  <c:v>9.7137983632135452E-3</c:v>
                </c:pt>
                <c:pt idx="2956">
                  <c:v>9.7178527521841109E-3</c:v>
                </c:pt>
                <c:pt idx="2957">
                  <c:v>9.7235951600465539E-3</c:v>
                </c:pt>
                <c:pt idx="2958">
                  <c:v>9.7294149710477583E-3</c:v>
                </c:pt>
                <c:pt idx="2959">
                  <c:v>9.7367417736380166E-3</c:v>
                </c:pt>
                <c:pt idx="2960">
                  <c:v>9.7427335494200719E-3</c:v>
                </c:pt>
                <c:pt idx="2961">
                  <c:v>9.7488030714906627E-3</c:v>
                </c:pt>
                <c:pt idx="2962">
                  <c:v>9.7549504459514425E-3</c:v>
                </c:pt>
                <c:pt idx="2963">
                  <c:v>9.7605720706051731E-3</c:v>
                </c:pt>
                <c:pt idx="2964">
                  <c:v>9.7668696852849686E-3</c:v>
                </c:pt>
                <c:pt idx="2965">
                  <c:v>9.773245460913951E-3</c:v>
                </c:pt>
                <c:pt idx="2966">
                  <c:v>9.7796995036306088E-3</c:v>
                </c:pt>
                <c:pt idx="2967">
                  <c:v>9.7874862850875332E-3</c:v>
                </c:pt>
                <c:pt idx="2968">
                  <c:v>9.7934755359465331E-3</c:v>
                </c:pt>
                <c:pt idx="2969">
                  <c:v>9.8001708488801662E-3</c:v>
                </c:pt>
                <c:pt idx="2970">
                  <c:v>9.8069448634007881E-3</c:v>
                </c:pt>
                <c:pt idx="2971">
                  <c:v>9.8137976857073581E-3</c:v>
                </c:pt>
                <c:pt idx="2972">
                  <c:v>9.8207294220083972E-3</c:v>
                </c:pt>
                <c:pt idx="2973">
                  <c:v>9.8277401785245907E-3</c:v>
                </c:pt>
                <c:pt idx="2974">
                  <c:v>9.8348300614866137E-3</c:v>
                </c:pt>
                <c:pt idx="2975">
                  <c:v>9.8419991771377426E-3</c:v>
                </c:pt>
                <c:pt idx="2976">
                  <c:v>9.8472104027726923E-3</c:v>
                </c:pt>
                <c:pt idx="2977">
                  <c:v>9.8545205726092242E-3</c:v>
                </c:pt>
                <c:pt idx="2978">
                  <c:v>9.8619102641878762E-3</c:v>
                </c:pt>
                <c:pt idx="2979">
                  <c:v>9.8693795837688416E-3</c:v>
                </c:pt>
                <c:pt idx="2980">
                  <c:v>9.8776308320225811E-3</c:v>
                </c:pt>
                <c:pt idx="2981">
                  <c:v>9.885265675063001E-3</c:v>
                </c:pt>
                <c:pt idx="2982">
                  <c:v>9.8929804749019658E-3</c:v>
                </c:pt>
                <c:pt idx="2983">
                  <c:v>9.9007753378544325E-3</c:v>
                </c:pt>
                <c:pt idx="2984">
                  <c:v>9.9086503702476552E-3</c:v>
                </c:pt>
                <c:pt idx="2985">
                  <c:v>9.915873641327946E-3</c:v>
                </c:pt>
                <c:pt idx="2986">
                  <c:v>9.9239033331733027E-3</c:v>
                </c:pt>
                <c:pt idx="2987">
                  <c:v>9.9320133918849723E-3</c:v>
                </c:pt>
                <c:pt idx="2988">
                  <c:v>9.9402019363073885E-3</c:v>
                </c:pt>
                <c:pt idx="2989">
                  <c:v>9.9492198882261025E-3</c:v>
                </c:pt>
                <c:pt idx="2990">
                  <c:v>9.9575595533362409E-3</c:v>
                </c:pt>
                <c:pt idx="2991">
                  <c:v>9.9659668371961004E-3</c:v>
                </c:pt>
                <c:pt idx="2992">
                  <c:v>9.9744382537990325E-3</c:v>
                </c:pt>
                <c:pt idx="2993">
                  <c:v>9.9834235386902608E-3</c:v>
                </c:pt>
                <c:pt idx="2994">
                  <c:v>9.9920177607217518E-3</c:v>
                </c:pt>
                <c:pt idx="2995">
                  <c:v>1.0000665477206308E-2</c:v>
                </c:pt>
                <c:pt idx="2996">
                  <c:v>1.0009363160153656E-2</c:v>
                </c:pt>
                <c:pt idx="2997">
                  <c:v>1.0018107276016418E-2</c:v>
                </c:pt>
                <c:pt idx="2998">
                  <c:v>1.0026894285683046E-2</c:v>
                </c:pt>
                <c:pt idx="2999">
                  <c:v>1.003572064448313E-2</c:v>
                </c:pt>
                <c:pt idx="3000">
                  <c:v>1.0044582802183412E-2</c:v>
                </c:pt>
                <c:pt idx="3001">
                  <c:v>1.0053477202986466E-2</c:v>
                </c:pt>
                <c:pt idx="3002">
                  <c:v>1.0064755214024328E-2</c:v>
                </c:pt>
                <c:pt idx="3003">
                  <c:v>1.0073704472828777E-2</c:v>
                </c:pt>
                <c:pt idx="3004">
                  <c:v>1.008267473725134E-2</c:v>
                </c:pt>
                <c:pt idx="3005">
                  <c:v>1.0091662486674306E-2</c:v>
                </c:pt>
                <c:pt idx="3006">
                  <c:v>1.0101165751924273E-2</c:v>
                </c:pt>
                <c:pt idx="3007">
                  <c:v>1.011017935462653E-2</c:v>
                </c:pt>
                <c:pt idx="3008">
                  <c:v>1.0119199440204662E-2</c:v>
                </c:pt>
                <c:pt idx="3009">
                  <c:v>1.0128222446287725E-2</c:v>
                </c:pt>
                <c:pt idx="3010">
                  <c:v>1.0137244804999668E-2</c:v>
                </c:pt>
                <c:pt idx="3011">
                  <c:v>1.014861245934095E-2</c:v>
                </c:pt>
                <c:pt idx="3012">
                  <c:v>1.0157621096376006E-2</c:v>
                </c:pt>
                <c:pt idx="3013">
                  <c:v>1.0166618923553966E-2</c:v>
                </c:pt>
                <c:pt idx="3014">
                  <c:v>1.0175605321856877E-2</c:v>
                </c:pt>
                <c:pt idx="3015">
                  <c:v>1.0182237620785744E-2</c:v>
                </c:pt>
                <c:pt idx="3016">
                  <c:v>1.0191202793884068E-2</c:v>
                </c:pt>
                <c:pt idx="3017">
                  <c:v>1.020015643519397E-2</c:v>
                </c:pt>
                <c:pt idx="3018">
                  <c:v>1.0211435885220933E-2</c:v>
                </c:pt>
                <c:pt idx="3019">
                  <c:v>1.0220364583324815E-2</c:v>
                </c:pt>
                <c:pt idx="3020">
                  <c:v>1.0229281630221387E-2</c:v>
                </c:pt>
                <c:pt idx="3021">
                  <c:v>1.0238186988853409E-2</c:v>
                </c:pt>
                <c:pt idx="3022">
                  <c:v>1.0247080622164072E-2</c:v>
                </c:pt>
                <c:pt idx="3023">
                  <c:v>1.0253634040708129E-2</c:v>
                </c:pt>
                <c:pt idx="3024">
                  <c:v>1.0264832564588497E-2</c:v>
                </c:pt>
                <c:pt idx="3025">
                  <c:v>1.0273690799585632E-2</c:v>
                </c:pt>
                <c:pt idx="3026">
                  <c:v>1.0282537161026865E-2</c:v>
                </c:pt>
                <c:pt idx="3027">
                  <c:v>1.0289050448836086E-2</c:v>
                </c:pt>
                <c:pt idx="3028">
                  <c:v>1.029632835851337E-2</c:v>
                </c:pt>
                <c:pt idx="3029">
                  <c:v>1.0305141961343472E-2</c:v>
                </c:pt>
                <c:pt idx="3030">
                  <c:v>1.0313943556255378E-2</c:v>
                </c:pt>
                <c:pt idx="3031">
                  <c:v>1.0322733106196738E-2</c:v>
                </c:pt>
                <c:pt idx="3032">
                  <c:v>1.0332281332644633E-2</c:v>
                </c:pt>
                <c:pt idx="3033">
                  <c:v>1.0341046054021879E-2</c:v>
                </c:pt>
                <c:pt idx="3034">
                  <c:v>1.0349798616487884E-2</c:v>
                </c:pt>
                <c:pt idx="3035">
                  <c:v>1.0358538982988772E-2</c:v>
                </c:pt>
                <c:pt idx="3036">
                  <c:v>1.0367267116468033E-2</c:v>
                </c:pt>
                <c:pt idx="3037">
                  <c:v>1.0375215386533151E-2</c:v>
                </c:pt>
                <c:pt idx="3038">
                  <c:v>1.0383919584203845E-2</c:v>
                </c:pt>
                <c:pt idx="3039">
                  <c:v>1.0392611440476802E-2</c:v>
                </c:pt>
                <c:pt idx="3040">
                  <c:v>1.0401290918295255E-2</c:v>
                </c:pt>
                <c:pt idx="3041">
                  <c:v>1.0410722991560236E-2</c:v>
                </c:pt>
                <c:pt idx="3042">
                  <c:v>1.0419376948716389E-2</c:v>
                </c:pt>
                <c:pt idx="3043">
                  <c:v>1.0428018413447428E-2</c:v>
                </c:pt>
                <c:pt idx="3044">
                  <c:v>1.0436647348697276E-2</c:v>
                </c:pt>
                <c:pt idx="3045">
                  <c:v>1.0444501333612266E-2</c:v>
                </c:pt>
                <c:pt idx="3046">
                  <c:v>1.0453105762520868E-2</c:v>
                </c:pt>
                <c:pt idx="3047">
                  <c:v>1.0461697553576718E-2</c:v>
                </c:pt>
                <c:pt idx="3048">
                  <c:v>1.04702766697204E-2</c:v>
                </c:pt>
                <c:pt idx="3049">
                  <c:v>1.0478843073892935E-2</c:v>
                </c:pt>
                <c:pt idx="3050">
                  <c:v>1.0487396729035793E-2</c:v>
                </c:pt>
                <c:pt idx="3051">
                  <c:v>1.0495937598087791E-2</c:v>
                </c:pt>
                <c:pt idx="3052">
                  <c:v>1.0504465643990837E-2</c:v>
                </c:pt>
                <c:pt idx="3053">
                  <c:v>1.0512980829680659E-2</c:v>
                </c:pt>
                <c:pt idx="3054">
                  <c:v>1.0525264143396698E-2</c:v>
                </c:pt>
                <c:pt idx="3055">
                  <c:v>1.0533750048988247E-2</c:v>
                </c:pt>
                <c:pt idx="3056">
                  <c:v>1.0542222969047147E-2</c:v>
                </c:pt>
                <c:pt idx="3057">
                  <c:v>1.0550682866500686E-2</c:v>
                </c:pt>
                <c:pt idx="3058">
                  <c:v>1.055686957451054E-2</c:v>
                </c:pt>
                <c:pt idx="3059">
                  <c:v>1.0565305419416219E-2</c:v>
                </c:pt>
                <c:pt idx="3060">
                  <c:v>1.0573728139005544E-2</c:v>
                </c:pt>
                <c:pt idx="3061">
                  <c:v>1.058213769620959E-2</c:v>
                </c:pt>
                <c:pt idx="3062">
                  <c:v>1.0590534053962051E-2</c:v>
                </c:pt>
                <c:pt idx="3063">
                  <c:v>1.060116670041223E-2</c:v>
                </c:pt>
                <c:pt idx="3064">
                  <c:v>1.0609534401572588E-2</c:v>
                </c:pt>
                <c:pt idx="3065">
                  <c:v>1.061788878353602E-2</c:v>
                </c:pt>
                <c:pt idx="3066">
                  <c:v>1.0626229809227663E-2</c:v>
                </c:pt>
                <c:pt idx="3067">
                  <c:v>1.0632316553539412E-2</c:v>
                </c:pt>
                <c:pt idx="3068">
                  <c:v>1.0640632936131388E-2</c:v>
                </c:pt>
                <c:pt idx="3069">
                  <c:v>1.0648935859785793E-2</c:v>
                </c:pt>
                <c:pt idx="3070">
                  <c:v>1.065722528743108E-2</c:v>
                </c:pt>
                <c:pt idx="3071">
                  <c:v>1.0667733295928827E-2</c:v>
                </c:pt>
                <c:pt idx="3072">
                  <c:v>1.0675993405378592E-2</c:v>
                </c:pt>
                <c:pt idx="3073">
                  <c:v>1.0684239899017511E-2</c:v>
                </c:pt>
                <c:pt idx="3074">
                  <c:v>1.069247273976686E-2</c:v>
                </c:pt>
                <c:pt idx="3075">
                  <c:v>1.070069189054834E-2</c:v>
                </c:pt>
                <c:pt idx="3076">
                  <c:v>1.0708897314281936E-2</c:v>
                </c:pt>
                <c:pt idx="3077">
                  <c:v>1.0717088973889346E-2</c:v>
                </c:pt>
                <c:pt idx="3078">
                  <c:v>1.0725266832290558E-2</c:v>
                </c:pt>
                <c:pt idx="3079">
                  <c:v>1.0733430852405555E-2</c:v>
                </c:pt>
                <c:pt idx="3080">
                  <c:v>1.0737894254032666E-2</c:v>
                </c:pt>
                <c:pt idx="3081">
                  <c:v>1.074603430573055E-2</c:v>
                </c:pt>
                <c:pt idx="3082">
                  <c:v>1.0754160422303559E-2</c:v>
                </c:pt>
                <c:pt idx="3083">
                  <c:v>1.0762272566682114E-2</c:v>
                </c:pt>
                <c:pt idx="3084">
                  <c:v>1.0771105097341787E-2</c:v>
                </c:pt>
                <c:pt idx="3085">
                  <c:v>1.0779188411260663E-2</c:v>
                </c:pt>
                <c:pt idx="3086">
                  <c:v>1.0787257638880379E-2</c:v>
                </c:pt>
                <c:pt idx="3087">
                  <c:v>1.0795312743127733E-2</c:v>
                </c:pt>
                <c:pt idx="3088">
                  <c:v>1.0803353686928205E-2</c:v>
                </c:pt>
                <c:pt idx="3089">
                  <c:v>1.0810649940840023E-2</c:v>
                </c:pt>
                <c:pt idx="3090">
                  <c:v>1.0818663241839572E-2</c:v>
                </c:pt>
                <c:pt idx="3091">
                  <c:v>1.0826662274065115E-2</c:v>
                </c:pt>
                <c:pt idx="3092">
                  <c:v>1.0834647000442217E-2</c:v>
                </c:pt>
                <c:pt idx="3093">
                  <c:v>1.0843344701590192E-2</c:v>
                </c:pt>
                <c:pt idx="3094">
                  <c:v>1.0851299904125148E-2</c:v>
                </c:pt>
                <c:pt idx="3095">
                  <c:v>1.0859240686682805E-2</c:v>
                </c:pt>
                <c:pt idx="3096">
                  <c:v>1.0867167012186447E-2</c:v>
                </c:pt>
                <c:pt idx="3097">
                  <c:v>1.0875078843559796E-2</c:v>
                </c:pt>
                <c:pt idx="3098">
                  <c:v>1.0882252859757396E-2</c:v>
                </c:pt>
                <c:pt idx="3099">
                  <c:v>1.0890136407118835E-2</c:v>
                </c:pt>
                <c:pt idx="3100">
                  <c:v>1.0898005352033729E-2</c:v>
                </c:pt>
                <c:pt idx="3101">
                  <c:v>1.0905859657425881E-2</c:v>
                </c:pt>
                <c:pt idx="3102">
                  <c:v>1.0913699286219974E-2</c:v>
                </c:pt>
                <c:pt idx="3103">
                  <c:v>1.0921524201338486E-2</c:v>
                </c:pt>
                <c:pt idx="3104">
                  <c:v>1.0929334365703891E-2</c:v>
                </c:pt>
                <c:pt idx="3105">
                  <c:v>1.0937129742240436E-2</c:v>
                </c:pt>
                <c:pt idx="3106">
                  <c:v>1.0948493024370733E-2</c:v>
                </c:pt>
                <c:pt idx="3107">
                  <c:v>1.0956254516736532E-2</c:v>
                </c:pt>
                <c:pt idx="3108">
                  <c:v>1.096400109536585E-2</c:v>
                </c:pt>
                <c:pt idx="3109">
                  <c:v>1.0971732723169213E-2</c:v>
                </c:pt>
                <c:pt idx="3110">
                  <c:v>1.0977310052846051E-2</c:v>
                </c:pt>
                <c:pt idx="3111">
                  <c:v>1.0985014222220637E-2</c:v>
                </c:pt>
                <c:pt idx="3112">
                  <c:v>1.0992703338332981E-2</c:v>
                </c:pt>
                <c:pt idx="3113">
                  <c:v>1.100037736410105E-2</c:v>
                </c:pt>
                <c:pt idx="3114">
                  <c:v>1.1008036262440193E-2</c:v>
                </c:pt>
                <c:pt idx="3115">
                  <c:v>1.101780644565933E-2</c:v>
                </c:pt>
                <c:pt idx="3116">
                  <c:v>1.1025432379182269E-2</c:v>
                </c:pt>
                <c:pt idx="3117">
                  <c:v>1.1033043065163483E-2</c:v>
                </c:pt>
                <c:pt idx="3118">
                  <c:v>1.1040638466510065E-2</c:v>
                </c:pt>
                <c:pt idx="3119">
                  <c:v>1.104610254477586E-2</c:v>
                </c:pt>
                <c:pt idx="3120">
                  <c:v>1.1053669899780343E-2</c:v>
                </c:pt>
                <c:pt idx="3121">
                  <c:v>1.1061221867766388E-2</c:v>
                </c:pt>
                <c:pt idx="3122">
                  <c:v>1.1068758411648472E-2</c:v>
                </c:pt>
                <c:pt idx="3123">
                  <c:v>1.1076279494341507E-2</c:v>
                </c:pt>
                <c:pt idx="3124">
                  <c:v>1.1085887820185681E-2</c:v>
                </c:pt>
                <c:pt idx="3125">
                  <c:v>1.1093375190542517E-2</c:v>
                </c:pt>
                <c:pt idx="3126">
                  <c:v>1.1100846979532189E-2</c:v>
                </c:pt>
                <c:pt idx="3127">
                  <c:v>1.1108303150063505E-2</c:v>
                </c:pt>
                <c:pt idx="3128">
                  <c:v>1.1115743665044418E-2</c:v>
                </c:pt>
                <c:pt idx="3129">
                  <c:v>1.112316848737901E-2</c:v>
                </c:pt>
                <c:pt idx="3130">
                  <c:v>1.1130577579977806E-2</c:v>
                </c:pt>
                <c:pt idx="3131">
                  <c:v>1.1137970905744893E-2</c:v>
                </c:pt>
                <c:pt idx="3132">
                  <c:v>1.1142573531322537E-2</c:v>
                </c:pt>
                <c:pt idx="3133">
                  <c:v>1.1149938878544768E-2</c:v>
                </c:pt>
                <c:pt idx="3134">
                  <c:v>1.1157288359615091E-2</c:v>
                </c:pt>
                <c:pt idx="3135">
                  <c:v>1.1164621937449323E-2</c:v>
                </c:pt>
                <c:pt idx="3136">
                  <c:v>1.1171939574961525E-2</c:v>
                </c:pt>
                <c:pt idx="3137">
                  <c:v>1.1179930458928336E-2</c:v>
                </c:pt>
                <c:pt idx="3138">
                  <c:v>1.1187215173412866E-2</c:v>
                </c:pt>
                <c:pt idx="3139">
                  <c:v>1.1197232510291647E-2</c:v>
                </c:pt>
                <c:pt idx="3140">
                  <c:v>1.1201736401553244E-2</c:v>
                </c:pt>
                <c:pt idx="3141">
                  <c:v>1.1208287359685997E-2</c:v>
                </c:pt>
                <c:pt idx="3142">
                  <c:v>1.1215508576460432E-2</c:v>
                </c:pt>
                <c:pt idx="3143">
                  <c:v>1.1222713593308632E-2</c:v>
                </c:pt>
                <c:pt idx="3144">
                  <c:v>1.1229902373144217E-2</c:v>
                </c:pt>
                <c:pt idx="3145">
                  <c:v>1.1237756569601512E-2</c:v>
                </c:pt>
                <c:pt idx="3146">
                  <c:v>1.1244911808963833E-2</c:v>
                </c:pt>
                <c:pt idx="3147">
                  <c:v>1.1252050697033377E-2</c:v>
                </c:pt>
                <c:pt idx="3148">
                  <c:v>1.1259173196724179E-2</c:v>
                </c:pt>
                <c:pt idx="3149">
                  <c:v>1.1266279270944162E-2</c:v>
                </c:pt>
                <c:pt idx="3150">
                  <c:v>1.127269199802274E-2</c:v>
                </c:pt>
                <c:pt idx="3151">
                  <c:v>1.1279766080330367E-2</c:v>
                </c:pt>
                <c:pt idx="3152">
                  <c:v>1.1286823628926012E-2</c:v>
                </c:pt>
                <c:pt idx="3153">
                  <c:v>1.1293864606723736E-2</c:v>
                </c:pt>
                <c:pt idx="3154">
                  <c:v>1.1300888976633209E-2</c:v>
                </c:pt>
                <c:pt idx="3155">
                  <c:v>1.1307896701567172E-2</c:v>
                </c:pt>
                <c:pt idx="3156">
                  <c:v>1.1314887744437934E-2</c:v>
                </c:pt>
                <c:pt idx="3157">
                  <c:v>1.132186206815604E-2</c:v>
                </c:pt>
                <c:pt idx="3158">
                  <c:v>1.1331495296298398E-2</c:v>
                </c:pt>
                <c:pt idx="3159">
                  <c:v>1.133843209030857E-2</c:v>
                </c:pt>
                <c:pt idx="3160">
                  <c:v>1.1345352041718739E-2</c:v>
                </c:pt>
                <c:pt idx="3161">
                  <c:v>1.1352255113432557E-2</c:v>
                </c:pt>
                <c:pt idx="3162">
                  <c:v>1.1357146642069381E-2</c:v>
                </c:pt>
                <c:pt idx="3163">
                  <c:v>1.1364018865240237E-2</c:v>
                </c:pt>
                <c:pt idx="3164">
                  <c:v>1.1370874106585311E-2</c:v>
                </c:pt>
                <c:pt idx="3165">
                  <c:v>1.1377712329011653E-2</c:v>
                </c:pt>
                <c:pt idx="3166">
                  <c:v>1.1384533495428929E-2</c:v>
                </c:pt>
                <c:pt idx="3167">
                  <c:v>1.139362759003331E-2</c:v>
                </c:pt>
                <c:pt idx="3168">
                  <c:v>1.1400410037042523E-2</c:v>
                </c:pt>
                <c:pt idx="3169">
                  <c:v>1.140717530533923E-2</c:v>
                </c:pt>
                <c:pt idx="3170">
                  <c:v>1.141392335782705E-2</c:v>
                </c:pt>
                <c:pt idx="3171">
                  <c:v>1.1420654157412195E-2</c:v>
                </c:pt>
                <c:pt idx="3172">
                  <c:v>1.1427367666996559E-2</c:v>
                </c:pt>
                <c:pt idx="3173">
                  <c:v>1.1434063849486352E-2</c:v>
                </c:pt>
                <c:pt idx="3174">
                  <c:v>1.14407426677839E-2</c:v>
                </c:pt>
                <c:pt idx="3175">
                  <c:v>1.1447404084793684E-2</c:v>
                </c:pt>
                <c:pt idx="3176">
                  <c:v>1.1454048063419759E-2</c:v>
                </c:pt>
                <c:pt idx="3177">
                  <c:v>1.1460674566566608E-2</c:v>
                </c:pt>
                <c:pt idx="3178">
                  <c:v>1.1467283557136988E-2</c:v>
                </c:pt>
                <c:pt idx="3179">
                  <c:v>1.1473874998034948E-2</c:v>
                </c:pt>
                <c:pt idx="3180">
                  <c:v>1.1480448852164975E-2</c:v>
                </c:pt>
                <c:pt idx="3181">
                  <c:v>1.1487005082430689E-2</c:v>
                </c:pt>
                <c:pt idx="3182">
                  <c:v>1.1493543651736141E-2</c:v>
                </c:pt>
                <c:pt idx="3183">
                  <c:v>1.1500064522983222E-2</c:v>
                </c:pt>
                <c:pt idx="3184">
                  <c:v>1.1503999719229009E-2</c:v>
                </c:pt>
                <c:pt idx="3185">
                  <c:v>1.1510489383259923E-2</c:v>
                </c:pt>
                <c:pt idx="3186">
                  <c:v>1.1516961250350781E-2</c:v>
                </c:pt>
                <c:pt idx="3187">
                  <c:v>1.1523415283411697E-2</c:v>
                </c:pt>
                <c:pt idx="3188">
                  <c:v>1.1530489247492226E-2</c:v>
                </c:pt>
                <c:pt idx="3189">
                  <c:v>1.1536906414237026E-2</c:v>
                </c:pt>
                <c:pt idx="3190">
                  <c:v>1.1545847219851236E-2</c:v>
                </c:pt>
                <c:pt idx="3191">
                  <c:v>1.1549686865432836E-2</c:v>
                </c:pt>
                <c:pt idx="3192">
                  <c:v>1.1556050075704941E-2</c:v>
                </c:pt>
                <c:pt idx="3193">
                  <c:v>1.1561762890262976E-2</c:v>
                </c:pt>
                <c:pt idx="3194">
                  <c:v>1.1568091046667169E-2</c:v>
                </c:pt>
                <c:pt idx="3195">
                  <c:v>1.1574401072341296E-2</c:v>
                </c:pt>
                <c:pt idx="3196">
                  <c:v>1.1580692930196791E-2</c:v>
                </c:pt>
                <c:pt idx="3197">
                  <c:v>1.1587594490206962E-2</c:v>
                </c:pt>
                <c:pt idx="3198">
                  <c:v>1.1593848786108358E-2</c:v>
                </c:pt>
                <c:pt idx="3199">
                  <c:v>1.160008479980016E-2</c:v>
                </c:pt>
                <c:pt idx="3200">
                  <c:v>1.1606302494194237E-2</c:v>
                </c:pt>
                <c:pt idx="3201">
                  <c:v>1.1613283942892799E-2</c:v>
                </c:pt>
                <c:pt idx="3202">
                  <c:v>1.1621326113105799E-2</c:v>
                </c:pt>
                <c:pt idx="3203">
                  <c:v>1.1627480716898559E-2</c:v>
                </c:pt>
                <c:pt idx="3204">
                  <c:v>1.163361683713905E-2</c:v>
                </c:pt>
                <c:pt idx="3205">
                  <c:v>1.1639734436738255E-2</c:v>
                </c:pt>
                <c:pt idx="3206">
                  <c:v>1.1645833478607164E-2</c:v>
                </c:pt>
                <c:pt idx="3207">
                  <c:v>1.1651913925655882E-2</c:v>
                </c:pt>
                <c:pt idx="3208">
                  <c:v>1.1657975740795839E-2</c:v>
                </c:pt>
                <c:pt idx="3209">
                  <c:v>1.1664018886938457E-2</c:v>
                </c:pt>
                <c:pt idx="3210">
                  <c:v>1.1671268377257477E-2</c:v>
                </c:pt>
                <c:pt idx="3211">
                  <c:v>1.1677271758689886E-2</c:v>
                </c:pt>
                <c:pt idx="3212">
                  <c:v>1.1683256353542611E-2</c:v>
                </c:pt>
                <c:pt idx="3213">
                  <c:v>1.168922212472228E-2</c:v>
                </c:pt>
                <c:pt idx="3214">
                  <c:v>1.1694561209362898E-2</c:v>
                </c:pt>
                <c:pt idx="3215">
                  <c:v>1.1700490392446203E-2</c:v>
                </c:pt>
                <c:pt idx="3216">
                  <c:v>1.1708085804515553E-2</c:v>
                </c:pt>
                <c:pt idx="3217">
                  <c:v>1.1712291926168055E-2</c:v>
                </c:pt>
                <c:pt idx="3218">
                  <c:v>1.1718164202625501E-2</c:v>
                </c:pt>
                <c:pt idx="3219">
                  <c:v>1.1724619377482936E-2</c:v>
                </c:pt>
                <c:pt idx="3220">
                  <c:v>1.1730452344359833E-2</c:v>
                </c:pt>
                <c:pt idx="3221">
                  <c:v>1.1736266190823652E-2</c:v>
                </c:pt>
                <c:pt idx="3222">
                  <c:v>1.1742060879782757E-2</c:v>
                </c:pt>
                <c:pt idx="3223">
                  <c:v>1.1747239197275633E-2</c:v>
                </c:pt>
                <c:pt idx="3224">
                  <c:v>1.1752996659048545E-2</c:v>
                </c:pt>
                <c:pt idx="3225">
                  <c:v>1.1758734855226872E-2</c:v>
                </c:pt>
                <c:pt idx="3226">
                  <c:v>1.1764453748721157E-2</c:v>
                </c:pt>
                <c:pt idx="3227">
                  <c:v>1.1771337921900061E-2</c:v>
                </c:pt>
                <c:pt idx="3228">
                  <c:v>1.1776424628799088E-2</c:v>
                </c:pt>
                <c:pt idx="3229">
                  <c:v>1.1782084176659014E-2</c:v>
                </c:pt>
                <c:pt idx="3230">
                  <c:v>1.1787724270282456E-2</c:v>
                </c:pt>
                <c:pt idx="3231">
                  <c:v>1.1793344872578651E-2</c:v>
                </c:pt>
                <c:pt idx="3232">
                  <c:v>1.1798945946457267E-2</c:v>
                </c:pt>
                <c:pt idx="3233">
                  <c:v>1.1804527454828842E-2</c:v>
                </c:pt>
                <c:pt idx="3234">
                  <c:v>1.1810089360600873E-2</c:v>
                </c:pt>
                <c:pt idx="3235">
                  <c:v>1.1815631626685202E-2</c:v>
                </c:pt>
                <c:pt idx="3236">
                  <c:v>1.1819991430801773E-2</c:v>
                </c:pt>
                <c:pt idx="3237">
                  <c:v>1.1825496787256884E-2</c:v>
                </c:pt>
                <c:pt idx="3238">
                  <c:v>1.1830982399179832E-2</c:v>
                </c:pt>
                <c:pt idx="3239">
                  <c:v>1.1836448229484238E-2</c:v>
                </c:pt>
                <c:pt idx="3240">
                  <c:v>1.1839587307291644E-2</c:v>
                </c:pt>
                <c:pt idx="3241">
                  <c:v>1.1847320396898507E-2</c:v>
                </c:pt>
                <c:pt idx="3242">
                  <c:v>1.1852726659840003E-2</c:v>
                </c:pt>
                <c:pt idx="3243">
                  <c:v>1.1858112992824474E-2</c:v>
                </c:pt>
                <c:pt idx="3244">
                  <c:v>1.1863479358767299E-2</c:v>
                </c:pt>
                <c:pt idx="3245">
                  <c:v>1.1868825720584735E-2</c:v>
                </c:pt>
                <c:pt idx="3246">
                  <c:v>1.1874152041193478E-2</c:v>
                </c:pt>
                <c:pt idx="3247">
                  <c:v>1.1879458294786481E-2</c:v>
                </c:pt>
                <c:pt idx="3248">
                  <c:v>1.1884744566404285E-2</c:v>
                </c:pt>
                <c:pt idx="3249">
                  <c:v>1.1890011004184664E-2</c:v>
                </c:pt>
                <c:pt idx="3250">
                  <c:v>1.1895257757249644E-2</c:v>
                </c:pt>
                <c:pt idx="3251">
                  <c:v>1.1900484974980394E-2</c:v>
                </c:pt>
                <c:pt idx="3252">
                  <c:v>1.1905692807021169E-2</c:v>
                </c:pt>
                <c:pt idx="3253">
                  <c:v>1.1911060660438826E-2</c:v>
                </c:pt>
                <c:pt idx="3254">
                  <c:v>1.1916228584664842E-2</c:v>
                </c:pt>
                <c:pt idx="3255">
                  <c:v>1.1921377579551877E-2</c:v>
                </c:pt>
                <c:pt idx="3256">
                  <c:v>1.1926507796819011E-2</c:v>
                </c:pt>
                <c:pt idx="3257">
                  <c:v>1.1931619388448981E-2</c:v>
                </c:pt>
                <c:pt idx="3258">
                  <c:v>1.1936712506684644E-2</c:v>
                </c:pt>
                <c:pt idx="3259">
                  <c:v>1.1941787304032959E-2</c:v>
                </c:pt>
                <c:pt idx="3260">
                  <c:v>1.1946843933262331E-2</c:v>
                </c:pt>
                <c:pt idx="3261">
                  <c:v>1.1951882547403939E-2</c:v>
                </c:pt>
                <c:pt idx="3262">
                  <c:v>1.1958555265409237E-2</c:v>
                </c:pt>
                <c:pt idx="3263">
                  <c:v>1.1963555241458515E-2</c:v>
                </c:pt>
                <c:pt idx="3264">
                  <c:v>1.1968537682697235E-2</c:v>
                </c:pt>
                <c:pt idx="3265">
                  <c:v>1.1973502740211927E-2</c:v>
                </c:pt>
                <c:pt idx="3266">
                  <c:v>1.1979314855666853E-2</c:v>
                </c:pt>
                <c:pt idx="3267">
                  <c:v>1.1984241749491793E-2</c:v>
                </c:pt>
                <c:pt idx="3268">
                  <c:v>1.1989151755637284E-2</c:v>
                </c:pt>
                <c:pt idx="3269">
                  <c:v>1.1994045027286142E-2</c:v>
                </c:pt>
                <c:pt idx="3270">
                  <c:v>1.2000701138535746E-2</c:v>
                </c:pt>
                <c:pt idx="3271">
                  <c:v>1.2005405428654326E-2</c:v>
                </c:pt>
                <c:pt idx="3272">
                  <c:v>1.2010246415328647E-2</c:v>
                </c:pt>
                <c:pt idx="3273">
                  <c:v>1.2015071229459664E-2</c:v>
                </c:pt>
                <c:pt idx="3274">
                  <c:v>1.2018265444673252E-2</c:v>
                </c:pt>
                <c:pt idx="3275">
                  <c:v>1.20230608874191E-2</c:v>
                </c:pt>
                <c:pt idx="3276">
                  <c:v>1.2027840093646372E-2</c:v>
                </c:pt>
                <c:pt idx="3277">
                  <c:v>1.2032603033040516E-2</c:v>
                </c:pt>
                <c:pt idx="3278">
                  <c:v>1.2038951936625819E-2</c:v>
                </c:pt>
                <c:pt idx="3279">
                  <c:v>1.2043679193111003E-2</c:v>
                </c:pt>
                <c:pt idx="3280">
                  <c:v>1.2048390083862473E-2</c:v>
                </c:pt>
                <c:pt idx="3281">
                  <c:v>1.2053084578558677E-2</c:v>
                </c:pt>
                <c:pt idx="3282">
                  <c:v>1.2057762646880641E-2</c:v>
                </c:pt>
                <c:pt idx="3283">
                  <c:v>1.2060837368161336E-2</c:v>
                </c:pt>
                <c:pt idx="3284">
                  <c:v>1.2067069383114356E-2</c:v>
                </c:pt>
                <c:pt idx="3285">
                  <c:v>1.2071697990384293E-2</c:v>
                </c:pt>
                <c:pt idx="3286">
                  <c:v>1.2076310049996361E-2</c:v>
                </c:pt>
                <c:pt idx="3287">
                  <c:v>1.2079331081495403E-2</c:v>
                </c:pt>
                <c:pt idx="3288">
                  <c:v>1.2082865095739439E-2</c:v>
                </c:pt>
                <c:pt idx="3289">
                  <c:v>1.2087432559097245E-2</c:v>
                </c:pt>
                <c:pt idx="3290">
                  <c:v>1.2091983366846004E-2</c:v>
                </c:pt>
                <c:pt idx="3291">
                  <c:v>1.2096517488672727E-2</c:v>
                </c:pt>
                <c:pt idx="3292">
                  <c:v>1.2101554736302551E-2</c:v>
                </c:pt>
                <c:pt idx="3293">
                  <c:v>1.2106054339497645E-2</c:v>
                </c:pt>
                <c:pt idx="3294">
                  <c:v>1.2110537163165524E-2</c:v>
                </c:pt>
                <c:pt idx="3295">
                  <c:v>1.211500317699241E-2</c:v>
                </c:pt>
                <c:pt idx="3296">
                  <c:v>1.2119452350666285E-2</c:v>
                </c:pt>
                <c:pt idx="3297">
                  <c:v>1.2123370117844014E-2</c:v>
                </c:pt>
                <c:pt idx="3298">
                  <c:v>1.2127786589504443E-2</c:v>
                </c:pt>
                <c:pt idx="3299">
                  <c:v>1.2132186132754815E-2</c:v>
                </c:pt>
                <c:pt idx="3300">
                  <c:v>1.2136568717285237E-2</c:v>
                </c:pt>
                <c:pt idx="3301">
                  <c:v>1.2141444555809863E-2</c:v>
                </c:pt>
                <c:pt idx="3302">
                  <c:v>1.2145792052010267E-2</c:v>
                </c:pt>
                <c:pt idx="3303">
                  <c:v>1.2150122495873545E-2</c:v>
                </c:pt>
                <c:pt idx="3304">
                  <c:v>1.2156892953501489E-2</c:v>
                </c:pt>
                <c:pt idx="3305">
                  <c:v>1.2158838704944294E-2</c:v>
                </c:pt>
                <c:pt idx="3306">
                  <c:v>1.2162506393987816E-2</c:v>
                </c:pt>
                <c:pt idx="3307">
                  <c:v>1.2166769418801857E-2</c:v>
                </c:pt>
                <c:pt idx="3308">
                  <c:v>1.2171015242419848E-2</c:v>
                </c:pt>
                <c:pt idx="3309">
                  <c:v>1.2175243834532334E-2</c:v>
                </c:pt>
                <c:pt idx="3310">
                  <c:v>1.2179455164831186E-2</c:v>
                </c:pt>
                <c:pt idx="3311">
                  <c:v>1.2183649203007829E-2</c:v>
                </c:pt>
                <c:pt idx="3312">
                  <c:v>1.2187825918754572E-2</c:v>
                </c:pt>
                <c:pt idx="3313">
                  <c:v>1.2191985281761516E-2</c:v>
                </c:pt>
                <c:pt idx="3314">
                  <c:v>1.2198606272975874E-2</c:v>
                </c:pt>
                <c:pt idx="3315">
                  <c:v>1.220272526173369E-2</c:v>
                </c:pt>
                <c:pt idx="3316">
                  <c:v>1.2206826793290658E-2</c:v>
                </c:pt>
                <c:pt idx="3317">
                  <c:v>1.2210910837331246E-2</c:v>
                </c:pt>
                <c:pt idx="3318">
                  <c:v>1.2213503682710593E-2</c:v>
                </c:pt>
                <c:pt idx="3319">
                  <c:v>1.2217556040851009E-2</c:v>
                </c:pt>
                <c:pt idx="3320">
                  <c:v>1.2221590828674201E-2</c:v>
                </c:pt>
                <c:pt idx="3321">
                  <c:v>1.2225608015873048E-2</c:v>
                </c:pt>
                <c:pt idx="3322">
                  <c:v>1.2229607572135622E-2</c:v>
                </c:pt>
                <c:pt idx="3323">
                  <c:v>1.2235046166115385E-2</c:v>
                </c:pt>
                <c:pt idx="3324">
                  <c:v>1.2239006948736836E-2</c:v>
                </c:pt>
                <c:pt idx="3325">
                  <c:v>1.2242950001329229E-2</c:v>
                </c:pt>
                <c:pt idx="3326">
                  <c:v>1.2246875293579179E-2</c:v>
                </c:pt>
                <c:pt idx="3327">
                  <c:v>1.2249339828614453E-2</c:v>
                </c:pt>
                <c:pt idx="3328">
                  <c:v>1.2253232962784903E-2</c:v>
                </c:pt>
                <c:pt idx="3329">
                  <c:v>1.2257108253861356E-2</c:v>
                </c:pt>
                <c:pt idx="3330">
                  <c:v>1.2262398252898847E-2</c:v>
                </c:pt>
                <c:pt idx="3331">
                  <c:v>1.2266234288747386E-2</c:v>
                </c:pt>
                <c:pt idx="3332">
                  <c:v>1.2270052382380471E-2</c:v>
                </c:pt>
                <c:pt idx="3333">
                  <c:v>1.2273852503486003E-2</c:v>
                </c:pt>
                <c:pt idx="3334">
                  <c:v>1.2277634621753176E-2</c:v>
                </c:pt>
                <c:pt idx="3335">
                  <c:v>1.2279983598162986E-2</c:v>
                </c:pt>
                <c:pt idx="3336">
                  <c:v>1.2285144728528782E-2</c:v>
                </c:pt>
                <c:pt idx="3337">
                  <c:v>1.2288872656416889E-2</c:v>
                </c:pt>
                <c:pt idx="3338">
                  <c:v>1.2292582460224265E-2</c:v>
                </c:pt>
                <c:pt idx="3339">
                  <c:v>1.2296274109641391E-2</c:v>
                </c:pt>
                <c:pt idx="3340">
                  <c:v>1.2298084127596184E-2</c:v>
                </c:pt>
                <c:pt idx="3341">
                  <c:v>1.2301744123857412E-2</c:v>
                </c:pt>
                <c:pt idx="3342">
                  <c:v>1.2305385885799091E-2</c:v>
                </c:pt>
                <c:pt idx="3343">
                  <c:v>1.230900938311711E-2</c:v>
                </c:pt>
                <c:pt idx="3344">
                  <c:v>1.2313075840384219E-2</c:v>
                </c:pt>
                <c:pt idx="3345">
                  <c:v>1.2318500706417542E-2</c:v>
                </c:pt>
                <c:pt idx="3346">
                  <c:v>1.2320228842006491E-2</c:v>
                </c:pt>
                <c:pt idx="3347">
                  <c:v>1.2323777775090512E-2</c:v>
                </c:pt>
                <c:pt idx="3348">
                  <c:v>1.2327308289285386E-2</c:v>
                </c:pt>
                <c:pt idx="3349">
                  <c:v>1.2330365113054083E-2</c:v>
                </c:pt>
                <c:pt idx="3350">
                  <c:v>1.2333859909570876E-2</c:v>
                </c:pt>
                <c:pt idx="3351">
                  <c:v>1.2337336199057037E-2</c:v>
                </c:pt>
                <c:pt idx="3352">
                  <c:v>1.2340793951212407E-2</c:v>
                </c:pt>
                <c:pt idx="3353">
                  <c:v>1.2344683516366329E-2</c:v>
                </c:pt>
                <c:pt idx="3354">
                  <c:v>1.2348102880895119E-2</c:v>
                </c:pt>
                <c:pt idx="3355">
                  <c:v>1.2351503614425526E-2</c:v>
                </c:pt>
                <c:pt idx="3356">
                  <c:v>1.2354885686659163E-2</c:v>
                </c:pt>
                <c:pt idx="3357">
                  <c:v>1.235780359155304E-2</c:v>
                </c:pt>
                <c:pt idx="3358">
                  <c:v>1.2361149483444939E-2</c:v>
                </c:pt>
                <c:pt idx="3359">
                  <c:v>1.23644766259168E-2</c:v>
                </c:pt>
                <c:pt idx="3360">
                  <c:v>1.2367784988671101E-2</c:v>
                </c:pt>
                <c:pt idx="3361">
                  <c:v>1.2371074541410756E-2</c:v>
                </c:pt>
                <c:pt idx="3362">
                  <c:v>1.2374345253840001E-2</c:v>
                </c:pt>
                <c:pt idx="3363">
                  <c:v>1.2377597095661313E-2</c:v>
                </c:pt>
                <c:pt idx="3364">
                  <c:v>1.2380830036580241E-2</c:v>
                </c:pt>
                <c:pt idx="3365">
                  <c:v>1.2384044046300585E-2</c:v>
                </c:pt>
                <c:pt idx="3366">
                  <c:v>1.2388975540715184E-2</c:v>
                </c:pt>
                <c:pt idx="3367">
                  <c:v>1.2392146562662573E-2</c:v>
                </c:pt>
                <c:pt idx="3368">
                  <c:v>1.2395298551369602E-2</c:v>
                </c:pt>
                <c:pt idx="3369">
                  <c:v>1.2398431476536636E-2</c:v>
                </c:pt>
                <c:pt idx="3370">
                  <c:v>1.2400258294464712E-2</c:v>
                </c:pt>
                <c:pt idx="3371">
                  <c:v>1.240335681145917E-2</c:v>
                </c:pt>
                <c:pt idx="3372">
                  <c:v>1.2406436182401016E-2</c:v>
                </c:pt>
                <c:pt idx="3373">
                  <c:v>1.240949637699623E-2</c:v>
                </c:pt>
                <c:pt idx="3374">
                  <c:v>1.2412537364951669E-2</c:v>
                </c:pt>
                <c:pt idx="3375">
                  <c:v>1.2416826996429799E-2</c:v>
                </c:pt>
                <c:pt idx="3376">
                  <c:v>1.2419825628441314E-2</c:v>
                </c:pt>
                <c:pt idx="3377">
                  <c:v>1.2422804954523929E-2</c:v>
                </c:pt>
                <c:pt idx="3378">
                  <c:v>1.2425764944381881E-2</c:v>
                </c:pt>
                <c:pt idx="3379">
                  <c:v>1.2427453144867342E-2</c:v>
                </c:pt>
                <c:pt idx="3380">
                  <c:v>1.2430378256832447E-2</c:v>
                </c:pt>
                <c:pt idx="3381">
                  <c:v>1.2433283950111002E-2</c:v>
                </c:pt>
                <c:pt idx="3382">
                  <c:v>1.2436170194412484E-2</c:v>
                </c:pt>
                <c:pt idx="3383">
                  <c:v>1.243903695944768E-2</c:v>
                </c:pt>
                <c:pt idx="3384">
                  <c:v>1.2443117126237141E-2</c:v>
                </c:pt>
                <c:pt idx="3385">
                  <c:v>1.2445940914244004E-2</c:v>
                </c:pt>
                <c:pt idx="3386">
                  <c:v>1.2448745123665663E-2</c:v>
                </c:pt>
                <c:pt idx="3387">
                  <c:v>1.2451529724210221E-2</c:v>
                </c:pt>
                <c:pt idx="3388">
                  <c:v>1.2454294685583626E-2</c:v>
                </c:pt>
                <c:pt idx="3389">
                  <c:v>1.2457039977494415E-2</c:v>
                </c:pt>
                <c:pt idx="3390">
                  <c:v>1.2459765569650259E-2</c:v>
                </c:pt>
                <c:pt idx="3391">
                  <c:v>1.2462471431759688E-2</c:v>
                </c:pt>
                <c:pt idx="3392">
                  <c:v>1.2463154853401695E-2</c:v>
                </c:pt>
                <c:pt idx="3393">
                  <c:v>1.2465827821948749E-2</c:v>
                </c:pt>
                <c:pt idx="3394">
                  <c:v>1.2468480983717266E-2</c:v>
                </c:pt>
                <c:pt idx="3395">
                  <c:v>1.2471114308423844E-2</c:v>
                </c:pt>
                <c:pt idx="3396">
                  <c:v>1.2473727765785968E-2</c:v>
                </c:pt>
                <c:pt idx="3397">
                  <c:v>1.247671541519531E-2</c:v>
                </c:pt>
                <c:pt idx="3398">
                  <c:v>1.2479287701990744E-2</c:v>
                </c:pt>
                <c:pt idx="3399">
                  <c:v>1.248184002776521E-2</c:v>
                </c:pt>
                <c:pt idx="3400">
                  <c:v>1.24843723622348E-2</c:v>
                </c:pt>
                <c:pt idx="3401">
                  <c:v>1.2486495982600416E-2</c:v>
                </c:pt>
                <c:pt idx="3402">
                  <c:v>1.2488989600002266E-2</c:v>
                </c:pt>
                <c:pt idx="3403">
                  <c:v>1.2491463138097939E-2</c:v>
                </c:pt>
                <c:pt idx="3404">
                  <c:v>1.2493916566608898E-2</c:v>
                </c:pt>
                <c:pt idx="3405">
                  <c:v>1.2496733105205514E-2</c:v>
                </c:pt>
                <c:pt idx="3406">
                  <c:v>1.2499144855963736E-2</c:v>
                </c:pt>
                <c:pt idx="3407">
                  <c:v>1.2501536403460039E-2</c:v>
                </c:pt>
                <c:pt idx="3408">
                  <c:v>1.2503907717414905E-2</c:v>
                </c:pt>
                <c:pt idx="3409">
                  <c:v>1.2506258767551457E-2</c:v>
                </c:pt>
                <c:pt idx="3410">
                  <c:v>1.2508213140873227E-2</c:v>
                </c:pt>
                <c:pt idx="3411">
                  <c:v>1.251052495453616E-2</c:v>
                </c:pt>
                <c:pt idx="3412">
                  <c:v>1.2512816416404591E-2</c:v>
                </c:pt>
                <c:pt idx="3413">
                  <c:v>1.2515087496203508E-2</c:v>
                </c:pt>
                <c:pt idx="3414">
                  <c:v>1.251733816365967E-2</c:v>
                </c:pt>
                <c:pt idx="3415">
                  <c:v>1.2519568388497626E-2</c:v>
                </c:pt>
                <c:pt idx="3416">
                  <c:v>1.2521778140447226E-2</c:v>
                </c:pt>
                <c:pt idx="3417">
                  <c:v>1.2523967389235224E-2</c:v>
                </c:pt>
                <c:pt idx="3418">
                  <c:v>1.2527961078536636E-2</c:v>
                </c:pt>
                <c:pt idx="3419">
                  <c:v>1.2530102202858778E-2</c:v>
                </c:pt>
                <c:pt idx="3420">
                  <c:v>1.2532222718883058E-2</c:v>
                </c:pt>
                <c:pt idx="3421">
                  <c:v>1.2534322596331755E-2</c:v>
                </c:pt>
                <c:pt idx="3422">
                  <c:v>1.2535324119434975E-2</c:v>
                </c:pt>
                <c:pt idx="3423">
                  <c:v>1.2537386880614764E-2</c:v>
                </c:pt>
                <c:pt idx="3424">
                  <c:v>1.2539428921002477E-2</c:v>
                </c:pt>
                <c:pt idx="3425">
                  <c:v>1.2541450210324625E-2</c:v>
                </c:pt>
                <c:pt idx="3426">
                  <c:v>1.2543450718313835E-2</c:v>
                </c:pt>
                <c:pt idx="3427">
                  <c:v>1.2546486755490411E-2</c:v>
                </c:pt>
                <c:pt idx="3428">
                  <c:v>1.2548441315196755E-2</c:v>
                </c:pt>
                <c:pt idx="3429">
                  <c:v>1.2550374994128999E-2</c:v>
                </c:pt>
                <c:pt idx="3430">
                  <c:v>1.2552287762016305E-2</c:v>
                </c:pt>
                <c:pt idx="3431">
                  <c:v>1.2553140478816442E-2</c:v>
                </c:pt>
                <c:pt idx="3432">
                  <c:v>1.2555015663151247E-2</c:v>
                </c:pt>
                <c:pt idx="3433">
                  <c:v>1.2556869854273199E-2</c:v>
                </c:pt>
                <c:pt idx="3434">
                  <c:v>1.2558703021917111E-2</c:v>
                </c:pt>
                <c:pt idx="3435">
                  <c:v>1.2560515135817359E-2</c:v>
                </c:pt>
                <c:pt idx="3436">
                  <c:v>1.2563323542201474E-2</c:v>
                </c:pt>
                <c:pt idx="3437">
                  <c:v>1.2565089085191132E-2</c:v>
                </c:pt>
                <c:pt idx="3438">
                  <c:v>1.2566833474976868E-2</c:v>
                </c:pt>
                <c:pt idx="3439">
                  <c:v>1.2568556681291714E-2</c:v>
                </c:pt>
                <c:pt idx="3440">
                  <c:v>1.2570258673867836E-2</c:v>
                </c:pt>
                <c:pt idx="3441">
                  <c:v>1.2571939422440842E-2</c:v>
                </c:pt>
                <c:pt idx="3442">
                  <c:v>1.2573598896744621E-2</c:v>
                </c:pt>
                <c:pt idx="3443">
                  <c:v>1.2575237066513489E-2</c:v>
                </c:pt>
                <c:pt idx="3444">
                  <c:v>1.2575216310543914E-2</c:v>
                </c:pt>
                <c:pt idx="3445">
                  <c:v>1.2576819182361067E-2</c:v>
                </c:pt>
                <c:pt idx="3446">
                  <c:v>1.2578400673350504E-2</c:v>
                </c:pt>
                <c:pt idx="3447">
                  <c:v>1.2579960753253556E-2</c:v>
                </c:pt>
                <c:pt idx="3448">
                  <c:v>1.2581499391817297E-2</c:v>
                </c:pt>
                <c:pt idx="3449">
                  <c:v>1.2583336917136562E-2</c:v>
                </c:pt>
                <c:pt idx="3450">
                  <c:v>1.2584831087986905E-2</c:v>
                </c:pt>
                <c:pt idx="3451">
                  <c:v>1.2586303723828308E-2</c:v>
                </c:pt>
                <c:pt idx="3452">
                  <c:v>1.2587754794407168E-2</c:v>
                </c:pt>
                <c:pt idx="3453">
                  <c:v>1.2588869905632041E-2</c:v>
                </c:pt>
                <c:pt idx="3454">
                  <c:v>1.2590279260822825E-2</c:v>
                </c:pt>
                <c:pt idx="3455">
                  <c:v>1.2591666962902922E-2</c:v>
                </c:pt>
                <c:pt idx="3456">
                  <c:v>1.2593032981620731E-2</c:v>
                </c:pt>
                <c:pt idx="3457">
                  <c:v>1.2594685609507467E-2</c:v>
                </c:pt>
                <c:pt idx="3458">
                  <c:v>1.2596006653206074E-2</c:v>
                </c:pt>
                <c:pt idx="3459">
                  <c:v>1.2597305919879665E-2</c:v>
                </c:pt>
                <c:pt idx="3460">
                  <c:v>1.2598583379277708E-2</c:v>
                </c:pt>
                <c:pt idx="3461">
                  <c:v>1.2600016591288756E-2</c:v>
                </c:pt>
                <c:pt idx="3462">
                  <c:v>1.2600946731770949E-2</c:v>
                </c:pt>
                <c:pt idx="3463">
                  <c:v>1.2602156989652044E-2</c:v>
                </c:pt>
                <c:pt idx="3464">
                  <c:v>1.2603345317868424E-2</c:v>
                </c:pt>
                <c:pt idx="3465">
                  <c:v>1.2604511686176439E-2</c:v>
                </c:pt>
                <c:pt idx="3466">
                  <c:v>1.2605656064330666E-2</c:v>
                </c:pt>
                <c:pt idx="3467">
                  <c:v>1.2606778422088337E-2</c:v>
                </c:pt>
                <c:pt idx="3468">
                  <c:v>1.2607878729206242E-2</c:v>
                </c:pt>
                <c:pt idx="3469">
                  <c:v>1.2608956955442494E-2</c:v>
                </c:pt>
                <c:pt idx="3470">
                  <c:v>1.2611164797248034E-2</c:v>
                </c:pt>
                <c:pt idx="3471">
                  <c:v>1.2612192545265752E-2</c:v>
                </c:pt>
                <c:pt idx="3472">
                  <c:v>1.2613198109951974E-2</c:v>
                </c:pt>
                <c:pt idx="3473">
                  <c:v>1.2614181461063648E-2</c:v>
                </c:pt>
                <c:pt idx="3474">
                  <c:v>1.2614297718427639E-2</c:v>
                </c:pt>
                <c:pt idx="3475">
                  <c:v>1.2616081401588555E-2</c:v>
                </c:pt>
                <c:pt idx="3476">
                  <c:v>1.2616956624013969E-2</c:v>
                </c:pt>
                <c:pt idx="3477">
                  <c:v>1.2617892124901249E-2</c:v>
                </c:pt>
                <c:pt idx="3478">
                  <c:v>1.2618763954500034E-2</c:v>
                </c:pt>
                <c:pt idx="3479">
                  <c:v>1.2619613389072444E-2</c:v>
                </c:pt>
                <c:pt idx="3480">
                  <c:v>1.2620440398381047E-2</c:v>
                </c:pt>
                <c:pt idx="3481">
                  <c:v>1.2621244952186247E-2</c:v>
                </c:pt>
                <c:pt idx="3482">
                  <c:v>1.2622027020250177E-2</c:v>
                </c:pt>
                <c:pt idx="3483">
                  <c:v>1.2622786572335837E-2</c:v>
                </c:pt>
                <c:pt idx="3484">
                  <c:v>1.2623523578207089E-2</c:v>
                </c:pt>
                <c:pt idx="3485">
                  <c:v>1.2624238007627792E-2</c:v>
                </c:pt>
                <c:pt idx="3486">
                  <c:v>1.262492983036354E-2</c:v>
                </c:pt>
                <c:pt idx="3487">
                  <c:v>1.2625599016179921E-2</c:v>
                </c:pt>
                <c:pt idx="3488">
                  <c:v>1.2626245534843823E-2</c:v>
                </c:pt>
                <c:pt idx="3489">
                  <c:v>1.2626869356122132E-2</c:v>
                </c:pt>
                <c:pt idx="3490">
                  <c:v>1.26274704497826E-2</c:v>
                </c:pt>
                <c:pt idx="3491">
                  <c:v>1.2628048785594707E-2</c:v>
                </c:pt>
                <c:pt idx="3492">
                  <c:v>1.2628604333327928E-2</c:v>
                </c:pt>
                <c:pt idx="3493">
                  <c:v>1.2629137062753041E-2</c:v>
                </c:pt>
                <c:pt idx="3494">
                  <c:v>1.2629646943639527E-2</c:v>
                </c:pt>
                <c:pt idx="3495">
                  <c:v>1.2630133945761183E-2</c:v>
                </c:pt>
                <c:pt idx="3496">
                  <c:v>1.2629612004550044E-2</c:v>
                </c:pt>
                <c:pt idx="3497">
                  <c:v>1.2630059690591654E-2</c:v>
                </c:pt>
                <c:pt idx="3498">
                  <c:v>1.2630484419031916E-2</c:v>
                </c:pt>
                <c:pt idx="3499">
                  <c:v>1.2630886159651031E-2</c:v>
                </c:pt>
                <c:pt idx="3500">
                  <c:v>1.2631505068439764E-2</c:v>
                </c:pt>
                <c:pt idx="3501">
                  <c:v>1.2632811745381826E-2</c:v>
                </c:pt>
                <c:pt idx="3502">
                  <c:v>1.2632190046827181E-2</c:v>
                </c:pt>
                <c:pt idx="3503">
                  <c:v>1.2632497883636851E-2</c:v>
                </c:pt>
                <c:pt idx="3504">
                  <c:v>1.2632782578565581E-2</c:v>
                </c:pt>
                <c:pt idx="3505">
                  <c:v>1.2632812166867286E-2</c:v>
                </c:pt>
                <c:pt idx="3506">
                  <c:v>1.2633052146625339E-2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97636096"/>
        <c:axId val="49763801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42170</c:v>
                </c:pt>
                <c:pt idx="1">
                  <c:v>42199</c:v>
                </c:pt>
                <c:pt idx="2">
                  <c:v>42230</c:v>
                </c:pt>
                <c:pt idx="3">
                  <c:v>42261</c:v>
                </c:pt>
                <c:pt idx="4">
                  <c:v>42291</c:v>
                </c:pt>
                <c:pt idx="5">
                  <c:v>42324</c:v>
                </c:pt>
                <c:pt idx="6">
                  <c:v>42352</c:v>
                </c:pt>
                <c:pt idx="7">
                  <c:v>42383</c:v>
                </c:pt>
                <c:pt idx="8">
                  <c:v>42415</c:v>
                </c:pt>
                <c:pt idx="9">
                  <c:v>42443</c:v>
                </c:pt>
                <c:pt idx="10">
                  <c:v>42474</c:v>
                </c:pt>
                <c:pt idx="11">
                  <c:v>42506</c:v>
                </c:pt>
                <c:pt idx="12">
                  <c:v>42535</c:v>
                </c:pt>
                <c:pt idx="13">
                  <c:v>42565</c:v>
                </c:pt>
                <c:pt idx="14">
                  <c:v>42597</c:v>
                </c:pt>
                <c:pt idx="15">
                  <c:v>42627</c:v>
                </c:pt>
                <c:pt idx="16">
                  <c:v>42657</c:v>
                </c:pt>
                <c:pt idx="17">
                  <c:v>42688</c:v>
                </c:pt>
              </c:numCache>
            </c:numRef>
          </c:xVal>
          <c:yVal>
            <c:numRef>
              <c:f>[0]!FRASeries</c:f>
              <c:numCache>
                <c:formatCode>0.0000%</c:formatCode>
                <c:ptCount val="18"/>
                <c:pt idx="0">
                  <c:v>6.3000000000000003E-4</c:v>
                </c:pt>
                <c:pt idx="1">
                  <c:v>6.4000000000000005E-4</c:v>
                </c:pt>
                <c:pt idx="2">
                  <c:v>6.4000000000000005E-4</c:v>
                </c:pt>
                <c:pt idx="3">
                  <c:v>6.4999999999999997E-4</c:v>
                </c:pt>
                <c:pt idx="4">
                  <c:v>6.8000000000000005E-4</c:v>
                </c:pt>
                <c:pt idx="5">
                  <c:v>7.000000000000001E-4</c:v>
                </c:pt>
                <c:pt idx="6">
                  <c:v>7.2000000000000005E-4</c:v>
                </c:pt>
                <c:pt idx="7">
                  <c:v>7.7000000000000018E-4</c:v>
                </c:pt>
                <c:pt idx="8">
                  <c:v>8.200000000000002E-4</c:v>
                </c:pt>
                <c:pt idx="9">
                  <c:v>8.7000000000000011E-4</c:v>
                </c:pt>
                <c:pt idx="10">
                  <c:v>9.5E-4</c:v>
                </c:pt>
                <c:pt idx="11">
                  <c:v>1.0300000000000001E-3</c:v>
                </c:pt>
                <c:pt idx="12">
                  <c:v>1.1099999999999999E-3</c:v>
                </c:pt>
                <c:pt idx="13">
                  <c:v>1.23E-3</c:v>
                </c:pt>
                <c:pt idx="14">
                  <c:v>1.34E-3</c:v>
                </c:pt>
                <c:pt idx="15">
                  <c:v>1.4499999999999999E-3</c:v>
                </c:pt>
                <c:pt idx="16">
                  <c:v>1.6099999999999997E-3</c:v>
                </c:pt>
                <c:pt idx="17">
                  <c:v>1.7499999999999998E-3</c:v>
                </c:pt>
              </c:numCache>
            </c:numRef>
          </c:yVal>
          <c:smooth val="0"/>
        </c:ser>
        <c:dLbls>
          <c:showLegendKey val="0"/>
          <c:showVal val="0"/>
          <c:showCatName val="0"/>
          <c:showSerName val="0"/>
          <c:showPercent val="0"/>
          <c:showBubbleSize val="0"/>
        </c:dLbls>
        <c:axId val="497636096"/>
        <c:axId val="497638016"/>
      </c:scatterChart>
      <c:dateAx>
        <c:axId val="497636096"/>
        <c:scaling>
          <c:orientation val="minMax"/>
          <c:max val="42869"/>
          <c:min val="42094"/>
        </c:scaling>
        <c:delete val="0"/>
        <c:axPos val="b"/>
        <c:numFmt formatCode="[$-409]mmm\-yy;@" sourceLinked="0"/>
        <c:majorTickMark val="out"/>
        <c:minorTickMark val="none"/>
        <c:tickLblPos val="nextTo"/>
        <c:txPr>
          <a:bodyPr rot="-2700000" vert="horz"/>
          <a:lstStyle/>
          <a:p>
            <a:pPr>
              <a:defRPr/>
            </a:pPr>
            <a:endParaRPr lang="en-US"/>
          </a:p>
        </c:txPr>
        <c:crossAx val="497638016"/>
        <c:crosses val="autoZero"/>
        <c:auto val="1"/>
        <c:lblOffset val="100"/>
        <c:baseTimeUnit val="days"/>
        <c:majorUnit val="3"/>
        <c:majorTimeUnit val="months"/>
        <c:minorUnit val="1"/>
        <c:minorTimeUnit val="years"/>
      </c:dateAx>
      <c:valAx>
        <c:axId val="497638016"/>
        <c:scaling>
          <c:orientation val="minMax"/>
          <c:max val="3.0000000000000001E-3"/>
          <c:min val="0"/>
        </c:scaling>
        <c:delete val="0"/>
        <c:axPos val="l"/>
        <c:majorGridlines/>
        <c:numFmt formatCode="0.00%" sourceLinked="0"/>
        <c:majorTickMark val="out"/>
        <c:minorTickMark val="none"/>
        <c:tickLblPos val="nextTo"/>
        <c:crossAx val="49763609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Monitor!$AC$19:$AC$3552</c:f>
              <c:numCache>
                <c:formatCode>0.0000%</c:formatCode>
                <c:ptCount val="3534"/>
                <c:pt idx="0">
                  <c:v>7.6946948500911105E-4</c:v>
                </c:pt>
                <c:pt idx="1">
                  <c:v>7.6947112964020903E-4</c:v>
                </c:pt>
                <c:pt idx="2">
                  <c:v>7.6946948500911105E-4</c:v>
                </c:pt>
                <c:pt idx="3">
                  <c:v>7.69469484929175E-4</c:v>
                </c:pt>
                <c:pt idx="4">
                  <c:v>7.6946948500911105E-4</c:v>
                </c:pt>
                <c:pt idx="5">
                  <c:v>7.6946948500911105E-4</c:v>
                </c:pt>
                <c:pt idx="6">
                  <c:v>7.6947112966685438E-4</c:v>
                </c:pt>
                <c:pt idx="7">
                  <c:v>7.6946948500911105E-4</c:v>
                </c:pt>
                <c:pt idx="8">
                  <c:v>7.6946948500911105E-4</c:v>
                </c:pt>
                <c:pt idx="9">
                  <c:v>7.69469484929175E-4</c:v>
                </c:pt>
                <c:pt idx="10">
                  <c:v>7.6946948500911105E-4</c:v>
                </c:pt>
                <c:pt idx="11">
                  <c:v>1.4894800665388175E-3</c:v>
                </c:pt>
                <c:pt idx="12">
                  <c:v>7.6946948500911105E-4</c:v>
                </c:pt>
                <c:pt idx="13">
                  <c:v>7.6946948500911105E-4</c:v>
                </c:pt>
                <c:pt idx="14">
                  <c:v>7.69469484929175E-4</c:v>
                </c:pt>
                <c:pt idx="15">
                  <c:v>7.6946948500911105E-4</c:v>
                </c:pt>
                <c:pt idx="16">
                  <c:v>7.6947112966685438E-4</c:v>
                </c:pt>
                <c:pt idx="17">
                  <c:v>7.69469484929175E-4</c:v>
                </c:pt>
                <c:pt idx="18">
                  <c:v>7.6946948500911105E-4</c:v>
                </c:pt>
                <c:pt idx="19">
                  <c:v>7.6946948500911105E-4</c:v>
                </c:pt>
                <c:pt idx="20">
                  <c:v>7.6946948500911105E-4</c:v>
                </c:pt>
                <c:pt idx="21">
                  <c:v>7.6947112964020903E-4</c:v>
                </c:pt>
                <c:pt idx="22">
                  <c:v>7.6684336848487078E-4</c:v>
                </c:pt>
                <c:pt idx="23">
                  <c:v>7.6143451783750038E-4</c:v>
                </c:pt>
                <c:pt idx="24">
                  <c:v>7.5581214207254277E-4</c:v>
                </c:pt>
                <c:pt idx="25">
                  <c:v>7.5000477660402964E-4</c:v>
                </c:pt>
                <c:pt idx="26">
                  <c:v>7.3791760129005013E-4</c:v>
                </c:pt>
                <c:pt idx="27">
                  <c:v>7.2549612013972364E-4</c:v>
                </c:pt>
                <c:pt idx="28">
                  <c:v>7.1919183352697758E-4</c:v>
                </c:pt>
                <c:pt idx="29">
                  <c:v>7.1287376817608106E-4</c:v>
                </c:pt>
                <c:pt idx="30">
                  <c:v>7.0657045942112973E-4</c:v>
                </c:pt>
                <c:pt idx="31">
                  <c:v>6.941570449647827E-4</c:v>
                </c:pt>
                <c:pt idx="32">
                  <c:v>6.8207549408505486E-4</c:v>
                </c:pt>
                <c:pt idx="33">
                  <c:v>6.7627399600311833E-4</c:v>
                </c:pt>
                <c:pt idx="34">
                  <c:v>6.7065846572234022E-4</c:v>
                </c:pt>
                <c:pt idx="35">
                  <c:v>6.652574381771359E-4</c:v>
                </c:pt>
                <c:pt idx="36">
                  <c:v>6.553142616549934E-4</c:v>
                </c:pt>
                <c:pt idx="37">
                  <c:v>6.4636906075499212E-4</c:v>
                </c:pt>
                <c:pt idx="38">
                  <c:v>6.4246857538030611E-4</c:v>
                </c:pt>
                <c:pt idx="39">
                  <c:v>6.3895380402634316E-4</c:v>
                </c:pt>
                <c:pt idx="40">
                  <c:v>6.358532817074547E-4</c:v>
                </c:pt>
                <c:pt idx="41">
                  <c:v>6.3117685011881974E-4</c:v>
                </c:pt>
                <c:pt idx="42">
                  <c:v>6.2816438746615688E-4</c:v>
                </c:pt>
                <c:pt idx="43">
                  <c:v>6.2601195467415494E-4</c:v>
                </c:pt>
                <c:pt idx="44">
                  <c:v>6.2254765342828478E-4</c:v>
                </c:pt>
                <c:pt idx="45">
                  <c:v>6.1916055434707573E-4</c:v>
                </c:pt>
                <c:pt idx="46">
                  <c:v>6.1267023982125579E-4</c:v>
                </c:pt>
                <c:pt idx="47">
                  <c:v>6.0648618143588351E-4</c:v>
                </c:pt>
                <c:pt idx="48">
                  <c:v>6.0356159462315873E-4</c:v>
                </c:pt>
                <c:pt idx="49">
                  <c:v>6.0074481045724326E-4</c:v>
                </c:pt>
                <c:pt idx="50">
                  <c:v>5.9804092933823938E-4</c:v>
                </c:pt>
                <c:pt idx="51">
                  <c:v>5.93035987277446E-4</c:v>
                </c:pt>
                <c:pt idx="52">
                  <c:v>5.8845643549965132E-4</c:v>
                </c:pt>
                <c:pt idx="53">
                  <c:v>5.8639357034095951E-4</c:v>
                </c:pt>
                <c:pt idx="54">
                  <c:v>5.8447420871132749E-4</c:v>
                </c:pt>
                <c:pt idx="55">
                  <c:v>5.8270345077104935E-4</c:v>
                </c:pt>
                <c:pt idx="56">
                  <c:v>9.5168666454092943E-4</c:v>
                </c:pt>
                <c:pt idx="57">
                  <c:v>5.7720845759057227E-4</c:v>
                </c:pt>
                <c:pt idx="58">
                  <c:v>5.7625721954224218E-4</c:v>
                </c:pt>
                <c:pt idx="59">
                  <c:v>5.7548518574535024E-4</c:v>
                </c:pt>
                <c:pt idx="60">
                  <c:v>5.7489745644012658E-4</c:v>
                </c:pt>
                <c:pt idx="61">
                  <c:v>5.7436276273747922E-4</c:v>
                </c:pt>
                <c:pt idx="62">
                  <c:v>5.7449158542333123E-4</c:v>
                </c:pt>
                <c:pt idx="63">
                  <c:v>5.7490187994169162E-4</c:v>
                </c:pt>
                <c:pt idx="64">
                  <c:v>5.7552707943386849E-4</c:v>
                </c:pt>
                <c:pt idx="65">
                  <c:v>5.7637228414009201E-4</c:v>
                </c:pt>
                <c:pt idx="66">
                  <c:v>5.7803552389934509E-4</c:v>
                </c:pt>
                <c:pt idx="67">
                  <c:v>5.7876101631215704E-4</c:v>
                </c:pt>
                <c:pt idx="68">
                  <c:v>5.7857192820698344E-4</c:v>
                </c:pt>
                <c:pt idx="69">
                  <c:v>5.7802597668299427E-4</c:v>
                </c:pt>
                <c:pt idx="70">
                  <c:v>5.7710617189066227E-4</c:v>
                </c:pt>
                <c:pt idx="71">
                  <c:v>5.7393635151115063E-4</c:v>
                </c:pt>
                <c:pt idx="72">
                  <c:v>5.6934862696422783E-4</c:v>
                </c:pt>
                <c:pt idx="73">
                  <c:v>5.6630471096497104E-4</c:v>
                </c:pt>
                <c:pt idx="74">
                  <c:v>5.6278500363937667E-4</c:v>
                </c:pt>
                <c:pt idx="75">
                  <c:v>5.5877251545766171E-4</c:v>
                </c:pt>
                <c:pt idx="76">
                  <c:v>5.4902082466945501E-4</c:v>
                </c:pt>
                <c:pt idx="77">
                  <c:v>3.2734798380751329E-3</c:v>
                </c:pt>
                <c:pt idx="78">
                  <c:v>5.3072372169005178E-4</c:v>
                </c:pt>
                <c:pt idx="79">
                  <c:v>5.2339776488885548E-4</c:v>
                </c:pt>
                <c:pt idx="80">
                  <c:v>5.1546009956382477E-4</c:v>
                </c:pt>
                <c:pt idx="81">
                  <c:v>4.9746147950280317E-4</c:v>
                </c:pt>
                <c:pt idx="82">
                  <c:v>4.772525599516797E-4</c:v>
                </c:pt>
                <c:pt idx="83">
                  <c:v>4.6600150738207446E-4</c:v>
                </c:pt>
                <c:pt idx="84">
                  <c:v>4.5403680855038431E-4</c:v>
                </c:pt>
                <c:pt idx="85">
                  <c:v>4.4134147368701804E-4</c:v>
                </c:pt>
                <c:pt idx="86">
                  <c:v>4.1343087771927856E-4</c:v>
                </c:pt>
                <c:pt idx="87">
                  <c:v>3.8312655544103791E-4</c:v>
                </c:pt>
                <c:pt idx="88">
                  <c:v>3.6781234274307906E-4</c:v>
                </c:pt>
                <c:pt idx="89">
                  <c:v>3.5299241641695289E-4</c:v>
                </c:pt>
                <c:pt idx="90">
                  <c:v>3.3869092954219582E-4</c:v>
                </c:pt>
                <c:pt idx="91">
                  <c:v>3.1193712383803529E-4</c:v>
                </c:pt>
                <c:pt idx="92">
                  <c:v>2.8715244166477305E-4</c:v>
                </c:pt>
                <c:pt idx="93">
                  <c:v>2.7580545047811711E-4</c:v>
                </c:pt>
                <c:pt idx="94">
                  <c:v>2.6512181809934532E-4</c:v>
                </c:pt>
                <c:pt idx="95">
                  <c:v>2.5512569768793014E-4</c:v>
                </c:pt>
                <c:pt idx="96">
                  <c:v>2.3754608594828142E-4</c:v>
                </c:pt>
                <c:pt idx="97">
                  <c:v>2.2249939938490115E-4</c:v>
                </c:pt>
                <c:pt idx="98">
                  <c:v>2.1630313676190838E-4</c:v>
                </c:pt>
                <c:pt idx="99">
                  <c:v>1.1659310071330253E-2</c:v>
                </c:pt>
                <c:pt idx="100">
                  <c:v>2.0643205824733002E-4</c:v>
                </c:pt>
                <c:pt idx="101">
                  <c:v>2.0039372318869653E-4</c:v>
                </c:pt>
                <c:pt idx="102">
                  <c:v>1.9745197876730458E-4</c:v>
                </c:pt>
                <c:pt idx="103">
                  <c:v>1.9758995231988763E-4</c:v>
                </c:pt>
                <c:pt idx="104">
                  <c:v>1.9872942963239382E-4</c:v>
                </c:pt>
                <c:pt idx="105">
                  <c:v>2.0089456410410378E-4</c:v>
                </c:pt>
                <c:pt idx="106">
                  <c:v>2.0876457767826651E-4</c:v>
                </c:pt>
                <c:pt idx="107">
                  <c:v>2.2029473901064023E-4</c:v>
                </c:pt>
                <c:pt idx="108">
                  <c:v>2.2795045842904926E-4</c:v>
                </c:pt>
                <c:pt idx="109">
                  <c:v>2.3656583707953871E-4</c:v>
                </c:pt>
                <c:pt idx="110">
                  <c:v>2.4531039975350666E-4</c:v>
                </c:pt>
                <c:pt idx="111">
                  <c:v>2.6249281641632649E-4</c:v>
                </c:pt>
                <c:pt idx="112">
                  <c:v>2.7932436499789048E-4</c:v>
                </c:pt>
                <c:pt idx="113">
                  <c:v>2.8754319949086948E-4</c:v>
                </c:pt>
                <c:pt idx="114">
                  <c:v>2.9563073725036304E-4</c:v>
                </c:pt>
                <c:pt idx="115">
                  <c:v>3.0357826108939889E-4</c:v>
                </c:pt>
                <c:pt idx="116">
                  <c:v>3.1896329292457892E-4</c:v>
                </c:pt>
                <c:pt idx="117">
                  <c:v>3.3379387605947386E-4</c:v>
                </c:pt>
                <c:pt idx="118">
                  <c:v>3.4091057425023052E-4</c:v>
                </c:pt>
                <c:pt idx="119">
                  <c:v>3.478349563579286E-4</c:v>
                </c:pt>
                <c:pt idx="120">
                  <c:v>3.5455830495578766E-4</c:v>
                </c:pt>
                <c:pt idx="121">
                  <c:v>3.1873665834680764E-3</c:v>
                </c:pt>
                <c:pt idx="122">
                  <c:v>3.792670243463192E-4</c:v>
                </c:pt>
                <c:pt idx="123">
                  <c:v>3.8485445006841701E-4</c:v>
                </c:pt>
                <c:pt idx="124">
                  <c:v>3.901885399582028E-4</c:v>
                </c:pt>
                <c:pt idx="125">
                  <c:v>3.9526057698857642E-4</c:v>
                </c:pt>
                <c:pt idx="126">
                  <c:v>4.0448801063242001E-4</c:v>
                </c:pt>
                <c:pt idx="127">
                  <c:v>4.1275385501471362E-4</c:v>
                </c:pt>
                <c:pt idx="128">
                  <c:v>4.1638487170203575E-4</c:v>
                </c:pt>
                <c:pt idx="129">
                  <c:v>4.1970153304760061E-4</c:v>
                </c:pt>
                <c:pt idx="130">
                  <c:v>4.2269512202430803E-4</c:v>
                </c:pt>
                <c:pt idx="131">
                  <c:v>4.2756231464657901E-4</c:v>
                </c:pt>
                <c:pt idx="132">
                  <c:v>4.3136275159838533E-4</c:v>
                </c:pt>
                <c:pt idx="133">
                  <c:v>4.3320446030392645E-4</c:v>
                </c:pt>
                <c:pt idx="134">
                  <c:v>4.3527660116282618E-4</c:v>
                </c:pt>
                <c:pt idx="135">
                  <c:v>4.3758307785246586E-4</c:v>
                </c:pt>
                <c:pt idx="136">
                  <c:v>4.4299721611018583E-4</c:v>
                </c:pt>
                <c:pt idx="137">
                  <c:v>4.4923042310074379E-4</c:v>
                </c:pt>
                <c:pt idx="138">
                  <c:v>4.5276713858122264E-4</c:v>
                </c:pt>
                <c:pt idx="139">
                  <c:v>4.565616134755146E-4</c:v>
                </c:pt>
                <c:pt idx="140">
                  <c:v>4.6061775186068132E-4</c:v>
                </c:pt>
                <c:pt idx="141">
                  <c:v>4.6962237211012337E-4</c:v>
                </c:pt>
                <c:pt idx="142">
                  <c:v>4.1155785851287874E-3</c:v>
                </c:pt>
                <c:pt idx="143">
                  <c:v>4.8496003205222848E-4</c:v>
                </c:pt>
                <c:pt idx="144">
                  <c:v>4.9066813332387937E-4</c:v>
                </c:pt>
                <c:pt idx="145">
                  <c:v>4.9666522550673164E-4</c:v>
                </c:pt>
                <c:pt idx="146">
                  <c:v>5.0964295386535241E-4</c:v>
                </c:pt>
                <c:pt idx="147">
                  <c:v>5.236215816939449E-4</c:v>
                </c:pt>
                <c:pt idx="148">
                  <c:v>5.3112218727058291E-4</c:v>
                </c:pt>
                <c:pt idx="149">
                  <c:v>5.3893520742143153E-4</c:v>
                </c:pt>
                <c:pt idx="150">
                  <c:v>5.4706454598374421E-4</c:v>
                </c:pt>
                <c:pt idx="151">
                  <c:v>5.6439802226471159E-4</c:v>
                </c:pt>
                <c:pt idx="152">
                  <c:v>5.8282316317104232E-4</c:v>
                </c:pt>
                <c:pt idx="153">
                  <c:v>5.9386126864069411E-4</c:v>
                </c:pt>
                <c:pt idx="154">
                  <c:v>6.0580699464907184E-4</c:v>
                </c:pt>
                <c:pt idx="155">
                  <c:v>6.1703024218040525E-4</c:v>
                </c:pt>
                <c:pt idx="156">
                  <c:v>6.3698899794850661E-4</c:v>
                </c:pt>
                <c:pt idx="157">
                  <c:v>6.5437602856377453E-4</c:v>
                </c:pt>
                <c:pt idx="158">
                  <c:v>6.6174506954119749E-4</c:v>
                </c:pt>
                <c:pt idx="159">
                  <c:v>6.6829490629416455E-4</c:v>
                </c:pt>
                <c:pt idx="160">
                  <c:v>6.8043434858555685E-4</c:v>
                </c:pt>
                <c:pt idx="161">
                  <c:v>6.8819179579016065E-4</c:v>
                </c:pt>
                <c:pt idx="162">
                  <c:v>6.8948786839939658E-4</c:v>
                </c:pt>
                <c:pt idx="163">
                  <c:v>6.8985189049186602E-4</c:v>
                </c:pt>
                <c:pt idx="164">
                  <c:v>1.3789732139968258E-3</c:v>
                </c:pt>
                <c:pt idx="165">
                  <c:v>6.7712701214084348E-4</c:v>
                </c:pt>
                <c:pt idx="166">
                  <c:v>6.7156019257552657E-4</c:v>
                </c:pt>
                <c:pt idx="167">
                  <c:v>6.6494847652087685E-4</c:v>
                </c:pt>
                <c:pt idx="168">
                  <c:v>6.5727574303231506E-4</c:v>
                </c:pt>
                <c:pt idx="169">
                  <c:v>6.3831407898007342E-4</c:v>
                </c:pt>
                <c:pt idx="170">
                  <c:v>6.1565221888493227E-4</c:v>
                </c:pt>
                <c:pt idx="171">
                  <c:v>6.0243258637626695E-4</c:v>
                </c:pt>
                <c:pt idx="172">
                  <c:v>5.8805521172544672E-4</c:v>
                </c:pt>
                <c:pt idx="173">
                  <c:v>5.7908573800169449E-4</c:v>
                </c:pt>
                <c:pt idx="174">
                  <c:v>5.7378657300155567E-4</c:v>
                </c:pt>
                <c:pt idx="175">
                  <c:v>5.6882384338763359E-4</c:v>
                </c:pt>
                <c:pt idx="176">
                  <c:v>5.6651756022318978E-4</c:v>
                </c:pt>
                <c:pt idx="177">
                  <c:v>5.6431934693179642E-4</c:v>
                </c:pt>
                <c:pt idx="178">
                  <c:v>5.6223140023625717E-4</c:v>
                </c:pt>
                <c:pt idx="179">
                  <c:v>5.5843491295171077E-4</c:v>
                </c:pt>
                <c:pt idx="180">
                  <c:v>5.5502621698622079E-4</c:v>
                </c:pt>
                <c:pt idx="181">
                  <c:v>5.5352255611040846E-4</c:v>
                </c:pt>
                <c:pt idx="182">
                  <c:v>5.5214234296663278E-4</c:v>
                </c:pt>
                <c:pt idx="183">
                  <c:v>5.5088777419776136E-4</c:v>
                </c:pt>
                <c:pt idx="184">
                  <c:v>1.3168177000277836E-3</c:v>
                </c:pt>
                <c:pt idx="185">
                  <c:v>5.4716988052483373E-4</c:v>
                </c:pt>
                <c:pt idx="186">
                  <c:v>5.4657648655087598E-4</c:v>
                </c:pt>
                <c:pt idx="187">
                  <c:v>5.4612191808800503E-4</c:v>
                </c:pt>
                <c:pt idx="188">
                  <c:v>5.4580837177908847E-4</c:v>
                </c:pt>
                <c:pt idx="189">
                  <c:v>5.456631648392829E-4</c:v>
                </c:pt>
                <c:pt idx="190">
                  <c:v>5.4600834621609806E-4</c:v>
                </c:pt>
                <c:pt idx="191">
                  <c:v>5.4643286383715406E-4</c:v>
                </c:pt>
                <c:pt idx="192">
                  <c:v>5.4701158458847488E-4</c:v>
                </c:pt>
                <c:pt idx="193">
                  <c:v>5.4774670559254446E-4</c:v>
                </c:pt>
                <c:pt idx="194">
                  <c:v>5.4975010466584706E-4</c:v>
                </c:pt>
                <c:pt idx="195">
                  <c:v>5.5402704168372452E-4</c:v>
                </c:pt>
                <c:pt idx="196">
                  <c:v>5.5900063242297904E-4</c:v>
                </c:pt>
                <c:pt idx="197">
                  <c:v>5.6408228240378833E-4</c:v>
                </c:pt>
                <c:pt idx="198">
                  <c:v>5.6927278555107819E-4</c:v>
                </c:pt>
                <c:pt idx="199">
                  <c:v>5.8002154053049537E-4</c:v>
                </c:pt>
                <c:pt idx="200">
                  <c:v>5.9113921046183293E-4</c:v>
                </c:pt>
                <c:pt idx="201">
                  <c:v>5.9688588943451748E-4</c:v>
                </c:pt>
                <c:pt idx="202">
                  <c:v>6.0274618576272587E-4</c:v>
                </c:pt>
                <c:pt idx="203">
                  <c:v>6.0872089297170362E-4</c:v>
                </c:pt>
                <c:pt idx="204">
                  <c:v>6.2105671919887584E-4</c:v>
                </c:pt>
                <c:pt idx="205">
                  <c:v>1.8577860292534609E-3</c:v>
                </c:pt>
                <c:pt idx="206">
                  <c:v>6.4033838519605979E-4</c:v>
                </c:pt>
                <c:pt idx="207">
                  <c:v>6.4701623259111329E-4</c:v>
                </c:pt>
                <c:pt idx="208">
                  <c:v>6.5381404906084128E-4</c:v>
                </c:pt>
                <c:pt idx="209">
                  <c:v>6.6781478701649633E-4</c:v>
                </c:pt>
                <c:pt idx="210">
                  <c:v>6.8222088378533385E-4</c:v>
                </c:pt>
                <c:pt idx="211">
                  <c:v>6.8963045466219342E-4</c:v>
                </c:pt>
                <c:pt idx="212">
                  <c:v>6.9716475840309045E-4</c:v>
                </c:pt>
                <c:pt idx="213">
                  <c:v>7.0482458893295075E-4</c:v>
                </c:pt>
                <c:pt idx="214">
                  <c:v>7.2056808490650326E-4</c:v>
                </c:pt>
                <c:pt idx="215">
                  <c:v>7.3665393633071119E-4</c:v>
                </c:pt>
                <c:pt idx="216">
                  <c:v>7.4446445328391064E-4</c:v>
                </c:pt>
                <c:pt idx="217">
                  <c:v>7.5191057124612826E-4</c:v>
                </c:pt>
                <c:pt idx="218">
                  <c:v>7.5898672147189927E-4</c:v>
                </c:pt>
                <c:pt idx="219">
                  <c:v>7.718796081501722E-4</c:v>
                </c:pt>
                <c:pt idx="220">
                  <c:v>7.8348027313879243E-4</c:v>
                </c:pt>
                <c:pt idx="221">
                  <c:v>7.8862305557869661E-4</c:v>
                </c:pt>
                <c:pt idx="222">
                  <c:v>7.9336245876859834E-4</c:v>
                </c:pt>
                <c:pt idx="223">
                  <c:v>8.0468264913768905E-4</c:v>
                </c:pt>
                <c:pt idx="224">
                  <c:v>8.1301606822847816E-4</c:v>
                </c:pt>
                <c:pt idx="225">
                  <c:v>8.1477589459311162E-4</c:v>
                </c:pt>
                <c:pt idx="226">
                  <c:v>1.2480892903976581E-3</c:v>
                </c:pt>
                <c:pt idx="227">
                  <c:v>8.1719250681011602E-4</c:v>
                </c:pt>
                <c:pt idx="228">
                  <c:v>8.1674473080717291E-4</c:v>
                </c:pt>
                <c:pt idx="229">
                  <c:v>8.157334587011178E-4</c:v>
                </c:pt>
                <c:pt idx="230">
                  <c:v>8.1424084674708297E-4</c:v>
                </c:pt>
                <c:pt idx="231">
                  <c:v>8.1226132643941185E-4</c:v>
                </c:pt>
                <c:pt idx="232">
                  <c:v>8.0665322221840086E-4</c:v>
                </c:pt>
                <c:pt idx="233">
                  <c:v>7.9936278924108706E-4</c:v>
                </c:pt>
                <c:pt idx="234">
                  <c:v>7.9486519806160061E-4</c:v>
                </c:pt>
                <c:pt idx="235">
                  <c:v>7.8984728701492202E-4</c:v>
                </c:pt>
                <c:pt idx="236">
                  <c:v>7.8440932573364819E-4</c:v>
                </c:pt>
                <c:pt idx="237">
                  <c:v>7.7367945210404798E-4</c:v>
                </c:pt>
                <c:pt idx="238">
                  <c:v>7.6331090376413613E-4</c:v>
                </c:pt>
                <c:pt idx="239">
                  <c:v>7.5831470854659244E-4</c:v>
                </c:pt>
                <c:pt idx="240">
                  <c:v>7.5343381493730988E-4</c:v>
                </c:pt>
                <c:pt idx="241">
                  <c:v>7.4867019216107167E-4</c:v>
                </c:pt>
                <c:pt idx="242">
                  <c:v>7.3954521194963263E-4</c:v>
                </c:pt>
                <c:pt idx="243">
                  <c:v>7.3082778389021996E-4</c:v>
                </c:pt>
                <c:pt idx="244">
                  <c:v>7.2668004701625932E-4</c:v>
                </c:pt>
                <c:pt idx="245">
                  <c:v>7.2266139376608862E-4</c:v>
                </c:pt>
                <c:pt idx="246">
                  <c:v>7.1877379312468292E-4</c:v>
                </c:pt>
                <c:pt idx="247">
                  <c:v>7.1144668404521383E-4</c:v>
                </c:pt>
                <c:pt idx="248">
                  <c:v>7.0457329346851338E-4</c:v>
                </c:pt>
                <c:pt idx="249">
                  <c:v>7.0137048856722117E-4</c:v>
                </c:pt>
                <c:pt idx="250">
                  <c:v>6.9831054922531166E-4</c:v>
                </c:pt>
                <c:pt idx="251">
                  <c:v>6.9539544458763203E-4</c:v>
                </c:pt>
                <c:pt idx="252">
                  <c:v>6.90059183927616E-4</c:v>
                </c:pt>
                <c:pt idx="253">
                  <c:v>6.8522274822235829E-4</c:v>
                </c:pt>
                <c:pt idx="254">
                  <c:v>6.8306134892281989E-4</c:v>
                </c:pt>
                <c:pt idx="255">
                  <c:v>6.8105659735806512E-4</c:v>
                </c:pt>
                <c:pt idx="256">
                  <c:v>6.7921046235319693E-4</c:v>
                </c:pt>
                <c:pt idx="257">
                  <c:v>6.7605802763992529E-4</c:v>
                </c:pt>
                <c:pt idx="258">
                  <c:v>6.7352080784566226E-4</c:v>
                </c:pt>
                <c:pt idx="259">
                  <c:v>6.7291485447817934E-4</c:v>
                </c:pt>
                <c:pt idx="260">
                  <c:v>6.7290103129558076E-4</c:v>
                </c:pt>
                <c:pt idx="261">
                  <c:v>6.7348581735515722E-4</c:v>
                </c:pt>
                <c:pt idx="262">
                  <c:v>6.7668442103041571E-4</c:v>
                </c:pt>
                <c:pt idx="263">
                  <c:v>6.8194063540083505E-4</c:v>
                </c:pt>
                <c:pt idx="264">
                  <c:v>6.8561565337077468E-4</c:v>
                </c:pt>
                <c:pt idx="265">
                  <c:v>6.8992815500656945E-4</c:v>
                </c:pt>
                <c:pt idx="266">
                  <c:v>6.9488461904576582E-4</c:v>
                </c:pt>
                <c:pt idx="267">
                  <c:v>7.0697787256435163E-4</c:v>
                </c:pt>
                <c:pt idx="268">
                  <c:v>7.2127968174129364E-4</c:v>
                </c:pt>
                <c:pt idx="269">
                  <c:v>7.295531443762826E-4</c:v>
                </c:pt>
                <c:pt idx="270">
                  <c:v>7.3850944383835326E-4</c:v>
                </c:pt>
                <c:pt idx="271">
                  <c:v>7.4815505926473236E-4</c:v>
                </c:pt>
                <c:pt idx="272">
                  <c:v>7.6977805130162835E-4</c:v>
                </c:pt>
                <c:pt idx="273">
                  <c:v>7.9376026239863506E-4</c:v>
                </c:pt>
                <c:pt idx="274">
                  <c:v>8.0694964398553282E-4</c:v>
                </c:pt>
                <c:pt idx="275">
                  <c:v>8.2086721596041912E-4</c:v>
                </c:pt>
                <c:pt idx="276">
                  <c:v>8.3551945778026493E-4</c:v>
                </c:pt>
                <c:pt idx="277">
                  <c:v>8.6730732478557115E-4</c:v>
                </c:pt>
                <c:pt idx="278">
                  <c:v>9.0160470329614384E-4</c:v>
                </c:pt>
                <c:pt idx="279">
                  <c:v>9.1975383373466002E-4</c:v>
                </c:pt>
                <c:pt idx="280">
                  <c:v>9.373027766734765E-4</c:v>
                </c:pt>
                <c:pt idx="281">
                  <c:v>9.5396923864399241E-4</c:v>
                </c:pt>
                <c:pt idx="282">
                  <c:v>9.8431313851676805E-4</c:v>
                </c:pt>
                <c:pt idx="283">
                  <c:v>1.0116098291046427E-3</c:v>
                </c:pt>
                <c:pt idx="284">
                  <c:v>1.0237135504898021E-3</c:v>
                </c:pt>
                <c:pt idx="285">
                  <c:v>1.0348746567689915E-3</c:v>
                </c:pt>
                <c:pt idx="286">
                  <c:v>1.0450831253194792E-3</c:v>
                </c:pt>
                <c:pt idx="287">
                  <c:v>1.0622776270086121E-3</c:v>
                </c:pt>
                <c:pt idx="288">
                  <c:v>1.0761901779332561E-3</c:v>
                </c:pt>
                <c:pt idx="289">
                  <c:v>1.081485123934911E-3</c:v>
                </c:pt>
                <c:pt idx="290">
                  <c:v>1.0857672983899391E-3</c:v>
                </c:pt>
                <c:pt idx="291">
                  <c:v>1.089026679155225E-3</c:v>
                </c:pt>
                <c:pt idx="292">
                  <c:v>1.0920893295018885E-3</c:v>
                </c:pt>
                <c:pt idx="293">
                  <c:v>1.0916358186197073E-3</c:v>
                </c:pt>
                <c:pt idx="294">
                  <c:v>1.0896308963115331E-3</c:v>
                </c:pt>
                <c:pt idx="295">
                  <c:v>1.0865430466555637E-3</c:v>
                </c:pt>
                <c:pt idx="296">
                  <c:v>1.0823622473488115E-3</c:v>
                </c:pt>
                <c:pt idx="297">
                  <c:v>1.0703105543985458E-3</c:v>
                </c:pt>
                <c:pt idx="298">
                  <c:v>1.0545091097924342E-3</c:v>
                </c:pt>
                <c:pt idx="299">
                  <c:v>1.0447132293656125E-3</c:v>
                </c:pt>
                <c:pt idx="300">
                  <c:v>1.0337642661095714E-3</c:v>
                </c:pt>
                <c:pt idx="301">
                  <c:v>1.021916289429825E-3</c:v>
                </c:pt>
                <c:pt idx="302">
                  <c:v>9.9908911586510385E-4</c:v>
                </c:pt>
                <c:pt idx="303">
                  <c:v>9.7767205203602714E-4</c:v>
                </c:pt>
                <c:pt idx="304">
                  <c:v>9.6768470021046937E-4</c:v>
                </c:pt>
                <c:pt idx="305">
                  <c:v>9.5813640461628324E-4</c:v>
                </c:pt>
                <c:pt idx="306">
                  <c:v>9.4903195174467214E-4</c:v>
                </c:pt>
                <c:pt idx="307">
                  <c:v>9.3232886898775291E-4</c:v>
                </c:pt>
                <c:pt idx="308">
                  <c:v>9.1714829874689485E-4</c:v>
                </c:pt>
                <c:pt idx="309">
                  <c:v>9.1033485805525061E-4</c:v>
                </c:pt>
                <c:pt idx="310">
                  <c:v>9.0399397951301808E-4</c:v>
                </c:pt>
                <c:pt idx="311">
                  <c:v>8.9813044969133671E-4</c:v>
                </c:pt>
                <c:pt idx="312">
                  <c:v>8.8802067579329957E-4</c:v>
                </c:pt>
                <c:pt idx="313">
                  <c:v>8.7954554919278394E-4</c:v>
                </c:pt>
                <c:pt idx="314">
                  <c:v>8.7614056178075828E-4</c:v>
                </c:pt>
                <c:pt idx="315">
                  <c:v>8.7324164251612046E-4</c:v>
                </c:pt>
                <c:pt idx="316">
                  <c:v>8.7085357812988207E-4</c:v>
                </c:pt>
                <c:pt idx="317">
                  <c:v>8.6780632352123632E-4</c:v>
                </c:pt>
                <c:pt idx="318">
                  <c:v>8.6650560039203128E-4</c:v>
                </c:pt>
                <c:pt idx="319">
                  <c:v>8.6674360896488167E-4</c:v>
                </c:pt>
                <c:pt idx="320">
                  <c:v>8.6752119200284028E-4</c:v>
                </c:pt>
                <c:pt idx="321">
                  <c:v>8.6884313591717444E-4</c:v>
                </c:pt>
                <c:pt idx="322">
                  <c:v>8.7332761214753418E-4</c:v>
                </c:pt>
                <c:pt idx="323">
                  <c:v>8.7964182929667345E-4</c:v>
                </c:pt>
                <c:pt idx="324">
                  <c:v>8.8358633497875871E-4</c:v>
                </c:pt>
                <c:pt idx="325">
                  <c:v>8.8793151959087879E-4</c:v>
                </c:pt>
                <c:pt idx="326">
                  <c:v>8.9268068665049327E-4</c:v>
                </c:pt>
                <c:pt idx="327">
                  <c:v>9.0354441462103807E-4</c:v>
                </c:pt>
                <c:pt idx="328">
                  <c:v>9.1578325115193593E-4</c:v>
                </c:pt>
                <c:pt idx="329">
                  <c:v>9.2260188440995705E-4</c:v>
                </c:pt>
                <c:pt idx="330">
                  <c:v>9.2984432161991037E-4</c:v>
                </c:pt>
                <c:pt idx="331">
                  <c:v>9.3751386637919154E-4</c:v>
                </c:pt>
                <c:pt idx="332">
                  <c:v>9.5429569571869877E-4</c:v>
                </c:pt>
                <c:pt idx="333">
                  <c:v>9.7252919389667625E-4</c:v>
                </c:pt>
                <c:pt idx="334">
                  <c:v>9.8238383092308368E-4</c:v>
                </c:pt>
                <c:pt idx="335">
                  <c:v>9.9268539724306493E-4</c:v>
                </c:pt>
                <c:pt idx="336">
                  <c:v>1.0034371963740796E-3</c:v>
                </c:pt>
                <c:pt idx="337">
                  <c:v>1.0264610155719112E-3</c:v>
                </c:pt>
                <c:pt idx="338">
                  <c:v>1.0510127940754899E-3</c:v>
                </c:pt>
                <c:pt idx="339">
                  <c:v>1.0640653118620946E-3</c:v>
                </c:pt>
                <c:pt idx="340">
                  <c:v>1.0775878843638509E-3</c:v>
                </c:pt>
                <c:pt idx="341">
                  <c:v>1.0915838150182822E-3</c:v>
                </c:pt>
                <c:pt idx="342">
                  <c:v>1.1211735468563688E-3</c:v>
                </c:pt>
                <c:pt idx="343">
                  <c:v>1.1523671927893275E-3</c:v>
                </c:pt>
                <c:pt idx="344">
                  <c:v>1.1687794692871734E-3</c:v>
                </c:pt>
                <c:pt idx="345">
                  <c:v>1.1854608039207903E-3</c:v>
                </c:pt>
                <c:pt idx="346">
                  <c:v>1.2015143536103778E-3</c:v>
                </c:pt>
                <c:pt idx="347">
                  <c:v>1.2307506512332367E-3</c:v>
                </c:pt>
                <c:pt idx="348">
                  <c:v>1.2570651549292933E-3</c:v>
                </c:pt>
                <c:pt idx="349">
                  <c:v>1.2687486362317202E-3</c:v>
                </c:pt>
                <c:pt idx="350">
                  <c:v>1.2795350820482554E-3</c:v>
                </c:pt>
                <c:pt idx="351">
                  <c:v>1.2894168185173527E-3</c:v>
                </c:pt>
                <c:pt idx="352">
                  <c:v>1.3061309628525919E-3</c:v>
                </c:pt>
                <c:pt idx="353">
                  <c:v>1.319743192969014E-3</c:v>
                </c:pt>
                <c:pt idx="354">
                  <c:v>1.3249862743780483E-3</c:v>
                </c:pt>
                <c:pt idx="355">
                  <c:v>1.3292786030305592E-3</c:v>
                </c:pt>
                <c:pt idx="356">
                  <c:v>1.3326125053048088E-3</c:v>
                </c:pt>
                <c:pt idx="357">
                  <c:v>1.3360521439587103E-3</c:v>
                </c:pt>
                <c:pt idx="358">
                  <c:v>1.3362103724290364E-3</c:v>
                </c:pt>
                <c:pt idx="359">
                  <c:v>1.3346370345690417E-3</c:v>
                </c:pt>
                <c:pt idx="360">
                  <c:v>1.3320592272414444E-3</c:v>
                </c:pt>
                <c:pt idx="361">
                  <c:v>1.3284692767445705E-3</c:v>
                </c:pt>
                <c:pt idx="362">
                  <c:v>1.3178820200732133E-3</c:v>
                </c:pt>
                <c:pt idx="363">
                  <c:v>1.3038345658333839E-3</c:v>
                </c:pt>
                <c:pt idx="364">
                  <c:v>1.2950687922064219E-3</c:v>
                </c:pt>
                <c:pt idx="365">
                  <c:v>1.2852448326405863E-3</c:v>
                </c:pt>
                <c:pt idx="366">
                  <c:v>1.2743550133542669E-3</c:v>
                </c:pt>
                <c:pt idx="367">
                  <c:v>1.2513930745772228E-3</c:v>
                </c:pt>
                <c:pt idx="368">
                  <c:v>1.2299019339767625E-3</c:v>
                </c:pt>
                <c:pt idx="369">
                  <c:v>1.2200423769659352E-3</c:v>
                </c:pt>
                <c:pt idx="370">
                  <c:v>1.2107200382249772E-3</c:v>
                </c:pt>
                <c:pt idx="371">
                  <c:v>1.2019395278262124E-3</c:v>
                </c:pt>
                <c:pt idx="372">
                  <c:v>1.1862115600980161E-3</c:v>
                </c:pt>
                <c:pt idx="373">
                  <c:v>1.1723279706998824E-3</c:v>
                </c:pt>
                <c:pt idx="374">
                  <c:v>1.1663257530969418E-3</c:v>
                </c:pt>
                <c:pt idx="375">
                  <c:v>1.1608930243500737E-3</c:v>
                </c:pt>
                <c:pt idx="376">
                  <c:v>1.1560343946115381E-3</c:v>
                </c:pt>
                <c:pt idx="377">
                  <c:v>1.1482575114207805E-3</c:v>
                </c:pt>
                <c:pt idx="378">
                  <c:v>1.1424330676668148E-3</c:v>
                </c:pt>
                <c:pt idx="379">
                  <c:v>1.1405140844544803E-3</c:v>
                </c:pt>
                <c:pt idx="380">
                  <c:v>1.1391968610041658E-3</c:v>
                </c:pt>
                <c:pt idx="381">
                  <c:v>1.1384860073082592E-3</c:v>
                </c:pt>
                <c:pt idx="382">
                  <c:v>1.1391121874559929E-3</c:v>
                </c:pt>
                <c:pt idx="383">
                  <c:v>1.141798492794166E-3</c:v>
                </c:pt>
                <c:pt idx="384">
                  <c:v>1.1441886399943257E-3</c:v>
                </c:pt>
                <c:pt idx="385">
                  <c:v>1.147212817862453E-3</c:v>
                </c:pt>
                <c:pt idx="386">
                  <c:v>1.1508756363909356E-3</c:v>
                </c:pt>
                <c:pt idx="387">
                  <c:v>1.1603568666984643E-3</c:v>
                </c:pt>
                <c:pt idx="388">
                  <c:v>1.172005521032915E-3</c:v>
                </c:pt>
                <c:pt idx="389">
                  <c:v>1.1789306956266898E-3</c:v>
                </c:pt>
                <c:pt idx="390">
                  <c:v>1.1863724585126079E-3</c:v>
                </c:pt>
                <c:pt idx="391">
                  <c:v>1.19373440036874E-3</c:v>
                </c:pt>
                <c:pt idx="392">
                  <c:v>1.2076895891333095E-3</c:v>
                </c:pt>
                <c:pt idx="393">
                  <c:v>1.2208544915814912E-3</c:v>
                </c:pt>
                <c:pt idx="394">
                  <c:v>1.2270431582805941E-3</c:v>
                </c:pt>
                <c:pt idx="395">
                  <c:v>1.232991507693626E-3</c:v>
                </c:pt>
                <c:pt idx="396">
                  <c:v>1.2386976526101989E-3</c:v>
                </c:pt>
                <c:pt idx="397">
                  <c:v>1.2492974919897648E-3</c:v>
                </c:pt>
                <c:pt idx="398">
                  <c:v>1.2590624381481064E-3</c:v>
                </c:pt>
                <c:pt idx="399">
                  <c:v>1.2635292491491867E-3</c:v>
                </c:pt>
                <c:pt idx="400">
                  <c:v>1.2677425312723756E-3</c:v>
                </c:pt>
                <c:pt idx="401">
                  <c:v>1.2717003969875407E-3</c:v>
                </c:pt>
                <c:pt idx="402">
                  <c:v>1.2787598461727612E-3</c:v>
                </c:pt>
                <c:pt idx="403">
                  <c:v>1.2849399492420588E-3</c:v>
                </c:pt>
                <c:pt idx="404">
                  <c:v>1.2875924226829483E-3</c:v>
                </c:pt>
                <c:pt idx="405">
                  <c:v>1.2899781554942535E-3</c:v>
                </c:pt>
                <c:pt idx="406">
                  <c:v>1.2920952603057145E-3</c:v>
                </c:pt>
                <c:pt idx="407">
                  <c:v>1.2954292678557522E-3</c:v>
                </c:pt>
                <c:pt idx="408">
                  <c:v>1.297839651988042E-3</c:v>
                </c:pt>
                <c:pt idx="409">
                  <c:v>1.2985853061664443E-3</c:v>
                </c:pt>
                <c:pt idx="410">
                  <c:v>1.2991422301933397E-3</c:v>
                </c:pt>
                <c:pt idx="411">
                  <c:v>1.2998746812531436E-3</c:v>
                </c:pt>
                <c:pt idx="412">
                  <c:v>1.3022418159014393E-3</c:v>
                </c:pt>
                <c:pt idx="413">
                  <c:v>1.3055064551803497E-3</c:v>
                </c:pt>
                <c:pt idx="414">
                  <c:v>1.3075992951616655E-3</c:v>
                </c:pt>
                <c:pt idx="415">
                  <c:v>1.3099698555496531E-3</c:v>
                </c:pt>
                <c:pt idx="416">
                  <c:v>1.3126200170798796E-3</c:v>
                </c:pt>
                <c:pt idx="417">
                  <c:v>1.3206671510190837E-3</c:v>
                </c:pt>
                <c:pt idx="418">
                  <c:v>1.3301306709667671E-3</c:v>
                </c:pt>
                <c:pt idx="419">
                  <c:v>1.3344979369556143E-3</c:v>
                </c:pt>
                <c:pt idx="420">
                  <c:v>1.339157969955096E-3</c:v>
                </c:pt>
                <c:pt idx="421">
                  <c:v>5.4176520474324974E-3</c:v>
                </c:pt>
                <c:pt idx="422">
                  <c:v>1.3607633897283478E-3</c:v>
                </c:pt>
                <c:pt idx="423">
                  <c:v>1.3669154708129128E-3</c:v>
                </c:pt>
                <c:pt idx="424">
                  <c:v>1.3733716039610044E-3</c:v>
                </c:pt>
                <c:pt idx="425">
                  <c:v>1.3801336701479983E-3</c:v>
                </c:pt>
                <c:pt idx="426">
                  <c:v>1.3946923867003136E-3</c:v>
                </c:pt>
                <c:pt idx="427">
                  <c:v>1.4102788820746781E-3</c:v>
                </c:pt>
                <c:pt idx="428">
                  <c:v>1.4185988261683491E-3</c:v>
                </c:pt>
                <c:pt idx="429">
                  <c:v>1.4272359882738783E-3</c:v>
                </c:pt>
                <c:pt idx="430">
                  <c:v>1.4361922495265134E-3</c:v>
                </c:pt>
                <c:pt idx="431">
                  <c:v>1.455183721388309E-3</c:v>
                </c:pt>
                <c:pt idx="432">
                  <c:v>1.4751281621006029E-3</c:v>
                </c:pt>
                <c:pt idx="433">
                  <c:v>1.485000161718375E-3</c:v>
                </c:pt>
                <c:pt idx="434">
                  <c:v>1.494490357467626E-3</c:v>
                </c:pt>
                <c:pt idx="435">
                  <c:v>1.5035960278453331E-3</c:v>
                </c:pt>
                <c:pt idx="436">
                  <c:v>1.5205184325761678E-3</c:v>
                </c:pt>
                <c:pt idx="437">
                  <c:v>1.5361190282980886E-3</c:v>
                </c:pt>
                <c:pt idx="438">
                  <c:v>1.5432612513510691E-3</c:v>
                </c:pt>
                <c:pt idx="439">
                  <c:v>1.5500026206538564E-3</c:v>
                </c:pt>
                <c:pt idx="440">
                  <c:v>1.556340415183044E-3</c:v>
                </c:pt>
                <c:pt idx="441">
                  <c:v>1.567663973887079E-3</c:v>
                </c:pt>
                <c:pt idx="442">
                  <c:v>1.5776014160628904E-3</c:v>
                </c:pt>
                <c:pt idx="443">
                  <c:v>1.5818805151379678E-3</c:v>
                </c:pt>
                <c:pt idx="444">
                  <c:v>1.5857397111407323E-3</c:v>
                </c:pt>
                <c:pt idx="445">
                  <c:v>1.589176282568161E-3</c:v>
                </c:pt>
                <c:pt idx="446">
                  <c:v>1.5946341337258474E-3</c:v>
                </c:pt>
                <c:pt idx="447">
                  <c:v>1.5986418959812454E-3</c:v>
                </c:pt>
                <c:pt idx="448">
                  <c:v>1.5999245243847326E-3</c:v>
                </c:pt>
                <c:pt idx="449">
                  <c:v>1.6007682002339152E-3</c:v>
                </c:pt>
                <c:pt idx="450">
                  <c:v>1.601170201945834E-3</c:v>
                </c:pt>
                <c:pt idx="451">
                  <c:v>1.6004954675175043E-3</c:v>
                </c:pt>
                <c:pt idx="452">
                  <c:v>1.5983070419167689E-3</c:v>
                </c:pt>
                <c:pt idx="453">
                  <c:v>1.5964598533546592E-3</c:v>
                </c:pt>
                <c:pt idx="454">
                  <c:v>1.5944004547030488E-3</c:v>
                </c:pt>
                <c:pt idx="455">
                  <c:v>1.5931123453238882E-3</c:v>
                </c:pt>
                <c:pt idx="456">
                  <c:v>1.5939631034278534E-3</c:v>
                </c:pt>
                <c:pt idx="457">
                  <c:v>1.5982518589385819E-3</c:v>
                </c:pt>
                <c:pt idx="458">
                  <c:v>1.6021419181733165E-3</c:v>
                </c:pt>
                <c:pt idx="459">
                  <c:v>1.6070869268958177E-3</c:v>
                </c:pt>
                <c:pt idx="460">
                  <c:v>1.6130933239555389E-3</c:v>
                </c:pt>
                <c:pt idx="461">
                  <c:v>1.6286836402201743E-3</c:v>
                </c:pt>
                <c:pt idx="462">
                  <c:v>1.647861567359854E-3</c:v>
                </c:pt>
                <c:pt idx="463">
                  <c:v>1.6592714854102297E-3</c:v>
                </c:pt>
                <c:pt idx="464">
                  <c:v>1.6717814237754425E-3</c:v>
                </c:pt>
                <c:pt idx="465">
                  <c:v>1.6853978211450737E-3</c:v>
                </c:pt>
                <c:pt idx="466">
                  <c:v>1.7163591888280649E-3</c:v>
                </c:pt>
                <c:pt idx="467">
                  <c:v>1.7510567750989026E-3</c:v>
                </c:pt>
                <c:pt idx="468">
                  <c:v>1.7703020486337095E-3</c:v>
                </c:pt>
                <c:pt idx="469">
                  <c:v>1.7906924135502322E-3</c:v>
                </c:pt>
                <c:pt idx="470">
                  <c:v>1.8122343087778603E-3</c:v>
                </c:pt>
                <c:pt idx="471">
                  <c:v>1.8591983288640535E-3</c:v>
                </c:pt>
                <c:pt idx="472">
                  <c:v>1.9100459693888183E-3</c:v>
                </c:pt>
                <c:pt idx="473">
                  <c:v>1.937061250441019E-3</c:v>
                </c:pt>
                <c:pt idx="474">
                  <c:v>1.9633579128086609E-3</c:v>
                </c:pt>
                <c:pt idx="475">
                  <c:v>1.9885490598969824E-3</c:v>
                </c:pt>
                <c:pt idx="476">
                  <c:v>2.0352218904307051E-3</c:v>
                </c:pt>
                <c:pt idx="477">
                  <c:v>2.078114823182986E-3</c:v>
                </c:pt>
                <c:pt idx="478">
                  <c:v>2.0976706396691469E-3</c:v>
                </c:pt>
                <c:pt idx="479">
                  <c:v>2.1160778392737001E-3</c:v>
                </c:pt>
                <c:pt idx="480">
                  <c:v>2.1333292384628777E-3</c:v>
                </c:pt>
                <c:pt idx="481">
                  <c:v>2.1639564579967185E-3</c:v>
                </c:pt>
                <c:pt idx="482">
                  <c:v>2.1906331594312434E-3</c:v>
                </c:pt>
                <c:pt idx="483">
                  <c:v>2.2019978030574094E-3</c:v>
                </c:pt>
                <c:pt idx="484">
                  <c:v>2.212163545065593E-3</c:v>
                </c:pt>
                <c:pt idx="485">
                  <c:v>2.2211232020019622E-3</c:v>
                </c:pt>
                <c:pt idx="486">
                  <c:v>2.2350001898008287E-3</c:v>
                </c:pt>
                <c:pt idx="487">
                  <c:v>2.2447573081940675E-3</c:v>
                </c:pt>
                <c:pt idx="488">
                  <c:v>2.2475787872444641E-3</c:v>
                </c:pt>
                <c:pt idx="489">
                  <c:v>2.2491510802602477E-3</c:v>
                </c:pt>
                <c:pt idx="490">
                  <c:v>2.2494670041073306E-3</c:v>
                </c:pt>
                <c:pt idx="491">
                  <c:v>2.2458890480692162E-3</c:v>
                </c:pt>
                <c:pt idx="492">
                  <c:v>2.2380233384922121E-3</c:v>
                </c:pt>
                <c:pt idx="493">
                  <c:v>2.2319496650080595E-3</c:v>
                </c:pt>
                <c:pt idx="494">
                  <c:v>2.2245765221917679E-3</c:v>
                </c:pt>
                <c:pt idx="495">
                  <c:v>2.1932869649106124E-3</c:v>
                </c:pt>
                <c:pt idx="496">
                  <c:v>2.1529977590351024E-3</c:v>
                </c:pt>
                <c:pt idx="497">
                  <c:v>2.1384384866074413E-3</c:v>
                </c:pt>
                <c:pt idx="498">
                  <c:v>2.1246445116851476E-3</c:v>
                </c:pt>
                <c:pt idx="499">
                  <c:v>2.0996435790543444E-3</c:v>
                </c:pt>
                <c:pt idx="500">
                  <c:v>2.0772167064819769E-3</c:v>
                </c:pt>
                <c:pt idx="501">
                  <c:v>2.0673205586607679E-3</c:v>
                </c:pt>
                <c:pt idx="502">
                  <c:v>2.0582182438388941E-3</c:v>
                </c:pt>
                <c:pt idx="503">
                  <c:v>2.0499145185315371E-3</c:v>
                </c:pt>
                <c:pt idx="504">
                  <c:v>2.033206990470493E-3</c:v>
                </c:pt>
                <c:pt idx="505">
                  <c:v>2.0205411896423442E-3</c:v>
                </c:pt>
                <c:pt idx="506">
                  <c:v>2.0171288754511352E-3</c:v>
                </c:pt>
                <c:pt idx="507">
                  <c:v>2.0145484424638482E-3</c:v>
                </c:pt>
                <c:pt idx="508">
                  <c:v>2.0121955409369008E-3</c:v>
                </c:pt>
                <c:pt idx="509">
                  <c:v>2.0126406431053567E-3</c:v>
                </c:pt>
                <c:pt idx="510">
                  <c:v>2.0142909565912248E-3</c:v>
                </c:pt>
                <c:pt idx="511">
                  <c:v>2.0168016874144712E-3</c:v>
                </c:pt>
                <c:pt idx="512">
                  <c:v>2.0201775916106612E-3</c:v>
                </c:pt>
                <c:pt idx="513">
                  <c:v>2.029848537068446E-3</c:v>
                </c:pt>
                <c:pt idx="514">
                  <c:v>2.0422812740950036E-3</c:v>
                </c:pt>
                <c:pt idx="515">
                  <c:v>2.0491720427706639E-3</c:v>
                </c:pt>
                <c:pt idx="516">
                  <c:v>2.0560697716387466E-3</c:v>
                </c:pt>
                <c:pt idx="517">
                  <c:v>2.0629744105793435E-3</c:v>
                </c:pt>
                <c:pt idx="518">
                  <c:v>2.1114961482471273E-3</c:v>
                </c:pt>
                <c:pt idx="519">
                  <c:v>2.1603368019285085E-3</c:v>
                </c:pt>
                <c:pt idx="520">
                  <c:v>2.2094791540361314E-3</c:v>
                </c:pt>
                <c:pt idx="521">
                  <c:v>2.2589059874622563E-3</c:v>
                </c:pt>
                <c:pt idx="522">
                  <c:v>2.3086000845395915E-3</c:v>
                </c:pt>
                <c:pt idx="523">
                  <c:v>2.3585442282403335E-3</c:v>
                </c:pt>
                <c:pt idx="524">
                  <c:v>2.4087212009771264E-3</c:v>
                </c:pt>
                <c:pt idx="525">
                  <c:v>2.4591137853224865E-3</c:v>
                </c:pt>
                <c:pt idx="526">
                  <c:v>2.5097047639288661E-3</c:v>
                </c:pt>
                <c:pt idx="527">
                  <c:v>2.5604769193687815E-3</c:v>
                </c:pt>
                <c:pt idx="528">
                  <c:v>2.611413034214749E-3</c:v>
                </c:pt>
                <c:pt idx="529">
                  <c:v>2.6624958911192209E-3</c:v>
                </c:pt>
                <c:pt idx="530">
                  <c:v>2.7137082724149053E-3</c:v>
                </c:pt>
                <c:pt idx="531">
                  <c:v>2.7650329609141266E-3</c:v>
                </c:pt>
                <c:pt idx="532">
                  <c:v>2.816452738949593E-3</c:v>
                </c:pt>
                <c:pt idx="533">
                  <c:v>2.8679503892536928E-3</c:v>
                </c:pt>
                <c:pt idx="534">
                  <c:v>2.9195086941591342E-3</c:v>
                </c:pt>
                <c:pt idx="535">
                  <c:v>2.9711104361584972E-3</c:v>
                </c:pt>
                <c:pt idx="536">
                  <c:v>3.0227383979042344E-3</c:v>
                </c:pt>
                <c:pt idx="537">
                  <c:v>3.0743753617290537E-3</c:v>
                </c:pt>
                <c:pt idx="538">
                  <c:v>3.1260041102854075E-3</c:v>
                </c:pt>
                <c:pt idx="539">
                  <c:v>3.1776074259060039E-3</c:v>
                </c:pt>
                <c:pt idx="540">
                  <c:v>3.229168091003487E-3</c:v>
                </c:pt>
                <c:pt idx="541">
                  <c:v>3.2806688882303092E-3</c:v>
                </c:pt>
                <c:pt idx="542">
                  <c:v>3.3320925998392426E-3</c:v>
                </c:pt>
                <c:pt idx="543">
                  <c:v>3.3834220083228672E-3</c:v>
                </c:pt>
                <c:pt idx="544">
                  <c:v>3.4346398960138913E-3</c:v>
                </c:pt>
                <c:pt idx="545">
                  <c:v>3.4857290455647671E-3</c:v>
                </c:pt>
                <c:pt idx="546">
                  <c:v>3.5366722390683947E-3</c:v>
                </c:pt>
                <c:pt idx="547">
                  <c:v>3.5874522590972902E-3</c:v>
                </c:pt>
                <c:pt idx="548">
                  <c:v>3.6380518879841617E-3</c:v>
                </c:pt>
                <c:pt idx="549">
                  <c:v>3.7064578821732752E-3</c:v>
                </c:pt>
                <c:pt idx="550">
                  <c:v>3.752975944495418E-3</c:v>
                </c:pt>
                <c:pt idx="551">
                  <c:v>3.8028625633845792E-3</c:v>
                </c:pt>
                <c:pt idx="552">
                  <c:v>3.8524950095375488E-3</c:v>
                </c:pt>
                <c:pt idx="553">
                  <c:v>3.9018560648340639E-3</c:v>
                </c:pt>
                <c:pt idx="554">
                  <c:v>3.9509285109406989E-3</c:v>
                </c:pt>
                <c:pt idx="555">
                  <c:v>3.9996951295240279E-3</c:v>
                </c:pt>
                <c:pt idx="556">
                  <c:v>4.0481387023039161E-3</c:v>
                </c:pt>
                <c:pt idx="557">
                  <c:v>4.0962420109202924E-3</c:v>
                </c:pt>
                <c:pt idx="558">
                  <c:v>4.1439878369597949E-3</c:v>
                </c:pt>
                <c:pt idx="559">
                  <c:v>4.1913589620623526E-3</c:v>
                </c:pt>
                <c:pt idx="560">
                  <c:v>4.2383381677346676E-3</c:v>
                </c:pt>
                <c:pt idx="561">
                  <c:v>4.2849082355900237E-3</c:v>
                </c:pt>
                <c:pt idx="562">
                  <c:v>4.3506435287987699E-3</c:v>
                </c:pt>
                <c:pt idx="563">
                  <c:v>4.3767520838233764E-3</c:v>
                </c:pt>
                <c:pt idx="564">
                  <c:v>4.4219914271614869E-3</c:v>
                </c:pt>
                <c:pt idx="565">
                  <c:v>4.4667527586828015E-3</c:v>
                </c:pt>
                <c:pt idx="566">
                  <c:v>4.5110188597607959E-3</c:v>
                </c:pt>
                <c:pt idx="567">
                  <c:v>4.554772511822236E-3</c:v>
                </c:pt>
                <c:pt idx="568">
                  <c:v>4.5979964962672426E-3</c:v>
                </c:pt>
                <c:pt idx="569">
                  <c:v>4.6409130287017319E-3</c:v>
                </c:pt>
                <c:pt idx="570">
                  <c:v>4.684009246362919E-3</c:v>
                </c:pt>
                <c:pt idx="571">
                  <c:v>4.7273100807743162E-3</c:v>
                </c:pt>
                <c:pt idx="572">
                  <c:v>4.7708175168015288E-3</c:v>
                </c:pt>
                <c:pt idx="573">
                  <c:v>4.8145335393101618E-3</c:v>
                </c:pt>
                <c:pt idx="574">
                  <c:v>4.8584601332457567E-3</c:v>
                </c:pt>
                <c:pt idx="575">
                  <c:v>4.9025992834472731E-3</c:v>
                </c:pt>
                <c:pt idx="576">
                  <c:v>4.9469529748336072E-3</c:v>
                </c:pt>
                <c:pt idx="577">
                  <c:v>4.991523192270364E-3</c:v>
                </c:pt>
                <c:pt idx="578">
                  <c:v>5.0363119207297302E-3</c:v>
                </c:pt>
                <c:pt idx="579">
                  <c:v>5.0813211450506657E-3</c:v>
                </c:pt>
                <c:pt idx="580">
                  <c:v>5.1265528501787117E-3</c:v>
                </c:pt>
                <c:pt idx="581">
                  <c:v>5.1720090210061187E-3</c:v>
                </c:pt>
                <c:pt idx="582">
                  <c:v>5.2176916424517827E-3</c:v>
                </c:pt>
                <c:pt idx="583">
                  <c:v>5.2636026995145357E-3</c:v>
                </c:pt>
                <c:pt idx="584">
                  <c:v>5.3097441770066922E-3</c:v>
                </c:pt>
                <c:pt idx="585">
                  <c:v>5.3561180599270841E-3</c:v>
                </c:pt>
                <c:pt idx="586">
                  <c:v>5.4027263332212527E-3</c:v>
                </c:pt>
                <c:pt idx="587">
                  <c:v>5.4495709817814486E-3</c:v>
                </c:pt>
                <c:pt idx="588">
                  <c:v>5.4966539905798584E-3</c:v>
                </c:pt>
                <c:pt idx="589">
                  <c:v>5.543977344615314E-3</c:v>
                </c:pt>
                <c:pt idx="590">
                  <c:v>5.591543028780066E-3</c:v>
                </c:pt>
                <c:pt idx="591">
                  <c:v>5.6393530280463011E-3</c:v>
                </c:pt>
                <c:pt idx="592">
                  <c:v>5.6874093273862059E-3</c:v>
                </c:pt>
                <c:pt idx="593">
                  <c:v>5.7357139117719669E-3</c:v>
                </c:pt>
                <c:pt idx="594">
                  <c:v>5.7842687661757708E-3</c:v>
                </c:pt>
                <c:pt idx="595">
                  <c:v>5.8330758755698042E-3</c:v>
                </c:pt>
                <c:pt idx="596">
                  <c:v>5.8821372249262538E-3</c:v>
                </c:pt>
                <c:pt idx="597">
                  <c:v>5.9314547992705968E-3</c:v>
                </c:pt>
                <c:pt idx="598">
                  <c:v>5.9810305835750199E-3</c:v>
                </c:pt>
                <c:pt idx="599">
                  <c:v>6.0308665628383551E-3</c:v>
                </c:pt>
                <c:pt idx="600">
                  <c:v>6.0809647220594343E-3</c:v>
                </c:pt>
                <c:pt idx="601">
                  <c:v>6.149324334216999E-3</c:v>
                </c:pt>
                <c:pt idx="602">
                  <c:v>6.1963614803950406E-3</c:v>
                </c:pt>
                <c:pt idx="603">
                  <c:v>6.2473332887691413E-3</c:v>
                </c:pt>
                <c:pt idx="604">
                  <c:v>6.2985757603950532E-3</c:v>
                </c:pt>
                <c:pt idx="605">
                  <c:v>6.3500908800051548E-3</c:v>
                </c:pt>
                <c:pt idx="606">
                  <c:v>6.4018806323318245E-3</c:v>
                </c:pt>
                <c:pt idx="607">
                  <c:v>6.4539470021873768E-3</c:v>
                </c:pt>
                <c:pt idx="608">
                  <c:v>6.5062919742242542E-3</c:v>
                </c:pt>
                <c:pt idx="609">
                  <c:v>6.5589175331748351E-3</c:v>
                </c:pt>
                <c:pt idx="610">
                  <c:v>6.6118256638514339E-3</c:v>
                </c:pt>
                <c:pt idx="611">
                  <c:v>6.665018350826557E-3</c:v>
                </c:pt>
                <c:pt idx="612">
                  <c:v>6.718497578992455E-3</c:v>
                </c:pt>
                <c:pt idx="613">
                  <c:v>6.7722653330815064E-3</c:v>
                </c:pt>
                <c:pt idx="614">
                  <c:v>6.8263235977461534E-3</c:v>
                </c:pt>
                <c:pt idx="615">
                  <c:v>6.8806743578786467E-3</c:v>
                </c:pt>
                <c:pt idx="616">
                  <c:v>6.9353195981314286E-3</c:v>
                </c:pt>
                <c:pt idx="617">
                  <c:v>7.0060136637728476E-3</c:v>
                </c:pt>
                <c:pt idx="618">
                  <c:v>7.0455014579273723E-3</c:v>
                </c:pt>
                <c:pt idx="619">
                  <c:v>7.101042047175099E-3</c:v>
                </c:pt>
                <c:pt idx="620">
                  <c:v>7.1568850555525643E-3</c:v>
                </c:pt>
                <c:pt idx="621">
                  <c:v>7.2128732622633862E-3</c:v>
                </c:pt>
                <c:pt idx="622">
                  <c:v>7.2687962104556192E-3</c:v>
                </c:pt>
                <c:pt idx="623">
                  <c:v>7.3246476177946107E-3</c:v>
                </c:pt>
                <c:pt idx="624">
                  <c:v>7.3804224474294244E-3</c:v>
                </c:pt>
                <c:pt idx="625">
                  <c:v>7.4361156622693159E-3</c:v>
                </c:pt>
                <c:pt idx="626">
                  <c:v>7.4917222256232208E-3</c:v>
                </c:pt>
                <c:pt idx="627">
                  <c:v>7.5472371003204586E-3</c:v>
                </c:pt>
                <c:pt idx="628">
                  <c:v>7.602655249590029E-3</c:v>
                </c:pt>
                <c:pt idx="629">
                  <c:v>7.6579716363411876E-3</c:v>
                </c:pt>
                <c:pt idx="630">
                  <c:v>7.713181223722998E-3</c:v>
                </c:pt>
                <c:pt idx="631">
                  <c:v>7.7682789747246517E-3</c:v>
                </c:pt>
                <c:pt idx="632">
                  <c:v>7.8232598524152763E-3</c:v>
                </c:pt>
                <c:pt idx="633">
                  <c:v>7.8781188199439356E-3</c:v>
                </c:pt>
                <c:pt idx="634">
                  <c:v>7.932850840219885E-3</c:v>
                </c:pt>
                <c:pt idx="635">
                  <c:v>7.987450876312252E-3</c:v>
                </c:pt>
                <c:pt idx="636">
                  <c:v>8.0419138912102284E-3</c:v>
                </c:pt>
                <c:pt idx="637">
                  <c:v>8.0962348479829416E-3</c:v>
                </c:pt>
                <c:pt idx="638">
                  <c:v>8.1504087096995192E-3</c:v>
                </c:pt>
                <c:pt idx="639">
                  <c:v>8.2044304393491529E-3</c:v>
                </c:pt>
                <c:pt idx="640">
                  <c:v>8.2582949999210342E-3</c:v>
                </c:pt>
                <c:pt idx="641">
                  <c:v>8.3119973545642267E-3</c:v>
                </c:pt>
                <c:pt idx="642">
                  <c:v>8.365532466187986E-3</c:v>
                </c:pt>
                <c:pt idx="643">
                  <c:v>8.4188952977015674E-3</c:v>
                </c:pt>
                <c:pt idx="644">
                  <c:v>8.4720808123339708E-3</c:v>
                </c:pt>
                <c:pt idx="645">
                  <c:v>8.5250839729145156E-3</c:v>
                </c:pt>
                <c:pt idx="646">
                  <c:v>8.5778997426722015E-3</c:v>
                </c:pt>
                <c:pt idx="647">
                  <c:v>8.6305230843564118E-3</c:v>
                </c:pt>
                <c:pt idx="648">
                  <c:v>8.6829489611961463E-3</c:v>
                </c:pt>
                <c:pt idx="649">
                  <c:v>8.7351723359407885E-3</c:v>
                </c:pt>
                <c:pt idx="650">
                  <c:v>8.7871881718193379E-3</c:v>
                </c:pt>
                <c:pt idx="651">
                  <c:v>8.838991431661114E-3</c:v>
                </c:pt>
                <c:pt idx="652">
                  <c:v>8.8905770786151805E-3</c:v>
                </c:pt>
                <c:pt idx="653">
                  <c:v>8.953027723390683E-3</c:v>
                </c:pt>
                <c:pt idx="654">
                  <c:v>9.000361549249547E-3</c:v>
                </c:pt>
                <c:pt idx="655">
                  <c:v>9.0512304775991481E-3</c:v>
                </c:pt>
                <c:pt idx="656">
                  <c:v>9.1018609253534777E-3</c:v>
                </c:pt>
                <c:pt idx="657">
                  <c:v>9.1522478554217912E-3</c:v>
                </c:pt>
                <c:pt idx="658">
                  <c:v>9.2023862310330884E-3</c:v>
                </c:pt>
                <c:pt idx="659">
                  <c:v>9.2522710146969445E-3</c:v>
                </c:pt>
                <c:pt idx="660">
                  <c:v>9.3018971698022312E-3</c:v>
                </c:pt>
                <c:pt idx="661">
                  <c:v>9.3512596590983321E-3</c:v>
                </c:pt>
                <c:pt idx="662">
                  <c:v>9.4003534455744386E-3</c:v>
                </c:pt>
                <c:pt idx="663">
                  <c:v>9.4491734922996784E-3</c:v>
                </c:pt>
                <c:pt idx="664">
                  <c:v>9.4977147621833069E-3</c:v>
                </c:pt>
                <c:pt idx="665">
                  <c:v>9.5459722180546436E-3</c:v>
                </c:pt>
                <c:pt idx="666">
                  <c:v>9.5939408231426881E-3</c:v>
                </c:pt>
                <c:pt idx="667">
                  <c:v>9.6416155401168879E-3</c:v>
                </c:pt>
                <c:pt idx="668">
                  <c:v>9.7024716632176933E-3</c:v>
                </c:pt>
                <c:pt idx="669">
                  <c:v>9.7494557217014943E-3</c:v>
                </c:pt>
                <c:pt idx="670">
                  <c:v>9.8064865928271239E-3</c:v>
                </c:pt>
                <c:pt idx="671">
                  <c:v>9.8424874867131251E-3</c:v>
                </c:pt>
                <c:pt idx="672">
                  <c:v>9.888526383887708E-3</c:v>
                </c:pt>
                <c:pt idx="673">
                  <c:v>9.9344520052735419E-3</c:v>
                </c:pt>
                <c:pt idx="674">
                  <c:v>9.9804247841372984E-3</c:v>
                </c:pt>
                <c:pt idx="675">
                  <c:v>1.0026445378992221E-2</c:v>
                </c:pt>
                <c:pt idx="676">
                  <c:v>1.0072514448671299E-2</c:v>
                </c:pt>
                <c:pt idx="677">
                  <c:v>1.0118632651767712E-2</c:v>
                </c:pt>
                <c:pt idx="678">
                  <c:v>1.0164800647274319E-2</c:v>
                </c:pt>
                <c:pt idx="679">
                  <c:v>1.0211019093784302E-2</c:v>
                </c:pt>
                <c:pt idx="680">
                  <c:v>1.0257288649890839E-2</c:v>
                </c:pt>
                <c:pt idx="681">
                  <c:v>1.0303609974586792E-2</c:v>
                </c:pt>
                <c:pt idx="682">
                  <c:v>1.0349983726545275E-2</c:v>
                </c:pt>
                <c:pt idx="683">
                  <c:v>1.0396410564519343E-2</c:v>
                </c:pt>
                <c:pt idx="684">
                  <c:v>1.0442891147102173E-2</c:v>
                </c:pt>
                <c:pt idx="685">
                  <c:v>1.048942613304682E-2</c:v>
                </c:pt>
                <c:pt idx="686">
                  <c:v>1.0536016181266206E-2</c:v>
                </c:pt>
                <c:pt idx="687">
                  <c:v>1.0582661950433447E-2</c:v>
                </c:pt>
                <c:pt idx="688">
                  <c:v>1.0629364099301597E-2</c:v>
                </c:pt>
                <c:pt idx="689">
                  <c:v>1.0676123286543771E-2</c:v>
                </c:pt>
                <c:pt idx="690">
                  <c:v>1.072294017091302E-2</c:v>
                </c:pt>
                <c:pt idx="691">
                  <c:v>1.0769815411242334E-2</c:v>
                </c:pt>
                <c:pt idx="692">
                  <c:v>1.0816749666204828E-2</c:v>
                </c:pt>
                <c:pt idx="693">
                  <c:v>1.0863743594473618E-2</c:v>
                </c:pt>
                <c:pt idx="694">
                  <c:v>1.0910797854961629E-2</c:v>
                </c:pt>
                <c:pt idx="695">
                  <c:v>1.0957913106262041E-2</c:v>
                </c:pt>
                <c:pt idx="696">
                  <c:v>1.1005090007207841E-2</c:v>
                </c:pt>
                <c:pt idx="697">
                  <c:v>1.1052329216472145E-2</c:v>
                </c:pt>
                <c:pt idx="698">
                  <c:v>1.1099631392887943E-2</c:v>
                </c:pt>
                <c:pt idx="699">
                  <c:v>1.114699719512835E-2</c:v>
                </c:pt>
                <c:pt idx="700">
                  <c:v>1.1194427282026354E-2</c:v>
                </c:pt>
                <c:pt idx="701">
                  <c:v>1.124192231225507E-2</c:v>
                </c:pt>
                <c:pt idx="702">
                  <c:v>1.1289482944567553E-2</c:v>
                </c:pt>
                <c:pt idx="703">
                  <c:v>1.1337109837716852E-2</c:v>
                </c:pt>
                <c:pt idx="704">
                  <c:v>1.1395574426187327E-2</c:v>
                </c:pt>
                <c:pt idx="705">
                  <c:v>1.144335493883375E-2</c:v>
                </c:pt>
                <c:pt idx="706">
                  <c:v>1.1480394669716176E-2</c:v>
                </c:pt>
                <c:pt idx="707">
                  <c:v>1.1528293193583394E-2</c:v>
                </c:pt>
                <c:pt idx="708">
                  <c:v>1.1576261272212562E-2</c:v>
                </c:pt>
                <c:pt idx="709">
                  <c:v>1.1624299564116924E-2</c:v>
                </c:pt>
                <c:pt idx="710">
                  <c:v>1.1672408728129469E-2</c:v>
                </c:pt>
                <c:pt idx="711">
                  <c:v>1.1720589423003247E-2</c:v>
                </c:pt>
                <c:pt idx="712">
                  <c:v>1.1768842307411376E-2</c:v>
                </c:pt>
                <c:pt idx="713">
                  <c:v>1.1817168040186843E-2</c:v>
                </c:pt>
                <c:pt idx="714">
                  <c:v>1.1865567280002765E-2</c:v>
                </c:pt>
                <c:pt idx="715">
                  <c:v>1.1914040685772065E-2</c:v>
                </c:pt>
                <c:pt idx="716">
                  <c:v>1.1962588916007988E-2</c:v>
                </c:pt>
                <c:pt idx="717">
                  <c:v>1.2011212629623458E-2</c:v>
                </c:pt>
                <c:pt idx="718">
                  <c:v>1.2074652281475196E-2</c:v>
                </c:pt>
                <c:pt idx="719">
                  <c:v>1.2108689141925311E-2</c:v>
                </c:pt>
                <c:pt idx="720">
                  <c:v>1.2157543258037862E-2</c:v>
                </c:pt>
                <c:pt idx="721">
                  <c:v>1.2206475492622104E-2</c:v>
                </c:pt>
                <c:pt idx="722">
                  <c:v>1.2255486504271218E-2</c:v>
                </c:pt>
                <c:pt idx="723">
                  <c:v>1.2304576951818191E-2</c:v>
                </c:pt>
                <c:pt idx="724">
                  <c:v>1.235374749393614E-2</c:v>
                </c:pt>
                <c:pt idx="725">
                  <c:v>1.2402837846998693E-2</c:v>
                </c:pt>
                <c:pt idx="726">
                  <c:v>1.2451635369581382E-2</c:v>
                </c:pt>
                <c:pt idx="727">
                  <c:v>1.2500134718198552E-2</c:v>
                </c:pt>
                <c:pt idx="728">
                  <c:v>1.2548331811155222E-2</c:v>
                </c:pt>
                <c:pt idx="729">
                  <c:v>1.2596222566596538E-2</c:v>
                </c:pt>
                <c:pt idx="730">
                  <c:v>1.2643802902827517E-2</c:v>
                </c:pt>
                <c:pt idx="731">
                  <c:v>1.2691068738153177E-2</c:v>
                </c:pt>
                <c:pt idx="732">
                  <c:v>1.2738015990638729E-2</c:v>
                </c:pt>
                <c:pt idx="733">
                  <c:v>1.2784640578669126E-2</c:v>
                </c:pt>
                <c:pt idx="734">
                  <c:v>1.2830938420389515E-2</c:v>
                </c:pt>
                <c:pt idx="735">
                  <c:v>1.2876905434104913E-2</c:v>
                </c:pt>
                <c:pt idx="736">
                  <c:v>1.2922537537960466E-2</c:v>
                </c:pt>
                <c:pt idx="737">
                  <c:v>1.2967830650181256E-2</c:v>
                </c:pt>
                <c:pt idx="738">
                  <c:v>1.3012780689152237E-2</c:v>
                </c:pt>
                <c:pt idx="739">
                  <c:v>1.3057383572938619E-2</c:v>
                </c:pt>
                <c:pt idx="740">
                  <c:v>1.3101635219765484E-2</c:v>
                </c:pt>
                <c:pt idx="741">
                  <c:v>1.3145531548017786E-2</c:v>
                </c:pt>
                <c:pt idx="742">
                  <c:v>1.3189068475760735E-2</c:v>
                </c:pt>
                <c:pt idx="743">
                  <c:v>1.3232241921299348E-2</c:v>
                </c:pt>
                <c:pt idx="744">
                  <c:v>1.3275047802858708E-2</c:v>
                </c:pt>
                <c:pt idx="745">
                  <c:v>1.3317482038583961E-2</c:v>
                </c:pt>
                <c:pt idx="746">
                  <c:v>1.3359540546780124E-2</c:v>
                </c:pt>
                <c:pt idx="747">
                  <c:v>1.3401219245512408E-2</c:v>
                </c:pt>
                <c:pt idx="748">
                  <c:v>1.3442514053325638E-2</c:v>
                </c:pt>
                <c:pt idx="749">
                  <c:v>1.3483420888045217E-2</c:v>
                </c:pt>
                <c:pt idx="750">
                  <c:v>1.3523935668136033E-2</c:v>
                </c:pt>
                <c:pt idx="751">
                  <c:v>1.3564054311743234E-2</c:v>
                </c:pt>
                <c:pt idx="752">
                  <c:v>1.3603772737171838E-2</c:v>
                </c:pt>
                <c:pt idx="753">
                  <c:v>1.3643086862487053E-2</c:v>
                </c:pt>
                <c:pt idx="754">
                  <c:v>1.3681992606073834E-2</c:v>
                </c:pt>
                <c:pt idx="755">
                  <c:v>1.3720485885997391E-2</c:v>
                </c:pt>
                <c:pt idx="756">
                  <c:v>1.3758562620562742E-2</c:v>
                </c:pt>
                <c:pt idx="757">
                  <c:v>1.3796218727915033E-2</c:v>
                </c:pt>
                <c:pt idx="758">
                  <c:v>1.3833450126279345E-2</c:v>
                </c:pt>
                <c:pt idx="759">
                  <c:v>1.3870252734040633E-2</c:v>
                </c:pt>
                <c:pt idx="760">
                  <c:v>1.3906622469104235E-2</c:v>
                </c:pt>
                <c:pt idx="761">
                  <c:v>1.3942555250014976E-2</c:v>
                </c:pt>
                <c:pt idx="762">
                  <c:v>1.3978046994678195E-2</c:v>
                </c:pt>
                <c:pt idx="763">
                  <c:v>1.4013093621558781E-2</c:v>
                </c:pt>
                <c:pt idx="764">
                  <c:v>1.4047691048721944E-2</c:v>
                </c:pt>
                <c:pt idx="765">
                  <c:v>1.4081835194552639E-2</c:v>
                </c:pt>
                <c:pt idx="766">
                  <c:v>1.4115521977036138E-2</c:v>
                </c:pt>
                <c:pt idx="767">
                  <c:v>1.4148747314477461E-2</c:v>
                </c:pt>
                <c:pt idx="768">
                  <c:v>1.4181507125181625E-2</c:v>
                </c:pt>
                <c:pt idx="769">
                  <c:v>1.4213797327133904E-2</c:v>
                </c:pt>
                <c:pt idx="770">
                  <c:v>1.4245613838879123E-2</c:v>
                </c:pt>
                <c:pt idx="771">
                  <c:v>1.4276952578482494E-2</c:v>
                </c:pt>
                <c:pt idx="772">
                  <c:v>1.4317665429476989E-2</c:v>
                </c:pt>
                <c:pt idx="773">
                  <c:v>1.4338180414004142E-2</c:v>
                </c:pt>
                <c:pt idx="774">
                  <c:v>1.4368061346292649E-2</c:v>
                </c:pt>
                <c:pt idx="775">
                  <c:v>1.4397448179339634E-2</c:v>
                </c:pt>
                <c:pt idx="776">
                  <c:v>1.4426336831370179E-2</c:v>
                </c:pt>
                <c:pt idx="777">
                  <c:v>1.4454770123011329E-2</c:v>
                </c:pt>
                <c:pt idx="778">
                  <c:v>1.4483024372351494E-2</c:v>
                </c:pt>
                <c:pt idx="779">
                  <c:v>1.4511146297380151E-2</c:v>
                </c:pt>
                <c:pt idx="780">
                  <c:v>1.4539135886746379E-2</c:v>
                </c:pt>
                <c:pt idx="781">
                  <c:v>1.4566993129019323E-2</c:v>
                </c:pt>
                <c:pt idx="782">
                  <c:v>1.4594718012848062E-2</c:v>
                </c:pt>
                <c:pt idx="783">
                  <c:v>1.4622310526801741E-2</c:v>
                </c:pt>
                <c:pt idx="784">
                  <c:v>1.4649770659529437E-2</c:v>
                </c:pt>
                <c:pt idx="785">
                  <c:v>1.4677098399600297E-2</c:v>
                </c:pt>
                <c:pt idx="786">
                  <c:v>1.4704293735743335E-2</c:v>
                </c:pt>
                <c:pt idx="787">
                  <c:v>1.4731356656367822E-2</c:v>
                </c:pt>
                <c:pt idx="788">
                  <c:v>1.4758287150282712E-2</c:v>
                </c:pt>
                <c:pt idx="789">
                  <c:v>1.4785085205977211E-2</c:v>
                </c:pt>
                <c:pt idx="790">
                  <c:v>1.4811750812180335E-2</c:v>
                </c:pt>
                <c:pt idx="791">
                  <c:v>1.4838283957381293E-2</c:v>
                </c:pt>
                <c:pt idx="792">
                  <c:v>1.48646846303091E-2</c:v>
                </c:pt>
                <c:pt idx="793">
                  <c:v>1.4890952819452963E-2</c:v>
                </c:pt>
                <c:pt idx="794">
                  <c:v>1.4917088513461962E-2</c:v>
                </c:pt>
                <c:pt idx="795">
                  <c:v>1.4943091700985178E-2</c:v>
                </c:pt>
                <c:pt idx="796">
                  <c:v>1.4968962370591754E-2</c:v>
                </c:pt>
                <c:pt idx="797">
                  <c:v>1.4994700511010706E-2</c:v>
                </c:pt>
                <c:pt idx="798">
                  <c:v>1.5020306110731241E-2</c:v>
                </c:pt>
                <c:pt idx="799">
                  <c:v>1.5045779158402439E-2</c:v>
                </c:pt>
                <c:pt idx="800">
                  <c:v>1.5071119642593445E-2</c:v>
                </c:pt>
                <c:pt idx="801">
                  <c:v>1.5096327552033273E-2</c:v>
                </c:pt>
                <c:pt idx="802">
                  <c:v>1.5121402875371004E-2</c:v>
                </c:pt>
                <c:pt idx="803">
                  <c:v>1.5146345600935973E-2</c:v>
                </c:pt>
                <c:pt idx="804">
                  <c:v>1.5171155717617069E-2</c:v>
                </c:pt>
                <c:pt idx="805">
                  <c:v>1.5195833213983434E-2</c:v>
                </c:pt>
                <c:pt idx="806">
                  <c:v>1.5220378078524277E-2</c:v>
                </c:pt>
                <c:pt idx="807">
                  <c:v>1.5244790299968614E-2</c:v>
                </c:pt>
                <c:pt idx="808">
                  <c:v>1.5269069866965523E-2</c:v>
                </c:pt>
                <c:pt idx="809">
                  <c:v>1.5293216768004214E-2</c:v>
                </c:pt>
                <c:pt idx="810">
                  <c:v>1.5317230991733766E-2</c:v>
                </c:pt>
                <c:pt idx="811">
                  <c:v>1.534111252696313E-2</c:v>
                </c:pt>
                <c:pt idx="812">
                  <c:v>1.5364861361941706E-2</c:v>
                </c:pt>
                <c:pt idx="813">
                  <c:v>1.5388477485558383E-2</c:v>
                </c:pt>
                <c:pt idx="814">
                  <c:v>1.5411960886382303E-2</c:v>
                </c:pt>
                <c:pt idx="815">
                  <c:v>1.5435311552982611E-2</c:v>
                </c:pt>
                <c:pt idx="816">
                  <c:v>1.5458529474008387E-2</c:v>
                </c:pt>
                <c:pt idx="817">
                  <c:v>1.5481614638028773E-2</c:v>
                </c:pt>
                <c:pt idx="818">
                  <c:v>1.5504567033692851E-2</c:v>
                </c:pt>
                <c:pt idx="819">
                  <c:v>1.5527386649649699E-2</c:v>
                </c:pt>
                <c:pt idx="820">
                  <c:v>1.5550073474548398E-2</c:v>
                </c:pt>
                <c:pt idx="821">
                  <c:v>1.5572627496958091E-2</c:v>
                </c:pt>
                <c:pt idx="822">
                  <c:v>1.559504870528805E-2</c:v>
                </c:pt>
                <c:pt idx="823">
                  <c:v>1.5625034255091208E-2</c:v>
                </c:pt>
                <c:pt idx="824">
                  <c:v>1.5639492635104446E-2</c:v>
                </c:pt>
                <c:pt idx="825">
                  <c:v>1.5661515333649234E-2</c:v>
                </c:pt>
                <c:pt idx="826">
                  <c:v>1.5683405172710607E-2</c:v>
                </c:pt>
                <c:pt idx="827">
                  <c:v>1.5705162141017581E-2</c:v>
                </c:pt>
                <c:pt idx="828">
                  <c:v>1.5726786227219236E-2</c:v>
                </c:pt>
                <c:pt idx="829">
                  <c:v>1.5748251525797841E-2</c:v>
                </c:pt>
                <c:pt idx="830">
                  <c:v>1.5769403326268971E-2</c:v>
                </c:pt>
                <c:pt idx="831">
                  <c:v>1.5790213839101952E-2</c:v>
                </c:pt>
                <c:pt idx="832">
                  <c:v>1.5810681085159928E-2</c:v>
                </c:pt>
                <c:pt idx="833">
                  <c:v>1.5830803085306044E-2</c:v>
                </c:pt>
                <c:pt idx="834">
                  <c:v>1.5850577860243575E-2</c:v>
                </c:pt>
                <c:pt idx="835">
                  <c:v>1.5870003430835666E-2</c:v>
                </c:pt>
                <c:pt idx="836">
                  <c:v>1.5889077818025399E-2</c:v>
                </c:pt>
                <c:pt idx="837">
                  <c:v>1.5907799042516046E-2</c:v>
                </c:pt>
                <c:pt idx="838">
                  <c:v>1.5926165125250691E-2</c:v>
                </c:pt>
                <c:pt idx="839">
                  <c:v>1.5944174087012541E-2</c:v>
                </c:pt>
                <c:pt idx="840">
                  <c:v>1.5961823948584808E-2</c:v>
                </c:pt>
                <c:pt idx="841">
                  <c:v>1.59791127307507E-2</c:v>
                </c:pt>
                <c:pt idx="842">
                  <c:v>1.5996038454533235E-2</c:v>
                </c:pt>
                <c:pt idx="843">
                  <c:v>1.6012599140635686E-2</c:v>
                </c:pt>
                <c:pt idx="844">
                  <c:v>1.60287928099212E-2</c:v>
                </c:pt>
                <c:pt idx="845">
                  <c:v>1.6044617483252921E-2</c:v>
                </c:pt>
                <c:pt idx="846">
                  <c:v>1.606007118141406E-2</c:v>
                </c:pt>
                <c:pt idx="847">
                  <c:v>1.6075151925187825E-2</c:v>
                </c:pt>
                <c:pt idx="848">
                  <c:v>1.6089857735597235E-2</c:v>
                </c:pt>
                <c:pt idx="849">
                  <c:v>1.6104186633345563E-2</c:v>
                </c:pt>
                <c:pt idx="850">
                  <c:v>1.6118136639216019E-2</c:v>
                </c:pt>
                <c:pt idx="851">
                  <c:v>1.6131705774231619E-2</c:v>
                </c:pt>
                <c:pt idx="852">
                  <c:v>1.6144892059175575E-2</c:v>
                </c:pt>
                <c:pt idx="853">
                  <c:v>1.6157693514751159E-2</c:v>
                </c:pt>
                <c:pt idx="854">
                  <c:v>1.6170108161981389E-2</c:v>
                </c:pt>
                <c:pt idx="855">
                  <c:v>1.6182134021489603E-2</c:v>
                </c:pt>
                <c:pt idx="856">
                  <c:v>1.6193769114378753E-2</c:v>
                </c:pt>
                <c:pt idx="857">
                  <c:v>1.6205011461352115E-2</c:v>
                </c:pt>
                <c:pt idx="858">
                  <c:v>1.6215859083272832E-2</c:v>
                </c:pt>
                <c:pt idx="859">
                  <c:v>1.6226310001083988E-2</c:v>
                </c:pt>
                <c:pt idx="860">
                  <c:v>1.6236362235408919E-2</c:v>
                </c:pt>
                <c:pt idx="861">
                  <c:v>1.6250458382978117E-2</c:v>
                </c:pt>
                <c:pt idx="862">
                  <c:v>1.6258562526081377E-2</c:v>
                </c:pt>
                <c:pt idx="863">
                  <c:v>1.6267291641192116E-2</c:v>
                </c:pt>
                <c:pt idx="864">
                  <c:v>1.6275613554510571E-2</c:v>
                </c:pt>
                <c:pt idx="865">
                  <c:v>1.6283526286686723E-2</c:v>
                </c:pt>
                <c:pt idx="866">
                  <c:v>1.6291027858290619E-2</c:v>
                </c:pt>
                <c:pt idx="867">
                  <c:v>1.6298116289972242E-2</c:v>
                </c:pt>
                <c:pt idx="868">
                  <c:v>1.6304789602328285E-2</c:v>
                </c:pt>
                <c:pt idx="869">
                  <c:v>1.631104581606202E-2</c:v>
                </c:pt>
                <c:pt idx="870">
                  <c:v>1.6316882951743494E-2</c:v>
                </c:pt>
                <c:pt idx="871">
                  <c:v>1.6322299030075982E-2</c:v>
                </c:pt>
                <c:pt idx="872">
                  <c:v>1.6327292071656174E-2</c:v>
                </c:pt>
                <c:pt idx="873">
                  <c:v>1.63318600971607E-2</c:v>
                </c:pt>
                <c:pt idx="874">
                  <c:v>1.6336906190090872E-2</c:v>
                </c:pt>
                <c:pt idx="875">
                  <c:v>1.6339713182542681E-2</c:v>
                </c:pt>
                <c:pt idx="876">
                  <c:v>1.6342994283746748E-2</c:v>
                </c:pt>
                <c:pt idx="877">
                  <c:v>1.6345842451555015E-2</c:v>
                </c:pt>
                <c:pt idx="878">
                  <c:v>1.6348255706564174E-2</c:v>
                </c:pt>
                <c:pt idx="879">
                  <c:v>1.6349976639933317E-2</c:v>
                </c:pt>
                <c:pt idx="880">
                  <c:v>1.6351388261313105E-2</c:v>
                </c:pt>
                <c:pt idx="881">
                  <c:v>1.6352654606821559E-2</c:v>
                </c:pt>
                <c:pt idx="882">
                  <c:v>1.6354164329888121E-2</c:v>
                </c:pt>
                <c:pt idx="883">
                  <c:v>1.6355923597739519E-2</c:v>
                </c:pt>
                <c:pt idx="884">
                  <c:v>1.635793625330173E-2</c:v>
                </c:pt>
                <c:pt idx="885">
                  <c:v>1.6360206139180988E-2</c:v>
                </c:pt>
                <c:pt idx="886">
                  <c:v>1.6362737098063462E-2</c:v>
                </c:pt>
                <c:pt idx="887">
                  <c:v>1.6365532972795194E-2</c:v>
                </c:pt>
                <c:pt idx="888">
                  <c:v>1.6368597606142288E-2</c:v>
                </c:pt>
                <c:pt idx="889">
                  <c:v>1.6371934840631042E-2</c:v>
                </c:pt>
                <c:pt idx="890">
                  <c:v>1.6375548519347305E-2</c:v>
                </c:pt>
                <c:pt idx="891">
                  <c:v>1.6379442484657503E-2</c:v>
                </c:pt>
                <c:pt idx="892">
                  <c:v>1.6383620579647484E-2</c:v>
                </c:pt>
                <c:pt idx="893">
                  <c:v>1.6388086646843547E-2</c:v>
                </c:pt>
                <c:pt idx="894">
                  <c:v>1.6392844529011796E-2</c:v>
                </c:pt>
                <c:pt idx="895">
                  <c:v>1.6397898068918337E-2</c:v>
                </c:pt>
                <c:pt idx="896">
                  <c:v>1.6403251109329275E-2</c:v>
                </c:pt>
                <c:pt idx="897">
                  <c:v>1.6408907493010716E-2</c:v>
                </c:pt>
                <c:pt idx="898">
                  <c:v>1.6414871062728764E-2</c:v>
                </c:pt>
                <c:pt idx="899">
                  <c:v>1.6421145661089653E-2</c:v>
                </c:pt>
                <c:pt idx="900">
                  <c:v>1.6427735130939425E-2</c:v>
                </c:pt>
                <c:pt idx="901">
                  <c:v>1.6434643315044184E-2</c:v>
                </c:pt>
                <c:pt idx="902">
                  <c:v>1.6441874056170036E-2</c:v>
                </c:pt>
                <c:pt idx="903">
                  <c:v>1.644943119700315E-2</c:v>
                </c:pt>
                <c:pt idx="904">
                  <c:v>1.6457318580309632E-2</c:v>
                </c:pt>
                <c:pt idx="905">
                  <c:v>1.6465540048855587E-2</c:v>
                </c:pt>
                <c:pt idx="906">
                  <c:v>1.647409944540712E-2</c:v>
                </c:pt>
                <c:pt idx="907">
                  <c:v>1.6483000612810272E-2</c:v>
                </c:pt>
                <c:pt idx="908">
                  <c:v>1.6492247393671278E-2</c:v>
                </c:pt>
                <c:pt idx="909">
                  <c:v>1.6501843630756241E-2</c:v>
                </c:pt>
                <c:pt idx="910">
                  <c:v>1.6511793166911204E-2</c:v>
                </c:pt>
                <c:pt idx="911">
                  <c:v>1.6522099844902272E-2</c:v>
                </c:pt>
                <c:pt idx="912">
                  <c:v>1.6532767507575485E-2</c:v>
                </c:pt>
                <c:pt idx="913">
                  <c:v>1.6546593124826536E-2</c:v>
                </c:pt>
                <c:pt idx="914">
                  <c:v>1.655686021412528E-2</c:v>
                </c:pt>
                <c:pt idx="915">
                  <c:v>1.656868741686246E-2</c:v>
                </c:pt>
                <c:pt idx="916">
                  <c:v>1.6580891524107244E-2</c:v>
                </c:pt>
                <c:pt idx="917">
                  <c:v>1.6593476378865546E-2</c:v>
                </c:pt>
                <c:pt idx="918">
                  <c:v>1.6606445823743599E-2</c:v>
                </c:pt>
                <c:pt idx="919">
                  <c:v>1.6619803701587443E-2</c:v>
                </c:pt>
                <c:pt idx="920">
                  <c:v>1.6633553855003314E-2</c:v>
                </c:pt>
                <c:pt idx="921">
                  <c:v>1.6647700127156995E-2</c:v>
                </c:pt>
                <c:pt idx="922">
                  <c:v>1.6662246360334976E-2</c:v>
                </c:pt>
                <c:pt idx="923">
                  <c:v>1.6677196397703042E-2</c:v>
                </c:pt>
                <c:pt idx="924">
                  <c:v>1.6692554081947364E-2</c:v>
                </c:pt>
                <c:pt idx="925">
                  <c:v>1.6708323255754109E-2</c:v>
                </c:pt>
                <c:pt idx="926">
                  <c:v>1.6724507762049257E-2</c:v>
                </c:pt>
                <c:pt idx="927">
                  <c:v>1.6741111443598911E-2</c:v>
                </c:pt>
                <c:pt idx="928">
                  <c:v>1.6758138143009305E-2</c:v>
                </c:pt>
                <c:pt idx="929">
                  <c:v>1.678065737572787E-2</c:v>
                </c:pt>
                <c:pt idx="930">
                  <c:v>1.6804677749391317E-2</c:v>
                </c:pt>
                <c:pt idx="931">
                  <c:v>1.6817109075946135E-2</c:v>
                </c:pt>
                <c:pt idx="932">
                  <c:v>1.6835977838818295E-2</c:v>
                </c:pt>
                <c:pt idx="933">
                  <c:v>1.6854871306648533E-2</c:v>
                </c:pt>
                <c:pt idx="934">
                  <c:v>1.6873602022347001E-2</c:v>
                </c:pt>
                <c:pt idx="935">
                  <c:v>1.6892169196784934E-2</c:v>
                </c:pt>
                <c:pt idx="936">
                  <c:v>1.6910572040673699E-2</c:v>
                </c:pt>
                <c:pt idx="937">
                  <c:v>1.6928809764884534E-2</c:v>
                </c:pt>
                <c:pt idx="938">
                  <c:v>1.6946881580208739E-2</c:v>
                </c:pt>
                <c:pt idx="939">
                  <c:v>1.6964786697357681E-2</c:v>
                </c:pt>
                <c:pt idx="940">
                  <c:v>1.6982524327202597E-2</c:v>
                </c:pt>
                <c:pt idx="941">
                  <c:v>1.7000093680534789E-2</c:v>
                </c:pt>
                <c:pt idx="942">
                  <c:v>1.7017493968065622E-2</c:v>
                </c:pt>
                <c:pt idx="943">
                  <c:v>1.7034724400666335E-2</c:v>
                </c:pt>
                <c:pt idx="944">
                  <c:v>1.7051784189048291E-2</c:v>
                </c:pt>
                <c:pt idx="945">
                  <c:v>1.706867254408273E-2</c:v>
                </c:pt>
                <c:pt idx="946">
                  <c:v>1.7085388676481017E-2</c:v>
                </c:pt>
                <c:pt idx="947">
                  <c:v>1.7101931797114389E-2</c:v>
                </c:pt>
                <c:pt idx="948">
                  <c:v>1.7118301116694212E-2</c:v>
                </c:pt>
                <c:pt idx="949">
                  <c:v>1.7134495846091724E-2</c:v>
                </c:pt>
                <c:pt idx="950">
                  <c:v>1.7150515196098226E-2</c:v>
                </c:pt>
                <c:pt idx="951">
                  <c:v>1.716635837750502E-2</c:v>
                </c:pt>
                <c:pt idx="952">
                  <c:v>1.7182024601023471E-2</c:v>
                </c:pt>
                <c:pt idx="953">
                  <c:v>1.7197513077524818E-2</c:v>
                </c:pt>
                <c:pt idx="954">
                  <c:v>1.7212823017800361E-2</c:v>
                </c:pt>
                <c:pt idx="955">
                  <c:v>1.7227953632561466E-2</c:v>
                </c:pt>
                <c:pt idx="956">
                  <c:v>1.7242904132679371E-2</c:v>
                </c:pt>
                <c:pt idx="957">
                  <c:v>1.7257673728945377E-2</c:v>
                </c:pt>
                <c:pt idx="958">
                  <c:v>1.7272261632150787E-2</c:v>
                </c:pt>
                <c:pt idx="959">
                  <c:v>1.7286667053006965E-2</c:v>
                </c:pt>
                <c:pt idx="960">
                  <c:v>1.730088920238515E-2</c:v>
                </c:pt>
                <c:pt idx="961">
                  <c:v>1.7314927291076643E-2</c:v>
                </c:pt>
                <c:pt idx="962">
                  <c:v>1.7328780529872745E-2</c:v>
                </c:pt>
                <c:pt idx="963">
                  <c:v>1.7342448129644694E-2</c:v>
                </c:pt>
                <c:pt idx="964">
                  <c:v>1.7363548821238695E-2</c:v>
                </c:pt>
                <c:pt idx="965">
                  <c:v>1.7373824153636974E-2</c:v>
                </c:pt>
                <c:pt idx="966">
                  <c:v>1.7382329201929281E-2</c:v>
                </c:pt>
                <c:pt idx="967">
                  <c:v>1.7395246353117955E-2</c:v>
                </c:pt>
                <c:pt idx="968">
                  <c:v>1.7407973919159048E-2</c:v>
                </c:pt>
                <c:pt idx="969">
                  <c:v>1.7420511110843862E-2</c:v>
                </c:pt>
                <c:pt idx="970">
                  <c:v>1.7432857138963698E-2</c:v>
                </c:pt>
                <c:pt idx="971">
                  <c:v>1.7445011214389794E-2</c:v>
                </c:pt>
                <c:pt idx="972">
                  <c:v>1.7456972547833516E-2</c:v>
                </c:pt>
                <c:pt idx="973">
                  <c:v>1.7468740350166101E-2</c:v>
                </c:pt>
                <c:pt idx="974">
                  <c:v>1.7480313832018979E-2</c:v>
                </c:pt>
                <c:pt idx="975">
                  <c:v>1.7491692204423259E-2</c:v>
                </c:pt>
                <c:pt idx="976">
                  <c:v>1.7502874677930436E-2</c:v>
                </c:pt>
                <c:pt idx="977">
                  <c:v>1.7513860463571618E-2</c:v>
                </c:pt>
                <c:pt idx="978">
                  <c:v>1.7529397573714078E-2</c:v>
                </c:pt>
                <c:pt idx="979">
                  <c:v>1.7535238813941589E-2</c:v>
                </c:pt>
                <c:pt idx="980">
                  <c:v>1.7545629800412854E-2</c:v>
                </c:pt>
                <c:pt idx="981">
                  <c:v>1.7555820942103395E-2</c:v>
                </c:pt>
                <c:pt idx="982">
                  <c:v>1.7569209531060892E-2</c:v>
                </c:pt>
                <c:pt idx="983">
                  <c:v>1.7575600534227576E-2</c:v>
                </c:pt>
                <c:pt idx="984">
                  <c:v>1.7585187406323755E-2</c:v>
                </c:pt>
                <c:pt idx="985">
                  <c:v>1.7594571276804416E-2</c:v>
                </c:pt>
                <c:pt idx="986">
                  <c:v>1.7603751356460862E-2</c:v>
                </c:pt>
                <c:pt idx="987">
                  <c:v>1.7612726856164329E-2</c:v>
                </c:pt>
                <c:pt idx="988">
                  <c:v>1.7621496986626184E-2</c:v>
                </c:pt>
                <c:pt idx="989">
                  <c:v>1.7630060958717664E-2</c:v>
                </c:pt>
                <c:pt idx="990">
                  <c:v>1.763841798323007E-2</c:v>
                </c:pt>
                <c:pt idx="991">
                  <c:v>1.7646567271034641E-2</c:v>
                </c:pt>
                <c:pt idx="992">
                  <c:v>1.7654508032602934E-2</c:v>
                </c:pt>
                <c:pt idx="993">
                  <c:v>1.766223947912593E-2</c:v>
                </c:pt>
                <c:pt idx="994">
                  <c:v>1.7669760821235059E-2</c:v>
                </c:pt>
                <c:pt idx="995">
                  <c:v>1.7677071269721623E-2</c:v>
                </c:pt>
                <c:pt idx="996">
                  <c:v>1.7684170035456859E-2</c:v>
                </c:pt>
                <c:pt idx="997">
                  <c:v>1.7691056329232069E-2</c:v>
                </c:pt>
                <c:pt idx="998">
                  <c:v>1.7697729361758618E-2</c:v>
                </c:pt>
                <c:pt idx="999">
                  <c:v>1.7704188343907745E-2</c:v>
                </c:pt>
                <c:pt idx="1000">
                  <c:v>1.7710432486470751E-2</c:v>
                </c:pt>
                <c:pt idx="1001">
                  <c:v>1.7716461000238937E-2</c:v>
                </c:pt>
                <c:pt idx="1002">
                  <c:v>1.7722273096083541E-2</c:v>
                </c:pt>
                <c:pt idx="1003">
                  <c:v>1.7727867984715928E-2</c:v>
                </c:pt>
                <c:pt idx="1004">
                  <c:v>1.7733244876927401E-2</c:v>
                </c:pt>
                <c:pt idx="1005">
                  <c:v>1.7738402983669133E-2</c:v>
                </c:pt>
                <c:pt idx="1006">
                  <c:v>1.7743341515572553E-2</c:v>
                </c:pt>
                <c:pt idx="1007">
                  <c:v>1.7748059683588835E-2</c:v>
                </c:pt>
                <c:pt idx="1008">
                  <c:v>1.7752556698429345E-2</c:v>
                </c:pt>
                <c:pt idx="1009">
                  <c:v>1.775683177096532E-2</c:v>
                </c:pt>
                <c:pt idx="1010">
                  <c:v>1.7760884111908126E-2</c:v>
                </c:pt>
                <c:pt idx="1011">
                  <c:v>1.7764712932129001E-2</c:v>
                </c:pt>
                <c:pt idx="1012">
                  <c:v>1.7768317442499182E-2</c:v>
                </c:pt>
                <c:pt idx="1013">
                  <c:v>1.7771696853650099E-2</c:v>
                </c:pt>
                <c:pt idx="1014">
                  <c:v>1.7774850376532925E-2</c:v>
                </c:pt>
                <c:pt idx="1015">
                  <c:v>1.7777777221938962E-2</c:v>
                </c:pt>
                <c:pt idx="1016">
                  <c:v>1.7782339852172591E-2</c:v>
                </c:pt>
                <c:pt idx="1017">
                  <c:v>1.7784762309227542E-2</c:v>
                </c:pt>
                <c:pt idx="1018">
                  <c:v>1.778518980112942E-2</c:v>
                </c:pt>
                <c:pt idx="1019">
                  <c:v>1.7787202044621253E-2</c:v>
                </c:pt>
                <c:pt idx="1020">
                  <c:v>1.7788983664752678E-2</c:v>
                </c:pt>
                <c:pt idx="1021">
                  <c:v>1.7790533872155123E-2</c:v>
                </c:pt>
                <c:pt idx="1022">
                  <c:v>1.7791851877699827E-2</c:v>
                </c:pt>
                <c:pt idx="1023">
                  <c:v>1.7792936892178091E-2</c:v>
                </c:pt>
                <c:pt idx="1024">
                  <c:v>1.7793788126541088E-2</c:v>
                </c:pt>
                <c:pt idx="1025">
                  <c:v>1.7794404791500185E-2</c:v>
                </c:pt>
                <c:pt idx="1026">
                  <c:v>1.7794786097926618E-2</c:v>
                </c:pt>
                <c:pt idx="1027">
                  <c:v>1.7794931256531754E-2</c:v>
                </c:pt>
                <c:pt idx="1028">
                  <c:v>1.779483947818683E-2</c:v>
                </c:pt>
                <c:pt idx="1029">
                  <c:v>1.779612637822936E-2</c:v>
                </c:pt>
                <c:pt idx="1030">
                  <c:v>1.7793941953971881E-2</c:v>
                </c:pt>
                <c:pt idx="1031">
                  <c:v>1.7793134629604523E-2</c:v>
                </c:pt>
                <c:pt idx="1032">
                  <c:v>1.7792087211612184E-2</c:v>
                </c:pt>
                <c:pt idx="1033">
                  <c:v>1.7790798910786165E-2</c:v>
                </c:pt>
                <c:pt idx="1034">
                  <c:v>1.7789268937837832E-2</c:v>
                </c:pt>
                <c:pt idx="1035">
                  <c:v>1.7787496503638422E-2</c:v>
                </c:pt>
                <c:pt idx="1036">
                  <c:v>1.778548081913911E-2</c:v>
                </c:pt>
                <c:pt idx="1037">
                  <c:v>1.7783305095617763E-2</c:v>
                </c:pt>
                <c:pt idx="1038">
                  <c:v>1.77810791076638E-2</c:v>
                </c:pt>
                <c:pt idx="1039">
                  <c:v>1.7778803965908807E-2</c:v>
                </c:pt>
                <c:pt idx="1040">
                  <c:v>1.7776480120792471E-2</c:v>
                </c:pt>
                <c:pt idx="1041">
                  <c:v>1.777410802307422E-2</c:v>
                </c:pt>
                <c:pt idx="1042">
                  <c:v>1.7771688123353613E-2</c:v>
                </c:pt>
                <c:pt idx="1043">
                  <c:v>1.7769220872230207E-2</c:v>
                </c:pt>
                <c:pt idx="1044">
                  <c:v>1.776670672030356E-2</c:v>
                </c:pt>
                <c:pt idx="1045">
                  <c:v>1.776414611817323E-2</c:v>
                </c:pt>
                <c:pt idx="1046">
                  <c:v>1.7761539516358837E-2</c:v>
                </c:pt>
                <c:pt idx="1047">
                  <c:v>1.7758887365779685E-2</c:v>
                </c:pt>
                <c:pt idx="1048">
                  <c:v>1.7756190116875459E-2</c:v>
                </c:pt>
                <c:pt idx="1049">
                  <c:v>1.775344822016578E-2</c:v>
                </c:pt>
                <c:pt idx="1050">
                  <c:v>1.7750662126410077E-2</c:v>
                </c:pt>
                <c:pt idx="1051">
                  <c:v>1.7747832286127974E-2</c:v>
                </c:pt>
                <c:pt idx="1052">
                  <c:v>1.7744959149998962E-2</c:v>
                </c:pt>
                <c:pt idx="1053">
                  <c:v>1.7742043168542665E-2</c:v>
                </c:pt>
                <c:pt idx="1054">
                  <c:v>1.7739084792518511E-2</c:v>
                </c:pt>
                <c:pt idx="1055">
                  <c:v>1.7736084472446123E-2</c:v>
                </c:pt>
                <c:pt idx="1056">
                  <c:v>1.773304265908493E-2</c:v>
                </c:pt>
                <c:pt idx="1057">
                  <c:v>1.7729959802874617E-2</c:v>
                </c:pt>
                <c:pt idx="1058">
                  <c:v>1.7726836354414743E-2</c:v>
                </c:pt>
                <c:pt idx="1059">
                  <c:v>1.7723672764384801E-2</c:v>
                </c:pt>
                <c:pt idx="1060">
                  <c:v>1.7720469483464285E-2</c:v>
                </c:pt>
                <c:pt idx="1061">
                  <c:v>1.7717226962252752E-2</c:v>
                </c:pt>
                <c:pt idx="1062">
                  <c:v>1.7713945651269825E-2</c:v>
                </c:pt>
                <c:pt idx="1063">
                  <c:v>1.7710626001194996E-2</c:v>
                </c:pt>
                <c:pt idx="1064">
                  <c:v>1.7707268462707759E-2</c:v>
                </c:pt>
                <c:pt idx="1065">
                  <c:v>1.7703873486327737E-2</c:v>
                </c:pt>
                <c:pt idx="1066">
                  <c:v>1.770044152257455E-2</c:v>
                </c:pt>
                <c:pt idx="1067">
                  <c:v>1.7696973022367501E-2</c:v>
                </c:pt>
                <c:pt idx="1068">
                  <c:v>1.7693468435986404E-2</c:v>
                </c:pt>
                <c:pt idx="1069">
                  <c:v>1.7689928214350559E-2</c:v>
                </c:pt>
                <c:pt idx="1070">
                  <c:v>1.7686352807819716E-2</c:v>
                </c:pt>
                <c:pt idx="1071">
                  <c:v>1.7682742667153306E-2</c:v>
                </c:pt>
                <c:pt idx="1072">
                  <c:v>1.7679098243030822E-2</c:v>
                </c:pt>
                <c:pt idx="1073">
                  <c:v>1.7675419985891949E-2</c:v>
                </c:pt>
                <c:pt idx="1074">
                  <c:v>1.7671708346336246E-2</c:v>
                </c:pt>
                <c:pt idx="1075">
                  <c:v>1.7667963775203077E-2</c:v>
                </c:pt>
                <c:pt idx="1076">
                  <c:v>1.7664186722852193E-2</c:v>
                </c:pt>
                <c:pt idx="1077">
                  <c:v>1.766037764012296E-2</c:v>
                </c:pt>
                <c:pt idx="1078">
                  <c:v>1.7656536977534998E-2</c:v>
                </c:pt>
                <c:pt idx="1079">
                  <c:v>1.765266518560793E-2</c:v>
                </c:pt>
                <c:pt idx="1080">
                  <c:v>1.7648762715181121E-2</c:v>
                </c:pt>
                <c:pt idx="1081">
                  <c:v>1.7644830016694257E-2</c:v>
                </c:pt>
                <c:pt idx="1082">
                  <c:v>1.7640867540746896E-2</c:v>
                </c:pt>
                <c:pt idx="1083">
                  <c:v>1.7636875738098468E-2</c:v>
                </c:pt>
                <c:pt idx="1084">
                  <c:v>1.763342765392828E-2</c:v>
                </c:pt>
                <c:pt idx="1085">
                  <c:v>1.762880595485683E-2</c:v>
                </c:pt>
                <c:pt idx="1086">
                  <c:v>1.7624728875542672E-2</c:v>
                </c:pt>
                <c:pt idx="1087">
                  <c:v>1.7620624271925678E-2</c:v>
                </c:pt>
                <c:pt idx="1088">
                  <c:v>1.7616492594525468E-2</c:v>
                </c:pt>
                <c:pt idx="1089">
                  <c:v>1.7612334294101473E-2</c:v>
                </c:pt>
                <c:pt idx="1090">
                  <c:v>1.7608149821173313E-2</c:v>
                </c:pt>
                <c:pt idx="1091">
                  <c:v>1.7603939626340548E-2</c:v>
                </c:pt>
                <c:pt idx="1092">
                  <c:v>1.759970416028267E-2</c:v>
                </c:pt>
                <c:pt idx="1093">
                  <c:v>1.7595443873679173E-2</c:v>
                </c:pt>
                <c:pt idx="1094">
                  <c:v>1.7591159216969743E-2</c:v>
                </c:pt>
                <c:pt idx="1095">
                  <c:v>1.7586850640913809E-2</c:v>
                </c:pt>
                <c:pt idx="1096">
                  <c:v>1.758251859611093E-2</c:v>
                </c:pt>
                <c:pt idx="1097">
                  <c:v>1.7578163533080726E-2</c:v>
                </c:pt>
                <c:pt idx="1098">
                  <c:v>1.7573785902502692E-2</c:v>
                </c:pt>
                <c:pt idx="1099">
                  <c:v>1.7569386154976385E-2</c:v>
                </c:pt>
                <c:pt idx="1100">
                  <c:v>1.7564964741181299E-2</c:v>
                </c:pt>
                <c:pt idx="1101">
                  <c:v>1.7560522111637056E-2</c:v>
                </c:pt>
                <c:pt idx="1102">
                  <c:v>1.7556058717023149E-2</c:v>
                </c:pt>
                <c:pt idx="1103">
                  <c:v>1.7551575007939135E-2</c:v>
                </c:pt>
                <c:pt idx="1104">
                  <c:v>1.7547071434984574E-2</c:v>
                </c:pt>
                <c:pt idx="1105">
                  <c:v>1.7542548448838957E-2</c:v>
                </c:pt>
                <c:pt idx="1106">
                  <c:v>1.7538006499941972E-2</c:v>
                </c:pt>
                <c:pt idx="1107">
                  <c:v>1.7533446039132983E-2</c:v>
                </c:pt>
                <c:pt idx="1108">
                  <c:v>1.7528867516851676E-2</c:v>
                </c:pt>
                <c:pt idx="1109">
                  <c:v>1.7524271383857482E-2</c:v>
                </c:pt>
                <c:pt idx="1110">
                  <c:v>1.7519658090670021E-2</c:v>
                </c:pt>
                <c:pt idx="1111">
                  <c:v>1.7515028087888851E-2</c:v>
                </c:pt>
                <c:pt idx="1112">
                  <c:v>1.7510381826193466E-2</c:v>
                </c:pt>
                <c:pt idx="1113">
                  <c:v>1.750571975626336E-2</c:v>
                </c:pt>
                <c:pt idx="1114">
                  <c:v>1.7501042328538219E-2</c:v>
                </c:pt>
                <c:pt idx="1115">
                  <c:v>1.7496349993697535E-2</c:v>
                </c:pt>
                <c:pt idx="1116">
                  <c:v>1.7491643202420804E-2</c:v>
                </c:pt>
                <c:pt idx="1117">
                  <c:v>1.7486922405227645E-2</c:v>
                </c:pt>
                <c:pt idx="1118">
                  <c:v>1.748218805287749E-2</c:v>
                </c:pt>
                <c:pt idx="1119">
                  <c:v>1.7477440595810023E-2</c:v>
                </c:pt>
                <c:pt idx="1120">
                  <c:v>1.7472680484784675E-2</c:v>
                </c:pt>
                <c:pt idx="1121">
                  <c:v>1.7467471911252197E-2</c:v>
                </c:pt>
                <c:pt idx="1122">
                  <c:v>1.7462602049018727E-2</c:v>
                </c:pt>
                <c:pt idx="1123">
                  <c:v>1.7457803070763944E-2</c:v>
                </c:pt>
                <c:pt idx="1124">
                  <c:v>1.7452993368820557E-2</c:v>
                </c:pt>
                <c:pt idx="1125">
                  <c:v>1.744817339381477E-2</c:v>
                </c:pt>
                <c:pt idx="1126">
                  <c:v>1.7443343596372785E-2</c:v>
                </c:pt>
                <c:pt idx="1127">
                  <c:v>1.7438504427200741E-2</c:v>
                </c:pt>
                <c:pt idx="1128">
                  <c:v>1.7433656336924841E-2</c:v>
                </c:pt>
                <c:pt idx="1129">
                  <c:v>1.7428799776251225E-2</c:v>
                </c:pt>
                <c:pt idx="1130">
                  <c:v>1.7423935195806095E-2</c:v>
                </c:pt>
                <c:pt idx="1131">
                  <c:v>1.74190630462423E-2</c:v>
                </c:pt>
                <c:pt idx="1132">
                  <c:v>1.7414183778186043E-2</c:v>
                </c:pt>
                <c:pt idx="1133">
                  <c:v>1.7409297842423399E-2</c:v>
                </c:pt>
                <c:pt idx="1134">
                  <c:v>1.740146614356064E-2</c:v>
                </c:pt>
                <c:pt idx="1135">
                  <c:v>1.7399507770043954E-2</c:v>
                </c:pt>
                <c:pt idx="1136">
                  <c:v>1.739460453478614E-2</c:v>
                </c:pt>
                <c:pt idx="1137">
                  <c:v>1.7389696434380042E-2</c:v>
                </c:pt>
                <c:pt idx="1138">
                  <c:v>1.7384783919478508E-2</c:v>
                </c:pt>
                <c:pt idx="1139">
                  <c:v>1.7379867440707741E-2</c:v>
                </c:pt>
                <c:pt idx="1140">
                  <c:v>1.7374947448827172E-2</c:v>
                </c:pt>
                <c:pt idx="1141">
                  <c:v>1.737002439435642E-2</c:v>
                </c:pt>
                <c:pt idx="1142">
                  <c:v>1.7365098728028272E-2</c:v>
                </c:pt>
                <c:pt idx="1143">
                  <c:v>1.736017090052222E-2</c:v>
                </c:pt>
                <c:pt idx="1144">
                  <c:v>1.7355241362411178E-2</c:v>
                </c:pt>
                <c:pt idx="1145">
                  <c:v>1.7350310564427929E-2</c:v>
                </c:pt>
                <c:pt idx="1146">
                  <c:v>1.7345378957251967E-2</c:v>
                </c:pt>
                <c:pt idx="1147">
                  <c:v>1.7340446991456204E-2</c:v>
                </c:pt>
                <c:pt idx="1148">
                  <c:v>1.733551511774678E-2</c:v>
                </c:pt>
                <c:pt idx="1149">
                  <c:v>1.7330583786749898E-2</c:v>
                </c:pt>
                <c:pt idx="1150">
                  <c:v>1.7325653449198342E-2</c:v>
                </c:pt>
                <c:pt idx="1151">
                  <c:v>1.7320724555665024E-2</c:v>
                </c:pt>
                <c:pt idx="1152">
                  <c:v>1.7315797556856083E-2</c:v>
                </c:pt>
                <c:pt idx="1153">
                  <c:v>1.7310872903397723E-2</c:v>
                </c:pt>
                <c:pt idx="1154">
                  <c:v>1.7305951045942791E-2</c:v>
                </c:pt>
                <c:pt idx="1155">
                  <c:v>1.7301032435197428E-2</c:v>
                </c:pt>
                <c:pt idx="1156">
                  <c:v>1.7296117521787835E-2</c:v>
                </c:pt>
                <c:pt idx="1157">
                  <c:v>1.7291206756393507E-2</c:v>
                </c:pt>
                <c:pt idx="1158">
                  <c:v>1.7286300589614001E-2</c:v>
                </c:pt>
                <c:pt idx="1159">
                  <c:v>1.7281399472155456E-2</c:v>
                </c:pt>
                <c:pt idx="1160">
                  <c:v>1.7276503854670722E-2</c:v>
                </c:pt>
                <c:pt idx="1161">
                  <c:v>1.7271614187812645E-2</c:v>
                </c:pt>
                <c:pt idx="1162">
                  <c:v>1.7266730922234075E-2</c:v>
                </c:pt>
                <c:pt idx="1163">
                  <c:v>1.7261854508561214E-2</c:v>
                </c:pt>
                <c:pt idx="1164">
                  <c:v>1.7256985397500202E-2</c:v>
                </c:pt>
                <c:pt idx="1165">
                  <c:v>1.7252124039677241E-2</c:v>
                </c:pt>
                <c:pt idx="1166">
                  <c:v>1.7247270885771826E-2</c:v>
                </c:pt>
                <c:pt idx="1167">
                  <c:v>1.7242426386436804E-2</c:v>
                </c:pt>
                <c:pt idx="1168">
                  <c:v>1.7237590992298379E-2</c:v>
                </c:pt>
                <c:pt idx="1169">
                  <c:v>1.72327651540094E-2</c:v>
                </c:pt>
                <c:pt idx="1170">
                  <c:v>1.7227949322276004E-2</c:v>
                </c:pt>
                <c:pt idx="1171">
                  <c:v>1.7223143947724395E-2</c:v>
                </c:pt>
                <c:pt idx="1172">
                  <c:v>1.7218349481007422E-2</c:v>
                </c:pt>
                <c:pt idx="1173">
                  <c:v>1.7211449477958496E-2</c:v>
                </c:pt>
                <c:pt idx="1174">
                  <c:v>1.7206611570523833E-2</c:v>
                </c:pt>
                <c:pt idx="1175">
                  <c:v>1.7201856568211937E-2</c:v>
                </c:pt>
                <c:pt idx="1176">
                  <c:v>1.7197114403870728E-2</c:v>
                </c:pt>
                <c:pt idx="1177">
                  <c:v>1.7192385528019827E-2</c:v>
                </c:pt>
                <c:pt idx="1178">
                  <c:v>1.7187670391098919E-2</c:v>
                </c:pt>
                <c:pt idx="1179">
                  <c:v>1.7182969444107243E-2</c:v>
                </c:pt>
                <c:pt idx="1180">
                  <c:v>1.7178283137324613E-2</c:v>
                </c:pt>
                <c:pt idx="1181">
                  <c:v>1.7173611921430521E-2</c:v>
                </c:pt>
                <c:pt idx="1182">
                  <c:v>1.7168956247264333E-2</c:v>
                </c:pt>
                <c:pt idx="1183">
                  <c:v>1.7164316565105864E-2</c:v>
                </c:pt>
                <c:pt idx="1184">
                  <c:v>1.7159693325714542E-2</c:v>
                </c:pt>
                <c:pt idx="1185">
                  <c:v>1.7155086979769862E-2</c:v>
                </c:pt>
                <c:pt idx="1186">
                  <c:v>1.7150497977791446E-2</c:v>
                </c:pt>
                <c:pt idx="1187">
                  <c:v>1.7145926770458786E-2</c:v>
                </c:pt>
                <c:pt idx="1188">
                  <c:v>1.7141373808371441E-2</c:v>
                </c:pt>
                <c:pt idx="1189">
                  <c:v>1.7135547534508078E-2</c:v>
                </c:pt>
                <c:pt idx="1190">
                  <c:v>1.7132324422330925E-2</c:v>
                </c:pt>
                <c:pt idx="1191">
                  <c:v>1.7127828899576869E-2</c:v>
                </c:pt>
                <c:pt idx="1192">
                  <c:v>1.7123353424706167E-2</c:v>
                </c:pt>
                <c:pt idx="1193">
                  <c:v>1.7118874688044627E-2</c:v>
                </c:pt>
                <c:pt idx="1194">
                  <c:v>1.7114361910692821E-2</c:v>
                </c:pt>
                <c:pt idx="1195">
                  <c:v>1.7109815075624368E-2</c:v>
                </c:pt>
                <c:pt idx="1196">
                  <c:v>1.7105234352943199E-2</c:v>
                </c:pt>
                <c:pt idx="1197">
                  <c:v>1.7100619912673309E-2</c:v>
                </c:pt>
                <c:pt idx="1198">
                  <c:v>1.7095971924678821E-2</c:v>
                </c:pt>
                <c:pt idx="1199">
                  <c:v>1.7091290558903793E-2</c:v>
                </c:pt>
                <c:pt idx="1200">
                  <c:v>1.7086575985532093E-2</c:v>
                </c:pt>
                <c:pt idx="1201">
                  <c:v>1.7081828374347907E-2</c:v>
                </c:pt>
                <c:pt idx="1202">
                  <c:v>1.7077047895215358E-2</c:v>
                </c:pt>
                <c:pt idx="1203">
                  <c:v>1.7072234718398249E-2</c:v>
                </c:pt>
                <c:pt idx="1204">
                  <c:v>1.7067389013680767E-2</c:v>
                </c:pt>
                <c:pt idx="1205">
                  <c:v>1.7062510951166843E-2</c:v>
                </c:pt>
                <c:pt idx="1206">
                  <c:v>1.7057600700560727E-2</c:v>
                </c:pt>
                <c:pt idx="1207">
                  <c:v>1.7052658432046286E-2</c:v>
                </c:pt>
                <c:pt idx="1208">
                  <c:v>1.7047684315647516E-2</c:v>
                </c:pt>
                <c:pt idx="1209">
                  <c:v>1.7042678521228538E-2</c:v>
                </c:pt>
                <c:pt idx="1210">
                  <c:v>1.7037641218733413E-2</c:v>
                </c:pt>
                <c:pt idx="1211">
                  <c:v>1.7032572578186134E-2</c:v>
                </c:pt>
                <c:pt idx="1212">
                  <c:v>1.7027472769690633E-2</c:v>
                </c:pt>
                <c:pt idx="1213">
                  <c:v>1.702234196295116E-2</c:v>
                </c:pt>
                <c:pt idx="1214">
                  <c:v>1.7017180328071646E-2</c:v>
                </c:pt>
                <c:pt idx="1215">
                  <c:v>1.7011988034996151E-2</c:v>
                </c:pt>
                <c:pt idx="1216">
                  <c:v>1.700676525390854E-2</c:v>
                </c:pt>
                <c:pt idx="1217">
                  <c:v>1.7001512154433129E-2</c:v>
                </c:pt>
                <c:pt idx="1218">
                  <c:v>1.6996228906753785E-2</c:v>
                </c:pt>
                <c:pt idx="1219">
                  <c:v>1.6990915680814567E-2</c:v>
                </c:pt>
                <c:pt idx="1220">
                  <c:v>1.6985572646559532E-2</c:v>
                </c:pt>
                <c:pt idx="1221">
                  <c:v>1.6980199973932741E-2</c:v>
                </c:pt>
                <c:pt idx="1222">
                  <c:v>1.6974797832958188E-2</c:v>
                </c:pt>
                <c:pt idx="1223">
                  <c:v>1.6969366393579932E-2</c:v>
                </c:pt>
                <c:pt idx="1224">
                  <c:v>1.6963905825821968E-2</c:v>
                </c:pt>
                <c:pt idx="1225">
                  <c:v>1.6957635519947445E-2</c:v>
                </c:pt>
                <c:pt idx="1226">
                  <c:v>1.6952107313974452E-2</c:v>
                </c:pt>
                <c:pt idx="1227">
                  <c:v>1.6946556306240979E-2</c:v>
                </c:pt>
                <c:pt idx="1228">
                  <c:v>1.694097687428453E-2</c:v>
                </c:pt>
                <c:pt idx="1229">
                  <c:v>1.6935369188129101E-2</c:v>
                </c:pt>
                <c:pt idx="1230">
                  <c:v>1.6929733417558879E-2</c:v>
                </c:pt>
                <c:pt idx="1231">
                  <c:v>1.6924069732677793E-2</c:v>
                </c:pt>
                <c:pt idx="1232">
                  <c:v>1.691837830350984E-2</c:v>
                </c:pt>
                <c:pt idx="1233">
                  <c:v>1.6912659299839206E-2</c:v>
                </c:pt>
                <c:pt idx="1234">
                  <c:v>1.6906912891769821E-2</c:v>
                </c:pt>
                <c:pt idx="1235">
                  <c:v>1.6901139249325681E-2</c:v>
                </c:pt>
                <c:pt idx="1236">
                  <c:v>1.6895338542211036E-2</c:v>
                </c:pt>
                <c:pt idx="1237">
                  <c:v>1.6889510940769625E-2</c:v>
                </c:pt>
                <c:pt idx="1238">
                  <c:v>1.6883656614785636E-2</c:v>
                </c:pt>
                <c:pt idx="1239">
                  <c:v>1.6877775734203126E-2</c:v>
                </c:pt>
                <c:pt idx="1240">
                  <c:v>1.6870175856595893E-2</c:v>
                </c:pt>
                <c:pt idx="1241">
                  <c:v>1.6864234918134713E-2</c:v>
                </c:pt>
                <c:pt idx="1242">
                  <c:v>1.6857347518763888E-2</c:v>
                </c:pt>
                <c:pt idx="1243">
                  <c:v>1.6852275222900559E-2</c:v>
                </c:pt>
                <c:pt idx="1244">
                  <c:v>1.6846256806095639E-2</c:v>
                </c:pt>
                <c:pt idx="1245">
                  <c:v>1.6840212903197482E-2</c:v>
                </c:pt>
                <c:pt idx="1246">
                  <c:v>1.6834143683910341E-2</c:v>
                </c:pt>
                <c:pt idx="1247">
                  <c:v>1.6828049318577953E-2</c:v>
                </c:pt>
                <c:pt idx="1248">
                  <c:v>1.6821929976984507E-2</c:v>
                </c:pt>
                <c:pt idx="1249">
                  <c:v>1.6815785828994123E-2</c:v>
                </c:pt>
                <c:pt idx="1250">
                  <c:v>1.6809617044710734E-2</c:v>
                </c:pt>
                <c:pt idx="1251">
                  <c:v>1.680342379423827E-2</c:v>
                </c:pt>
                <c:pt idx="1252">
                  <c:v>1.6797206247280982E-2</c:v>
                </c:pt>
                <c:pt idx="1253">
                  <c:v>1.6790964573862865E-2</c:v>
                </c:pt>
                <c:pt idx="1254">
                  <c:v>1.678469894408785E-2</c:v>
                </c:pt>
                <c:pt idx="1255">
                  <c:v>1.6778409527899996E-2</c:v>
                </c:pt>
                <c:pt idx="1256">
                  <c:v>1.6772096495323296E-2</c:v>
                </c:pt>
                <c:pt idx="1257">
                  <c:v>1.6765760016062004E-2</c:v>
                </c:pt>
                <c:pt idx="1258">
                  <c:v>1.6759400260220048E-2</c:v>
                </c:pt>
                <c:pt idx="1259">
                  <c:v>1.6753017397981296E-2</c:v>
                </c:pt>
                <c:pt idx="1260">
                  <c:v>1.6746611599129935E-2</c:v>
                </c:pt>
                <c:pt idx="1261">
                  <c:v>1.6740183033530087E-2</c:v>
                </c:pt>
                <c:pt idx="1262">
                  <c:v>1.673373187136562E-2</c:v>
                </c:pt>
                <c:pt idx="1263">
                  <c:v>1.6727258282580593E-2</c:v>
                </c:pt>
                <c:pt idx="1264">
                  <c:v>1.6720762436959191E-2</c:v>
                </c:pt>
                <c:pt idx="1265">
                  <c:v>1.6714244504685283E-2</c:v>
                </c:pt>
                <c:pt idx="1266">
                  <c:v>1.6707704655702926E-2</c:v>
                </c:pt>
                <c:pt idx="1267">
                  <c:v>1.6701143059796308E-2</c:v>
                </c:pt>
                <c:pt idx="1268">
                  <c:v>1.6694559887229232E-2</c:v>
                </c:pt>
                <c:pt idx="1269">
                  <c:v>1.6687955307626012E-2</c:v>
                </c:pt>
                <c:pt idx="1270">
                  <c:v>1.6681329491250452E-2</c:v>
                </c:pt>
                <c:pt idx="1271">
                  <c:v>1.6674682607966673E-2</c:v>
                </c:pt>
                <c:pt idx="1272">
                  <c:v>1.6668014827718736E-2</c:v>
                </c:pt>
                <c:pt idx="1273">
                  <c:v>1.6661326320530634E-2</c:v>
                </c:pt>
                <c:pt idx="1274">
                  <c:v>1.6654617256346427E-2</c:v>
                </c:pt>
                <c:pt idx="1275">
                  <c:v>1.6647887805110173E-2</c:v>
                </c:pt>
                <c:pt idx="1276">
                  <c:v>1.6637272171937667E-2</c:v>
                </c:pt>
                <c:pt idx="1277">
                  <c:v>1.6633198873972077E-2</c:v>
                </c:pt>
                <c:pt idx="1278">
                  <c:v>1.6627578829169209E-2</c:v>
                </c:pt>
                <c:pt idx="1279">
                  <c:v>1.6620769529565038E-2</c:v>
                </c:pt>
                <c:pt idx="1280">
                  <c:v>1.6613940692788987E-2</c:v>
                </c:pt>
                <c:pt idx="1281">
                  <c:v>1.660709248886505E-2</c:v>
                </c:pt>
                <c:pt idx="1282">
                  <c:v>1.6600225087737286E-2</c:v>
                </c:pt>
                <c:pt idx="1283">
                  <c:v>1.6593338659349754E-2</c:v>
                </c:pt>
                <c:pt idx="1284">
                  <c:v>1.6586433373646514E-2</c:v>
                </c:pt>
                <c:pt idx="1285">
                  <c:v>1.6579509400731496E-2</c:v>
                </c:pt>
                <c:pt idx="1286">
                  <c:v>1.6572566910388886E-2</c:v>
                </c:pt>
                <c:pt idx="1287">
                  <c:v>1.6565606072722616E-2</c:v>
                </c:pt>
                <c:pt idx="1288">
                  <c:v>1.6558627057676745E-2</c:v>
                </c:pt>
                <c:pt idx="1289">
                  <c:v>1.6551148921118752E-2</c:v>
                </c:pt>
                <c:pt idx="1290">
                  <c:v>1.6544615175222432E-2</c:v>
                </c:pt>
                <c:pt idx="1291">
                  <c:v>1.6537582647782045E-2</c:v>
                </c:pt>
                <c:pt idx="1292">
                  <c:v>1.6530532622898164E-2</c:v>
                </c:pt>
                <c:pt idx="1293">
                  <c:v>1.6523465270434912E-2</c:v>
                </c:pt>
                <c:pt idx="1294">
                  <c:v>1.6516380760416283E-2</c:v>
                </c:pt>
                <c:pt idx="1295">
                  <c:v>1.6509279262866272E-2</c:v>
                </c:pt>
                <c:pt idx="1296">
                  <c:v>1.6502160947649003E-2</c:v>
                </c:pt>
                <c:pt idx="1297">
                  <c:v>1.6495025984708533E-2</c:v>
                </c:pt>
                <c:pt idx="1298">
                  <c:v>1.6487874544148795E-2</c:v>
                </c:pt>
                <c:pt idx="1299">
                  <c:v>1.6480706795913846E-2</c:v>
                </c:pt>
                <c:pt idx="1300">
                  <c:v>1.6473522909947746E-2</c:v>
                </c:pt>
                <c:pt idx="1301">
                  <c:v>1.646632305627449E-2</c:v>
                </c:pt>
                <c:pt idx="1302">
                  <c:v>1.6459107404598328E-2</c:v>
                </c:pt>
                <c:pt idx="1303">
                  <c:v>1.6451876125262999E-2</c:v>
                </c:pt>
                <c:pt idx="1304">
                  <c:v>1.6444629388052689E-2</c:v>
                </c:pt>
                <c:pt idx="1305">
                  <c:v>1.6437367362911459E-2</c:v>
                </c:pt>
                <c:pt idx="1306">
                  <c:v>1.6430090219943239E-2</c:v>
                </c:pt>
                <c:pt idx="1307">
                  <c:v>1.6422798128932214E-2</c:v>
                </c:pt>
                <c:pt idx="1308">
                  <c:v>1.6415491259982318E-2</c:v>
                </c:pt>
                <c:pt idx="1309">
                  <c:v>1.6408169783117543E-2</c:v>
                </c:pt>
                <c:pt idx="1310">
                  <c:v>1.6400833868202014E-2</c:v>
                </c:pt>
                <c:pt idx="1311">
                  <c:v>1.6393483685099852E-2</c:v>
                </c:pt>
                <c:pt idx="1312">
                  <c:v>1.6386119404074861E-2</c:v>
                </c:pt>
                <c:pt idx="1313">
                  <c:v>1.6378741194911228E-2</c:v>
                </c:pt>
                <c:pt idx="1314">
                  <c:v>1.6371349227553011E-2</c:v>
                </c:pt>
                <c:pt idx="1315">
                  <c:v>1.6363943672104142E-2</c:v>
                </c:pt>
                <c:pt idx="1316">
                  <c:v>1.6356524698348807E-2</c:v>
                </c:pt>
                <c:pt idx="1317">
                  <c:v>1.6349092476550808E-2</c:v>
                </c:pt>
                <c:pt idx="1318">
                  <c:v>1.6341647176334462E-2</c:v>
                </c:pt>
                <c:pt idx="1319">
                  <c:v>1.6334188967883634E-2</c:v>
                </c:pt>
                <c:pt idx="1320">
                  <c:v>1.6326718021062447E-2</c:v>
                </c:pt>
                <c:pt idx="1321">
                  <c:v>1.6319234505974833E-2</c:v>
                </c:pt>
                <c:pt idx="1322">
                  <c:v>1.6311738592564851E-2</c:v>
                </c:pt>
                <c:pt idx="1323">
                  <c:v>1.6304230450616686E-2</c:v>
                </c:pt>
                <c:pt idx="1324">
                  <c:v>1.6296710250314206E-2</c:v>
                </c:pt>
                <c:pt idx="1325">
                  <c:v>1.6289178161521534E-2</c:v>
                </c:pt>
                <c:pt idx="1326">
                  <c:v>1.6281634354262664E-2</c:v>
                </c:pt>
                <c:pt idx="1327">
                  <c:v>1.6274078998481656E-2</c:v>
                </c:pt>
                <c:pt idx="1328">
                  <c:v>1.6266512264202504E-2</c:v>
                </c:pt>
                <c:pt idx="1329">
                  <c:v>1.6258934321289331E-2</c:v>
                </c:pt>
                <c:pt idx="1330">
                  <c:v>1.6251345339766132E-2</c:v>
                </c:pt>
                <c:pt idx="1331">
                  <c:v>1.6243745489656902E-2</c:v>
                </c:pt>
                <c:pt idx="1332">
                  <c:v>1.62361349409057E-2</c:v>
                </c:pt>
                <c:pt idx="1333">
                  <c:v>1.6228513863376648E-2</c:v>
                </c:pt>
                <c:pt idx="1334">
                  <c:v>1.6220882427253613E-2</c:v>
                </c:pt>
                <c:pt idx="1335">
                  <c:v>1.6213240802240847E-2</c:v>
                </c:pt>
                <c:pt idx="1336">
                  <c:v>1.6205589158522216E-2</c:v>
                </c:pt>
                <c:pt idx="1337">
                  <c:v>1.6197927665881906E-2</c:v>
                </c:pt>
                <c:pt idx="1338">
                  <c:v>1.6190256494583721E-2</c:v>
                </c:pt>
                <c:pt idx="1339">
                  <c:v>1.6182575814251976E-2</c:v>
                </c:pt>
                <c:pt idx="1340">
                  <c:v>1.6174885795150473E-2</c:v>
                </c:pt>
                <c:pt idx="1341">
                  <c:v>1.6167186607143336E-2</c:v>
                </c:pt>
                <c:pt idx="1342">
                  <c:v>1.6159478420094686E-2</c:v>
                </c:pt>
                <c:pt idx="1343">
                  <c:v>1.615176140402852E-2</c:v>
                </c:pt>
                <c:pt idx="1344">
                  <c:v>1.61432742669394E-2</c:v>
                </c:pt>
                <c:pt idx="1345">
                  <c:v>1.6136301565019551E-2</c:v>
                </c:pt>
                <c:pt idx="1346">
                  <c:v>1.6128559081804994E-2</c:v>
                </c:pt>
                <c:pt idx="1347">
                  <c:v>1.61208084496689E-2</c:v>
                </c:pt>
                <c:pt idx="1348">
                  <c:v>1.6113049838315519E-2</c:v>
                </c:pt>
                <c:pt idx="1349">
                  <c:v>1.6105283417768845E-2</c:v>
                </c:pt>
                <c:pt idx="1350">
                  <c:v>1.6097509357972939E-2</c:v>
                </c:pt>
                <c:pt idx="1351">
                  <c:v>1.608972782903173E-2</c:v>
                </c:pt>
                <c:pt idx="1352">
                  <c:v>1.6081939000889278E-2</c:v>
                </c:pt>
                <c:pt idx="1353">
                  <c:v>1.6074143043409705E-2</c:v>
                </c:pt>
                <c:pt idx="1354">
                  <c:v>1.6066340126617007E-2</c:v>
                </c:pt>
                <c:pt idx="1355">
                  <c:v>1.6058530420535178E-2</c:v>
                </c:pt>
                <c:pt idx="1356">
                  <c:v>1.605071409502834E-2</c:v>
                </c:pt>
                <c:pt idx="1357">
                  <c:v>1.6042891320120489E-2</c:v>
                </c:pt>
                <c:pt idx="1358">
                  <c:v>1.603506226583562E-2</c:v>
                </c:pt>
                <c:pt idx="1359">
                  <c:v>1.6027227102197728E-2</c:v>
                </c:pt>
                <c:pt idx="1360">
                  <c:v>1.6019385998911062E-2</c:v>
                </c:pt>
                <c:pt idx="1361">
                  <c:v>1.6011539126159491E-2</c:v>
                </c:pt>
                <c:pt idx="1362">
                  <c:v>1.6003686653887073E-2</c:v>
                </c:pt>
                <c:pt idx="1363">
                  <c:v>1.599582875195793E-2</c:v>
                </c:pt>
                <c:pt idx="1364">
                  <c:v>1.598796559055593E-2</c:v>
                </c:pt>
                <c:pt idx="1365">
                  <c:v>1.5980097339385324E-2</c:v>
                </c:pt>
                <c:pt idx="1366">
                  <c:v>1.5972224168629978E-2</c:v>
                </c:pt>
                <c:pt idx="1367">
                  <c:v>1.5964346248154015E-2</c:v>
                </c:pt>
                <c:pt idx="1368">
                  <c:v>1.5956463748061367E-2</c:v>
                </c:pt>
                <c:pt idx="1369">
                  <c:v>1.5948576838136219E-2</c:v>
                </c:pt>
                <c:pt idx="1370">
                  <c:v>1.5940685688402567E-2</c:v>
                </c:pt>
                <c:pt idx="1371">
                  <c:v>1.5932790468884406E-2</c:v>
                </c:pt>
                <c:pt idx="1372">
                  <c:v>1.5924891349525794E-2</c:v>
                </c:pt>
                <c:pt idx="1373">
                  <c:v>1.5916988500350726E-2</c:v>
                </c:pt>
                <c:pt idx="1374">
                  <c:v>1.5909082091223326E-2</c:v>
                </c:pt>
                <c:pt idx="1375">
                  <c:v>1.5901172292167587E-2</c:v>
                </c:pt>
                <c:pt idx="1376">
                  <c:v>1.5893259273127569E-2</c:v>
                </c:pt>
                <c:pt idx="1377">
                  <c:v>1.5885343204127267E-2</c:v>
                </c:pt>
                <c:pt idx="1378">
                  <c:v>1.5877424255030803E-2</c:v>
                </c:pt>
                <c:pt idx="1379">
                  <c:v>1.5869502596101981E-2</c:v>
                </c:pt>
                <c:pt idx="1380">
                  <c:v>1.5861578396885179E-2</c:v>
                </c:pt>
                <c:pt idx="1381">
                  <c:v>1.5853651827564263E-2</c:v>
                </c:pt>
                <c:pt idx="1382">
                  <c:v>1.5845723058243166E-2</c:v>
                </c:pt>
                <c:pt idx="1383">
                  <c:v>1.5837792258706074E-2</c:v>
                </c:pt>
                <c:pt idx="1384">
                  <c:v>1.5829859598897045E-2</c:v>
                </c:pt>
                <c:pt idx="1385">
                  <c:v>1.582192524892001E-2</c:v>
                </c:pt>
                <c:pt idx="1386">
                  <c:v>1.5813989378639093E-2</c:v>
                </c:pt>
                <c:pt idx="1387">
                  <c:v>1.5806052158158224E-2</c:v>
                </c:pt>
                <c:pt idx="1388">
                  <c:v>1.5798113757261589E-2</c:v>
                </c:pt>
                <c:pt idx="1389">
                  <c:v>1.5790174346133057E-2</c:v>
                </c:pt>
                <c:pt idx="1390">
                  <c:v>1.5782234094476877E-2</c:v>
                </c:pt>
                <c:pt idx="1391">
                  <c:v>1.5774293172556852E-2</c:v>
                </c:pt>
                <c:pt idx="1392">
                  <c:v>1.5766351750077234E-2</c:v>
                </c:pt>
                <c:pt idx="1393">
                  <c:v>1.5758409997221889E-2</c:v>
                </c:pt>
                <c:pt idx="1394">
                  <c:v>1.5750468083775004E-2</c:v>
                </c:pt>
                <c:pt idx="1395">
                  <c:v>1.5741633575402147E-2</c:v>
                </c:pt>
                <c:pt idx="1396">
                  <c:v>1.5734584455442402E-2</c:v>
                </c:pt>
                <c:pt idx="1397">
                  <c:v>1.5726643080364866E-2</c:v>
                </c:pt>
                <c:pt idx="1398">
                  <c:v>1.571870222479177E-2</c:v>
                </c:pt>
                <c:pt idx="1399">
                  <c:v>1.5710762058347427E-2</c:v>
                </c:pt>
                <c:pt idx="1400">
                  <c:v>1.5702822751375578E-2</c:v>
                </c:pt>
                <c:pt idx="1401">
                  <c:v>1.5694884473660409E-2</c:v>
                </c:pt>
                <c:pt idx="1402">
                  <c:v>1.5686947395145978E-2</c:v>
                </c:pt>
                <c:pt idx="1403">
                  <c:v>1.5679011686016153E-2</c:v>
                </c:pt>
                <c:pt idx="1404">
                  <c:v>1.5671077516055121E-2</c:v>
                </c:pt>
                <c:pt idx="1405">
                  <c:v>1.5663145055127004E-2</c:v>
                </c:pt>
                <c:pt idx="1406">
                  <c:v>1.5655214473415668E-2</c:v>
                </c:pt>
                <c:pt idx="1407">
                  <c:v>1.5647285940785238E-2</c:v>
                </c:pt>
                <c:pt idx="1408">
                  <c:v>1.5639359627259708E-2</c:v>
                </c:pt>
                <c:pt idx="1409">
                  <c:v>1.5631435702863072E-2</c:v>
                </c:pt>
                <c:pt idx="1410">
                  <c:v>1.5623514337379518E-2</c:v>
                </c:pt>
                <c:pt idx="1411">
                  <c:v>1.5615595700992912E-2</c:v>
                </c:pt>
                <c:pt idx="1412">
                  <c:v>1.5607679963407506E-2</c:v>
                </c:pt>
                <c:pt idx="1413">
                  <c:v>1.5599767294887101E-2</c:v>
                </c:pt>
                <c:pt idx="1414">
                  <c:v>1.559185786513595E-2</c:v>
                </c:pt>
                <c:pt idx="1415">
                  <c:v>1.5583951844337918E-2</c:v>
                </c:pt>
                <c:pt idx="1416">
                  <c:v>1.5576049402437064E-2</c:v>
                </c:pt>
                <c:pt idx="1417">
                  <c:v>1.5568150709217576E-2</c:v>
                </c:pt>
                <c:pt idx="1418">
                  <c:v>1.5560255934863321E-2</c:v>
                </c:pt>
                <c:pt idx="1419">
                  <c:v>1.555236524923842E-2</c:v>
                </c:pt>
                <c:pt idx="1420">
                  <c:v>1.5544478822286933E-2</c:v>
                </c:pt>
                <c:pt idx="1421">
                  <c:v>1.5536596824032856E-2</c:v>
                </c:pt>
                <c:pt idx="1422">
                  <c:v>1.5528719424420245E-2</c:v>
                </c:pt>
                <c:pt idx="1423">
                  <c:v>1.5520846793473098E-2</c:v>
                </c:pt>
                <c:pt idx="1424">
                  <c:v>1.5512979101135471E-2</c:v>
                </c:pt>
                <c:pt idx="1425">
                  <c:v>1.5505116517351425E-2</c:v>
                </c:pt>
                <c:pt idx="1426">
                  <c:v>1.5497259212065018E-2</c:v>
                </c:pt>
                <c:pt idx="1427">
                  <c:v>1.5489407355300244E-2</c:v>
                </c:pt>
                <c:pt idx="1428">
                  <c:v>1.5481561117001164E-2</c:v>
                </c:pt>
                <c:pt idx="1429">
                  <c:v>1.5473720667111834E-2</c:v>
                </c:pt>
                <c:pt idx="1430">
                  <c:v>1.5465886175656252E-2</c:v>
                </c:pt>
                <c:pt idx="1431">
                  <c:v>1.545805781265841E-2</c:v>
                </c:pt>
                <c:pt idx="1432">
                  <c:v>1.5450235747902497E-2</c:v>
                </c:pt>
                <c:pt idx="1433">
                  <c:v>1.5440623840032863E-2</c:v>
                </c:pt>
                <c:pt idx="1434">
                  <c:v>1.5433042912773587E-2</c:v>
                </c:pt>
                <c:pt idx="1435">
                  <c:v>1.5425242071946954E-2</c:v>
                </c:pt>
                <c:pt idx="1436">
                  <c:v>1.5417448258778776E-2</c:v>
                </c:pt>
                <c:pt idx="1437">
                  <c:v>1.5409661643372985E-2</c:v>
                </c:pt>
                <c:pt idx="1438">
                  <c:v>1.5401882395646993E-2</c:v>
                </c:pt>
                <c:pt idx="1439">
                  <c:v>1.539411068559815E-2</c:v>
                </c:pt>
                <c:pt idx="1440">
                  <c:v>1.5386346683223806E-2</c:v>
                </c:pt>
                <c:pt idx="1441">
                  <c:v>1.537859055852131E-2</c:v>
                </c:pt>
                <c:pt idx="1442">
                  <c:v>1.5370842481408076E-2</c:v>
                </c:pt>
                <c:pt idx="1443">
                  <c:v>1.5363102621908098E-2</c:v>
                </c:pt>
                <c:pt idx="1444">
                  <c:v>1.5355371149965436E-2</c:v>
                </c:pt>
                <c:pt idx="1445">
                  <c:v>1.5343687039166554E-2</c:v>
                </c:pt>
                <c:pt idx="1446">
                  <c:v>1.5339934048874682E-2</c:v>
                </c:pt>
                <c:pt idx="1447">
                  <c:v>1.5332228759614708E-2</c:v>
                </c:pt>
                <c:pt idx="1448">
                  <c:v>1.5324532537901447E-2</c:v>
                </c:pt>
                <c:pt idx="1449">
                  <c:v>1.5316845553678959E-2</c:v>
                </c:pt>
                <c:pt idx="1450">
                  <c:v>1.5309167976971239E-2</c:v>
                </c:pt>
                <c:pt idx="1451">
                  <c:v>1.5301499977695698E-2</c:v>
                </c:pt>
                <c:pt idx="1452">
                  <c:v>1.5293841725902979E-2</c:v>
                </c:pt>
                <c:pt idx="1453">
                  <c:v>1.528619483153193E-2</c:v>
                </c:pt>
                <c:pt idx="1454">
                  <c:v>1.5278562446514599E-2</c:v>
                </c:pt>
                <c:pt idx="1455">
                  <c:v>1.5270944897443073E-2</c:v>
                </c:pt>
                <c:pt idx="1456">
                  <c:v>1.5263342371794053E-2</c:v>
                </c:pt>
                <c:pt idx="1457">
                  <c:v>1.5255755056857723E-2</c:v>
                </c:pt>
                <c:pt idx="1458">
                  <c:v>1.5248183140164073E-2</c:v>
                </c:pt>
                <c:pt idx="1459">
                  <c:v>1.5240626809029933E-2</c:v>
                </c:pt>
                <c:pt idx="1460">
                  <c:v>1.5233086250905359E-2</c:v>
                </c:pt>
                <c:pt idx="1461">
                  <c:v>1.5225561653213759E-2</c:v>
                </c:pt>
                <c:pt idx="1462">
                  <c:v>1.52180532033519E-2</c:v>
                </c:pt>
                <c:pt idx="1463">
                  <c:v>1.5210561088716545E-2</c:v>
                </c:pt>
                <c:pt idx="1464">
                  <c:v>1.5203085496784396E-2</c:v>
                </c:pt>
                <c:pt idx="1465">
                  <c:v>1.5195626614845636E-2</c:v>
                </c:pt>
                <c:pt idx="1466">
                  <c:v>1.5188184630456902E-2</c:v>
                </c:pt>
                <c:pt idx="1467">
                  <c:v>1.5180759730908377E-2</c:v>
                </c:pt>
                <c:pt idx="1468">
                  <c:v>1.5173352103676763E-2</c:v>
                </c:pt>
                <c:pt idx="1469">
                  <c:v>1.5165961936158823E-2</c:v>
                </c:pt>
                <c:pt idx="1470">
                  <c:v>1.5158589415751322E-2</c:v>
                </c:pt>
                <c:pt idx="1471">
                  <c:v>1.5151234729851026E-2</c:v>
                </c:pt>
                <c:pt idx="1472">
                  <c:v>1.514389806590799E-2</c:v>
                </c:pt>
                <c:pt idx="1473">
                  <c:v>1.5136579611372269E-2</c:v>
                </c:pt>
                <c:pt idx="1474">
                  <c:v>1.5129279553560693E-2</c:v>
                </c:pt>
                <c:pt idx="1475">
                  <c:v>1.5121998079923316E-2</c:v>
                </c:pt>
                <c:pt idx="1476">
                  <c:v>1.5114735377856903E-2</c:v>
                </c:pt>
                <c:pt idx="1477">
                  <c:v>1.510749163481151E-2</c:v>
                </c:pt>
                <c:pt idx="1478">
                  <c:v>1.5100267038157256E-2</c:v>
                </c:pt>
                <c:pt idx="1479">
                  <c:v>1.5093061775317551E-2</c:v>
                </c:pt>
                <c:pt idx="1480">
                  <c:v>1.5085876033715806E-2</c:v>
                </c:pt>
                <c:pt idx="1481">
                  <c:v>1.5078710000748785E-2</c:v>
                </c:pt>
                <c:pt idx="1482">
                  <c:v>1.5071563863839899E-2</c:v>
                </c:pt>
                <c:pt idx="1483">
                  <c:v>1.5064437810385911E-2</c:v>
                </c:pt>
                <c:pt idx="1484">
                  <c:v>1.5057332027783588E-2</c:v>
                </c:pt>
                <c:pt idx="1485">
                  <c:v>1.5047406662134222E-2</c:v>
                </c:pt>
                <c:pt idx="1486">
                  <c:v>1.5040538829911299E-2</c:v>
                </c:pt>
                <c:pt idx="1487">
                  <c:v>1.5033501557786266E-2</c:v>
                </c:pt>
                <c:pt idx="1488">
                  <c:v>1.502648535768536E-2</c:v>
                </c:pt>
                <c:pt idx="1489">
                  <c:v>1.5019490416898762E-2</c:v>
                </c:pt>
                <c:pt idx="1490">
                  <c:v>1.5012516923036401E-2</c:v>
                </c:pt>
                <c:pt idx="1491">
                  <c:v>1.500556506338846E-2</c:v>
                </c:pt>
                <c:pt idx="1492">
                  <c:v>1.4998635025325058E-2</c:v>
                </c:pt>
                <c:pt idx="1493">
                  <c:v>1.4991726996216315E-2</c:v>
                </c:pt>
                <c:pt idx="1494">
                  <c:v>1.4984841163672158E-2</c:v>
                </c:pt>
                <c:pt idx="1495">
                  <c:v>1.4977977714742963E-2</c:v>
                </c:pt>
                <c:pt idx="1496">
                  <c:v>1.4971136837198529E-2</c:v>
                </c:pt>
                <c:pt idx="1497">
                  <c:v>1.4964318718009295E-2</c:v>
                </c:pt>
                <c:pt idx="1498">
                  <c:v>1.4957523545104934E-2</c:v>
                </c:pt>
                <c:pt idx="1499">
                  <c:v>1.4950751505375948E-2</c:v>
                </c:pt>
                <c:pt idx="1500">
                  <c:v>1.4942078890749499E-2</c:v>
                </c:pt>
                <c:pt idx="1501">
                  <c:v>1.4937277575803876E-2</c:v>
                </c:pt>
                <c:pt idx="1502">
                  <c:v>1.4930576060780965E-2</c:v>
                </c:pt>
                <c:pt idx="1503">
                  <c:v>1.4922946441604523E-2</c:v>
                </c:pt>
                <c:pt idx="1504">
                  <c:v>1.4916296333860046E-2</c:v>
                </c:pt>
                <c:pt idx="1505">
                  <c:v>1.4909670510609985E-2</c:v>
                </c:pt>
                <c:pt idx="1506">
                  <c:v>1.4903069159224458E-2</c:v>
                </c:pt>
                <c:pt idx="1507">
                  <c:v>1.4896492467233458E-2</c:v>
                </c:pt>
                <c:pt idx="1508">
                  <c:v>1.4889940622007103E-2</c:v>
                </c:pt>
                <c:pt idx="1509">
                  <c:v>1.4883413810755641E-2</c:v>
                </c:pt>
                <c:pt idx="1510">
                  <c:v>1.4876912221248872E-2</c:v>
                </c:pt>
                <c:pt idx="1511">
                  <c:v>1.4870436040537172E-2</c:v>
                </c:pt>
                <c:pt idx="1512">
                  <c:v>1.486398545615053E-2</c:v>
                </c:pt>
                <c:pt idx="1513">
                  <c:v>1.4857560655539004E-2</c:v>
                </c:pt>
                <c:pt idx="1514">
                  <c:v>1.4851161825992776E-2</c:v>
                </c:pt>
                <c:pt idx="1515">
                  <c:v>1.4844789154961902E-2</c:v>
                </c:pt>
                <c:pt idx="1516">
                  <c:v>1.4838442829816501E-2</c:v>
                </c:pt>
                <c:pt idx="1517">
                  <c:v>1.4832123038006628E-2</c:v>
                </c:pt>
                <c:pt idx="1518">
                  <c:v>1.482582996698234E-2</c:v>
                </c:pt>
                <c:pt idx="1519">
                  <c:v>1.481956380403382E-2</c:v>
                </c:pt>
                <c:pt idx="1520">
                  <c:v>1.481332473645125E-2</c:v>
                </c:pt>
                <c:pt idx="1521">
                  <c:v>1.4807112951924495E-2</c:v>
                </c:pt>
                <c:pt idx="1522">
                  <c:v>1.480092863750393E-2</c:v>
                </c:pt>
                <c:pt idx="1523">
                  <c:v>1.4794771980959354E-2</c:v>
                </c:pt>
                <c:pt idx="1524">
                  <c:v>1.4788643169421078E-2</c:v>
                </c:pt>
                <c:pt idx="1525">
                  <c:v>1.478254239033916E-2</c:v>
                </c:pt>
                <c:pt idx="1526">
                  <c:v>1.4776469831163652E-2</c:v>
                </c:pt>
                <c:pt idx="1527">
                  <c:v>1.4770425679344612E-2</c:v>
                </c:pt>
                <c:pt idx="1528">
                  <c:v>1.4764410122092286E-2</c:v>
                </c:pt>
                <c:pt idx="1529">
                  <c:v>1.4758423346936667E-2</c:v>
                </c:pt>
                <c:pt idx="1530">
                  <c:v>1.4752465541167936E-2</c:v>
                </c:pt>
                <c:pt idx="1531">
                  <c:v>1.4746536892316087E-2</c:v>
                </c:pt>
                <c:pt idx="1532">
                  <c:v>1.4740637587751237E-2</c:v>
                </c:pt>
                <c:pt idx="1533">
                  <c:v>1.4734767814923444E-2</c:v>
                </c:pt>
                <c:pt idx="1534">
                  <c:v>1.4728927760963018E-2</c:v>
                </c:pt>
                <c:pt idx="1535">
                  <c:v>1.4723117613559822E-2</c:v>
                </c:pt>
                <c:pt idx="1536">
                  <c:v>1.471733756000404E-2</c:v>
                </c:pt>
                <c:pt idx="1537">
                  <c:v>1.4710660277197363E-2</c:v>
                </c:pt>
                <c:pt idx="1538">
                  <c:v>1.4705053938763868E-2</c:v>
                </c:pt>
                <c:pt idx="1539">
                  <c:v>1.4699369685855501E-2</c:v>
                </c:pt>
                <c:pt idx="1540">
                  <c:v>1.4693716303133542E-2</c:v>
                </c:pt>
                <c:pt idx="1541">
                  <c:v>1.4688093977968109E-2</c:v>
                </c:pt>
                <c:pt idx="1542">
                  <c:v>1.4682502897889194E-2</c:v>
                </c:pt>
                <c:pt idx="1543">
                  <c:v>1.4676943250107044E-2</c:v>
                </c:pt>
                <c:pt idx="1544">
                  <c:v>1.4671415222231587E-2</c:v>
                </c:pt>
                <c:pt idx="1545">
                  <c:v>1.4665919001473071E-2</c:v>
                </c:pt>
                <c:pt idx="1546">
                  <c:v>1.4660454775281551E-2</c:v>
                </c:pt>
                <c:pt idx="1547">
                  <c:v>1.4655022731107081E-2</c:v>
                </c:pt>
                <c:pt idx="1548">
                  <c:v>1.4649623056239847E-2</c:v>
                </c:pt>
                <c:pt idx="1549">
                  <c:v>1.4644255938209838E-2</c:v>
                </c:pt>
                <c:pt idx="1550">
                  <c:v>1.4638921564387175E-2</c:v>
                </c:pt>
                <c:pt idx="1551">
                  <c:v>1.4632865472359313E-2</c:v>
                </c:pt>
                <c:pt idx="1552">
                  <c:v>1.4627601895584874E-2</c:v>
                </c:pt>
                <c:pt idx="1553">
                  <c:v>1.4622371651986654E-2</c:v>
                </c:pt>
                <c:pt idx="1554">
                  <c:v>1.4616956301478634E-2</c:v>
                </c:pt>
                <c:pt idx="1555">
                  <c:v>1.4612011913719414E-2</c:v>
                </c:pt>
                <c:pt idx="1556">
                  <c:v>1.4606882793950504E-2</c:v>
                </c:pt>
                <c:pt idx="1557">
                  <c:v>1.4601787756758355E-2</c:v>
                </c:pt>
                <c:pt idx="1558">
                  <c:v>1.4596726989752895E-2</c:v>
                </c:pt>
                <c:pt idx="1559">
                  <c:v>1.4591700680224307E-2</c:v>
                </c:pt>
                <c:pt idx="1560">
                  <c:v>1.4586709015702581E-2</c:v>
                </c:pt>
                <c:pt idx="1561">
                  <c:v>1.4581752183318031E-2</c:v>
                </c:pt>
                <c:pt idx="1562">
                  <c:v>1.4576830370760518E-2</c:v>
                </c:pt>
                <c:pt idx="1563">
                  <c:v>1.4571943765240292E-2</c:v>
                </c:pt>
                <c:pt idx="1564">
                  <c:v>1.4567092554287342E-2</c:v>
                </c:pt>
                <c:pt idx="1565">
                  <c:v>1.4562276925191853E-2</c:v>
                </c:pt>
                <c:pt idx="1566">
                  <c:v>1.4557497065403879E-2</c:v>
                </c:pt>
                <c:pt idx="1567">
                  <c:v>1.4552753162213605E-2</c:v>
                </c:pt>
                <c:pt idx="1568">
                  <c:v>1.4548045403230958E-2</c:v>
                </c:pt>
                <c:pt idx="1569">
                  <c:v>1.4543373975586249E-2</c:v>
                </c:pt>
                <c:pt idx="1570">
                  <c:v>1.4538739066969342E-2</c:v>
                </c:pt>
                <c:pt idx="1571">
                  <c:v>1.4534140864430611E-2</c:v>
                </c:pt>
                <c:pt idx="1572">
                  <c:v>1.4529579555739858E-2</c:v>
                </c:pt>
                <c:pt idx="1573">
                  <c:v>1.4525055328027392E-2</c:v>
                </c:pt>
                <c:pt idx="1574">
                  <c:v>1.4520568368903142E-2</c:v>
                </c:pt>
                <c:pt idx="1575">
                  <c:v>1.4516118865497418E-2</c:v>
                </c:pt>
                <c:pt idx="1576">
                  <c:v>1.4511707005420149E-2</c:v>
                </c:pt>
                <c:pt idx="1577">
                  <c:v>1.4507332975881582E-2</c:v>
                </c:pt>
                <c:pt idx="1578">
                  <c:v>1.4502996964491643E-2</c:v>
                </c:pt>
                <c:pt idx="1579">
                  <c:v>1.4498699158620454E-2</c:v>
                </c:pt>
                <c:pt idx="1580">
                  <c:v>1.4494439745318388E-2</c:v>
                </c:pt>
                <c:pt idx="1581">
                  <c:v>1.4490218912515118E-2</c:v>
                </c:pt>
                <c:pt idx="1582">
                  <c:v>1.4486036847261019E-2</c:v>
                </c:pt>
                <c:pt idx="1583">
                  <c:v>1.4481893737086082E-2</c:v>
                </c:pt>
                <c:pt idx="1584">
                  <c:v>1.4477789769200555E-2</c:v>
                </c:pt>
                <c:pt idx="1585">
                  <c:v>1.4473725131294302E-2</c:v>
                </c:pt>
                <c:pt idx="1586">
                  <c:v>1.4469700010657505E-2</c:v>
                </c:pt>
                <c:pt idx="1587">
                  <c:v>1.4465714594500412E-2</c:v>
                </c:pt>
                <c:pt idx="1588">
                  <c:v>1.4461800671015101E-2</c:v>
                </c:pt>
                <c:pt idx="1589">
                  <c:v>1.4457903371991598E-2</c:v>
                </c:pt>
                <c:pt idx="1590">
                  <c:v>1.4453998447807592E-2</c:v>
                </c:pt>
                <c:pt idx="1591">
                  <c:v>1.4450173724149806E-2</c:v>
                </c:pt>
                <c:pt idx="1592">
                  <c:v>1.444638964206213E-2</c:v>
                </c:pt>
                <c:pt idx="1593">
                  <c:v>1.4442646388994618E-2</c:v>
                </c:pt>
                <c:pt idx="1594">
                  <c:v>1.4438944152397326E-2</c:v>
                </c:pt>
                <c:pt idx="1595">
                  <c:v>1.4435283119480502E-2</c:v>
                </c:pt>
                <c:pt idx="1596">
                  <c:v>1.4431663477774137E-2</c:v>
                </c:pt>
                <c:pt idx="1597">
                  <c:v>1.4428085414728287E-2</c:v>
                </c:pt>
                <c:pt idx="1598">
                  <c:v>1.4424549117553198E-2</c:v>
                </c:pt>
                <c:pt idx="1599">
                  <c:v>1.4421054773778863E-2</c:v>
                </c:pt>
                <c:pt idx="1600">
                  <c:v>1.4417602570855337E-2</c:v>
                </c:pt>
                <c:pt idx="1601">
                  <c:v>1.4414192696072803E-2</c:v>
                </c:pt>
                <c:pt idx="1602">
                  <c:v>1.4410825336801381E-2</c:v>
                </c:pt>
                <c:pt idx="1603">
                  <c:v>1.4407500680650998E-2</c:v>
                </c:pt>
                <c:pt idx="1604">
                  <c:v>1.4404218914751965E-2</c:v>
                </c:pt>
                <c:pt idx="1605">
                  <c:v>1.4401215765918352E-2</c:v>
                </c:pt>
                <c:pt idx="1606">
                  <c:v>1.439778480358811E-2</c:v>
                </c:pt>
                <c:pt idx="1607">
                  <c:v>1.4394632833223397E-2</c:v>
                </c:pt>
                <c:pt idx="1608">
                  <c:v>1.4391524502750386E-2</c:v>
                </c:pt>
                <c:pt idx="1609">
                  <c:v>1.4388459999699066E-2</c:v>
                </c:pt>
                <c:pt idx="1610">
                  <c:v>1.4385439511279685E-2</c:v>
                </c:pt>
                <c:pt idx="1611">
                  <c:v>1.4382463225022235E-2</c:v>
                </c:pt>
                <c:pt idx="1612">
                  <c:v>1.4379531328376771E-2</c:v>
                </c:pt>
                <c:pt idx="1613">
                  <c:v>1.4376644008633477E-2</c:v>
                </c:pt>
                <c:pt idx="1614">
                  <c:v>1.4373801453162471E-2</c:v>
                </c:pt>
                <c:pt idx="1615">
                  <c:v>1.4371003849573682E-2</c:v>
                </c:pt>
                <c:pt idx="1616">
                  <c:v>1.4368251384997421E-2</c:v>
                </c:pt>
                <c:pt idx="1617">
                  <c:v>1.4365544246883744E-2</c:v>
                </c:pt>
                <c:pt idx="1618">
                  <c:v>1.4362882622842577E-2</c:v>
                </c:pt>
                <c:pt idx="1619">
                  <c:v>1.4360266700084168E-2</c:v>
                </c:pt>
                <c:pt idx="1620">
                  <c:v>1.4357696665978636E-2</c:v>
                </c:pt>
                <c:pt idx="1621">
                  <c:v>1.4355172708055974E-2</c:v>
                </c:pt>
                <c:pt idx="1622">
                  <c:v>1.4352695013606365E-2</c:v>
                </c:pt>
                <c:pt idx="1623">
                  <c:v>1.4350263770079863E-2</c:v>
                </c:pt>
                <c:pt idx="1624">
                  <c:v>1.4347879164846589E-2</c:v>
                </c:pt>
                <c:pt idx="1625">
                  <c:v>1.4345541385276661E-2</c:v>
                </c:pt>
                <c:pt idx="1626">
                  <c:v>1.4343250618820136E-2</c:v>
                </c:pt>
                <c:pt idx="1627">
                  <c:v>1.4341007052847132E-2</c:v>
                </c:pt>
                <c:pt idx="1628">
                  <c:v>1.4338810874807706E-2</c:v>
                </c:pt>
                <c:pt idx="1629">
                  <c:v>1.433666227199204E-2</c:v>
                </c:pt>
                <c:pt idx="1630">
                  <c:v>1.4334561432010062E-2</c:v>
                </c:pt>
                <c:pt idx="1631">
                  <c:v>1.433250854207202E-2</c:v>
                </c:pt>
                <c:pt idx="1632">
                  <c:v>1.433050378938816E-2</c:v>
                </c:pt>
                <c:pt idx="1633">
                  <c:v>1.4328547361808219E-2</c:v>
                </c:pt>
                <c:pt idx="1634">
                  <c:v>1.4326639446542444E-2</c:v>
                </c:pt>
                <c:pt idx="1635">
                  <c:v>1.4324780230801082E-2</c:v>
                </c:pt>
                <c:pt idx="1636">
                  <c:v>1.432296990219406E-2</c:v>
                </c:pt>
                <c:pt idx="1637">
                  <c:v>1.4321208648011563E-2</c:v>
                </c:pt>
                <c:pt idx="1638">
                  <c:v>1.4319496655703645E-2</c:v>
                </c:pt>
                <c:pt idx="1639">
                  <c:v>1.4317834112640426E-2</c:v>
                </c:pt>
                <c:pt idx="1640">
                  <c:v>1.4316221206271962E-2</c:v>
                </c:pt>
                <c:pt idx="1641">
                  <c:v>1.4314658123968371E-2</c:v>
                </c:pt>
                <c:pt idx="1642">
                  <c:v>1.4313145053099774E-2</c:v>
                </c:pt>
                <c:pt idx="1643">
                  <c:v>1.4311682181116225E-2</c:v>
                </c:pt>
                <c:pt idx="1644">
                  <c:v>1.4310269695387845E-2</c:v>
                </c:pt>
                <c:pt idx="1645">
                  <c:v>1.4308907783284752E-2</c:v>
                </c:pt>
                <c:pt idx="1646">
                  <c:v>1.430759663209713E-2</c:v>
                </c:pt>
                <c:pt idx="1647">
                  <c:v>1.4306336429514843E-2</c:v>
                </c:pt>
                <c:pt idx="1648">
                  <c:v>1.4305127362748138E-2</c:v>
                </c:pt>
                <c:pt idx="1649">
                  <c:v>1.4303969619087198E-2</c:v>
                </c:pt>
                <c:pt idx="1650">
                  <c:v>1.4302863386221887E-2</c:v>
                </c:pt>
                <c:pt idx="1651">
                  <c:v>1.4301808851282516E-2</c:v>
                </c:pt>
                <c:pt idx="1652">
                  <c:v>1.4300806201879013E-2</c:v>
                </c:pt>
                <c:pt idx="1653">
                  <c:v>1.4299855625141689E-2</c:v>
                </c:pt>
                <c:pt idx="1654">
                  <c:v>1.4298957308840343E-2</c:v>
                </c:pt>
                <c:pt idx="1655">
                  <c:v>1.4299016261810849E-2</c:v>
                </c:pt>
                <c:pt idx="1656">
                  <c:v>1.429731820614677E-2</c:v>
                </c:pt>
                <c:pt idx="1657">
                  <c:v>1.4296577794814525E-2</c:v>
                </c:pt>
                <c:pt idx="1658">
                  <c:v>1.4295890393238864E-2</c:v>
                </c:pt>
                <c:pt idx="1659">
                  <c:v>1.4295256188869843E-2</c:v>
                </c:pt>
                <c:pt idx="1660">
                  <c:v>1.4294675369157517E-2</c:v>
                </c:pt>
                <c:pt idx="1661">
                  <c:v>1.4294148121472006E-2</c:v>
                </c:pt>
                <c:pt idx="1662">
                  <c:v>1.4293674633023556E-2</c:v>
                </c:pt>
                <c:pt idx="1663">
                  <c:v>1.4293255091581969E-2</c:v>
                </c:pt>
                <c:pt idx="1664">
                  <c:v>1.4292889684117682E-2</c:v>
                </c:pt>
                <c:pt idx="1665">
                  <c:v>1.4292578598400496E-2</c:v>
                </c:pt>
                <c:pt idx="1666">
                  <c:v>1.4292322021720594E-2</c:v>
                </c:pt>
                <c:pt idx="1667">
                  <c:v>1.4292120141368159E-2</c:v>
                </c:pt>
                <c:pt idx="1668">
                  <c:v>1.4291973144873182E-2</c:v>
                </c:pt>
                <c:pt idx="1669">
                  <c:v>1.4291881219445912E-2</c:v>
                </c:pt>
                <c:pt idx="1670">
                  <c:v>1.4291844552696276E-2</c:v>
                </c:pt>
                <c:pt idx="1671">
                  <c:v>1.4291863331914456E-2</c:v>
                </c:pt>
                <c:pt idx="1672">
                  <c:v>1.4291937744390637E-2</c:v>
                </c:pt>
                <c:pt idx="1673">
                  <c:v>1.4292067977814682E-2</c:v>
                </c:pt>
                <c:pt idx="1674">
                  <c:v>1.4292254219396838E-2</c:v>
                </c:pt>
                <c:pt idx="1675">
                  <c:v>1.4292496656587161E-2</c:v>
                </c:pt>
                <c:pt idx="1676">
                  <c:v>1.4292795476595899E-2</c:v>
                </c:pt>
                <c:pt idx="1677">
                  <c:v>1.4293150867112914E-2</c:v>
                </c:pt>
                <c:pt idx="1678">
                  <c:v>1.4293563015268518E-2</c:v>
                </c:pt>
                <c:pt idx="1679">
                  <c:v>1.4294032108672639E-2</c:v>
                </c:pt>
                <c:pt idx="1680">
                  <c:v>1.4294558334615459E-2</c:v>
                </c:pt>
                <c:pt idx="1681">
                  <c:v>1.4295141880626971E-2</c:v>
                </c:pt>
                <c:pt idx="1682">
                  <c:v>1.4295782933917422E-2</c:v>
                </c:pt>
                <c:pt idx="1683">
                  <c:v>1.4296481681936868E-2</c:v>
                </c:pt>
                <c:pt idx="1684">
                  <c:v>1.4297238312135363E-2</c:v>
                </c:pt>
                <c:pt idx="1685">
                  <c:v>1.4298053011962963E-2</c:v>
                </c:pt>
                <c:pt idx="1686">
                  <c:v>1.4298925968709852E-2</c:v>
                </c:pt>
                <c:pt idx="1687">
                  <c:v>1.4299857369826086E-2</c:v>
                </c:pt>
                <c:pt idx="1688">
                  <c:v>1.4300847402601846E-2</c:v>
                </c:pt>
                <c:pt idx="1689">
                  <c:v>1.4301896254726998E-2</c:v>
                </c:pt>
                <c:pt idx="1690">
                  <c:v>1.430300411317198E-2</c:v>
                </c:pt>
                <c:pt idx="1691">
                  <c:v>1.4304171165706592E-2</c:v>
                </c:pt>
                <c:pt idx="1692">
                  <c:v>1.4305397599621017E-2</c:v>
                </c:pt>
                <c:pt idx="1693">
                  <c:v>1.4306683602125503E-2</c:v>
                </c:pt>
                <c:pt idx="1694">
                  <c:v>1.4308029360909913E-2</c:v>
                </c:pt>
                <c:pt idx="1695">
                  <c:v>1.4309435063184495E-2</c:v>
                </c:pt>
                <c:pt idx="1696">
                  <c:v>1.4310900896399303E-2</c:v>
                </c:pt>
                <c:pt idx="1697">
                  <c:v>1.4312427048004395E-2</c:v>
                </c:pt>
                <c:pt idx="1698">
                  <c:v>1.4314013705210016E-2</c:v>
                </c:pt>
                <c:pt idx="1699">
                  <c:v>1.431566105570603E-2</c:v>
                </c:pt>
                <c:pt idx="1700">
                  <c:v>1.4317369286702686E-2</c:v>
                </c:pt>
                <c:pt idx="1701">
                  <c:v>1.4319138585570101E-2</c:v>
                </c:pt>
                <c:pt idx="1702">
                  <c:v>1.4320969139838269E-2</c:v>
                </c:pt>
                <c:pt idx="1703">
                  <c:v>1.4322861136877307E-2</c:v>
                </c:pt>
                <c:pt idx="1704">
                  <c:v>1.43248147639774E-2</c:v>
                </c:pt>
                <c:pt idx="1705">
                  <c:v>1.4326830208588603E-2</c:v>
                </c:pt>
                <c:pt idx="1706">
                  <c:v>1.4330654695667633E-2</c:v>
                </c:pt>
                <c:pt idx="1707">
                  <c:v>1.4331047300064625E-2</c:v>
                </c:pt>
                <c:pt idx="1708">
                  <c:v>1.4333249321749619E-2</c:v>
                </c:pt>
                <c:pt idx="1709">
                  <c:v>1.4335513910586073E-2</c:v>
                </c:pt>
                <c:pt idx="1710">
                  <c:v>1.4337841253784234E-2</c:v>
                </c:pt>
                <c:pt idx="1711">
                  <c:v>1.4341497785874679E-2</c:v>
                </c:pt>
                <c:pt idx="1712">
                  <c:v>1.4343969470012041E-2</c:v>
                </c:pt>
                <c:pt idx="1713">
                  <c:v>1.4346479942828338E-2</c:v>
                </c:pt>
                <c:pt idx="1714">
                  <c:v>1.4348978507676691E-2</c:v>
                </c:pt>
                <c:pt idx="1715">
                  <c:v>1.4351462737298704E-2</c:v>
                </c:pt>
                <c:pt idx="1716">
                  <c:v>1.4353932581014917E-2</c:v>
                </c:pt>
                <c:pt idx="1717">
                  <c:v>1.4356387988092578E-2</c:v>
                </c:pt>
                <c:pt idx="1718">
                  <c:v>1.4358828907798937E-2</c:v>
                </c:pt>
                <c:pt idx="1719">
                  <c:v>1.4361255289454533E-2</c:v>
                </c:pt>
                <c:pt idx="1720">
                  <c:v>1.436366708240655E-2</c:v>
                </c:pt>
                <c:pt idx="1721">
                  <c:v>1.4366064235868947E-2</c:v>
                </c:pt>
                <c:pt idx="1722">
                  <c:v>1.4368446699162263E-2</c:v>
                </c:pt>
                <c:pt idx="1723">
                  <c:v>1.4370814421607037E-2</c:v>
                </c:pt>
                <c:pt idx="1724">
                  <c:v>1.4373167352470517E-2</c:v>
                </c:pt>
                <c:pt idx="1725">
                  <c:v>1.4375505441046599E-2</c:v>
                </c:pt>
                <c:pt idx="1726">
                  <c:v>1.4377828636655821E-2</c:v>
                </c:pt>
                <c:pt idx="1727">
                  <c:v>1.4380136888565431E-2</c:v>
                </c:pt>
                <c:pt idx="1728">
                  <c:v>1.4382430146069325E-2</c:v>
                </c:pt>
                <c:pt idx="1729">
                  <c:v>1.4384708358488041E-2</c:v>
                </c:pt>
                <c:pt idx="1730">
                  <c:v>1.4386971475115473E-2</c:v>
                </c:pt>
                <c:pt idx="1731">
                  <c:v>1.438921944521887E-2</c:v>
                </c:pt>
                <c:pt idx="1732">
                  <c:v>1.4391452218145417E-2</c:v>
                </c:pt>
                <c:pt idx="1733">
                  <c:v>1.4393669743082427E-2</c:v>
                </c:pt>
                <c:pt idx="1734">
                  <c:v>1.4395871969457019E-2</c:v>
                </c:pt>
                <c:pt idx="1735">
                  <c:v>1.4398058846456507E-2</c:v>
                </c:pt>
                <c:pt idx="1736">
                  <c:v>1.4400230323454721E-2</c:v>
                </c:pt>
                <c:pt idx="1737">
                  <c:v>1.440238634971891E-2</c:v>
                </c:pt>
                <c:pt idx="1738">
                  <c:v>1.4404526874516321E-2</c:v>
                </c:pt>
                <c:pt idx="1739">
                  <c:v>1.4406651847167495E-2</c:v>
                </c:pt>
                <c:pt idx="1740">
                  <c:v>1.4408761216966326E-2</c:v>
                </c:pt>
                <c:pt idx="1741">
                  <c:v>1.4410854933233352E-2</c:v>
                </c:pt>
                <c:pt idx="1742">
                  <c:v>1.4412932945209178E-2</c:v>
                </c:pt>
                <c:pt idx="1743">
                  <c:v>1.4414995202214342E-2</c:v>
                </c:pt>
                <c:pt idx="1744">
                  <c:v>1.4417041653569385E-2</c:v>
                </c:pt>
                <c:pt idx="1745">
                  <c:v>1.4419504899430002E-2</c:v>
                </c:pt>
                <c:pt idx="1746">
                  <c:v>1.4421082045803502E-2</c:v>
                </c:pt>
                <c:pt idx="1747">
                  <c:v>1.4423076047807015E-2</c:v>
                </c:pt>
                <c:pt idx="1748">
                  <c:v>1.4425054028066597E-2</c:v>
                </c:pt>
                <c:pt idx="1749">
                  <c:v>1.4427015935982723E-2</c:v>
                </c:pt>
                <c:pt idx="1750">
                  <c:v>1.442896172071606E-2</c:v>
                </c:pt>
                <c:pt idx="1751">
                  <c:v>1.4430891331587148E-2</c:v>
                </c:pt>
                <c:pt idx="1752">
                  <c:v>1.4432804717996461E-2</c:v>
                </c:pt>
                <c:pt idx="1753">
                  <c:v>1.4434701829104668E-2</c:v>
                </c:pt>
                <c:pt idx="1754">
                  <c:v>1.4436582614312243E-2</c:v>
                </c:pt>
                <c:pt idx="1755">
                  <c:v>1.4438447023019663E-2</c:v>
                </c:pt>
                <c:pt idx="1756">
                  <c:v>1.4440295004227721E-2</c:v>
                </c:pt>
                <c:pt idx="1757">
                  <c:v>1.4442126507576702E-2</c:v>
                </c:pt>
                <c:pt idx="1758">
                  <c:v>1.4443941482067402E-2</c:v>
                </c:pt>
                <c:pt idx="1759">
                  <c:v>1.4445739877260166E-2</c:v>
                </c:pt>
                <c:pt idx="1760">
                  <c:v>1.4447521642155792E-2</c:v>
                </c:pt>
                <c:pt idx="1761">
                  <c:v>1.4449787965284955E-2</c:v>
                </c:pt>
                <c:pt idx="1762">
                  <c:v>1.4451035079057206E-2</c:v>
                </c:pt>
                <c:pt idx="1763">
                  <c:v>1.4452766649544202E-2</c:v>
                </c:pt>
                <c:pt idx="1764">
                  <c:v>1.445448138693628E-2</c:v>
                </c:pt>
                <c:pt idx="1765">
                  <c:v>1.4456179240793787E-2</c:v>
                </c:pt>
                <c:pt idx="1766">
                  <c:v>1.4457860160437264E-2</c:v>
                </c:pt>
                <c:pt idx="1767">
                  <c:v>1.4459524094867504E-2</c:v>
                </c:pt>
                <c:pt idx="1768">
                  <c:v>1.4461170993644856E-2</c:v>
                </c:pt>
                <c:pt idx="1769">
                  <c:v>1.4462800806009923E-2</c:v>
                </c:pt>
                <c:pt idx="1770">
                  <c:v>1.4464413481203309E-2</c:v>
                </c:pt>
                <c:pt idx="1771">
                  <c:v>1.4466008968705424E-2</c:v>
                </c:pt>
                <c:pt idx="1772">
                  <c:v>1.4467587217676936E-2</c:v>
                </c:pt>
                <c:pt idx="1773">
                  <c:v>1.4469148177278512E-2</c:v>
                </c:pt>
                <c:pt idx="1774">
                  <c:v>1.4470691796910629E-2</c:v>
                </c:pt>
                <c:pt idx="1775">
                  <c:v>1.4472218026053696E-2</c:v>
                </c:pt>
                <c:pt idx="1776">
                  <c:v>1.4473726813788446E-2</c:v>
                </c:pt>
                <c:pt idx="1777">
                  <c:v>1.4475218109515353E-2</c:v>
                </c:pt>
                <c:pt idx="1778">
                  <c:v>1.4476691862475022E-2</c:v>
                </c:pt>
                <c:pt idx="1779">
                  <c:v>1.4478148022067927E-2</c:v>
                </c:pt>
                <c:pt idx="1780">
                  <c:v>1.4479586537534672E-2</c:v>
                </c:pt>
                <c:pt idx="1781">
                  <c:v>1.4481007358035924E-2</c:v>
                </c:pt>
                <c:pt idx="1782">
                  <c:v>1.4482410433132031E-2</c:v>
                </c:pt>
                <c:pt idx="1783">
                  <c:v>1.448379571198366E-2</c:v>
                </c:pt>
                <c:pt idx="1784">
                  <c:v>1.448516314391135E-2</c:v>
                </c:pt>
                <c:pt idx="1785">
                  <c:v>1.4486512678155705E-2</c:v>
                </c:pt>
                <c:pt idx="1786">
                  <c:v>1.4487844264037264E-2</c:v>
                </c:pt>
                <c:pt idx="1787">
                  <c:v>1.4489157850956502E-2</c:v>
                </c:pt>
                <c:pt idx="1788">
                  <c:v>1.4490453388154023E-2</c:v>
                </c:pt>
                <c:pt idx="1789">
                  <c:v>1.449173082487043E-2</c:v>
                </c:pt>
                <c:pt idx="1790">
                  <c:v>1.4492990110506199E-2</c:v>
                </c:pt>
                <c:pt idx="1791">
                  <c:v>1.4494231194221996E-2</c:v>
                </c:pt>
                <c:pt idx="1792">
                  <c:v>1.4495454025418297E-2</c:v>
                </c:pt>
                <c:pt idx="1793">
                  <c:v>1.4496658553495578E-2</c:v>
                </c:pt>
                <c:pt idx="1794">
                  <c:v>1.4497844727454634E-2</c:v>
                </c:pt>
                <c:pt idx="1795">
                  <c:v>1.4499012496855812E-2</c:v>
                </c:pt>
                <c:pt idx="1796">
                  <c:v>1.4500161810939716E-2</c:v>
                </c:pt>
                <c:pt idx="1797">
                  <c:v>1.4501824550685605E-2</c:v>
                </c:pt>
                <c:pt idx="1798">
                  <c:v>1.4502562245590767E-2</c:v>
                </c:pt>
                <c:pt idx="1799">
                  <c:v>1.4503653227055935E-2</c:v>
                </c:pt>
                <c:pt idx="1800">
                  <c:v>1.4504725543131869E-2</c:v>
                </c:pt>
                <c:pt idx="1801">
                  <c:v>1.4505779143139108E-2</c:v>
                </c:pt>
                <c:pt idx="1802">
                  <c:v>1.4506813976478128E-2</c:v>
                </c:pt>
                <c:pt idx="1803">
                  <c:v>1.4507829992229659E-2</c:v>
                </c:pt>
                <c:pt idx="1804">
                  <c:v>1.4508827139794178E-2</c:v>
                </c:pt>
                <c:pt idx="1805">
                  <c:v>1.450980536857216E-2</c:v>
                </c:pt>
                <c:pt idx="1806">
                  <c:v>1.4510764627644335E-2</c:v>
                </c:pt>
                <c:pt idx="1807">
                  <c:v>1.4511704866491115E-2</c:v>
                </c:pt>
                <c:pt idx="1808">
                  <c:v>1.4512626034353104E-2</c:v>
                </c:pt>
                <c:pt idx="1809">
                  <c:v>1.4513528080470905E-2</c:v>
                </c:pt>
                <c:pt idx="1810">
                  <c:v>1.451441095432493E-2</c:v>
                </c:pt>
                <c:pt idx="1811">
                  <c:v>1.451551782452043E-2</c:v>
                </c:pt>
                <c:pt idx="1812">
                  <c:v>1.45163566852613E-2</c:v>
                </c:pt>
                <c:pt idx="1813">
                  <c:v>1.451717620715165E-2</c:v>
                </c:pt>
                <c:pt idx="1814">
                  <c:v>1.4518786750450374E-2</c:v>
                </c:pt>
                <c:pt idx="1815">
                  <c:v>1.4518757031103391E-2</c:v>
                </c:pt>
                <c:pt idx="1816">
                  <c:v>1.4519518231805861E-2</c:v>
                </c:pt>
                <c:pt idx="1817">
                  <c:v>1.452025989070016E-2</c:v>
                </c:pt>
                <c:pt idx="1818">
                  <c:v>1.4520981957266699E-2</c:v>
                </c:pt>
                <c:pt idx="1819">
                  <c:v>1.4521684380506272E-2</c:v>
                </c:pt>
                <c:pt idx="1820">
                  <c:v>1.4522367109899292E-2</c:v>
                </c:pt>
                <c:pt idx="1821">
                  <c:v>1.4523030094766298E-2</c:v>
                </c:pt>
                <c:pt idx="1822">
                  <c:v>1.4523673284347893E-2</c:v>
                </c:pt>
                <c:pt idx="1823">
                  <c:v>1.4524296627964617E-2</c:v>
                </c:pt>
                <c:pt idx="1824">
                  <c:v>1.4524900074857072E-2</c:v>
                </c:pt>
                <c:pt idx="1825">
                  <c:v>1.4525483574345799E-2</c:v>
                </c:pt>
                <c:pt idx="1826">
                  <c:v>1.4526047075911208E-2</c:v>
                </c:pt>
                <c:pt idx="1827">
                  <c:v>1.4526590528554095E-2</c:v>
                </c:pt>
                <c:pt idx="1828">
                  <c:v>1.4527113881754872E-2</c:v>
                </c:pt>
                <c:pt idx="1829">
                  <c:v>1.4527617084754141E-2</c:v>
                </c:pt>
                <c:pt idx="1830">
                  <c:v>1.4528100087032314E-2</c:v>
                </c:pt>
                <c:pt idx="1831">
                  <c:v>1.4528562837590187E-2</c:v>
                </c:pt>
                <c:pt idx="1832">
                  <c:v>1.4529005285828234E-2</c:v>
                </c:pt>
                <c:pt idx="1833">
                  <c:v>1.4529427381146931E-2</c:v>
                </c:pt>
                <c:pt idx="1834">
                  <c:v>1.4529829072866818E-2</c:v>
                </c:pt>
                <c:pt idx="1835">
                  <c:v>1.4530210310148561E-2</c:v>
                </c:pt>
                <c:pt idx="1836">
                  <c:v>1.4530571042392637E-2</c:v>
                </c:pt>
                <c:pt idx="1837">
                  <c:v>1.4530911218839648E-2</c:v>
                </c:pt>
                <c:pt idx="1838">
                  <c:v>1.4531230788730198E-2</c:v>
                </c:pt>
                <c:pt idx="1839">
                  <c:v>1.4531529701464763E-2</c:v>
                </c:pt>
                <c:pt idx="1840">
                  <c:v>1.4531807906283944E-2</c:v>
                </c:pt>
                <c:pt idx="1841">
                  <c:v>1.4532065352668155E-2</c:v>
                </c:pt>
                <c:pt idx="1842">
                  <c:v>1.453230198961819E-2</c:v>
                </c:pt>
                <c:pt idx="1843">
                  <c:v>1.4532517766774333E-2</c:v>
                </c:pt>
                <c:pt idx="1844">
                  <c:v>1.4532712633137379E-2</c:v>
                </c:pt>
                <c:pt idx="1845">
                  <c:v>1.4532886538107803E-2</c:v>
                </c:pt>
                <c:pt idx="1846">
                  <c:v>1.4533039431006145E-2</c:v>
                </c:pt>
                <c:pt idx="1847">
                  <c:v>1.4533171261073008E-2</c:v>
                </c:pt>
                <c:pt idx="1848">
                  <c:v>1.4533335745419151E-2</c:v>
                </c:pt>
                <c:pt idx="1849">
                  <c:v>1.453397980657023E-2</c:v>
                </c:pt>
                <c:pt idx="1850">
                  <c:v>1.4533439867809861E-2</c:v>
                </c:pt>
                <c:pt idx="1851">
                  <c:v>1.4533486939756202E-2</c:v>
                </c:pt>
                <c:pt idx="1852">
                  <c:v>1.453351269547376E-2</c:v>
                </c:pt>
                <c:pt idx="1853">
                  <c:v>1.453351708420314E-2</c:v>
                </c:pt>
                <c:pt idx="1854">
                  <c:v>1.4533500055184945E-2</c:v>
                </c:pt>
                <c:pt idx="1855">
                  <c:v>1.4533461557979521E-2</c:v>
                </c:pt>
                <c:pt idx="1856">
                  <c:v>1.4533401541507729E-2</c:v>
                </c:pt>
                <c:pt idx="1857">
                  <c:v>1.4533319955409851E-2</c:v>
                </c:pt>
                <c:pt idx="1858">
                  <c:v>1.4533216748606748E-2</c:v>
                </c:pt>
                <c:pt idx="1859">
                  <c:v>1.4533091870818637E-2</c:v>
                </c:pt>
                <c:pt idx="1860">
                  <c:v>1.4532945271126252E-2</c:v>
                </c:pt>
                <c:pt idx="1861">
                  <c:v>1.4533897721676681E-2</c:v>
                </c:pt>
                <c:pt idx="1862">
                  <c:v>1.453258670315094E-2</c:v>
                </c:pt>
                <c:pt idx="1863">
                  <c:v>1.4532374633509093E-2</c:v>
                </c:pt>
                <c:pt idx="1864">
                  <c:v>1.4532140639245128E-2</c:v>
                </c:pt>
                <c:pt idx="1865">
                  <c:v>1.4531884669599648E-2</c:v>
                </c:pt>
                <c:pt idx="1866">
                  <c:v>1.4532423832154251E-2</c:v>
                </c:pt>
                <c:pt idx="1867">
                  <c:v>1.4531306601286431E-2</c:v>
                </c:pt>
                <c:pt idx="1868">
                  <c:v>1.4530984401259772E-2</c:v>
                </c:pt>
                <c:pt idx="1869">
                  <c:v>1.4530640023133756E-2</c:v>
                </c:pt>
                <c:pt idx="1870">
                  <c:v>1.4530273415989114E-2</c:v>
                </c:pt>
                <c:pt idx="1871">
                  <c:v>1.4529884529386194E-2</c:v>
                </c:pt>
                <c:pt idx="1872">
                  <c:v>1.4529473312485663E-2</c:v>
                </c:pt>
                <c:pt idx="1873">
                  <c:v>1.4529039714528125E-2</c:v>
                </c:pt>
                <c:pt idx="1874">
                  <c:v>1.4528583684914054E-2</c:v>
                </c:pt>
                <c:pt idx="1875">
                  <c:v>1.4528105172804118E-2</c:v>
                </c:pt>
                <c:pt idx="1876">
                  <c:v>1.4527604127758664E-2</c:v>
                </c:pt>
                <c:pt idx="1877">
                  <c:v>1.4527080498938361E-2</c:v>
                </c:pt>
                <c:pt idx="1878">
                  <c:v>1.4526534235503874E-2</c:v>
                </c:pt>
                <c:pt idx="1879">
                  <c:v>1.4525965287015552E-2</c:v>
                </c:pt>
                <c:pt idx="1880">
                  <c:v>1.4525373602634062E-2</c:v>
                </c:pt>
                <c:pt idx="1881">
                  <c:v>1.4524759131600007E-2</c:v>
                </c:pt>
                <c:pt idx="1882">
                  <c:v>1.4524121823313862E-2</c:v>
                </c:pt>
                <c:pt idx="1883">
                  <c:v>1.4523461627016232E-2</c:v>
                </c:pt>
                <c:pt idx="1884">
                  <c:v>1.4522778492027655E-2</c:v>
                </c:pt>
                <c:pt idx="1885">
                  <c:v>1.452207236766867E-2</c:v>
                </c:pt>
                <c:pt idx="1886">
                  <c:v>1.4521343203179882E-2</c:v>
                </c:pt>
                <c:pt idx="1887">
                  <c:v>1.4520590947961765E-2</c:v>
                </c:pt>
                <c:pt idx="1888">
                  <c:v>1.4519815551334858E-2</c:v>
                </c:pt>
                <c:pt idx="1889">
                  <c:v>1.451901696245983E-2</c:v>
                </c:pt>
                <c:pt idx="1890">
                  <c:v>1.4518195130657219E-2</c:v>
                </c:pt>
                <c:pt idx="1891">
                  <c:v>1.4517350005247565E-2</c:v>
                </c:pt>
                <c:pt idx="1892">
                  <c:v>1.4516481535631343E-2</c:v>
                </c:pt>
                <c:pt idx="1893">
                  <c:v>1.451558967096922E-2</c:v>
                </c:pt>
                <c:pt idx="1894">
                  <c:v>1.4514674360741608E-2</c:v>
                </c:pt>
                <c:pt idx="1895">
                  <c:v>1.4513735554029239E-2</c:v>
                </c:pt>
                <c:pt idx="1896">
                  <c:v>1.4512773200152651E-2</c:v>
                </c:pt>
                <c:pt idx="1897">
                  <c:v>1.4511787248672192E-2</c:v>
                </c:pt>
                <c:pt idx="1898">
                  <c:v>1.4510777648508721E-2</c:v>
                </c:pt>
                <c:pt idx="1899">
                  <c:v>1.4509744349222586E-2</c:v>
                </c:pt>
                <c:pt idx="1900">
                  <c:v>1.4509334478625124E-2</c:v>
                </c:pt>
                <c:pt idx="1901">
                  <c:v>1.4508248390265877E-2</c:v>
                </c:pt>
                <c:pt idx="1902">
                  <c:v>1.4506501749433909E-2</c:v>
                </c:pt>
                <c:pt idx="1903">
                  <c:v>1.4505373146382894E-2</c:v>
                </c:pt>
                <c:pt idx="1904">
                  <c:v>1.4504220590811912E-2</c:v>
                </c:pt>
                <c:pt idx="1905">
                  <c:v>1.4503044031721757E-2</c:v>
                </c:pt>
                <c:pt idx="1906">
                  <c:v>1.4501843418592841E-2</c:v>
                </c:pt>
                <c:pt idx="1907">
                  <c:v>1.4500618700665768E-2</c:v>
                </c:pt>
                <c:pt idx="1908">
                  <c:v>1.4499369827181141E-2</c:v>
                </c:pt>
                <c:pt idx="1909">
                  <c:v>1.4498096747699307E-2</c:v>
                </c:pt>
                <c:pt idx="1910">
                  <c:v>1.4496799411141126E-2</c:v>
                </c:pt>
                <c:pt idx="1911">
                  <c:v>1.449547776714688E-2</c:v>
                </c:pt>
                <c:pt idx="1912">
                  <c:v>1.4494131764797302E-2</c:v>
                </c:pt>
                <c:pt idx="1913">
                  <c:v>1.4492761353412931E-2</c:v>
                </c:pt>
                <c:pt idx="1914">
                  <c:v>1.4491366482474177E-2</c:v>
                </c:pt>
                <c:pt idx="1915">
                  <c:v>1.4489947100981837E-2</c:v>
                </c:pt>
                <c:pt idx="1916">
                  <c:v>1.4489251766375943E-2</c:v>
                </c:pt>
                <c:pt idx="1917">
                  <c:v>1.4487034604258042E-2</c:v>
                </c:pt>
                <c:pt idx="1918">
                  <c:v>1.4485541387507794E-2</c:v>
                </c:pt>
                <c:pt idx="1919">
                  <c:v>1.4484023457566053E-2</c:v>
                </c:pt>
                <c:pt idx="1920">
                  <c:v>1.4482480763753358E-2</c:v>
                </c:pt>
                <c:pt idx="1921">
                  <c:v>1.4480913255390249E-2</c:v>
                </c:pt>
                <c:pt idx="1922">
                  <c:v>1.4479320881717328E-2</c:v>
                </c:pt>
                <c:pt idx="1923">
                  <c:v>1.44777035919752E-2</c:v>
                </c:pt>
                <c:pt idx="1924">
                  <c:v>1.4476061335644275E-2</c:v>
                </c:pt>
                <c:pt idx="1925">
                  <c:v>1.4474394061965157E-2</c:v>
                </c:pt>
                <c:pt idx="1926">
                  <c:v>1.4472701720098513E-2</c:v>
                </c:pt>
                <c:pt idx="1927">
                  <c:v>1.4470984259444819E-2</c:v>
                </c:pt>
                <c:pt idx="1928">
                  <c:v>1.4469241629484486E-2</c:v>
                </c:pt>
                <c:pt idx="1929">
                  <c:v>1.4467473779218309E-2</c:v>
                </c:pt>
                <c:pt idx="1930">
                  <c:v>1.4465680658046765E-2</c:v>
                </c:pt>
                <c:pt idx="1931">
                  <c:v>1.4463862215290391E-2</c:v>
                </c:pt>
                <c:pt idx="1932">
                  <c:v>1.4462018400269727E-2</c:v>
                </c:pt>
                <c:pt idx="1933">
                  <c:v>1.4460149162305314E-2</c:v>
                </c:pt>
                <c:pt idx="1934">
                  <c:v>1.4458254450557817E-2</c:v>
                </c:pt>
                <c:pt idx="1935">
                  <c:v>1.4456334214507649E-2</c:v>
                </c:pt>
                <c:pt idx="1936">
                  <c:v>1.4454388403475349E-2</c:v>
                </c:pt>
                <c:pt idx="1937">
                  <c:v>1.4452416966541648E-2</c:v>
                </c:pt>
                <c:pt idx="1938">
                  <c:v>1.4450419853186958E-2</c:v>
                </c:pt>
                <c:pt idx="1939">
                  <c:v>1.4448397012571945E-2</c:v>
                </c:pt>
                <c:pt idx="1940">
                  <c:v>1.4446348394097086E-2</c:v>
                </c:pt>
                <c:pt idx="1941">
                  <c:v>1.444427394708292E-2</c:v>
                </c:pt>
                <c:pt idx="1942">
                  <c:v>1.4442173620770049E-2</c:v>
                </c:pt>
                <c:pt idx="1943">
                  <c:v>1.4440047364479014E-2</c:v>
                </c:pt>
                <c:pt idx="1944">
                  <c:v>1.4437895127530354E-2</c:v>
                </c:pt>
                <c:pt idx="1945">
                  <c:v>1.4435716859244607E-2</c:v>
                </c:pt>
                <c:pt idx="1946">
                  <c:v>1.4433512508862378E-2</c:v>
                </c:pt>
                <c:pt idx="1947">
                  <c:v>1.443128202562427E-2</c:v>
                </c:pt>
                <c:pt idx="1948">
                  <c:v>1.4429025359010694E-2</c:v>
                </c:pt>
                <c:pt idx="1949">
                  <c:v>1.4426742458102382E-2</c:v>
                </c:pt>
                <c:pt idx="1950">
                  <c:v>1.4424433272379744E-2</c:v>
                </c:pt>
                <c:pt idx="1951">
                  <c:v>1.4422097751083385E-2</c:v>
                </c:pt>
                <c:pt idx="1952">
                  <c:v>1.4419735843613779E-2</c:v>
                </c:pt>
                <c:pt idx="1953">
                  <c:v>1.4417347498971722E-2</c:v>
                </c:pt>
                <c:pt idx="1954">
                  <c:v>1.4414932666797498E-2</c:v>
                </c:pt>
                <c:pt idx="1955">
                  <c:v>1.44124912960919E-2</c:v>
                </c:pt>
                <c:pt idx="1956">
                  <c:v>1.4410023336495215E-2</c:v>
                </c:pt>
                <c:pt idx="1957">
                  <c:v>1.4407528737008235E-2</c:v>
                </c:pt>
                <c:pt idx="1958">
                  <c:v>1.4405007447191309E-2</c:v>
                </c:pt>
                <c:pt idx="1959">
                  <c:v>1.4402459416045232E-2</c:v>
                </c:pt>
                <c:pt idx="1960">
                  <c:v>1.4399884593050416E-2</c:v>
                </c:pt>
                <c:pt idx="1961">
                  <c:v>1.4397282927527399E-2</c:v>
                </c:pt>
                <c:pt idx="1962">
                  <c:v>1.4394654368796722E-2</c:v>
                </c:pt>
                <c:pt idx="1963">
                  <c:v>1.4391998866019051E-2</c:v>
                </c:pt>
                <c:pt idx="1964">
                  <c:v>1.4389316368514926E-2</c:v>
                </c:pt>
                <c:pt idx="1965">
                  <c:v>1.4386606825764758E-2</c:v>
                </c:pt>
                <c:pt idx="1966">
                  <c:v>1.4383870186769343E-2</c:v>
                </c:pt>
                <c:pt idx="1967">
                  <c:v>1.4381460097393273E-2</c:v>
                </c:pt>
                <c:pt idx="1968">
                  <c:v>1.4378315418124288E-2</c:v>
                </c:pt>
                <c:pt idx="1969">
                  <c:v>1.4375497186716046E-2</c:v>
                </c:pt>
                <c:pt idx="1970">
                  <c:v>1.4372651656584523E-2</c:v>
                </c:pt>
                <c:pt idx="1971">
                  <c:v>1.4369778776890385E-2</c:v>
                </c:pt>
                <c:pt idx="1972">
                  <c:v>1.4366878496954172E-2</c:v>
                </c:pt>
                <c:pt idx="1973">
                  <c:v>1.4363954463059159E-2</c:v>
                </c:pt>
                <c:pt idx="1974">
                  <c:v>1.4361028635638817E-2</c:v>
                </c:pt>
                <c:pt idx="1975">
                  <c:v>1.4358104732838939E-2</c:v>
                </c:pt>
                <c:pt idx="1976">
                  <c:v>1.4355182779119957E-2</c:v>
                </c:pt>
                <c:pt idx="1977">
                  <c:v>1.4352262798622561E-2</c:v>
                </c:pt>
                <c:pt idx="1978">
                  <c:v>1.4349344815807186E-2</c:v>
                </c:pt>
                <c:pt idx="1979">
                  <c:v>1.4346428854894455E-2</c:v>
                </c:pt>
                <c:pt idx="1980">
                  <c:v>1.4343514940344804E-2</c:v>
                </c:pt>
                <c:pt idx="1981">
                  <c:v>1.4340603096298921E-2</c:v>
                </c:pt>
                <c:pt idx="1982">
                  <c:v>1.4337693347377112E-2</c:v>
                </c:pt>
                <c:pt idx="1983">
                  <c:v>1.4334785717640131E-2</c:v>
                </c:pt>
                <c:pt idx="1984">
                  <c:v>1.4331880231388539E-2</c:v>
                </c:pt>
                <c:pt idx="1985">
                  <c:v>1.4328976913162705E-2</c:v>
                </c:pt>
                <c:pt idx="1986">
                  <c:v>1.4326075787103321E-2</c:v>
                </c:pt>
                <c:pt idx="1987">
                  <c:v>1.4323176877670818E-2</c:v>
                </c:pt>
                <c:pt idx="1988">
                  <c:v>1.4320280209085823E-2</c:v>
                </c:pt>
                <c:pt idx="1989">
                  <c:v>1.4317385805728833E-2</c:v>
                </c:pt>
                <c:pt idx="1990">
                  <c:v>1.4314493691980346E-2</c:v>
                </c:pt>
                <c:pt idx="1991">
                  <c:v>1.4311603891981051E-2</c:v>
                </c:pt>
                <c:pt idx="1992">
                  <c:v>1.4308716430191382E-2</c:v>
                </c:pt>
                <c:pt idx="1993">
                  <c:v>1.43058313309119E-2</c:v>
                </c:pt>
                <c:pt idx="1994">
                  <c:v>1.4302948618682976E-2</c:v>
                </c:pt>
                <c:pt idx="1995">
                  <c:v>1.430006831740549E-2</c:v>
                </c:pt>
                <c:pt idx="1996">
                  <c:v>1.4297190451699748E-2</c:v>
                </c:pt>
                <c:pt idx="1997">
                  <c:v>1.4294315045706441E-2</c:v>
                </c:pt>
                <c:pt idx="1998">
                  <c:v>1.4291442124045872E-2</c:v>
                </c:pt>
                <c:pt idx="1999">
                  <c:v>1.4288571710698861E-2</c:v>
                </c:pt>
                <c:pt idx="2000">
                  <c:v>1.4285703830285712E-2</c:v>
                </c:pt>
                <c:pt idx="2001">
                  <c:v>1.4282838506947115E-2</c:v>
                </c:pt>
                <c:pt idx="2002">
                  <c:v>1.4279975764983632E-2</c:v>
                </c:pt>
                <c:pt idx="2003">
                  <c:v>1.4277115628855697E-2</c:v>
                </c:pt>
                <c:pt idx="2004">
                  <c:v>1.4274258122703998E-2</c:v>
                </c:pt>
                <c:pt idx="2005">
                  <c:v>1.4271232902050013E-2</c:v>
                </c:pt>
                <c:pt idx="2006">
                  <c:v>1.4268302180617809E-2</c:v>
                </c:pt>
                <c:pt idx="2007">
                  <c:v>1.4265453261943506E-2</c:v>
                </c:pt>
                <c:pt idx="2008">
                  <c:v>1.4262607077908385E-2</c:v>
                </c:pt>
                <c:pt idx="2009">
                  <c:v>1.4259763652813007E-2</c:v>
                </c:pt>
                <c:pt idx="2010">
                  <c:v>1.425692301103787E-2</c:v>
                </c:pt>
                <c:pt idx="2011">
                  <c:v>1.4254085176750309E-2</c:v>
                </c:pt>
                <c:pt idx="2012">
                  <c:v>1.4251250174437402E-2</c:v>
                </c:pt>
                <c:pt idx="2013">
                  <c:v>1.4248418028346421E-2</c:v>
                </c:pt>
                <c:pt idx="2014">
                  <c:v>1.4245588762857864E-2</c:v>
                </c:pt>
                <c:pt idx="2015">
                  <c:v>1.4242762402272291E-2</c:v>
                </c:pt>
                <c:pt idx="2016">
                  <c:v>1.423993897091691E-2</c:v>
                </c:pt>
                <c:pt idx="2017">
                  <c:v>1.4235347696223144E-2</c:v>
                </c:pt>
                <c:pt idx="2018">
                  <c:v>1.423430099315226E-2</c:v>
                </c:pt>
                <c:pt idx="2019">
                  <c:v>1.4231486495477341E-2</c:v>
                </c:pt>
                <c:pt idx="2020">
                  <c:v>1.4228675024261506E-2</c:v>
                </c:pt>
                <c:pt idx="2021">
                  <c:v>1.4225866603965187E-2</c:v>
                </c:pt>
                <c:pt idx="2022">
                  <c:v>1.4223061258809011E-2</c:v>
                </c:pt>
                <c:pt idx="2023">
                  <c:v>1.4220259013226766E-2</c:v>
                </c:pt>
                <c:pt idx="2024">
                  <c:v>1.4217459891439077E-2</c:v>
                </c:pt>
                <c:pt idx="2025">
                  <c:v>1.4214663917853088E-2</c:v>
                </c:pt>
                <c:pt idx="2026">
                  <c:v>1.4211871116769359E-2</c:v>
                </c:pt>
                <c:pt idx="2027">
                  <c:v>1.4209081512541744E-2</c:v>
                </c:pt>
                <c:pt idx="2028">
                  <c:v>1.4206295129417512E-2</c:v>
                </c:pt>
                <c:pt idx="2029">
                  <c:v>1.4203511991777162E-2</c:v>
                </c:pt>
                <c:pt idx="2030">
                  <c:v>1.4200732123974547E-2</c:v>
                </c:pt>
                <c:pt idx="2031">
                  <c:v>1.4197955550283581E-2</c:v>
                </c:pt>
                <c:pt idx="2032">
                  <c:v>1.4195182295084763E-2</c:v>
                </c:pt>
                <c:pt idx="2033">
                  <c:v>1.4192412382652009E-2</c:v>
                </c:pt>
                <c:pt idx="2034">
                  <c:v>1.4189645837339171E-2</c:v>
                </c:pt>
                <c:pt idx="2035">
                  <c:v>1.4186882683473456E-2</c:v>
                </c:pt>
                <c:pt idx="2036">
                  <c:v>1.4184122945408717E-2</c:v>
                </c:pt>
                <c:pt idx="2037">
                  <c:v>1.4181366647418869E-2</c:v>
                </c:pt>
                <c:pt idx="2038">
                  <c:v>1.417861381383112E-2</c:v>
                </c:pt>
                <c:pt idx="2039">
                  <c:v>1.4175864469025967E-2</c:v>
                </c:pt>
                <c:pt idx="2040">
                  <c:v>1.4173118637303972E-2</c:v>
                </c:pt>
                <c:pt idx="2041">
                  <c:v>1.4170376342965696E-2</c:v>
                </c:pt>
                <c:pt idx="2042">
                  <c:v>1.4167637610391637E-2</c:v>
                </c:pt>
                <c:pt idx="2043">
                  <c:v>1.4164902463829065E-2</c:v>
                </c:pt>
                <c:pt idx="2044">
                  <c:v>1.416217092771177E-2</c:v>
                </c:pt>
                <c:pt idx="2045">
                  <c:v>1.4159443026287022E-2</c:v>
                </c:pt>
                <c:pt idx="2046">
                  <c:v>1.4156718783908673E-2</c:v>
                </c:pt>
                <c:pt idx="2047">
                  <c:v>1.415399822490393E-2</c:v>
                </c:pt>
                <c:pt idx="2048">
                  <c:v>1.41512813736E-2</c:v>
                </c:pt>
                <c:pt idx="2049">
                  <c:v>1.414856825432409E-2</c:v>
                </c:pt>
                <c:pt idx="2050">
                  <c:v>1.4145858891350116E-2</c:v>
                </c:pt>
                <c:pt idx="2051">
                  <c:v>1.4143153309085221E-2</c:v>
                </c:pt>
                <c:pt idx="2052">
                  <c:v>1.4140451531829967E-2</c:v>
                </c:pt>
                <c:pt idx="2053">
                  <c:v>1.4137753583884916E-2</c:v>
                </c:pt>
                <c:pt idx="2054">
                  <c:v>1.4135059489657209E-2</c:v>
                </c:pt>
                <c:pt idx="2055">
                  <c:v>1.4132369273367473E-2</c:v>
                </c:pt>
                <c:pt idx="2056">
                  <c:v>1.4129682959422851E-2</c:v>
                </c:pt>
                <c:pt idx="2057">
                  <c:v>1.4125766384558425E-2</c:v>
                </c:pt>
                <c:pt idx="2058">
                  <c:v>1.4123003509469712E-2</c:v>
                </c:pt>
                <c:pt idx="2059">
                  <c:v>1.4120330398377234E-2</c:v>
                </c:pt>
                <c:pt idx="2060">
                  <c:v>1.4117661293360229E-2</c:v>
                </c:pt>
                <c:pt idx="2061">
                  <c:v>1.4114996218879128E-2</c:v>
                </c:pt>
                <c:pt idx="2062">
                  <c:v>1.4112335199234494E-2</c:v>
                </c:pt>
                <c:pt idx="2063">
                  <c:v>1.410967825888676E-2</c:v>
                </c:pt>
                <c:pt idx="2064">
                  <c:v>1.4107025421976616E-2</c:v>
                </c:pt>
                <c:pt idx="2065">
                  <c:v>1.4104376712964495E-2</c:v>
                </c:pt>
                <c:pt idx="2066">
                  <c:v>1.4101732155991087E-2</c:v>
                </c:pt>
                <c:pt idx="2067">
                  <c:v>1.4099091775596762E-2</c:v>
                </c:pt>
                <c:pt idx="2068">
                  <c:v>1.4096455596162016E-2</c:v>
                </c:pt>
                <c:pt idx="2069">
                  <c:v>1.4093823641667669E-2</c:v>
                </c:pt>
                <c:pt idx="2070">
                  <c:v>1.4091195936813961E-2</c:v>
                </c:pt>
                <c:pt idx="2071">
                  <c:v>1.4088572505661645E-2</c:v>
                </c:pt>
                <c:pt idx="2072">
                  <c:v>1.4085205841753989E-2</c:v>
                </c:pt>
                <c:pt idx="2073">
                  <c:v>1.4083338562143055E-2</c:v>
                </c:pt>
                <c:pt idx="2074">
                  <c:v>1.4080728098297968E-2</c:v>
                </c:pt>
                <c:pt idx="2075">
                  <c:v>1.4078122005596327E-2</c:v>
                </c:pt>
                <c:pt idx="2076">
                  <c:v>1.4075520308338696E-2</c:v>
                </c:pt>
                <c:pt idx="2077">
                  <c:v>1.4072923030745699E-2</c:v>
                </c:pt>
                <c:pt idx="2078">
                  <c:v>1.4070330197357706E-2</c:v>
                </c:pt>
                <c:pt idx="2079">
                  <c:v>1.4067741832315406E-2</c:v>
                </c:pt>
                <c:pt idx="2080">
                  <c:v>1.4065157959999297E-2</c:v>
                </c:pt>
                <c:pt idx="2081">
                  <c:v>1.4062578604709941E-2</c:v>
                </c:pt>
                <c:pt idx="2082">
                  <c:v>1.4060003790907771E-2</c:v>
                </c:pt>
                <c:pt idx="2083">
                  <c:v>1.4057433542733477E-2</c:v>
                </c:pt>
                <c:pt idx="2084">
                  <c:v>1.4054867884567557E-2</c:v>
                </c:pt>
                <c:pt idx="2085">
                  <c:v>1.4052306840710571E-2</c:v>
                </c:pt>
                <c:pt idx="2086">
                  <c:v>1.4049750435622954E-2</c:v>
                </c:pt>
                <c:pt idx="2087">
                  <c:v>1.4047198693525331E-2</c:v>
                </c:pt>
                <c:pt idx="2088">
                  <c:v>1.4044651638718264E-2</c:v>
                </c:pt>
                <c:pt idx="2089">
                  <c:v>1.4042109295502314E-2</c:v>
                </c:pt>
                <c:pt idx="2090">
                  <c:v>1.4039571688417851E-2</c:v>
                </c:pt>
                <c:pt idx="2091">
                  <c:v>1.4037038841685501E-2</c:v>
                </c:pt>
                <c:pt idx="2092">
                  <c:v>1.403451077928608E-2</c:v>
                </c:pt>
                <c:pt idx="2093">
                  <c:v>1.4031987526159639E-2</c:v>
                </c:pt>
                <c:pt idx="2094">
                  <c:v>1.4029469106127124E-2</c:v>
                </c:pt>
                <c:pt idx="2095">
                  <c:v>1.4026955543808839E-2</c:v>
                </c:pt>
                <c:pt idx="2096">
                  <c:v>1.4024446863265538E-2</c:v>
                </c:pt>
                <c:pt idx="2097">
                  <c:v>1.4021943089197464E-2</c:v>
                </c:pt>
                <c:pt idx="2098">
                  <c:v>1.4019444245505497E-2</c:v>
                </c:pt>
                <c:pt idx="2099">
                  <c:v>1.4016950356809943E-2</c:v>
                </c:pt>
                <c:pt idx="2100">
                  <c:v>1.4014461447331428E-2</c:v>
                </c:pt>
                <c:pt idx="2101">
                  <c:v>1.4011977541450449E-2</c:v>
                </c:pt>
                <c:pt idx="2102">
                  <c:v>1.4009498663467568E-2</c:v>
                </c:pt>
                <c:pt idx="2103">
                  <c:v>1.4007024837523474E-2</c:v>
                </c:pt>
                <c:pt idx="2104">
                  <c:v>1.4004556088318409E-2</c:v>
                </c:pt>
                <c:pt idx="2105">
                  <c:v>1.4002092439913127E-2</c:v>
                </c:pt>
                <c:pt idx="2106">
                  <c:v>1.399963391660819E-2</c:v>
                </c:pt>
                <c:pt idx="2107">
                  <c:v>1.3997180542943966E-2</c:v>
                </c:pt>
                <c:pt idx="2108">
                  <c:v>1.3994732343061145E-2</c:v>
                </c:pt>
                <c:pt idx="2109">
                  <c:v>1.3992038435044485E-2</c:v>
                </c:pt>
                <c:pt idx="2110">
                  <c:v>1.3989503735674091E-2</c:v>
                </c:pt>
                <c:pt idx="2111">
                  <c:v>1.3987071954657537E-2</c:v>
                </c:pt>
                <c:pt idx="2112">
                  <c:v>1.3984645448461563E-2</c:v>
                </c:pt>
                <c:pt idx="2113">
                  <c:v>1.3982224241066987E-2</c:v>
                </c:pt>
                <c:pt idx="2114">
                  <c:v>1.3979808357014178E-2</c:v>
                </c:pt>
                <c:pt idx="2115">
                  <c:v>1.3977397820523763E-2</c:v>
                </c:pt>
                <c:pt idx="2116">
                  <c:v>1.3974992655896301E-2</c:v>
                </c:pt>
                <c:pt idx="2117">
                  <c:v>1.3972592887672164E-2</c:v>
                </c:pt>
                <c:pt idx="2118">
                  <c:v>1.3970198539752232E-2</c:v>
                </c:pt>
                <c:pt idx="2119">
                  <c:v>1.3967809636836748E-2</c:v>
                </c:pt>
                <c:pt idx="2120">
                  <c:v>1.3965426203306208E-2</c:v>
                </c:pt>
                <c:pt idx="2121">
                  <c:v>1.3963048263061495E-2</c:v>
                </c:pt>
                <c:pt idx="2122">
                  <c:v>1.3960675840722914E-2</c:v>
                </c:pt>
                <c:pt idx="2123">
                  <c:v>1.3957633730639074E-2</c:v>
                </c:pt>
                <c:pt idx="2124">
                  <c:v>1.3955274011978602E-2</c:v>
                </c:pt>
                <c:pt idx="2125">
                  <c:v>1.3952919891000448E-2</c:v>
                </c:pt>
                <c:pt idx="2126">
                  <c:v>1.3950879821167383E-2</c:v>
                </c:pt>
                <c:pt idx="2127">
                  <c:v>1.3948228540012764E-2</c:v>
                </c:pt>
                <c:pt idx="2128">
                  <c:v>1.394589135852442E-2</c:v>
                </c:pt>
                <c:pt idx="2129">
                  <c:v>1.3943559872000577E-2</c:v>
                </c:pt>
                <c:pt idx="2130">
                  <c:v>1.3941234104901667E-2</c:v>
                </c:pt>
                <c:pt idx="2131">
                  <c:v>1.3938914081608189E-2</c:v>
                </c:pt>
                <c:pt idx="2132">
                  <c:v>1.3936599826420704E-2</c:v>
                </c:pt>
                <c:pt idx="2133">
                  <c:v>1.3934291363559836E-2</c:v>
                </c:pt>
                <c:pt idx="2134">
                  <c:v>1.3931988717565957E-2</c:v>
                </c:pt>
                <c:pt idx="2135">
                  <c:v>1.3929691912339948E-2</c:v>
                </c:pt>
                <c:pt idx="2136">
                  <c:v>1.3927400972741921E-2</c:v>
                </c:pt>
                <c:pt idx="2137">
                  <c:v>1.3925115922752695E-2</c:v>
                </c:pt>
                <c:pt idx="2138">
                  <c:v>1.3922836786752768E-2</c:v>
                </c:pt>
                <c:pt idx="2139">
                  <c:v>1.39205635890427E-2</c:v>
                </c:pt>
                <c:pt idx="2140">
                  <c:v>1.3918296354082926E-2</c:v>
                </c:pt>
                <c:pt idx="2141">
                  <c:v>1.3916035106174007E-2</c:v>
                </c:pt>
                <c:pt idx="2142">
                  <c:v>1.3913779869456633E-2</c:v>
                </c:pt>
                <c:pt idx="2143">
                  <c:v>1.3911530668471173E-2</c:v>
                </c:pt>
                <c:pt idx="2144">
                  <c:v>1.3909287527438252E-2</c:v>
                </c:pt>
                <c:pt idx="2145">
                  <c:v>1.3907050470818305E-2</c:v>
                </c:pt>
                <c:pt idx="2146">
                  <c:v>1.3904819522672085E-2</c:v>
                </c:pt>
                <c:pt idx="2147">
                  <c:v>1.3902594707539961E-2</c:v>
                </c:pt>
                <c:pt idx="2148">
                  <c:v>1.3900376049562624E-2</c:v>
                </c:pt>
                <c:pt idx="2149">
                  <c:v>1.3898163573280442E-2</c:v>
                </c:pt>
                <c:pt idx="2150">
                  <c:v>1.3895957302914042E-2</c:v>
                </c:pt>
                <c:pt idx="2151">
                  <c:v>1.389375726284392E-2</c:v>
                </c:pt>
                <c:pt idx="2152">
                  <c:v>1.3891563477290703E-2</c:v>
                </c:pt>
                <c:pt idx="2153">
                  <c:v>1.3889375970634887E-2</c:v>
                </c:pt>
                <c:pt idx="2154">
                  <c:v>1.3887194767177036E-2</c:v>
                </c:pt>
                <c:pt idx="2155">
                  <c:v>1.3885019891457517E-2</c:v>
                </c:pt>
                <c:pt idx="2156">
                  <c:v>1.388285136745715E-2</c:v>
                </c:pt>
                <c:pt idx="2157">
                  <c:v>1.3880689219636366E-2</c:v>
                </c:pt>
                <c:pt idx="2158">
                  <c:v>1.3878533472295729E-2</c:v>
                </c:pt>
                <c:pt idx="2159">
                  <c:v>1.3876384149975607E-2</c:v>
                </c:pt>
                <c:pt idx="2160">
                  <c:v>1.3874585042012999E-2</c:v>
                </c:pt>
                <c:pt idx="2161">
                  <c:v>1.3872449786100916E-2</c:v>
                </c:pt>
                <c:pt idx="2162">
                  <c:v>1.3869974975184718E-2</c:v>
                </c:pt>
                <c:pt idx="2163">
                  <c:v>1.3867851595472658E-2</c:v>
                </c:pt>
                <c:pt idx="2164">
                  <c:v>1.3865734762203985E-2</c:v>
                </c:pt>
                <c:pt idx="2165">
                  <c:v>1.3863624499679261E-2</c:v>
                </c:pt>
                <c:pt idx="2166">
                  <c:v>1.3861520832438856E-2</c:v>
                </c:pt>
                <c:pt idx="2167">
                  <c:v>1.3859423784463587E-2</c:v>
                </c:pt>
                <c:pt idx="2168">
                  <c:v>1.3857333380453696E-2</c:v>
                </c:pt>
                <c:pt idx="2169">
                  <c:v>1.385524964439E-2</c:v>
                </c:pt>
                <c:pt idx="2170">
                  <c:v>1.3853172600812869E-2</c:v>
                </c:pt>
                <c:pt idx="2171">
                  <c:v>1.38511022741028E-2</c:v>
                </c:pt>
                <c:pt idx="2172">
                  <c:v>1.3849038688320547E-2</c:v>
                </c:pt>
                <c:pt idx="2173">
                  <c:v>1.3846981868086417E-2</c:v>
                </c:pt>
                <c:pt idx="2174">
                  <c:v>1.3844931837461161E-2</c:v>
                </c:pt>
                <c:pt idx="2175">
                  <c:v>1.3842888620905214E-2</c:v>
                </c:pt>
                <c:pt idx="2176">
                  <c:v>1.3841336045061325E-2</c:v>
                </c:pt>
                <c:pt idx="2177">
                  <c:v>1.3838822727363365E-2</c:v>
                </c:pt>
                <c:pt idx="2178">
                  <c:v>1.3836800099058522E-2</c:v>
                </c:pt>
                <c:pt idx="2179">
                  <c:v>1.3834784382025234E-2</c:v>
                </c:pt>
                <c:pt idx="2180">
                  <c:v>1.3832775600564062E-2</c:v>
                </c:pt>
                <c:pt idx="2181">
                  <c:v>1.3830773779295313E-2</c:v>
                </c:pt>
                <c:pt idx="2182">
                  <c:v>1.382877894227974E-2</c:v>
                </c:pt>
                <c:pt idx="2183">
                  <c:v>1.3826791113897841E-2</c:v>
                </c:pt>
                <c:pt idx="2184">
                  <c:v>1.3824810318610048E-2</c:v>
                </c:pt>
                <c:pt idx="2185">
                  <c:v>1.3822836580477116E-2</c:v>
                </c:pt>
                <c:pt idx="2186">
                  <c:v>1.3820869923959478E-2</c:v>
                </c:pt>
                <c:pt idx="2187">
                  <c:v>1.3818910373597504E-2</c:v>
                </c:pt>
                <c:pt idx="2188">
                  <c:v>1.3816957953372011E-2</c:v>
                </c:pt>
                <c:pt idx="2189">
                  <c:v>1.3815012687823369E-2</c:v>
                </c:pt>
                <c:pt idx="2190">
                  <c:v>1.381307460125214E-2</c:v>
                </c:pt>
                <c:pt idx="2191">
                  <c:v>1.3811143717878949E-2</c:v>
                </c:pt>
                <c:pt idx="2192">
                  <c:v>1.3809220062084293E-2</c:v>
                </c:pt>
                <c:pt idx="2193">
                  <c:v>1.3807303658248671E-2</c:v>
                </c:pt>
                <c:pt idx="2194">
                  <c:v>1.3805394530592707E-2</c:v>
                </c:pt>
                <c:pt idx="2195">
                  <c:v>1.3803492703576836E-2</c:v>
                </c:pt>
                <c:pt idx="2196">
                  <c:v>1.3801598201421683E-2</c:v>
                </c:pt>
                <c:pt idx="2197">
                  <c:v>1.3799711048347874E-2</c:v>
                </c:pt>
                <c:pt idx="2198">
                  <c:v>1.3797831269055649E-2</c:v>
                </c:pt>
                <c:pt idx="2199">
                  <c:v>1.3795958887445892E-2</c:v>
                </c:pt>
                <c:pt idx="2200">
                  <c:v>1.3794093928138906E-2</c:v>
                </c:pt>
                <c:pt idx="2201">
                  <c:v>1.3792236415275383E-2</c:v>
                </c:pt>
                <c:pt idx="2202">
                  <c:v>1.3790386373315755E-2</c:v>
                </c:pt>
                <c:pt idx="2203">
                  <c:v>1.3788543826480648E-2</c:v>
                </c:pt>
                <c:pt idx="2204">
                  <c:v>1.3786708799070624E-2</c:v>
                </c:pt>
                <c:pt idx="2205">
                  <c:v>1.3784881315546116E-2</c:v>
                </c:pt>
                <c:pt idx="2206">
                  <c:v>1.378306140012775E-2</c:v>
                </c:pt>
                <c:pt idx="2207">
                  <c:v>1.3781249077275959E-2</c:v>
                </c:pt>
                <c:pt idx="2208">
                  <c:v>1.3779444371051497E-2</c:v>
                </c:pt>
                <c:pt idx="2209">
                  <c:v>1.377764730607467E-2</c:v>
                </c:pt>
                <c:pt idx="2210">
                  <c:v>1.3775857906486166E-2</c:v>
                </c:pt>
                <c:pt idx="2211">
                  <c:v>1.3774076196746421E-2</c:v>
                </c:pt>
                <c:pt idx="2212">
                  <c:v>1.3772302201076059E-2</c:v>
                </c:pt>
                <c:pt idx="2213">
                  <c:v>1.3770535943695705E-2</c:v>
                </c:pt>
                <c:pt idx="2214">
                  <c:v>1.3768777449225666E-2</c:v>
                </c:pt>
                <c:pt idx="2215">
                  <c:v>1.3767026741806632E-2</c:v>
                </c:pt>
                <c:pt idx="2216">
                  <c:v>1.376528384557929E-2</c:v>
                </c:pt>
                <c:pt idx="2217">
                  <c:v>1.376354878532382E-2</c:v>
                </c:pt>
                <c:pt idx="2218">
                  <c:v>1.3761821585100975E-2</c:v>
                </c:pt>
                <c:pt idx="2219">
                  <c:v>1.3760102269051444E-2</c:v>
                </c:pt>
                <c:pt idx="2220">
                  <c:v>1.3758390861875469E-2</c:v>
                </c:pt>
                <c:pt idx="2221">
                  <c:v>1.3756687387633804E-2</c:v>
                </c:pt>
                <c:pt idx="2222">
                  <c:v>1.3754991870627009E-2</c:v>
                </c:pt>
                <c:pt idx="2223">
                  <c:v>1.3753304335555327E-2</c:v>
                </c:pt>
                <c:pt idx="2224">
                  <c:v>1.375162480631964E-2</c:v>
                </c:pt>
                <c:pt idx="2225">
                  <c:v>1.374995330738038E-2</c:v>
                </c:pt>
                <c:pt idx="2226">
                  <c:v>1.3748289863197982E-2</c:v>
                </c:pt>
                <c:pt idx="2227">
                  <c:v>1.3747212990462998E-2</c:v>
                </c:pt>
                <c:pt idx="2228">
                  <c:v>1.3744987236066208E-2</c:v>
                </c:pt>
                <c:pt idx="2229">
                  <c:v>1.374334810163802E-2</c:v>
                </c:pt>
                <c:pt idx="2230">
                  <c:v>1.3741717119168939E-2</c:v>
                </c:pt>
                <c:pt idx="2231">
                  <c:v>1.37400943131194E-2</c:v>
                </c:pt>
                <c:pt idx="2232">
                  <c:v>1.3738479707630091E-2</c:v>
                </c:pt>
                <c:pt idx="2233">
                  <c:v>1.3736869430598375E-2</c:v>
                </c:pt>
                <c:pt idx="2234">
                  <c:v>1.3735240313517139E-2</c:v>
                </c:pt>
                <c:pt idx="2235">
                  <c:v>1.37335884194556E-2</c:v>
                </c:pt>
                <c:pt idx="2236">
                  <c:v>1.3731913704848608E-2</c:v>
                </c:pt>
                <c:pt idx="2237">
                  <c:v>1.3730216126210948E-2</c:v>
                </c:pt>
                <c:pt idx="2238">
                  <c:v>1.3728495640137339E-2</c:v>
                </c:pt>
                <c:pt idx="2239">
                  <c:v>1.3726752203222503E-2</c:v>
                </c:pt>
                <c:pt idx="2240">
                  <c:v>1.3724985771981224E-2</c:v>
                </c:pt>
                <c:pt idx="2241">
                  <c:v>1.3723196302928287E-2</c:v>
                </c:pt>
                <c:pt idx="2242">
                  <c:v>1.3721383752818284E-2</c:v>
                </c:pt>
                <c:pt idx="2243">
                  <c:v>1.3719548078006127E-2</c:v>
                </c:pt>
                <c:pt idx="2244">
                  <c:v>1.3717689234926667E-2</c:v>
                </c:pt>
                <c:pt idx="2245">
                  <c:v>1.3715807180494366E-2</c:v>
                </c:pt>
                <c:pt idx="2246">
                  <c:v>1.3713901870904266E-2</c:v>
                </c:pt>
                <c:pt idx="2247">
                  <c:v>1.3711973262990895E-2</c:v>
                </c:pt>
                <c:pt idx="2248">
                  <c:v>1.371002131302923E-2</c:v>
                </c:pt>
                <c:pt idx="2249">
                  <c:v>1.3708045977933736E-2</c:v>
                </c:pt>
                <c:pt idx="2250">
                  <c:v>1.3706047213899453E-2</c:v>
                </c:pt>
                <c:pt idx="2251">
                  <c:v>1.3704024977521101E-2</c:v>
                </c:pt>
                <c:pt idx="2252">
                  <c:v>1.3701979225473337E-2</c:v>
                </c:pt>
                <c:pt idx="2253">
                  <c:v>1.3699909914350883E-2</c:v>
                </c:pt>
                <c:pt idx="2254">
                  <c:v>1.3697817000588586E-2</c:v>
                </c:pt>
                <c:pt idx="2255">
                  <c:v>1.3695700440701231E-2</c:v>
                </c:pt>
                <c:pt idx="2256">
                  <c:v>1.3693560191523346E-2</c:v>
                </c:pt>
                <c:pt idx="2257">
                  <c:v>1.3691396209329909E-2</c:v>
                </c:pt>
                <c:pt idx="2258">
                  <c:v>1.3689208450635704E-2</c:v>
                </c:pt>
                <c:pt idx="2259">
                  <c:v>1.3686996872115387E-2</c:v>
                </c:pt>
                <c:pt idx="2260">
                  <c:v>1.3684761430363679E-2</c:v>
                </c:pt>
                <c:pt idx="2261">
                  <c:v>1.3682502081735493E-2</c:v>
                </c:pt>
                <c:pt idx="2262">
                  <c:v>1.368021878298542E-2</c:v>
                </c:pt>
                <c:pt idx="2263">
                  <c:v>1.3677911490708183E-2</c:v>
                </c:pt>
                <c:pt idx="2264">
                  <c:v>1.3675580161178758E-2</c:v>
                </c:pt>
                <c:pt idx="2265">
                  <c:v>1.3673224751231672E-2</c:v>
                </c:pt>
                <c:pt idx="2266">
                  <c:v>1.3670845217061967E-2</c:v>
                </c:pt>
                <c:pt idx="2267">
                  <c:v>1.3668441515743979E-2</c:v>
                </c:pt>
                <c:pt idx="2268">
                  <c:v>1.3666013603392813E-2</c:v>
                </c:pt>
                <c:pt idx="2269">
                  <c:v>1.3663561436683125E-2</c:v>
                </c:pt>
                <c:pt idx="2270">
                  <c:v>1.3661084972209636E-2</c:v>
                </c:pt>
                <c:pt idx="2271">
                  <c:v>1.3658584166567067E-2</c:v>
                </c:pt>
                <c:pt idx="2272">
                  <c:v>1.3656058976270202E-2</c:v>
                </c:pt>
                <c:pt idx="2273">
                  <c:v>1.3653509357673954E-2</c:v>
                </c:pt>
                <c:pt idx="2274">
                  <c:v>1.3650935267532915E-2</c:v>
                </c:pt>
                <c:pt idx="2275">
                  <c:v>1.3648336662441807E-2</c:v>
                </c:pt>
                <c:pt idx="2276">
                  <c:v>1.3645713498835477E-2</c:v>
                </c:pt>
                <c:pt idx="2277">
                  <c:v>1.364306573322871E-2</c:v>
                </c:pt>
                <c:pt idx="2278">
                  <c:v>1.3640658330663413E-2</c:v>
                </c:pt>
                <c:pt idx="2279">
                  <c:v>1.363769622255262E-2</c:v>
                </c:pt>
                <c:pt idx="2280">
                  <c:v>1.3634974390592802E-2</c:v>
                </c:pt>
                <c:pt idx="2281">
                  <c:v>1.3632227782771622E-2</c:v>
                </c:pt>
                <c:pt idx="2282">
                  <c:v>1.3629456355843672E-2</c:v>
                </c:pt>
                <c:pt idx="2283">
                  <c:v>1.3626660066323737E-2</c:v>
                </c:pt>
                <c:pt idx="2284">
                  <c:v>1.3623838870646665E-2</c:v>
                </c:pt>
                <c:pt idx="2285">
                  <c:v>1.3620992725487113E-2</c:v>
                </c:pt>
                <c:pt idx="2286">
                  <c:v>1.3618121587359866E-2</c:v>
                </c:pt>
                <c:pt idx="2287">
                  <c:v>1.3615225412779708E-2</c:v>
                </c:pt>
                <c:pt idx="2288">
                  <c:v>1.3612304158421296E-2</c:v>
                </c:pt>
                <c:pt idx="2289">
                  <c:v>1.3609357780719478E-2</c:v>
                </c:pt>
                <c:pt idx="2290">
                  <c:v>1.3606386236268975E-2</c:v>
                </c:pt>
                <c:pt idx="2291">
                  <c:v>1.3603389481424699E-2</c:v>
                </c:pt>
                <c:pt idx="2292">
                  <c:v>1.3600367473101116E-2</c:v>
                </c:pt>
                <c:pt idx="2293">
                  <c:v>1.3597320167573201E-2</c:v>
                </c:pt>
                <c:pt idx="2294">
                  <c:v>1.3594247521515612E-2</c:v>
                </c:pt>
                <c:pt idx="2295">
                  <c:v>1.3591149491363197E-2</c:v>
                </c:pt>
                <c:pt idx="2296">
                  <c:v>1.3588026033950484E-2</c:v>
                </c:pt>
                <c:pt idx="2297">
                  <c:v>1.3584877105472515E-2</c:v>
                </c:pt>
                <c:pt idx="2298">
                  <c:v>1.3581702662603945E-2</c:v>
                </c:pt>
                <c:pt idx="2299">
                  <c:v>1.3578502661939496E-2</c:v>
                </c:pt>
                <c:pt idx="2300">
                  <c:v>1.3575277060153823E-2</c:v>
                </c:pt>
                <c:pt idx="2301">
                  <c:v>1.357202581360184E-2</c:v>
                </c:pt>
                <c:pt idx="2302">
                  <c:v>1.3568748878718395E-2</c:v>
                </c:pt>
                <c:pt idx="2303">
                  <c:v>1.3565446212497889E-2</c:v>
                </c:pt>
                <c:pt idx="2304">
                  <c:v>1.3562117771055426E-2</c:v>
                </c:pt>
                <c:pt idx="2305">
                  <c:v>1.35587635111456E-2</c:v>
                </c:pt>
                <c:pt idx="2306">
                  <c:v>1.3555383389283193E-2</c:v>
                </c:pt>
                <c:pt idx="2307">
                  <c:v>1.3551977362062928E-2</c:v>
                </c:pt>
                <c:pt idx="2308">
                  <c:v>1.3548545385999589E-2</c:v>
                </c:pt>
                <c:pt idx="2309">
                  <c:v>1.3545087417528023E-2</c:v>
                </c:pt>
                <c:pt idx="2310">
                  <c:v>1.3541603413322889E-2</c:v>
                </c:pt>
                <c:pt idx="2311">
                  <c:v>1.3538093330058842E-2</c:v>
                </c:pt>
                <c:pt idx="2312">
                  <c:v>1.353455712401086E-2</c:v>
                </c:pt>
                <c:pt idx="2313">
                  <c:v>1.3530994752093406E-2</c:v>
                </c:pt>
                <c:pt idx="2314">
                  <c:v>1.3527406170341649E-2</c:v>
                </c:pt>
                <c:pt idx="2315">
                  <c:v>1.3523791335909863E-2</c:v>
                </c:pt>
                <c:pt idx="2316">
                  <c:v>1.3520150204833215E-2</c:v>
                </c:pt>
                <c:pt idx="2317">
                  <c:v>1.351592729567086E-2</c:v>
                </c:pt>
                <c:pt idx="2318">
                  <c:v>1.3512235597197275E-2</c:v>
                </c:pt>
                <c:pt idx="2319">
                  <c:v>1.350850747757093E-2</c:v>
                </c:pt>
                <c:pt idx="2320">
                  <c:v>1.3504752873370052E-2</c:v>
                </c:pt>
                <c:pt idx="2321">
                  <c:v>1.350097174118936E-2</c:v>
                </c:pt>
                <c:pt idx="2322">
                  <c:v>1.3497164037543641E-2</c:v>
                </c:pt>
                <c:pt idx="2323">
                  <c:v>1.3493329718974323E-2</c:v>
                </c:pt>
                <c:pt idx="2324">
                  <c:v>1.3489468742049482E-2</c:v>
                </c:pt>
                <c:pt idx="2325">
                  <c:v>1.3485581063310548E-2</c:v>
                </c:pt>
                <c:pt idx="2326">
                  <c:v>1.3481666639325596E-2</c:v>
                </c:pt>
                <c:pt idx="2327">
                  <c:v>1.347772542660941E-2</c:v>
                </c:pt>
                <c:pt idx="2328">
                  <c:v>1.3473757381756712E-2</c:v>
                </c:pt>
                <c:pt idx="2329">
                  <c:v>1.3469762461308932E-2</c:v>
                </c:pt>
                <c:pt idx="2330">
                  <c:v>1.3465740621780853E-2</c:v>
                </c:pt>
                <c:pt idx="2331">
                  <c:v>1.3461691819713906E-2</c:v>
                </c:pt>
                <c:pt idx="2332">
                  <c:v>1.3457616011729456E-2</c:v>
                </c:pt>
                <c:pt idx="2333">
                  <c:v>1.3451244074031976E-2</c:v>
                </c:pt>
                <c:pt idx="2334">
                  <c:v>1.3449383204040544E-2</c:v>
                </c:pt>
                <c:pt idx="2335">
                  <c:v>1.3443531543178011E-2</c:v>
                </c:pt>
                <c:pt idx="2336">
                  <c:v>1.3439339816532225E-2</c:v>
                </c:pt>
                <c:pt idx="2337">
                  <c:v>1.3435120856071237E-2</c:v>
                </c:pt>
                <c:pt idx="2338">
                  <c:v>1.3430874618869382E-2</c:v>
                </c:pt>
                <c:pt idx="2339">
                  <c:v>1.3426601060722021E-2</c:v>
                </c:pt>
                <c:pt idx="2340">
                  <c:v>1.3422300138543619E-2</c:v>
                </c:pt>
                <c:pt idx="2341">
                  <c:v>1.3417971809008833E-2</c:v>
                </c:pt>
                <c:pt idx="2342">
                  <c:v>1.3413616028552511E-2</c:v>
                </c:pt>
                <c:pt idx="2343">
                  <c:v>1.3409232753609501E-2</c:v>
                </c:pt>
                <c:pt idx="2344">
                  <c:v>1.3404821940774525E-2</c:v>
                </c:pt>
                <c:pt idx="2345">
                  <c:v>1.3400383546962047E-2</c:v>
                </c:pt>
                <c:pt idx="2346">
                  <c:v>1.3395917528207235E-2</c:v>
                </c:pt>
                <c:pt idx="2347">
                  <c:v>1.3391423841184746E-2</c:v>
                </c:pt>
                <c:pt idx="2348">
                  <c:v>1.3386902442729109E-2</c:v>
                </c:pt>
                <c:pt idx="2349">
                  <c:v>1.3382353289195237E-2</c:v>
                </c:pt>
                <c:pt idx="2350">
                  <c:v>1.3377776336938041E-2</c:v>
                </c:pt>
                <c:pt idx="2351">
                  <c:v>1.3373171542951923E-2</c:v>
                </c:pt>
                <c:pt idx="2352">
                  <c:v>1.3368538863511858E-2</c:v>
                </c:pt>
                <c:pt idx="2353">
                  <c:v>1.3363878255132633E-2</c:v>
                </c:pt>
                <c:pt idx="2354">
                  <c:v>1.3359189674408967E-2</c:v>
                </c:pt>
                <c:pt idx="2355">
                  <c:v>1.335447307793558E-2</c:v>
                </c:pt>
                <c:pt idx="2356">
                  <c:v>1.3349728422307194E-2</c:v>
                </c:pt>
                <c:pt idx="2357">
                  <c:v>1.3344955663958658E-2</c:v>
                </c:pt>
                <c:pt idx="2358">
                  <c:v>1.3340154759644562E-2</c:v>
                </c:pt>
                <c:pt idx="2359">
                  <c:v>1.3335325665639886E-2</c:v>
                </c:pt>
                <c:pt idx="2360">
                  <c:v>1.333046833869922E-2</c:v>
                </c:pt>
                <c:pt idx="2361">
                  <c:v>1.3325582735177477E-2</c:v>
                </c:pt>
                <c:pt idx="2362">
                  <c:v>1.3320668811749314E-2</c:v>
                </c:pt>
                <c:pt idx="2363">
                  <c:v>1.3315726525089389E-2</c:v>
                </c:pt>
                <c:pt idx="2364">
                  <c:v>1.3310755831712484E-2</c:v>
                </c:pt>
                <c:pt idx="2365">
                  <c:v>1.3305756687973513E-2</c:v>
                </c:pt>
                <c:pt idx="2366">
                  <c:v>1.3300729050387261E-2</c:v>
                </c:pt>
                <c:pt idx="2367">
                  <c:v>1.3295672876028064E-2</c:v>
                </c:pt>
                <c:pt idx="2368">
                  <c:v>1.3290588120851154E-2</c:v>
                </c:pt>
                <c:pt idx="2369">
                  <c:v>1.3284620319757856E-2</c:v>
                </c:pt>
                <c:pt idx="2370">
                  <c:v>1.3279595773978414E-2</c:v>
                </c:pt>
                <c:pt idx="2371">
                  <c:v>1.3274420911359996E-2</c:v>
                </c:pt>
                <c:pt idx="2372">
                  <c:v>1.32692172879878E-2</c:v>
                </c:pt>
                <c:pt idx="2373">
                  <c:v>1.3263984860696354E-2</c:v>
                </c:pt>
                <c:pt idx="2374">
                  <c:v>1.3258723585760634E-2</c:v>
                </c:pt>
                <c:pt idx="2375">
                  <c:v>1.325343342001517E-2</c:v>
                </c:pt>
                <c:pt idx="2376">
                  <c:v>1.324811431989481E-2</c:v>
                </c:pt>
                <c:pt idx="2377">
                  <c:v>1.3242766241834403E-2</c:v>
                </c:pt>
                <c:pt idx="2378">
                  <c:v>1.3237389142428668E-2</c:v>
                </c:pt>
                <c:pt idx="2379">
                  <c:v>1.32319829784322E-2</c:v>
                </c:pt>
                <c:pt idx="2380">
                  <c:v>1.3226547706199909E-2</c:v>
                </c:pt>
                <c:pt idx="2381">
                  <c:v>1.3221083282406454E-2</c:v>
                </c:pt>
                <c:pt idx="2382">
                  <c:v>1.3215589663486682E-2</c:v>
                </c:pt>
                <c:pt idx="2383">
                  <c:v>1.3208483470412702E-2</c:v>
                </c:pt>
                <c:pt idx="2384">
                  <c:v>1.3202922956763175E-2</c:v>
                </c:pt>
                <c:pt idx="2385">
                  <c:v>1.3197333105301468E-2</c:v>
                </c:pt>
                <c:pt idx="2386">
                  <c:v>1.3190586054863118E-2</c:v>
                </c:pt>
                <c:pt idx="2387">
                  <c:v>1.3186065215000653E-2</c:v>
                </c:pt>
                <c:pt idx="2388">
                  <c:v>1.3180387089271051E-2</c:v>
                </c:pt>
                <c:pt idx="2389">
                  <c:v>1.3174679452028215E-2</c:v>
                </c:pt>
                <c:pt idx="2390">
                  <c:v>1.3168942259547123E-2</c:v>
                </c:pt>
                <c:pt idx="2391">
                  <c:v>1.3163175468662303E-2</c:v>
                </c:pt>
                <c:pt idx="2392">
                  <c:v>1.3157379035808603E-2</c:v>
                </c:pt>
                <c:pt idx="2393">
                  <c:v>1.3151552917500808E-2</c:v>
                </c:pt>
                <c:pt idx="2394">
                  <c:v>1.3145697070413576E-2</c:v>
                </c:pt>
                <c:pt idx="2395">
                  <c:v>1.3139811450901817E-2</c:v>
                </c:pt>
                <c:pt idx="2396">
                  <c:v>1.3133896015720126E-2</c:v>
                </c:pt>
                <c:pt idx="2397">
                  <c:v>1.3127950721223414E-2</c:v>
                </c:pt>
                <c:pt idx="2398">
                  <c:v>1.3121975524326146E-2</c:v>
                </c:pt>
                <c:pt idx="2399">
                  <c:v>1.3115970380983555E-2</c:v>
                </c:pt>
                <c:pt idx="2400">
                  <c:v>1.3109935248190041E-2</c:v>
                </c:pt>
                <c:pt idx="2401">
                  <c:v>1.3103870082540325E-2</c:v>
                </c:pt>
                <c:pt idx="2402">
                  <c:v>1.3097774840229448E-2</c:v>
                </c:pt>
                <c:pt idx="2403">
                  <c:v>1.3091649478091938E-2</c:v>
                </c:pt>
                <c:pt idx="2404">
                  <c:v>1.3085493952722516E-2</c:v>
                </c:pt>
                <c:pt idx="2405">
                  <c:v>1.3079308220476094E-2</c:v>
                </c:pt>
                <c:pt idx="2406">
                  <c:v>1.3073092237947392E-2</c:v>
                </c:pt>
                <c:pt idx="2407">
                  <c:v>1.3066845961811069E-2</c:v>
                </c:pt>
                <c:pt idx="2408">
                  <c:v>1.3060569348501971E-2</c:v>
                </c:pt>
                <c:pt idx="2409">
                  <c:v>1.3054262354534885E-2</c:v>
                </c:pt>
                <c:pt idx="2410">
                  <c:v>1.3047924936504529E-2</c:v>
                </c:pt>
                <c:pt idx="2411">
                  <c:v>1.3041557051085562E-2</c:v>
                </c:pt>
                <c:pt idx="2412">
                  <c:v>1.3035158654792767E-2</c:v>
                </c:pt>
                <c:pt idx="2413">
                  <c:v>1.3028729703981057E-2</c:v>
                </c:pt>
                <c:pt idx="2414">
                  <c:v>1.3022270155564897E-2</c:v>
                </c:pt>
                <c:pt idx="2415">
                  <c:v>1.3015779965659391E-2</c:v>
                </c:pt>
                <c:pt idx="2416">
                  <c:v>1.3009259091179004E-2</c:v>
                </c:pt>
                <c:pt idx="2417">
                  <c:v>1.3002707488318777E-2</c:v>
                </c:pt>
                <c:pt idx="2418">
                  <c:v>1.2996125114073109E-2</c:v>
                </c:pt>
                <c:pt idx="2419">
                  <c:v>1.2989511924637043E-2</c:v>
                </c:pt>
                <c:pt idx="2420">
                  <c:v>1.2979057406425909E-2</c:v>
                </c:pt>
                <c:pt idx="2421">
                  <c:v>1.2974747500100747E-2</c:v>
                </c:pt>
                <c:pt idx="2422">
                  <c:v>1.2969487031533333E-2</c:v>
                </c:pt>
                <c:pt idx="2423">
                  <c:v>1.2962750147442748E-2</c:v>
                </c:pt>
                <c:pt idx="2424">
                  <c:v>1.2955982230895557E-2</c:v>
                </c:pt>
                <c:pt idx="2425">
                  <c:v>1.2949183238806228E-2</c:v>
                </c:pt>
                <c:pt idx="2426">
                  <c:v>1.2942353127369799E-2</c:v>
                </c:pt>
                <c:pt idx="2427">
                  <c:v>1.2935491853340864E-2</c:v>
                </c:pt>
                <c:pt idx="2428">
                  <c:v>1.2928599373234206E-2</c:v>
                </c:pt>
                <c:pt idx="2429">
                  <c:v>1.2921675643644548E-2</c:v>
                </c:pt>
                <c:pt idx="2430">
                  <c:v>1.2914720620926801E-2</c:v>
                </c:pt>
                <c:pt idx="2431">
                  <c:v>1.2907734261675685E-2</c:v>
                </c:pt>
                <c:pt idx="2432">
                  <c:v>1.2900716522805666E-2</c:v>
                </c:pt>
                <c:pt idx="2433">
                  <c:v>1.2892570230077283E-2</c:v>
                </c:pt>
                <c:pt idx="2434">
                  <c:v>1.2886586731308824E-2</c:v>
                </c:pt>
                <c:pt idx="2435">
                  <c:v>1.2879474591951379E-2</c:v>
                </c:pt>
                <c:pt idx="2436">
                  <c:v>1.2872330898954232E-2</c:v>
                </c:pt>
                <c:pt idx="2437">
                  <c:v>1.2865155608832168E-2</c:v>
                </c:pt>
                <c:pt idx="2438">
                  <c:v>1.2857088523192672E-2</c:v>
                </c:pt>
                <c:pt idx="2439">
                  <c:v>1.2850710063432302E-2</c:v>
                </c:pt>
                <c:pt idx="2440">
                  <c:v>1.2843439721184069E-2</c:v>
                </c:pt>
                <c:pt idx="2441">
                  <c:v>1.2836137608029929E-2</c:v>
                </c:pt>
                <c:pt idx="2442">
                  <c:v>1.2828803680564604E-2</c:v>
                </c:pt>
                <c:pt idx="2443">
                  <c:v>1.2821437895462751E-2</c:v>
                </c:pt>
                <c:pt idx="2444">
                  <c:v>1.2814040208759536E-2</c:v>
                </c:pt>
                <c:pt idx="2445">
                  <c:v>1.2806610577609234E-2</c:v>
                </c:pt>
                <c:pt idx="2446">
                  <c:v>1.2799148958126949E-2</c:v>
                </c:pt>
                <c:pt idx="2447">
                  <c:v>1.2791655307227145E-2</c:v>
                </c:pt>
                <c:pt idx="2448">
                  <c:v>1.2784129581104864E-2</c:v>
                </c:pt>
                <c:pt idx="2449">
                  <c:v>1.2776571736674569E-2</c:v>
                </c:pt>
                <c:pt idx="2450">
                  <c:v>1.2768981730131301E-2</c:v>
                </c:pt>
                <c:pt idx="2451">
                  <c:v>1.2761359518229654E-2</c:v>
                </c:pt>
                <c:pt idx="2452">
                  <c:v>1.2753705057644282E-2</c:v>
                </c:pt>
                <c:pt idx="2453">
                  <c:v>1.2746018304570228E-2</c:v>
                </c:pt>
                <c:pt idx="2454">
                  <c:v>1.2738299215921955E-2</c:v>
                </c:pt>
                <c:pt idx="2455">
                  <c:v>1.2730547748134313E-2</c:v>
                </c:pt>
                <c:pt idx="2456">
                  <c:v>1.2722763857482278E-2</c:v>
                </c:pt>
                <c:pt idx="2457">
                  <c:v>1.2714947500880314E-2</c:v>
                </c:pt>
                <c:pt idx="2458">
                  <c:v>1.2707098634843206E-2</c:v>
                </c:pt>
                <c:pt idx="2459">
                  <c:v>1.2699217215725866E-2</c:v>
                </c:pt>
                <c:pt idx="2460">
                  <c:v>1.2691303200202952E-2</c:v>
                </c:pt>
                <c:pt idx="2461">
                  <c:v>1.2683356544869184E-2</c:v>
                </c:pt>
                <c:pt idx="2462">
                  <c:v>1.2675377206239347E-2</c:v>
                </c:pt>
                <c:pt idx="2463">
                  <c:v>1.2667365140828224E-2</c:v>
                </c:pt>
                <c:pt idx="2464">
                  <c:v>1.2659320305150601E-2</c:v>
                </c:pt>
                <c:pt idx="2465">
                  <c:v>1.2651242655881134E-2</c:v>
                </c:pt>
                <c:pt idx="2466">
                  <c:v>1.2643132149454672E-2</c:v>
                </c:pt>
                <c:pt idx="2467">
                  <c:v>1.2634988742465936E-2</c:v>
                </c:pt>
                <c:pt idx="2468">
                  <c:v>1.2626812391589581E-2</c:v>
                </c:pt>
                <c:pt idx="2469">
                  <c:v>1.2618603053260458E-2</c:v>
                </c:pt>
                <c:pt idx="2470">
                  <c:v>1.2610360684073285E-2</c:v>
                </c:pt>
                <c:pt idx="2471">
                  <c:v>1.260208524030304E-2</c:v>
                </c:pt>
                <c:pt idx="2472">
                  <c:v>1.2592652211804722E-2</c:v>
                </c:pt>
                <c:pt idx="2473">
                  <c:v>1.2584302501261746E-2</c:v>
                </c:pt>
                <c:pt idx="2474">
                  <c:v>1.2577060029039799E-2</c:v>
                </c:pt>
                <c:pt idx="2475">
                  <c:v>1.2568651853763768E-2</c:v>
                </c:pt>
                <c:pt idx="2476">
                  <c:v>1.2560210386718396E-2</c:v>
                </c:pt>
                <c:pt idx="2477">
                  <c:v>1.2551735584818147E-2</c:v>
                </c:pt>
                <c:pt idx="2478">
                  <c:v>1.2543227404337998E-2</c:v>
                </c:pt>
                <c:pt idx="2479">
                  <c:v>1.2534685801952605E-2</c:v>
                </c:pt>
                <c:pt idx="2480">
                  <c:v>1.2526110734176754E-2</c:v>
                </c:pt>
                <c:pt idx="2481">
                  <c:v>1.2517502157605165E-2</c:v>
                </c:pt>
                <c:pt idx="2482">
                  <c:v>1.2508860028832558E-2</c:v>
                </c:pt>
                <c:pt idx="2483">
                  <c:v>1.2500184304453654E-2</c:v>
                </c:pt>
                <c:pt idx="2484">
                  <c:v>1.2491474940823366E-2</c:v>
                </c:pt>
                <c:pt idx="2485">
                  <c:v>1.2482731894456478E-2</c:v>
                </c:pt>
                <c:pt idx="2486">
                  <c:v>1.2473955122267455E-2</c:v>
                </c:pt>
                <c:pt idx="2487">
                  <c:v>1.2465144580531273E-2</c:v>
                </c:pt>
                <c:pt idx="2488">
                  <c:v>1.2454628035376558E-2</c:v>
                </c:pt>
                <c:pt idx="2489">
                  <c:v>1.2447422014636444E-2</c:v>
                </c:pt>
                <c:pt idx="2490">
                  <c:v>1.2438509903827111E-2</c:v>
                </c:pt>
                <c:pt idx="2491">
                  <c:v>1.2429563849609693E-2</c:v>
                </c:pt>
                <c:pt idx="2492">
                  <c:v>1.2420583808658847E-2</c:v>
                </c:pt>
                <c:pt idx="2493">
                  <c:v>1.2411584030056488E-2</c:v>
                </c:pt>
                <c:pt idx="2494">
                  <c:v>1.2402583190782579E-2</c:v>
                </c:pt>
                <c:pt idx="2495">
                  <c:v>1.2393581423371103E-2</c:v>
                </c:pt>
                <c:pt idx="2496">
                  <c:v>1.2384578747566266E-2</c:v>
                </c:pt>
                <c:pt idx="2497">
                  <c:v>1.2375575183591891E-2</c:v>
                </c:pt>
                <c:pt idx="2498">
                  <c:v>1.2366570751112249E-2</c:v>
                </c:pt>
                <c:pt idx="2499">
                  <c:v>1.235756547019129E-2</c:v>
                </c:pt>
                <c:pt idx="2500">
                  <c:v>1.2348559360653155E-2</c:v>
                </c:pt>
                <c:pt idx="2501">
                  <c:v>1.2339552442401924E-2</c:v>
                </c:pt>
                <c:pt idx="2502">
                  <c:v>1.2330544735581483E-2</c:v>
                </c:pt>
                <c:pt idx="2503">
                  <c:v>1.2321536259856103E-2</c:v>
                </c:pt>
                <c:pt idx="2504">
                  <c:v>1.2312527035209797E-2</c:v>
                </c:pt>
                <c:pt idx="2505">
                  <c:v>1.2303517081706516E-2</c:v>
                </c:pt>
                <c:pt idx="2506">
                  <c:v>1.2294506419170403E-2</c:v>
                </c:pt>
                <c:pt idx="2507">
                  <c:v>1.22854950674256E-2</c:v>
                </c:pt>
                <c:pt idx="2508">
                  <c:v>1.2276483046536057E-2</c:v>
                </c:pt>
                <c:pt idx="2509">
                  <c:v>1.2267470376325917E-2</c:v>
                </c:pt>
                <c:pt idx="2510">
                  <c:v>1.2258457076779194E-2</c:v>
                </c:pt>
                <c:pt idx="2511">
                  <c:v>1.2249443167959839E-2</c:v>
                </c:pt>
                <c:pt idx="2512">
                  <c:v>1.2240428669532122E-2</c:v>
                </c:pt>
                <c:pt idx="2513">
                  <c:v>1.2231413601480057E-2</c:v>
                </c:pt>
                <c:pt idx="2514">
                  <c:v>1.2222397983787658E-2</c:v>
                </c:pt>
                <c:pt idx="2515">
                  <c:v>1.2213381836438941E-2</c:v>
                </c:pt>
                <c:pt idx="2516">
                  <c:v>1.2204365179258048E-2</c:v>
                </c:pt>
                <c:pt idx="2517">
                  <c:v>1.2195348032228992E-2</c:v>
                </c:pt>
                <c:pt idx="2518">
                  <c:v>1.2186330415095981E-2</c:v>
                </c:pt>
                <c:pt idx="2519">
                  <c:v>1.2177312347922964E-2</c:v>
                </c:pt>
                <c:pt idx="2520">
                  <c:v>1.2168293850853829E-2</c:v>
                </c:pt>
                <c:pt idx="2521">
                  <c:v>1.2159274943313036E-2</c:v>
                </c:pt>
                <c:pt idx="2522">
                  <c:v>1.2150255645764219E-2</c:v>
                </c:pt>
                <c:pt idx="2523">
                  <c:v>1.2141235977631837E-2</c:v>
                </c:pt>
                <c:pt idx="2524">
                  <c:v>1.213221595921965E-2</c:v>
                </c:pt>
                <c:pt idx="2525">
                  <c:v>1.2123195610271864E-2</c:v>
                </c:pt>
                <c:pt idx="2526">
                  <c:v>1.2114174950772494E-2</c:v>
                </c:pt>
                <c:pt idx="2527">
                  <c:v>1.2105154000545681E-2</c:v>
                </c:pt>
                <c:pt idx="2528">
                  <c:v>1.2096132779575441E-2</c:v>
                </c:pt>
                <c:pt idx="2529">
                  <c:v>1.2087111307765852E-2</c:v>
                </c:pt>
                <c:pt idx="2530">
                  <c:v>1.2078089605100928E-2</c:v>
                </c:pt>
                <c:pt idx="2531">
                  <c:v>1.2069067691564683E-2</c:v>
                </c:pt>
                <c:pt idx="2532">
                  <c:v>1.2060045586901325E-2</c:v>
                </c:pt>
                <c:pt idx="2533">
                  <c:v>1.2051023311094866E-2</c:v>
                </c:pt>
                <c:pt idx="2534">
                  <c:v>1.2042000884129322E-2</c:v>
                </c:pt>
                <c:pt idx="2535">
                  <c:v>1.2032978325908772E-2</c:v>
                </c:pt>
                <c:pt idx="2536">
                  <c:v>1.2023955656177421E-2</c:v>
                </c:pt>
                <c:pt idx="2537">
                  <c:v>1.2014932895239028E-2</c:v>
                </c:pt>
                <c:pt idx="2538">
                  <c:v>1.2004132570172743E-2</c:v>
                </c:pt>
                <c:pt idx="2539">
                  <c:v>1.1996887178398197E-2</c:v>
                </c:pt>
                <c:pt idx="2540">
                  <c:v>1.198786426262366E-2</c:v>
                </c:pt>
                <c:pt idx="2541">
                  <c:v>1.1978841335018586E-2</c:v>
                </c:pt>
                <c:pt idx="2542">
                  <c:v>1.1969818415726863E-2</c:v>
                </c:pt>
                <c:pt idx="2543">
                  <c:v>1.1960795524332823E-2</c:v>
                </c:pt>
                <c:pt idx="2544">
                  <c:v>1.1951772681140227E-2</c:v>
                </c:pt>
                <c:pt idx="2545">
                  <c:v>1.1942749905733407E-2</c:v>
                </c:pt>
                <c:pt idx="2546">
                  <c:v>1.1933727218416124E-2</c:v>
                </c:pt>
                <c:pt idx="2547">
                  <c:v>1.1924704638852646E-2</c:v>
                </c:pt>
                <c:pt idx="2548">
                  <c:v>1.191568218678718E-2</c:v>
                </c:pt>
                <c:pt idx="2549">
                  <c:v>1.1906659882523485E-2</c:v>
                </c:pt>
                <c:pt idx="2550">
                  <c:v>1.1897637745805767E-2</c:v>
                </c:pt>
                <c:pt idx="2551">
                  <c:v>1.1888615796618041E-2</c:v>
                </c:pt>
                <c:pt idx="2552">
                  <c:v>1.1879594054784448E-2</c:v>
                </c:pt>
                <c:pt idx="2553">
                  <c:v>1.1870572540209068E-2</c:v>
                </c:pt>
                <c:pt idx="2554">
                  <c:v>1.186155127295585E-2</c:v>
                </c:pt>
                <c:pt idx="2555">
                  <c:v>1.1852530272928874E-2</c:v>
                </c:pt>
                <c:pt idx="2556">
                  <c:v>1.1843509559952281E-2</c:v>
                </c:pt>
                <c:pt idx="2557">
                  <c:v>1.1834489154010086E-2</c:v>
                </c:pt>
                <c:pt idx="2558">
                  <c:v>1.1825469075006367E-2</c:v>
                </c:pt>
                <c:pt idx="2559">
                  <c:v>1.1816449342845203E-2</c:v>
                </c:pt>
                <c:pt idx="2560">
                  <c:v>1.1807429977430672E-2</c:v>
                </c:pt>
                <c:pt idx="2561">
                  <c:v>1.1798410998826725E-2</c:v>
                </c:pt>
                <c:pt idx="2562">
                  <c:v>1.1789392426697631E-2</c:v>
                </c:pt>
                <c:pt idx="2563">
                  <c:v>1.178037428134715E-2</c:v>
                </c:pt>
                <c:pt idx="2564">
                  <c:v>1.1771356582359616E-2</c:v>
                </c:pt>
                <c:pt idx="2565">
                  <c:v>1.1762339349719042E-2</c:v>
                </c:pt>
                <c:pt idx="2566">
                  <c:v>1.175332260348938E-2</c:v>
                </c:pt>
                <c:pt idx="2567">
                  <c:v>1.1744306363494772E-2</c:v>
                </c:pt>
                <c:pt idx="2568">
                  <c:v>1.1735290649399488E-2</c:v>
                </c:pt>
                <c:pt idx="2569">
                  <c:v>1.1726275481906967E-2</c:v>
                </c:pt>
                <c:pt idx="2570">
                  <c:v>1.1717260880041991E-2</c:v>
                </c:pt>
                <c:pt idx="2571">
                  <c:v>1.170824686426819E-2</c:v>
                </c:pt>
                <c:pt idx="2572">
                  <c:v>1.1699233454249836E-2</c:v>
                </c:pt>
                <c:pt idx="2573">
                  <c:v>1.1690220670210749E-2</c:v>
                </c:pt>
                <c:pt idx="2574">
                  <c:v>1.1681208531655329E-2</c:v>
                </c:pt>
                <c:pt idx="2575">
                  <c:v>1.1672197058807399E-2</c:v>
                </c:pt>
                <c:pt idx="2576">
                  <c:v>1.1663186271571035E-2</c:v>
                </c:pt>
                <c:pt idx="2577">
                  <c:v>1.1651524103180044E-2</c:v>
                </c:pt>
                <c:pt idx="2578">
                  <c:v>1.1642969404404013E-2</c:v>
                </c:pt>
                <c:pt idx="2579">
                  <c:v>1.1633960427586132E-2</c:v>
                </c:pt>
                <c:pt idx="2580">
                  <c:v>1.1624952222177853E-2</c:v>
                </c:pt>
                <c:pt idx="2581">
                  <c:v>1.1615944808136547E-2</c:v>
                </c:pt>
                <c:pt idx="2582">
                  <c:v>1.1606938205419581E-2</c:v>
                </c:pt>
                <c:pt idx="2583">
                  <c:v>1.1597932433851099E-2</c:v>
                </c:pt>
                <c:pt idx="2584">
                  <c:v>1.1588927513415115E-2</c:v>
                </c:pt>
                <c:pt idx="2585">
                  <c:v>1.1579923464042352E-2</c:v>
                </c:pt>
                <c:pt idx="2586">
                  <c:v>1.1570920305636889E-2</c:v>
                </c:pt>
                <c:pt idx="2587">
                  <c:v>1.1561918058156095E-2</c:v>
                </c:pt>
                <c:pt idx="2588">
                  <c:v>1.1552916741504049E-2</c:v>
                </c:pt>
                <c:pt idx="2589">
                  <c:v>1.1543916375558183E-2</c:v>
                </c:pt>
                <c:pt idx="2590">
                  <c:v>1.1534916980302512E-2</c:v>
                </c:pt>
                <c:pt idx="2591">
                  <c:v>1.1525918575614469E-2</c:v>
                </c:pt>
                <c:pt idx="2592">
                  <c:v>1.1516921181504713E-2</c:v>
                </c:pt>
                <c:pt idx="2593">
                  <c:v>1.1503701944945988E-2</c:v>
                </c:pt>
                <c:pt idx="2594">
                  <c:v>1.1498929504449862E-2</c:v>
                </c:pt>
                <c:pt idx="2595">
                  <c:v>1.1489935261366213E-2</c:v>
                </c:pt>
                <c:pt idx="2596">
                  <c:v>1.1480942108503811E-2</c:v>
                </c:pt>
                <c:pt idx="2597">
                  <c:v>1.147195006584667E-2</c:v>
                </c:pt>
                <c:pt idx="2598">
                  <c:v>1.1462959153165642E-2</c:v>
                </c:pt>
                <c:pt idx="2599">
                  <c:v>1.1453969390498031E-2</c:v>
                </c:pt>
                <c:pt idx="2600">
                  <c:v>1.1444980797747917E-2</c:v>
                </c:pt>
                <c:pt idx="2601">
                  <c:v>1.1435993394819377E-2</c:v>
                </c:pt>
                <c:pt idx="2602">
                  <c:v>1.1427007201643136E-2</c:v>
                </c:pt>
                <c:pt idx="2603">
                  <c:v>1.1418022238123271E-2</c:v>
                </c:pt>
                <c:pt idx="2604">
                  <c:v>1.1409038524217152E-2</c:v>
                </c:pt>
                <c:pt idx="2605">
                  <c:v>1.1400056079882148E-2</c:v>
                </c:pt>
                <c:pt idx="2606">
                  <c:v>1.1391074924915756E-2</c:v>
                </c:pt>
                <c:pt idx="2607">
                  <c:v>1.1382095079381926E-2</c:v>
                </c:pt>
                <c:pt idx="2608">
                  <c:v>1.1373116563104801E-2</c:v>
                </c:pt>
                <c:pt idx="2609">
                  <c:v>1.1364139396068396E-2</c:v>
                </c:pt>
                <c:pt idx="2610">
                  <c:v>1.1355163598150142E-2</c:v>
                </c:pt>
                <c:pt idx="2611">
                  <c:v>1.134618918930741E-2</c:v>
                </c:pt>
                <c:pt idx="2612">
                  <c:v>1.1337216189444277E-2</c:v>
                </c:pt>
                <c:pt idx="2613">
                  <c:v>1.1328244618518113E-2</c:v>
                </c:pt>
                <c:pt idx="2614">
                  <c:v>1.1319274496459641E-2</c:v>
                </c:pt>
                <c:pt idx="2615">
                  <c:v>1.1310305843066359E-2</c:v>
                </c:pt>
                <c:pt idx="2616">
                  <c:v>1.1301338678428863E-2</c:v>
                </c:pt>
                <c:pt idx="2617">
                  <c:v>1.1292373022397939E-2</c:v>
                </c:pt>
                <c:pt idx="2618">
                  <c:v>1.1283408894851021E-2</c:v>
                </c:pt>
                <c:pt idx="2619">
                  <c:v>1.127444631579877E-2</c:v>
                </c:pt>
                <c:pt idx="2620">
                  <c:v>1.1265485305118617E-2</c:v>
                </c:pt>
                <c:pt idx="2621">
                  <c:v>1.1256525882714641E-2</c:v>
                </c:pt>
                <c:pt idx="2622">
                  <c:v>1.1247568068570857E-2</c:v>
                </c:pt>
                <c:pt idx="2623">
                  <c:v>1.1238611882564697E-2</c:v>
                </c:pt>
                <c:pt idx="2624">
                  <c:v>1.1229657344600241E-2</c:v>
                </c:pt>
                <c:pt idx="2625">
                  <c:v>1.1220704474661503E-2</c:v>
                </c:pt>
                <c:pt idx="2626">
                  <c:v>1.1211753292625914E-2</c:v>
                </c:pt>
                <c:pt idx="2627">
                  <c:v>1.1202803818424201E-2</c:v>
                </c:pt>
                <c:pt idx="2628">
                  <c:v>1.119385607201373E-2</c:v>
                </c:pt>
                <c:pt idx="2629">
                  <c:v>1.1181541846867482E-2</c:v>
                </c:pt>
                <c:pt idx="2630">
                  <c:v>1.1173063888811896E-2</c:v>
                </c:pt>
                <c:pt idx="2631">
                  <c:v>1.1164122514211172E-2</c:v>
                </c:pt>
                <c:pt idx="2632">
                  <c:v>1.1155182952240494E-2</c:v>
                </c:pt>
                <c:pt idx="2633">
                  <c:v>1.1146245222803941E-2</c:v>
                </c:pt>
                <c:pt idx="2634">
                  <c:v>1.1137309345965463E-2</c:v>
                </c:pt>
                <c:pt idx="2635">
                  <c:v>1.1128375341309393E-2</c:v>
                </c:pt>
                <c:pt idx="2636">
                  <c:v>1.1119443228819748E-2</c:v>
                </c:pt>
                <c:pt idx="2637">
                  <c:v>1.111051302888022E-2</c:v>
                </c:pt>
                <c:pt idx="2638">
                  <c:v>1.1101584760835337E-2</c:v>
                </c:pt>
                <c:pt idx="2639">
                  <c:v>1.1092658444669112E-2</c:v>
                </c:pt>
                <c:pt idx="2640">
                  <c:v>1.1083734100925113E-2</c:v>
                </c:pt>
                <c:pt idx="2641">
                  <c:v>1.1074811748787994E-2</c:v>
                </c:pt>
                <c:pt idx="2642">
                  <c:v>1.1065891408481576E-2</c:v>
                </c:pt>
                <c:pt idx="2643">
                  <c:v>1.1056973099989875E-2</c:v>
                </c:pt>
                <c:pt idx="2644">
                  <c:v>1.1045509720863933E-2</c:v>
                </c:pt>
                <c:pt idx="2645">
                  <c:v>1.1039142657907064E-2</c:v>
                </c:pt>
                <c:pt idx="2646">
                  <c:v>1.1030230564124111E-2</c:v>
                </c:pt>
                <c:pt idx="2647">
                  <c:v>1.1021320581852123E-2</c:v>
                </c:pt>
                <c:pt idx="2648">
                  <c:v>1.1012412730835308E-2</c:v>
                </c:pt>
                <c:pt idx="2649">
                  <c:v>1.1003507031217552E-2</c:v>
                </c:pt>
                <c:pt idx="2650">
                  <c:v>1.0994603502663125E-2</c:v>
                </c:pt>
                <c:pt idx="2651">
                  <c:v>1.0985702165235978E-2</c:v>
                </c:pt>
                <c:pt idx="2652">
                  <c:v>1.0976803038920124E-2</c:v>
                </c:pt>
                <c:pt idx="2653">
                  <c:v>1.096790614369958E-2</c:v>
                </c:pt>
                <c:pt idx="2654">
                  <c:v>1.0959011499158677E-2</c:v>
                </c:pt>
                <c:pt idx="2655">
                  <c:v>1.0950119125441304E-2</c:v>
                </c:pt>
                <c:pt idx="2656">
                  <c:v>1.0941229042531475E-2</c:v>
                </c:pt>
                <c:pt idx="2657">
                  <c:v>1.0932341270253332E-2</c:v>
                </c:pt>
                <c:pt idx="2658">
                  <c:v>1.0923455828510953E-2</c:v>
                </c:pt>
                <c:pt idx="2659">
                  <c:v>1.0914572737448225E-2</c:v>
                </c:pt>
                <c:pt idx="2660">
                  <c:v>1.0905692016729418E-2</c:v>
                </c:pt>
                <c:pt idx="2661">
                  <c:v>1.0896813686178675E-2</c:v>
                </c:pt>
                <c:pt idx="2662">
                  <c:v>1.0887937766019817E-2</c:v>
                </c:pt>
                <c:pt idx="2663">
                  <c:v>1.0879064276076988E-2</c:v>
                </c:pt>
                <c:pt idx="2664">
                  <c:v>1.0870193236254266E-2</c:v>
                </c:pt>
                <c:pt idx="2665">
                  <c:v>1.0861324666455729E-2</c:v>
                </c:pt>
                <c:pt idx="2666">
                  <c:v>1.085245858650552E-2</c:v>
                </c:pt>
                <c:pt idx="2667">
                  <c:v>1.0843595016627461E-2</c:v>
                </c:pt>
                <c:pt idx="2668">
                  <c:v>1.0834733976405886E-2</c:v>
                </c:pt>
                <c:pt idx="2669">
                  <c:v>1.0825875485984682E-2</c:v>
                </c:pt>
                <c:pt idx="2670">
                  <c:v>1.0817019565187991E-2</c:v>
                </c:pt>
                <c:pt idx="2671">
                  <c:v>1.0808166233919891E-2</c:v>
                </c:pt>
                <c:pt idx="2672">
                  <c:v>1.0799315512244334E-2</c:v>
                </c:pt>
                <c:pt idx="2673">
                  <c:v>1.0790467419825589E-2</c:v>
                </c:pt>
                <c:pt idx="2674">
                  <c:v>1.0781621976887479E-2</c:v>
                </c:pt>
                <c:pt idx="2675">
                  <c:v>1.077277920317421E-2</c:v>
                </c:pt>
                <c:pt idx="2676">
                  <c:v>1.076393911858986E-2</c:v>
                </c:pt>
                <c:pt idx="2677">
                  <c:v>1.0755101743198381E-2</c:v>
                </c:pt>
                <c:pt idx="2678">
                  <c:v>1.0746267096743978E-2</c:v>
                </c:pt>
                <c:pt idx="2679">
                  <c:v>1.0737435199210665E-2</c:v>
                </c:pt>
                <c:pt idx="2680">
                  <c:v>1.072860607074233E-2</c:v>
                </c:pt>
                <c:pt idx="2681">
                  <c:v>1.0718048290292437E-2</c:v>
                </c:pt>
                <c:pt idx="2682">
                  <c:v>1.0709695925772422E-2</c:v>
                </c:pt>
                <c:pt idx="2683">
                  <c:v>1.070087562903943E-2</c:v>
                </c:pt>
                <c:pt idx="2684">
                  <c:v>1.0692058183705555E-2</c:v>
                </c:pt>
                <c:pt idx="2685">
                  <c:v>1.0683243609674875E-2</c:v>
                </c:pt>
                <c:pt idx="2686">
                  <c:v>1.0674431927091277E-2</c:v>
                </c:pt>
                <c:pt idx="2687">
                  <c:v>1.0665623155459159E-2</c:v>
                </c:pt>
                <c:pt idx="2688">
                  <c:v>1.0656817314922407E-2</c:v>
                </c:pt>
                <c:pt idx="2689">
                  <c:v>1.0648014425465036E-2</c:v>
                </c:pt>
                <c:pt idx="2690">
                  <c:v>1.0639214506991124E-2</c:v>
                </c:pt>
                <c:pt idx="2691">
                  <c:v>1.063041757940475E-2</c:v>
                </c:pt>
                <c:pt idx="2692">
                  <c:v>1.0621623662530055E-2</c:v>
                </c:pt>
                <c:pt idx="2693">
                  <c:v>1.0612832776271119E-2</c:v>
                </c:pt>
                <c:pt idx="2694">
                  <c:v>1.0601534693641668E-2</c:v>
                </c:pt>
                <c:pt idx="2695">
                  <c:v>1.0592750809781393E-2</c:v>
                </c:pt>
                <c:pt idx="2696">
                  <c:v>1.0583970021844635E-2</c:v>
                </c:pt>
                <c:pt idx="2697">
                  <c:v>1.0575192350135154E-2</c:v>
                </c:pt>
                <c:pt idx="2698">
                  <c:v>1.0564221397055817E-2</c:v>
                </c:pt>
                <c:pt idx="2699">
                  <c:v>1.0557646434614654E-2</c:v>
                </c:pt>
                <c:pt idx="2700">
                  <c:v>1.0548878230691727E-2</c:v>
                </c:pt>
                <c:pt idx="2701">
                  <c:v>1.0540113222532455E-2</c:v>
                </c:pt>
                <c:pt idx="2702">
                  <c:v>1.0531351429960978E-2</c:v>
                </c:pt>
                <c:pt idx="2703">
                  <c:v>1.0522592873281056E-2</c:v>
                </c:pt>
                <c:pt idx="2704">
                  <c:v>1.0513837571917151E-2</c:v>
                </c:pt>
                <c:pt idx="2705">
                  <c:v>1.0505085546013149E-2</c:v>
                </c:pt>
                <c:pt idx="2706">
                  <c:v>1.0496336815633001E-2</c:v>
                </c:pt>
                <c:pt idx="2707">
                  <c:v>1.0487591400440976E-2</c:v>
                </c:pt>
                <c:pt idx="2708">
                  <c:v>1.0478849320501027E-2</c:v>
                </c:pt>
                <c:pt idx="2709">
                  <c:v>1.0470110595797166E-2</c:v>
                </c:pt>
                <c:pt idx="2710">
                  <c:v>1.0461375246153537E-2</c:v>
                </c:pt>
                <c:pt idx="2711">
                  <c:v>1.0452643291474217E-2</c:v>
                </c:pt>
                <c:pt idx="2712">
                  <c:v>1.0443914751743222E-2</c:v>
                </c:pt>
                <c:pt idx="2713">
                  <c:v>1.0435189646864629E-2</c:v>
                </c:pt>
                <c:pt idx="2714">
                  <c:v>1.0426467996822453E-2</c:v>
                </c:pt>
                <c:pt idx="2715">
                  <c:v>1.04177498213609E-2</c:v>
                </c:pt>
                <c:pt idx="2716">
                  <c:v>1.0409035140543921E-2</c:v>
                </c:pt>
                <c:pt idx="2717">
                  <c:v>1.0400323974275594E-2</c:v>
                </c:pt>
                <c:pt idx="2718">
                  <c:v>1.0391616342539933E-2</c:v>
                </c:pt>
                <c:pt idx="2719">
                  <c:v>1.038291226500121E-2</c:v>
                </c:pt>
                <c:pt idx="2720">
                  <c:v>1.0374211761883245E-2</c:v>
                </c:pt>
                <c:pt idx="2721">
                  <c:v>1.0365514853090119E-2</c:v>
                </c:pt>
                <c:pt idx="2722">
                  <c:v>1.0356821558206164E-2</c:v>
                </c:pt>
                <c:pt idx="2723">
                  <c:v>1.0348131897615076E-2</c:v>
                </c:pt>
                <c:pt idx="2724">
                  <c:v>1.0339445890821253E-2</c:v>
                </c:pt>
                <c:pt idx="2725">
                  <c:v>1.0330763557968581E-2</c:v>
                </c:pt>
                <c:pt idx="2726">
                  <c:v>1.0322084919121011E-2</c:v>
                </c:pt>
                <c:pt idx="2727">
                  <c:v>1.0313409993862876E-2</c:v>
                </c:pt>
                <c:pt idx="2728">
                  <c:v>1.0304738802418001E-2</c:v>
                </c:pt>
                <c:pt idx="2729">
                  <c:v>1.029607136453059E-2</c:v>
                </c:pt>
                <c:pt idx="2730">
                  <c:v>1.0287407700184659E-2</c:v>
                </c:pt>
                <c:pt idx="2731">
                  <c:v>1.0278747829284285E-2</c:v>
                </c:pt>
                <c:pt idx="2732">
                  <c:v>1.026514717292315E-2</c:v>
                </c:pt>
                <c:pt idx="2733">
                  <c:v>1.0259260570437689E-2</c:v>
                </c:pt>
                <c:pt idx="2734">
                  <c:v>1.0252791176377229E-2</c:v>
                </c:pt>
                <c:pt idx="2735">
                  <c:v>1.0244146678539678E-2</c:v>
                </c:pt>
                <c:pt idx="2736">
                  <c:v>1.0235506073668077E-2</c:v>
                </c:pt>
                <c:pt idx="2737">
                  <c:v>1.0226869381666504E-2</c:v>
                </c:pt>
                <c:pt idx="2738">
                  <c:v>1.0218236622838717E-2</c:v>
                </c:pt>
                <c:pt idx="2739">
                  <c:v>1.0209607816689115E-2</c:v>
                </c:pt>
                <c:pt idx="2740">
                  <c:v>1.0200982983281648E-2</c:v>
                </c:pt>
                <c:pt idx="2741">
                  <c:v>1.0192362142520395E-2</c:v>
                </c:pt>
                <c:pt idx="2742">
                  <c:v>1.018374531438937E-2</c:v>
                </c:pt>
                <c:pt idx="2743">
                  <c:v>1.0175132518792651E-2</c:v>
                </c:pt>
                <c:pt idx="2744">
                  <c:v>1.0166523775554381E-2</c:v>
                </c:pt>
                <c:pt idx="2745">
                  <c:v>1.0157919104898383E-2</c:v>
                </c:pt>
                <c:pt idx="2746">
                  <c:v>1.0149318526329054E-2</c:v>
                </c:pt>
                <c:pt idx="2747">
                  <c:v>1.0140722059990281E-2</c:v>
                </c:pt>
                <c:pt idx="2748">
                  <c:v>1.0130245693192208E-2</c:v>
                </c:pt>
                <c:pt idx="2749">
                  <c:v>1.0123541543620718E-2</c:v>
                </c:pt>
                <c:pt idx="2750">
                  <c:v>1.011495753347802E-2</c:v>
                </c:pt>
                <c:pt idx="2751">
                  <c:v>1.0106377715262127E-2</c:v>
                </c:pt>
                <c:pt idx="2752">
                  <c:v>1.009780210863731E-2</c:v>
                </c:pt>
                <c:pt idx="2753">
                  <c:v>1.0089252284588568E-2</c:v>
                </c:pt>
                <c:pt idx="2754">
                  <c:v>1.0080756483885622E-2</c:v>
                </c:pt>
                <c:pt idx="2755">
                  <c:v>1.0072314981108832E-2</c:v>
                </c:pt>
                <c:pt idx="2756">
                  <c:v>1.0063927880974433E-2</c:v>
                </c:pt>
                <c:pt idx="2757">
                  <c:v>1.005559528859834E-2</c:v>
                </c:pt>
                <c:pt idx="2758">
                  <c:v>1.0047317308456982E-2</c:v>
                </c:pt>
                <c:pt idx="2759">
                  <c:v>1.0039094045586339E-2</c:v>
                </c:pt>
                <c:pt idx="2760">
                  <c:v>1.0030925604942453E-2</c:v>
                </c:pt>
                <c:pt idx="2761">
                  <c:v>1.0022812091401434E-2</c:v>
                </c:pt>
                <c:pt idx="2762">
                  <c:v>1.0014753609519644E-2</c:v>
                </c:pt>
                <c:pt idx="2763">
                  <c:v>1.0006750264413E-2</c:v>
                </c:pt>
                <c:pt idx="2764">
                  <c:v>9.9988021608776734E-3</c:v>
                </c:pt>
                <c:pt idx="2765">
                  <c:v>9.9909094040295798E-3</c:v>
                </c:pt>
                <c:pt idx="2766">
                  <c:v>9.983072098185275E-3</c:v>
                </c:pt>
                <c:pt idx="2767">
                  <c:v>9.9752903485406108E-3</c:v>
                </c:pt>
                <c:pt idx="2768">
                  <c:v>9.9675642601315673E-3</c:v>
                </c:pt>
                <c:pt idx="2769">
                  <c:v>9.9598939374345719E-3</c:v>
                </c:pt>
                <c:pt idx="2770">
                  <c:v>9.9522794854056684E-3</c:v>
                </c:pt>
                <c:pt idx="2771">
                  <c:v>9.9447210090009008E-3</c:v>
                </c:pt>
                <c:pt idx="2772">
                  <c:v>9.937218613256249E-3</c:v>
                </c:pt>
                <c:pt idx="2773">
                  <c:v>9.9297724024083323E-3</c:v>
                </c:pt>
                <c:pt idx="2774">
                  <c:v>9.9223824820526829E-3</c:v>
                </c:pt>
                <c:pt idx="2775">
                  <c:v>9.9150489566657285E-3</c:v>
                </c:pt>
                <c:pt idx="2776">
                  <c:v>9.9077719311235768E-3</c:v>
                </c:pt>
                <c:pt idx="2777">
                  <c:v>9.9005515103822717E-3</c:v>
                </c:pt>
                <c:pt idx="2778">
                  <c:v>9.8933877991580488E-3</c:v>
                </c:pt>
                <c:pt idx="2779">
                  <c:v>9.886280902327016E-3</c:v>
                </c:pt>
                <c:pt idx="2780">
                  <c:v>9.8792309250850252E-3</c:v>
                </c:pt>
                <c:pt idx="2781">
                  <c:v>9.8722379717486319E-3</c:v>
                </c:pt>
                <c:pt idx="2782">
                  <c:v>9.8653021475136882E-3</c:v>
                </c:pt>
                <c:pt idx="2783">
                  <c:v>9.8584235572563017E-3</c:v>
                </c:pt>
                <c:pt idx="2784">
                  <c:v>9.8516023056127722E-3</c:v>
                </c:pt>
                <c:pt idx="2785">
                  <c:v>9.8448384976990155E-3</c:v>
                </c:pt>
                <c:pt idx="2786">
                  <c:v>9.8381322382312675E-3</c:v>
                </c:pt>
                <c:pt idx="2787">
                  <c:v>9.8314836320856358E-3</c:v>
                </c:pt>
                <c:pt idx="2788">
                  <c:v>9.8248927841382283E-3</c:v>
                </c:pt>
                <c:pt idx="2789">
                  <c:v>9.8183597991852167E-3</c:v>
                </c:pt>
                <c:pt idx="2790">
                  <c:v>9.811884782262581E-3</c:v>
                </c:pt>
                <c:pt idx="2791">
                  <c:v>9.8054678379266846E-3</c:v>
                </c:pt>
                <c:pt idx="2792">
                  <c:v>9.7991090712135076E-3</c:v>
                </c:pt>
                <c:pt idx="2793">
                  <c:v>9.7928085869991577E-3</c:v>
                </c:pt>
                <c:pt idx="2794">
                  <c:v>9.7865664903196148E-3</c:v>
                </c:pt>
                <c:pt idx="2795">
                  <c:v>9.7803828856513064E-3</c:v>
                </c:pt>
                <c:pt idx="2796">
                  <c:v>9.7742578781900846E-3</c:v>
                </c:pt>
                <c:pt idx="2797">
                  <c:v>9.768191572492313E-3</c:v>
                </c:pt>
                <c:pt idx="2798">
                  <c:v>9.7621840735939713E-3</c:v>
                </c:pt>
                <c:pt idx="2799">
                  <c:v>9.755076562342424E-3</c:v>
                </c:pt>
                <c:pt idx="2800">
                  <c:v>9.7503459156200734E-3</c:v>
                </c:pt>
                <c:pt idx="2801">
                  <c:v>9.7445154662167965E-3</c:v>
                </c:pt>
                <c:pt idx="2802">
                  <c:v>9.7387442429575088E-3</c:v>
                </c:pt>
                <c:pt idx="2803">
                  <c:v>9.7330323507982541E-3</c:v>
                </c:pt>
                <c:pt idx="2804">
                  <c:v>9.7273798946950762E-3</c:v>
                </c:pt>
                <c:pt idx="2805">
                  <c:v>9.7217869792043388E-3</c:v>
                </c:pt>
                <c:pt idx="2806">
                  <c:v>9.7162537096018298E-3</c:v>
                </c:pt>
                <c:pt idx="2807">
                  <c:v>9.7107801902840407E-3</c:v>
                </c:pt>
                <c:pt idx="2808">
                  <c:v>9.7053665264468236E-3</c:v>
                </c:pt>
                <c:pt idx="2809">
                  <c:v>9.7000128228064142E-3</c:v>
                </c:pt>
                <c:pt idx="2810">
                  <c:v>9.6947191840790481E-3</c:v>
                </c:pt>
                <c:pt idx="2811">
                  <c:v>9.6894857155405134E-3</c:v>
                </c:pt>
                <c:pt idx="2812">
                  <c:v>9.6843125216672377E-3</c:v>
                </c:pt>
                <c:pt idx="2813">
                  <c:v>9.6791997075751368E-3</c:v>
                </c:pt>
                <c:pt idx="2814">
                  <c:v>9.6741473778205744E-3</c:v>
                </c:pt>
                <c:pt idx="2815">
                  <c:v>9.6691556375194665E-3</c:v>
                </c:pt>
                <c:pt idx="2816">
                  <c:v>9.6642245915479208E-3</c:v>
                </c:pt>
                <c:pt idx="2817">
                  <c:v>9.659354344542237E-3</c:v>
                </c:pt>
                <c:pt idx="2818">
                  <c:v>9.654545001618331E-3</c:v>
                </c:pt>
                <c:pt idx="2819">
                  <c:v>9.6497966674125024E-3</c:v>
                </c:pt>
                <c:pt idx="2820">
                  <c:v>9.6451094468008591E-3</c:v>
                </c:pt>
                <c:pt idx="2821">
                  <c:v>9.6404834450591892E-3</c:v>
                </c:pt>
                <c:pt idx="2822">
                  <c:v>9.6359187664241119E-3</c:v>
                </c:pt>
                <c:pt idx="2823">
                  <c:v>9.6314155160914794E-3</c:v>
                </c:pt>
                <c:pt idx="2824">
                  <c:v>9.6269737989373994E-3</c:v>
                </c:pt>
                <c:pt idx="2825">
                  <c:v>9.6225937197580436E-3</c:v>
                </c:pt>
                <c:pt idx="2826">
                  <c:v>9.6182753833495838E-3</c:v>
                </c:pt>
                <c:pt idx="2827">
                  <c:v>9.6140188945881278E-3</c:v>
                </c:pt>
                <c:pt idx="2828">
                  <c:v>9.6098243584297194E-3</c:v>
                </c:pt>
                <c:pt idx="2829">
                  <c:v>9.6056918796705304E-3</c:v>
                </c:pt>
                <c:pt idx="2830">
                  <c:v>9.6016215631866686E-3</c:v>
                </c:pt>
                <c:pt idx="2831">
                  <c:v>9.5976135139341778E-3</c:v>
                </c:pt>
                <c:pt idx="2832">
                  <c:v>9.5936678365493577E-3</c:v>
                </c:pt>
                <c:pt idx="2833">
                  <c:v>9.5897846360681882E-3</c:v>
                </c:pt>
                <c:pt idx="2834">
                  <c:v>9.5859640174467131E-3</c:v>
                </c:pt>
                <c:pt idx="2835">
                  <c:v>9.5822060850814239E-3</c:v>
                </c:pt>
                <c:pt idx="2836">
                  <c:v>9.5785109443280447E-3</c:v>
                </c:pt>
                <c:pt idx="2837">
                  <c:v>9.5748786998228752E-3</c:v>
                </c:pt>
                <c:pt idx="2838">
                  <c:v>9.5713094565219592E-3</c:v>
                </c:pt>
                <c:pt idx="2839">
                  <c:v>9.5678033191415324E-3</c:v>
                </c:pt>
                <c:pt idx="2840">
                  <c:v>9.5643603927175747E-3</c:v>
                </c:pt>
                <c:pt idx="2841">
                  <c:v>9.5609807820462578E-3</c:v>
                </c:pt>
                <c:pt idx="2842">
                  <c:v>9.5576645918438174E-3</c:v>
                </c:pt>
                <c:pt idx="2843">
                  <c:v>9.5544119272261696E-3</c:v>
                </c:pt>
                <c:pt idx="2844">
                  <c:v>9.5512228928296139E-3</c:v>
                </c:pt>
                <c:pt idx="2845">
                  <c:v>9.5480975935302581E-3</c:v>
                </c:pt>
                <c:pt idx="2846">
                  <c:v>9.5450361343640822E-3</c:v>
                </c:pt>
                <c:pt idx="2847">
                  <c:v>9.5420386200473217E-3</c:v>
                </c:pt>
                <c:pt idx="2848">
                  <c:v>9.5391051556159567E-3</c:v>
                </c:pt>
                <c:pt idx="2849">
                  <c:v>9.5359343019882914E-3</c:v>
                </c:pt>
                <c:pt idx="2850">
                  <c:v>9.5334307951944197E-3</c:v>
                </c:pt>
                <c:pt idx="2851">
                  <c:v>9.5306901090363993E-3</c:v>
                </c:pt>
                <c:pt idx="2852">
                  <c:v>9.5280138921083335E-3</c:v>
                </c:pt>
                <c:pt idx="2853">
                  <c:v>9.5254022492063939E-3</c:v>
                </c:pt>
                <c:pt idx="2854">
                  <c:v>9.5228552852866244E-3</c:v>
                </c:pt>
                <c:pt idx="2855">
                  <c:v>9.5203731051451967E-3</c:v>
                </c:pt>
                <c:pt idx="2856">
                  <c:v>9.5179558134184106E-3</c:v>
                </c:pt>
                <c:pt idx="2857">
                  <c:v>9.51560351546199E-3</c:v>
                </c:pt>
                <c:pt idx="2858">
                  <c:v>9.5133163157523626E-3</c:v>
                </c:pt>
                <c:pt idx="2859">
                  <c:v>9.5110943192455721E-3</c:v>
                </c:pt>
                <c:pt idx="2860">
                  <c:v>9.5089376307377904E-3</c:v>
                </c:pt>
                <c:pt idx="2861">
                  <c:v>9.5068463552649973E-3</c:v>
                </c:pt>
                <c:pt idx="2862">
                  <c:v>9.5048205977033007E-3</c:v>
                </c:pt>
                <c:pt idx="2863">
                  <c:v>9.502860462609064E-3</c:v>
                </c:pt>
                <c:pt idx="2864">
                  <c:v>9.5009660550182673E-3</c:v>
                </c:pt>
                <c:pt idx="2865">
                  <c:v>9.4991374799668904E-3</c:v>
                </c:pt>
                <c:pt idx="2866">
                  <c:v>9.4973748420112969E-3</c:v>
                </c:pt>
                <c:pt idx="2867">
                  <c:v>9.4956782462674028E-3</c:v>
                </c:pt>
                <c:pt idx="2868">
                  <c:v>9.4940477973715076E-3</c:v>
                </c:pt>
                <c:pt idx="2869">
                  <c:v>9.4924836003595914E-3</c:v>
                </c:pt>
                <c:pt idx="2870">
                  <c:v>9.4909857600278258E-3</c:v>
                </c:pt>
                <c:pt idx="2871">
                  <c:v>9.4895543812523186E-3</c:v>
                </c:pt>
                <c:pt idx="2872">
                  <c:v>9.4881895688292417E-3</c:v>
                </c:pt>
                <c:pt idx="2873">
                  <c:v>9.4868914277945748E-3</c:v>
                </c:pt>
                <c:pt idx="2874">
                  <c:v>9.4856600628645538E-3</c:v>
                </c:pt>
                <c:pt idx="2875">
                  <c:v>9.4844955787554142E-3</c:v>
                </c:pt>
                <c:pt idx="2876">
                  <c:v>9.483398080583072E-3</c:v>
                </c:pt>
                <c:pt idx="2877">
                  <c:v>9.4823676732236351E-3</c:v>
                </c:pt>
                <c:pt idx="2878">
                  <c:v>9.481404461393339E-3</c:v>
                </c:pt>
                <c:pt idx="2879">
                  <c:v>9.4805085498883557E-3</c:v>
                </c:pt>
                <c:pt idx="2880">
                  <c:v>9.4796800438246009E-3</c:v>
                </c:pt>
                <c:pt idx="2881">
                  <c:v>9.4789190477584384E-3</c:v>
                </c:pt>
                <c:pt idx="2882">
                  <c:v>9.478225666805784E-3</c:v>
                </c:pt>
                <c:pt idx="2883">
                  <c:v>9.4776000058427456E-3</c:v>
                </c:pt>
                <c:pt idx="2884">
                  <c:v>9.4770421693457507E-3</c:v>
                </c:pt>
                <c:pt idx="2885">
                  <c:v>9.4765522625905874E-3</c:v>
                </c:pt>
                <c:pt idx="2886">
                  <c:v>9.4761303903734273E-3</c:v>
                </c:pt>
                <c:pt idx="2887">
                  <c:v>9.4757766573305702E-3</c:v>
                </c:pt>
                <c:pt idx="2888">
                  <c:v>9.4754911685779319E-3</c:v>
                </c:pt>
                <c:pt idx="2889">
                  <c:v>9.4755880252805902E-3</c:v>
                </c:pt>
                <c:pt idx="2890">
                  <c:v>9.4753452997942134E-3</c:v>
                </c:pt>
                <c:pt idx="2891">
                  <c:v>9.4752847777268556E-3</c:v>
                </c:pt>
                <c:pt idx="2892">
                  <c:v>9.4752929529207108E-3</c:v>
                </c:pt>
                <c:pt idx="2893">
                  <c:v>9.4753699301453054E-3</c:v>
                </c:pt>
                <c:pt idx="2894">
                  <c:v>9.4755158143300378E-3</c:v>
                </c:pt>
                <c:pt idx="2895">
                  <c:v>9.4757307103776611E-3</c:v>
                </c:pt>
                <c:pt idx="2896">
                  <c:v>9.4760147230310565E-3</c:v>
                </c:pt>
                <c:pt idx="2897">
                  <c:v>9.4763679572729131E-3</c:v>
                </c:pt>
                <c:pt idx="2898">
                  <c:v>9.4767905179260481E-3</c:v>
                </c:pt>
                <c:pt idx="2899">
                  <c:v>9.4772825098399238E-3</c:v>
                </c:pt>
                <c:pt idx="2900">
                  <c:v>9.4778440379439388E-3</c:v>
                </c:pt>
                <c:pt idx="2901">
                  <c:v>9.4784752070342648E-3</c:v>
                </c:pt>
                <c:pt idx="2902">
                  <c:v>9.4791761219603643E-3</c:v>
                </c:pt>
                <c:pt idx="2903">
                  <c:v>9.4799468877582171E-3</c:v>
                </c:pt>
                <c:pt idx="2904">
                  <c:v>9.4809191917288871E-3</c:v>
                </c:pt>
                <c:pt idx="2905">
                  <c:v>9.4816983909407071E-3</c:v>
                </c:pt>
                <c:pt idx="2906">
                  <c:v>9.4826793381841412E-3</c:v>
                </c:pt>
                <c:pt idx="2907">
                  <c:v>9.4837305556438878E-3</c:v>
                </c:pt>
                <c:pt idx="2908">
                  <c:v>9.4848521481960546E-3</c:v>
                </c:pt>
                <c:pt idx="2909">
                  <c:v>9.4860442206901041E-3</c:v>
                </c:pt>
                <c:pt idx="2910">
                  <c:v>9.4873068781087255E-3</c:v>
                </c:pt>
                <c:pt idx="2911">
                  <c:v>9.4886402251415092E-3</c:v>
                </c:pt>
                <c:pt idx="2912">
                  <c:v>9.4900443667711443E-3</c:v>
                </c:pt>
                <c:pt idx="2913">
                  <c:v>9.4915194079270293E-3</c:v>
                </c:pt>
                <c:pt idx="2914">
                  <c:v>9.4930654533254E-3</c:v>
                </c:pt>
                <c:pt idx="2915">
                  <c:v>9.4946826079489455E-3</c:v>
                </c:pt>
                <c:pt idx="2916">
                  <c:v>9.4963709765671922E-3</c:v>
                </c:pt>
                <c:pt idx="2917">
                  <c:v>9.4981306642161201E-3</c:v>
                </c:pt>
                <c:pt idx="2918">
                  <c:v>9.4999617755853194E-3</c:v>
                </c:pt>
                <c:pt idx="2919">
                  <c:v>9.5018644156308341E-3</c:v>
                </c:pt>
                <c:pt idx="2920">
                  <c:v>9.5038386892554172E-3</c:v>
                </c:pt>
                <c:pt idx="2921">
                  <c:v>9.5058847013085312E-3</c:v>
                </c:pt>
                <c:pt idx="2922">
                  <c:v>9.5080025565597026E-3</c:v>
                </c:pt>
                <c:pt idx="2923">
                  <c:v>9.5101923600182658E-3</c:v>
                </c:pt>
                <c:pt idx="2924">
                  <c:v>9.512454216507038E-3</c:v>
                </c:pt>
                <c:pt idx="2925">
                  <c:v>9.5147882308754816E-3</c:v>
                </c:pt>
                <c:pt idx="2926">
                  <c:v>9.5171945080263498E-3</c:v>
                </c:pt>
                <c:pt idx="2927">
                  <c:v>9.519673152809105E-3</c:v>
                </c:pt>
                <c:pt idx="2928">
                  <c:v>9.5222242700998549E-3</c:v>
                </c:pt>
                <c:pt idx="2929">
                  <c:v>9.5248479648013529E-3</c:v>
                </c:pt>
                <c:pt idx="2930">
                  <c:v>9.5275443416831251E-3</c:v>
                </c:pt>
                <c:pt idx="2931">
                  <c:v>9.5303135057545063E-3</c:v>
                </c:pt>
                <c:pt idx="2932">
                  <c:v>9.5331555618116681E-3</c:v>
                </c:pt>
                <c:pt idx="2933">
                  <c:v>9.5360706147573637E-3</c:v>
                </c:pt>
                <c:pt idx="2934">
                  <c:v>9.5390587694677009E-3</c:v>
                </c:pt>
                <c:pt idx="2935">
                  <c:v>9.5421201307654968E-3</c:v>
                </c:pt>
                <c:pt idx="2936">
                  <c:v>9.5452548035268592E-3</c:v>
                </c:pt>
                <c:pt idx="2937">
                  <c:v>9.5484628926811865E-3</c:v>
                </c:pt>
                <c:pt idx="2938">
                  <c:v>9.551744503051296E-3</c:v>
                </c:pt>
                <c:pt idx="2939">
                  <c:v>9.555099739566586E-3</c:v>
                </c:pt>
                <c:pt idx="2940">
                  <c:v>9.558528707076519E-3</c:v>
                </c:pt>
                <c:pt idx="2941">
                  <c:v>9.5631730922596248E-3</c:v>
                </c:pt>
                <c:pt idx="2942">
                  <c:v>9.5663890601915824E-3</c:v>
                </c:pt>
                <c:pt idx="2943">
                  <c:v>9.5700608292403899E-3</c:v>
                </c:pt>
                <c:pt idx="2944">
                  <c:v>9.5738067745543276E-3</c:v>
                </c:pt>
                <c:pt idx="2945">
                  <c:v>9.5776270011693754E-3</c:v>
                </c:pt>
                <c:pt idx="2946">
                  <c:v>9.5815216140415771E-3</c:v>
                </c:pt>
                <c:pt idx="2947">
                  <c:v>9.5854907178871684E-3</c:v>
                </c:pt>
                <c:pt idx="2948">
                  <c:v>9.5895344175822572E-3</c:v>
                </c:pt>
                <c:pt idx="2949">
                  <c:v>9.5936528180029512E-3</c:v>
                </c:pt>
                <c:pt idx="2950">
                  <c:v>9.5978460241052943E-3</c:v>
                </c:pt>
                <c:pt idx="2951">
                  <c:v>9.6021141405255861E-3</c:v>
                </c:pt>
                <c:pt idx="2952">
                  <c:v>9.6064572724596786E-3</c:v>
                </c:pt>
                <c:pt idx="2953">
                  <c:v>9.6108755244639354E-3</c:v>
                </c:pt>
                <c:pt idx="2954">
                  <c:v>9.6153690016542726E-3</c:v>
                </c:pt>
                <c:pt idx="2955">
                  <c:v>9.621257032836894E-3</c:v>
                </c:pt>
                <c:pt idx="2956">
                  <c:v>9.6245820505380664E-3</c:v>
                </c:pt>
                <c:pt idx="2957">
                  <c:v>9.6293018322235469E-3</c:v>
                </c:pt>
                <c:pt idx="2958">
                  <c:v>9.6340972581998585E-3</c:v>
                </c:pt>
                <c:pt idx="2959">
                  <c:v>9.6396705055834531E-3</c:v>
                </c:pt>
                <c:pt idx="2960">
                  <c:v>9.6446283802542609E-3</c:v>
                </c:pt>
                <c:pt idx="2961">
                  <c:v>9.6496622289521383E-3</c:v>
                </c:pt>
                <c:pt idx="2962">
                  <c:v>9.654772156553193E-3</c:v>
                </c:pt>
                <c:pt idx="2963">
                  <c:v>9.6599582680934049E-3</c:v>
                </c:pt>
                <c:pt idx="2964">
                  <c:v>9.6652206681291375E-3</c:v>
                </c:pt>
                <c:pt idx="2965">
                  <c:v>9.670559461936179E-3</c:v>
                </c:pt>
                <c:pt idx="2966">
                  <c:v>9.6759747540708929E-3</c:v>
                </c:pt>
                <c:pt idx="2967">
                  <c:v>9.6814666496491952E-3</c:v>
                </c:pt>
                <c:pt idx="2968">
                  <c:v>9.6870352531475135E-3</c:v>
                </c:pt>
                <c:pt idx="2969">
                  <c:v>9.6926806699215717E-3</c:v>
                </c:pt>
                <c:pt idx="2970">
                  <c:v>9.6984030045277336E-3</c:v>
                </c:pt>
                <c:pt idx="2971">
                  <c:v>9.7042023616822348E-3</c:v>
                </c:pt>
                <c:pt idx="2972">
                  <c:v>9.7100788466608634E-3</c:v>
                </c:pt>
                <c:pt idx="2973">
                  <c:v>9.716032564099919E-3</c:v>
                </c:pt>
                <c:pt idx="2974">
                  <c:v>9.7220636187156373E-3</c:v>
                </c:pt>
                <c:pt idx="2975">
                  <c:v>9.7281721157838064E-3</c:v>
                </c:pt>
                <c:pt idx="2976">
                  <c:v>9.7343581597808537E-3</c:v>
                </c:pt>
                <c:pt idx="2977">
                  <c:v>9.7406218556628232E-3</c:v>
                </c:pt>
                <c:pt idx="2978">
                  <c:v>9.746963308705503E-3</c:v>
                </c:pt>
                <c:pt idx="2979">
                  <c:v>9.7533826231455123E-3</c:v>
                </c:pt>
                <c:pt idx="2980">
                  <c:v>9.7598799042586393E-3</c:v>
                </c:pt>
                <c:pt idx="2981">
                  <c:v>9.7664552566811835E-3</c:v>
                </c:pt>
                <c:pt idx="2982">
                  <c:v>9.773108785449125E-3</c:v>
                </c:pt>
                <c:pt idx="2983">
                  <c:v>9.7798405951987633E-3</c:v>
                </c:pt>
                <c:pt idx="2984">
                  <c:v>9.7866507912058864E-3</c:v>
                </c:pt>
                <c:pt idx="2985">
                  <c:v>9.7935394780268581E-3</c:v>
                </c:pt>
                <c:pt idx="2986">
                  <c:v>9.800506760537786E-3</c:v>
                </c:pt>
                <c:pt idx="2987">
                  <c:v>9.807552743614778E-3</c:v>
                </c:pt>
                <c:pt idx="2988">
                  <c:v>9.8146775321339419E-3</c:v>
                </c:pt>
                <c:pt idx="2989">
                  <c:v>9.8218812312111936E-3</c:v>
                </c:pt>
                <c:pt idx="2990">
                  <c:v>9.8291639453229607E-3</c:v>
                </c:pt>
                <c:pt idx="2991">
                  <c:v>9.8365257795851591E-3</c:v>
                </c:pt>
                <c:pt idx="2992">
                  <c:v>9.8439668387939605E-3</c:v>
                </c:pt>
                <c:pt idx="2993">
                  <c:v>9.8532441119436598E-3</c:v>
                </c:pt>
                <c:pt idx="2994">
                  <c:v>9.860179231102606E-3</c:v>
                </c:pt>
                <c:pt idx="2995">
                  <c:v>9.8678699656318258E-3</c:v>
                </c:pt>
                <c:pt idx="2996">
                  <c:v>9.8756403595601228E-3</c:v>
                </c:pt>
                <c:pt idx="2997">
                  <c:v>9.8834905178435406E-3</c:v>
                </c:pt>
                <c:pt idx="2998">
                  <c:v>9.891420545118379E-3</c:v>
                </c:pt>
                <c:pt idx="2999">
                  <c:v>9.8994305464206178E-3</c:v>
                </c:pt>
                <c:pt idx="3000">
                  <c:v>9.9075206266263649E-3</c:v>
                </c:pt>
                <c:pt idx="3001">
                  <c:v>9.915690890611728E-3</c:v>
                </c:pt>
                <c:pt idx="3002">
                  <c:v>9.923941443172879E-3</c:v>
                </c:pt>
                <c:pt idx="3003">
                  <c:v>9.9322723891059894E-3</c:v>
                </c:pt>
                <c:pt idx="3004">
                  <c:v>9.9406838333671033E-3</c:v>
                </c:pt>
                <c:pt idx="3005">
                  <c:v>9.9491758809122643E-3</c:v>
                </c:pt>
                <c:pt idx="3006">
                  <c:v>9.9589799103405596E-3</c:v>
                </c:pt>
                <c:pt idx="3007">
                  <c:v>9.9676450321606325E-3</c:v>
                </c:pt>
                <c:pt idx="3008">
                  <c:v>9.9763910867611827E-3</c:v>
                </c:pt>
                <c:pt idx="3009">
                  <c:v>9.9852181790183181E-3</c:v>
                </c:pt>
                <c:pt idx="3010">
                  <c:v>9.9964632696369904E-3</c:v>
                </c:pt>
                <c:pt idx="3011">
                  <c:v>1.000311589592684E-2</c:v>
                </c:pt>
                <c:pt idx="3012">
                  <c:v>1.0012186416101798E-2</c:v>
                </c:pt>
                <c:pt idx="3013">
                  <c:v>1.0021285915096101E-2</c:v>
                </c:pt>
                <c:pt idx="3014">
                  <c:v>1.0030374488509963E-2</c:v>
                </c:pt>
                <c:pt idx="3015">
                  <c:v>1.0039452099572799E-2</c:v>
                </c:pt>
                <c:pt idx="3016">
                  <c:v>1.0048518711913701E-2</c:v>
                </c:pt>
                <c:pt idx="3017">
                  <c:v>1.0057574288282467E-2</c:v>
                </c:pt>
                <c:pt idx="3018">
                  <c:v>1.0066618792388127E-2</c:v>
                </c:pt>
                <c:pt idx="3019">
                  <c:v>1.0075652187300221E-2</c:v>
                </c:pt>
                <c:pt idx="3020">
                  <c:v>1.0084674436567909E-2</c:v>
                </c:pt>
                <c:pt idx="3021">
                  <c:v>1.0093685503180794E-2</c:v>
                </c:pt>
                <c:pt idx="3022">
                  <c:v>1.0102685350688034E-2</c:v>
                </c:pt>
                <c:pt idx="3023">
                  <c:v>1.0111673942159172E-2</c:v>
                </c:pt>
                <c:pt idx="3024">
                  <c:v>1.0120651241063428E-2</c:v>
                </c:pt>
                <c:pt idx="3025">
                  <c:v>1.0129617210550279E-2</c:v>
                </c:pt>
                <c:pt idx="3026">
                  <c:v>1.0138571814168884E-2</c:v>
                </c:pt>
                <c:pt idx="3027">
                  <c:v>1.014751501506872E-2</c:v>
                </c:pt>
                <c:pt idx="3028">
                  <c:v>1.0156446776399264E-2</c:v>
                </c:pt>
                <c:pt idx="3029">
                  <c:v>1.0165367061629738E-2</c:v>
                </c:pt>
                <c:pt idx="3030">
                  <c:v>1.0174275834149427E-2</c:v>
                </c:pt>
                <c:pt idx="3031">
                  <c:v>1.0183173057027872E-2</c:v>
                </c:pt>
                <c:pt idx="3032">
                  <c:v>1.0192058693574424E-2</c:v>
                </c:pt>
                <c:pt idx="3033">
                  <c:v>1.0200932707258303E-2</c:v>
                </c:pt>
                <c:pt idx="3034">
                  <c:v>1.0209795061228988E-2</c:v>
                </c:pt>
                <c:pt idx="3035">
                  <c:v>1.0218645718795827E-2</c:v>
                </c:pt>
                <c:pt idx="3036">
                  <c:v>1.0227484643428042E-2</c:v>
                </c:pt>
                <c:pt idx="3037">
                  <c:v>1.0236311798275111E-2</c:v>
                </c:pt>
                <c:pt idx="3038">
                  <c:v>1.024512714648651E-2</c:v>
                </c:pt>
                <c:pt idx="3039">
                  <c:v>1.0253930651691334E-2</c:v>
                </c:pt>
                <c:pt idx="3040">
                  <c:v>1.0262722276959124E-2</c:v>
                </c:pt>
                <c:pt idx="3041">
                  <c:v>1.027150198559923E-2</c:v>
                </c:pt>
                <c:pt idx="3042">
                  <c:v>1.0280269741080872E-2</c:v>
                </c:pt>
                <c:pt idx="3043">
                  <c:v>1.0289025506233784E-2</c:v>
                </c:pt>
                <c:pt idx="3044">
                  <c:v>1.0300083200354138E-2</c:v>
                </c:pt>
                <c:pt idx="3045">
                  <c:v>1.0308813034949349E-2</c:v>
                </c:pt>
                <c:pt idx="3046">
                  <c:v>1.0315220495371591E-2</c:v>
                </c:pt>
                <c:pt idx="3047">
                  <c:v>1.0323927933661992E-2</c:v>
                </c:pt>
                <c:pt idx="3048">
                  <c:v>1.033262319857009E-2</c:v>
                </c:pt>
                <c:pt idx="3049">
                  <c:v>1.0341306253085492E-2</c:v>
                </c:pt>
                <c:pt idx="3050">
                  <c:v>1.034997706083729E-2</c:v>
                </c:pt>
                <c:pt idx="3051">
                  <c:v>1.0358635584895026E-2</c:v>
                </c:pt>
                <c:pt idx="3052">
                  <c:v>1.0367281788647986E-2</c:v>
                </c:pt>
                <c:pt idx="3053">
                  <c:v>1.0375915635165711E-2</c:v>
                </c:pt>
                <c:pt idx="3054">
                  <c:v>1.0384537088157231E-2</c:v>
                </c:pt>
                <c:pt idx="3055">
                  <c:v>1.0393146110532214E-2</c:v>
                </c:pt>
                <c:pt idx="3056">
                  <c:v>1.0401742666079627E-2</c:v>
                </c:pt>
                <c:pt idx="3057">
                  <c:v>1.0410326717389395E-2</c:v>
                </c:pt>
                <c:pt idx="3058">
                  <c:v>1.0418898228250484E-2</c:v>
                </c:pt>
                <c:pt idx="3059">
                  <c:v>1.043050436519799E-2</c:v>
                </c:pt>
                <c:pt idx="3060">
                  <c:v>1.0436003481704148E-2</c:v>
                </c:pt>
                <c:pt idx="3061">
                  <c:v>1.0444537150675615E-2</c:v>
                </c:pt>
                <c:pt idx="3062">
                  <c:v>1.0453058132355864E-2</c:v>
                </c:pt>
                <c:pt idx="3063">
                  <c:v>1.0461566389894372E-2</c:v>
                </c:pt>
                <c:pt idx="3064">
                  <c:v>1.0470061886680426E-2</c:v>
                </c:pt>
                <c:pt idx="3065">
                  <c:v>1.0478544585943439E-2</c:v>
                </c:pt>
                <c:pt idx="3066">
                  <c:v>1.048701445099276E-2</c:v>
                </c:pt>
                <c:pt idx="3067">
                  <c:v>1.0495471445217674E-2</c:v>
                </c:pt>
                <c:pt idx="3068">
                  <c:v>1.0503915531687724E-2</c:v>
                </c:pt>
                <c:pt idx="3069">
                  <c:v>1.0512346674111939E-2</c:v>
                </c:pt>
                <c:pt idx="3070">
                  <c:v>1.0520764835399987E-2</c:v>
                </c:pt>
                <c:pt idx="3071">
                  <c:v>1.0529169979021091E-2</c:v>
                </c:pt>
                <c:pt idx="3072">
                  <c:v>1.0537562068044792E-2</c:v>
                </c:pt>
                <c:pt idx="3073">
                  <c:v>1.0545941066020248E-2</c:v>
                </c:pt>
                <c:pt idx="3074">
                  <c:v>1.0554306936256808E-2</c:v>
                </c:pt>
                <c:pt idx="3075">
                  <c:v>1.0562659641903949E-2</c:v>
                </c:pt>
                <c:pt idx="3076">
                  <c:v>1.0570999146271021E-2</c:v>
                </c:pt>
                <c:pt idx="3077">
                  <c:v>1.0579325412827245E-2</c:v>
                </c:pt>
                <c:pt idx="3078">
                  <c:v>1.0587638404642163E-2</c:v>
                </c:pt>
                <c:pt idx="3079">
                  <c:v>1.0595938085264933E-2</c:v>
                </c:pt>
                <c:pt idx="3080">
                  <c:v>1.0604224417605224E-2</c:v>
                </c:pt>
                <c:pt idx="3081">
                  <c:v>1.0612497365292128E-2</c:v>
                </c:pt>
                <c:pt idx="3082">
                  <c:v>1.0620756891395189E-2</c:v>
                </c:pt>
                <c:pt idx="3083">
                  <c:v>1.0629002959543499E-2</c:v>
                </c:pt>
                <c:pt idx="3084">
                  <c:v>1.0637235532646727E-2</c:v>
                </c:pt>
                <c:pt idx="3085">
                  <c:v>1.0645454574413904E-2</c:v>
                </c:pt>
                <c:pt idx="3086">
                  <c:v>1.0653660047754698E-2</c:v>
                </c:pt>
                <c:pt idx="3087">
                  <c:v>1.0661851916138332E-2</c:v>
                </c:pt>
                <c:pt idx="3088">
                  <c:v>1.0670030142714282E-2</c:v>
                </c:pt>
                <c:pt idx="3089">
                  <c:v>1.0678194691031706E-2</c:v>
                </c:pt>
                <c:pt idx="3090">
                  <c:v>1.0686345524240082E-2</c:v>
                </c:pt>
                <c:pt idx="3091">
                  <c:v>1.0694482605728695E-2</c:v>
                </c:pt>
                <c:pt idx="3092">
                  <c:v>1.070260589848715E-2</c:v>
                </c:pt>
                <c:pt idx="3093">
                  <c:v>1.0710715366224477E-2</c:v>
                </c:pt>
                <c:pt idx="3094">
                  <c:v>1.0718810971930282E-2</c:v>
                </c:pt>
                <c:pt idx="3095">
                  <c:v>1.0726892679153721E-2</c:v>
                </c:pt>
                <c:pt idx="3096">
                  <c:v>1.0734960450964337E-2</c:v>
                </c:pt>
                <c:pt idx="3097">
                  <c:v>1.0743014250831351E-2</c:v>
                </c:pt>
                <c:pt idx="3098">
                  <c:v>1.075105404190424E-2</c:v>
                </c:pt>
                <c:pt idx="3099">
                  <c:v>1.075907978757229E-2</c:v>
                </c:pt>
                <c:pt idx="3100">
                  <c:v>1.0767091451064914E-2</c:v>
                </c:pt>
                <c:pt idx="3101">
                  <c:v>1.0775088995691462E-2</c:v>
                </c:pt>
                <c:pt idx="3102">
                  <c:v>1.0783072384841219E-2</c:v>
                </c:pt>
                <c:pt idx="3103">
                  <c:v>1.0791041581743599E-2</c:v>
                </c:pt>
                <c:pt idx="3104">
                  <c:v>1.0798996549628015E-2</c:v>
                </c:pt>
                <c:pt idx="3105">
                  <c:v>1.0806937251803816E-2</c:v>
                </c:pt>
                <c:pt idx="3106">
                  <c:v>1.0814863651820161E-2</c:v>
                </c:pt>
                <c:pt idx="3107">
                  <c:v>1.0822775712666655E-2</c:v>
                </c:pt>
                <c:pt idx="3108">
                  <c:v>1.0830673397812518E-2</c:v>
                </c:pt>
                <c:pt idx="3109">
                  <c:v>1.0838556670407229E-2</c:v>
                </c:pt>
                <c:pt idx="3110">
                  <c:v>1.0849324647477232E-2</c:v>
                </c:pt>
                <c:pt idx="3111">
                  <c:v>1.0854279831260527E-2</c:v>
                </c:pt>
                <c:pt idx="3112">
                  <c:v>1.0862119646217749E-2</c:v>
                </c:pt>
                <c:pt idx="3113">
                  <c:v>1.0869944901861217E-2</c:v>
                </c:pt>
                <c:pt idx="3114">
                  <c:v>1.087775556150028E-2</c:v>
                </c:pt>
                <c:pt idx="3115">
                  <c:v>1.0885551588604159E-2</c:v>
                </c:pt>
                <c:pt idx="3116">
                  <c:v>1.0893332946002587E-2</c:v>
                </c:pt>
                <c:pt idx="3117">
                  <c:v>1.0901099597644404E-2</c:v>
                </c:pt>
                <c:pt idx="3118">
                  <c:v>1.0908851506199468E-2</c:v>
                </c:pt>
                <c:pt idx="3119">
                  <c:v>1.0916588635216939E-2</c:v>
                </c:pt>
                <c:pt idx="3120">
                  <c:v>1.0924310948166038E-2</c:v>
                </c:pt>
                <c:pt idx="3121">
                  <c:v>1.0932018408116306E-2</c:v>
                </c:pt>
                <c:pt idx="3122">
                  <c:v>1.0939710978457029E-2</c:v>
                </c:pt>
                <c:pt idx="3123">
                  <c:v>1.094738862241762E-2</c:v>
                </c:pt>
                <c:pt idx="3124">
                  <c:v>1.09550513034673E-2</c:v>
                </c:pt>
                <c:pt idx="3125">
                  <c:v>1.0962698984675612E-2</c:v>
                </c:pt>
                <c:pt idx="3126">
                  <c:v>1.097033162943184E-2</c:v>
                </c:pt>
                <c:pt idx="3127">
                  <c:v>1.0977949200965398E-2</c:v>
                </c:pt>
                <c:pt idx="3128">
                  <c:v>1.0985551662825443E-2</c:v>
                </c:pt>
                <c:pt idx="3129">
                  <c:v>1.0993138978001582E-2</c:v>
                </c:pt>
                <c:pt idx="3130">
                  <c:v>1.1000711109883099E-2</c:v>
                </c:pt>
                <c:pt idx="3131">
                  <c:v>1.100826802185928E-2</c:v>
                </c:pt>
                <c:pt idx="3132">
                  <c:v>1.1015809677159538E-2</c:v>
                </c:pt>
                <c:pt idx="3133">
                  <c:v>1.1023336039173159E-2</c:v>
                </c:pt>
                <c:pt idx="3134">
                  <c:v>1.1030847070889749E-2</c:v>
                </c:pt>
                <c:pt idx="3135">
                  <c:v>1.10383427359384E-2</c:v>
                </c:pt>
                <c:pt idx="3136">
                  <c:v>1.1045822997468591E-2</c:v>
                </c:pt>
                <c:pt idx="3137">
                  <c:v>1.1053287818869606E-2</c:v>
                </c:pt>
                <c:pt idx="3138">
                  <c:v>1.106073716337086E-2</c:v>
                </c:pt>
                <c:pt idx="3139">
                  <c:v>1.1068170994281701E-2</c:v>
                </c:pt>
                <c:pt idx="3140">
                  <c:v>1.1075589274831543E-2</c:v>
                </c:pt>
                <c:pt idx="3141">
                  <c:v>1.1082991968169864E-2</c:v>
                </c:pt>
                <c:pt idx="3142">
                  <c:v>1.1090379038165565E-2</c:v>
                </c:pt>
                <c:pt idx="3143">
                  <c:v>1.1097750447488508E-2</c:v>
                </c:pt>
                <c:pt idx="3144">
                  <c:v>1.1105106159847722E-2</c:v>
                </c:pt>
                <c:pt idx="3145">
                  <c:v>1.1112446138312748E-2</c:v>
                </c:pt>
                <c:pt idx="3146">
                  <c:v>1.1119770346272873E-2</c:v>
                </c:pt>
                <c:pt idx="3147">
                  <c:v>1.1127078746877572E-2</c:v>
                </c:pt>
                <c:pt idx="3148">
                  <c:v>1.1134371303676005E-2</c:v>
                </c:pt>
                <c:pt idx="3149">
                  <c:v>1.1141647979657776E-2</c:v>
                </c:pt>
                <c:pt idx="3150">
                  <c:v>1.1148908738451979E-2</c:v>
                </c:pt>
                <c:pt idx="3151">
                  <c:v>1.1156153543128156E-2</c:v>
                </c:pt>
                <c:pt idx="3152">
                  <c:v>1.1163382356915719E-2</c:v>
                </c:pt>
                <c:pt idx="3153">
                  <c:v>1.1170595143603634E-2</c:v>
                </c:pt>
                <c:pt idx="3154">
                  <c:v>1.1177791865781828E-2</c:v>
                </c:pt>
                <c:pt idx="3155">
                  <c:v>1.1184972487159328E-2</c:v>
                </c:pt>
                <c:pt idx="3156">
                  <c:v>1.1192136971045485E-2</c:v>
                </c:pt>
                <c:pt idx="3157">
                  <c:v>1.1199285280589777E-2</c:v>
                </c:pt>
                <c:pt idx="3158">
                  <c:v>1.1206417379181488E-2</c:v>
                </c:pt>
                <c:pt idx="3159">
                  <c:v>1.1213533229970096E-2</c:v>
                </c:pt>
                <c:pt idx="3160">
                  <c:v>1.1220632796584695E-2</c:v>
                </c:pt>
                <c:pt idx="3161">
                  <c:v>1.122771604201489E-2</c:v>
                </c:pt>
                <c:pt idx="3162">
                  <c:v>1.1234782929570031E-2</c:v>
                </c:pt>
                <c:pt idx="3163">
                  <c:v>1.1241833422559466E-2</c:v>
                </c:pt>
                <c:pt idx="3164">
                  <c:v>1.1248867484532354E-2</c:v>
                </c:pt>
                <c:pt idx="3165">
                  <c:v>1.1258590871571883E-2</c:v>
                </c:pt>
                <c:pt idx="3166">
                  <c:v>1.126288616778659E-2</c:v>
                </c:pt>
                <c:pt idx="3167">
                  <c:v>1.1272216078657138E-2</c:v>
                </c:pt>
                <c:pt idx="3168">
                  <c:v>1.127917974131698E-2</c:v>
                </c:pt>
                <c:pt idx="3169">
                  <c:v>1.1286126777916294E-2</c:v>
                </c:pt>
                <c:pt idx="3170">
                  <c:v>1.1293057151791075E-2</c:v>
                </c:pt>
                <c:pt idx="3171">
                  <c:v>1.1299970826303962E-2</c:v>
                </c:pt>
                <c:pt idx="3172">
                  <c:v>1.1306867764711015E-2</c:v>
                </c:pt>
                <c:pt idx="3173">
                  <c:v>1.1313747930241647E-2</c:v>
                </c:pt>
                <c:pt idx="3174">
                  <c:v>1.1320611286258497E-2</c:v>
                </c:pt>
                <c:pt idx="3175">
                  <c:v>1.1327457795990981E-2</c:v>
                </c:pt>
                <c:pt idx="3176">
                  <c:v>1.1334287422855027E-2</c:v>
                </c:pt>
                <c:pt idx="3177">
                  <c:v>1.134110013002676E-2</c:v>
                </c:pt>
                <c:pt idx="3178">
                  <c:v>1.1347895880788883E-2</c:v>
                </c:pt>
                <c:pt idx="3179">
                  <c:v>1.1354674638504036E-2</c:v>
                </c:pt>
                <c:pt idx="3180">
                  <c:v>1.1361436366428279E-2</c:v>
                </c:pt>
                <c:pt idx="3181">
                  <c:v>1.1368181027844315E-2</c:v>
                </c:pt>
                <c:pt idx="3182">
                  <c:v>1.1374908586088139E-2</c:v>
                </c:pt>
                <c:pt idx="3183">
                  <c:v>1.138161900436252E-2</c:v>
                </c:pt>
                <c:pt idx="3184">
                  <c:v>1.1388312246083387E-2</c:v>
                </c:pt>
                <c:pt idx="3185">
                  <c:v>1.1394988274373574E-2</c:v>
                </c:pt>
                <c:pt idx="3186">
                  <c:v>1.1401647052728947E-2</c:v>
                </c:pt>
                <c:pt idx="3187">
                  <c:v>1.1408288544325629E-2</c:v>
                </c:pt>
                <c:pt idx="3188">
                  <c:v>1.1414912712419678E-2</c:v>
                </c:pt>
                <c:pt idx="3189">
                  <c:v>1.1421519520373735E-2</c:v>
                </c:pt>
                <c:pt idx="3190">
                  <c:v>1.1428108931470504E-2</c:v>
                </c:pt>
                <c:pt idx="3191">
                  <c:v>1.1434680908939399E-2</c:v>
                </c:pt>
                <c:pt idx="3192">
                  <c:v>1.1441235416169704E-2</c:v>
                </c:pt>
                <c:pt idx="3193">
                  <c:v>1.1447772416337543E-2</c:v>
                </c:pt>
                <c:pt idx="3194">
                  <c:v>1.1454291872885491E-2</c:v>
                </c:pt>
                <c:pt idx="3195">
                  <c:v>1.1460793748963027E-2</c:v>
                </c:pt>
                <c:pt idx="3196">
                  <c:v>1.1467278007906145E-2</c:v>
                </c:pt>
                <c:pt idx="3197">
                  <c:v>1.147374461305084E-2</c:v>
                </c:pt>
                <c:pt idx="3198">
                  <c:v>1.1480193527626525E-2</c:v>
                </c:pt>
                <c:pt idx="3199">
                  <c:v>1.1486624714969196E-2</c:v>
                </c:pt>
                <c:pt idx="3200">
                  <c:v>1.149303813833491E-2</c:v>
                </c:pt>
                <c:pt idx="3201">
                  <c:v>1.1501529939530464E-2</c:v>
                </c:pt>
                <c:pt idx="3202">
                  <c:v>1.1507262781851324E-2</c:v>
                </c:pt>
                <c:pt idx="3203">
                  <c:v>1.1513617173424251E-2</c:v>
                </c:pt>
                <c:pt idx="3204">
                  <c:v>1.1519953644532066E-2</c:v>
                </c:pt>
                <c:pt idx="3205">
                  <c:v>1.1526272158643991E-2</c:v>
                </c:pt>
                <c:pt idx="3206">
                  <c:v>1.1532572679069375E-2</c:v>
                </c:pt>
                <c:pt idx="3207">
                  <c:v>1.153885516887776E-2</c:v>
                </c:pt>
                <c:pt idx="3208">
                  <c:v>1.1545119591538366E-2</c:v>
                </c:pt>
                <c:pt idx="3209">
                  <c:v>1.1551365910440481E-2</c:v>
                </c:pt>
                <c:pt idx="3210">
                  <c:v>1.1557594088573708E-2</c:v>
                </c:pt>
                <c:pt idx="3211">
                  <c:v>1.1563804089567142E-2</c:v>
                </c:pt>
                <c:pt idx="3212">
                  <c:v>1.1569995876490324E-2</c:v>
                </c:pt>
                <c:pt idx="3213">
                  <c:v>1.157616941273254E-2</c:v>
                </c:pt>
                <c:pt idx="3214">
                  <c:v>1.1582324661523202E-2</c:v>
                </c:pt>
                <c:pt idx="3215">
                  <c:v>1.1588461586331533E-2</c:v>
                </c:pt>
                <c:pt idx="3216">
                  <c:v>1.1596324933824675E-2</c:v>
                </c:pt>
                <c:pt idx="3217">
                  <c:v>1.1600680316679046E-2</c:v>
                </c:pt>
                <c:pt idx="3218">
                  <c:v>1.1606762048916863E-2</c:v>
                </c:pt>
                <c:pt idx="3219">
                  <c:v>1.1612825310090003E-2</c:v>
                </c:pt>
                <c:pt idx="3220">
                  <c:v>1.1618870063827558E-2</c:v>
                </c:pt>
                <c:pt idx="3221">
                  <c:v>1.1624896273119134E-2</c:v>
                </c:pt>
                <c:pt idx="3222">
                  <c:v>1.1630903901433953E-2</c:v>
                </c:pt>
                <c:pt idx="3223">
                  <c:v>1.1636892911921493E-2</c:v>
                </c:pt>
                <c:pt idx="3224">
                  <c:v>1.1642863267891101E-2</c:v>
                </c:pt>
                <c:pt idx="3225">
                  <c:v>1.1648814932971874E-2</c:v>
                </c:pt>
                <c:pt idx="3226">
                  <c:v>1.1654747870073479E-2</c:v>
                </c:pt>
                <c:pt idx="3227">
                  <c:v>1.1660662042505265E-2</c:v>
                </c:pt>
                <c:pt idx="3228">
                  <c:v>1.1666557413816392E-2</c:v>
                </c:pt>
                <c:pt idx="3229">
                  <c:v>1.1672433947156335E-2</c:v>
                </c:pt>
                <c:pt idx="3230">
                  <c:v>1.1678291605674573E-2</c:v>
                </c:pt>
                <c:pt idx="3231">
                  <c:v>1.1684130352920263E-2</c:v>
                </c:pt>
                <c:pt idx="3232">
                  <c:v>1.1689950152122819E-2</c:v>
                </c:pt>
                <c:pt idx="3233">
                  <c:v>1.1695750966591589E-2</c:v>
                </c:pt>
                <c:pt idx="3234">
                  <c:v>1.1701532759396116E-2</c:v>
                </c:pt>
                <c:pt idx="3235">
                  <c:v>1.1707295494165493E-2</c:v>
                </c:pt>
                <c:pt idx="3236">
                  <c:v>1.1713039133969261E-2</c:v>
                </c:pt>
                <c:pt idx="3237">
                  <c:v>1.171876364211677E-2</c:v>
                </c:pt>
                <c:pt idx="3238">
                  <c:v>1.1724468982077241E-2</c:v>
                </c:pt>
                <c:pt idx="3239">
                  <c:v>1.1730155117000152E-2</c:v>
                </c:pt>
                <c:pt idx="3240">
                  <c:v>1.1735822010114916E-2</c:v>
                </c:pt>
                <c:pt idx="3241">
                  <c:v>1.1741469624810819E-2</c:v>
                </c:pt>
                <c:pt idx="3242">
                  <c:v>1.1747097924557082E-2</c:v>
                </c:pt>
                <c:pt idx="3243">
                  <c:v>1.175270687234331E-2</c:v>
                </c:pt>
                <c:pt idx="3244">
                  <c:v>1.175829643155879E-2</c:v>
                </c:pt>
                <c:pt idx="3245">
                  <c:v>1.1763866565592807E-2</c:v>
                </c:pt>
                <c:pt idx="3246">
                  <c:v>1.1769417237754709E-2</c:v>
                </c:pt>
                <c:pt idx="3247">
                  <c:v>1.1774948411193975E-2</c:v>
                </c:pt>
                <c:pt idx="3248">
                  <c:v>1.178046004929989E-2</c:v>
                </c:pt>
                <c:pt idx="3249">
                  <c:v>1.1785952115381804E-2</c:v>
                </c:pt>
                <c:pt idx="3250">
                  <c:v>1.1791424572669129E-2</c:v>
                </c:pt>
                <c:pt idx="3251">
                  <c:v>1.179687738439128E-2</c:v>
                </c:pt>
                <c:pt idx="3252">
                  <c:v>1.180231051417735E-2</c:v>
                </c:pt>
                <c:pt idx="3253">
                  <c:v>1.1809075002267022E-2</c:v>
                </c:pt>
                <c:pt idx="3254">
                  <c:v>1.1813886487477276E-2</c:v>
                </c:pt>
                <c:pt idx="3255">
                  <c:v>1.181925752005597E-2</c:v>
                </c:pt>
                <c:pt idx="3256">
                  <c:v>1.1824608718260521E-2</c:v>
                </c:pt>
                <c:pt idx="3257">
                  <c:v>1.182994004556015E-2</c:v>
                </c:pt>
                <c:pt idx="3258">
                  <c:v>1.1835251465184271E-2</c:v>
                </c:pt>
                <c:pt idx="3259">
                  <c:v>1.1840542940602106E-2</c:v>
                </c:pt>
                <c:pt idx="3260">
                  <c:v>1.1845814434883195E-2</c:v>
                </c:pt>
                <c:pt idx="3261">
                  <c:v>1.1851065911416825E-2</c:v>
                </c:pt>
                <c:pt idx="3262">
                  <c:v>1.1856297333512344E-2</c:v>
                </c:pt>
                <c:pt idx="3263">
                  <c:v>1.186150866455904E-2</c:v>
                </c:pt>
                <c:pt idx="3264">
                  <c:v>1.1866699867546515E-2</c:v>
                </c:pt>
                <c:pt idx="3265">
                  <c:v>1.1871870906023929E-2</c:v>
                </c:pt>
                <c:pt idx="3266">
                  <c:v>1.1878489695540395E-2</c:v>
                </c:pt>
                <c:pt idx="3267">
                  <c:v>1.1883614505716622E-2</c:v>
                </c:pt>
                <c:pt idx="3268">
                  <c:v>1.1888719030919148E-2</c:v>
                </c:pt>
                <c:pt idx="3269">
                  <c:v>1.1893803234137579E-2</c:v>
                </c:pt>
                <c:pt idx="3270">
                  <c:v>1.1900703394154277E-2</c:v>
                </c:pt>
                <c:pt idx="3271">
                  <c:v>1.190391052809936E-2</c:v>
                </c:pt>
                <c:pt idx="3272">
                  <c:v>1.1908933659769971E-2</c:v>
                </c:pt>
                <c:pt idx="3273">
                  <c:v>1.1913939637402393E-2</c:v>
                </c:pt>
                <c:pt idx="3274">
                  <c:v>1.1918929915273324E-2</c:v>
                </c:pt>
                <c:pt idx="3275">
                  <c:v>1.1923904463646551E-2</c:v>
                </c:pt>
                <c:pt idx="3276">
                  <c:v>1.1928863252306243E-2</c:v>
                </c:pt>
                <c:pt idx="3277">
                  <c:v>1.1933806251356316E-2</c:v>
                </c:pt>
                <c:pt idx="3278">
                  <c:v>1.1938733430580939E-2</c:v>
                </c:pt>
                <c:pt idx="3279">
                  <c:v>1.1943644760323835E-2</c:v>
                </c:pt>
                <c:pt idx="3280">
                  <c:v>1.1948540210289238E-2</c:v>
                </c:pt>
                <c:pt idx="3281">
                  <c:v>1.1953419750341254E-2</c:v>
                </c:pt>
                <c:pt idx="3282">
                  <c:v>1.1958283350903542E-2</c:v>
                </c:pt>
                <c:pt idx="3283">
                  <c:v>1.1963130981520465E-2</c:v>
                </c:pt>
                <c:pt idx="3284">
                  <c:v>1.1967962612455807E-2</c:v>
                </c:pt>
                <c:pt idx="3285">
                  <c:v>1.197277821349374E-2</c:v>
                </c:pt>
                <c:pt idx="3286">
                  <c:v>1.1977577754818114E-2</c:v>
                </c:pt>
                <c:pt idx="3287">
                  <c:v>1.1982361206213099E-2</c:v>
                </c:pt>
                <c:pt idx="3288">
                  <c:v>1.198712853778261E-2</c:v>
                </c:pt>
                <c:pt idx="3289">
                  <c:v>1.1991879719390752E-2</c:v>
                </c:pt>
                <c:pt idx="3290">
                  <c:v>1.1996614721221377E-2</c:v>
                </c:pt>
                <c:pt idx="3291">
                  <c:v>1.2001333513218526E-2</c:v>
                </c:pt>
                <c:pt idx="3292">
                  <c:v>1.2006036065086434E-2</c:v>
                </c:pt>
                <c:pt idx="3293">
                  <c:v>1.2010722347168823E-2</c:v>
                </c:pt>
                <c:pt idx="3294">
                  <c:v>1.2015392329329799E-2</c:v>
                </c:pt>
                <c:pt idx="3295">
                  <c:v>1.2020045981433469E-2</c:v>
                </c:pt>
                <c:pt idx="3296">
                  <c:v>1.2024683273503811E-2</c:v>
                </c:pt>
                <c:pt idx="3297">
                  <c:v>1.2029304175644739E-2</c:v>
                </c:pt>
                <c:pt idx="3298">
                  <c:v>1.203390865772036E-2</c:v>
                </c:pt>
                <c:pt idx="3299">
                  <c:v>1.2038496689754652E-2</c:v>
                </c:pt>
                <c:pt idx="3300">
                  <c:v>1.2043068241771593E-2</c:v>
                </c:pt>
                <c:pt idx="3301">
                  <c:v>1.2047623283715225E-2</c:v>
                </c:pt>
                <c:pt idx="3302">
                  <c:v>1.2052161785529591E-2</c:v>
                </c:pt>
                <c:pt idx="3303">
                  <c:v>1.205668371723867E-2</c:v>
                </c:pt>
                <c:pt idx="3304">
                  <c:v>1.2063756059310649E-2</c:v>
                </c:pt>
                <c:pt idx="3305">
                  <c:v>1.206736154498067E-2</c:v>
                </c:pt>
                <c:pt idx="3306">
                  <c:v>1.2070149791414408E-2</c:v>
                </c:pt>
                <c:pt idx="3307">
                  <c:v>1.2074605142542438E-2</c:v>
                </c:pt>
                <c:pt idx="3308">
                  <c:v>1.2079043773445264E-2</c:v>
                </c:pt>
                <c:pt idx="3309">
                  <c:v>1.2083465654146863E-2</c:v>
                </c:pt>
                <c:pt idx="3310">
                  <c:v>1.2087870754591279E-2</c:v>
                </c:pt>
                <c:pt idx="3311">
                  <c:v>1.2092259044882425E-2</c:v>
                </c:pt>
                <c:pt idx="3312">
                  <c:v>1.2096630494804472E-2</c:v>
                </c:pt>
                <c:pt idx="3313">
                  <c:v>1.2100985074381398E-2</c:v>
                </c:pt>
                <c:pt idx="3314">
                  <c:v>1.2105322753797054E-2</c:v>
                </c:pt>
                <c:pt idx="3315">
                  <c:v>1.210964350283561E-2</c:v>
                </c:pt>
                <c:pt idx="3316">
                  <c:v>1.2113947291600979E-2</c:v>
                </c:pt>
                <c:pt idx="3317">
                  <c:v>1.2118234089797397E-2</c:v>
                </c:pt>
                <c:pt idx="3318">
                  <c:v>1.2122503867928458E-2</c:v>
                </c:pt>
                <c:pt idx="3319">
                  <c:v>1.2126756595538524E-2</c:v>
                </c:pt>
                <c:pt idx="3320">
                  <c:v>1.2133016688014919E-2</c:v>
                </c:pt>
                <c:pt idx="3321">
                  <c:v>1.2135210779531391E-2</c:v>
                </c:pt>
                <c:pt idx="3322">
                  <c:v>1.2140924149948162E-2</c:v>
                </c:pt>
                <c:pt idx="3323">
                  <c:v>1.2143596401807955E-2</c:v>
                </c:pt>
                <c:pt idx="3324">
                  <c:v>1.214776342717272E-2</c:v>
                </c:pt>
                <c:pt idx="3325">
                  <c:v>1.215191322216036E-2</c:v>
                </c:pt>
                <c:pt idx="3326">
                  <c:v>1.2156045756634981E-2</c:v>
                </c:pt>
                <c:pt idx="3327">
                  <c:v>1.2160161000540626E-2</c:v>
                </c:pt>
                <c:pt idx="3328">
                  <c:v>1.2164258923901272E-2</c:v>
                </c:pt>
                <c:pt idx="3329">
                  <c:v>1.2168339496740899E-2</c:v>
                </c:pt>
                <c:pt idx="3330">
                  <c:v>1.2172402689003547E-2</c:v>
                </c:pt>
                <c:pt idx="3331">
                  <c:v>1.2176448470633261E-2</c:v>
                </c:pt>
                <c:pt idx="3332">
                  <c:v>1.2180476811654017E-2</c:v>
                </c:pt>
                <c:pt idx="3333">
                  <c:v>1.2184487682089795E-2</c:v>
                </c:pt>
                <c:pt idx="3334">
                  <c:v>1.2188481051884636E-2</c:v>
                </c:pt>
                <c:pt idx="3335">
                  <c:v>1.219245689106252E-2</c:v>
                </c:pt>
                <c:pt idx="3336">
                  <c:v>1.2196415169487551E-2</c:v>
                </c:pt>
                <c:pt idx="3337">
                  <c:v>1.2200355857343581E-2</c:v>
                </c:pt>
                <c:pt idx="3338">
                  <c:v>1.220427892441478E-2</c:v>
                </c:pt>
                <c:pt idx="3339">
                  <c:v>1.220818434064519E-2</c:v>
                </c:pt>
                <c:pt idx="3340">
                  <c:v>1.2212072076298597E-2</c:v>
                </c:pt>
                <c:pt idx="3341">
                  <c:v>1.2215942101159172E-2</c:v>
                </c:pt>
                <c:pt idx="3342">
                  <c:v>1.2219794385250893E-2</c:v>
                </c:pt>
                <c:pt idx="3343">
                  <c:v>1.2223628898517802E-2</c:v>
                </c:pt>
                <c:pt idx="3344">
                  <c:v>1.2227445610983878E-2</c:v>
                </c:pt>
                <c:pt idx="3345">
                  <c:v>1.2231244492593163E-2</c:v>
                </c:pt>
                <c:pt idx="3346">
                  <c:v>1.2235025513289699E-2</c:v>
                </c:pt>
                <c:pt idx="3347">
                  <c:v>1.2238788643337273E-2</c:v>
                </c:pt>
                <c:pt idx="3348">
                  <c:v>1.2242533852280246E-2</c:v>
                </c:pt>
                <c:pt idx="3349">
                  <c:v>1.2246261110462342E-2</c:v>
                </c:pt>
                <c:pt idx="3350">
                  <c:v>1.224997038766773E-2</c:v>
                </c:pt>
                <c:pt idx="3351">
                  <c:v>1.2253661654000325E-2</c:v>
                </c:pt>
                <c:pt idx="3352">
                  <c:v>1.2257334879324233E-2</c:v>
                </c:pt>
                <c:pt idx="3353">
                  <c:v>1.2260990033743369E-2</c:v>
                </c:pt>
                <c:pt idx="3354">
                  <c:v>1.2264627087201774E-2</c:v>
                </c:pt>
                <c:pt idx="3355">
                  <c:v>1.2268246009483619E-2</c:v>
                </c:pt>
                <c:pt idx="3356">
                  <c:v>1.227324335038471E-2</c:v>
                </c:pt>
                <c:pt idx="3357">
                  <c:v>1.2276822384413855E-2</c:v>
                </c:pt>
                <c:pt idx="3358">
                  <c:v>1.2278993690628681E-2</c:v>
                </c:pt>
                <c:pt idx="3359">
                  <c:v>1.2282539788843749E-2</c:v>
                </c:pt>
                <c:pt idx="3360">
                  <c:v>1.2286067606002149E-2</c:v>
                </c:pt>
                <c:pt idx="3361">
                  <c:v>1.2289577112047922E-2</c:v>
                </c:pt>
                <c:pt idx="3362">
                  <c:v>1.2293068277005048E-2</c:v>
                </c:pt>
                <c:pt idx="3363">
                  <c:v>1.2296541070737632E-2</c:v>
                </c:pt>
                <c:pt idx="3364">
                  <c:v>1.2299995463349589E-2</c:v>
                </c:pt>
                <c:pt idx="3365">
                  <c:v>1.2303431424944833E-2</c:v>
                </c:pt>
                <c:pt idx="3366">
                  <c:v>1.2306848925227598E-2</c:v>
                </c:pt>
                <c:pt idx="3367">
                  <c:v>1.2310247934381735E-2</c:v>
                </c:pt>
                <c:pt idx="3368">
                  <c:v>1.2313628422111478E-2</c:v>
                </c:pt>
                <c:pt idx="3369">
                  <c:v>1.2316990358840485E-2</c:v>
                </c:pt>
                <c:pt idx="3370">
                  <c:v>1.2320333714193055E-2</c:v>
                </c:pt>
                <c:pt idx="3371">
                  <c:v>1.2325448476886436E-2</c:v>
                </c:pt>
                <c:pt idx="3372">
                  <c:v>1.2326964561104603E-2</c:v>
                </c:pt>
                <c:pt idx="3373">
                  <c:v>1.2330251992631602E-2</c:v>
                </c:pt>
                <c:pt idx="3374">
                  <c:v>1.2333520722878077E-2</c:v>
                </c:pt>
                <c:pt idx="3375">
                  <c:v>1.2336770721708135E-2</c:v>
                </c:pt>
                <c:pt idx="3376">
                  <c:v>1.2340001959225688E-2</c:v>
                </c:pt>
                <c:pt idx="3377">
                  <c:v>1.2343214405374781E-2</c:v>
                </c:pt>
                <c:pt idx="3378">
                  <c:v>1.2346408030019518E-2</c:v>
                </c:pt>
                <c:pt idx="3379">
                  <c:v>1.2349582803423687E-2</c:v>
                </c:pt>
                <c:pt idx="3380">
                  <c:v>1.2352738695371457E-2</c:v>
                </c:pt>
                <c:pt idx="3381">
                  <c:v>1.2355875675806871E-2</c:v>
                </c:pt>
                <c:pt idx="3382">
                  <c:v>1.2358993714753908E-2</c:v>
                </c:pt>
                <c:pt idx="3383">
                  <c:v>1.2362092782316481E-2</c:v>
                </c:pt>
                <c:pt idx="3384">
                  <c:v>1.2365172848358696E-2</c:v>
                </c:pt>
                <c:pt idx="3385">
                  <c:v>1.2368233882904534E-2</c:v>
                </c:pt>
                <c:pt idx="3386">
                  <c:v>1.2371275855818098E-2</c:v>
                </c:pt>
                <c:pt idx="3387">
                  <c:v>1.2374298737363176E-2</c:v>
                </c:pt>
                <c:pt idx="3388">
                  <c:v>1.2377302497244003E-2</c:v>
                </c:pt>
                <c:pt idx="3389">
                  <c:v>1.2380287105564491E-2</c:v>
                </c:pt>
                <c:pt idx="3390">
                  <c:v>1.2383252532348621E-2</c:v>
                </c:pt>
                <c:pt idx="3391">
                  <c:v>1.2386198747460497E-2</c:v>
                </c:pt>
                <c:pt idx="3392">
                  <c:v>1.2389125720924099E-2</c:v>
                </c:pt>
                <c:pt idx="3393">
                  <c:v>1.2392033422763404E-2</c:v>
                </c:pt>
                <c:pt idx="3394">
                  <c:v>1.2394921822922456E-2</c:v>
                </c:pt>
                <c:pt idx="3395">
                  <c:v>1.2397790891425231E-2</c:v>
                </c:pt>
                <c:pt idx="3396">
                  <c:v>1.2400640598215773E-2</c:v>
                </c:pt>
                <c:pt idx="3397">
                  <c:v>1.240347091331806E-2</c:v>
                </c:pt>
                <c:pt idx="3398">
                  <c:v>1.2406281806676134E-2</c:v>
                </c:pt>
                <c:pt idx="3399">
                  <c:v>1.2409073248313973E-2</c:v>
                </c:pt>
                <c:pt idx="3400">
                  <c:v>1.2411845208095684E-2</c:v>
                </c:pt>
                <c:pt idx="3401">
                  <c:v>1.2414597656205117E-2</c:v>
                </c:pt>
                <c:pt idx="3402">
                  <c:v>1.2417330562586315E-2</c:v>
                </c:pt>
                <c:pt idx="3403">
                  <c:v>1.2420043897023447E-2</c:v>
                </c:pt>
                <c:pt idx="3404">
                  <c:v>1.2422737629620428E-2</c:v>
                </c:pt>
                <c:pt idx="3405">
                  <c:v>1.2425411730401237E-2</c:v>
                </c:pt>
                <c:pt idx="3406">
                  <c:v>1.2428066169309915E-2</c:v>
                </c:pt>
                <c:pt idx="3407">
                  <c:v>1.2430700916290505E-2</c:v>
                </c:pt>
                <c:pt idx="3408">
                  <c:v>1.2433315941526857E-2</c:v>
                </c:pt>
                <c:pt idx="3409">
                  <c:v>1.2435911214803141E-2</c:v>
                </c:pt>
                <c:pt idx="3410">
                  <c:v>1.2438486706063401E-2</c:v>
                </c:pt>
                <c:pt idx="3411">
                  <c:v>1.2441042385251677E-2</c:v>
                </c:pt>
                <c:pt idx="3412">
                  <c:v>1.2443578222631757E-2</c:v>
                </c:pt>
                <c:pt idx="3413">
                  <c:v>1.2446094188067747E-2</c:v>
                </c:pt>
                <c:pt idx="3414">
                  <c:v>1.2448590251503688E-2</c:v>
                </c:pt>
                <c:pt idx="3415">
                  <c:v>1.2451066382803688E-2</c:v>
                </c:pt>
                <c:pt idx="3416">
                  <c:v>1.2453522552071661E-2</c:v>
                </c:pt>
                <c:pt idx="3417">
                  <c:v>1.245595872941152E-2</c:v>
                </c:pt>
                <c:pt idx="3418">
                  <c:v>1.2458374884527501E-2</c:v>
                </c:pt>
                <c:pt idx="3419">
                  <c:v>1.2460770987683389E-2</c:v>
                </c:pt>
                <c:pt idx="3420">
                  <c:v>1.2463147008823228E-2</c:v>
                </c:pt>
                <c:pt idx="3421">
                  <c:v>1.2467035318449504E-2</c:v>
                </c:pt>
                <c:pt idx="3422">
                  <c:v>1.2467838684351307E-2</c:v>
                </c:pt>
                <c:pt idx="3423">
                  <c:v>1.2470154279027312E-2</c:v>
                </c:pt>
                <c:pt idx="3424">
                  <c:v>1.2472449671463437E-2</c:v>
                </c:pt>
                <c:pt idx="3425">
                  <c:v>1.2474724831603723E-2</c:v>
                </c:pt>
                <c:pt idx="3426">
                  <c:v>1.2476979729711957E-2</c:v>
                </c:pt>
                <c:pt idx="3427">
                  <c:v>1.2479214335572308E-2</c:v>
                </c:pt>
                <c:pt idx="3428">
                  <c:v>1.2481428619208756E-2</c:v>
                </c:pt>
                <c:pt idx="3429">
                  <c:v>1.2483622550485407E-2</c:v>
                </c:pt>
                <c:pt idx="3430">
                  <c:v>1.2485796099586111E-2</c:v>
                </c:pt>
                <c:pt idx="3431">
                  <c:v>1.2487949236374973E-2</c:v>
                </c:pt>
                <c:pt idx="3432">
                  <c:v>1.2490081930875974E-2</c:v>
                </c:pt>
                <c:pt idx="3433">
                  <c:v>1.2492194152953218E-2</c:v>
                </c:pt>
                <c:pt idx="3434">
                  <c:v>1.2494285872790556E-2</c:v>
                </c:pt>
                <c:pt idx="3435">
                  <c:v>1.2496357060332031E-2</c:v>
                </c:pt>
                <c:pt idx="3436">
                  <c:v>1.2498407685281876E-2</c:v>
                </c:pt>
                <c:pt idx="3437">
                  <c:v>1.250043771806375E-2</c:v>
                </c:pt>
                <c:pt idx="3438">
                  <c:v>1.2502447128301952E-2</c:v>
                </c:pt>
                <c:pt idx="3439">
                  <c:v>1.2504435886260268E-2</c:v>
                </c:pt>
                <c:pt idx="3440">
                  <c:v>1.2506403961642931E-2</c:v>
                </c:pt>
                <c:pt idx="3441">
                  <c:v>1.2508351324553857E-2</c:v>
                </c:pt>
                <c:pt idx="3442">
                  <c:v>1.2510277945017023E-2</c:v>
                </c:pt>
                <c:pt idx="3443">
                  <c:v>1.2512183793056408E-2</c:v>
                </c:pt>
                <c:pt idx="3444">
                  <c:v>1.2514068838536119E-2</c:v>
                </c:pt>
                <c:pt idx="3445">
                  <c:v>1.2515933051480133E-2</c:v>
                </c:pt>
                <c:pt idx="3446">
                  <c:v>1.2517776401992364E-2</c:v>
                </c:pt>
                <c:pt idx="3447">
                  <c:v>1.2519598859777048E-2</c:v>
                </c:pt>
                <c:pt idx="3448">
                  <c:v>1.2521400395018034E-2</c:v>
                </c:pt>
                <c:pt idx="3449">
                  <c:v>1.2523180977739301E-2</c:v>
                </c:pt>
                <c:pt idx="3450">
                  <c:v>1.2524940577884891E-2</c:v>
                </c:pt>
                <c:pt idx="3451">
                  <c:v>1.252667916531891E-2</c:v>
                </c:pt>
                <c:pt idx="3452">
                  <c:v>1.2528396710145273E-2</c:v>
                </c:pt>
                <c:pt idx="3453">
                  <c:v>1.2530093182308022E-2</c:v>
                </c:pt>
                <c:pt idx="3454">
                  <c:v>1.2531768551831135E-2</c:v>
                </c:pt>
                <c:pt idx="3455">
                  <c:v>1.2533422788658655E-2</c:v>
                </c:pt>
                <c:pt idx="3456">
                  <c:v>1.2535055862814559E-2</c:v>
                </c:pt>
                <c:pt idx="3457">
                  <c:v>1.2536667744083019E-2</c:v>
                </c:pt>
                <c:pt idx="3458">
                  <c:v>1.253825840272782E-2</c:v>
                </c:pt>
                <c:pt idx="3459">
                  <c:v>1.2539827808613069E-2</c:v>
                </c:pt>
                <c:pt idx="3460">
                  <c:v>1.2541375931602872E-2</c:v>
                </c:pt>
                <c:pt idx="3461">
                  <c:v>1.2544098178171037E-2</c:v>
                </c:pt>
                <c:pt idx="3462">
                  <c:v>1.2545271425130622E-2</c:v>
                </c:pt>
                <c:pt idx="3463">
                  <c:v>1.2546749510544686E-2</c:v>
                </c:pt>
                <c:pt idx="3464">
                  <c:v>1.2548206183087274E-2</c:v>
                </c:pt>
                <c:pt idx="3465">
                  <c:v>1.2549641412702428E-2</c:v>
                </c:pt>
                <c:pt idx="3466">
                  <c:v>1.2551055169334191E-2</c:v>
                </c:pt>
                <c:pt idx="3467">
                  <c:v>1.2552447423059832E-2</c:v>
                </c:pt>
                <c:pt idx="3468">
                  <c:v>1.2553818143796747E-2</c:v>
                </c:pt>
                <c:pt idx="3469">
                  <c:v>1.2555167301515624E-2</c:v>
                </c:pt>
                <c:pt idx="3470">
                  <c:v>1.2556494866213797E-2</c:v>
                </c:pt>
                <c:pt idx="3471">
                  <c:v>1.2557800807915243E-2</c:v>
                </c:pt>
                <c:pt idx="3472">
                  <c:v>1.2559085096537359E-2</c:v>
                </c:pt>
                <c:pt idx="3473">
                  <c:v>1.2560347702050834E-2</c:v>
                </c:pt>
                <c:pt idx="3474">
                  <c:v>1.2561588594532935E-2</c:v>
                </c:pt>
                <c:pt idx="3475">
                  <c:v>1.2562807743874416E-2</c:v>
                </c:pt>
                <c:pt idx="3476">
                  <c:v>1.2564073263137132E-2</c:v>
                </c:pt>
                <c:pt idx="3477">
                  <c:v>1.2565180693124844E-2</c:v>
                </c:pt>
                <c:pt idx="3478">
                  <c:v>1.2566334433028459E-2</c:v>
                </c:pt>
                <c:pt idx="3479">
                  <c:v>1.2567466309700848E-2</c:v>
                </c:pt>
                <c:pt idx="3480">
                  <c:v>1.2568576293192635E-2</c:v>
                </c:pt>
                <c:pt idx="3481">
                  <c:v>1.2569664353421217E-2</c:v>
                </c:pt>
                <c:pt idx="3482">
                  <c:v>1.2570730460463864E-2</c:v>
                </c:pt>
                <c:pt idx="3483">
                  <c:v>1.2571774584184681E-2</c:v>
                </c:pt>
                <c:pt idx="3484">
                  <c:v>1.2572796694634292E-2</c:v>
                </c:pt>
                <c:pt idx="3485">
                  <c:v>1.2573796761783385E-2</c:v>
                </c:pt>
                <c:pt idx="3486">
                  <c:v>1.2574774755629292E-2</c:v>
                </c:pt>
                <c:pt idx="3487">
                  <c:v>1.2575730646089411E-2</c:v>
                </c:pt>
                <c:pt idx="3488">
                  <c:v>1.2576664403187721E-2</c:v>
                </c:pt>
                <c:pt idx="3489">
                  <c:v>1.2577575996948198E-2</c:v>
                </c:pt>
                <c:pt idx="3490">
                  <c:v>1.2578465397261596E-2</c:v>
                </c:pt>
                <c:pt idx="3491">
                  <c:v>1.2579332574178537E-2</c:v>
                </c:pt>
                <c:pt idx="3492">
                  <c:v>1.2580177497643064E-2</c:v>
                </c:pt>
                <c:pt idx="3493">
                  <c:v>1.2581000137679155E-2</c:v>
                </c:pt>
                <c:pt idx="3494">
                  <c:v>1.2581800464204207E-2</c:v>
                </c:pt>
                <c:pt idx="3495">
                  <c:v>1.2582578447242199E-2</c:v>
                </c:pt>
                <c:pt idx="3496">
                  <c:v>1.2583334056763817E-2</c:v>
                </c:pt>
                <c:pt idx="3497">
                  <c:v>1.2584067262766396E-2</c:v>
                </c:pt>
                <c:pt idx="3498">
                  <c:v>1.2584778035193978E-2</c:v>
                </c:pt>
                <c:pt idx="3499">
                  <c:v>1.2585466344043894E-2</c:v>
                </c:pt>
                <c:pt idx="3500">
                  <c:v>1.2586132159313479E-2</c:v>
                </c:pt>
                <c:pt idx="3501">
                  <c:v>1.258677545097342E-2</c:v>
                </c:pt>
                <c:pt idx="3502">
                  <c:v>1.2587396188994404E-2</c:v>
                </c:pt>
                <c:pt idx="3503">
                  <c:v>1.258799434340041E-2</c:v>
                </c:pt>
                <c:pt idx="3504">
                  <c:v>1.2588569884108836E-2</c:v>
                </c:pt>
                <c:pt idx="3505">
                  <c:v>1.2589122781090367E-2</c:v>
                </c:pt>
                <c:pt idx="3506">
                  <c:v>1.2589653004422274E-2</c:v>
                </c:pt>
                <c:pt idx="3507">
                  <c:v>1.2590160524048599E-2</c:v>
                </c:pt>
                <c:pt idx="3508">
                  <c:v>1.2590645309886739E-2</c:v>
                </c:pt>
                <c:pt idx="3509">
                  <c:v>1.2591107331960671E-2</c:v>
                </c:pt>
                <c:pt idx="3510">
                  <c:v>1.259154656026773E-2</c:v>
                </c:pt>
                <c:pt idx="3511">
                  <c:v>1.2591962964778602E-2</c:v>
                </c:pt>
                <c:pt idx="3512">
                  <c:v>1.2592356515463976E-2</c:v>
                </c:pt>
                <c:pt idx="3513">
                  <c:v>1.2592633869576986E-2</c:v>
                </c:pt>
                <c:pt idx="3514">
                  <c:v>1.2592729740168451E-2</c:v>
                </c:pt>
                <c:pt idx="3515">
                  <c:v>1.259304796633387E-2</c:v>
                </c:pt>
                <c:pt idx="3516">
                  <c:v>1.259334321168204E-2</c:v>
                </c:pt>
                <c:pt idx="3517">
                  <c:v>1.2593615446077067E-2</c:v>
                </c:pt>
                <c:pt idx="3518">
                  <c:v>1.2593864639542929E-2</c:v>
                </c:pt>
                <c:pt idx="3519">
                  <c:v>1.2594090762103605E-2</c:v>
                </c:pt>
                <c:pt idx="3520">
                  <c:v>1.2594293783863009E-2</c:v>
                </c:pt>
                <c:pt idx="3521">
                  <c:v>1.2594473674525375E-2</c:v>
                </c:pt>
                <c:pt idx="3522">
                  <c:v>1.2594630404274554E-2</c:v>
                </c:pt>
                <c:pt idx="3523">
                  <c:v>1.2594763943134524E-2</c:v>
                </c:pt>
                <c:pt idx="3524">
                  <c:v>1.2594874260889455E-2</c:v>
                </c:pt>
                <c:pt idx="3525">
                  <c:v>1.2594961327643261E-2</c:v>
                </c:pt>
                <c:pt idx="3526">
                  <c:v>1.2595025113339986E-2</c:v>
                </c:pt>
                <c:pt idx="3527">
                  <c:v>1.2595072866501411E-2</c:v>
                </c:pt>
                <c:pt idx="3528">
                  <c:v>1.2595082721658102E-2</c:v>
                </c:pt>
                <c:pt idx="3529">
                  <c:v>1.2595076484167578E-2</c:v>
                </c:pt>
                <c:pt idx="3530">
                  <c:v>1.2595046845795821E-2</c:v>
                </c:pt>
                <c:pt idx="3531">
                  <c:v>1.2594993776007257E-2</c:v>
                </c:pt>
                <c:pt idx="3532">
                  <c:v>1.2594917245225545E-2</c:v>
                </c:pt>
                <c:pt idx="3533">
                  <c:v>#N/A</c:v>
                </c:pt>
              </c:numCache>
            </c:numRef>
          </c:val>
          <c:smooth val="0"/>
        </c:ser>
        <c:dLbls>
          <c:showLegendKey val="0"/>
          <c:showVal val="0"/>
          <c:showCatName val="0"/>
          <c:showSerName val="0"/>
          <c:showPercent val="0"/>
          <c:showBubbleSize val="0"/>
        </c:dLbls>
        <c:marker val="1"/>
        <c:smooth val="0"/>
        <c:axId val="495716608"/>
        <c:axId val="478589312"/>
      </c:lineChart>
      <c:dateAx>
        <c:axId val="495716608"/>
        <c:scaling>
          <c:orientation val="minMax"/>
          <c:max val="42869"/>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78589312"/>
        <c:crosses val="autoZero"/>
        <c:auto val="1"/>
        <c:lblOffset val="100"/>
        <c:baseTimeUnit val="days"/>
        <c:majorUnit val="3"/>
        <c:majorTimeUnit val="months"/>
      </c:dateAx>
      <c:valAx>
        <c:axId val="478589312"/>
        <c:scaling>
          <c:orientation val="minMax"/>
          <c:max val="1.4999999999999999E-2"/>
          <c:min val="0"/>
        </c:scaling>
        <c:delete val="0"/>
        <c:axPos val="l"/>
        <c:majorGridlines/>
        <c:numFmt formatCode="0.00%" sourceLinked="0"/>
        <c:majorTickMark val="out"/>
        <c:minorTickMark val="none"/>
        <c:tickLblPos val="nextTo"/>
        <c:crossAx val="495716608"/>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1.6.0 - MS VC++ (version unknown) - Multithreaded Dynamic Runtime library - Release Configuration - May  5 2015 15:27:06</v>
      </c>
    </row>
    <row r="2" spans="2:13" ht="18.75" thickBot="1" x14ac:dyDescent="0.3">
      <c r="B2" s="316" t="s">
        <v>78</v>
      </c>
      <c r="C2" s="317"/>
      <c r="D2" s="317"/>
      <c r="E2" s="318"/>
      <c r="J2" s="316" t="s">
        <v>99</v>
      </c>
      <c r="K2" s="317"/>
      <c r="L2" s="317"/>
      <c r="M2" s="319"/>
    </row>
    <row r="3" spans="2:13" ht="12" thickBot="1" x14ac:dyDescent="0.25">
      <c r="B3" s="25"/>
      <c r="C3" s="49"/>
      <c r="D3" s="23"/>
      <c r="E3" s="22"/>
      <c r="J3" s="65"/>
      <c r="K3" s="68"/>
      <c r="L3" s="68"/>
      <c r="M3" s="67"/>
    </row>
    <row r="4" spans="2:13" x14ac:dyDescent="0.2">
      <c r="B4" s="25"/>
      <c r="C4" s="48" t="s">
        <v>77</v>
      </c>
      <c r="D4" s="36" t="s">
        <v>74</v>
      </c>
      <c r="E4" s="22"/>
      <c r="G4" s="71" t="s">
        <v>76</v>
      </c>
      <c r="H4" s="72"/>
      <c r="J4" s="65"/>
      <c r="K4" s="64" t="s">
        <v>98</v>
      </c>
      <c r="L4" s="58" t="b">
        <v>0</v>
      </c>
      <c r="M4" s="63"/>
    </row>
    <row r="5" spans="2:13" x14ac:dyDescent="0.2">
      <c r="B5" s="25"/>
      <c r="C5" s="47" t="s">
        <v>75</v>
      </c>
      <c r="D5" s="26">
        <v>6</v>
      </c>
      <c r="E5" s="22"/>
      <c r="G5" s="73" t="s">
        <v>74</v>
      </c>
      <c r="H5" s="74" t="s">
        <v>73</v>
      </c>
      <c r="J5" s="65"/>
      <c r="K5" s="64" t="s">
        <v>97</v>
      </c>
      <c r="L5" s="66"/>
      <c r="M5" s="63"/>
    </row>
    <row r="6" spans="2:13" x14ac:dyDescent="0.2">
      <c r="B6" s="25"/>
      <c r="C6" s="47" t="s">
        <v>72</v>
      </c>
      <c r="D6" s="26" t="str">
        <f>_xll.qlPeriodEquivalent(D5&amp;"M")</f>
        <v>6M</v>
      </c>
      <c r="E6" s="22"/>
      <c r="G6" s="73" t="s">
        <v>71</v>
      </c>
      <c r="H6" s="74"/>
      <c r="J6" s="65"/>
      <c r="K6" s="64" t="s">
        <v>96</v>
      </c>
      <c r="L6" s="55" t="b">
        <v>1</v>
      </c>
      <c r="M6" s="63"/>
    </row>
    <row r="7" spans="2:13" ht="12" thickBot="1" x14ac:dyDescent="0.25">
      <c r="B7" s="25"/>
      <c r="C7" s="47" t="s">
        <v>70</v>
      </c>
      <c r="D7" s="26" t="str">
        <f>Months&amp;IF(UPPER(Currency)="EUR","E","L")</f>
        <v>6E</v>
      </c>
      <c r="E7" s="22"/>
      <c r="G7" s="73" t="s">
        <v>69</v>
      </c>
      <c r="H7" s="74"/>
      <c r="J7" s="62"/>
      <c r="K7" s="61"/>
      <c r="L7" s="61"/>
      <c r="M7" s="60"/>
    </row>
    <row r="8" spans="2:13" ht="12" thickBot="1" x14ac:dyDescent="0.25">
      <c r="B8" s="25"/>
      <c r="C8" s="47" t="s">
        <v>68</v>
      </c>
      <c r="D8" s="26" t="str">
        <f>VLOOKUP(Currency,G4:H8,2)</f>
        <v>AB</v>
      </c>
      <c r="E8" s="22"/>
      <c r="G8" s="75" t="s">
        <v>67</v>
      </c>
      <c r="H8" s="76" t="s">
        <v>66</v>
      </c>
      <c r="J8" s="70"/>
      <c r="K8" s="70"/>
      <c r="L8" s="70"/>
      <c r="M8" s="70"/>
    </row>
    <row r="9" spans="2:13" ht="18.75" thickBot="1" x14ac:dyDescent="0.3">
      <c r="B9" s="25"/>
      <c r="C9" s="47" t="s">
        <v>65</v>
      </c>
      <c r="D9" s="26" t="str">
        <f>Currency&amp;"_YC"&amp;IndexTenor&amp;"RH"</f>
        <v>EUR_YC6MRH</v>
      </c>
      <c r="E9" s="22"/>
      <c r="J9" s="316" t="s">
        <v>95</v>
      </c>
      <c r="K9" s="317"/>
      <c r="L9" s="317"/>
      <c r="M9" s="319"/>
    </row>
    <row r="10" spans="2:13" ht="12.75" x14ac:dyDescent="0.2">
      <c r="B10" s="25"/>
      <c r="C10" s="46" t="s">
        <v>64</v>
      </c>
      <c r="D10" s="26" t="b">
        <v>1</v>
      </c>
      <c r="E10" s="22"/>
      <c r="J10" s="57"/>
      <c r="K10" s="59"/>
      <c r="L10" s="59"/>
      <c r="M10" s="54"/>
    </row>
    <row r="11" spans="2:13" ht="12.75" x14ac:dyDescent="0.2">
      <c r="B11" s="25"/>
      <c r="C11" s="46" t="s">
        <v>63</v>
      </c>
      <c r="D11" s="45"/>
      <c r="E11" s="22"/>
      <c r="J11" s="57"/>
      <c r="K11" s="56" t="s">
        <v>94</v>
      </c>
      <c r="L11" s="58" t="s">
        <v>93</v>
      </c>
      <c r="M11" s="54"/>
    </row>
    <row r="12" spans="2:13" ht="12.75" x14ac:dyDescent="0.2">
      <c r="B12" s="25"/>
      <c r="C12" s="44" t="s">
        <v>62</v>
      </c>
      <c r="D12" s="43" t="b">
        <v>1</v>
      </c>
      <c r="E12" s="22"/>
      <c r="J12" s="57"/>
      <c r="K12" s="56" t="s">
        <v>92</v>
      </c>
      <c r="L12" s="55" t="s">
        <v>91</v>
      </c>
      <c r="M12" s="54"/>
    </row>
    <row r="13" spans="2:13" ht="12.75" x14ac:dyDescent="0.2">
      <c r="B13" s="25"/>
      <c r="C13" s="30"/>
      <c r="D13" s="30"/>
      <c r="E13" s="22"/>
      <c r="J13" s="57"/>
      <c r="K13" s="56" t="s">
        <v>116</v>
      </c>
      <c r="L13" s="58" t="s">
        <v>115</v>
      </c>
      <c r="M13" s="54"/>
    </row>
    <row r="14" spans="2:13" ht="12.75" x14ac:dyDescent="0.2">
      <c r="B14" s="25"/>
      <c r="C14" s="40" t="s">
        <v>61</v>
      </c>
      <c r="D14" s="42" t="str">
        <f>_xll.qlPiecewiseYieldCurve(D16,NDays,Calendar,_xll.ohPack(Selected!D2:D126),DayCounter,JumpQuotes,JumpDates,Accuracy,TraitsID,InterpolatorID,Permanent,,ObjectOverwrite)</f>
        <v>_EURYC6M#0005</v>
      </c>
      <c r="E14" s="22"/>
      <c r="J14" s="57"/>
      <c r="K14" s="56" t="s">
        <v>114</v>
      </c>
      <c r="L14" s="58" t="s">
        <v>113</v>
      </c>
      <c r="M14" s="54"/>
    </row>
    <row r="15" spans="2:13" ht="12.75" x14ac:dyDescent="0.2">
      <c r="B15" s="25"/>
      <c r="C15" s="32" t="s">
        <v>45</v>
      </c>
      <c r="D15" s="41" t="str">
        <f>_xll.ohRangeRetrieveError(YieldCurve)</f>
        <v/>
      </c>
      <c r="E15" s="22"/>
      <c r="J15" s="57"/>
      <c r="K15" s="56" t="s">
        <v>112</v>
      </c>
      <c r="L15" s="58" t="str">
        <f>PROPER(Currency)&amp;"ON"</f>
        <v>EurON</v>
      </c>
      <c r="M15" s="54"/>
    </row>
    <row r="16" spans="2:13" ht="13.5" thickBot="1" x14ac:dyDescent="0.25">
      <c r="B16" s="25"/>
      <c r="C16" s="40" t="s">
        <v>60</v>
      </c>
      <c r="D16" s="39" t="str">
        <f>"_"&amp;Currency&amp;"YC"&amp;IndexTenor</f>
        <v>_EURYC6M</v>
      </c>
      <c r="E16" s="22"/>
      <c r="J16" s="53"/>
      <c r="K16" s="52"/>
      <c r="L16" s="52"/>
      <c r="M16" s="51"/>
    </row>
    <row r="17" spans="2:5" x14ac:dyDescent="0.2">
      <c r="B17" s="25"/>
      <c r="C17" s="34" t="s">
        <v>59</v>
      </c>
      <c r="D17" s="38">
        <v>2</v>
      </c>
      <c r="E17" s="22"/>
    </row>
    <row r="18" spans="2:5" x14ac:dyDescent="0.2">
      <c r="B18" s="25"/>
      <c r="C18" s="34" t="s">
        <v>58</v>
      </c>
      <c r="D18" s="37" t="s">
        <v>132</v>
      </c>
      <c r="E18" s="22"/>
    </row>
    <row r="19" spans="2:5" x14ac:dyDescent="0.2">
      <c r="B19" s="25"/>
      <c r="C19" s="34" t="s">
        <v>57</v>
      </c>
      <c r="D19" s="37"/>
      <c r="E19" s="22"/>
    </row>
    <row r="20" spans="2:5" x14ac:dyDescent="0.2">
      <c r="B20" s="25"/>
      <c r="C20" s="34" t="s">
        <v>56</v>
      </c>
      <c r="D20" s="35" t="e">
        <f>NA()</f>
        <v>#N/A</v>
      </c>
      <c r="E20" s="22"/>
    </row>
    <row r="21" spans="2:5" x14ac:dyDescent="0.2">
      <c r="B21" s="25"/>
      <c r="C21" s="34" t="s">
        <v>55</v>
      </c>
      <c r="D21" s="33" t="s">
        <v>170</v>
      </c>
      <c r="E21" s="22"/>
    </row>
    <row r="22" spans="2:5" x14ac:dyDescent="0.2">
      <c r="B22" s="25"/>
      <c r="C22" s="32" t="s">
        <v>54</v>
      </c>
      <c r="D22" s="31" t="s">
        <v>171</v>
      </c>
      <c r="E22" s="22"/>
    </row>
    <row r="23" spans="2:5" x14ac:dyDescent="0.2">
      <c r="B23" s="25"/>
      <c r="C23" s="30"/>
      <c r="D23" s="30"/>
      <c r="E23" s="22"/>
    </row>
    <row r="24" spans="2:5" x14ac:dyDescent="0.2">
      <c r="B24" s="25"/>
      <c r="C24" s="29">
        <f>_xll.qlTermStructureReferenceDate(YieldCurve)</f>
        <v>42138</v>
      </c>
      <c r="D24" s="28">
        <f>MAX(_xll.ohPack(Selected!J1:J126))</f>
        <v>1.3797083233304721E-2</v>
      </c>
      <c r="E24" s="22"/>
    </row>
    <row r="25" spans="2:5" x14ac:dyDescent="0.2">
      <c r="B25" s="25"/>
      <c r="C25" s="27">
        <f>MAX(_xll.ohPack(Selected!I2:I126))</f>
        <v>64053</v>
      </c>
      <c r="D25" s="26">
        <f>MIN(_xll.ohPack(Selected!J1:J126))</f>
        <v>5.3051490142400439E-4</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137</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154</v>
      </c>
      <c r="D1" s="77" t="s">
        <v>43</v>
      </c>
      <c r="E1" s="77" t="s">
        <v>42</v>
      </c>
      <c r="F1" s="77" t="s">
        <v>41</v>
      </c>
      <c r="G1" s="77" t="s">
        <v>40</v>
      </c>
      <c r="H1" s="77" t="s">
        <v>39</v>
      </c>
      <c r="I1" s="77" t="s">
        <v>38</v>
      </c>
      <c r="J1" s="77" t="s">
        <v>37</v>
      </c>
    </row>
    <row r="2" spans="2:10" x14ac:dyDescent="0.2">
      <c r="B2" s="182" t="str">
        <f>Deposits!J3</f>
        <v>obj_0076c#0001</v>
      </c>
      <c r="C2" s="78" t="str">
        <f>_xll.qlRateHelperQuoteName(B2)</f>
        <v>EURSND_SYNTH6M_Quote</v>
      </c>
      <c r="D2" s="79">
        <f>_xll.qlRateHelperQuoteValue($B2,Trigger)</f>
        <v>7.9199999999999995E-4</v>
      </c>
      <c r="E2" s="79"/>
      <c r="F2" s="80" t="b">
        <v>0</v>
      </c>
      <c r="G2" s="80">
        <v>10</v>
      </c>
      <c r="H2" s="80">
        <v>1</v>
      </c>
      <c r="I2" s="85">
        <f>_xll.qlRateHelperEarliestDate($B2,Trigger)</f>
        <v>42138</v>
      </c>
      <c r="J2" s="86">
        <f>_xll.qlRateHelperLatestDate($B2,Trigger)</f>
        <v>42139</v>
      </c>
    </row>
    <row r="3" spans="2:10" x14ac:dyDescent="0.2">
      <c r="B3" s="182" t="str">
        <f>Deposits!J4</f>
        <v>obj_0076a#0001</v>
      </c>
      <c r="C3" s="78" t="str">
        <f>_xll.qlRateHelperQuoteName(B3)</f>
        <v>EURSWD_SYNTH6M_Quote</v>
      </c>
      <c r="D3" s="79">
        <f>_xll.qlRateHelperQuoteValue($B3,Trigger)</f>
        <v>7.9900000000000001E-4</v>
      </c>
      <c r="E3" s="79"/>
      <c r="F3" s="80" t="b">
        <v>0</v>
      </c>
      <c r="G3" s="80">
        <v>10</v>
      </c>
      <c r="H3" s="80">
        <v>1</v>
      </c>
      <c r="I3" s="85">
        <f>_xll.qlRateHelperEarliestDate($B3,Trigger)</f>
        <v>42138</v>
      </c>
      <c r="J3" s="86">
        <f>_xll.qlRateHelperLatestDate($B3,Trigger)</f>
        <v>42145</v>
      </c>
    </row>
    <row r="4" spans="2:10" x14ac:dyDescent="0.2">
      <c r="B4" s="182" t="str">
        <f>Deposits!J5</f>
        <v>obj_0076f#0001</v>
      </c>
      <c r="C4" s="78" t="str">
        <f>_xll.qlRateHelperQuoteName(B4)</f>
        <v>EUR2WD_SYNTH6M_Quote</v>
      </c>
      <c r="D4" s="79">
        <f>_xll.qlRateHelperQuoteValue($B4,Trigger)</f>
        <v>7.9100000000000004E-4</v>
      </c>
      <c r="E4" s="79"/>
      <c r="F4" s="80" t="b">
        <v>0</v>
      </c>
      <c r="G4" s="80">
        <v>10</v>
      </c>
      <c r="H4" s="80">
        <v>1</v>
      </c>
      <c r="I4" s="85">
        <f>_xll.qlRateHelperEarliestDate($B4,Trigger)</f>
        <v>42138</v>
      </c>
      <c r="J4" s="86">
        <f>_xll.qlRateHelperLatestDate($B4,Trigger)</f>
        <v>42152</v>
      </c>
    </row>
    <row r="5" spans="2:10" x14ac:dyDescent="0.2">
      <c r="B5" s="182" t="str">
        <f>Deposits!J6</f>
        <v>obj_00768#0001</v>
      </c>
      <c r="C5" s="78" t="str">
        <f>_xll.qlRateHelperQuoteName(B5)</f>
        <v>EUR3WD_SYNTH6M_Quote</v>
      </c>
      <c r="D5" s="79">
        <f>_xll.qlRateHelperQuoteValue($B5,Trigger)</f>
        <v>8.7299999999999997E-4</v>
      </c>
      <c r="E5" s="79"/>
      <c r="F5" s="80" t="b">
        <v>0</v>
      </c>
      <c r="G5" s="80">
        <v>10</v>
      </c>
      <c r="H5" s="80">
        <v>1</v>
      </c>
      <c r="I5" s="85">
        <f>_xll.qlRateHelperEarliestDate($B5,Trigger)</f>
        <v>42138</v>
      </c>
      <c r="J5" s="86">
        <f>_xll.qlRateHelperLatestDate($B5,Trigger)</f>
        <v>42159</v>
      </c>
    </row>
    <row r="6" spans="2:10" x14ac:dyDescent="0.2">
      <c r="B6" s="182" t="str">
        <f>Deposits!J7</f>
        <v>obj_00770#0001</v>
      </c>
      <c r="C6" s="78" t="str">
        <f>_xll.qlRateHelperQuoteName(B6)</f>
        <v>EUR1MD_SYNTH6M_Quote</v>
      </c>
      <c r="D6" s="79">
        <f>_xll.qlRateHelperQuoteValue($B6,Trigger)</f>
        <v>8.3699999999999996E-4</v>
      </c>
      <c r="E6" s="79"/>
      <c r="F6" s="80" t="b">
        <v>1</v>
      </c>
      <c r="G6" s="80">
        <v>10</v>
      </c>
      <c r="H6" s="80">
        <v>1</v>
      </c>
      <c r="I6" s="85">
        <f>_xll.qlRateHelperEarliestDate($B6,Trigger)</f>
        <v>42138</v>
      </c>
      <c r="J6" s="86">
        <f>_xll.qlRateHelperLatestDate($B6,Trigger)</f>
        <v>42170</v>
      </c>
    </row>
    <row r="7" spans="2:10" x14ac:dyDescent="0.2">
      <c r="B7" s="182" t="str">
        <f>Deposits!J8</f>
        <v>obj_00771#0001</v>
      </c>
      <c r="C7" s="78" t="str">
        <f>_xll.qlRateHelperQuoteName(B7)</f>
        <v>EUR2MD_SYNTH6M_Quote</v>
      </c>
      <c r="D7" s="79">
        <f>_xll.qlRateHelperQuoteValue($B7,Trigger)</f>
        <v>7.6599999999999997E-4</v>
      </c>
      <c r="E7" s="79"/>
      <c r="F7" s="80" t="b">
        <v>1</v>
      </c>
      <c r="G7" s="80">
        <v>10</v>
      </c>
      <c r="H7" s="80">
        <v>1</v>
      </c>
      <c r="I7" s="85">
        <f>_xll.qlRateHelperEarliestDate($B7,Trigger)</f>
        <v>42138</v>
      </c>
      <c r="J7" s="86">
        <f>_xll.qlRateHelperLatestDate($B7,Trigger)</f>
        <v>42199</v>
      </c>
    </row>
    <row r="8" spans="2:10" x14ac:dyDescent="0.2">
      <c r="B8" s="182" t="str">
        <f>Deposits!J9</f>
        <v>obj_0076b#0001</v>
      </c>
      <c r="C8" s="78" t="str">
        <f>_xll.qlRateHelperQuoteName(B8)</f>
        <v>EUR3MD_SYNTH6M_Quote</v>
      </c>
      <c r="D8" s="79">
        <f>_xll.qlRateHelperQuoteValue($B8,Trigger)</f>
        <v>7.1900000000000002E-4</v>
      </c>
      <c r="E8" s="79"/>
      <c r="F8" s="80" t="b">
        <v>1</v>
      </c>
      <c r="G8" s="80">
        <v>10</v>
      </c>
      <c r="H8" s="80">
        <v>1</v>
      </c>
      <c r="I8" s="85">
        <f>_xll.qlRateHelperEarliestDate($B8,Trigger)</f>
        <v>42138</v>
      </c>
      <c r="J8" s="86">
        <f>_xll.qlRateHelperLatestDate($B8,Trigger)</f>
        <v>42230</v>
      </c>
    </row>
    <row r="9" spans="2:10" x14ac:dyDescent="0.2">
      <c r="B9" s="182" t="str">
        <f>Deposits!J10</f>
        <v>obj_0076e#0001</v>
      </c>
      <c r="C9" s="78" t="str">
        <f>_xll.qlRateHelperQuoteName(B9)</f>
        <v>EUR4MD_SYNTH6M_Quote</v>
      </c>
      <c r="D9" s="79">
        <f>_xll.qlRateHelperQuoteValue($B9,Trigger)</f>
        <v>6.9300000000000004E-4</v>
      </c>
      <c r="E9" s="79"/>
      <c r="F9" s="80" t="b">
        <v>1</v>
      </c>
      <c r="G9" s="80">
        <v>10</v>
      </c>
      <c r="H9" s="80">
        <v>1</v>
      </c>
      <c r="I9" s="85">
        <f>_xll.qlRateHelperEarliestDate($B9,Trigger)</f>
        <v>42138</v>
      </c>
      <c r="J9" s="86">
        <f>_xll.qlRateHelperLatestDate($B9,Trigger)</f>
        <v>42261</v>
      </c>
    </row>
    <row r="10" spans="2:10" x14ac:dyDescent="0.2">
      <c r="B10" s="182" t="str">
        <f>Deposits!J11</f>
        <v>obj_00769#0001</v>
      </c>
      <c r="C10" s="78" t="str">
        <f>_xll.qlRateHelperQuoteName(B10)</f>
        <v>EUR5MD_SYNTH6M_Quote</v>
      </c>
      <c r="D10" s="79">
        <f>_xll.qlRateHelperQuoteValue($B10,Trigger)</f>
        <v>6.8099999999999996E-4</v>
      </c>
      <c r="E10" s="79"/>
      <c r="F10" s="80" t="b">
        <v>1</v>
      </c>
      <c r="G10" s="80">
        <v>10</v>
      </c>
      <c r="H10" s="80">
        <v>1</v>
      </c>
      <c r="I10" s="85">
        <f>_xll.qlRateHelperEarliestDate($B10,Trigger)</f>
        <v>42138</v>
      </c>
      <c r="J10" s="86">
        <f>_xll.qlRateHelperLatestDate($B10,Trigger)</f>
        <v>42291</v>
      </c>
    </row>
    <row r="11" spans="2:10" x14ac:dyDescent="0.2">
      <c r="B11" s="183" t="str">
        <f>Deposits!J12</f>
        <v>obj_0076d#0001</v>
      </c>
      <c r="C11" s="81" t="str">
        <f>_xll.qlRateHelperQuoteName(B11)</f>
        <v>EUR6MD_SYNTH6M_Quote</v>
      </c>
      <c r="D11" s="82">
        <f>_xll.qlRateHelperQuoteValue($B11,Trigger)</f>
        <v>6.6799999999999997E-4</v>
      </c>
      <c r="E11" s="82"/>
      <c r="F11" s="83" t="b">
        <v>1</v>
      </c>
      <c r="G11" s="83">
        <v>10</v>
      </c>
      <c r="H11" s="83">
        <v>1</v>
      </c>
      <c r="I11" s="87">
        <f>_xll.qlRateHelperEarliestDate($B11,Trigger)</f>
        <v>42138</v>
      </c>
      <c r="J11" s="88">
        <f>_xll.qlRateHelperLatestDate($B11,Trigger)</f>
        <v>42324</v>
      </c>
    </row>
    <row r="12" spans="2:10" x14ac:dyDescent="0.2">
      <c r="B12" s="182" t="str">
        <f>FRAs!H3</f>
        <v>obj_00733#0001</v>
      </c>
      <c r="C12" s="78" t="str">
        <f>_xll.qlRateHelperQuoteName(B12)</f>
        <v>EUR1x7F_Quote</v>
      </c>
      <c r="D12" s="79">
        <f>_xll.qlRateHelperQuoteValue($B12,Trigger)</f>
        <v>6.3000000000000003E-4</v>
      </c>
      <c r="E12" s="79"/>
      <c r="F12" s="80" t="b">
        <v>1</v>
      </c>
      <c r="G12" s="80">
        <v>20</v>
      </c>
      <c r="H12" s="80">
        <v>1</v>
      </c>
      <c r="I12" s="85">
        <f>_xll.qlRateHelperEarliestDate($B12,Trigger)</f>
        <v>42170</v>
      </c>
      <c r="J12" s="86">
        <f>_xll.qlRateHelperLatestDate($B12,Trigger)</f>
        <v>42353</v>
      </c>
    </row>
    <row r="13" spans="2:10" x14ac:dyDescent="0.2">
      <c r="B13" s="182" t="str">
        <f>FRAs!H4</f>
        <v>obj_00735#0001</v>
      </c>
      <c r="C13" s="78" t="str">
        <f>_xll.qlRateHelperQuoteName(B13)</f>
        <v>EUR2x8F_Quote</v>
      </c>
      <c r="D13" s="79">
        <f>_xll.qlRateHelperQuoteValue($B13,Trigger)</f>
        <v>6.4000000000000005E-4</v>
      </c>
      <c r="E13" s="79"/>
      <c r="F13" s="80" t="b">
        <v>1</v>
      </c>
      <c r="G13" s="80">
        <v>20</v>
      </c>
      <c r="H13" s="80">
        <v>1</v>
      </c>
      <c r="I13" s="85">
        <f>_xll.qlRateHelperEarliestDate($B13,Trigger)</f>
        <v>42199</v>
      </c>
      <c r="J13" s="86">
        <f>_xll.qlRateHelperLatestDate($B13,Trigger)</f>
        <v>42383</v>
      </c>
    </row>
    <row r="14" spans="2:10" x14ac:dyDescent="0.2">
      <c r="B14" s="182" t="str">
        <f>FRAs!H5</f>
        <v>obj_00742#0001</v>
      </c>
      <c r="C14" s="78" t="str">
        <f>_xll.qlRateHelperQuoteName(B14)</f>
        <v>EUR3x9F_Quote</v>
      </c>
      <c r="D14" s="79">
        <f>_xll.qlRateHelperQuoteValue($B14,Trigger)</f>
        <v>6.4000000000000005E-4</v>
      </c>
      <c r="E14" s="79"/>
      <c r="F14" s="80" t="b">
        <v>1</v>
      </c>
      <c r="G14" s="80">
        <v>20</v>
      </c>
      <c r="H14" s="80">
        <v>1</v>
      </c>
      <c r="I14" s="85">
        <f>_xll.qlRateHelperEarliestDate($B14,Trigger)</f>
        <v>42230</v>
      </c>
      <c r="J14" s="86">
        <f>_xll.qlRateHelperLatestDate($B14,Trigger)</f>
        <v>42415</v>
      </c>
    </row>
    <row r="15" spans="2:10" x14ac:dyDescent="0.2">
      <c r="B15" s="182" t="str">
        <f>FRAs!H6</f>
        <v>obj_00739#0001</v>
      </c>
      <c r="C15" s="78" t="str">
        <f>_xll.qlRateHelperQuoteName(B15)</f>
        <v>EUR4x10F_Quote</v>
      </c>
      <c r="D15" s="79">
        <f>_xll.qlRateHelperQuoteValue($B15,Trigger)</f>
        <v>6.4999999999999997E-4</v>
      </c>
      <c r="E15" s="79"/>
      <c r="F15" s="80" t="b">
        <v>1</v>
      </c>
      <c r="G15" s="80">
        <v>20</v>
      </c>
      <c r="H15" s="80">
        <v>1</v>
      </c>
      <c r="I15" s="85">
        <f>_xll.qlRateHelperEarliestDate($B15,Trigger)</f>
        <v>42261</v>
      </c>
      <c r="J15" s="86">
        <f>_xll.qlRateHelperLatestDate($B15,Trigger)</f>
        <v>42443</v>
      </c>
    </row>
    <row r="16" spans="2:10" x14ac:dyDescent="0.2">
      <c r="B16" s="182" t="str">
        <f>FRAs!H7</f>
        <v>obj_0073a#0001</v>
      </c>
      <c r="C16" s="78" t="str">
        <f>_xll.qlRateHelperQuoteName(B16)</f>
        <v>EUR5x11F_Quote</v>
      </c>
      <c r="D16" s="79">
        <f>_xll.qlRateHelperQuoteValue($B16,Trigger)</f>
        <v>6.8000000000000005E-4</v>
      </c>
      <c r="E16" s="79"/>
      <c r="F16" s="80" t="b">
        <v>1</v>
      </c>
      <c r="G16" s="80">
        <v>20</v>
      </c>
      <c r="H16" s="80">
        <v>1</v>
      </c>
      <c r="I16" s="85">
        <f>_xll.qlRateHelperEarliestDate($B16,Trigger)</f>
        <v>42291</v>
      </c>
      <c r="J16" s="86">
        <f>_xll.qlRateHelperLatestDate($B16,Trigger)</f>
        <v>42474</v>
      </c>
    </row>
    <row r="17" spans="2:12" x14ac:dyDescent="0.2">
      <c r="B17" s="182" t="str">
        <f>FRAs!H8</f>
        <v>obj_00737#0001</v>
      </c>
      <c r="C17" s="78" t="str">
        <f>_xll.qlRateHelperQuoteName(B17)</f>
        <v>EUR6x12F_Quote</v>
      </c>
      <c r="D17" s="79">
        <f>_xll.qlRateHelperQuoteValue($B17,Trigger)</f>
        <v>7.000000000000001E-4</v>
      </c>
      <c r="E17" s="79"/>
      <c r="F17" s="80" t="b">
        <v>1</v>
      </c>
      <c r="G17" s="80">
        <v>20</v>
      </c>
      <c r="H17" s="80">
        <v>1</v>
      </c>
      <c r="I17" s="85">
        <f>_xll.qlRateHelperEarliestDate($B17,Trigger)</f>
        <v>42324</v>
      </c>
      <c r="J17" s="86">
        <f>_xll.qlRateHelperLatestDate($B17,Trigger)</f>
        <v>42506</v>
      </c>
    </row>
    <row r="18" spans="2:12" x14ac:dyDescent="0.2">
      <c r="B18" s="182" t="str">
        <f>FRAs!H9</f>
        <v>obj_00740#0001</v>
      </c>
      <c r="C18" s="78" t="str">
        <f>_xll.qlRateHelperQuoteName(B18)</f>
        <v>EUR7x13F_Quote</v>
      </c>
      <c r="D18" s="79">
        <f>_xll.qlRateHelperQuoteValue($B18,Trigger)</f>
        <v>7.2000000000000005E-4</v>
      </c>
      <c r="E18" s="79"/>
      <c r="F18" s="80" t="b">
        <v>1</v>
      </c>
      <c r="G18" s="80">
        <v>20</v>
      </c>
      <c r="H18" s="80">
        <v>1</v>
      </c>
      <c r="I18" s="85">
        <f>_xll.qlRateHelperEarliestDate($B18,Trigger)</f>
        <v>42352</v>
      </c>
      <c r="J18" s="86">
        <f>_xll.qlRateHelperLatestDate($B18,Trigger)</f>
        <v>42535</v>
      </c>
    </row>
    <row r="19" spans="2:12" x14ac:dyDescent="0.2">
      <c r="B19" s="182" t="str">
        <f>FRAs!H10</f>
        <v>obj_0073c#0001</v>
      </c>
      <c r="C19" s="78" t="str">
        <f>_xll.qlRateHelperQuoteName(B19)</f>
        <v>EUR8x14F_Quote</v>
      </c>
      <c r="D19" s="79">
        <f>_xll.qlRateHelperQuoteValue($B19,Trigger)</f>
        <v>7.7000000000000018E-4</v>
      </c>
      <c r="E19" s="79"/>
      <c r="F19" s="80" t="b">
        <v>1</v>
      </c>
      <c r="G19" s="80">
        <v>20</v>
      </c>
      <c r="H19" s="80">
        <v>1</v>
      </c>
      <c r="I19" s="85">
        <f>_xll.qlRateHelperEarliestDate($B19,Trigger)</f>
        <v>42383</v>
      </c>
      <c r="J19" s="86">
        <f>_xll.qlRateHelperLatestDate($B19,Trigger)</f>
        <v>42565</v>
      </c>
    </row>
    <row r="20" spans="2:12" x14ac:dyDescent="0.2">
      <c r="B20" s="182" t="str">
        <f>FRAs!H11</f>
        <v>obj_00741#0001</v>
      </c>
      <c r="C20" s="78" t="str">
        <f>_xll.qlRateHelperQuoteName(B20)</f>
        <v>EUR9x15F_Quote</v>
      </c>
      <c r="D20" s="79">
        <f>_xll.qlRateHelperQuoteValue($B20,Trigger)</f>
        <v>8.200000000000002E-4</v>
      </c>
      <c r="E20" s="79"/>
      <c r="F20" s="80" t="b">
        <v>1</v>
      </c>
      <c r="G20" s="80">
        <v>20</v>
      </c>
      <c r="H20" s="80">
        <v>1</v>
      </c>
      <c r="I20" s="85">
        <f>_xll.qlRateHelperEarliestDate($B20,Trigger)</f>
        <v>42415</v>
      </c>
      <c r="J20" s="86">
        <f>_xll.qlRateHelperLatestDate($B20,Trigger)</f>
        <v>42597</v>
      </c>
    </row>
    <row r="21" spans="2:12" x14ac:dyDescent="0.2">
      <c r="B21" s="182" t="str">
        <f>FRAs!H12</f>
        <v>obj_00736#0001</v>
      </c>
      <c r="C21" s="78" t="str">
        <f>_xll.qlRateHelperQuoteName(B21)</f>
        <v>EUR10x16F_Quote</v>
      </c>
      <c r="D21" s="79">
        <f>_xll.qlRateHelperQuoteValue($B21,Trigger)</f>
        <v>8.7000000000000011E-4</v>
      </c>
      <c r="E21" s="79"/>
      <c r="F21" s="80" t="b">
        <v>1</v>
      </c>
      <c r="G21" s="80">
        <v>20</v>
      </c>
      <c r="H21" s="80">
        <v>1</v>
      </c>
      <c r="I21" s="85">
        <f>_xll.qlRateHelperEarliestDate($B21,Trigger)</f>
        <v>42443</v>
      </c>
      <c r="J21" s="86">
        <f>_xll.qlRateHelperLatestDate($B21,Trigger)</f>
        <v>42627</v>
      </c>
    </row>
    <row r="22" spans="2:12" x14ac:dyDescent="0.2">
      <c r="B22" s="182" t="str">
        <f>FRAs!H13</f>
        <v>obj_0073b#0001</v>
      </c>
      <c r="C22" s="78" t="str">
        <f>_xll.qlRateHelperQuoteName(B22)</f>
        <v>EUR11x17F_Quote</v>
      </c>
      <c r="D22" s="79">
        <f>_xll.qlRateHelperQuoteValue($B22,Trigger)</f>
        <v>9.5E-4</v>
      </c>
      <c r="E22" s="79"/>
      <c r="F22" s="80" t="b">
        <v>1</v>
      </c>
      <c r="G22" s="80">
        <v>20</v>
      </c>
      <c r="H22" s="80">
        <v>1</v>
      </c>
      <c r="I22" s="85">
        <f>_xll.qlRateHelperEarliestDate($B22,Trigger)</f>
        <v>42474</v>
      </c>
      <c r="J22" s="86">
        <f>_xll.qlRateHelperLatestDate($B22,Trigger)</f>
        <v>42657</v>
      </c>
    </row>
    <row r="23" spans="2:12" x14ac:dyDescent="0.2">
      <c r="B23" s="182" t="str">
        <f>FRAs!H14</f>
        <v>obj_0073f#0001</v>
      </c>
      <c r="C23" s="78" t="str">
        <f>_xll.qlRateHelperQuoteName(B23)</f>
        <v>EUR12x18F_Quote</v>
      </c>
      <c r="D23" s="79">
        <f>_xll.qlRateHelperQuoteValue($B23,Trigger)</f>
        <v>1.0300000000000001E-3</v>
      </c>
      <c r="E23" s="79"/>
      <c r="F23" s="80" t="b">
        <v>1</v>
      </c>
      <c r="G23" s="80">
        <v>20</v>
      </c>
      <c r="H23" s="80">
        <v>1</v>
      </c>
      <c r="I23" s="85">
        <f>_xll.qlRateHelperEarliestDate($B23,Trigger)</f>
        <v>42506</v>
      </c>
      <c r="J23" s="86">
        <f>_xll.qlRateHelperLatestDate($B23,Trigger)</f>
        <v>42690</v>
      </c>
    </row>
    <row r="24" spans="2:12" x14ac:dyDescent="0.2">
      <c r="B24" s="182" t="str">
        <f>FRAs!H15</f>
        <v>obj_00731#0001</v>
      </c>
      <c r="C24" s="78" t="str">
        <f>_xll.qlRateHelperQuoteName(B24)</f>
        <v>EUR13x19F_Quote</v>
      </c>
      <c r="D24" s="79">
        <f>_xll.qlRateHelperQuoteValue($B24,Trigger)</f>
        <v>1.1099999999999999E-3</v>
      </c>
      <c r="E24" s="79"/>
      <c r="F24" s="80" t="b">
        <v>1</v>
      </c>
      <c r="G24" s="80">
        <v>20</v>
      </c>
      <c r="H24" s="80">
        <v>1</v>
      </c>
      <c r="I24" s="85">
        <f>_xll.qlRateHelperEarliestDate($B24,Trigger)</f>
        <v>42535</v>
      </c>
      <c r="J24" s="86">
        <f>_xll.qlRateHelperLatestDate($B24,Trigger)</f>
        <v>42718</v>
      </c>
    </row>
    <row r="25" spans="2:12" x14ac:dyDescent="0.2">
      <c r="B25" s="182" t="str">
        <f>FRAs!H16</f>
        <v>obj_0073d#0001</v>
      </c>
      <c r="C25" s="78" t="str">
        <f>_xll.qlRateHelperQuoteName(B25)</f>
        <v>EUR14x20F_Quote</v>
      </c>
      <c r="D25" s="79">
        <f>_xll.qlRateHelperQuoteValue($B25,Trigger)</f>
        <v>1.23E-3</v>
      </c>
      <c r="E25" s="79"/>
      <c r="F25" s="80" t="b">
        <v>1</v>
      </c>
      <c r="G25" s="80">
        <v>20</v>
      </c>
      <c r="H25" s="80">
        <v>1</v>
      </c>
      <c r="I25" s="85">
        <f>_xll.qlRateHelperEarliestDate($B25,Trigger)</f>
        <v>42565</v>
      </c>
      <c r="J25" s="86">
        <f>_xll.qlRateHelperLatestDate($B25,Trigger)</f>
        <v>42751</v>
      </c>
    </row>
    <row r="26" spans="2:12" x14ac:dyDescent="0.2">
      <c r="B26" s="182" t="str">
        <f>FRAs!H17</f>
        <v>obj_00738#0001</v>
      </c>
      <c r="C26" s="78" t="str">
        <f>_xll.qlRateHelperQuoteName(B26)</f>
        <v>EUR15x21F_Quote</v>
      </c>
      <c r="D26" s="79">
        <f>_xll.qlRateHelperQuoteValue($B26,Trigger)</f>
        <v>1.34E-3</v>
      </c>
      <c r="E26" s="79"/>
      <c r="F26" s="80" t="b">
        <v>1</v>
      </c>
      <c r="G26" s="80">
        <v>20</v>
      </c>
      <c r="H26" s="80">
        <v>1</v>
      </c>
      <c r="I26" s="85">
        <f>_xll.qlRateHelperEarliestDate($B26,Trigger)</f>
        <v>42597</v>
      </c>
      <c r="J26" s="86">
        <f>_xll.qlRateHelperLatestDate($B26,Trigger)</f>
        <v>42781</v>
      </c>
    </row>
    <row r="27" spans="2:12" x14ac:dyDescent="0.2">
      <c r="B27" s="182" t="str">
        <f>FRAs!H18</f>
        <v>obj_0073e#0001</v>
      </c>
      <c r="C27" s="78" t="str">
        <f>_xll.qlRateHelperQuoteName(B27)</f>
        <v>EUR16x22F_Quote</v>
      </c>
      <c r="D27" s="79">
        <f>_xll.qlRateHelperQuoteValue($B27,Trigger)</f>
        <v>1.4499999999999999E-3</v>
      </c>
      <c r="E27" s="79"/>
      <c r="F27" s="80" t="b">
        <v>1</v>
      </c>
      <c r="G27" s="80">
        <v>20</v>
      </c>
      <c r="H27" s="80">
        <v>1</v>
      </c>
      <c r="I27" s="85">
        <f>_xll.qlRateHelperEarliestDate($B27,Trigger)</f>
        <v>42627</v>
      </c>
      <c r="J27" s="86">
        <f>_xll.qlRateHelperLatestDate($B27,Trigger)</f>
        <v>42808</v>
      </c>
    </row>
    <row r="28" spans="2:12" x14ac:dyDescent="0.2">
      <c r="B28" s="182" t="str">
        <f>FRAs!H19</f>
        <v>obj_00767#0001</v>
      </c>
      <c r="C28" s="78" t="str">
        <f>_xll.qlRateHelperQuoteName(B28)</f>
        <v>EUR17x23F_Quote</v>
      </c>
      <c r="D28" s="79">
        <f>_xll.qlRateHelperQuoteValue($B28,Trigger)</f>
        <v>1.6099999999999997E-3</v>
      </c>
      <c r="E28" s="79"/>
      <c r="F28" s="80" t="b">
        <v>1</v>
      </c>
      <c r="G28" s="80">
        <v>20</v>
      </c>
      <c r="H28" s="80">
        <v>1</v>
      </c>
      <c r="I28" s="85">
        <f>_xll.qlRateHelperEarliestDate($B28,Trigger)</f>
        <v>42657</v>
      </c>
      <c r="J28" s="86">
        <f>_xll.qlRateHelperLatestDate($B28,Trigger)</f>
        <v>42843</v>
      </c>
    </row>
    <row r="29" spans="2:12" x14ac:dyDescent="0.2">
      <c r="B29" s="183" t="str">
        <f>FRAs!H20</f>
        <v>obj_00732#0001</v>
      </c>
      <c r="C29" s="81" t="str">
        <f>_xll.qlRateHelperQuoteName(B29)</f>
        <v>EUR18x24F_Quote</v>
      </c>
      <c r="D29" s="82">
        <f>_xll.qlRateHelperQuoteValue($B29,Trigger)</f>
        <v>1.7499999999999998E-3</v>
      </c>
      <c r="E29" s="82"/>
      <c r="F29" s="83" t="b">
        <v>1</v>
      </c>
      <c r="G29" s="83">
        <v>20</v>
      </c>
      <c r="H29" s="83">
        <v>1</v>
      </c>
      <c r="I29" s="87">
        <f>_xll.qlRateHelperEarliestDate($B29,Trigger)</f>
        <v>42688</v>
      </c>
      <c r="J29" s="88">
        <f>_xll.qlRateHelperLatestDate($B29,Trigger)</f>
        <v>42870</v>
      </c>
    </row>
    <row r="30" spans="2:12" x14ac:dyDescent="0.2">
      <c r="B30" s="182" t="str">
        <f>Swaps!L5</f>
        <v>obj_0075d#0001</v>
      </c>
      <c r="C30" s="78" t="str">
        <f>_xll.qlRateHelperQuoteName(B30)</f>
        <v>EURAB6E1Y_Quote</v>
      </c>
      <c r="D30" s="79">
        <f>_xll.qlRateHelperQuoteValue($B30,Trigger)</f>
        <v>6.6E-4</v>
      </c>
      <c r="E30" s="79">
        <f>_xll.qlSwapRateHelperSpread($B30,Trigger)</f>
        <v>0</v>
      </c>
      <c r="F30" s="80" t="b">
        <v>0</v>
      </c>
      <c r="G30" s="80">
        <v>50</v>
      </c>
      <c r="H30" s="80">
        <v>1</v>
      </c>
      <c r="I30" s="85">
        <f>_xll.qlRateHelperEarliestDate($B30,Trigger)</f>
        <v>42138</v>
      </c>
      <c r="J30" s="86">
        <f>_xll.qlRateHelperLatestDate($B30,Trigger)</f>
        <v>42506</v>
      </c>
      <c r="L30" s="84"/>
    </row>
    <row r="31" spans="2:12" x14ac:dyDescent="0.2">
      <c r="B31" s="182" t="str">
        <f>Swaps!L6</f>
        <v>obj_0074e#0001</v>
      </c>
      <c r="C31" s="78" t="str">
        <f>_xll.qlRateHelperQuoteName(B31)</f>
        <v>EURAB6E15M_Quote</v>
      </c>
      <c r="D31" s="79">
        <f>_xll.qlRateHelperQuoteValue($B31,Trigger)</f>
        <v>5.8E-4</v>
      </c>
      <c r="E31" s="79">
        <f>_xll.qlSwapRateHelperSpread($B31,Trigger)</f>
        <v>0</v>
      </c>
      <c r="F31" s="80" t="b">
        <v>0</v>
      </c>
      <c r="G31" s="80">
        <v>50</v>
      </c>
      <c r="H31" s="80">
        <v>1</v>
      </c>
      <c r="I31" s="85">
        <f>_xll.qlRateHelperEarliestDate($B31,Trigger)</f>
        <v>42138</v>
      </c>
      <c r="J31" s="86">
        <f>_xll.qlRateHelperLatestDate($B31,Trigger)</f>
        <v>42597</v>
      </c>
      <c r="L31" s="84"/>
    </row>
    <row r="32" spans="2:12" x14ac:dyDescent="0.2">
      <c r="B32" s="182" t="str">
        <f>Swaps!L7</f>
        <v>obj_00734#0001</v>
      </c>
      <c r="C32" s="78" t="str">
        <f>_xll.qlRateHelperQuoteName(B32)</f>
        <v>EURAB6E18M_Quote</v>
      </c>
      <c r="D32" s="79">
        <f>_xll.qlRateHelperQuoteValue($B32,Trigger)</f>
        <v>7.9000000000000012E-4</v>
      </c>
      <c r="E32" s="79">
        <f>_xll.qlSwapRateHelperSpread($B32,Trigger)</f>
        <v>0</v>
      </c>
      <c r="F32" s="80" t="b">
        <v>0</v>
      </c>
      <c r="G32" s="80">
        <v>50</v>
      </c>
      <c r="H32" s="80">
        <v>1</v>
      </c>
      <c r="I32" s="85">
        <f>_xll.qlRateHelperEarliestDate($B32,Trigger)</f>
        <v>42138</v>
      </c>
      <c r="J32" s="86">
        <f>_xll.qlRateHelperLatestDate($B32,Trigger)</f>
        <v>42688</v>
      </c>
      <c r="L32" s="84"/>
    </row>
    <row r="33" spans="2:12" x14ac:dyDescent="0.2">
      <c r="B33" s="182" t="str">
        <f>Swaps!L8</f>
        <v>obj_0075a#0001</v>
      </c>
      <c r="C33" s="78" t="str">
        <f>_xll.qlRateHelperQuoteName(B33)</f>
        <v>EURAB6E21M_Quote</v>
      </c>
      <c r="D33" s="79">
        <f>_xll.qlRateHelperQuoteValue($B33,Trigger)</f>
        <v>8.0000000000000015E-4</v>
      </c>
      <c r="E33" s="79">
        <f>_xll.qlSwapRateHelperSpread($B33,Trigger)</f>
        <v>0</v>
      </c>
      <c r="F33" s="80" t="b">
        <v>0</v>
      </c>
      <c r="G33" s="80">
        <v>50</v>
      </c>
      <c r="H33" s="80">
        <v>1</v>
      </c>
      <c r="I33" s="85">
        <f>_xll.qlRateHelperEarliestDate($B33,Trigger)</f>
        <v>42138</v>
      </c>
      <c r="J33" s="86">
        <f>_xll.qlRateHelperLatestDate($B33,Trigger)</f>
        <v>42780</v>
      </c>
      <c r="L33" s="84"/>
    </row>
    <row r="34" spans="2:12" x14ac:dyDescent="0.2">
      <c r="B34" s="182" t="str">
        <f>Swaps!L9</f>
        <v>obj_00758#0001</v>
      </c>
      <c r="C34" s="78" t="str">
        <f>_xll.qlRateHelperQuoteName(B34)</f>
        <v>EURAB6E2Y_Quote</v>
      </c>
      <c r="D34" s="79">
        <f>_xll.qlRateHelperQuoteValue($B34,Trigger)</f>
        <v>1.0400000000000001E-3</v>
      </c>
      <c r="E34" s="79">
        <f>_xll.qlSwapRateHelperSpread($B34,Trigger)</f>
        <v>0</v>
      </c>
      <c r="F34" s="80" t="b">
        <v>0</v>
      </c>
      <c r="G34" s="80">
        <v>50</v>
      </c>
      <c r="H34" s="80">
        <v>1</v>
      </c>
      <c r="I34" s="85">
        <f>_xll.qlRateHelperEarliestDate($B34,Trigger)</f>
        <v>42138</v>
      </c>
      <c r="J34" s="86">
        <f>_xll.qlRateHelperLatestDate($B34,Trigger)</f>
        <v>42870</v>
      </c>
      <c r="L34" s="84"/>
    </row>
    <row r="35" spans="2:12" x14ac:dyDescent="0.2">
      <c r="B35" s="182" t="str">
        <f>Swaps!L10</f>
        <v>obj_00746#0001</v>
      </c>
      <c r="C35" s="78" t="str">
        <f>_xll.qlRateHelperQuoteName(B35)</f>
        <v>EURAB6E3Y_Quote</v>
      </c>
      <c r="D35" s="79">
        <f>_xll.qlRateHelperQuoteValue($B35,Trigger)</f>
        <v>1.83E-3</v>
      </c>
      <c r="E35" s="79">
        <f>_xll.qlSwapRateHelperSpread($B35,Trigger)</f>
        <v>0</v>
      </c>
      <c r="F35" s="80" t="b">
        <v>1</v>
      </c>
      <c r="G35" s="80">
        <v>50</v>
      </c>
      <c r="H35" s="80">
        <v>1</v>
      </c>
      <c r="I35" s="85">
        <f>_xll.qlRateHelperEarliestDate($B35,Trigger)</f>
        <v>42138</v>
      </c>
      <c r="J35" s="86">
        <f>_xll.qlRateHelperLatestDate($B35,Trigger)</f>
        <v>43234</v>
      </c>
      <c r="L35" s="84"/>
    </row>
    <row r="36" spans="2:12" x14ac:dyDescent="0.2">
      <c r="B36" s="182" t="str">
        <f>Swaps!L11</f>
        <v>obj_00743#0001</v>
      </c>
      <c r="C36" s="78" t="str">
        <f>_xll.qlRateHelperQuoteName(B36)</f>
        <v>EURAB6E4Y_Quote</v>
      </c>
      <c r="D36" s="79">
        <f>_xll.qlRateHelperQuoteValue($B36,Trigger)</f>
        <v>2.8500000000000001E-3</v>
      </c>
      <c r="E36" s="79">
        <f>_xll.qlSwapRateHelperSpread($B36,Trigger)</f>
        <v>0</v>
      </c>
      <c r="F36" s="80" t="b">
        <v>1</v>
      </c>
      <c r="G36" s="80">
        <v>50</v>
      </c>
      <c r="H36" s="80">
        <v>1</v>
      </c>
      <c r="I36" s="85">
        <f>_xll.qlRateHelperEarliestDate($B36,Trigger)</f>
        <v>42138</v>
      </c>
      <c r="J36" s="86">
        <f>_xll.qlRateHelperLatestDate($B36,Trigger)</f>
        <v>43599</v>
      </c>
      <c r="L36" s="84"/>
    </row>
    <row r="37" spans="2:12" x14ac:dyDescent="0.2">
      <c r="B37" s="182" t="str">
        <f>Swaps!L12</f>
        <v>obj_00755#0001</v>
      </c>
      <c r="C37" s="78" t="str">
        <f>_xll.qlRateHelperQuoteName(B37)</f>
        <v>EURAB6E5Y_Quote</v>
      </c>
      <c r="D37" s="79">
        <f>_xll.qlRateHelperQuoteValue($B37,Trigger)</f>
        <v>4.0200000000000001E-3</v>
      </c>
      <c r="E37" s="79">
        <f>_xll.qlSwapRateHelperSpread($B37,Trigger)</f>
        <v>0</v>
      </c>
      <c r="F37" s="80" t="b">
        <v>1</v>
      </c>
      <c r="G37" s="80">
        <v>50</v>
      </c>
      <c r="H37" s="80">
        <v>1</v>
      </c>
      <c r="I37" s="85">
        <f>_xll.qlRateHelperEarliestDate($B37,Trigger)</f>
        <v>42138</v>
      </c>
      <c r="J37" s="86">
        <f>_xll.qlRateHelperLatestDate($B37,Trigger)</f>
        <v>43965</v>
      </c>
      <c r="L37" s="84"/>
    </row>
    <row r="38" spans="2:12" x14ac:dyDescent="0.2">
      <c r="B38" s="182" t="str">
        <f>Swaps!L13</f>
        <v>obj_00766#0001</v>
      </c>
      <c r="C38" s="78" t="str">
        <f>_xll.qlRateHelperQuoteName(B38)</f>
        <v>EURAB6E6Y_Quote</v>
      </c>
      <c r="D38" s="79">
        <f>_xll.qlRateHelperQuoteValue($B38,Trigger)</f>
        <v>5.2199999999999998E-3</v>
      </c>
      <c r="E38" s="79">
        <f>_xll.qlSwapRateHelperSpread($B38,Trigger)</f>
        <v>0</v>
      </c>
      <c r="F38" s="80" t="b">
        <v>1</v>
      </c>
      <c r="G38" s="80">
        <v>50</v>
      </c>
      <c r="H38" s="80">
        <v>1</v>
      </c>
      <c r="I38" s="85">
        <f>_xll.qlRateHelperEarliestDate($B38,Trigger)</f>
        <v>42138</v>
      </c>
      <c r="J38" s="86">
        <f>_xll.qlRateHelperLatestDate($B38,Trigger)</f>
        <v>44330</v>
      </c>
      <c r="L38" s="84"/>
    </row>
    <row r="39" spans="2:12" x14ac:dyDescent="0.2">
      <c r="B39" s="182" t="str">
        <f>Swaps!L14</f>
        <v>obj_00751#0001</v>
      </c>
      <c r="C39" s="78" t="str">
        <f>_xll.qlRateHelperQuoteName(B39)</f>
        <v>EURAB6E7Y_Quote</v>
      </c>
      <c r="D39" s="79">
        <f>_xll.qlRateHelperQuoteValue($B39,Trigger)</f>
        <v>6.4200000000000004E-3</v>
      </c>
      <c r="E39" s="79">
        <f>_xll.qlSwapRateHelperSpread($B39,Trigger)</f>
        <v>0</v>
      </c>
      <c r="F39" s="80" t="b">
        <v>1</v>
      </c>
      <c r="G39" s="80">
        <v>50</v>
      </c>
      <c r="H39" s="80">
        <v>1</v>
      </c>
      <c r="I39" s="85">
        <f>_xll.qlRateHelperEarliestDate($B39,Trigger)</f>
        <v>42138</v>
      </c>
      <c r="J39" s="86">
        <f>_xll.qlRateHelperLatestDate($B39,Trigger)</f>
        <v>44697</v>
      </c>
      <c r="L39" s="84"/>
    </row>
    <row r="40" spans="2:12" x14ac:dyDescent="0.2">
      <c r="B40" s="182" t="str">
        <f>Swaps!L15</f>
        <v>obj_0075b#0001</v>
      </c>
      <c r="C40" s="78" t="str">
        <f>_xll.qlRateHelperQuoteName(B40)</f>
        <v>EURAB6E8Y_Quote</v>
      </c>
      <c r="D40" s="79">
        <f>_xll.qlRateHelperQuoteValue($B40,Trigger)</f>
        <v>7.5100000000000002E-3</v>
      </c>
      <c r="E40" s="79">
        <f>_xll.qlSwapRateHelperSpread($B40,Trigger)</f>
        <v>0</v>
      </c>
      <c r="F40" s="80" t="b">
        <v>1</v>
      </c>
      <c r="G40" s="80">
        <v>50</v>
      </c>
      <c r="H40" s="80">
        <v>1</v>
      </c>
      <c r="I40" s="85">
        <f>_xll.qlRateHelperEarliestDate($B40,Trigger)</f>
        <v>42138</v>
      </c>
      <c r="J40" s="86">
        <f>_xll.qlRateHelperLatestDate($B40,Trigger)</f>
        <v>45061</v>
      </c>
      <c r="L40" s="84"/>
    </row>
    <row r="41" spans="2:12" x14ac:dyDescent="0.2">
      <c r="B41" s="182" t="str">
        <f>Swaps!L16</f>
        <v>obj_00765#0001</v>
      </c>
      <c r="C41" s="78" t="str">
        <f>_xll.qlRateHelperQuoteName(B41)</f>
        <v>EURAB6E9Y_Quote</v>
      </c>
      <c r="D41" s="79">
        <f>_xll.qlRateHelperQuoteValue($B41,Trigger)</f>
        <v>8.4700000000000001E-3</v>
      </c>
      <c r="E41" s="79">
        <f>_xll.qlSwapRateHelperSpread($B41,Trigger)</f>
        <v>0</v>
      </c>
      <c r="F41" s="80" t="b">
        <v>1</v>
      </c>
      <c r="G41" s="80">
        <v>50</v>
      </c>
      <c r="H41" s="80">
        <v>1</v>
      </c>
      <c r="I41" s="85">
        <f>_xll.qlRateHelperEarliestDate($B41,Trigger)</f>
        <v>42138</v>
      </c>
      <c r="J41" s="86">
        <f>_xll.qlRateHelperLatestDate($B41,Trigger)</f>
        <v>45426</v>
      </c>
      <c r="L41" s="84"/>
    </row>
    <row r="42" spans="2:12" x14ac:dyDescent="0.2">
      <c r="B42" s="182" t="str">
        <f>Swaps!L17</f>
        <v>obj_00749#0001</v>
      </c>
      <c r="C42" s="78" t="str">
        <f>_xll.qlRateHelperQuoteName(B42)</f>
        <v>EURAB6E10Y_Quote</v>
      </c>
      <c r="D42" s="79">
        <f>_xll.qlRateHelperQuoteValue($B42,Trigger)</f>
        <v>9.2700000000000005E-3</v>
      </c>
      <c r="E42" s="79">
        <f>_xll.qlSwapRateHelperSpread($B42,Trigger)</f>
        <v>0</v>
      </c>
      <c r="F42" s="80" t="b">
        <v>1</v>
      </c>
      <c r="G42" s="80">
        <v>50</v>
      </c>
      <c r="H42" s="80">
        <v>1</v>
      </c>
      <c r="I42" s="85">
        <f>_xll.qlRateHelperEarliestDate($B42,Trigger)</f>
        <v>42138</v>
      </c>
      <c r="J42" s="86">
        <f>_xll.qlRateHelperLatestDate($B42,Trigger)</f>
        <v>45791</v>
      </c>
      <c r="L42" s="84"/>
    </row>
    <row r="43" spans="2:12" x14ac:dyDescent="0.2">
      <c r="B43" s="182" t="str">
        <f>Swaps!L18</f>
        <v>obj_0074b#0001</v>
      </c>
      <c r="C43" s="78" t="str">
        <f>_xll.qlRateHelperQuoteName(B43)</f>
        <v>EURAB6E11Y_Quote</v>
      </c>
      <c r="D43" s="79">
        <f>_xll.qlRateHelperQuoteValue($B43,Trigger)</f>
        <v>9.9899999999999989E-3</v>
      </c>
      <c r="E43" s="79">
        <f>_xll.qlSwapRateHelperSpread($B43,Trigger)</f>
        <v>0</v>
      </c>
      <c r="F43" s="80" t="b">
        <v>0</v>
      </c>
      <c r="G43" s="80">
        <v>50</v>
      </c>
      <c r="H43" s="80">
        <v>1</v>
      </c>
      <c r="I43" s="85">
        <f>_xll.qlRateHelperEarliestDate($B43,Trigger)</f>
        <v>42138</v>
      </c>
      <c r="J43" s="86">
        <f>_xll.qlRateHelperLatestDate($B43,Trigger)</f>
        <v>46156</v>
      </c>
      <c r="L43" s="84"/>
    </row>
    <row r="44" spans="2:12" x14ac:dyDescent="0.2">
      <c r="B44" s="182" t="str">
        <f>Swaps!L19</f>
        <v>obj_00759#0001</v>
      </c>
      <c r="C44" s="78" t="str">
        <f>_xll.qlRateHelperQuoteName(B44)</f>
        <v>EURAB6E12Y_Quote</v>
      </c>
      <c r="D44" s="79">
        <f>_xll.qlRateHelperQuoteValue($B44,Trigger)</f>
        <v>1.0620000000000001E-2</v>
      </c>
      <c r="E44" s="79">
        <f>_xll.qlSwapRateHelperSpread($B44,Trigger)</f>
        <v>0</v>
      </c>
      <c r="F44" s="80" t="b">
        <v>1</v>
      </c>
      <c r="G44" s="80">
        <v>50</v>
      </c>
      <c r="H44" s="80">
        <v>1</v>
      </c>
      <c r="I44" s="85">
        <f>_xll.qlRateHelperEarliestDate($B44,Trigger)</f>
        <v>42138</v>
      </c>
      <c r="J44" s="86">
        <f>_xll.qlRateHelperLatestDate($B44,Trigger)</f>
        <v>46521</v>
      </c>
      <c r="L44" s="84"/>
    </row>
    <row r="45" spans="2:12" x14ac:dyDescent="0.2">
      <c r="B45" s="182" t="str">
        <f>Swaps!L20</f>
        <v>obj_00762#0001</v>
      </c>
      <c r="C45" s="78" t="str">
        <f>_xll.qlRateHelperQuoteName(B45)</f>
        <v>EURAB6E13Y_Quote</v>
      </c>
      <c r="D45" s="79">
        <f>_xll.qlRateHelperQuoteValue($B45,Trigger)</f>
        <v>1.1120000000000001E-2</v>
      </c>
      <c r="E45" s="79">
        <f>_xll.qlSwapRateHelperSpread($B45,Trigger)</f>
        <v>0</v>
      </c>
      <c r="F45" s="80" t="b">
        <v>0</v>
      </c>
      <c r="G45" s="80">
        <v>50</v>
      </c>
      <c r="H45" s="80">
        <v>1</v>
      </c>
      <c r="I45" s="85">
        <f>_xll.qlRateHelperEarliestDate($B45,Trigger)</f>
        <v>42138</v>
      </c>
      <c r="J45" s="86">
        <f>_xll.qlRateHelperLatestDate($B45,Trigger)</f>
        <v>46888</v>
      </c>
      <c r="L45" s="84"/>
    </row>
    <row r="46" spans="2:12" x14ac:dyDescent="0.2">
      <c r="B46" s="182" t="str">
        <f>Swaps!L21</f>
        <v>obj_00750#0001</v>
      </c>
      <c r="C46" s="78" t="str">
        <f>_xll.qlRateHelperQuoteName(B46)</f>
        <v>EURAB6E14Y_Quote</v>
      </c>
      <c r="D46" s="79">
        <f>_xll.qlRateHelperQuoteValue($B46,Trigger)</f>
        <v>1.157E-2</v>
      </c>
      <c r="E46" s="79">
        <f>_xll.qlSwapRateHelperSpread($B46,Trigger)</f>
        <v>0</v>
      </c>
      <c r="F46" s="80" t="b">
        <v>0</v>
      </c>
      <c r="G46" s="80">
        <v>50</v>
      </c>
      <c r="H46" s="80">
        <v>1</v>
      </c>
      <c r="I46" s="85">
        <f>_xll.qlRateHelperEarliestDate($B46,Trigger)</f>
        <v>42138</v>
      </c>
      <c r="J46" s="86">
        <f>_xll.qlRateHelperLatestDate($B46,Trigger)</f>
        <v>47252</v>
      </c>
      <c r="L46" s="84"/>
    </row>
    <row r="47" spans="2:12" x14ac:dyDescent="0.2">
      <c r="B47" s="182" t="str">
        <f>Swaps!L22</f>
        <v>obj_0074f#0001</v>
      </c>
      <c r="C47" s="196" t="str">
        <f>_xll.qlRateHelperQuoteName(B47)</f>
        <v>EURAB6E15Y_Quote</v>
      </c>
      <c r="D47" s="197">
        <f>_xll.qlRateHelperQuoteValue($B47,Trigger)</f>
        <v>1.196E-2</v>
      </c>
      <c r="E47" s="197">
        <f>_xll.qlSwapRateHelperSpread($B47,Trigger)</f>
        <v>0</v>
      </c>
      <c r="F47" s="198" t="b">
        <v>1</v>
      </c>
      <c r="G47" s="198">
        <v>50</v>
      </c>
      <c r="H47" s="198">
        <v>1</v>
      </c>
      <c r="I47" s="199">
        <f>_xll.qlRateHelperEarliestDate($B47,Trigger)</f>
        <v>42138</v>
      </c>
      <c r="J47" s="200">
        <f>_xll.qlRateHelperLatestDate($B47,Trigger)</f>
        <v>47617</v>
      </c>
      <c r="L47" s="84"/>
    </row>
    <row r="48" spans="2:12" x14ac:dyDescent="0.2">
      <c r="B48" s="182" t="str">
        <f>Swaps!L23</f>
        <v>obj_00761#0001</v>
      </c>
      <c r="C48" s="78" t="str">
        <f>_xll.qlRateHelperQuoteName(B48)</f>
        <v>EURAB6E16Y_Quote</v>
      </c>
      <c r="D48" s="79">
        <f>_xll.qlRateHelperQuoteValue($B48,Trigger)</f>
        <v>1.2270000000000001E-2</v>
      </c>
      <c r="E48" s="79">
        <f>_xll.qlSwapRateHelperSpread($B48,Trigger)</f>
        <v>0</v>
      </c>
      <c r="F48" s="80" t="b">
        <v>0</v>
      </c>
      <c r="G48" s="80">
        <v>50</v>
      </c>
      <c r="H48" s="80">
        <v>1</v>
      </c>
      <c r="I48" s="85">
        <f>_xll.qlRateHelperEarliestDate($B48,Trigger)</f>
        <v>42138</v>
      </c>
      <c r="J48" s="86">
        <f>_xll.qlRateHelperLatestDate($B48,Trigger)</f>
        <v>47982</v>
      </c>
      <c r="L48" s="84"/>
    </row>
    <row r="49" spans="2:12" x14ac:dyDescent="0.2">
      <c r="B49" s="182" t="str">
        <f>Swaps!L24</f>
        <v>obj_00752#0001</v>
      </c>
      <c r="C49" s="78" t="str">
        <f>_xll.qlRateHelperQuoteName(B49)</f>
        <v>EURAB6E17Y_Quote</v>
      </c>
      <c r="D49" s="79">
        <f>_xll.qlRateHelperQuoteValue($B49,Trigger)</f>
        <v>1.252E-2</v>
      </c>
      <c r="E49" s="79">
        <f>_xll.qlSwapRateHelperSpread($B49,Trigger)</f>
        <v>0</v>
      </c>
      <c r="F49" s="80" t="b">
        <v>0</v>
      </c>
      <c r="G49" s="80">
        <v>50</v>
      </c>
      <c r="H49" s="80">
        <v>1</v>
      </c>
      <c r="I49" s="85">
        <f>_xll.qlRateHelperEarliestDate($B49,Trigger)</f>
        <v>42138</v>
      </c>
      <c r="J49" s="86">
        <f>_xll.qlRateHelperLatestDate($B49,Trigger)</f>
        <v>48348</v>
      </c>
      <c r="L49" s="84"/>
    </row>
    <row r="50" spans="2:12" x14ac:dyDescent="0.2">
      <c r="B50" s="182" t="str">
        <f>Swaps!L25</f>
        <v>obj_00756#0001</v>
      </c>
      <c r="C50" s="78" t="str">
        <f>_xll.qlRateHelperQuoteName(B50)</f>
        <v>EURAB6E18Y_Quote</v>
      </c>
      <c r="D50" s="79">
        <f>_xll.qlRateHelperQuoteValue($B50,Trigger)</f>
        <v>1.272E-2</v>
      </c>
      <c r="E50" s="79">
        <f>_xll.qlSwapRateHelperSpread($B50,Trigger)</f>
        <v>0</v>
      </c>
      <c r="F50" s="80" t="b">
        <v>0</v>
      </c>
      <c r="G50" s="80">
        <v>50</v>
      </c>
      <c r="H50" s="80">
        <v>1</v>
      </c>
      <c r="I50" s="85">
        <f>_xll.qlRateHelperEarliestDate($B50,Trigger)</f>
        <v>42138</v>
      </c>
      <c r="J50" s="86">
        <f>_xll.qlRateHelperLatestDate($B50,Trigger)</f>
        <v>48715</v>
      </c>
      <c r="L50" s="84"/>
    </row>
    <row r="51" spans="2:12" x14ac:dyDescent="0.2">
      <c r="B51" s="182" t="str">
        <f>Swaps!L26</f>
        <v>obj_0075c#0001</v>
      </c>
      <c r="C51" s="78" t="str">
        <f>_xll.qlRateHelperQuoteName(B51)</f>
        <v>EURAB6E19Y_Quote</v>
      </c>
      <c r="D51" s="79">
        <f>_xll.qlRateHelperQuoteValue($B51,Trigger)</f>
        <v>1.2880000000000001E-2</v>
      </c>
      <c r="E51" s="79">
        <f>_xll.qlSwapRateHelperSpread($B51,Trigger)</f>
        <v>0</v>
      </c>
      <c r="F51" s="80" t="b">
        <v>0</v>
      </c>
      <c r="G51" s="80">
        <v>50</v>
      </c>
      <c r="H51" s="80">
        <v>1</v>
      </c>
      <c r="I51" s="85">
        <f>_xll.qlRateHelperEarliestDate($B51,Trigger)</f>
        <v>42138</v>
      </c>
      <c r="J51" s="86">
        <f>_xll.qlRateHelperLatestDate($B51,Trigger)</f>
        <v>49079</v>
      </c>
      <c r="L51" s="84"/>
    </row>
    <row r="52" spans="2:12" x14ac:dyDescent="0.2">
      <c r="B52" s="182" t="str">
        <f>Swaps!L27</f>
        <v>obj_00748#0001</v>
      </c>
      <c r="C52" s="78" t="str">
        <f>_xll.qlRateHelperQuoteName(B52)</f>
        <v>EURAB6E20Y_Quote</v>
      </c>
      <c r="D52" s="79">
        <f>_xll.qlRateHelperQuoteValue($B52,Trigger)</f>
        <v>1.3010000000000001E-2</v>
      </c>
      <c r="E52" s="79">
        <f>_xll.qlSwapRateHelperSpread($B52,Trigger)</f>
        <v>0</v>
      </c>
      <c r="F52" s="80" t="b">
        <v>1</v>
      </c>
      <c r="G52" s="80">
        <v>50</v>
      </c>
      <c r="H52" s="80">
        <v>1</v>
      </c>
      <c r="I52" s="85">
        <f>_xll.qlRateHelperEarliestDate($B52,Trigger)</f>
        <v>42138</v>
      </c>
      <c r="J52" s="86">
        <f>_xll.qlRateHelperLatestDate($B52,Trigger)</f>
        <v>49443</v>
      </c>
      <c r="L52" s="84"/>
    </row>
    <row r="53" spans="2:12" x14ac:dyDescent="0.2">
      <c r="B53" s="182" t="str">
        <f>Swaps!L28</f>
        <v>obj_00764#0001</v>
      </c>
      <c r="C53" s="78" t="str">
        <f>_xll.qlRateHelperQuoteName(B53)</f>
        <v>EURAB6E21Y_Quote</v>
      </c>
      <c r="D53" s="79">
        <f>_xll.qlRateHelperQuoteValue($B53,Trigger)</f>
        <v>1.311E-2</v>
      </c>
      <c r="E53" s="79">
        <f>_xll.qlSwapRateHelperSpread($B53,Trigger)</f>
        <v>0</v>
      </c>
      <c r="F53" s="80" t="b">
        <v>0</v>
      </c>
      <c r="G53" s="80">
        <v>50</v>
      </c>
      <c r="H53" s="80">
        <v>1</v>
      </c>
      <c r="I53" s="85">
        <f>_xll.qlRateHelperEarliestDate($B53,Trigger)</f>
        <v>42138</v>
      </c>
      <c r="J53" s="86">
        <f>_xll.qlRateHelperLatestDate($B53,Trigger)</f>
        <v>49809</v>
      </c>
      <c r="L53" s="84"/>
    </row>
    <row r="54" spans="2:12" x14ac:dyDescent="0.2">
      <c r="B54" s="182" t="str">
        <f>Swaps!L29</f>
        <v>obj_0074a#0001</v>
      </c>
      <c r="C54" s="78" t="str">
        <f>_xll.qlRateHelperQuoteName(B54)</f>
        <v>EURAB6E22Y_Quote</v>
      </c>
      <c r="D54" s="79">
        <f>_xll.qlRateHelperQuoteValue($B54,Trigger)</f>
        <v>1.319E-2</v>
      </c>
      <c r="E54" s="79">
        <f>_xll.qlSwapRateHelperSpread($B54,Trigger)</f>
        <v>0</v>
      </c>
      <c r="F54" s="80" t="b">
        <v>0</v>
      </c>
      <c r="G54" s="80">
        <v>50</v>
      </c>
      <c r="H54" s="80">
        <v>1</v>
      </c>
      <c r="I54" s="85">
        <f>_xll.qlRateHelperEarliestDate($B54,Trigger)</f>
        <v>42138</v>
      </c>
      <c r="J54" s="86">
        <f>_xll.qlRateHelperLatestDate($B54,Trigger)</f>
        <v>50174</v>
      </c>
      <c r="L54" s="84"/>
    </row>
    <row r="55" spans="2:12" x14ac:dyDescent="0.2">
      <c r="B55" s="182" t="str">
        <f>Swaps!L30</f>
        <v>obj_0074d#0001</v>
      </c>
      <c r="C55" s="78" t="str">
        <f>_xll.qlRateHelperQuoteName(B55)</f>
        <v>EURAB6E23Y_Quote</v>
      </c>
      <c r="D55" s="79">
        <f>_xll.qlRateHelperQuoteValue($B55,Trigger)</f>
        <v>1.325E-2</v>
      </c>
      <c r="E55" s="79">
        <f>_xll.qlSwapRateHelperSpread($B55,Trigger)</f>
        <v>0</v>
      </c>
      <c r="F55" s="80" t="b">
        <v>0</v>
      </c>
      <c r="G55" s="80">
        <v>50</v>
      </c>
      <c r="H55" s="80">
        <v>1</v>
      </c>
      <c r="I55" s="85">
        <f>_xll.qlRateHelperEarliestDate($B55,Trigger)</f>
        <v>42138</v>
      </c>
      <c r="J55" s="86">
        <f>_xll.qlRateHelperLatestDate($B55,Trigger)</f>
        <v>50539</v>
      </c>
      <c r="L55" s="84"/>
    </row>
    <row r="56" spans="2:12" x14ac:dyDescent="0.2">
      <c r="B56" s="182" t="str">
        <f>Swaps!L31</f>
        <v>obj_0075e#0001</v>
      </c>
      <c r="C56" s="78" t="str">
        <f>_xll.qlRateHelperQuoteName(B56)</f>
        <v>EURAB6E24Y_Quote</v>
      </c>
      <c r="D56" s="79">
        <f>_xll.qlRateHelperQuoteValue($B56,Trigger)</f>
        <v>1.329E-2</v>
      </c>
      <c r="E56" s="79">
        <f>_xll.qlSwapRateHelperSpread($B56,Trigger)</f>
        <v>0</v>
      </c>
      <c r="F56" s="80" t="b">
        <v>0</v>
      </c>
      <c r="G56" s="80">
        <v>50</v>
      </c>
      <c r="H56" s="80">
        <v>1</v>
      </c>
      <c r="I56" s="85">
        <f>_xll.qlRateHelperEarliestDate($B56,Trigger)</f>
        <v>42138</v>
      </c>
      <c r="J56" s="86">
        <f>_xll.qlRateHelperLatestDate($B56,Trigger)</f>
        <v>50906</v>
      </c>
      <c r="L56" s="84"/>
    </row>
    <row r="57" spans="2:12" x14ac:dyDescent="0.2">
      <c r="B57" s="182" t="str">
        <f>Swaps!L32</f>
        <v>obj_00753#0001</v>
      </c>
      <c r="C57" s="78" t="str">
        <f>_xll.qlRateHelperQuoteName(B57)</f>
        <v>EURAB6E25Y_Quote</v>
      </c>
      <c r="D57" s="79">
        <f>_xll.qlRateHelperQuoteValue($B57,Trigger)</f>
        <v>1.3340000000000001E-2</v>
      </c>
      <c r="E57" s="79">
        <f>_xll.qlSwapRateHelperSpread($B57,Trigger)</f>
        <v>0</v>
      </c>
      <c r="F57" s="80" t="b">
        <v>1</v>
      </c>
      <c r="G57" s="80">
        <v>50</v>
      </c>
      <c r="H57" s="80">
        <v>1</v>
      </c>
      <c r="I57" s="85">
        <f>_xll.qlRateHelperEarliestDate($B57,Trigger)</f>
        <v>42138</v>
      </c>
      <c r="J57" s="86">
        <f>_xll.qlRateHelperLatestDate($B57,Trigger)</f>
        <v>51270</v>
      </c>
      <c r="L57" s="84"/>
    </row>
    <row r="58" spans="2:12" x14ac:dyDescent="0.2">
      <c r="B58" s="182" t="str">
        <f>Swaps!L33</f>
        <v>obj_0075f#0001</v>
      </c>
      <c r="C58" s="78" t="str">
        <f>_xll.qlRateHelperQuoteName(B58)</f>
        <v>EURAB6E26Y_Quote</v>
      </c>
      <c r="D58" s="79">
        <f>_xll.qlRateHelperQuoteValue($B58,Trigger)</f>
        <v>1.3380000000000001E-2</v>
      </c>
      <c r="E58" s="79">
        <f>_xll.qlSwapRateHelperSpread($B58,Trigger)</f>
        <v>0</v>
      </c>
      <c r="F58" s="80" t="b">
        <v>0</v>
      </c>
      <c r="G58" s="80">
        <v>50</v>
      </c>
      <c r="H58" s="80">
        <v>1</v>
      </c>
      <c r="I58" s="85">
        <f>_xll.qlRateHelperEarliestDate($B58,Trigger)</f>
        <v>42138</v>
      </c>
      <c r="J58" s="86">
        <f>_xll.qlRateHelperLatestDate($B58,Trigger)</f>
        <v>51635</v>
      </c>
      <c r="L58" s="84"/>
    </row>
    <row r="59" spans="2:12" x14ac:dyDescent="0.2">
      <c r="B59" s="182" t="str">
        <f>Swaps!L34</f>
        <v>obj_00763#0001</v>
      </c>
      <c r="C59" s="78" t="str">
        <f>_xll.qlRateHelperQuoteName(B59)</f>
        <v>EURAB6E27Y_Quote</v>
      </c>
      <c r="D59" s="79">
        <f>_xll.qlRateHelperQuoteValue($B59,Trigger)</f>
        <v>1.3429999999999999E-2</v>
      </c>
      <c r="E59" s="79">
        <f>_xll.qlSwapRateHelperSpread($B59,Trigger)</f>
        <v>0</v>
      </c>
      <c r="F59" s="80" t="b">
        <v>0</v>
      </c>
      <c r="G59" s="80">
        <v>50</v>
      </c>
      <c r="H59" s="80">
        <v>1</v>
      </c>
      <c r="I59" s="85">
        <f>_xll.qlRateHelperEarliestDate($B59,Trigger)</f>
        <v>42138</v>
      </c>
      <c r="J59" s="86">
        <f>_xll.qlRateHelperLatestDate($B59,Trigger)</f>
        <v>52000</v>
      </c>
      <c r="L59" s="84"/>
    </row>
    <row r="60" spans="2:12" x14ac:dyDescent="0.2">
      <c r="B60" s="182" t="str">
        <f>Swaps!L35</f>
        <v>obj_00757#0001</v>
      </c>
      <c r="C60" s="78" t="str">
        <f>_xll.qlRateHelperQuoteName(B60)</f>
        <v>EURAB6E28Y_Quote</v>
      </c>
      <c r="D60" s="79">
        <f>_xll.qlRateHelperQuoteValue($B60,Trigger)</f>
        <v>1.3469999999999999E-2</v>
      </c>
      <c r="E60" s="79">
        <f>_xll.qlSwapRateHelperSpread($B60,Trigger)</f>
        <v>0</v>
      </c>
      <c r="F60" s="80" t="b">
        <v>0</v>
      </c>
      <c r="G60" s="80">
        <v>50</v>
      </c>
      <c r="H60" s="80">
        <v>1</v>
      </c>
      <c r="I60" s="85">
        <f>_xll.qlRateHelperEarliestDate($B60,Trigger)</f>
        <v>42138</v>
      </c>
      <c r="J60" s="86">
        <f>_xll.qlRateHelperLatestDate($B60,Trigger)</f>
        <v>52365</v>
      </c>
      <c r="L60" s="84"/>
    </row>
    <row r="61" spans="2:12" x14ac:dyDescent="0.2">
      <c r="B61" s="182" t="str">
        <f>Swaps!L36</f>
        <v>obj_00747#0001</v>
      </c>
      <c r="C61" s="78" t="str">
        <f>_xll.qlRateHelperQuoteName(B61)</f>
        <v>EURAB6E29Y_Quote</v>
      </c>
      <c r="D61" s="79">
        <f>_xll.qlRateHelperQuoteValue($B61,Trigger)</f>
        <v>1.3509999999999999E-2</v>
      </c>
      <c r="E61" s="79">
        <f>_xll.qlSwapRateHelperSpread($B61,Trigger)</f>
        <v>0</v>
      </c>
      <c r="F61" s="80" t="b">
        <v>0</v>
      </c>
      <c r="G61" s="80">
        <v>50</v>
      </c>
      <c r="H61" s="80">
        <v>1</v>
      </c>
      <c r="I61" s="85">
        <f>_xll.qlRateHelperEarliestDate($B61,Trigger)</f>
        <v>42138</v>
      </c>
      <c r="J61" s="86">
        <f>_xll.qlRateHelperLatestDate($B61,Trigger)</f>
        <v>52733</v>
      </c>
      <c r="L61" s="84"/>
    </row>
    <row r="62" spans="2:12" x14ac:dyDescent="0.2">
      <c r="B62" s="182" t="str">
        <f>Swaps!L37</f>
        <v>obj_00760#0001</v>
      </c>
      <c r="C62" s="78" t="str">
        <f>_xll.qlRateHelperQuoteName(B62)</f>
        <v>EURAB6E30Y_Quote</v>
      </c>
      <c r="D62" s="79">
        <f>_xll.qlRateHelperQuoteValue($B62,Trigger)</f>
        <v>1.3540000000000002E-2</v>
      </c>
      <c r="E62" s="79">
        <f>_xll.qlSwapRateHelperSpread($B62,Trigger)</f>
        <v>0</v>
      </c>
      <c r="F62" s="80" t="b">
        <v>1</v>
      </c>
      <c r="G62" s="80">
        <v>50</v>
      </c>
      <c r="H62" s="80">
        <v>1</v>
      </c>
      <c r="I62" s="85">
        <f>_xll.qlRateHelperEarliestDate($B62,Trigger)</f>
        <v>42138</v>
      </c>
      <c r="J62" s="86">
        <f>_xll.qlRateHelperLatestDate($B62,Trigger)</f>
        <v>53097</v>
      </c>
      <c r="L62" s="84"/>
    </row>
    <row r="63" spans="2:12" x14ac:dyDescent="0.2">
      <c r="B63" s="182" t="str">
        <f>Swaps!L38</f>
        <v>obj_00745#0001</v>
      </c>
      <c r="C63" s="78" t="str">
        <f>_xll.qlRateHelperQuoteName(B63)</f>
        <v>EURAB6E35Y_Quote</v>
      </c>
      <c r="D63" s="79">
        <f>_xll.qlRateHelperQuoteValue($B63,Trigger)</f>
        <v>1.363E-2</v>
      </c>
      <c r="E63" s="79">
        <f>_xll.qlSwapRateHelperSpread($B63,Trigger)</f>
        <v>0</v>
      </c>
      <c r="F63" s="80" t="b">
        <v>1</v>
      </c>
      <c r="G63" s="80">
        <v>50</v>
      </c>
      <c r="H63" s="80">
        <v>1</v>
      </c>
      <c r="I63" s="85">
        <f>_xll.qlRateHelperEarliestDate($B63,Trigger)</f>
        <v>42138</v>
      </c>
      <c r="J63" s="86">
        <f>_xll.qlRateHelperLatestDate($B63,Trigger)</f>
        <v>54924</v>
      </c>
      <c r="L63" s="84"/>
    </row>
    <row r="64" spans="2:12" x14ac:dyDescent="0.2">
      <c r="B64" s="182" t="str">
        <f>Swaps!L39</f>
        <v>obj_00744#0001</v>
      </c>
      <c r="C64" s="78" t="str">
        <f>_xll.qlRateHelperQuoteName(B64)</f>
        <v>EURAB6E40Y_Quote</v>
      </c>
      <c r="D64" s="79">
        <f>_xll.qlRateHelperQuoteValue($B64,Trigger)</f>
        <v>1.362E-2</v>
      </c>
      <c r="E64" s="79">
        <f>_xll.qlSwapRateHelperSpread($B64,Trigger)</f>
        <v>0</v>
      </c>
      <c r="F64" s="80" t="b">
        <v>1</v>
      </c>
      <c r="G64" s="80">
        <v>50</v>
      </c>
      <c r="H64" s="80">
        <v>1</v>
      </c>
      <c r="I64" s="85">
        <f>_xll.qlRateHelperEarliestDate($B64,Trigger)</f>
        <v>42138</v>
      </c>
      <c r="J64" s="86">
        <f>_xll.qlRateHelperLatestDate($B64,Trigger)</f>
        <v>56748</v>
      </c>
      <c r="L64" s="84"/>
    </row>
    <row r="65" spans="2:12" x14ac:dyDescent="0.2">
      <c r="B65" s="182" t="str">
        <f>Swaps!L40</f>
        <v>obj_0074c#0001</v>
      </c>
      <c r="C65" s="78" t="str">
        <f>_xll.qlRateHelperQuoteName(B65)</f>
        <v>EURAB6E50Y_Quote</v>
      </c>
      <c r="D65" s="79">
        <f>_xll.qlRateHelperQuoteValue($B65,Trigger)</f>
        <v>1.3180000000000001E-2</v>
      </c>
      <c r="E65" s="79">
        <f>_xll.qlSwapRateHelperSpread($B65,Trigger)</f>
        <v>0</v>
      </c>
      <c r="F65" s="80" t="b">
        <v>1</v>
      </c>
      <c r="G65" s="80">
        <v>50</v>
      </c>
      <c r="H65" s="80">
        <v>1</v>
      </c>
      <c r="I65" s="85">
        <f>_xll.qlRateHelperEarliestDate($B65,Trigger)</f>
        <v>42138</v>
      </c>
      <c r="J65" s="86">
        <f>_xll.qlRateHelperLatestDate($B65,Trigger)</f>
        <v>60401</v>
      </c>
      <c r="L65" s="84"/>
    </row>
    <row r="66" spans="2:12" x14ac:dyDescent="0.2">
      <c r="B66" s="183" t="str">
        <f>Swaps!L41</f>
        <v>obj_00754#0001</v>
      </c>
      <c r="C66" s="81" t="str">
        <f>_xll.qlRateHelperQuoteName(B66)</f>
        <v>EURAB6E60Y_Quote</v>
      </c>
      <c r="D66" s="82">
        <f>_xll.qlRateHelperQuoteValue($B66,Trigger)</f>
        <v>1.303E-2</v>
      </c>
      <c r="E66" s="82">
        <f>_xll.qlSwapRateHelperSpread($B66,Trigger)</f>
        <v>0</v>
      </c>
      <c r="F66" s="83" t="b">
        <v>1</v>
      </c>
      <c r="G66" s="83">
        <v>50</v>
      </c>
      <c r="H66" s="83">
        <v>1</v>
      </c>
      <c r="I66" s="87">
        <f>_xll.qlRateHelperEarliestDate($B66,Trigger)</f>
        <v>42138</v>
      </c>
      <c r="J66" s="88">
        <f>_xll.qlRateHelperLatestDate($B66,Trigger)</f>
        <v>64053</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_xll.qlRateHelperLatestDate($B67,Trigger)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_xll.qlRateHelperLatestDate($B68,Trigger)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_xll.qlRateHelperLatestDate($B69,Trigger)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_xll.qlRateHelperLatestDate($B70,Trigger)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_xll.qlRateHelperLatestDate($B71,Trigger)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_xll.qlRateHelperLatestDate($B72,Trigger)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_xll.qlRateHelperLatestDate($B73,Trigger)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_xll.qlRateHelperLatestDate($B74,Trigger)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_xll.qlRateHelperLatestDate($B75,Trigger)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_xll.qlRateHelperLatestDate($B76,Trigger)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_xll.qlRateHelperLatestDate($B77,Trigger)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_xll.qlRateHelperLatestDate($B78,Trigger)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_xll.qlRateHelperLatestDate($B79,Trigger)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_xll.qlRateHelperLatestDate($B80,Trigger)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_xll.qlRateHelperLatestDate($B81,Trigger)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_xll.qlRateHelperLatestDate($B82,Trigger)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_xll.qlRateHelperLatestDate($B83,Trigger)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_xll.qlRateHelperLatestDate($B84,Trigger)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_xll.qlRateHelperLatestDate($B85,Trigger)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_xll.qlRateHelperLatestDate($B86,Trigger)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_xll.qlRateHelperLatestDate($B87,Trigger)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_xll.qlRateHelperLatestDate($B88,Trigger)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_xll.qlRateHelperLatestDate($B89,Trigger)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_xll.qlRateHelperLatestDate($B90,Trigger)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_xll.qlRateHelperLatestDate($B91,Trigger)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_xll.qlRateHelperLatestDate($B92,Trigger)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_xll.qlRateHelperLatestDate($B93,Trigger)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_xll.qlRateHelperLatestDate($B94,Trigger)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_xll.qlRateHelperLatestDate($B95,Trigger)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_xll.qlRateHelperLatestDate($B96,Trigger)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_xll.qlRateHelperLatestDate($B97,Trigger)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_xll.qlRateHelperLatestDate($B98,Trigger)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_xll.qlRateHelperLatestDate($B99,Trigger)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_xll.qlRateHelperLatestDate($B100,Trigger)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_xll.qlRateHelperLatestDate($B101,Trigger)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_xll.qlRateHelperLatestDate($B102,Trigger)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_xll.qlRateHelperLatestDate($B103,Trigger)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_xll.qlRateHelperLatestDate($B104,Trigger)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_xll.qlRateHelperLatestDate($B105,Trigger)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_xll.qlRateHelperLatestDate($B106,Trigger)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_xll.qlRateHelperLatestDate($B107,Trigger)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_xll.qlRateHelperLatestDate($B108,Trigger)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_xll.qlRateHelperLatestDate($B109,Trigger)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_xll.qlRateHelperLatestDate($B110,Trigger)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_xll.qlRateHelperLatestDate($B111,Trigger)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_xll.qlRateHelperLatestDate($B112,Trigger)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_xll.qlRateHelperLatestDate($B113,Trigger)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_xll.qlRateHelperLatestDate($B114,Trigger)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_xll.qlRateHelperLatestDate($B115,Trigger)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_xll.qlRateHelperLatestDate($B116,Trigger)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_xll.qlRateHelperLatestDate($B117,Trigger)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_xll.qlRateHelperLatestDate($B118,Trigger)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_xll.qlRateHelperLatestDate($B119,Trigger)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_xll.qlRateHelperLatestDate($B120,Trigger)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_xll.qlRateHelperLatestDate($B121,Trigger)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_xll.qlRateHelperLatestDate($B122,Trigger)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_xll.qlRateHelperLatestDate($B123,Trigger)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_xll.qlRateHelperLatestDate($B124,Trigger)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_xll.qlRateHelperLatestDate($B125,Trigger)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_xll.qlRateHelperLatestDate($B126,Trigger)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_xll.qlRateHelperLatestDate($B127,Trigger)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_xll.qlRateHelperLatestDate($B128,Trigger)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_xll.qlRateHelperLatestDate($B129,Trigger)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_xll.qlRateHelperLatestDate($B130,Trigger)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_xll.qlRateHelperLatestDate($B131,Trigger)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_xll.qlRateHelperLatestDate($B132,Trigger)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_xll.qlRateHelperLatestDate($B133,Trigger)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_xll.qlRateHelperLatestDate($B134,Trigger)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_xll.qlRateHelperLatestDate($B135,Trigger)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_xll.qlRateHelperLatestDate($B136,Trigger)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_xll.qlRateHelperLatestDate($B137,Trigger)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_xll.qlRateHelperLatestDate($B138,Trigger)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_xll.qlRateHelperLatestDate($B139,Trigger)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_xll.qlRateHelperLatestDate($B140,Trigger)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_xll.qlRateHelperLatestDate($B141,Trigger)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_xll.qlRateHelperLatestDate($B142,Trigger)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_xll.qlRateHelperLatestDate($B143,Trigger)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_xll.qlRateHelperLatestDate($B144,Trigger)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_xll.qlRateHelperLatestDate($B145,Trigger)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_xll.qlRateHelperLatestDate($B146,Trigger)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_xll.qlRateHelperLatestDate($B147,Trigger)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_xll.qlRateHelperLatestDate($B148,Trigger)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_xll.qlRateHelperLatestDate($B149,Trigger)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_xll.qlRateHelperLatestDate($B150,Trigger)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_xll.qlRateHelperLatestDate($B151,Trigger)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_xll.qlRateHelperLatestDate($B152,Trigger)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_xll.qlRateHelperLatestDate($B153,Trigger)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_xll.qlRateHelperLatestDate($B154,Trigger)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_xll.qlRateHelperLatestDate($B155,Trigger)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_xll.qlRateHelperLatestDate($B156,Trigger)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_xll.qlRateHelperLatestDate($B157,Trigger)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_xll.qlRateHelperLatestDate($B158,Trigger)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_xll.qlRateHelperLatestDate($B159,Trigger)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_xll.qlRateHelperLatestDate($B160,Trigger)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_xll.qlRateHelperLatestDate($B161,Trigger)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_xll.qlRateHelperLatestDate($B162,Trigger)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_xll.qlRateHelperLatestDate($B163,Trigger)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_xll.qlRateHelperLatestDate($B164,Trigger)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_xll.qlRateHelperLatestDate($B165,Trigger)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_xll.qlRateHelperLatestDate($B166,Trigger)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_xll.qlRateHelperLatestDate($B167,Trigger)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_xll.qlRateHelperLatestDate($B168,Trigger)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_xll.qlRateHelperLatestDate($B169,Trigger)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_xll.qlRateHelperLatestDate($B170,Trigger)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_xll.qlRateHelperLatestDate($B171,Trigger)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_xll.qlRateHelperLatestDate($B172,Trigger)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_xll.qlRateHelperLatestDate($B173,Trigger)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_xll.qlRateHelperLatestDate($B174,Trigger)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_xll.qlRateHelperLatestDate($B175,Trigger)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_xll.qlRateHelperLatestDate($B176,Trigger)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_xll.qlRateHelperLatestDate($B177,Trigger)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_xll.qlRateHelperLatestDate($B178,Trigger)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_xll.qlRateHelperLatestDate($B179,Trigger)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_xll.qlRateHelperLatestDate($B180,Trigger)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_xll.qlRateHelperLatestDate($B181,Trigger)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_xll.qlRateHelperLatestDate($B182,Trigger)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_xll.qlRateHelperLatestDate($B183,Trigger)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_xll.qlRateHelperLatestDate($B184,Trigger)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_xll.qlRateHelperLatestDate($B185,Trigger)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_xll.qlRateHelperLatestDate($B186,Trigger)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_xll.qlRateHelperLatestDate($B187,Trigger)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_xll.qlRateHelperLatestDate($B188,Trigger)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_xll.qlRateHelperLatestDate($B189,Trigger)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_xll.qlRateHelperLatestDate($B190,Trigger)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_xll.qlRateHelperLatestDate($B191,Trigger)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_xll.qlRateHelperLatestDate($B192,Trigger)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_xll.qlRateHelperLatestDate($B193,Trigger)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_xll.qlRateHelperLatestDate($B194,Trigger)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_xll.qlRateHelperLatestDate($B195,Trigger)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_xll.qlRateHelperLatestDate($B196,Trigger)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_xll.qlRateHelperLatestDate($B197,Trigger)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_xll.qlRateHelperLatestDate($B198,Trigger)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_xll.qlRateHelperLatestDate($B199,Trigger)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_xll.qlRateHelperLatestDate($B200,Trigger)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_xll.qlRateHelperLatestDate($B201,Trigger)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_xll.qlRateHelperLatestDate($B202,Trigger)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_xll.qlRateHelperLatestDate($B203,Trigger)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_xll.qlRateHelperLatestDate($B204,Trigger)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_xll.qlRateHelperLatestDate($B205,Trigger)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_xll.qlRateHelperLatestDate($B206,Trigger)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_xll.qlRateHelperLatestDate($B207,Trigger)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_xll.qlRateHelperLatestDate($B208,Trigger)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_xll.qlRateHelperLatestDate($B209,Trigger)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_xll.qlRateHelperLatestDate($B210,Trigger)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_xll.qlRateHelperLatestDate($B211,Trigger)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_xll.qlRateHelperLatestDate($B212,Trigger)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_xll.qlRateHelperLatestDate($B213,Trigger)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_xll.qlRateHelperLatestDate($B214,Trigger)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_xll.qlRateHelperLatestDate($B215,Trigger)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_xll.qlRateHelperLatestDate($B216,Trigger)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_xll.qlRateHelperLatestDate($B217,Trigger)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_xll.qlRateHelperLatestDate($B218,Trigger)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_xll.qlRateHelperLatestDate($B219,Trigger)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_xll.qlRateHelperLatestDate($B220,Trigger)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_xll.qlRateHelperLatestDate($B221,Trigger)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_xll.qlRateHelperLatestDate($B222,Trigger)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_xll.qlRateHelperLatestDate($B223,Trigger)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_xll.qlRateHelperLatestDate($B224,Trigger)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_xll.qlRateHelperLatestDate($B225,Trigger)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_xll.qlRateHelperLatestDate($B226,Trigger)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_xll.qlRateHelperLatestDate($B227,Trigger)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_xll.qlRateHelperLatestDate($B228,Trigger)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_xll.qlRateHelperLatestDate($B229,Trigger)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_xll.qlRateHelperLatestDate($B230,Trigger)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_xll.qlRateHelperLatestDate($B231,Trigger)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_xll.qlRateHelperLatestDate($B232,Trigger)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_xll.qlRateHelperLatestDate($B233,Trigger)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_xll.qlRateHelperLatestDate($B234,Trigger)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_xll.qlRateHelperLatestDate($B235,Trigger)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_xll.qlRateHelperLatestDate($B236,Trigger)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_xll.qlRateHelperLatestDate($B237,Trigger)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_xll.qlRateHelperLatestDate($B238,Trigger)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_xll.qlRateHelperLatestDate($B239,Trigger)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_xll.qlRateHelperLatestDate($B240,Trigger)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_xll.qlRateHelperLatestDate($B241,Trigger)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_xll.qlRateHelperLatestDate($B242,Trigger)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_xll.qlRateHelperLatestDate($B243,Trigger)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_xll.qlRateHelperLatestDate($B244,Trigger)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_xll.qlRateHelperLatestDate($B245,Trigger)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_xll.qlRateHelperLatestDate($B246,Trigger)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_xll.qlRateHelperLatestDate($B247,Trigger)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_xll.qlRateHelperLatestDate($B248,Trigger)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_xll.qlRateHelperLatestDate($B249,Trigger)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_xll.qlRateHelperLatestDate($B250,Trigger)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_xll.qlRateHelperLatestDate($B251,Trigger)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_xll.qlRateHelperLatestDate($B252,Trigger)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_xll.qlRateHelperLatestDate($B253,Trigger)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_xll.qlRateHelperLatestDate($B254,Trigger)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_xll.qlRateHelperLatestDate($B255,Trigger)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_xll.qlRateHelperLatestDate($B256,Trigger)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_xll.qlRateHelperLatestDate($B257,Trigger)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_xll.qlRateHelperLatestDate($B258,Trigger)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_xll.qlRateHelperLatestDate($B259,Trigger)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_xll.qlRateHelperLatestDate($B260,Trigger)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_xll.qlRateHelperLatestDate($B261,Trigger)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_xll.qlRateHelperLatestDate($B262,Trigger)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_xll.qlRateHelperLatestDate($B263,Trigger)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_xll.qlRateHelperLatestDate($B264,Trigger)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_xll.qlRateHelperLatestDate($B265,Trigger)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_xll.qlRateHelperLatestDate($B266,Trigger)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_xll.qlRateHelperLatestDate($B267,Trigger)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_xll.qlRateHelperLatestDate($B268,Trigger)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_xll.qlRateHelperLatestDate($B269,Trigger)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_xll.qlRateHelperLatestDate($B270,Trigger)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_xll.qlRateHelperLatestDate($B271,Trigger)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_xll.qlRateHelperLatestDate($B272,Trigger)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_xll.qlRateHelperLatestDate($B273,Trigger)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_xll.qlRateHelperLatestDate($B274,Trigger)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_xll.qlRateHelperLatestDate($B275,Trigger)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_xll.qlRateHelperLatestDate($B276,Trigger)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_xll.qlRateHelperLatestDate($B277,Trigger)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_xll.qlRateHelperLatestDate($B278,Trigger)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_xll.qlRateHelperLatestDate($B279,Trigger)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_xll.qlRateHelperLatestDate($B280,Trigger)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_xll.qlRateHelperLatestDate($B281,Trigger)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_xll.qlRateHelperLatestDate($B282,Trigger)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_xll.qlRateHelperLatestDate($B283,Trigger)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_xll.qlRateHelperLatestDate($B284,Trigger)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_xll.qlRateHelperLatestDate($B285,Trigger)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_xll.qlRateHelperLatestDate($B286,Trigger)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_xll.qlRateHelperLatestDate($B287,Trigger)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_xll.qlRateHelperLatestDate($B288,Trigger)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_xll.qlRateHelperLatestDate($B289,Trigger)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_xll.qlRateHelperLatestDate($B290,Trigger)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_xll.qlRateHelperLatestDate($B291,Trigger)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_xll.qlRateHelperLatestDate($B292,Trigger)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_xll.qlRateHelperLatestDate($B293,Trigger)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_xll.qlRateHelperLatestDate($B294,Trigger)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_xll.qlRateHelperLatestDate($B295,Trigger)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_xll.qlRateHelperLatestDate($B296,Trigger)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_xll.qlRateHelperLatestDate($B297,Trigger)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_xll.qlRateHelperLatestDate($B298,Trigger)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_xll.qlRateHelperLatestDate($B299,Trigger)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_xll.qlRateHelperLatestDate($B300,Trigger)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_xll.qlRateHelperLatestDate($B301,Trigger)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_xll.qlRateHelperLatestDate($B302,Trigger)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_xll.qlRateHelperLatestDate($B303,Trigger)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_xll.qlRateHelperLatestDate($B304,Trigger)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_xll.qlRateHelperLatestDate($B305,Trigger)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_xll.qlRateHelperLatestDate($B306,Trigger)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_xll.qlRateHelperLatestDate($B307,Trigger)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_xll.qlRateHelperLatestDate($B308,Trigger)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_xll.qlRateHelperLatestDate($B309,Trigger)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_xll.qlRateHelperLatestDate($B310,Trigger)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_xll.qlRateHelperLatestDate($B311,Trigger)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_xll.qlRateHelperLatestDate($B312,Trigger)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_xll.qlRateHelperLatestDate($B313,Trigger)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_xll.qlRateHelperLatestDate($B314,Trigger)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_xll.qlRateHelperLatestDate($B315,Trigger)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_xll.qlRateHelperLatestDate($B316,Trigger)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_xll.qlRateHelperLatestDate($B317,Trigger)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_xll.qlRateHelperLatestDate($B318,Trigger)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_xll.qlRateHelperLatestDate($B319,Trigger)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_xll.qlRateHelperLatestDate($B320,Trigger)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_xll.qlRateHelperLatestDate($B321,Trigger)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_xll.qlRateHelperLatestDate($B322,Trigger)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_xll.qlRateHelperLatestDate($B323,Trigger)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_xll.qlRateHelperLatestDate($B324,Trigger)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_xll.qlRateHelperLatestDate($B325,Trigger)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_xll.qlRateHelperLatestDate($B326,Trigger)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_xll.qlRateHelperLatestDate($B327,Trigger)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_xll.qlRateHelperLatestDate($B328,Trigger)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_xll.qlRateHelperLatestDate($B329,Trigger)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_xll.qlRateHelperLatestDate($B330,Trigger)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_xll.qlRateHelperLatestDate($B331,Trigger)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_xll.qlRateHelperLatestDate($B332,Trigger)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_xll.qlRateHelperLatestDate($B333,Trigger)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_xll.qlRateHelperLatestDate($B334,Trigger)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_xll.qlRateHelperLatestDate($B335,Trigger)</f>
        <v>#NUM!</v>
      </c>
      <c r="L335" s="84"/>
    </row>
    <row r="336" spans="2:12" x14ac:dyDescent="0.2">
      <c r="B336" s="183" t="str">
        <f>ForwardSwaps!K275</f>
        <v>obj_00730#0001</v>
      </c>
      <c r="C336" s="81" t="str">
        <f>_xll.qlRateHelperQuoteName(B336)</f>
        <v>EUR15F30Y_Quote</v>
      </c>
      <c r="D336" s="82">
        <f>_xll.qlRateHelperQuoteValue($B336,Trigger)</f>
        <v>1.4459999999999999E-2</v>
      </c>
      <c r="E336" s="82">
        <f>_xll.qlSwapRateHelperSpread($B336,Trigger)</f>
        <v>0</v>
      </c>
      <c r="F336" s="83" t="b">
        <v>1</v>
      </c>
      <c r="G336" s="83">
        <v>50</v>
      </c>
      <c r="H336" s="83">
        <v>1</v>
      </c>
      <c r="I336" s="87">
        <f>_xll.qlRateHelperEarliestDate($B336,Trigger)</f>
        <v>47617</v>
      </c>
      <c r="J336" s="88">
        <f>_xll.qlRateHelperLatestDate($B336,Trigger)</f>
        <v>58575</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_xll.qlRateHelperLatestDate($B337,Trigger)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_xll.qlRateHelperLatestDate($B338,Trigger)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_xll.qlRateHelperLatestDate($B339,Trigger)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_xll.qlRateHelperLatestDate($B340,Trigger)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_xll.qlRateHelperLatestDate($B341,Trigger)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_xll.qlRateHelperLatestDate($B342,Trigger)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_xll.qlRateHelperLatestDate($B343,Trigger)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_xll.qlRateHelperLatestDate($B344,Trigger)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_xll.qlRateHelperLatestDate($B345,Trigger)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_xll.qlRateHelperLatestDate($B346,Trigger)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_xll.qlRateHelperLatestDate($B347,Trigger)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_xll.qlRateHelperLatestDate($B348,Trigger)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_xll.qlRateHelperLatestDate($B349,Trigger)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_xll.qlRateHelperLatestDate($B350,Trigger)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_xll.qlRateHelperLatestDate($B351,Trigger)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_xll.qlRateHelperLatestDate($B352,Trigger)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_xll.qlRateHelperLatestDate($B353,Trigger)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_xll.qlRateHelperLatestDate($B354,Trigger)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_xll.qlRateHelperLatestDate($B355,Trigger)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_xll.qlRateHelperLatestDate($B356,Trigger)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_xll.qlRateHelperLatestDate($B357,Trigger)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_xll.qlRateHelperLatestDate($B358,Trigger)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_xll.qlRateHelperLatestDate($B359,Trigger)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_xll.qlRateHelperLatestDate($B360,Trigger)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_xll.qlRateHelperLatestDate($B361,Trigger)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_xll.qlRateHelperLatestDate($B362,Trigger)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_xll.qlRateHelperLatestDate($B363,Trigger)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_xll.qlRateHelperLatestDate($B364,Trigger)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_xll.qlRateHelperLatestDate($B365,Trigger)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_xll.qlRateHelperLatestDate($B366,Trigger)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_xll.qlRateHelperLatestDate($B367,Trigger)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_xll.qlRateHelperLatestDate($B368,Trigger)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_xll.qlRateHelperLatestDate($B369,Trigger)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_xll.qlRateHelperLatestDate($B370,Trigger)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_xll.qlRateHelperLatestDate($B371,Trigger)</f>
        <v>#NUM!</v>
      </c>
      <c r="L371" s="84"/>
    </row>
    <row r="372" spans="2:12" x14ac:dyDescent="0.2">
      <c r="B372" s="183" t="str">
        <f>ForwardSwaps!K311</f>
        <v>obj_0072f#0001</v>
      </c>
      <c r="C372" s="81" t="str">
        <f>_xll.qlRateHelperQuoteName(B372)</f>
        <v>EUR25F30Y_Quote</v>
      </c>
      <c r="D372" s="82">
        <f>_xll.qlRateHelperQuoteValue($B372,Trigger)</f>
        <v>1.2709999999999999E-2</v>
      </c>
      <c r="E372" s="82">
        <f>_xll.qlSwapRateHelperSpread($B372,Trigger)</f>
        <v>0</v>
      </c>
      <c r="F372" s="83" t="b">
        <v>1</v>
      </c>
      <c r="G372" s="83">
        <v>50</v>
      </c>
      <c r="H372" s="83">
        <v>1</v>
      </c>
      <c r="I372" s="87">
        <f>_xll.qlRateHelperEarliestDate($B372,Trigger)</f>
        <v>51270</v>
      </c>
      <c r="J372" s="88">
        <f>_xll.qlRateHelperLatestDate($B372,Trigger)</f>
        <v>62227</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_xll.qlRateHelperLatestDate($B373,Trigger)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_xll.qlRateHelperLatestDate($B374,Trigger)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_xll.qlRateHelperLatestDate($B375,Trigger)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_xll.qlRateHelperLatestDate($B376,Trigger)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_xll.qlRateHelperLatestDate($B377,Trigger)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_xll.qlRateHelperLatestDate($B378,Trigger)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_xll.qlRateHelperLatestDate($B379,Trigger)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_xll.qlRateHelperLatestDate($B380,Trigger)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_xll.qlRateHelperLatestDate($B381,Trigger)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_xll.qlRateHelperLatestDate($B382,Trigger)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_xll.qlRateHelperLatestDate($B383,Trigger)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_xll.qlRateHelperLatestDate($B384,Trigger)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_xll.qlRateHelperLatestDate($B385,Trigger)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_xll.qlRateHelperLatestDate($B386,Trigger)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_xll.qlRateHelperLatestDate($B387,Trigger)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_xll.qlRateHelperLatestDate($B388,Trigger)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_xll.qlRateHelperLatestDate($B389,Trigger)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_xll.qlRateHelperLatestDate($B390,Trigger)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155</v>
      </c>
      <c r="F1" s="18" t="s">
        <v>51</v>
      </c>
      <c r="G1" s="18"/>
      <c r="H1" s="18" t="s">
        <v>38</v>
      </c>
      <c r="I1" s="17" t="s">
        <v>37</v>
      </c>
      <c r="J1" s="3">
        <f t="array" ref="J1:J126">_xll.qlPiecewiseYieldCurveData(YieldCurve)</f>
        <v>7.8015572740381333E-4</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obj_00770</v>
      </c>
      <c r="E2" s="176" t="str">
        <f>_xll.qlRateHelperQuoteName($D2)</f>
        <v>EUR1MD_SYNTH6M_Quote</v>
      </c>
      <c r="F2" s="10">
        <f>_xll.qlRateHelperRate($D2)</f>
        <v>8.3699999999999996E-4</v>
      </c>
      <c r="G2" s="10" t="str">
        <f>IF(ISERROR(_xll.qlSwapRateHelperSpread($D2)),IF(ISERROR(_xll.qlFuturesRateHelperConvexityAdjustment($D2)),"--",_xll.qlFuturesRateHelperConvexityAdjustment($D2)),_xll.qlSwapRateHelperSpread($D2))</f>
        <v>--</v>
      </c>
      <c r="H2" s="9">
        <f>_xll.qlRateHelperEarliestDate($D2)</f>
        <v>42138</v>
      </c>
      <c r="I2" s="8">
        <f>_xll.qlRateHelperLatestDate($D2)</f>
        <v>42170</v>
      </c>
      <c r="J2" s="3">
        <v>7.8015572740381333E-4</v>
      </c>
    </row>
    <row r="3" spans="1:10" x14ac:dyDescent="0.2">
      <c r="A3" s="12" t="s">
        <v>49</v>
      </c>
      <c r="B3" s="14">
        <v>1</v>
      </c>
      <c r="D3" s="11" t="str">
        <v>obj_00771</v>
      </c>
      <c r="E3" s="176" t="str">
        <f>_xll.qlRateHelperQuoteName($D3)</f>
        <v>EUR2MD_SYNTH6M_Quote</v>
      </c>
      <c r="F3" s="10">
        <f>_xll.qlRateHelperRate($D3)</f>
        <v>7.6599999999999997E-4</v>
      </c>
      <c r="G3" s="10" t="str">
        <f>IF(ISERROR(_xll.qlSwapRateHelperSpread($D3)),IF(ISERROR(_xll.qlFuturesRateHelperConvexityAdjustment($D3)),"--",_xll.qlFuturesRateHelperConvexityAdjustment($D3)),_xll.qlSwapRateHelperSpread($D3))</f>
        <v>--</v>
      </c>
      <c r="H3" s="9">
        <f>_xll.qlRateHelperEarliestDate($D3)</f>
        <v>42138</v>
      </c>
      <c r="I3" s="8">
        <f>_xll.qlRateHelperLatestDate($D3)</f>
        <v>42199</v>
      </c>
      <c r="J3" s="3">
        <v>7.4068674449455591E-4</v>
      </c>
    </row>
    <row r="4" spans="1:10" x14ac:dyDescent="0.2">
      <c r="A4" s="12" t="s">
        <v>48</v>
      </c>
      <c r="B4" s="14">
        <v>2</v>
      </c>
      <c r="D4" s="11" t="str">
        <v>obj_0076b</v>
      </c>
      <c r="E4" s="176" t="str">
        <f>_xll.qlRateHelperQuoteName($D4)</f>
        <v>EUR3MD_SYNTH6M_Quote</v>
      </c>
      <c r="F4" s="10">
        <f>_xll.qlRateHelperRate($D4)</f>
        <v>7.1900000000000002E-4</v>
      </c>
      <c r="G4" s="10" t="str">
        <f>IF(ISERROR(_xll.qlSwapRateHelperSpread($D4)),IF(ISERROR(_xll.qlFuturesRateHelperConvexityAdjustment($D4)),"--",_xll.qlFuturesRateHelperConvexityAdjustment($D4)),_xll.qlSwapRateHelperSpread($D4))</f>
        <v>--</v>
      </c>
      <c r="H4" s="9">
        <f>_xll.qlRateHelperEarliestDate($D4)</f>
        <v>42138</v>
      </c>
      <c r="I4" s="8">
        <f>_xll.qlRateHelperLatestDate($D4)</f>
        <v>42230</v>
      </c>
      <c r="J4" s="3">
        <v>6.9281579439361919E-4</v>
      </c>
    </row>
    <row r="5" spans="1:10" x14ac:dyDescent="0.2">
      <c r="A5" s="12" t="s">
        <v>47</v>
      </c>
      <c r="B5" s="13" t="s">
        <v>46</v>
      </c>
      <c r="D5" s="11" t="str">
        <v>obj_0076e</v>
      </c>
      <c r="E5" s="176" t="str">
        <f>_xll.qlRateHelperQuoteName($D5)</f>
        <v>EUR4MD_SYNTH6M_Quote</v>
      </c>
      <c r="F5" s="10">
        <f>_xll.qlRateHelperRate($D5)</f>
        <v>6.9300000000000004E-4</v>
      </c>
      <c r="G5" s="10" t="str">
        <f>IF(ISERROR(_xll.qlSwapRateHelperSpread($D5)),IF(ISERROR(_xll.qlFuturesRateHelperConvexityAdjustment($D5)),"--",_xll.qlFuturesRateHelperConvexityAdjustment($D5)),_xll.qlSwapRateHelperSpread($D5))</f>
        <v>--</v>
      </c>
      <c r="H5" s="9">
        <f>_xll.qlRateHelperEarliestDate($D5)</f>
        <v>42138</v>
      </c>
      <c r="I5" s="8">
        <f>_xll.qlRateHelperLatestDate($D5)</f>
        <v>42261</v>
      </c>
      <c r="J5" s="3">
        <v>6.5298476716701438E-4</v>
      </c>
    </row>
    <row r="6" spans="1:10" x14ac:dyDescent="0.2">
      <c r="A6" s="50"/>
      <c r="B6" s="50"/>
      <c r="D6" s="11" t="str">
        <v>obj_00769</v>
      </c>
      <c r="E6" s="176" t="str">
        <f>_xll.qlRateHelperQuoteName($D6)</f>
        <v>EUR5MD_SYNTH6M_Quote</v>
      </c>
      <c r="F6" s="10">
        <f>_xll.qlRateHelperRate($D6)</f>
        <v>6.8099999999999996E-4</v>
      </c>
      <c r="G6" s="10" t="str">
        <f>IF(ISERROR(_xll.qlSwapRateHelperSpread($D6)),IF(ISERROR(_xll.qlFuturesRateHelperConvexityAdjustment($D6)),"--",_xll.qlFuturesRateHelperConvexityAdjustment($D6)),_xll.qlSwapRateHelperSpread($D6))</f>
        <v>--</v>
      </c>
      <c r="H6" s="9">
        <f>_xll.qlRateHelperEarliestDate($D6)</f>
        <v>42138</v>
      </c>
      <c r="I6" s="8">
        <f>_xll.qlRateHelperLatestDate($D6)</f>
        <v>42291</v>
      </c>
      <c r="J6" s="3">
        <v>5.7465449073298308E-4</v>
      </c>
    </row>
    <row r="7" spans="1:10" x14ac:dyDescent="0.2">
      <c r="A7" s="50"/>
      <c r="B7" s="50"/>
      <c r="D7" s="11" t="str">
        <v>obj_0076d</v>
      </c>
      <c r="E7" s="176" t="str">
        <f>_xll.qlRateHelperQuoteName($D7)</f>
        <v>EUR6MD_SYNTH6M_Quote</v>
      </c>
      <c r="F7" s="10">
        <f>_xll.qlRateHelperRate($D7)</f>
        <v>6.6799999999999997E-4</v>
      </c>
      <c r="G7" s="10" t="str">
        <f>IF(ISERROR(_xll.qlSwapRateHelperSpread($D7)),IF(ISERROR(_xll.qlFuturesRateHelperConvexityAdjustment($D7)),"--",_xll.qlFuturesRateHelperConvexityAdjustment($D7)),_xll.qlSwapRateHelperSpread($D7))</f>
        <v>--</v>
      </c>
      <c r="H7" s="9">
        <f>_xll.qlRateHelperEarliestDate($D7)</f>
        <v>42138</v>
      </c>
      <c r="I7" s="8">
        <f>_xll.qlRateHelperLatestDate($D7)</f>
        <v>42324</v>
      </c>
      <c r="J7" s="3">
        <v>5.3586897098926545E-4</v>
      </c>
    </row>
    <row r="8" spans="1:10" x14ac:dyDescent="0.2">
      <c r="A8" s="50"/>
      <c r="B8" s="50"/>
      <c r="D8" s="11" t="str">
        <v>obj_00733</v>
      </c>
      <c r="E8" s="176" t="str">
        <f>_xll.qlRateHelperQuoteName($D8)</f>
        <v>EUR1x7F_Quote</v>
      </c>
      <c r="F8" s="10">
        <f>_xll.qlRateHelperRate($D8)</f>
        <v>6.3000000000000003E-4</v>
      </c>
      <c r="G8" s="10" t="str">
        <f>IF(ISERROR(_xll.qlSwapRateHelperSpread($D8)),IF(ISERROR(_xll.qlFuturesRateHelperConvexityAdjustment($D8)),"--",_xll.qlFuturesRateHelperConvexityAdjustment($D8)),_xll.qlSwapRateHelperSpread($D8))</f>
        <v>--</v>
      </c>
      <c r="H8" s="9">
        <f>_xll.qlRateHelperEarliestDate($D8)</f>
        <v>42170</v>
      </c>
      <c r="I8" s="8">
        <f>_xll.qlRateHelperLatestDate($D8)</f>
        <v>42353</v>
      </c>
      <c r="J8" s="3">
        <v>5.3051490142400439E-4</v>
      </c>
    </row>
    <row r="9" spans="1:10" x14ac:dyDescent="0.2">
      <c r="A9" s="50"/>
      <c r="D9" s="11" t="str">
        <v>obj_00735</v>
      </c>
      <c r="E9" s="176" t="str">
        <f>_xll.qlRateHelperQuoteName($D9)</f>
        <v>EUR2x8F_Quote</v>
      </c>
      <c r="F9" s="10">
        <f>_xll.qlRateHelperRate($D9)</f>
        <v>6.4000000000000005E-4</v>
      </c>
      <c r="G9" s="10" t="str">
        <f>IF(ISERROR(_xll.qlSwapRateHelperSpread($D9)),IF(ISERROR(_xll.qlFuturesRateHelperConvexityAdjustment($D9)),"--",_xll.qlFuturesRateHelperConvexityAdjustment($D9)),_xll.qlSwapRateHelperSpread($D9))</f>
        <v>--</v>
      </c>
      <c r="H9" s="9">
        <f>_xll.qlRateHelperEarliestDate($D9)</f>
        <v>42199</v>
      </c>
      <c r="I9" s="8">
        <f>_xll.qlRateHelperLatestDate($D9)</f>
        <v>42383</v>
      </c>
      <c r="J9" s="3">
        <v>5.4681876059538823E-4</v>
      </c>
    </row>
    <row r="10" spans="1:10" x14ac:dyDescent="0.2">
      <c r="D10" s="11" t="str">
        <v>obj_00742</v>
      </c>
      <c r="E10" s="176" t="str">
        <f>_xll.qlRateHelperQuoteName($D10)</f>
        <v>EUR3x9F_Quote</v>
      </c>
      <c r="F10" s="10">
        <f>_xll.qlRateHelperRate($D10)</f>
        <v>6.4000000000000005E-4</v>
      </c>
      <c r="G10" s="10" t="str">
        <f>IF(ISERROR(_xll.qlSwapRateHelperSpread($D10)),IF(ISERROR(_xll.qlFuturesRateHelperConvexityAdjustment($D10)),"--",_xll.qlFuturesRateHelperConvexityAdjustment($D10)),_xll.qlSwapRateHelperSpread($D10))</f>
        <v>--</v>
      </c>
      <c r="H10" s="9">
        <f>_xll.qlRateHelperEarliestDate($D10)</f>
        <v>42230</v>
      </c>
      <c r="I10" s="8">
        <f>_xll.qlRateHelperLatestDate($D10)</f>
        <v>42415</v>
      </c>
      <c r="J10" s="3">
        <v>5.4863512064117674E-4</v>
      </c>
    </row>
    <row r="11" spans="1:10" x14ac:dyDescent="0.2">
      <c r="D11" s="11" t="str">
        <v>obj_00739</v>
      </c>
      <c r="E11" s="176" t="str">
        <f>_xll.qlRateHelperQuoteName($D11)</f>
        <v>EUR4x10F_Quote</v>
      </c>
      <c r="F11" s="10">
        <f>_xll.qlRateHelperRate($D11)</f>
        <v>6.4999999999999997E-4</v>
      </c>
      <c r="G11" s="10" t="str">
        <f>IF(ISERROR(_xll.qlSwapRateHelperSpread($D11)),IF(ISERROR(_xll.qlFuturesRateHelperConvexityAdjustment($D11)),"--",_xll.qlFuturesRateHelperConvexityAdjustment($D11)),_xll.qlSwapRateHelperSpread($D11))</f>
        <v>--</v>
      </c>
      <c r="H11" s="9">
        <f>_xll.qlRateHelperEarliestDate($D11)</f>
        <v>42261</v>
      </c>
      <c r="I11" s="8">
        <f>_xll.qlRateHelperLatestDate($D11)</f>
        <v>42443</v>
      </c>
      <c r="J11" s="3">
        <v>5.5731690019094509E-4</v>
      </c>
    </row>
    <row r="12" spans="1:10" x14ac:dyDescent="0.2">
      <c r="D12" s="11" t="str">
        <v>obj_0073a</v>
      </c>
      <c r="E12" s="176" t="str">
        <f>_xll.qlRateHelperQuoteName($D12)</f>
        <v>EUR5x11F_Quote</v>
      </c>
      <c r="F12" s="10">
        <f>_xll.qlRateHelperRate($D12)</f>
        <v>6.8000000000000005E-4</v>
      </c>
      <c r="G12" s="10" t="str">
        <f>IF(ISERROR(_xll.qlSwapRateHelperSpread($D12)),IF(ISERROR(_xll.qlFuturesRateHelperConvexityAdjustment($D12)),"--",_xll.qlFuturesRateHelperConvexityAdjustment($D12)),_xll.qlSwapRateHelperSpread($D12))</f>
        <v>--</v>
      </c>
      <c r="H12" s="9">
        <f>_xll.qlRateHelperEarliestDate($D12)</f>
        <v>42291</v>
      </c>
      <c r="I12" s="8">
        <f>_xll.qlRateHelperLatestDate($D12)</f>
        <v>42474</v>
      </c>
      <c r="J12" s="3">
        <v>5.8029472997986364E-4</v>
      </c>
    </row>
    <row r="13" spans="1:10" x14ac:dyDescent="0.2">
      <c r="D13" s="11" t="str">
        <v>obj_00737</v>
      </c>
      <c r="E13" s="176" t="str">
        <f>_xll.qlRateHelperQuoteName($D13)</f>
        <v>EUR6x12F_Quote</v>
      </c>
      <c r="F13" s="10">
        <f>_xll.qlRateHelperRate($D13)</f>
        <v>7.000000000000001E-4</v>
      </c>
      <c r="G13" s="10" t="str">
        <f>IF(ISERROR(_xll.qlSwapRateHelperSpread($D13)),IF(ISERROR(_xll.qlFuturesRateHelperConvexityAdjustment($D13)),"--",_xll.qlFuturesRateHelperConvexityAdjustment($D13)),_xll.qlSwapRateHelperSpread($D13))</f>
        <v>--</v>
      </c>
      <c r="H13" s="9">
        <f>_xll.qlRateHelperEarliestDate($D13)</f>
        <v>42324</v>
      </c>
      <c r="I13" s="8">
        <f>_xll.qlRateHelperLatestDate($D13)</f>
        <v>42506</v>
      </c>
      <c r="J13" s="3">
        <v>5.9322332428944863E-4</v>
      </c>
    </row>
    <row r="14" spans="1:10" x14ac:dyDescent="0.2">
      <c r="D14" s="11" t="str">
        <v>obj_00740</v>
      </c>
      <c r="E14" s="176" t="str">
        <f>_xll.qlRateHelperQuoteName($D14)</f>
        <v>EUR7x13F_Quote</v>
      </c>
      <c r="F14" s="10">
        <f>_xll.qlRateHelperRate($D14)</f>
        <v>7.2000000000000005E-4</v>
      </c>
      <c r="G14" s="10" t="str">
        <f>IF(ISERROR(_xll.qlSwapRateHelperSpread($D14)),IF(ISERROR(_xll.qlFuturesRateHelperConvexityAdjustment($D14)),"--",_xll.qlFuturesRateHelperConvexityAdjustment($D14)),_xll.qlSwapRateHelperSpread($D14))</f>
        <v>--</v>
      </c>
      <c r="H14" s="9">
        <f>_xll.qlRateHelperEarliestDate($D14)</f>
        <v>42352</v>
      </c>
      <c r="I14" s="8">
        <f>_xll.qlRateHelperLatestDate($D14)</f>
        <v>42535</v>
      </c>
      <c r="J14" s="3">
        <v>6.0506253066851202E-4</v>
      </c>
    </row>
    <row r="15" spans="1:10" x14ac:dyDescent="0.2">
      <c r="D15" s="11" t="str">
        <v>obj_0073c</v>
      </c>
      <c r="E15" s="176" t="str">
        <f>_xll.qlRateHelperQuoteName($D15)</f>
        <v>EUR8x14F_Quote</v>
      </c>
      <c r="F15" s="10">
        <f>_xll.qlRateHelperRate($D15)</f>
        <v>7.7000000000000018E-4</v>
      </c>
      <c r="G15" s="10" t="str">
        <f>IF(ISERROR(_xll.qlSwapRateHelperSpread($D15)),IF(ISERROR(_xll.qlFuturesRateHelperConvexityAdjustment($D15)),"--",_xll.qlFuturesRateHelperConvexityAdjustment($D15)),_xll.qlSwapRateHelperSpread($D15))</f>
        <v>--</v>
      </c>
      <c r="H15" s="9">
        <f>_xll.qlRateHelperEarliestDate($D15)</f>
        <v>42383</v>
      </c>
      <c r="I15" s="8">
        <f>_xll.qlRateHelperLatestDate($D15)</f>
        <v>42565</v>
      </c>
      <c r="J15" s="3">
        <v>6.3703589467271427E-4</v>
      </c>
    </row>
    <row r="16" spans="1:10" x14ac:dyDescent="0.2">
      <c r="D16" s="11" t="str">
        <v>obj_00741</v>
      </c>
      <c r="E16" s="176" t="str">
        <f>_xll.qlRateHelperQuoteName($D16)</f>
        <v>EUR9x15F_Quote</v>
      </c>
      <c r="F16" s="10">
        <f>_xll.qlRateHelperRate($D16)</f>
        <v>8.200000000000002E-4</v>
      </c>
      <c r="G16" s="10" t="str">
        <f>IF(ISERROR(_xll.qlSwapRateHelperSpread($D16)),IF(ISERROR(_xll.qlFuturesRateHelperConvexityAdjustment($D16)),"--",_xll.qlFuturesRateHelperConvexityAdjustment($D16)),_xll.qlSwapRateHelperSpread($D16))</f>
        <v>--</v>
      </c>
      <c r="H16" s="9">
        <f>_xll.qlRateHelperEarliestDate($D16)</f>
        <v>42415</v>
      </c>
      <c r="I16" s="8">
        <f>_xll.qlRateHelperLatestDate($D16)</f>
        <v>42597</v>
      </c>
      <c r="J16" s="3">
        <v>6.5702472486247417E-4</v>
      </c>
    </row>
    <row r="17" spans="4:10" x14ac:dyDescent="0.2">
      <c r="D17" s="11" t="str">
        <v>obj_00736</v>
      </c>
      <c r="E17" s="176" t="str">
        <f>_xll.qlRateHelperQuoteName($D17)</f>
        <v>EUR10x16F_Quote</v>
      </c>
      <c r="F17" s="10">
        <f>_xll.qlRateHelperRate($D17)</f>
        <v>8.7000000000000011E-4</v>
      </c>
      <c r="G17" s="10" t="str">
        <f>IF(ISERROR(_xll.qlSwapRateHelperSpread($D17)),IF(ISERROR(_xll.qlFuturesRateHelperConvexityAdjustment($D17)),"--",_xll.qlFuturesRateHelperConvexityAdjustment($D17)),_xll.qlSwapRateHelperSpread($D17))</f>
        <v>--</v>
      </c>
      <c r="H17" s="9">
        <f>_xll.qlRateHelperEarliestDate($D17)</f>
        <v>42443</v>
      </c>
      <c r="I17" s="8">
        <f>_xll.qlRateHelperLatestDate($D17)</f>
        <v>42627</v>
      </c>
      <c r="J17" s="3">
        <v>6.7854992409285039E-4</v>
      </c>
    </row>
    <row r="18" spans="4:10" x14ac:dyDescent="0.2">
      <c r="D18" s="11" t="str">
        <v>obj_0073b</v>
      </c>
      <c r="E18" s="176" t="str">
        <f>_xll.qlRateHelperQuoteName($D18)</f>
        <v>EUR11x17F_Quote</v>
      </c>
      <c r="F18" s="10">
        <f>_xll.qlRateHelperRate($D18)</f>
        <v>9.5E-4</v>
      </c>
      <c r="G18" s="10" t="str">
        <f>IF(ISERROR(_xll.qlSwapRateHelperSpread($D18)),IF(ISERROR(_xll.qlFuturesRateHelperConvexityAdjustment($D18)),"--",_xll.qlFuturesRateHelperConvexityAdjustment($D18)),_xll.qlSwapRateHelperSpread($D18))</f>
        <v>--</v>
      </c>
      <c r="H18" s="9">
        <f>_xll.qlRateHelperEarliestDate($D18)</f>
        <v>42474</v>
      </c>
      <c r="I18" s="8">
        <f>_xll.qlRateHelperLatestDate($D18)</f>
        <v>42657</v>
      </c>
      <c r="J18" s="3">
        <v>7.1522363343214991E-4</v>
      </c>
    </row>
    <row r="19" spans="4:10" x14ac:dyDescent="0.2">
      <c r="D19" s="11" t="str">
        <v>obj_0073f</v>
      </c>
      <c r="E19" s="176" t="str">
        <f>_xll.qlRateHelperQuoteName($D19)</f>
        <v>EUR12x18F_Quote</v>
      </c>
      <c r="F19" s="10">
        <f>_xll.qlRateHelperRate($D19)</f>
        <v>1.0300000000000001E-3</v>
      </c>
      <c r="G19" s="10" t="str">
        <f>IF(ISERROR(_xll.qlSwapRateHelperSpread($D19)),IF(ISERROR(_xll.qlFuturesRateHelperConvexityAdjustment($D19)),"--",_xll.qlFuturesRateHelperConvexityAdjustment($D19)),_xll.qlSwapRateHelperSpread($D19))</f>
        <v>--</v>
      </c>
      <c r="H19" s="9">
        <f>_xll.qlRateHelperEarliestDate($D19)</f>
        <v>42506</v>
      </c>
      <c r="I19" s="8">
        <f>_xll.qlRateHelperLatestDate($D19)</f>
        <v>42690</v>
      </c>
      <c r="J19" s="3">
        <v>7.4349247204729026E-4</v>
      </c>
    </row>
    <row r="20" spans="4:10" x14ac:dyDescent="0.2">
      <c r="D20" s="11" t="str">
        <v>obj_00731</v>
      </c>
      <c r="E20" s="176" t="str">
        <f>_xll.qlRateHelperQuoteName($D20)</f>
        <v>EUR13x19F_Quote</v>
      </c>
      <c r="F20" s="10">
        <f>_xll.qlRateHelperRate($D20)</f>
        <v>1.1099999999999999E-3</v>
      </c>
      <c r="G20" s="10" t="str">
        <f>IF(ISERROR(_xll.qlSwapRateHelperSpread($D20)),IF(ISERROR(_xll.qlFuturesRateHelperConvexityAdjustment($D20)),"--",_xll.qlFuturesRateHelperConvexityAdjustment($D20)),_xll.qlSwapRateHelperSpread($D20))</f>
        <v>--</v>
      </c>
      <c r="H20" s="9">
        <f>_xll.qlRateHelperEarliestDate($D20)</f>
        <v>42535</v>
      </c>
      <c r="I20" s="8">
        <f>_xll.qlRateHelperLatestDate($D20)</f>
        <v>42718</v>
      </c>
      <c r="J20" s="3">
        <v>7.6914309054447363E-4</v>
      </c>
    </row>
    <row r="21" spans="4:10" x14ac:dyDescent="0.2">
      <c r="D21" s="11" t="str">
        <v>obj_0073d</v>
      </c>
      <c r="E21" s="176" t="str">
        <f>_xll.qlRateHelperQuoteName($D21)</f>
        <v>EUR14x20F_Quote</v>
      </c>
      <c r="F21" s="10">
        <f>_xll.qlRateHelperRate($D21)</f>
        <v>1.23E-3</v>
      </c>
      <c r="G21" s="10" t="str">
        <f>IF(ISERROR(_xll.qlSwapRateHelperSpread($D21)),IF(ISERROR(_xll.qlFuturesRateHelperConvexityAdjustment($D21)),"--",_xll.qlFuturesRateHelperConvexityAdjustment($D21)),_xll.qlSwapRateHelperSpread($D21))</f>
        <v>--</v>
      </c>
      <c r="H21" s="9">
        <f>_xll.qlRateHelperEarliestDate($D21)</f>
        <v>42565</v>
      </c>
      <c r="I21" s="8">
        <f>_xll.qlRateHelperLatestDate($D21)</f>
        <v>42751</v>
      </c>
      <c r="J21" s="3">
        <v>8.0183432969079384E-4</v>
      </c>
    </row>
    <row r="22" spans="4:10" x14ac:dyDescent="0.2">
      <c r="D22" s="11" t="str">
        <v>obj_00738</v>
      </c>
      <c r="E22" s="176" t="str">
        <f>_xll.qlRateHelperQuoteName($D22)</f>
        <v>EUR15x21F_Quote</v>
      </c>
      <c r="F22" s="10">
        <f>_xll.qlRateHelperRate($D22)</f>
        <v>1.34E-3</v>
      </c>
      <c r="G22" s="10" t="str">
        <f>IF(ISERROR(_xll.qlSwapRateHelperSpread($D22)),IF(ISERROR(_xll.qlFuturesRateHelperConvexityAdjustment($D22)),"--",_xll.qlFuturesRateHelperConvexityAdjustment($D22)),_xll.qlSwapRateHelperSpread($D22))</f>
        <v>--</v>
      </c>
      <c r="H22" s="9">
        <f>_xll.qlRateHelperEarliestDate($D22)</f>
        <v>42597</v>
      </c>
      <c r="I22" s="8">
        <f>_xll.qlRateHelperLatestDate($D22)</f>
        <v>42781</v>
      </c>
      <c r="J22" s="3">
        <v>8.3841293442441422E-4</v>
      </c>
    </row>
    <row r="23" spans="4:10" x14ac:dyDescent="0.2">
      <c r="D23" s="11" t="str">
        <v>obj_0073e</v>
      </c>
      <c r="E23" s="176" t="str">
        <f>_xll.qlRateHelperQuoteName($D23)</f>
        <v>EUR16x22F_Quote</v>
      </c>
      <c r="F23" s="10">
        <f>_xll.qlRateHelperRate($D23)</f>
        <v>1.4499999999999999E-3</v>
      </c>
      <c r="G23" s="10" t="str">
        <f>IF(ISERROR(_xll.qlSwapRateHelperSpread($D23)),IF(ISERROR(_xll.qlFuturesRateHelperConvexityAdjustment($D23)),"--",_xll.qlFuturesRateHelperConvexityAdjustment($D23)),_xll.qlSwapRateHelperSpread($D23))</f>
        <v>--</v>
      </c>
      <c r="H23" s="9">
        <f>_xll.qlRateHelperEarliestDate($D23)</f>
        <v>42627</v>
      </c>
      <c r="I23" s="8">
        <f>_xll.qlRateHelperLatestDate($D23)</f>
        <v>42808</v>
      </c>
      <c r="J23" s="3">
        <v>8.737841699550502E-4</v>
      </c>
    </row>
    <row r="24" spans="4:10" x14ac:dyDescent="0.2">
      <c r="D24" s="11" t="str">
        <v>obj_00767</v>
      </c>
      <c r="E24" s="176" t="str">
        <f>_xll.qlRateHelperQuoteName($D24)</f>
        <v>EUR17x23F_Quote</v>
      </c>
      <c r="F24" s="10">
        <f>_xll.qlRateHelperRate($D24)</f>
        <v>1.6099999999999997E-3</v>
      </c>
      <c r="G24" s="10" t="str">
        <f>IF(ISERROR(_xll.qlSwapRateHelperSpread($D24)),IF(ISERROR(_xll.qlFuturesRateHelperConvexityAdjustment($D24)),"--",_xll.qlFuturesRateHelperConvexityAdjustment($D24)),_xll.qlSwapRateHelperSpread($D24))</f>
        <v>--</v>
      </c>
      <c r="H24" s="9">
        <f>_xll.qlRateHelperEarliestDate($D24)</f>
        <v>42657</v>
      </c>
      <c r="I24" s="8">
        <f>_xll.qlRateHelperLatestDate($D24)</f>
        <v>42843</v>
      </c>
      <c r="J24" s="3">
        <v>9.3946143587890257E-4</v>
      </c>
    </row>
    <row r="25" spans="4:10" x14ac:dyDescent="0.2">
      <c r="D25" s="11" t="str">
        <v>obj_00732</v>
      </c>
      <c r="E25" s="176" t="str">
        <f>_xll.qlRateHelperQuoteName($D25)</f>
        <v>EUR18x24F_Quote</v>
      </c>
      <c r="F25" s="10">
        <f>_xll.qlRateHelperRate($D25)</f>
        <v>1.7499999999999998E-3</v>
      </c>
      <c r="G25" s="10" t="str">
        <f>IF(ISERROR(_xll.qlSwapRateHelperSpread($D25)),IF(ISERROR(_xll.qlFuturesRateHelperConvexityAdjustment($D25)),"--",_xll.qlFuturesRateHelperConvexityAdjustment($D25)),_xll.qlSwapRateHelperSpread($D25))</f>
        <v>--</v>
      </c>
      <c r="H25" s="9">
        <f>_xll.qlRateHelperEarliestDate($D25)</f>
        <v>42688</v>
      </c>
      <c r="I25" s="8">
        <f>_xll.qlRateHelperLatestDate($D25)</f>
        <v>42870</v>
      </c>
      <c r="J25" s="3">
        <v>9.8146365719700246E-4</v>
      </c>
    </row>
    <row r="26" spans="4:10" x14ac:dyDescent="0.2">
      <c r="D26" s="11" t="str">
        <v>obj_00746</v>
      </c>
      <c r="E26" s="176" t="str">
        <f>_xll.qlRateHelperQuoteName($D26)</f>
        <v>EURAB6E3Y_Quote</v>
      </c>
      <c r="F26" s="10">
        <f>_xll.qlRateHelperRate($D26)</f>
        <v>1.83E-3</v>
      </c>
      <c r="G26" s="10">
        <f>IF(ISERROR(_xll.qlSwapRateHelperSpread($D26)),IF(ISERROR(_xll.qlFuturesRateHelperConvexityAdjustment($D26)),"--",_xll.qlFuturesRateHelperConvexityAdjustment($D26)),_xll.qlSwapRateHelperSpread($D26))</f>
        <v>0</v>
      </c>
      <c r="H26" s="9">
        <f>_xll.qlRateHelperEarliestDate($D26)</f>
        <v>42138</v>
      </c>
      <c r="I26" s="8">
        <f>_xll.qlRateHelperLatestDate($D26)</f>
        <v>43234</v>
      </c>
      <c r="J26" s="3">
        <v>1.7822536645914022E-3</v>
      </c>
    </row>
    <row r="27" spans="4:10" x14ac:dyDescent="0.2">
      <c r="D27" s="11" t="str">
        <v>obj_00743</v>
      </c>
      <c r="E27" s="176" t="str">
        <f>_xll.qlRateHelperQuoteName($D27)</f>
        <v>EURAB6E4Y_Quote</v>
      </c>
      <c r="F27" s="10">
        <f>_xll.qlRateHelperRate($D27)</f>
        <v>2.8500000000000001E-3</v>
      </c>
      <c r="G27" s="10">
        <f>IF(ISERROR(_xll.qlSwapRateHelperSpread($D27)),IF(ISERROR(_xll.qlFuturesRateHelperConvexityAdjustment($D27)),"--",_xll.qlFuturesRateHelperConvexityAdjustment($D27)),_xll.qlSwapRateHelperSpread($D27))</f>
        <v>0</v>
      </c>
      <c r="H27" s="9">
        <f>_xll.qlRateHelperEarliestDate($D27)</f>
        <v>42138</v>
      </c>
      <c r="I27" s="8">
        <f>_xll.qlRateHelperLatestDate($D27)</f>
        <v>43599</v>
      </c>
      <c r="J27" s="3">
        <v>2.8128867608270564E-3</v>
      </c>
    </row>
    <row r="28" spans="4:10" x14ac:dyDescent="0.2">
      <c r="D28" s="11" t="str">
        <v>obj_00755</v>
      </c>
      <c r="E28" s="176" t="str">
        <f>_xll.qlRateHelperQuoteName($D28)</f>
        <v>EURAB6E5Y_Quote</v>
      </c>
      <c r="F28" s="10">
        <f>_xll.qlRateHelperRate($D28)</f>
        <v>4.0200000000000001E-3</v>
      </c>
      <c r="G28" s="10">
        <f>IF(ISERROR(_xll.qlSwapRateHelperSpread($D28)),IF(ISERROR(_xll.qlFuturesRateHelperConvexityAdjustment($D28)),"--",_xll.qlFuturesRateHelperConvexityAdjustment($D28)),_xll.qlSwapRateHelperSpread($D28))</f>
        <v>0</v>
      </c>
      <c r="H28" s="9">
        <f>_xll.qlRateHelperEarliestDate($D28)</f>
        <v>42138</v>
      </c>
      <c r="I28" s="8">
        <f>_xll.qlRateHelperLatestDate($D28)</f>
        <v>43965</v>
      </c>
      <c r="J28" s="3">
        <v>3.9894451141002114E-3</v>
      </c>
    </row>
    <row r="29" spans="4:10" x14ac:dyDescent="0.2">
      <c r="D29" s="11" t="str">
        <v>obj_00766</v>
      </c>
      <c r="E29" s="176" t="str">
        <f>_xll.qlRateHelperQuoteName($D29)</f>
        <v>EURAB6E6Y_Quote</v>
      </c>
      <c r="F29" s="10">
        <f>_xll.qlRateHelperRate($D29)</f>
        <v>5.2199999999999998E-3</v>
      </c>
      <c r="G29" s="10">
        <f>IF(ISERROR(_xll.qlSwapRateHelperSpread($D29)),IF(ISERROR(_xll.qlFuturesRateHelperConvexityAdjustment($D29)),"--",_xll.qlFuturesRateHelperConvexityAdjustment($D29)),_xll.qlSwapRateHelperSpread($D29))</f>
        <v>0</v>
      </c>
      <c r="H29" s="9">
        <f>_xll.qlRateHelperEarliestDate($D29)</f>
        <v>42138</v>
      </c>
      <c r="I29" s="8">
        <f>_xll.qlRateHelperLatestDate($D29)</f>
        <v>44330</v>
      </c>
      <c r="J29" s="3">
        <v>5.2002529217535544E-3</v>
      </c>
    </row>
    <row r="30" spans="4:10" x14ac:dyDescent="0.2">
      <c r="D30" s="11" t="str">
        <v>obj_00751</v>
      </c>
      <c r="E30" s="176" t="str">
        <f>_xll.qlRateHelperQuoteName($D30)</f>
        <v>EURAB6E7Y_Quote</v>
      </c>
      <c r="F30" s="10">
        <f>_xll.qlRateHelperRate($D30)</f>
        <v>6.4200000000000004E-3</v>
      </c>
      <c r="G30" s="10">
        <f>IF(ISERROR(_xll.qlSwapRateHelperSpread($D30)),IF(ISERROR(_xll.qlFuturesRateHelperConvexityAdjustment($D30)),"--",_xll.qlFuturesRateHelperConvexityAdjustment($D30)),_xll.qlSwapRateHelperSpread($D30))</f>
        <v>0</v>
      </c>
      <c r="H30" s="9">
        <f>_xll.qlRateHelperEarliestDate($D30)</f>
        <v>42138</v>
      </c>
      <c r="I30" s="8">
        <f>_xll.qlRateHelperLatestDate($D30)</f>
        <v>44697</v>
      </c>
      <c r="J30" s="3">
        <v>6.4159545395612774E-3</v>
      </c>
    </row>
    <row r="31" spans="4:10" x14ac:dyDescent="0.2">
      <c r="D31" s="11" t="str">
        <v>obj_0075b</v>
      </c>
      <c r="E31" s="176" t="str">
        <f>_xll.qlRateHelperQuoteName($D31)</f>
        <v>EURAB6E8Y_Quote</v>
      </c>
      <c r="F31" s="10">
        <f>_xll.qlRateHelperRate($D31)</f>
        <v>7.5100000000000002E-3</v>
      </c>
      <c r="G31" s="10">
        <f>IF(ISERROR(_xll.qlSwapRateHelperSpread($D31)),IF(ISERROR(_xll.qlFuturesRateHelperConvexityAdjustment($D31)),"--",_xll.qlFuturesRateHelperConvexityAdjustment($D31)),_xll.qlSwapRateHelperSpread($D31))</f>
        <v>0</v>
      </c>
      <c r="H31" s="9">
        <f>_xll.qlRateHelperEarliestDate($D31)</f>
        <v>42138</v>
      </c>
      <c r="I31" s="8">
        <f>_xll.qlRateHelperLatestDate($D31)</f>
        <v>45061</v>
      </c>
      <c r="J31" s="3">
        <v>7.5258444327217988E-3</v>
      </c>
    </row>
    <row r="32" spans="4:10" x14ac:dyDescent="0.2">
      <c r="D32" s="11" t="str">
        <v>obj_00765</v>
      </c>
      <c r="E32" s="176" t="str">
        <f>_xll.qlRateHelperQuoteName($D32)</f>
        <v>EURAB6E9Y_Quote</v>
      </c>
      <c r="F32" s="10">
        <f>_xll.qlRateHelperRate($D32)</f>
        <v>8.4700000000000001E-3</v>
      </c>
      <c r="G32" s="10">
        <f>IF(ISERROR(_xll.qlSwapRateHelperSpread($D32)),IF(ISERROR(_xll.qlFuturesRateHelperConvexityAdjustment($D32)),"--",_xll.qlFuturesRateHelperConvexityAdjustment($D32)),_xll.qlSwapRateHelperSpread($D32))</f>
        <v>0</v>
      </c>
      <c r="H32" s="9">
        <f>_xll.qlRateHelperEarliestDate($D32)</f>
        <v>42138</v>
      </c>
      <c r="I32" s="8">
        <f>_xll.qlRateHelperLatestDate($D32)</f>
        <v>45426</v>
      </c>
      <c r="J32" s="3">
        <v>8.5061394178484098E-3</v>
      </c>
    </row>
    <row r="33" spans="4:10" x14ac:dyDescent="0.2">
      <c r="D33" s="11" t="str">
        <v>obj_00749</v>
      </c>
      <c r="E33" s="176" t="str">
        <f>_xll.qlRateHelperQuoteName($D33)</f>
        <v>EURAB6E10Y_Quote</v>
      </c>
      <c r="F33" s="10">
        <f>_xll.qlRateHelperRate($D33)</f>
        <v>9.2700000000000005E-3</v>
      </c>
      <c r="G33" s="10">
        <f>IF(ISERROR(_xll.qlSwapRateHelperSpread($D33)),IF(ISERROR(_xll.qlFuturesRateHelperConvexityAdjustment($D33)),"--",_xll.qlFuturesRateHelperConvexityAdjustment($D33)),_xll.qlSwapRateHelperSpread($D33))</f>
        <v>0</v>
      </c>
      <c r="H33" s="9">
        <f>_xll.qlRateHelperEarliestDate($D33)</f>
        <v>42138</v>
      </c>
      <c r="I33" s="8">
        <f>_xll.qlRateHelperLatestDate($D33)</f>
        <v>45791</v>
      </c>
      <c r="J33" s="3">
        <v>9.3291599041692222E-3</v>
      </c>
    </row>
    <row r="34" spans="4:10" x14ac:dyDescent="0.2">
      <c r="D34" s="11" t="str">
        <v>obj_00759</v>
      </c>
      <c r="E34" s="176" t="str">
        <f>_xll.qlRateHelperQuoteName($D34)</f>
        <v>EURAB6E12Y_Quote</v>
      </c>
      <c r="F34" s="10">
        <f>_xll.qlRateHelperRate($D34)</f>
        <v>1.0620000000000001E-2</v>
      </c>
      <c r="G34" s="10">
        <f>IF(ISERROR(_xll.qlSwapRateHelperSpread($D34)),IF(ISERROR(_xll.qlFuturesRateHelperConvexityAdjustment($D34)),"--",_xll.qlFuturesRateHelperConvexityAdjustment($D34)),_xll.qlSwapRateHelperSpread($D34))</f>
        <v>0</v>
      </c>
      <c r="H34" s="9">
        <f>_xll.qlRateHelperEarliestDate($D34)</f>
        <v>42138</v>
      </c>
      <c r="I34" s="8">
        <f>_xll.qlRateHelperLatestDate($D34)</f>
        <v>46521</v>
      </c>
      <c r="J34" s="3">
        <v>1.0729185448941445E-2</v>
      </c>
    </row>
    <row r="35" spans="4:10" x14ac:dyDescent="0.2">
      <c r="D35" s="11" t="str">
        <v>obj_0074f</v>
      </c>
      <c r="E35" s="176" t="str">
        <f>_xll.qlRateHelperQuoteName($D35)</f>
        <v>EURAB6E15Y_Quote</v>
      </c>
      <c r="F35" s="10">
        <f>_xll.qlRateHelperRate($D35)</f>
        <v>1.196E-2</v>
      </c>
      <c r="G35" s="10">
        <f>IF(ISERROR(_xll.qlSwapRateHelperSpread($D35)),IF(ISERROR(_xll.qlFuturesRateHelperConvexityAdjustment($D35)),"--",_xll.qlFuturesRateHelperConvexityAdjustment($D35)),_xll.qlSwapRateHelperSpread($D35))</f>
        <v>0</v>
      </c>
      <c r="H35" s="9">
        <f>_xll.qlRateHelperEarliestDate($D35)</f>
        <v>42138</v>
      </c>
      <c r="I35" s="8">
        <f>_xll.qlRateHelperLatestDate($D35)</f>
        <v>47617</v>
      </c>
      <c r="J35" s="3">
        <v>1.2128946369217132E-2</v>
      </c>
    </row>
    <row r="36" spans="4:10" x14ac:dyDescent="0.2">
      <c r="D36" s="11" t="str">
        <v>obj_00748</v>
      </c>
      <c r="E36" s="176" t="str">
        <f>_xll.qlRateHelperQuoteName($D36)</f>
        <v>EURAB6E20Y_Quote</v>
      </c>
      <c r="F36" s="10">
        <f>_xll.qlRateHelperRate($D36)</f>
        <v>1.3010000000000001E-2</v>
      </c>
      <c r="G36" s="10">
        <f>IF(ISERROR(_xll.qlSwapRateHelperSpread($D36)),IF(ISERROR(_xll.qlFuturesRateHelperConvexityAdjustment($D36)),"--",_xll.qlFuturesRateHelperConvexityAdjustment($D36)),_xll.qlSwapRateHelperSpread($D36))</f>
        <v>0</v>
      </c>
      <c r="H36" s="9">
        <f>_xll.qlRateHelperEarliestDate($D36)</f>
        <v>42138</v>
      </c>
      <c r="I36" s="8">
        <f>_xll.qlRateHelperLatestDate($D36)</f>
        <v>49443</v>
      </c>
      <c r="J36" s="3">
        <v>1.322212417167285E-2</v>
      </c>
    </row>
    <row r="37" spans="4:10" x14ac:dyDescent="0.2">
      <c r="D37" s="11" t="str">
        <v>obj_00753</v>
      </c>
      <c r="E37" s="176" t="str">
        <f>_xll.qlRateHelperQuoteName($D37)</f>
        <v>EURAB6E25Y_Quote</v>
      </c>
      <c r="F37" s="10">
        <f>_xll.qlRateHelperRate($D37)</f>
        <v>1.3340000000000001E-2</v>
      </c>
      <c r="G37" s="10">
        <f>IF(ISERROR(_xll.qlSwapRateHelperSpread($D37)),IF(ISERROR(_xll.qlFuturesRateHelperConvexityAdjustment($D37)),"--",_xll.qlFuturesRateHelperConvexityAdjustment($D37)),_xll.qlSwapRateHelperSpread($D37))</f>
        <v>0</v>
      </c>
      <c r="H37" s="9">
        <f>_xll.qlRateHelperEarliestDate($D37)</f>
        <v>42138</v>
      </c>
      <c r="I37" s="8">
        <f>_xll.qlRateHelperLatestDate($D37)</f>
        <v>51270</v>
      </c>
      <c r="J37" s="3">
        <v>1.3537610205087428E-2</v>
      </c>
    </row>
    <row r="38" spans="4:10" x14ac:dyDescent="0.2">
      <c r="D38" s="11" t="str">
        <v>obj_00760</v>
      </c>
      <c r="E38" s="176" t="str">
        <f>_xll.qlRateHelperQuoteName($D38)</f>
        <v>EURAB6E30Y_Quote</v>
      </c>
      <c r="F38" s="10">
        <f>_xll.qlRateHelperRate($D38)</f>
        <v>1.3540000000000002E-2</v>
      </c>
      <c r="G38" s="10">
        <f>IF(ISERROR(_xll.qlSwapRateHelperSpread($D38)),IF(ISERROR(_xll.qlFuturesRateHelperConvexityAdjustment($D38)),"--",_xll.qlFuturesRateHelperConvexityAdjustment($D38)),_xll.qlSwapRateHelperSpread($D38))</f>
        <v>0</v>
      </c>
      <c r="H38" s="9">
        <f>_xll.qlRateHelperEarliestDate($D38)</f>
        <v>42138</v>
      </c>
      <c r="I38" s="8">
        <f>_xll.qlRateHelperLatestDate($D38)</f>
        <v>53097</v>
      </c>
      <c r="J38" s="3">
        <v>1.3727029308241096E-2</v>
      </c>
    </row>
    <row r="39" spans="4:10" x14ac:dyDescent="0.2">
      <c r="D39" s="11" t="str">
        <v>obj_00745</v>
      </c>
      <c r="E39" s="176" t="str">
        <f>_xll.qlRateHelperQuoteName($D39)</f>
        <v>EURAB6E35Y_Quote</v>
      </c>
      <c r="F39" s="10">
        <f>_xll.qlRateHelperRate($D39)</f>
        <v>1.363E-2</v>
      </c>
      <c r="G39" s="10">
        <f>IF(ISERROR(_xll.qlSwapRateHelperSpread($D39)),IF(ISERROR(_xll.qlFuturesRateHelperConvexityAdjustment($D39)),"--",_xll.qlFuturesRateHelperConvexityAdjustment($D39)),_xll.qlSwapRateHelperSpread($D39))</f>
        <v>0</v>
      </c>
      <c r="H39" s="9">
        <f>_xll.qlRateHelperEarliestDate($D39)</f>
        <v>42138</v>
      </c>
      <c r="I39" s="8">
        <f>_xll.qlRateHelperLatestDate($D39)</f>
        <v>54924</v>
      </c>
      <c r="J39" s="3">
        <v>1.3797083233304721E-2</v>
      </c>
    </row>
    <row r="40" spans="4:10" x14ac:dyDescent="0.2">
      <c r="D40" s="11" t="str">
        <v>obj_00744</v>
      </c>
      <c r="E40" s="176" t="str">
        <f>_xll.qlRateHelperQuoteName($D40)</f>
        <v>EURAB6E40Y_Quote</v>
      </c>
      <c r="F40" s="10">
        <f>_xll.qlRateHelperRate($D40)</f>
        <v>1.362E-2</v>
      </c>
      <c r="G40" s="10">
        <f>IF(ISERROR(_xll.qlSwapRateHelperSpread($D40)),IF(ISERROR(_xll.qlFuturesRateHelperConvexityAdjustment($D40)),"--",_xll.qlFuturesRateHelperConvexityAdjustment($D40)),_xll.qlSwapRateHelperSpread($D40))</f>
        <v>0</v>
      </c>
      <c r="H40" s="9">
        <f>_xll.qlRateHelperEarliestDate($D40)</f>
        <v>42138</v>
      </c>
      <c r="I40" s="8">
        <f>_xll.qlRateHelperLatestDate($D40)</f>
        <v>56748</v>
      </c>
      <c r="J40" s="3">
        <v>1.375037756124145E-2</v>
      </c>
    </row>
    <row r="41" spans="4:10" x14ac:dyDescent="0.2">
      <c r="D41" s="11" t="str">
        <v>obj_00730</v>
      </c>
      <c r="E41" s="176" t="str">
        <f>_xll.qlRateHelperQuoteName($D41)</f>
        <v>EUR15F30Y_Quote</v>
      </c>
      <c r="F41" s="10">
        <f>_xll.qlRateHelperRate($D41)</f>
        <v>1.4459999999999999E-2</v>
      </c>
      <c r="G41" s="10">
        <f>IF(ISERROR(_xll.qlSwapRateHelperSpread($D41)),IF(ISERROR(_xll.qlFuturesRateHelperConvexityAdjustment($D41)),"--",_xll.qlFuturesRateHelperConvexityAdjustment($D41)),_xll.qlSwapRateHelperSpread($D41))</f>
        <v>0</v>
      </c>
      <c r="H41" s="9">
        <f>_xll.qlRateHelperEarliestDate($D41)</f>
        <v>47617</v>
      </c>
      <c r="I41" s="8">
        <f>_xll.qlRateHelperLatestDate($D41)</f>
        <v>58575</v>
      </c>
      <c r="J41" s="3">
        <v>1.348972438681828E-2</v>
      </c>
    </row>
    <row r="42" spans="4:10" x14ac:dyDescent="0.2">
      <c r="D42" s="11" t="str">
        <v>obj_0074c</v>
      </c>
      <c r="E42" s="176" t="str">
        <f>_xll.qlRateHelperQuoteName($D42)</f>
        <v>EURAB6E50Y_Quote</v>
      </c>
      <c r="F42" s="10">
        <f>_xll.qlRateHelperRate($D42)</f>
        <v>1.3180000000000001E-2</v>
      </c>
      <c r="G42" s="10">
        <f>IF(ISERROR(_xll.qlSwapRateHelperSpread($D42)),IF(ISERROR(_xll.qlFuturesRateHelperConvexityAdjustment($D42)),"--",_xll.qlFuturesRateHelperConvexityAdjustment($D42)),_xll.qlSwapRateHelperSpread($D42))</f>
        <v>0</v>
      </c>
      <c r="H42" s="9">
        <f>_xll.qlRateHelperEarliestDate($D42)</f>
        <v>42138</v>
      </c>
      <c r="I42" s="8">
        <f>_xll.qlRateHelperLatestDate($D42)</f>
        <v>60401</v>
      </c>
      <c r="J42" s="3">
        <v>1.3121235661872913E-2</v>
      </c>
    </row>
    <row r="43" spans="4:10" x14ac:dyDescent="0.2">
      <c r="D43" s="11" t="str">
        <v>obj_0072f</v>
      </c>
      <c r="E43" s="176" t="str">
        <f>_xll.qlRateHelperQuoteName($D43)</f>
        <v>EUR25F30Y_Quote</v>
      </c>
      <c r="F43" s="10">
        <f>_xll.qlRateHelperRate($D43)</f>
        <v>1.2709999999999999E-2</v>
      </c>
      <c r="G43" s="10">
        <f>IF(ISERROR(_xll.qlSwapRateHelperSpread($D43)),IF(ISERROR(_xll.qlFuturesRateHelperConvexityAdjustment($D43)),"--",_xll.qlFuturesRateHelperConvexityAdjustment($D43)),_xll.qlSwapRateHelperSpread($D43))</f>
        <v>0</v>
      </c>
      <c r="H43" s="9">
        <f>_xll.qlRateHelperEarliestDate($D43)</f>
        <v>51270</v>
      </c>
      <c r="I43" s="8">
        <f>_xll.qlRateHelperLatestDate($D43)</f>
        <v>62227</v>
      </c>
      <c r="J43" s="3">
        <v>1.2946772562077262E-2</v>
      </c>
    </row>
    <row r="44" spans="4:10" x14ac:dyDescent="0.2">
      <c r="D44" s="11" t="str">
        <v>obj_00754</v>
      </c>
      <c r="E44" s="176" t="str">
        <f>_xll.qlRateHelperQuoteName($D44)</f>
        <v>EURAB6E60Y_Quote</v>
      </c>
      <c r="F44" s="10">
        <f>_xll.qlRateHelperRate($D44)</f>
        <v>1.303E-2</v>
      </c>
      <c r="G44" s="10">
        <f>IF(ISERROR(_xll.qlSwapRateHelperSpread($D44)),IF(ISERROR(_xll.qlFuturesRateHelperConvexityAdjustment($D44)),"--",_xll.qlFuturesRateHelperConvexityAdjustment($D44)),_xll.qlSwapRateHelperSpread($D44))</f>
        <v>0</v>
      </c>
      <c r="H44" s="9">
        <f>_xll.qlRateHelperEarliestDate($D44)</f>
        <v>42138</v>
      </c>
      <c r="I44" s="8">
        <f>_xll.qlRateHelperLatestDate($D44)</f>
        <v>64053</v>
      </c>
      <c r="J44" s="3">
        <v>1.2912370297122756E-2</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79</v>
      </c>
      <c r="I1" s="297" t="str">
        <f>Currency&amp;"_YC"&amp;$H$1&amp;"RH"</f>
        <v>EUR_YC6MRH</v>
      </c>
      <c r="J1" s="298" t="str">
        <f>$I$1&amp;"_Deposits.xml"</f>
        <v>EUR_YC6MRH_Deposits.xml</v>
      </c>
      <c r="K1" s="50"/>
      <c r="L1" s="282"/>
    </row>
    <row r="2" spans="1:12" ht="23.25" customHeight="1" x14ac:dyDescent="0.25">
      <c r="A2" s="231"/>
      <c r="B2" s="236" t="s">
        <v>123</v>
      </c>
      <c r="C2" s="236" t="s">
        <v>124</v>
      </c>
      <c r="D2" s="236" t="s">
        <v>117</v>
      </c>
      <c r="E2" s="236" t="s">
        <v>118</v>
      </c>
      <c r="F2" s="236" t="s">
        <v>119</v>
      </c>
      <c r="G2" s="236" t="s">
        <v>120</v>
      </c>
      <c r="H2" s="236" t="s">
        <v>121</v>
      </c>
      <c r="I2" s="236" t="s">
        <v>89</v>
      </c>
      <c r="J2" s="299" t="str">
        <f>IF(Serialize,_xll.ohObjectSave(J3:J12,SerializationPath&amp;J1,FileOverwrite,Serialize),"---")</f>
        <v>---</v>
      </c>
      <c r="K2" s="300" t="str">
        <f>_xll.ohRangeRetrieveError(J2)</f>
        <v/>
      </c>
      <c r="L2" s="282"/>
    </row>
    <row r="3" spans="1:12" ht="11.25" customHeight="1" x14ac:dyDescent="0.25">
      <c r="A3" s="231"/>
      <c r="B3" s="294" t="s">
        <v>88</v>
      </c>
      <c r="C3" s="301" t="s">
        <v>100</v>
      </c>
      <c r="D3" s="247">
        <f>_xll.qlInterestRateIndexFixingDays($F$1,Trigger)</f>
        <v>2</v>
      </c>
      <c r="E3" s="301" t="str">
        <f>_xll.qlIndexFixingCalendar($F$1,Trigger)</f>
        <v>TARGET</v>
      </c>
      <c r="F3" s="301" t="s">
        <v>125</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obj_0076c#0001</v>
      </c>
      <c r="K3" s="303" t="str">
        <f>_xll.ohRangeRetrieveError(J3)</f>
        <v/>
      </c>
      <c r="L3" s="282"/>
    </row>
    <row r="4" spans="1:12" ht="11.25" customHeight="1" x14ac:dyDescent="0.25">
      <c r="A4" s="231"/>
      <c r="B4" s="310" t="s">
        <v>87</v>
      </c>
      <c r="C4" s="304" t="s">
        <v>122</v>
      </c>
      <c r="D4" s="255">
        <f>_xll.qlInterestRateIndexFixingDays($F$1,Trigger)</f>
        <v>2</v>
      </c>
      <c r="E4" s="304" t="str">
        <f>_xll.qlIndexFixingCalendar($F$1,Trigger)</f>
        <v>TARGET</v>
      </c>
      <c r="F4" s="304" t="s">
        <v>125</v>
      </c>
      <c r="G4" s="304" t="b">
        <v>0</v>
      </c>
      <c r="H4" s="255" t="str">
        <f>_xll.qlInterestRateIndexDayCounter($F$1,Trigger)</f>
        <v>Actual/360</v>
      </c>
      <c r="I4" s="305" t="str">
        <f t="shared" si="0"/>
        <v>EURSWD_SYNTH6M_Quote</v>
      </c>
      <c r="J4" s="289" t="str">
        <f>_xll.qlDepositRateHelper2(,I4,C4,D4,E4,F4,G4,H4,Permanent,Trigger,ObjectOverwrite)</f>
        <v>obj_0076a#0001</v>
      </c>
      <c r="K4" s="306" t="str">
        <f>_xll.ohRangeRetrieveError(J4)</f>
        <v/>
      </c>
      <c r="L4" s="282"/>
    </row>
    <row r="5" spans="1:12" ht="11.25" customHeight="1" x14ac:dyDescent="0.25">
      <c r="A5" s="231"/>
      <c r="B5" s="310" t="s">
        <v>86</v>
      </c>
      <c r="C5" s="304" t="s">
        <v>86</v>
      </c>
      <c r="D5" s="255">
        <f>_xll.qlInterestRateIndexFixingDays($F$1,Trigger)</f>
        <v>2</v>
      </c>
      <c r="E5" s="304" t="str">
        <f>_xll.qlIndexFixingCalendar($F$1,Trigger)</f>
        <v>TARGET</v>
      </c>
      <c r="F5" s="304" t="s">
        <v>125</v>
      </c>
      <c r="G5" s="304" t="b">
        <v>0</v>
      </c>
      <c r="H5" s="255" t="str">
        <f>_xll.qlInterestRateIndexDayCounter($F$1,Trigger)</f>
        <v>Actual/360</v>
      </c>
      <c r="I5" s="305" t="str">
        <f t="shared" si="0"/>
        <v>EUR2WD_SYNTH6M_Quote</v>
      </c>
      <c r="J5" s="289" t="str">
        <f>_xll.qlDepositRateHelper2(,I5,C5,D5,E5,F5,G5,H5,Permanent,Trigger,ObjectOverwrite)</f>
        <v>obj_0076f#0001</v>
      </c>
      <c r="K5" s="306" t="str">
        <f>_xll.ohRangeRetrieveError(J5)</f>
        <v/>
      </c>
      <c r="L5" s="282"/>
    </row>
    <row r="6" spans="1:12" ht="11.25" customHeight="1" x14ac:dyDescent="0.25">
      <c r="A6" s="231"/>
      <c r="B6" s="310" t="s">
        <v>85</v>
      </c>
      <c r="C6" s="304" t="s">
        <v>85</v>
      </c>
      <c r="D6" s="255">
        <f>_xll.qlInterestRateIndexFixingDays($F$1,Trigger)</f>
        <v>2</v>
      </c>
      <c r="E6" s="304" t="str">
        <f>_xll.qlIndexFixingCalendar($F$1,Trigger)</f>
        <v>TARGET</v>
      </c>
      <c r="F6" s="304" t="s">
        <v>125</v>
      </c>
      <c r="G6" s="304" t="b">
        <v>0</v>
      </c>
      <c r="H6" s="255" t="str">
        <f>_xll.qlInterestRateIndexDayCounter($F$1,Trigger)</f>
        <v>Actual/360</v>
      </c>
      <c r="I6" s="305" t="str">
        <f t="shared" si="0"/>
        <v>EUR3WD_SYNTH6M_Quote</v>
      </c>
      <c r="J6" s="289" t="str">
        <f>_xll.qlDepositRateHelper2(,I6,C6,D6,E6,F6,G6,H6,Permanent,Trigger,ObjectOverwrite)</f>
        <v>obj_00768#0001</v>
      </c>
      <c r="K6" s="306" t="str">
        <f>_xll.ohRangeRetrieveError(J6)</f>
        <v/>
      </c>
      <c r="L6" s="282"/>
    </row>
    <row r="7" spans="1:12" ht="11.25" customHeight="1" x14ac:dyDescent="0.25">
      <c r="A7" s="231"/>
      <c r="B7" s="310" t="s">
        <v>84</v>
      </c>
      <c r="C7" s="304" t="s">
        <v>84</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obj_00770#0001</v>
      </c>
      <c r="K7" s="306" t="str">
        <f>_xll.ohRangeRetrieveError(J7)</f>
        <v/>
      </c>
      <c r="L7" s="282"/>
    </row>
    <row r="8" spans="1:12" ht="11.25" customHeight="1" x14ac:dyDescent="0.25">
      <c r="A8" s="231"/>
      <c r="B8" s="310" t="s">
        <v>83</v>
      </c>
      <c r="C8" s="304" t="s">
        <v>83</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obj_00771#0001</v>
      </c>
      <c r="K8" s="306" t="str">
        <f>_xll.ohRangeRetrieveError(J8)</f>
        <v/>
      </c>
      <c r="L8" s="282"/>
    </row>
    <row r="9" spans="1:12" ht="11.25" customHeight="1" x14ac:dyDescent="0.25">
      <c r="A9" s="231"/>
      <c r="B9" s="310" t="s">
        <v>82</v>
      </c>
      <c r="C9" s="304" t="s">
        <v>82</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obj_0076b#0001</v>
      </c>
      <c r="K9" s="306" t="str">
        <f>_xll.ohRangeRetrieveError(J9)</f>
        <v/>
      </c>
      <c r="L9" s="282"/>
    </row>
    <row r="10" spans="1:12" ht="11.25" customHeight="1" x14ac:dyDescent="0.25">
      <c r="A10" s="231"/>
      <c r="B10" s="310" t="s">
        <v>81</v>
      </c>
      <c r="C10" s="304" t="s">
        <v>81</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obj_0076e#0001</v>
      </c>
      <c r="K10" s="306" t="str">
        <f>_xll.ohRangeRetrieveError(J10)</f>
        <v/>
      </c>
      <c r="L10" s="282"/>
    </row>
    <row r="11" spans="1:12" ht="11.25" customHeight="1" x14ac:dyDescent="0.25">
      <c r="A11" s="231"/>
      <c r="B11" s="310" t="s">
        <v>80</v>
      </c>
      <c r="C11" s="304" t="s">
        <v>80</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obj_00769#0001</v>
      </c>
      <c r="K11" s="306" t="str">
        <f>_xll.ohRangeRetrieveError(J11)</f>
        <v/>
      </c>
      <c r="L11" s="282"/>
    </row>
    <row r="12" spans="1:12" ht="11.25" customHeight="1" x14ac:dyDescent="0.25">
      <c r="A12" s="231"/>
      <c r="B12" s="311" t="s">
        <v>79</v>
      </c>
      <c r="C12" s="296" t="s">
        <v>79</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obj_0076d#0001</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90</v>
      </c>
      <c r="F2" s="295" t="s">
        <v>102</v>
      </c>
      <c r="G2" s="295" t="s">
        <v>89</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obj_00733#0001</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obj_00735#0001</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obj_00742#0001</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obj_00739#0001</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obj_0073a#0001</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obj_00737#0001</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obj_00740#0001</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obj_0073c#0001</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obj_00741#0001</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obj_00736#0001</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obj_0073b#0001</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obj_0073f#0001</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obj_00731#0001</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obj_0073d#0001</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obj_00738#0001</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obj_0073e#0001</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obj_00767#0001</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obj_00732#0001</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79</v>
      </c>
      <c r="K1" s="80" t="str">
        <f>Currency&amp;"_YC"&amp;$J$1&amp;"RH"</f>
        <v>EUR_YC6MRH</v>
      </c>
      <c r="L1" s="233" t="str">
        <f>K1&amp;"_Swaps.xml"</f>
        <v>EUR_YC6MRH_Swaps.xml</v>
      </c>
      <c r="M1" s="232"/>
      <c r="N1" s="234"/>
    </row>
    <row r="2" spans="1:18" ht="25.5" customHeight="1" x14ac:dyDescent="0.25">
      <c r="A2" s="231"/>
      <c r="B2" s="236" t="s">
        <v>169</v>
      </c>
      <c r="C2" s="236" t="s">
        <v>111</v>
      </c>
      <c r="D2" s="236"/>
      <c r="E2" s="236"/>
      <c r="F2" s="236"/>
      <c r="G2" s="236" t="s">
        <v>110</v>
      </c>
      <c r="H2" s="236" t="s">
        <v>109</v>
      </c>
      <c r="I2" s="236" t="s">
        <v>108</v>
      </c>
      <c r="J2" s="236" t="s">
        <v>107</v>
      </c>
      <c r="K2" s="236" t="s">
        <v>89</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obj_0072e#0001</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101</v>
      </c>
      <c r="D5" s="243" t="s">
        <v>36</v>
      </c>
      <c r="E5" s="243" t="str">
        <f t="array" ref="E5:E41">VLOOKUP(Currency,Conventions,2)</f>
        <v>AB</v>
      </c>
      <c r="F5" s="243" t="str">
        <f t="array" ref="F5:F41">VLOOKUP(Currency,Conventions,3)</f>
        <v>6E</v>
      </c>
      <c r="G5" s="244" t="str">
        <f t="shared" ref="G5:G41" si="0">IF(UPPER(LEFT($E5))="A","Annual",IF(UPPER(LEFT($E5))="S","Semiannual","--"))</f>
        <v>Annual</v>
      </c>
      <c r="H5" s="244" t="s">
        <v>103</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obj_0075d#0001</v>
      </c>
      <c r="M5" s="248" t="str">
        <f>_xll.ohRangeRetrieveError(L5)</f>
        <v/>
      </c>
      <c r="N5" s="239"/>
      <c r="P5" s="195" t="s">
        <v>76</v>
      </c>
      <c r="Q5" s="249" t="s">
        <v>73</v>
      </c>
      <c r="R5" s="250" t="s">
        <v>104</v>
      </c>
    </row>
    <row r="6" spans="1:18" ht="11.25" customHeight="1" x14ac:dyDescent="0.25">
      <c r="A6" s="231"/>
      <c r="B6" s="251">
        <v>2</v>
      </c>
      <c r="C6" s="251" t="s">
        <v>101</v>
      </c>
      <c r="D6" s="251" t="s">
        <v>35</v>
      </c>
      <c r="E6" s="251" t="str">
        <v>AB</v>
      </c>
      <c r="F6" s="251" t="str">
        <v>6E</v>
      </c>
      <c r="G6" s="252" t="str">
        <f t="shared" si="0"/>
        <v>Annual</v>
      </c>
      <c r="H6" s="252" t="s">
        <v>103</v>
      </c>
      <c r="I6" s="252" t="str">
        <f t="shared" si="1"/>
        <v>30/360 (Bond Basis)</v>
      </c>
      <c r="J6" s="253">
        <v>0</v>
      </c>
      <c r="K6" s="254" t="str">
        <f t="shared" si="2"/>
        <v>EURAB6E15M_Quote</v>
      </c>
      <c r="L6" s="255" t="str">
        <f>_xll.qlSwapRateHelper2(,$K6,$B6,$D6,Calendar,$G6,$H6,$I6,$L$3,$J6,C6,Discounting,Permanent,,ObjectOverwrite)</f>
        <v>obj_0074e#0001</v>
      </c>
      <c r="M6" s="256" t="str">
        <f>_xll.ohRangeRetrieveError(L6)</f>
        <v/>
      </c>
      <c r="N6" s="239"/>
      <c r="P6" s="105" t="s">
        <v>74</v>
      </c>
      <c r="Q6" s="257" t="s">
        <v>73</v>
      </c>
      <c r="R6" s="258" t="s">
        <v>106</v>
      </c>
    </row>
    <row r="7" spans="1:18" ht="11.25" customHeight="1" x14ac:dyDescent="0.25">
      <c r="A7" s="231"/>
      <c r="B7" s="251">
        <v>2</v>
      </c>
      <c r="C7" s="251" t="s">
        <v>101</v>
      </c>
      <c r="D7" s="251" t="s">
        <v>34</v>
      </c>
      <c r="E7" s="251" t="str">
        <v>AB</v>
      </c>
      <c r="F7" s="251" t="str">
        <v>6E</v>
      </c>
      <c r="G7" s="252" t="str">
        <f t="shared" si="0"/>
        <v>Annual</v>
      </c>
      <c r="H7" s="252" t="s">
        <v>103</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obj_00734#0001</v>
      </c>
      <c r="M7" s="256" t="str">
        <f>_xll.ohRangeRetrieveError(L7)</f>
        <v/>
      </c>
      <c r="N7" s="239"/>
      <c r="P7" s="105" t="s">
        <v>71</v>
      </c>
      <c r="Q7" s="257" t="s">
        <v>105</v>
      </c>
      <c r="R7" s="258" t="s">
        <v>104</v>
      </c>
    </row>
    <row r="8" spans="1:18" ht="11.25" customHeight="1" x14ac:dyDescent="0.25">
      <c r="A8" s="231"/>
      <c r="B8" s="251">
        <v>2</v>
      </c>
      <c r="C8" s="251" t="s">
        <v>101</v>
      </c>
      <c r="D8" s="251" t="s">
        <v>33</v>
      </c>
      <c r="E8" s="251" t="str">
        <v>AB</v>
      </c>
      <c r="F8" s="251" t="str">
        <v>6E</v>
      </c>
      <c r="G8" s="252" t="str">
        <f t="shared" si="0"/>
        <v>Annual</v>
      </c>
      <c r="H8" s="252" t="s">
        <v>103</v>
      </c>
      <c r="I8" s="252" t="str">
        <f t="shared" si="1"/>
        <v>30/360 (Bond Basis)</v>
      </c>
      <c r="J8" s="253">
        <v>0</v>
      </c>
      <c r="K8" s="254" t="str">
        <f t="shared" si="2"/>
        <v>EURAB6E21M_Quote</v>
      </c>
      <c r="L8" s="255" t="str">
        <f>_xll.qlSwapRateHelper2(,$K8,$B8,$D8,Calendar,$G8,$H8,$I8,$L$3,$J8,C8,Discounting,Permanent,,ObjectOverwrite)</f>
        <v>obj_0075a#0001</v>
      </c>
      <c r="M8" s="256" t="str">
        <f>_xll.ohRangeRetrieveError(L8)</f>
        <v/>
      </c>
      <c r="N8" s="239"/>
      <c r="P8" s="105" t="s">
        <v>69</v>
      </c>
      <c r="Q8" s="257" t="s">
        <v>105</v>
      </c>
      <c r="R8" s="258" t="s">
        <v>104</v>
      </c>
    </row>
    <row r="9" spans="1:18" ht="11.25" customHeight="1" thickBot="1" x14ac:dyDescent="0.3">
      <c r="A9" s="231"/>
      <c r="B9" s="251">
        <v>2</v>
      </c>
      <c r="C9" s="251" t="s">
        <v>101</v>
      </c>
      <c r="D9" s="251" t="s">
        <v>32</v>
      </c>
      <c r="E9" s="251" t="str">
        <v>AB</v>
      </c>
      <c r="F9" s="251" t="str">
        <v>6E</v>
      </c>
      <c r="G9" s="252" t="str">
        <f t="shared" si="0"/>
        <v>Annual</v>
      </c>
      <c r="H9" s="252" t="s">
        <v>103</v>
      </c>
      <c r="I9" s="252" t="str">
        <f t="shared" si="1"/>
        <v>30/360 (Bond Basis)</v>
      </c>
      <c r="J9" s="253">
        <v>0</v>
      </c>
      <c r="K9" s="254" t="str">
        <f t="shared" si="2"/>
        <v>EURAB6E2Y_Quote</v>
      </c>
      <c r="L9" s="255" t="str">
        <f>_xll.qlSwapRateHelper2(,$K9,$B9,$D9,Calendar,$G9,$H9,$I9,$L$3,$J9,C9,Discounting,Permanent,,ObjectOverwrite)</f>
        <v>obj_00758#0001</v>
      </c>
      <c r="M9" s="256" t="str">
        <f>_xll.ohRangeRetrieveError(L9)</f>
        <v/>
      </c>
      <c r="N9" s="239"/>
      <c r="P9" s="106" t="s">
        <v>67</v>
      </c>
      <c r="Q9" s="259" t="s">
        <v>66</v>
      </c>
      <c r="R9" s="260" t="s">
        <v>104</v>
      </c>
    </row>
    <row r="10" spans="1:18" ht="11.25" customHeight="1" x14ac:dyDescent="0.25">
      <c r="A10" s="231"/>
      <c r="B10" s="251">
        <v>2</v>
      </c>
      <c r="C10" s="251" t="s">
        <v>101</v>
      </c>
      <c r="D10" s="251" t="s">
        <v>31</v>
      </c>
      <c r="E10" s="251" t="str">
        <v>AB</v>
      </c>
      <c r="F10" s="251" t="str">
        <v>6E</v>
      </c>
      <c r="G10" s="252" t="str">
        <f t="shared" si="0"/>
        <v>Annual</v>
      </c>
      <c r="H10" s="252" t="s">
        <v>103</v>
      </c>
      <c r="I10" s="252" t="str">
        <f t="shared" si="1"/>
        <v>30/360 (Bond Basis)</v>
      </c>
      <c r="J10" s="253">
        <v>0</v>
      </c>
      <c r="K10" s="254" t="str">
        <f t="shared" si="2"/>
        <v>EURAB6E3Y_Quote</v>
      </c>
      <c r="L10" s="255" t="str">
        <f>_xll.qlSwapRateHelper2(,$K10,$B10,$D10,Calendar,$G10,$H10,$I10,$L$3,$J10,C10,Discounting,Permanent,,ObjectOverwrite)</f>
        <v>obj_00746#0001</v>
      </c>
      <c r="M10" s="256" t="str">
        <f>_xll.ohRangeRetrieveError(L10)</f>
        <v/>
      </c>
      <c r="N10" s="239"/>
    </row>
    <row r="11" spans="1:18" ht="11.25" customHeight="1" x14ac:dyDescent="0.25">
      <c r="A11" s="231"/>
      <c r="B11" s="251">
        <v>2</v>
      </c>
      <c r="C11" s="251" t="s">
        <v>101</v>
      </c>
      <c r="D11" s="251" t="s">
        <v>30</v>
      </c>
      <c r="E11" s="251" t="str">
        <v>AB</v>
      </c>
      <c r="F11" s="251" t="str">
        <v>6E</v>
      </c>
      <c r="G11" s="252" t="str">
        <f t="shared" si="0"/>
        <v>Annual</v>
      </c>
      <c r="H11" s="252" t="s">
        <v>103</v>
      </c>
      <c r="I11" s="252" t="str">
        <f t="shared" si="1"/>
        <v>30/360 (Bond Basis)</v>
      </c>
      <c r="J11" s="253">
        <v>0</v>
      </c>
      <c r="K11" s="254" t="str">
        <f t="shared" si="2"/>
        <v>EURAB6E4Y_Quote</v>
      </c>
      <c r="L11" s="255" t="str">
        <f>_xll.qlSwapRateHelper2(,$K11,$B11,$D11,Calendar,$G11,$H11,$I11,$L$3,$J11,C11,Discounting,Permanent,,ObjectOverwrite)</f>
        <v>obj_00743#0001</v>
      </c>
      <c r="M11" s="256" t="str">
        <f>_xll.ohRangeRetrieveError(L11)</f>
        <v/>
      </c>
      <c r="N11" s="239"/>
    </row>
    <row r="12" spans="1:18" ht="11.25" customHeight="1" x14ac:dyDescent="0.25">
      <c r="A12" s="231"/>
      <c r="B12" s="251">
        <v>2</v>
      </c>
      <c r="C12" s="251" t="s">
        <v>101</v>
      </c>
      <c r="D12" s="251" t="s">
        <v>29</v>
      </c>
      <c r="E12" s="251" t="str">
        <v>AB</v>
      </c>
      <c r="F12" s="251" t="str">
        <v>6E</v>
      </c>
      <c r="G12" s="252" t="str">
        <f t="shared" si="0"/>
        <v>Annual</v>
      </c>
      <c r="H12" s="252" t="s">
        <v>103</v>
      </c>
      <c r="I12" s="252" t="str">
        <f t="shared" si="1"/>
        <v>30/360 (Bond Basis)</v>
      </c>
      <c r="J12" s="253">
        <v>0</v>
      </c>
      <c r="K12" s="254" t="str">
        <f t="shared" si="2"/>
        <v>EURAB6E5Y_Quote</v>
      </c>
      <c r="L12" s="255" t="str">
        <f>_xll.qlSwapRateHelper2(,$K12,$B12,$D12,Calendar,$G12,$H12,$I12,$L$3,$J12,C12,Discounting,Permanent,,ObjectOverwrite)</f>
        <v>obj_00755#0001</v>
      </c>
      <c r="M12" s="256" t="str">
        <f>_xll.ohRangeRetrieveError(L12)</f>
        <v/>
      </c>
      <c r="N12" s="239"/>
    </row>
    <row r="13" spans="1:18" ht="11.25" customHeight="1" x14ac:dyDescent="0.25">
      <c r="A13" s="231"/>
      <c r="B13" s="251">
        <v>2</v>
      </c>
      <c r="C13" s="251" t="s">
        <v>101</v>
      </c>
      <c r="D13" s="251" t="s">
        <v>28</v>
      </c>
      <c r="E13" s="251" t="str">
        <v>AB</v>
      </c>
      <c r="F13" s="251" t="str">
        <v>6E</v>
      </c>
      <c r="G13" s="252" t="str">
        <f t="shared" si="0"/>
        <v>Annual</v>
      </c>
      <c r="H13" s="252" t="s">
        <v>103</v>
      </c>
      <c r="I13" s="252" t="str">
        <f t="shared" si="1"/>
        <v>30/360 (Bond Basis)</v>
      </c>
      <c r="J13" s="253">
        <v>0</v>
      </c>
      <c r="K13" s="254" t="str">
        <f t="shared" si="2"/>
        <v>EURAB6E6Y_Quote</v>
      </c>
      <c r="L13" s="255" t="str">
        <f>_xll.qlSwapRateHelper2(,$K13,$B13,$D13,Calendar,$G13,$H13,$I13,$L$3,$J13,C13,Discounting,Permanent,,ObjectOverwrite)</f>
        <v>obj_00766#0001</v>
      </c>
      <c r="M13" s="256" t="str">
        <f>_xll.ohRangeRetrieveError(L13)</f>
        <v/>
      </c>
      <c r="N13" s="239"/>
    </row>
    <row r="14" spans="1:18" ht="11.25" customHeight="1" x14ac:dyDescent="0.25">
      <c r="A14" s="231"/>
      <c r="B14" s="251">
        <v>2</v>
      </c>
      <c r="C14" s="251" t="s">
        <v>101</v>
      </c>
      <c r="D14" s="251" t="s">
        <v>27</v>
      </c>
      <c r="E14" s="251" t="str">
        <v>AB</v>
      </c>
      <c r="F14" s="251" t="str">
        <v>6E</v>
      </c>
      <c r="G14" s="252" t="str">
        <f t="shared" si="0"/>
        <v>Annual</v>
      </c>
      <c r="H14" s="252" t="s">
        <v>103</v>
      </c>
      <c r="I14" s="252" t="str">
        <f t="shared" si="1"/>
        <v>30/360 (Bond Basis)</v>
      </c>
      <c r="J14" s="253">
        <v>0</v>
      </c>
      <c r="K14" s="254" t="str">
        <f t="shared" si="2"/>
        <v>EURAB6E7Y_Quote</v>
      </c>
      <c r="L14" s="255" t="str">
        <f>_xll.qlSwapRateHelper2(,$K14,$B14,$D14,Calendar,$G14,$H14,$I14,$L$3,$J14,C14,Discounting,Permanent,,ObjectOverwrite)</f>
        <v>obj_00751#0001</v>
      </c>
      <c r="M14" s="256" t="str">
        <f>_xll.ohRangeRetrieveError(L14)</f>
        <v/>
      </c>
      <c r="N14" s="239"/>
    </row>
    <row r="15" spans="1:18" ht="11.25" customHeight="1" x14ac:dyDescent="0.25">
      <c r="A15" s="231"/>
      <c r="B15" s="251">
        <v>2</v>
      </c>
      <c r="C15" s="251" t="s">
        <v>101</v>
      </c>
      <c r="D15" s="251" t="s">
        <v>26</v>
      </c>
      <c r="E15" s="251" t="str">
        <v>AB</v>
      </c>
      <c r="F15" s="251" t="str">
        <v>6E</v>
      </c>
      <c r="G15" s="252" t="str">
        <f t="shared" si="0"/>
        <v>Annual</v>
      </c>
      <c r="H15" s="252" t="s">
        <v>103</v>
      </c>
      <c r="I15" s="252" t="str">
        <f t="shared" si="1"/>
        <v>30/360 (Bond Basis)</v>
      </c>
      <c r="J15" s="253">
        <v>0</v>
      </c>
      <c r="K15" s="254" t="str">
        <f t="shared" si="2"/>
        <v>EURAB6E8Y_Quote</v>
      </c>
      <c r="L15" s="255" t="str">
        <f>_xll.qlSwapRateHelper2(,$K15,$B15,$D15,Calendar,$G15,$H15,$I15,$L$3,$J15,C15,Discounting,Permanent,,ObjectOverwrite)</f>
        <v>obj_0075b#0001</v>
      </c>
      <c r="M15" s="256" t="str">
        <f>_xll.ohRangeRetrieveError(L15)</f>
        <v/>
      </c>
      <c r="N15" s="239"/>
    </row>
    <row r="16" spans="1:18" ht="11.25" customHeight="1" x14ac:dyDescent="0.25">
      <c r="A16" s="231"/>
      <c r="B16" s="251">
        <v>2</v>
      </c>
      <c r="C16" s="251" t="s">
        <v>101</v>
      </c>
      <c r="D16" s="251" t="s">
        <v>25</v>
      </c>
      <c r="E16" s="251" t="str">
        <v>AB</v>
      </c>
      <c r="F16" s="251" t="str">
        <v>6E</v>
      </c>
      <c r="G16" s="252" t="str">
        <f t="shared" si="0"/>
        <v>Annual</v>
      </c>
      <c r="H16" s="252" t="s">
        <v>103</v>
      </c>
      <c r="I16" s="252" t="str">
        <f t="shared" si="1"/>
        <v>30/360 (Bond Basis)</v>
      </c>
      <c r="J16" s="253">
        <v>0</v>
      </c>
      <c r="K16" s="254" t="str">
        <f t="shared" si="2"/>
        <v>EURAB6E9Y_Quote</v>
      </c>
      <c r="L16" s="255" t="str">
        <f>_xll.qlSwapRateHelper2(,$K16,$B16,$D16,Calendar,$G16,$H16,$I16,$L$3,$J16,C16,Discounting,Permanent,,ObjectOverwrite)</f>
        <v>obj_00765#0001</v>
      </c>
      <c r="M16" s="256" t="str">
        <f>_xll.ohRangeRetrieveError(L16)</f>
        <v/>
      </c>
      <c r="N16" s="239"/>
    </row>
    <row r="17" spans="1:14" ht="11.25" customHeight="1" x14ac:dyDescent="0.25">
      <c r="A17" s="231"/>
      <c r="B17" s="251">
        <v>2</v>
      </c>
      <c r="C17" s="251" t="s">
        <v>101</v>
      </c>
      <c r="D17" s="251" t="s">
        <v>24</v>
      </c>
      <c r="E17" s="251" t="str">
        <v>AB</v>
      </c>
      <c r="F17" s="251" t="str">
        <v>6E</v>
      </c>
      <c r="G17" s="252" t="str">
        <f t="shared" si="0"/>
        <v>Annual</v>
      </c>
      <c r="H17" s="252" t="s">
        <v>103</v>
      </c>
      <c r="I17" s="252" t="str">
        <f t="shared" si="1"/>
        <v>30/360 (Bond Basis)</v>
      </c>
      <c r="J17" s="253">
        <v>0</v>
      </c>
      <c r="K17" s="254" t="str">
        <f t="shared" si="2"/>
        <v>EURAB6E10Y_Quote</v>
      </c>
      <c r="L17" s="255" t="str">
        <f>_xll.qlSwapRateHelper2(,$K17,$B17,$D17,Calendar,$G17,$H17,$I17,$L$3,$J17,C17,Discounting,Permanent,,ObjectOverwrite)</f>
        <v>obj_00749#0001</v>
      </c>
      <c r="M17" s="256" t="str">
        <f>_xll.ohRangeRetrieveError(L17)</f>
        <v/>
      </c>
      <c r="N17" s="239"/>
    </row>
    <row r="18" spans="1:14" ht="11.25" customHeight="1" x14ac:dyDescent="0.25">
      <c r="A18" s="231"/>
      <c r="B18" s="251">
        <v>2</v>
      </c>
      <c r="C18" s="251" t="s">
        <v>101</v>
      </c>
      <c r="D18" s="251" t="s">
        <v>23</v>
      </c>
      <c r="E18" s="251" t="str">
        <v>AB</v>
      </c>
      <c r="F18" s="251" t="str">
        <v>6E</v>
      </c>
      <c r="G18" s="252" t="str">
        <f t="shared" si="0"/>
        <v>Annual</v>
      </c>
      <c r="H18" s="252" t="s">
        <v>103</v>
      </c>
      <c r="I18" s="252" t="str">
        <f t="shared" si="1"/>
        <v>30/360 (Bond Basis)</v>
      </c>
      <c r="J18" s="253">
        <v>0</v>
      </c>
      <c r="K18" s="254" t="str">
        <f t="shared" si="2"/>
        <v>EURAB6E11Y_Quote</v>
      </c>
      <c r="L18" s="255" t="str">
        <f>_xll.qlSwapRateHelper2(,$K18,$B18,$D18,Calendar,$G18,$H18,$I18,$L$3,$J18,C18,Discounting,Permanent,,ObjectOverwrite)</f>
        <v>obj_0074b#0001</v>
      </c>
      <c r="M18" s="256" t="str">
        <f>_xll.ohRangeRetrieveError(L18)</f>
        <v/>
      </c>
      <c r="N18" s="239"/>
    </row>
    <row r="19" spans="1:14" ht="11.25" customHeight="1" x14ac:dyDescent="0.25">
      <c r="A19" s="231"/>
      <c r="B19" s="251">
        <v>2</v>
      </c>
      <c r="C19" s="251" t="s">
        <v>101</v>
      </c>
      <c r="D19" s="251" t="s">
        <v>22</v>
      </c>
      <c r="E19" s="251" t="str">
        <v>AB</v>
      </c>
      <c r="F19" s="251" t="str">
        <v>6E</v>
      </c>
      <c r="G19" s="252" t="str">
        <f t="shared" si="0"/>
        <v>Annual</v>
      </c>
      <c r="H19" s="252" t="s">
        <v>103</v>
      </c>
      <c r="I19" s="252" t="str">
        <f t="shared" si="1"/>
        <v>30/360 (Bond Basis)</v>
      </c>
      <c r="J19" s="253">
        <v>0</v>
      </c>
      <c r="K19" s="254" t="str">
        <f t="shared" si="2"/>
        <v>EURAB6E12Y_Quote</v>
      </c>
      <c r="L19" s="255" t="str">
        <f>_xll.qlSwapRateHelper2(,$K19,$B19,$D19,Calendar,$G19,$H19,$I19,$L$3,$J19,C19,Discounting,Permanent,,ObjectOverwrite)</f>
        <v>obj_00759#0001</v>
      </c>
      <c r="M19" s="256" t="str">
        <f>_xll.ohRangeRetrieveError(L19)</f>
        <v/>
      </c>
      <c r="N19" s="239"/>
    </row>
    <row r="20" spans="1:14" ht="11.25" customHeight="1" x14ac:dyDescent="0.25">
      <c r="A20" s="231"/>
      <c r="B20" s="251">
        <v>2</v>
      </c>
      <c r="C20" s="251" t="s">
        <v>101</v>
      </c>
      <c r="D20" s="251" t="s">
        <v>21</v>
      </c>
      <c r="E20" s="251" t="str">
        <v>AB</v>
      </c>
      <c r="F20" s="251" t="str">
        <v>6E</v>
      </c>
      <c r="G20" s="252" t="str">
        <f t="shared" si="0"/>
        <v>Annual</v>
      </c>
      <c r="H20" s="252" t="s">
        <v>103</v>
      </c>
      <c r="I20" s="252" t="str">
        <f t="shared" si="1"/>
        <v>30/360 (Bond Basis)</v>
      </c>
      <c r="J20" s="253">
        <v>0</v>
      </c>
      <c r="K20" s="254" t="str">
        <f t="shared" si="2"/>
        <v>EURAB6E13Y_Quote</v>
      </c>
      <c r="L20" s="255" t="str">
        <f>_xll.qlSwapRateHelper2(,$K20,$B20,$D20,Calendar,$G20,$H20,$I20,$L$3,$J20,C20,Discounting,Permanent,,ObjectOverwrite)</f>
        <v>obj_00762#0001</v>
      </c>
      <c r="M20" s="256" t="str">
        <f>_xll.ohRangeRetrieveError(L20)</f>
        <v/>
      </c>
      <c r="N20" s="239"/>
    </row>
    <row r="21" spans="1:14" ht="11.25" customHeight="1" x14ac:dyDescent="0.25">
      <c r="A21" s="231"/>
      <c r="B21" s="251">
        <v>2</v>
      </c>
      <c r="C21" s="251" t="s">
        <v>101</v>
      </c>
      <c r="D21" s="251" t="s">
        <v>20</v>
      </c>
      <c r="E21" s="251" t="str">
        <v>AB</v>
      </c>
      <c r="F21" s="251" t="str">
        <v>6E</v>
      </c>
      <c r="G21" s="252" t="str">
        <f t="shared" si="0"/>
        <v>Annual</v>
      </c>
      <c r="H21" s="252" t="s">
        <v>103</v>
      </c>
      <c r="I21" s="252" t="str">
        <f t="shared" si="1"/>
        <v>30/360 (Bond Basis)</v>
      </c>
      <c r="J21" s="253">
        <v>0</v>
      </c>
      <c r="K21" s="254" t="str">
        <f t="shared" si="2"/>
        <v>EURAB6E14Y_Quote</v>
      </c>
      <c r="L21" s="255" t="str">
        <f>_xll.qlSwapRateHelper2(,$K21,$B21,$D21,Calendar,$G21,$H21,$I21,$L$3,$J21,C21,Discounting,Permanent,,ObjectOverwrite)</f>
        <v>obj_00750#0001</v>
      </c>
      <c r="M21" s="256" t="str">
        <f>_xll.ohRangeRetrieveError(L21)</f>
        <v/>
      </c>
      <c r="N21" s="239"/>
    </row>
    <row r="22" spans="1:14" ht="11.25" customHeight="1" x14ac:dyDescent="0.25">
      <c r="A22" s="231"/>
      <c r="B22" s="251">
        <v>2</v>
      </c>
      <c r="C22" s="251" t="s">
        <v>101</v>
      </c>
      <c r="D22" s="251" t="s">
        <v>19</v>
      </c>
      <c r="E22" s="251" t="str">
        <v>AB</v>
      </c>
      <c r="F22" s="251" t="str">
        <v>6E</v>
      </c>
      <c r="G22" s="252" t="str">
        <f t="shared" si="0"/>
        <v>Annual</v>
      </c>
      <c r="H22" s="252" t="s">
        <v>103</v>
      </c>
      <c r="I22" s="252" t="str">
        <f t="shared" si="1"/>
        <v>30/360 (Bond Basis)</v>
      </c>
      <c r="J22" s="253">
        <v>0</v>
      </c>
      <c r="K22" s="254" t="str">
        <f t="shared" si="2"/>
        <v>EURAB6E15Y_Quote</v>
      </c>
      <c r="L22" s="255" t="str">
        <f>_xll.qlSwapRateHelper2(,$K22,$B22,$D22,Calendar,$G22,$H22,$I22,$L$3,$J22,C22,Discounting,Permanent,,ObjectOverwrite)</f>
        <v>obj_0074f#0001</v>
      </c>
      <c r="M22" s="256" t="str">
        <f>_xll.ohRangeRetrieveError(L22)</f>
        <v/>
      </c>
      <c r="N22" s="239"/>
    </row>
    <row r="23" spans="1:14" ht="11.25" customHeight="1" x14ac:dyDescent="0.25">
      <c r="A23" s="231"/>
      <c r="B23" s="251">
        <v>2</v>
      </c>
      <c r="C23" s="251" t="s">
        <v>101</v>
      </c>
      <c r="D23" s="251" t="s">
        <v>18</v>
      </c>
      <c r="E23" s="251" t="str">
        <v>AB</v>
      </c>
      <c r="F23" s="251" t="str">
        <v>6E</v>
      </c>
      <c r="G23" s="252" t="str">
        <f t="shared" si="0"/>
        <v>Annual</v>
      </c>
      <c r="H23" s="252" t="s">
        <v>103</v>
      </c>
      <c r="I23" s="252" t="str">
        <f t="shared" si="1"/>
        <v>30/360 (Bond Basis)</v>
      </c>
      <c r="J23" s="253">
        <v>0</v>
      </c>
      <c r="K23" s="254" t="str">
        <f t="shared" si="2"/>
        <v>EURAB6E16Y_Quote</v>
      </c>
      <c r="L23" s="255" t="str">
        <f>_xll.qlSwapRateHelper2(,$K23,$B23,$D23,Calendar,$G23,$H23,$I23,$L$3,$J23,C23,Discounting,Permanent,,ObjectOverwrite)</f>
        <v>obj_00761#0001</v>
      </c>
      <c r="M23" s="256" t="str">
        <f>_xll.ohRangeRetrieveError(L23)</f>
        <v/>
      </c>
      <c r="N23" s="239"/>
    </row>
    <row r="24" spans="1:14" ht="11.25" customHeight="1" x14ac:dyDescent="0.25">
      <c r="A24" s="231"/>
      <c r="B24" s="251">
        <v>2</v>
      </c>
      <c r="C24" s="251" t="s">
        <v>101</v>
      </c>
      <c r="D24" s="251" t="s">
        <v>17</v>
      </c>
      <c r="E24" s="251" t="str">
        <v>AB</v>
      </c>
      <c r="F24" s="251" t="str">
        <v>6E</v>
      </c>
      <c r="G24" s="252" t="str">
        <f t="shared" si="0"/>
        <v>Annual</v>
      </c>
      <c r="H24" s="252" t="s">
        <v>103</v>
      </c>
      <c r="I24" s="252" t="str">
        <f t="shared" si="1"/>
        <v>30/360 (Bond Basis)</v>
      </c>
      <c r="J24" s="253">
        <v>0</v>
      </c>
      <c r="K24" s="254" t="str">
        <f t="shared" si="2"/>
        <v>EURAB6E17Y_Quote</v>
      </c>
      <c r="L24" s="255" t="str">
        <f>_xll.qlSwapRateHelper2(,$K24,$B24,$D24,Calendar,$G24,$H24,$I24,$L$3,$J24,C24,Discounting,Permanent,,ObjectOverwrite)</f>
        <v>obj_00752#0001</v>
      </c>
      <c r="M24" s="256" t="str">
        <f>_xll.ohRangeRetrieveError(L24)</f>
        <v/>
      </c>
      <c r="N24" s="239"/>
    </row>
    <row r="25" spans="1:14" ht="11.25" customHeight="1" x14ac:dyDescent="0.25">
      <c r="A25" s="231"/>
      <c r="B25" s="251">
        <v>2</v>
      </c>
      <c r="C25" s="251" t="s">
        <v>101</v>
      </c>
      <c r="D25" s="251" t="s">
        <v>16</v>
      </c>
      <c r="E25" s="251" t="str">
        <v>AB</v>
      </c>
      <c r="F25" s="251" t="str">
        <v>6E</v>
      </c>
      <c r="G25" s="252" t="str">
        <f t="shared" si="0"/>
        <v>Annual</v>
      </c>
      <c r="H25" s="252" t="s">
        <v>103</v>
      </c>
      <c r="I25" s="252" t="str">
        <f t="shared" si="1"/>
        <v>30/360 (Bond Basis)</v>
      </c>
      <c r="J25" s="253">
        <v>0</v>
      </c>
      <c r="K25" s="254" t="str">
        <f t="shared" si="2"/>
        <v>EURAB6E18Y_Quote</v>
      </c>
      <c r="L25" s="255" t="str">
        <f>_xll.qlSwapRateHelper2(,$K25,$B25,$D25,Calendar,$G25,$H25,$I25,$L$3,$J25,C25,Discounting,Permanent,,ObjectOverwrite)</f>
        <v>obj_00756#0001</v>
      </c>
      <c r="M25" s="256" t="str">
        <f>_xll.ohRangeRetrieveError(L25)</f>
        <v/>
      </c>
      <c r="N25" s="239"/>
    </row>
    <row r="26" spans="1:14" ht="11.25" customHeight="1" x14ac:dyDescent="0.25">
      <c r="A26" s="231"/>
      <c r="B26" s="251">
        <v>2</v>
      </c>
      <c r="C26" s="251" t="s">
        <v>101</v>
      </c>
      <c r="D26" s="251" t="s">
        <v>15</v>
      </c>
      <c r="E26" s="251" t="str">
        <v>AB</v>
      </c>
      <c r="F26" s="251" t="str">
        <v>6E</v>
      </c>
      <c r="G26" s="252" t="str">
        <f t="shared" si="0"/>
        <v>Annual</v>
      </c>
      <c r="H26" s="252" t="s">
        <v>103</v>
      </c>
      <c r="I26" s="252" t="str">
        <f t="shared" si="1"/>
        <v>30/360 (Bond Basis)</v>
      </c>
      <c r="J26" s="253">
        <v>0</v>
      </c>
      <c r="K26" s="254" t="str">
        <f t="shared" si="2"/>
        <v>EURAB6E19Y_Quote</v>
      </c>
      <c r="L26" s="255" t="str">
        <f>_xll.qlSwapRateHelper2(,$K26,$B26,$D26,Calendar,$G26,$H26,$I26,$L$3,$J26,C26,Discounting,Permanent,,ObjectOverwrite)</f>
        <v>obj_0075c#0001</v>
      </c>
      <c r="M26" s="256" t="str">
        <f>_xll.ohRangeRetrieveError(L26)</f>
        <v/>
      </c>
      <c r="N26" s="239"/>
    </row>
    <row r="27" spans="1:14" ht="11.25" customHeight="1" x14ac:dyDescent="0.25">
      <c r="A27" s="231"/>
      <c r="B27" s="251">
        <v>2</v>
      </c>
      <c r="C27" s="251" t="s">
        <v>101</v>
      </c>
      <c r="D27" s="251" t="s">
        <v>14</v>
      </c>
      <c r="E27" s="251" t="str">
        <v>AB</v>
      </c>
      <c r="F27" s="251" t="str">
        <v>6E</v>
      </c>
      <c r="G27" s="252" t="str">
        <f t="shared" si="0"/>
        <v>Annual</v>
      </c>
      <c r="H27" s="252" t="s">
        <v>103</v>
      </c>
      <c r="I27" s="252" t="str">
        <f t="shared" si="1"/>
        <v>30/360 (Bond Basis)</v>
      </c>
      <c r="J27" s="253">
        <v>0</v>
      </c>
      <c r="K27" s="254" t="str">
        <f t="shared" si="2"/>
        <v>EURAB6E20Y_Quote</v>
      </c>
      <c r="L27" s="255" t="str">
        <f>_xll.qlSwapRateHelper2(,$K27,$B27,$D27,Calendar,$G27,$H27,$I27,$L$3,$J27,C27,Discounting,Permanent,,ObjectOverwrite)</f>
        <v>obj_00748#0001</v>
      </c>
      <c r="M27" s="256" t="str">
        <f>_xll.ohRangeRetrieveError(L27)</f>
        <v/>
      </c>
      <c r="N27" s="239"/>
    </row>
    <row r="28" spans="1:14" ht="11.25" customHeight="1" x14ac:dyDescent="0.25">
      <c r="A28" s="231"/>
      <c r="B28" s="251">
        <v>2</v>
      </c>
      <c r="C28" s="251" t="s">
        <v>101</v>
      </c>
      <c r="D28" s="251" t="s">
        <v>13</v>
      </c>
      <c r="E28" s="251" t="str">
        <v>AB</v>
      </c>
      <c r="F28" s="251" t="str">
        <v>6E</v>
      </c>
      <c r="G28" s="252" t="str">
        <f t="shared" si="0"/>
        <v>Annual</v>
      </c>
      <c r="H28" s="252" t="s">
        <v>103</v>
      </c>
      <c r="I28" s="252" t="str">
        <f t="shared" si="1"/>
        <v>30/360 (Bond Basis)</v>
      </c>
      <c r="J28" s="253">
        <v>0</v>
      </c>
      <c r="K28" s="254" t="str">
        <f t="shared" si="2"/>
        <v>EURAB6E21Y_Quote</v>
      </c>
      <c r="L28" s="255" t="str">
        <f>_xll.qlSwapRateHelper2(,$K28,$B28,$D28,Calendar,$G28,$H28,$I28,$L$3,$J28,C28,Discounting,Permanent,,ObjectOverwrite)</f>
        <v>obj_00764#0001</v>
      </c>
      <c r="M28" s="256" t="str">
        <f>_xll.ohRangeRetrieveError(L28)</f>
        <v/>
      </c>
      <c r="N28" s="239"/>
    </row>
    <row r="29" spans="1:14" ht="11.25" customHeight="1" x14ac:dyDescent="0.25">
      <c r="A29" s="231"/>
      <c r="B29" s="251">
        <v>2</v>
      </c>
      <c r="C29" s="251" t="s">
        <v>101</v>
      </c>
      <c r="D29" s="251" t="s">
        <v>12</v>
      </c>
      <c r="E29" s="251" t="str">
        <v>AB</v>
      </c>
      <c r="F29" s="251" t="str">
        <v>6E</v>
      </c>
      <c r="G29" s="252" t="str">
        <f t="shared" si="0"/>
        <v>Annual</v>
      </c>
      <c r="H29" s="252" t="s">
        <v>103</v>
      </c>
      <c r="I29" s="252" t="str">
        <f t="shared" si="1"/>
        <v>30/360 (Bond Basis)</v>
      </c>
      <c r="J29" s="253">
        <v>0</v>
      </c>
      <c r="K29" s="254" t="str">
        <f t="shared" si="2"/>
        <v>EURAB6E22Y_Quote</v>
      </c>
      <c r="L29" s="255" t="str">
        <f>_xll.qlSwapRateHelper2(,$K29,$B29,$D29,Calendar,$G29,$H29,$I29,$L$3,$J29,C29,Discounting,Permanent,,ObjectOverwrite)</f>
        <v>obj_0074a#0001</v>
      </c>
      <c r="M29" s="256" t="str">
        <f>_xll.ohRangeRetrieveError(L29)</f>
        <v/>
      </c>
      <c r="N29" s="239"/>
    </row>
    <row r="30" spans="1:14" ht="11.25" customHeight="1" x14ac:dyDescent="0.25">
      <c r="A30" s="231"/>
      <c r="B30" s="251">
        <v>2</v>
      </c>
      <c r="C30" s="251" t="s">
        <v>101</v>
      </c>
      <c r="D30" s="251" t="s">
        <v>11</v>
      </c>
      <c r="E30" s="251" t="str">
        <v>AB</v>
      </c>
      <c r="F30" s="251" t="str">
        <v>6E</v>
      </c>
      <c r="G30" s="252" t="str">
        <f t="shared" si="0"/>
        <v>Annual</v>
      </c>
      <c r="H30" s="252" t="s">
        <v>103</v>
      </c>
      <c r="I30" s="252" t="str">
        <f t="shared" si="1"/>
        <v>30/360 (Bond Basis)</v>
      </c>
      <c r="J30" s="253">
        <v>0</v>
      </c>
      <c r="K30" s="254" t="str">
        <f t="shared" si="2"/>
        <v>EURAB6E23Y_Quote</v>
      </c>
      <c r="L30" s="255" t="str">
        <f>_xll.qlSwapRateHelper2(,$K30,$B30,$D30,Calendar,$G30,$H30,$I30,$L$3,$J30,C30,Discounting,Permanent,,ObjectOverwrite)</f>
        <v>obj_0074d#0001</v>
      </c>
      <c r="M30" s="256" t="str">
        <f>_xll.ohRangeRetrieveError(L30)</f>
        <v/>
      </c>
      <c r="N30" s="239"/>
    </row>
    <row r="31" spans="1:14" ht="11.25" customHeight="1" x14ac:dyDescent="0.25">
      <c r="A31" s="231"/>
      <c r="B31" s="251">
        <v>2</v>
      </c>
      <c r="C31" s="251" t="s">
        <v>101</v>
      </c>
      <c r="D31" s="251" t="s">
        <v>10</v>
      </c>
      <c r="E31" s="251" t="str">
        <v>AB</v>
      </c>
      <c r="F31" s="251" t="str">
        <v>6E</v>
      </c>
      <c r="G31" s="252" t="str">
        <f t="shared" si="0"/>
        <v>Annual</v>
      </c>
      <c r="H31" s="252" t="s">
        <v>103</v>
      </c>
      <c r="I31" s="252" t="str">
        <f t="shared" si="1"/>
        <v>30/360 (Bond Basis)</v>
      </c>
      <c r="J31" s="253">
        <v>0</v>
      </c>
      <c r="K31" s="254" t="str">
        <f t="shared" si="2"/>
        <v>EURAB6E24Y_Quote</v>
      </c>
      <c r="L31" s="255" t="str">
        <f>_xll.qlSwapRateHelper2(,$K31,$B31,$D31,Calendar,$G31,$H31,$I31,$L$3,$J31,C31,Discounting,Permanent,,ObjectOverwrite)</f>
        <v>obj_0075e#0001</v>
      </c>
      <c r="M31" s="256" t="str">
        <f>_xll.ohRangeRetrieveError(L31)</f>
        <v/>
      </c>
      <c r="N31" s="239"/>
    </row>
    <row r="32" spans="1:14" ht="11.25" customHeight="1" x14ac:dyDescent="0.25">
      <c r="A32" s="231"/>
      <c r="B32" s="251">
        <v>2</v>
      </c>
      <c r="C32" s="251" t="s">
        <v>101</v>
      </c>
      <c r="D32" s="251" t="s">
        <v>9</v>
      </c>
      <c r="E32" s="251" t="str">
        <v>AB</v>
      </c>
      <c r="F32" s="251" t="str">
        <v>6E</v>
      </c>
      <c r="G32" s="252" t="str">
        <f t="shared" si="0"/>
        <v>Annual</v>
      </c>
      <c r="H32" s="252" t="s">
        <v>103</v>
      </c>
      <c r="I32" s="252" t="str">
        <f t="shared" si="1"/>
        <v>30/360 (Bond Basis)</v>
      </c>
      <c r="J32" s="253">
        <v>0</v>
      </c>
      <c r="K32" s="254" t="str">
        <f t="shared" si="2"/>
        <v>EURAB6E25Y_Quote</v>
      </c>
      <c r="L32" s="255" t="str">
        <f>_xll.qlSwapRateHelper2(,$K32,$B32,$D32,Calendar,$G32,$H32,$I32,$L$3,$J32,C32,Discounting,Permanent,,ObjectOverwrite)</f>
        <v>obj_00753#0001</v>
      </c>
      <c r="M32" s="256" t="str">
        <f>_xll.ohRangeRetrieveError(L32)</f>
        <v/>
      </c>
      <c r="N32" s="239"/>
    </row>
    <row r="33" spans="1:14" ht="11.25" customHeight="1" x14ac:dyDescent="0.25">
      <c r="A33" s="231"/>
      <c r="B33" s="251">
        <v>2</v>
      </c>
      <c r="C33" s="251" t="s">
        <v>101</v>
      </c>
      <c r="D33" s="251" t="s">
        <v>8</v>
      </c>
      <c r="E33" s="251" t="str">
        <v>AB</v>
      </c>
      <c r="F33" s="251" t="str">
        <v>6E</v>
      </c>
      <c r="G33" s="252" t="str">
        <f t="shared" si="0"/>
        <v>Annual</v>
      </c>
      <c r="H33" s="252" t="s">
        <v>103</v>
      </c>
      <c r="I33" s="252" t="str">
        <f t="shared" si="1"/>
        <v>30/360 (Bond Basis)</v>
      </c>
      <c r="J33" s="253">
        <v>0</v>
      </c>
      <c r="K33" s="254" t="str">
        <f t="shared" si="2"/>
        <v>EURAB6E26Y_Quote</v>
      </c>
      <c r="L33" s="255" t="str">
        <f>_xll.qlSwapRateHelper2(,$K33,$B33,$D33,Calendar,$G33,$H33,$I33,$L$3,$J33,C33,Discounting,Permanent,,ObjectOverwrite)</f>
        <v>obj_0075f#0001</v>
      </c>
      <c r="M33" s="256" t="str">
        <f>_xll.ohRangeRetrieveError(L33)</f>
        <v/>
      </c>
      <c r="N33" s="239"/>
    </row>
    <row r="34" spans="1:14" ht="11.25" customHeight="1" x14ac:dyDescent="0.25">
      <c r="A34" s="231"/>
      <c r="B34" s="251">
        <v>2</v>
      </c>
      <c r="C34" s="251" t="s">
        <v>101</v>
      </c>
      <c r="D34" s="251" t="s">
        <v>7</v>
      </c>
      <c r="E34" s="251" t="str">
        <v>AB</v>
      </c>
      <c r="F34" s="251" t="str">
        <v>6E</v>
      </c>
      <c r="G34" s="252" t="str">
        <f t="shared" si="0"/>
        <v>Annual</v>
      </c>
      <c r="H34" s="252" t="s">
        <v>103</v>
      </c>
      <c r="I34" s="252" t="str">
        <f t="shared" si="1"/>
        <v>30/360 (Bond Basis)</v>
      </c>
      <c r="J34" s="253">
        <v>0</v>
      </c>
      <c r="K34" s="254" t="str">
        <f t="shared" si="2"/>
        <v>EURAB6E27Y_Quote</v>
      </c>
      <c r="L34" s="255" t="str">
        <f>_xll.qlSwapRateHelper2(,$K34,$B34,$D34,Calendar,$G34,$H34,$I34,$L$3,$J34,C34,Discounting,Permanent,,ObjectOverwrite)</f>
        <v>obj_00763#0001</v>
      </c>
      <c r="M34" s="256" t="str">
        <f>_xll.ohRangeRetrieveError(L34)</f>
        <v/>
      </c>
      <c r="N34" s="239"/>
    </row>
    <row r="35" spans="1:14" ht="11.25" customHeight="1" x14ac:dyDescent="0.25">
      <c r="A35" s="231"/>
      <c r="B35" s="251">
        <v>2</v>
      </c>
      <c r="C35" s="251" t="s">
        <v>101</v>
      </c>
      <c r="D35" s="251" t="s">
        <v>6</v>
      </c>
      <c r="E35" s="251" t="str">
        <v>AB</v>
      </c>
      <c r="F35" s="251" t="str">
        <v>6E</v>
      </c>
      <c r="G35" s="252" t="str">
        <f t="shared" si="0"/>
        <v>Annual</v>
      </c>
      <c r="H35" s="252" t="s">
        <v>103</v>
      </c>
      <c r="I35" s="252" t="str">
        <f t="shared" si="1"/>
        <v>30/360 (Bond Basis)</v>
      </c>
      <c r="J35" s="253">
        <v>0</v>
      </c>
      <c r="K35" s="254" t="str">
        <f t="shared" si="2"/>
        <v>EURAB6E28Y_Quote</v>
      </c>
      <c r="L35" s="255" t="str">
        <f>_xll.qlSwapRateHelper2(,$K35,$B35,$D35,Calendar,$G35,$H35,$I35,$L$3,$J35,C35,Discounting,Permanent,,ObjectOverwrite)</f>
        <v>obj_00757#0001</v>
      </c>
      <c r="M35" s="256" t="str">
        <f>_xll.ohRangeRetrieveError(L35)</f>
        <v/>
      </c>
      <c r="N35" s="239"/>
    </row>
    <row r="36" spans="1:14" ht="11.25" customHeight="1" x14ac:dyDescent="0.25">
      <c r="A36" s="231"/>
      <c r="B36" s="251">
        <v>2</v>
      </c>
      <c r="C36" s="251" t="s">
        <v>101</v>
      </c>
      <c r="D36" s="251" t="s">
        <v>5</v>
      </c>
      <c r="E36" s="251" t="str">
        <v>AB</v>
      </c>
      <c r="F36" s="251" t="str">
        <v>6E</v>
      </c>
      <c r="G36" s="252" t="str">
        <f t="shared" si="0"/>
        <v>Annual</v>
      </c>
      <c r="H36" s="252" t="s">
        <v>103</v>
      </c>
      <c r="I36" s="252" t="str">
        <f t="shared" si="1"/>
        <v>30/360 (Bond Basis)</v>
      </c>
      <c r="J36" s="253">
        <v>0</v>
      </c>
      <c r="K36" s="254" t="str">
        <f t="shared" si="2"/>
        <v>EURAB6E29Y_Quote</v>
      </c>
      <c r="L36" s="255" t="str">
        <f>_xll.qlSwapRateHelper2(,$K36,$B36,$D36,Calendar,$G36,$H36,$I36,$L$3,$J36,C36,Discounting,Permanent,,ObjectOverwrite)</f>
        <v>obj_00747#0001</v>
      </c>
      <c r="M36" s="256" t="str">
        <f>_xll.ohRangeRetrieveError(L36)</f>
        <v/>
      </c>
      <c r="N36" s="239"/>
    </row>
    <row r="37" spans="1:14" ht="11.25" customHeight="1" x14ac:dyDescent="0.25">
      <c r="A37" s="231"/>
      <c r="B37" s="251">
        <v>2</v>
      </c>
      <c r="C37" s="251" t="s">
        <v>101</v>
      </c>
      <c r="D37" s="251" t="s">
        <v>4</v>
      </c>
      <c r="E37" s="251" t="str">
        <v>AB</v>
      </c>
      <c r="F37" s="251" t="str">
        <v>6E</v>
      </c>
      <c r="G37" s="252" t="str">
        <f t="shared" si="0"/>
        <v>Annual</v>
      </c>
      <c r="H37" s="252" t="s">
        <v>103</v>
      </c>
      <c r="I37" s="252" t="str">
        <f t="shared" si="1"/>
        <v>30/360 (Bond Basis)</v>
      </c>
      <c r="J37" s="253">
        <v>0</v>
      </c>
      <c r="K37" s="254" t="str">
        <f t="shared" si="2"/>
        <v>EURAB6E30Y_Quote</v>
      </c>
      <c r="L37" s="255" t="str">
        <f>_xll.qlSwapRateHelper2(,$K37,$B37,$D37,Calendar,$G37,$H37,$I37,$L$3,$J37,C37,Discounting,Permanent,,ObjectOverwrite)</f>
        <v>obj_00760#0001</v>
      </c>
      <c r="M37" s="256" t="str">
        <f>_xll.ohRangeRetrieveError(L37)</f>
        <v/>
      </c>
      <c r="N37" s="239"/>
    </row>
    <row r="38" spans="1:14" ht="11.25" customHeight="1" x14ac:dyDescent="0.25">
      <c r="A38" s="231"/>
      <c r="B38" s="251">
        <v>2</v>
      </c>
      <c r="C38" s="251" t="s">
        <v>101</v>
      </c>
      <c r="D38" s="251" t="s">
        <v>3</v>
      </c>
      <c r="E38" s="251" t="str">
        <v>AB</v>
      </c>
      <c r="F38" s="251" t="str">
        <v>6E</v>
      </c>
      <c r="G38" s="252" t="str">
        <f t="shared" si="0"/>
        <v>Annual</v>
      </c>
      <c r="H38" s="252" t="s">
        <v>103</v>
      </c>
      <c r="I38" s="252" t="str">
        <f t="shared" si="1"/>
        <v>30/360 (Bond Basis)</v>
      </c>
      <c r="J38" s="253">
        <v>0</v>
      </c>
      <c r="K38" s="254" t="str">
        <f t="shared" si="2"/>
        <v>EURAB6E35Y_Quote</v>
      </c>
      <c r="L38" s="255" t="str">
        <f>_xll.qlSwapRateHelper2(,$K38,$B38,$D38,Calendar,$G38,$H38,$I38,$L$3,$J38,C38,Discounting,Permanent,,ObjectOverwrite)</f>
        <v>obj_00745#0001</v>
      </c>
      <c r="M38" s="256" t="str">
        <f>_xll.ohRangeRetrieveError(L38)</f>
        <v/>
      </c>
      <c r="N38" s="239"/>
    </row>
    <row r="39" spans="1:14" ht="11.25" customHeight="1" x14ac:dyDescent="0.25">
      <c r="A39" s="231"/>
      <c r="B39" s="251">
        <v>2</v>
      </c>
      <c r="C39" s="251" t="s">
        <v>101</v>
      </c>
      <c r="D39" s="251" t="s">
        <v>2</v>
      </c>
      <c r="E39" s="251" t="str">
        <v>AB</v>
      </c>
      <c r="F39" s="251" t="str">
        <v>6E</v>
      </c>
      <c r="G39" s="252" t="str">
        <f t="shared" si="0"/>
        <v>Annual</v>
      </c>
      <c r="H39" s="252" t="s">
        <v>103</v>
      </c>
      <c r="I39" s="252" t="str">
        <f t="shared" si="1"/>
        <v>30/360 (Bond Basis)</v>
      </c>
      <c r="J39" s="253">
        <v>0</v>
      </c>
      <c r="K39" s="254" t="str">
        <f t="shared" si="2"/>
        <v>EURAB6E40Y_Quote</v>
      </c>
      <c r="L39" s="255" t="str">
        <f>_xll.qlSwapRateHelper2(,$K39,$B39,$D39,Calendar,$G39,$H39,$I39,$L$3,$J39,C39,Discounting,Permanent,,ObjectOverwrite)</f>
        <v>obj_00744#0001</v>
      </c>
      <c r="M39" s="256" t="str">
        <f>_xll.ohRangeRetrieveError(L39)</f>
        <v/>
      </c>
      <c r="N39" s="239"/>
    </row>
    <row r="40" spans="1:14" ht="11.25" customHeight="1" x14ac:dyDescent="0.25">
      <c r="A40" s="231"/>
      <c r="B40" s="251">
        <v>2</v>
      </c>
      <c r="C40" s="251" t="s">
        <v>101</v>
      </c>
      <c r="D40" s="251" t="s">
        <v>1</v>
      </c>
      <c r="E40" s="251" t="str">
        <v>AB</v>
      </c>
      <c r="F40" s="251" t="str">
        <v>6E</v>
      </c>
      <c r="G40" s="252" t="str">
        <f t="shared" si="0"/>
        <v>Annual</v>
      </c>
      <c r="H40" s="252" t="s">
        <v>103</v>
      </c>
      <c r="I40" s="252" t="str">
        <f t="shared" si="1"/>
        <v>30/360 (Bond Basis)</v>
      </c>
      <c r="J40" s="253">
        <v>0</v>
      </c>
      <c r="K40" s="254" t="str">
        <f t="shared" si="2"/>
        <v>EURAB6E50Y_Quote</v>
      </c>
      <c r="L40" s="255" t="str">
        <f>_xll.qlSwapRateHelper2(,$K40,$B40,$D40,Calendar,$G40,$H40,$I40,$L$3,$J40,C40,Discounting,Permanent,,ObjectOverwrite)</f>
        <v>obj_0074c#0001</v>
      </c>
      <c r="M40" s="256" t="str">
        <f>_xll.ohRangeRetrieveError(L40)</f>
        <v/>
      </c>
      <c r="N40" s="239"/>
    </row>
    <row r="41" spans="1:14" ht="11.25" customHeight="1" x14ac:dyDescent="0.25">
      <c r="A41" s="231"/>
      <c r="B41" s="261">
        <v>2</v>
      </c>
      <c r="C41" s="261" t="s">
        <v>101</v>
      </c>
      <c r="D41" s="261" t="s">
        <v>0</v>
      </c>
      <c r="E41" s="261" t="str">
        <v>AB</v>
      </c>
      <c r="F41" s="261" t="str">
        <v>6E</v>
      </c>
      <c r="G41" s="262" t="str">
        <f t="shared" si="0"/>
        <v>Annual</v>
      </c>
      <c r="H41" s="262" t="s">
        <v>103</v>
      </c>
      <c r="I41" s="262" t="str">
        <f t="shared" si="1"/>
        <v>30/360 (Bond Basis)</v>
      </c>
      <c r="J41" s="263">
        <v>0</v>
      </c>
      <c r="K41" s="264" t="str">
        <f t="shared" si="2"/>
        <v>EURAB6E60Y_Quote</v>
      </c>
      <c r="L41" s="265" t="str">
        <f>_xll.qlSwapRateHelper2(,$K41,$B41,$D41,Calendar,$G41,$H41,$I41,$L$3,$J41,C41,Discounting,Permanent,,ObjectOverwrite)</f>
        <v>obj_00754#0001</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election activeCell="K3" sqref="K3"/>
    </sheetView>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79</v>
      </c>
      <c r="J2" s="80" t="str">
        <f>Currency&amp;"_YC"&amp;$I$2&amp;"RH"</f>
        <v>EUR_YC6MRH</v>
      </c>
      <c r="K2" s="233" t="str">
        <f>J2&amp;"_Swaps.xml"</f>
        <v>EUR_YC6MRH_Swaps.xml</v>
      </c>
      <c r="L2" s="232"/>
      <c r="M2" s="234"/>
    </row>
    <row r="3" spans="1:15" ht="25.5" customHeight="1" x14ac:dyDescent="0.25">
      <c r="A3" s="231"/>
      <c r="B3" s="236" t="s">
        <v>169</v>
      </c>
      <c r="C3" s="236" t="s">
        <v>111</v>
      </c>
      <c r="D3" s="236" t="s">
        <v>136</v>
      </c>
      <c r="E3" s="236"/>
      <c r="F3" s="236" t="s">
        <v>110</v>
      </c>
      <c r="G3" s="236" t="s">
        <v>109</v>
      </c>
      <c r="H3" s="236" t="s">
        <v>108</v>
      </c>
      <c r="I3" s="236" t="s">
        <v>107</v>
      </c>
      <c r="J3" s="236" t="s">
        <v>89</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obj_0072d#0001</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156</v>
      </c>
      <c r="G6" s="244" t="s">
        <v>103</v>
      </c>
      <c r="H6" s="244" t="s">
        <v>115</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156</v>
      </c>
      <c r="G7" s="252" t="s">
        <v>103</v>
      </c>
      <c r="H7" s="252" t="s">
        <v>115</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156</v>
      </c>
      <c r="G8" s="252" t="s">
        <v>103</v>
      </c>
      <c r="H8" s="252" t="s">
        <v>115</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156</v>
      </c>
      <c r="G9" s="252" t="s">
        <v>103</v>
      </c>
      <c r="H9" s="252" t="s">
        <v>115</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156</v>
      </c>
      <c r="G10" s="252" t="s">
        <v>103</v>
      </c>
      <c r="H10" s="252" t="s">
        <v>115</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156</v>
      </c>
      <c r="G11" s="252" t="s">
        <v>103</v>
      </c>
      <c r="H11" s="252" t="s">
        <v>115</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156</v>
      </c>
      <c r="G12" s="252" t="s">
        <v>103</v>
      </c>
      <c r="H12" s="252" t="s">
        <v>115</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156</v>
      </c>
      <c r="G13" s="252" t="s">
        <v>103</v>
      </c>
      <c r="H13" s="252" t="s">
        <v>115</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156</v>
      </c>
      <c r="G14" s="252" t="s">
        <v>103</v>
      </c>
      <c r="H14" s="252" t="s">
        <v>115</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156</v>
      </c>
      <c r="G15" s="252" t="s">
        <v>103</v>
      </c>
      <c r="H15" s="252" t="s">
        <v>115</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156</v>
      </c>
      <c r="G16" s="252" t="s">
        <v>103</v>
      </c>
      <c r="H16" s="252" t="s">
        <v>115</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156</v>
      </c>
      <c r="G17" s="252" t="s">
        <v>103</v>
      </c>
      <c r="H17" s="252" t="s">
        <v>115</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156</v>
      </c>
      <c r="G18" s="252" t="s">
        <v>103</v>
      </c>
      <c r="H18" s="252" t="s">
        <v>115</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156</v>
      </c>
      <c r="G19" s="252" t="s">
        <v>103</v>
      </c>
      <c r="H19" s="252" t="s">
        <v>115</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156</v>
      </c>
      <c r="G20" s="252" t="s">
        <v>103</v>
      </c>
      <c r="H20" s="252" t="s">
        <v>115</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156</v>
      </c>
      <c r="G21" s="252" t="s">
        <v>103</v>
      </c>
      <c r="H21" s="252" t="s">
        <v>115</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156</v>
      </c>
      <c r="G22" s="252" t="s">
        <v>103</v>
      </c>
      <c r="H22" s="252" t="s">
        <v>115</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156</v>
      </c>
      <c r="G23" s="262" t="s">
        <v>103</v>
      </c>
      <c r="H23" s="262" t="s">
        <v>115</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156</v>
      </c>
      <c r="G24" s="244" t="s">
        <v>103</v>
      </c>
      <c r="H24" s="244" t="s">
        <v>115</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156</v>
      </c>
      <c r="G25" s="252" t="s">
        <v>103</v>
      </c>
      <c r="H25" s="252" t="s">
        <v>115</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156</v>
      </c>
      <c r="G26" s="252" t="s">
        <v>103</v>
      </c>
      <c r="H26" s="252" t="s">
        <v>115</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156</v>
      </c>
      <c r="G27" s="252" t="s">
        <v>103</v>
      </c>
      <c r="H27" s="252" t="s">
        <v>115</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156</v>
      </c>
      <c r="G28" s="252" t="s">
        <v>103</v>
      </c>
      <c r="H28" s="252" t="s">
        <v>115</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156</v>
      </c>
      <c r="G29" s="252" t="s">
        <v>103</v>
      </c>
      <c r="H29" s="252" t="s">
        <v>115</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156</v>
      </c>
      <c r="G30" s="252" t="s">
        <v>103</v>
      </c>
      <c r="H30" s="252" t="s">
        <v>115</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156</v>
      </c>
      <c r="G31" s="252" t="s">
        <v>103</v>
      </c>
      <c r="H31" s="252" t="s">
        <v>115</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156</v>
      </c>
      <c r="G32" s="252" t="s">
        <v>103</v>
      </c>
      <c r="H32" s="252" t="s">
        <v>115</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156</v>
      </c>
      <c r="G33" s="252" t="s">
        <v>103</v>
      </c>
      <c r="H33" s="252" t="s">
        <v>115</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156</v>
      </c>
      <c r="G34" s="252" t="s">
        <v>103</v>
      </c>
      <c r="H34" s="252" t="s">
        <v>115</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156</v>
      </c>
      <c r="G35" s="252" t="s">
        <v>103</v>
      </c>
      <c r="H35" s="252" t="s">
        <v>115</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156</v>
      </c>
      <c r="G36" s="252" t="s">
        <v>103</v>
      </c>
      <c r="H36" s="252" t="s">
        <v>115</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156</v>
      </c>
      <c r="G37" s="252" t="s">
        <v>103</v>
      </c>
      <c r="H37" s="252" t="s">
        <v>115</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156</v>
      </c>
      <c r="G38" s="252" t="s">
        <v>103</v>
      </c>
      <c r="H38" s="252" t="s">
        <v>115</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156</v>
      </c>
      <c r="G39" s="252" t="s">
        <v>103</v>
      </c>
      <c r="H39" s="252" t="s">
        <v>115</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156</v>
      </c>
      <c r="G40" s="252" t="s">
        <v>103</v>
      </c>
      <c r="H40" s="252" t="s">
        <v>115</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156</v>
      </c>
      <c r="G41" s="262" t="s">
        <v>103</v>
      </c>
      <c r="H41" s="262" t="s">
        <v>115</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156</v>
      </c>
      <c r="G42" s="244" t="s">
        <v>103</v>
      </c>
      <c r="H42" s="244" t="s">
        <v>115</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156</v>
      </c>
      <c r="G43" s="252" t="s">
        <v>103</v>
      </c>
      <c r="H43" s="252" t="s">
        <v>115</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156</v>
      </c>
      <c r="G44" s="252" t="s">
        <v>103</v>
      </c>
      <c r="H44" s="252" t="s">
        <v>115</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156</v>
      </c>
      <c r="G45" s="252" t="s">
        <v>103</v>
      </c>
      <c r="H45" s="252" t="s">
        <v>115</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156</v>
      </c>
      <c r="G46" s="252" t="s">
        <v>103</v>
      </c>
      <c r="H46" s="252" t="s">
        <v>115</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156</v>
      </c>
      <c r="G47" s="252" t="s">
        <v>103</v>
      </c>
      <c r="H47" s="252" t="s">
        <v>115</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156</v>
      </c>
      <c r="G48" s="252" t="s">
        <v>103</v>
      </c>
      <c r="H48" s="252" t="s">
        <v>115</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156</v>
      </c>
      <c r="G49" s="252" t="s">
        <v>103</v>
      </c>
      <c r="H49" s="252" t="s">
        <v>115</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156</v>
      </c>
      <c r="G50" s="252" t="s">
        <v>103</v>
      </c>
      <c r="H50" s="252" t="s">
        <v>115</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156</v>
      </c>
      <c r="G51" s="252" t="s">
        <v>103</v>
      </c>
      <c r="H51" s="252" t="s">
        <v>115</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156</v>
      </c>
      <c r="G52" s="252" t="s">
        <v>103</v>
      </c>
      <c r="H52" s="252" t="s">
        <v>115</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156</v>
      </c>
      <c r="G53" s="252" t="s">
        <v>103</v>
      </c>
      <c r="H53" s="252" t="s">
        <v>115</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156</v>
      </c>
      <c r="G54" s="252" t="s">
        <v>103</v>
      </c>
      <c r="H54" s="252" t="s">
        <v>115</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156</v>
      </c>
      <c r="G55" s="252" t="s">
        <v>103</v>
      </c>
      <c r="H55" s="252" t="s">
        <v>115</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156</v>
      </c>
      <c r="G56" s="252" t="s">
        <v>103</v>
      </c>
      <c r="H56" s="252" t="s">
        <v>115</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156</v>
      </c>
      <c r="G57" s="252" t="s">
        <v>103</v>
      </c>
      <c r="H57" s="252" t="s">
        <v>115</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156</v>
      </c>
      <c r="G58" s="252" t="s">
        <v>103</v>
      </c>
      <c r="H58" s="252" t="s">
        <v>115</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156</v>
      </c>
      <c r="G59" s="262" t="s">
        <v>103</v>
      </c>
      <c r="H59" s="262" t="s">
        <v>115</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156</v>
      </c>
      <c r="G60" s="244" t="s">
        <v>103</v>
      </c>
      <c r="H60" s="244" t="s">
        <v>115</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156</v>
      </c>
      <c r="G61" s="252" t="s">
        <v>103</v>
      </c>
      <c r="H61" s="252" t="s">
        <v>115</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156</v>
      </c>
      <c r="G62" s="252" t="s">
        <v>103</v>
      </c>
      <c r="H62" s="252" t="s">
        <v>115</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156</v>
      </c>
      <c r="G63" s="252" t="s">
        <v>103</v>
      </c>
      <c r="H63" s="252" t="s">
        <v>115</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156</v>
      </c>
      <c r="G64" s="252" t="s">
        <v>103</v>
      </c>
      <c r="H64" s="252" t="s">
        <v>115</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156</v>
      </c>
      <c r="G65" s="252" t="s">
        <v>103</v>
      </c>
      <c r="H65" s="252" t="s">
        <v>115</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156</v>
      </c>
      <c r="G66" s="252" t="s">
        <v>103</v>
      </c>
      <c r="H66" s="252" t="s">
        <v>115</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156</v>
      </c>
      <c r="G67" s="252" t="s">
        <v>103</v>
      </c>
      <c r="H67" s="252" t="s">
        <v>115</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156</v>
      </c>
      <c r="G68" s="252" t="s">
        <v>103</v>
      </c>
      <c r="H68" s="252" t="s">
        <v>115</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156</v>
      </c>
      <c r="G69" s="252" t="s">
        <v>103</v>
      </c>
      <c r="H69" s="252" t="s">
        <v>115</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156</v>
      </c>
      <c r="G70" s="252" t="s">
        <v>103</v>
      </c>
      <c r="H70" s="252" t="s">
        <v>115</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156</v>
      </c>
      <c r="G71" s="252" t="s">
        <v>103</v>
      </c>
      <c r="H71" s="252" t="s">
        <v>115</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156</v>
      </c>
      <c r="G72" s="252" t="s">
        <v>103</v>
      </c>
      <c r="H72" s="252" t="s">
        <v>115</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156</v>
      </c>
      <c r="G73" s="252" t="s">
        <v>103</v>
      </c>
      <c r="H73" s="252" t="s">
        <v>115</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156</v>
      </c>
      <c r="G74" s="252" t="s">
        <v>103</v>
      </c>
      <c r="H74" s="252" t="s">
        <v>115</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156</v>
      </c>
      <c r="G75" s="252" t="s">
        <v>103</v>
      </c>
      <c r="H75" s="252" t="s">
        <v>115</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156</v>
      </c>
      <c r="G76" s="252" t="s">
        <v>103</v>
      </c>
      <c r="H76" s="252" t="s">
        <v>115</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156</v>
      </c>
      <c r="G77" s="262" t="s">
        <v>103</v>
      </c>
      <c r="H77" s="262" t="s">
        <v>115</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156</v>
      </c>
      <c r="G78" s="244" t="s">
        <v>103</v>
      </c>
      <c r="H78" s="244" t="s">
        <v>115</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156</v>
      </c>
      <c r="G79" s="252" t="s">
        <v>103</v>
      </c>
      <c r="H79" s="252" t="s">
        <v>115</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156</v>
      </c>
      <c r="G80" s="252" t="s">
        <v>103</v>
      </c>
      <c r="H80" s="252" t="s">
        <v>115</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156</v>
      </c>
      <c r="G81" s="252" t="s">
        <v>103</v>
      </c>
      <c r="H81" s="252" t="s">
        <v>115</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156</v>
      </c>
      <c r="G82" s="252" t="s">
        <v>103</v>
      </c>
      <c r="H82" s="252" t="s">
        <v>115</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156</v>
      </c>
      <c r="G83" s="252" t="s">
        <v>103</v>
      </c>
      <c r="H83" s="252" t="s">
        <v>115</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156</v>
      </c>
      <c r="G84" s="252" t="s">
        <v>103</v>
      </c>
      <c r="H84" s="252" t="s">
        <v>115</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156</v>
      </c>
      <c r="G85" s="252" t="s">
        <v>103</v>
      </c>
      <c r="H85" s="252" t="s">
        <v>115</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156</v>
      </c>
      <c r="G86" s="252" t="s">
        <v>103</v>
      </c>
      <c r="H86" s="252" t="s">
        <v>115</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156</v>
      </c>
      <c r="G87" s="252" t="s">
        <v>103</v>
      </c>
      <c r="H87" s="252" t="s">
        <v>115</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156</v>
      </c>
      <c r="G88" s="252" t="s">
        <v>103</v>
      </c>
      <c r="H88" s="252" t="s">
        <v>115</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156</v>
      </c>
      <c r="G89" s="252" t="s">
        <v>103</v>
      </c>
      <c r="H89" s="252" t="s">
        <v>115</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156</v>
      </c>
      <c r="G90" s="252" t="s">
        <v>103</v>
      </c>
      <c r="H90" s="252" t="s">
        <v>115</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156</v>
      </c>
      <c r="G91" s="252" t="s">
        <v>103</v>
      </c>
      <c r="H91" s="252" t="s">
        <v>115</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156</v>
      </c>
      <c r="G92" s="252" t="s">
        <v>103</v>
      </c>
      <c r="H92" s="252" t="s">
        <v>115</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156</v>
      </c>
      <c r="G93" s="252" t="s">
        <v>103</v>
      </c>
      <c r="H93" s="252" t="s">
        <v>115</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156</v>
      </c>
      <c r="G94" s="252" t="s">
        <v>103</v>
      </c>
      <c r="H94" s="252" t="s">
        <v>115</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156</v>
      </c>
      <c r="G95" s="262" t="s">
        <v>103</v>
      </c>
      <c r="H95" s="262" t="s">
        <v>115</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156</v>
      </c>
      <c r="G96" s="244" t="s">
        <v>103</v>
      </c>
      <c r="H96" s="244" t="s">
        <v>115</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156</v>
      </c>
      <c r="G97" s="252" t="s">
        <v>103</v>
      </c>
      <c r="H97" s="252" t="s">
        <v>115</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156</v>
      </c>
      <c r="G98" s="252" t="s">
        <v>103</v>
      </c>
      <c r="H98" s="252" t="s">
        <v>115</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156</v>
      </c>
      <c r="G99" s="252" t="s">
        <v>103</v>
      </c>
      <c r="H99" s="252" t="s">
        <v>115</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156</v>
      </c>
      <c r="G100" s="252" t="s">
        <v>103</v>
      </c>
      <c r="H100" s="252" t="s">
        <v>115</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156</v>
      </c>
      <c r="G101" s="252" t="s">
        <v>103</v>
      </c>
      <c r="H101" s="252" t="s">
        <v>115</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156</v>
      </c>
      <c r="G102" s="252" t="s">
        <v>103</v>
      </c>
      <c r="H102" s="252" t="s">
        <v>115</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156</v>
      </c>
      <c r="G103" s="252" t="s">
        <v>103</v>
      </c>
      <c r="H103" s="252" t="s">
        <v>115</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156</v>
      </c>
      <c r="G104" s="252" t="s">
        <v>103</v>
      </c>
      <c r="H104" s="252" t="s">
        <v>115</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156</v>
      </c>
      <c r="G105" s="252" t="s">
        <v>103</v>
      </c>
      <c r="H105" s="252" t="s">
        <v>115</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156</v>
      </c>
      <c r="G106" s="252" t="s">
        <v>103</v>
      </c>
      <c r="H106" s="252" t="s">
        <v>115</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156</v>
      </c>
      <c r="G107" s="252" t="s">
        <v>103</v>
      </c>
      <c r="H107" s="252" t="s">
        <v>115</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156</v>
      </c>
      <c r="G108" s="252" t="s">
        <v>103</v>
      </c>
      <c r="H108" s="252" t="s">
        <v>115</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156</v>
      </c>
      <c r="G109" s="252" t="s">
        <v>103</v>
      </c>
      <c r="H109" s="252" t="s">
        <v>115</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156</v>
      </c>
      <c r="G110" s="252" t="s">
        <v>103</v>
      </c>
      <c r="H110" s="252" t="s">
        <v>115</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156</v>
      </c>
      <c r="G111" s="252" t="s">
        <v>103</v>
      </c>
      <c r="H111" s="252" t="s">
        <v>115</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156</v>
      </c>
      <c r="G112" s="252" t="s">
        <v>103</v>
      </c>
      <c r="H112" s="252" t="s">
        <v>115</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156</v>
      </c>
      <c r="G113" s="262" t="s">
        <v>103</v>
      </c>
      <c r="H113" s="262" t="s">
        <v>115</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156</v>
      </c>
      <c r="G114" s="244" t="s">
        <v>103</v>
      </c>
      <c r="H114" s="244" t="s">
        <v>115</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156</v>
      </c>
      <c r="G115" s="252" t="s">
        <v>103</v>
      </c>
      <c r="H115" s="252" t="s">
        <v>115</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156</v>
      </c>
      <c r="G116" s="252" t="s">
        <v>103</v>
      </c>
      <c r="H116" s="252" t="s">
        <v>115</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156</v>
      </c>
      <c r="G117" s="252" t="s">
        <v>103</v>
      </c>
      <c r="H117" s="252" t="s">
        <v>115</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156</v>
      </c>
      <c r="G118" s="252" t="s">
        <v>103</v>
      </c>
      <c r="H118" s="252" t="s">
        <v>115</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156</v>
      </c>
      <c r="G119" s="252" t="s">
        <v>103</v>
      </c>
      <c r="H119" s="252" t="s">
        <v>115</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156</v>
      </c>
      <c r="G120" s="252" t="s">
        <v>103</v>
      </c>
      <c r="H120" s="252" t="s">
        <v>115</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156</v>
      </c>
      <c r="G121" s="252" t="s">
        <v>103</v>
      </c>
      <c r="H121" s="252" t="s">
        <v>115</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156</v>
      </c>
      <c r="G122" s="252" t="s">
        <v>103</v>
      </c>
      <c r="H122" s="252" t="s">
        <v>115</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156</v>
      </c>
      <c r="G123" s="252" t="s">
        <v>103</v>
      </c>
      <c r="H123" s="252" t="s">
        <v>115</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156</v>
      </c>
      <c r="G124" s="252" t="s">
        <v>103</v>
      </c>
      <c r="H124" s="252" t="s">
        <v>115</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156</v>
      </c>
      <c r="G125" s="252" t="s">
        <v>103</v>
      </c>
      <c r="H125" s="252" t="s">
        <v>115</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156</v>
      </c>
      <c r="G126" s="252" t="s">
        <v>103</v>
      </c>
      <c r="H126" s="252" t="s">
        <v>115</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156</v>
      </c>
      <c r="G127" s="252" t="s">
        <v>103</v>
      </c>
      <c r="H127" s="252" t="s">
        <v>115</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156</v>
      </c>
      <c r="G128" s="252" t="s">
        <v>103</v>
      </c>
      <c r="H128" s="252" t="s">
        <v>115</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156</v>
      </c>
      <c r="G129" s="252" t="s">
        <v>103</v>
      </c>
      <c r="H129" s="252" t="s">
        <v>115</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156</v>
      </c>
      <c r="G130" s="252" t="s">
        <v>103</v>
      </c>
      <c r="H130" s="252" t="s">
        <v>115</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156</v>
      </c>
      <c r="G131" s="262" t="s">
        <v>103</v>
      </c>
      <c r="H131" s="262" t="s">
        <v>115</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156</v>
      </c>
      <c r="G132" s="244" t="s">
        <v>103</v>
      </c>
      <c r="H132" s="244" t="s">
        <v>115</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156</v>
      </c>
      <c r="G133" s="252" t="s">
        <v>103</v>
      </c>
      <c r="H133" s="252" t="s">
        <v>115</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156</v>
      </c>
      <c r="G134" s="252" t="s">
        <v>103</v>
      </c>
      <c r="H134" s="252" t="s">
        <v>115</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156</v>
      </c>
      <c r="G135" s="252" t="s">
        <v>103</v>
      </c>
      <c r="H135" s="252" t="s">
        <v>115</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156</v>
      </c>
      <c r="G136" s="252" t="s">
        <v>103</v>
      </c>
      <c r="H136" s="252" t="s">
        <v>115</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156</v>
      </c>
      <c r="G137" s="252" t="s">
        <v>103</v>
      </c>
      <c r="H137" s="252" t="s">
        <v>115</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156</v>
      </c>
      <c r="G138" s="252" t="s">
        <v>103</v>
      </c>
      <c r="H138" s="252" t="s">
        <v>115</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156</v>
      </c>
      <c r="G139" s="252" t="s">
        <v>103</v>
      </c>
      <c r="H139" s="252" t="s">
        <v>115</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156</v>
      </c>
      <c r="G140" s="252" t="s">
        <v>103</v>
      </c>
      <c r="H140" s="252" t="s">
        <v>115</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156</v>
      </c>
      <c r="G141" s="252" t="s">
        <v>103</v>
      </c>
      <c r="H141" s="252" t="s">
        <v>115</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156</v>
      </c>
      <c r="G142" s="252" t="s">
        <v>103</v>
      </c>
      <c r="H142" s="252" t="s">
        <v>115</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156</v>
      </c>
      <c r="G143" s="252" t="s">
        <v>103</v>
      </c>
      <c r="H143" s="252" t="s">
        <v>115</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156</v>
      </c>
      <c r="G144" s="252" t="s">
        <v>103</v>
      </c>
      <c r="H144" s="252" t="s">
        <v>115</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156</v>
      </c>
      <c r="G145" s="252" t="s">
        <v>103</v>
      </c>
      <c r="H145" s="252" t="s">
        <v>115</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156</v>
      </c>
      <c r="G146" s="252" t="s">
        <v>103</v>
      </c>
      <c r="H146" s="252" t="s">
        <v>115</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156</v>
      </c>
      <c r="G147" s="252" t="s">
        <v>103</v>
      </c>
      <c r="H147" s="252" t="s">
        <v>115</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156</v>
      </c>
      <c r="G148" s="252" t="s">
        <v>103</v>
      </c>
      <c r="H148" s="252" t="s">
        <v>115</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156</v>
      </c>
      <c r="G149" s="262" t="s">
        <v>103</v>
      </c>
      <c r="H149" s="262" t="s">
        <v>115</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156</v>
      </c>
      <c r="G150" s="244" t="s">
        <v>103</v>
      </c>
      <c r="H150" s="244" t="s">
        <v>115</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156</v>
      </c>
      <c r="G151" s="252" t="s">
        <v>103</v>
      </c>
      <c r="H151" s="252" t="s">
        <v>115</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156</v>
      </c>
      <c r="G152" s="252" t="s">
        <v>103</v>
      </c>
      <c r="H152" s="252" t="s">
        <v>115</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156</v>
      </c>
      <c r="G153" s="252" t="s">
        <v>103</v>
      </c>
      <c r="H153" s="252" t="s">
        <v>115</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156</v>
      </c>
      <c r="G154" s="252" t="s">
        <v>103</v>
      </c>
      <c r="H154" s="252" t="s">
        <v>115</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156</v>
      </c>
      <c r="G155" s="252" t="s">
        <v>103</v>
      </c>
      <c r="H155" s="252" t="s">
        <v>115</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156</v>
      </c>
      <c r="G156" s="252" t="s">
        <v>103</v>
      </c>
      <c r="H156" s="252" t="s">
        <v>115</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156</v>
      </c>
      <c r="G157" s="252" t="s">
        <v>103</v>
      </c>
      <c r="H157" s="252" t="s">
        <v>115</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156</v>
      </c>
      <c r="G158" s="252" t="s">
        <v>103</v>
      </c>
      <c r="H158" s="252" t="s">
        <v>115</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156</v>
      </c>
      <c r="G159" s="252" t="s">
        <v>103</v>
      </c>
      <c r="H159" s="252" t="s">
        <v>115</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156</v>
      </c>
      <c r="G160" s="252" t="s">
        <v>103</v>
      </c>
      <c r="H160" s="252" t="s">
        <v>115</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156</v>
      </c>
      <c r="G161" s="252" t="s">
        <v>103</v>
      </c>
      <c r="H161" s="252" t="s">
        <v>115</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156</v>
      </c>
      <c r="G162" s="252" t="s">
        <v>103</v>
      </c>
      <c r="H162" s="252" t="s">
        <v>115</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156</v>
      </c>
      <c r="G163" s="252" t="s">
        <v>103</v>
      </c>
      <c r="H163" s="252" t="s">
        <v>115</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156</v>
      </c>
      <c r="G164" s="252" t="s">
        <v>103</v>
      </c>
      <c r="H164" s="252" t="s">
        <v>115</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156</v>
      </c>
      <c r="G165" s="252" t="s">
        <v>103</v>
      </c>
      <c r="H165" s="252" t="s">
        <v>115</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156</v>
      </c>
      <c r="G166" s="252" t="s">
        <v>103</v>
      </c>
      <c r="H166" s="252" t="s">
        <v>115</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156</v>
      </c>
      <c r="G167" s="262" t="s">
        <v>103</v>
      </c>
      <c r="H167" s="262" t="s">
        <v>115</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156</v>
      </c>
      <c r="G168" s="244" t="s">
        <v>103</v>
      </c>
      <c r="H168" s="244" t="s">
        <v>115</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156</v>
      </c>
      <c r="G169" s="252" t="s">
        <v>103</v>
      </c>
      <c r="H169" s="252" t="s">
        <v>115</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156</v>
      </c>
      <c r="G170" s="252" t="s">
        <v>103</v>
      </c>
      <c r="H170" s="252" t="s">
        <v>115</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156</v>
      </c>
      <c r="G171" s="252" t="s">
        <v>103</v>
      </c>
      <c r="H171" s="252" t="s">
        <v>115</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156</v>
      </c>
      <c r="G172" s="252" t="s">
        <v>103</v>
      </c>
      <c r="H172" s="252" t="s">
        <v>115</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156</v>
      </c>
      <c r="G173" s="252" t="s">
        <v>103</v>
      </c>
      <c r="H173" s="252" t="s">
        <v>115</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156</v>
      </c>
      <c r="G174" s="252" t="s">
        <v>103</v>
      </c>
      <c r="H174" s="252" t="s">
        <v>115</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156</v>
      </c>
      <c r="G175" s="252" t="s">
        <v>103</v>
      </c>
      <c r="H175" s="252" t="s">
        <v>115</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156</v>
      </c>
      <c r="G176" s="252" t="s">
        <v>103</v>
      </c>
      <c r="H176" s="252" t="s">
        <v>115</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156</v>
      </c>
      <c r="G177" s="252" t="s">
        <v>103</v>
      </c>
      <c r="H177" s="252" t="s">
        <v>115</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156</v>
      </c>
      <c r="G178" s="252" t="s">
        <v>103</v>
      </c>
      <c r="H178" s="252" t="s">
        <v>115</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156</v>
      </c>
      <c r="G179" s="252" t="s">
        <v>103</v>
      </c>
      <c r="H179" s="252" t="s">
        <v>115</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156</v>
      </c>
      <c r="G180" s="252" t="s">
        <v>103</v>
      </c>
      <c r="H180" s="252" t="s">
        <v>115</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156</v>
      </c>
      <c r="G181" s="252" t="s">
        <v>103</v>
      </c>
      <c r="H181" s="252" t="s">
        <v>115</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156</v>
      </c>
      <c r="G182" s="252" t="s">
        <v>103</v>
      </c>
      <c r="H182" s="252" t="s">
        <v>115</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156</v>
      </c>
      <c r="G183" s="252" t="s">
        <v>103</v>
      </c>
      <c r="H183" s="252" t="s">
        <v>115</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156</v>
      </c>
      <c r="G184" s="252" t="s">
        <v>103</v>
      </c>
      <c r="H184" s="252" t="s">
        <v>115</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156</v>
      </c>
      <c r="G185" s="262" t="s">
        <v>103</v>
      </c>
      <c r="H185" s="262" t="s">
        <v>115</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156</v>
      </c>
      <c r="G186" s="244" t="s">
        <v>103</v>
      </c>
      <c r="H186" s="244" t="s">
        <v>115</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156</v>
      </c>
      <c r="G187" s="252" t="s">
        <v>103</v>
      </c>
      <c r="H187" s="252" t="s">
        <v>115</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156</v>
      </c>
      <c r="G188" s="252" t="s">
        <v>103</v>
      </c>
      <c r="H188" s="252" t="s">
        <v>115</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156</v>
      </c>
      <c r="G189" s="252" t="s">
        <v>103</v>
      </c>
      <c r="H189" s="252" t="s">
        <v>115</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156</v>
      </c>
      <c r="G190" s="252" t="s">
        <v>103</v>
      </c>
      <c r="H190" s="252" t="s">
        <v>115</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156</v>
      </c>
      <c r="G191" s="252" t="s">
        <v>103</v>
      </c>
      <c r="H191" s="252" t="s">
        <v>115</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156</v>
      </c>
      <c r="G192" s="252" t="s">
        <v>103</v>
      </c>
      <c r="H192" s="252" t="s">
        <v>115</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156</v>
      </c>
      <c r="G193" s="252" t="s">
        <v>103</v>
      </c>
      <c r="H193" s="252" t="s">
        <v>115</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156</v>
      </c>
      <c r="G194" s="252" t="s">
        <v>103</v>
      </c>
      <c r="H194" s="252" t="s">
        <v>115</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156</v>
      </c>
      <c r="G195" s="252" t="s">
        <v>103</v>
      </c>
      <c r="H195" s="252" t="s">
        <v>115</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156</v>
      </c>
      <c r="G196" s="252" t="s">
        <v>103</v>
      </c>
      <c r="H196" s="252" t="s">
        <v>115</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156</v>
      </c>
      <c r="G197" s="252" t="s">
        <v>103</v>
      </c>
      <c r="H197" s="252" t="s">
        <v>115</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156</v>
      </c>
      <c r="G198" s="252" t="s">
        <v>103</v>
      </c>
      <c r="H198" s="252" t="s">
        <v>115</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156</v>
      </c>
      <c r="G199" s="252" t="s">
        <v>103</v>
      </c>
      <c r="H199" s="252" t="s">
        <v>115</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156</v>
      </c>
      <c r="G200" s="252" t="s">
        <v>103</v>
      </c>
      <c r="H200" s="252" t="s">
        <v>115</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156</v>
      </c>
      <c r="G201" s="252" t="s">
        <v>103</v>
      </c>
      <c r="H201" s="252" t="s">
        <v>115</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156</v>
      </c>
      <c r="G202" s="252" t="s">
        <v>103</v>
      </c>
      <c r="H202" s="252" t="s">
        <v>115</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156</v>
      </c>
      <c r="G203" s="262" t="s">
        <v>103</v>
      </c>
      <c r="H203" s="262" t="s">
        <v>115</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156</v>
      </c>
      <c r="G204" s="244" t="s">
        <v>103</v>
      </c>
      <c r="H204" s="244" t="s">
        <v>115</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156</v>
      </c>
      <c r="G205" s="252" t="s">
        <v>103</v>
      </c>
      <c r="H205" s="252" t="s">
        <v>115</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156</v>
      </c>
      <c r="G206" s="252" t="s">
        <v>103</v>
      </c>
      <c r="H206" s="252" t="s">
        <v>115</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156</v>
      </c>
      <c r="G207" s="252" t="s">
        <v>103</v>
      </c>
      <c r="H207" s="252" t="s">
        <v>115</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156</v>
      </c>
      <c r="G208" s="252" t="s">
        <v>103</v>
      </c>
      <c r="H208" s="252" t="s">
        <v>115</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156</v>
      </c>
      <c r="G209" s="252" t="s">
        <v>103</v>
      </c>
      <c r="H209" s="252" t="s">
        <v>115</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156</v>
      </c>
      <c r="G210" s="252" t="s">
        <v>103</v>
      </c>
      <c r="H210" s="252" t="s">
        <v>115</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156</v>
      </c>
      <c r="G211" s="252" t="s">
        <v>103</v>
      </c>
      <c r="H211" s="252" t="s">
        <v>115</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156</v>
      </c>
      <c r="G212" s="252" t="s">
        <v>103</v>
      </c>
      <c r="H212" s="252" t="s">
        <v>115</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156</v>
      </c>
      <c r="G213" s="252" t="s">
        <v>103</v>
      </c>
      <c r="H213" s="252" t="s">
        <v>115</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156</v>
      </c>
      <c r="G214" s="252" t="s">
        <v>103</v>
      </c>
      <c r="H214" s="252" t="s">
        <v>115</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156</v>
      </c>
      <c r="G215" s="252" t="s">
        <v>103</v>
      </c>
      <c r="H215" s="252" t="s">
        <v>115</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156</v>
      </c>
      <c r="G216" s="252" t="s">
        <v>103</v>
      </c>
      <c r="H216" s="252" t="s">
        <v>115</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156</v>
      </c>
      <c r="G217" s="252" t="s">
        <v>103</v>
      </c>
      <c r="H217" s="252" t="s">
        <v>115</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156</v>
      </c>
      <c r="G218" s="252" t="s">
        <v>103</v>
      </c>
      <c r="H218" s="252" t="s">
        <v>115</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156</v>
      </c>
      <c r="G219" s="252" t="s">
        <v>103</v>
      </c>
      <c r="H219" s="252" t="s">
        <v>115</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156</v>
      </c>
      <c r="G220" s="252" t="s">
        <v>103</v>
      </c>
      <c r="H220" s="252" t="s">
        <v>115</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156</v>
      </c>
      <c r="G221" s="262" t="s">
        <v>103</v>
      </c>
      <c r="H221" s="262" t="s">
        <v>115</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156</v>
      </c>
      <c r="G222" s="244" t="s">
        <v>103</v>
      </c>
      <c r="H222" s="244" t="s">
        <v>115</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156</v>
      </c>
      <c r="G223" s="252" t="s">
        <v>103</v>
      </c>
      <c r="H223" s="252" t="s">
        <v>115</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156</v>
      </c>
      <c r="G224" s="252" t="s">
        <v>103</v>
      </c>
      <c r="H224" s="252" t="s">
        <v>115</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156</v>
      </c>
      <c r="G225" s="252" t="s">
        <v>103</v>
      </c>
      <c r="H225" s="252" t="s">
        <v>115</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156</v>
      </c>
      <c r="G226" s="252" t="s">
        <v>103</v>
      </c>
      <c r="H226" s="252" t="s">
        <v>115</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156</v>
      </c>
      <c r="G227" s="252" t="s">
        <v>103</v>
      </c>
      <c r="H227" s="252" t="s">
        <v>115</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156</v>
      </c>
      <c r="G228" s="252" t="s">
        <v>103</v>
      </c>
      <c r="H228" s="252" t="s">
        <v>115</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156</v>
      </c>
      <c r="G229" s="252" t="s">
        <v>103</v>
      </c>
      <c r="H229" s="252" t="s">
        <v>115</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156</v>
      </c>
      <c r="G230" s="252" t="s">
        <v>103</v>
      </c>
      <c r="H230" s="252" t="s">
        <v>115</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156</v>
      </c>
      <c r="G231" s="252" t="s">
        <v>103</v>
      </c>
      <c r="H231" s="252" t="s">
        <v>115</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156</v>
      </c>
      <c r="G232" s="252" t="s">
        <v>103</v>
      </c>
      <c r="H232" s="252" t="s">
        <v>115</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156</v>
      </c>
      <c r="G233" s="252" t="s">
        <v>103</v>
      </c>
      <c r="H233" s="252" t="s">
        <v>115</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156</v>
      </c>
      <c r="G234" s="252" t="s">
        <v>103</v>
      </c>
      <c r="H234" s="252" t="s">
        <v>115</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156</v>
      </c>
      <c r="G235" s="252" t="s">
        <v>103</v>
      </c>
      <c r="H235" s="252" t="s">
        <v>115</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156</v>
      </c>
      <c r="G236" s="252" t="s">
        <v>103</v>
      </c>
      <c r="H236" s="252" t="s">
        <v>115</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156</v>
      </c>
      <c r="G237" s="252" t="s">
        <v>103</v>
      </c>
      <c r="H237" s="252" t="s">
        <v>115</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156</v>
      </c>
      <c r="G238" s="252" t="s">
        <v>103</v>
      </c>
      <c r="H238" s="252" t="s">
        <v>115</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156</v>
      </c>
      <c r="G239" s="262" t="s">
        <v>103</v>
      </c>
      <c r="H239" s="262" t="s">
        <v>115</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156</v>
      </c>
      <c r="G240" s="244" t="s">
        <v>103</v>
      </c>
      <c r="H240" s="244" t="s">
        <v>115</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156</v>
      </c>
      <c r="G241" s="252" t="s">
        <v>103</v>
      </c>
      <c r="H241" s="252" t="s">
        <v>115</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156</v>
      </c>
      <c r="G242" s="252" t="s">
        <v>103</v>
      </c>
      <c r="H242" s="252" t="s">
        <v>115</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156</v>
      </c>
      <c r="G243" s="252" t="s">
        <v>103</v>
      </c>
      <c r="H243" s="252" t="s">
        <v>115</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156</v>
      </c>
      <c r="G244" s="252" t="s">
        <v>103</v>
      </c>
      <c r="H244" s="252" t="s">
        <v>115</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156</v>
      </c>
      <c r="G245" s="252" t="s">
        <v>103</v>
      </c>
      <c r="H245" s="252" t="s">
        <v>115</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156</v>
      </c>
      <c r="G246" s="252" t="s">
        <v>103</v>
      </c>
      <c r="H246" s="252" t="s">
        <v>115</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156</v>
      </c>
      <c r="G247" s="252" t="s">
        <v>103</v>
      </c>
      <c r="H247" s="252" t="s">
        <v>115</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156</v>
      </c>
      <c r="G248" s="252" t="s">
        <v>103</v>
      </c>
      <c r="H248" s="252" t="s">
        <v>115</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156</v>
      </c>
      <c r="G249" s="252" t="s">
        <v>103</v>
      </c>
      <c r="H249" s="252" t="s">
        <v>115</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156</v>
      </c>
      <c r="G250" s="252" t="s">
        <v>103</v>
      </c>
      <c r="H250" s="252" t="s">
        <v>115</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156</v>
      </c>
      <c r="G251" s="252" t="s">
        <v>103</v>
      </c>
      <c r="H251" s="252" t="s">
        <v>115</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156</v>
      </c>
      <c r="G252" s="252" t="s">
        <v>103</v>
      </c>
      <c r="H252" s="252" t="s">
        <v>115</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156</v>
      </c>
      <c r="G253" s="252" t="s">
        <v>103</v>
      </c>
      <c r="H253" s="252" t="s">
        <v>115</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156</v>
      </c>
      <c r="G254" s="252" t="s">
        <v>103</v>
      </c>
      <c r="H254" s="252" t="s">
        <v>115</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156</v>
      </c>
      <c r="G255" s="252" t="s">
        <v>103</v>
      </c>
      <c r="H255" s="252" t="s">
        <v>115</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156</v>
      </c>
      <c r="G256" s="252" t="s">
        <v>103</v>
      </c>
      <c r="H256" s="252" t="s">
        <v>115</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156</v>
      </c>
      <c r="G257" s="262" t="s">
        <v>103</v>
      </c>
      <c r="H257" s="262" t="s">
        <v>115</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156</v>
      </c>
      <c r="G258" s="244" t="s">
        <v>103</v>
      </c>
      <c r="H258" s="244" t="s">
        <v>115</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156</v>
      </c>
      <c r="G259" s="252" t="s">
        <v>103</v>
      </c>
      <c r="H259" s="252" t="s">
        <v>115</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156</v>
      </c>
      <c r="G260" s="252" t="s">
        <v>103</v>
      </c>
      <c r="H260" s="252" t="s">
        <v>115</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156</v>
      </c>
      <c r="G261" s="252" t="s">
        <v>103</v>
      </c>
      <c r="H261" s="252" t="s">
        <v>115</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156</v>
      </c>
      <c r="G262" s="252" t="s">
        <v>103</v>
      </c>
      <c r="H262" s="252" t="s">
        <v>115</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156</v>
      </c>
      <c r="G263" s="252" t="s">
        <v>103</v>
      </c>
      <c r="H263" s="252" t="s">
        <v>115</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156</v>
      </c>
      <c r="G264" s="252" t="s">
        <v>103</v>
      </c>
      <c r="H264" s="252" t="s">
        <v>115</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156</v>
      </c>
      <c r="G265" s="252" t="s">
        <v>103</v>
      </c>
      <c r="H265" s="252" t="s">
        <v>115</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156</v>
      </c>
      <c r="G266" s="252" t="s">
        <v>103</v>
      </c>
      <c r="H266" s="252" t="s">
        <v>115</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156</v>
      </c>
      <c r="G267" s="252" t="s">
        <v>103</v>
      </c>
      <c r="H267" s="252" t="s">
        <v>115</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156</v>
      </c>
      <c r="G268" s="252" t="s">
        <v>103</v>
      </c>
      <c r="H268" s="252" t="s">
        <v>115</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156</v>
      </c>
      <c r="G269" s="252" t="s">
        <v>103</v>
      </c>
      <c r="H269" s="252" t="s">
        <v>115</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156</v>
      </c>
      <c r="G270" s="252" t="s">
        <v>103</v>
      </c>
      <c r="H270" s="252" t="s">
        <v>115</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156</v>
      </c>
      <c r="G271" s="252" t="s">
        <v>103</v>
      </c>
      <c r="H271" s="252" t="s">
        <v>115</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156</v>
      </c>
      <c r="G272" s="252" t="s">
        <v>103</v>
      </c>
      <c r="H272" s="252" t="s">
        <v>115</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156</v>
      </c>
      <c r="G273" s="252" t="s">
        <v>103</v>
      </c>
      <c r="H273" s="252" t="s">
        <v>115</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156</v>
      </c>
      <c r="G274" s="252" t="s">
        <v>103</v>
      </c>
      <c r="H274" s="252" t="s">
        <v>115</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156</v>
      </c>
      <c r="G275" s="262" t="s">
        <v>103</v>
      </c>
      <c r="H275" s="262" t="s">
        <v>115</v>
      </c>
      <c r="I275" s="263">
        <v>0</v>
      </c>
      <c r="J275" s="264" t="str">
        <f t="shared" si="19"/>
        <v>EUR15F30Y_Quote</v>
      </c>
      <c r="K275" s="265" t="str">
        <f>_xll.qlSwapRateHelper2(,$J275,$B275,$D275,Calendar,$F275,$G275,$H275,$K$4,$I275,C275,Discounting,Permanent,,ObjectOverwrite)</f>
        <v>obj_00730#0001</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156</v>
      </c>
      <c r="G276" s="244" t="s">
        <v>103</v>
      </c>
      <c r="H276" s="244" t="s">
        <v>115</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156</v>
      </c>
      <c r="G277" s="252" t="s">
        <v>103</v>
      </c>
      <c r="H277" s="252" t="s">
        <v>115</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156</v>
      </c>
      <c r="G278" s="252" t="s">
        <v>103</v>
      </c>
      <c r="H278" s="252" t="s">
        <v>115</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156</v>
      </c>
      <c r="G279" s="252" t="s">
        <v>103</v>
      </c>
      <c r="H279" s="252" t="s">
        <v>115</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156</v>
      </c>
      <c r="G280" s="252" t="s">
        <v>103</v>
      </c>
      <c r="H280" s="252" t="s">
        <v>115</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156</v>
      </c>
      <c r="G281" s="252" t="s">
        <v>103</v>
      </c>
      <c r="H281" s="252" t="s">
        <v>115</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156</v>
      </c>
      <c r="G282" s="252" t="s">
        <v>103</v>
      </c>
      <c r="H282" s="252" t="s">
        <v>115</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156</v>
      </c>
      <c r="G283" s="252" t="s">
        <v>103</v>
      </c>
      <c r="H283" s="252" t="s">
        <v>115</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156</v>
      </c>
      <c r="G284" s="252" t="s">
        <v>103</v>
      </c>
      <c r="H284" s="252" t="s">
        <v>115</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156</v>
      </c>
      <c r="G285" s="252" t="s">
        <v>103</v>
      </c>
      <c r="H285" s="252" t="s">
        <v>115</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156</v>
      </c>
      <c r="G286" s="252" t="s">
        <v>103</v>
      </c>
      <c r="H286" s="252" t="s">
        <v>115</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156</v>
      </c>
      <c r="G287" s="252" t="s">
        <v>103</v>
      </c>
      <c r="H287" s="252" t="s">
        <v>115</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156</v>
      </c>
      <c r="G288" s="252" t="s">
        <v>103</v>
      </c>
      <c r="H288" s="252" t="s">
        <v>115</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156</v>
      </c>
      <c r="G289" s="252" t="s">
        <v>103</v>
      </c>
      <c r="H289" s="252" t="s">
        <v>115</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156</v>
      </c>
      <c r="G290" s="252" t="s">
        <v>103</v>
      </c>
      <c r="H290" s="252" t="s">
        <v>115</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156</v>
      </c>
      <c r="G291" s="252" t="s">
        <v>103</v>
      </c>
      <c r="H291" s="252" t="s">
        <v>115</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156</v>
      </c>
      <c r="G292" s="252" t="s">
        <v>103</v>
      </c>
      <c r="H292" s="252" t="s">
        <v>115</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156</v>
      </c>
      <c r="G293" s="262" t="s">
        <v>103</v>
      </c>
      <c r="H293" s="262" t="s">
        <v>115</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156</v>
      </c>
      <c r="G294" s="244" t="s">
        <v>103</v>
      </c>
      <c r="H294" s="244" t="s">
        <v>115</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156</v>
      </c>
      <c r="G295" s="252" t="s">
        <v>103</v>
      </c>
      <c r="H295" s="252" t="s">
        <v>115</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156</v>
      </c>
      <c r="G296" s="252" t="s">
        <v>103</v>
      </c>
      <c r="H296" s="252" t="s">
        <v>115</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156</v>
      </c>
      <c r="G297" s="252" t="s">
        <v>103</v>
      </c>
      <c r="H297" s="252" t="s">
        <v>115</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156</v>
      </c>
      <c r="G298" s="252" t="s">
        <v>103</v>
      </c>
      <c r="H298" s="252" t="s">
        <v>115</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156</v>
      </c>
      <c r="G299" s="252" t="s">
        <v>103</v>
      </c>
      <c r="H299" s="252" t="s">
        <v>115</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156</v>
      </c>
      <c r="G300" s="252" t="s">
        <v>103</v>
      </c>
      <c r="H300" s="252" t="s">
        <v>115</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156</v>
      </c>
      <c r="G301" s="252" t="s">
        <v>103</v>
      </c>
      <c r="H301" s="252" t="s">
        <v>115</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156</v>
      </c>
      <c r="G302" s="252" t="s">
        <v>103</v>
      </c>
      <c r="H302" s="252" t="s">
        <v>115</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156</v>
      </c>
      <c r="G303" s="252" t="s">
        <v>103</v>
      </c>
      <c r="H303" s="252" t="s">
        <v>115</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156</v>
      </c>
      <c r="G304" s="252" t="s">
        <v>103</v>
      </c>
      <c r="H304" s="252" t="s">
        <v>115</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156</v>
      </c>
      <c r="G305" s="252" t="s">
        <v>103</v>
      </c>
      <c r="H305" s="252" t="s">
        <v>115</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156</v>
      </c>
      <c r="G306" s="252" t="s">
        <v>103</v>
      </c>
      <c r="H306" s="252" t="s">
        <v>115</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156</v>
      </c>
      <c r="G307" s="252" t="s">
        <v>103</v>
      </c>
      <c r="H307" s="252" t="s">
        <v>115</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156</v>
      </c>
      <c r="G308" s="252" t="s">
        <v>103</v>
      </c>
      <c r="H308" s="252" t="s">
        <v>115</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156</v>
      </c>
      <c r="G309" s="252" t="s">
        <v>103</v>
      </c>
      <c r="H309" s="252" t="s">
        <v>115</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156</v>
      </c>
      <c r="G310" s="252" t="s">
        <v>103</v>
      </c>
      <c r="H310" s="252" t="s">
        <v>115</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156</v>
      </c>
      <c r="G311" s="262" t="s">
        <v>103</v>
      </c>
      <c r="H311" s="262" t="s">
        <v>115</v>
      </c>
      <c r="I311" s="263">
        <v>0</v>
      </c>
      <c r="J311" s="264" t="str">
        <f t="shared" si="19"/>
        <v>EUR25F30Y_Quote</v>
      </c>
      <c r="K311" s="265" t="str">
        <f>_xll.qlSwapRateHelper2(,$J311,$B311,$D311,Calendar,$F311,$G311,$H311,$K$4,$I311,C311,Discounting,Permanent,,ObjectOverwrite)</f>
        <v>obj_0072f#0001</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156</v>
      </c>
      <c r="G312" s="244" t="s">
        <v>103</v>
      </c>
      <c r="H312" s="244" t="s">
        <v>115</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156</v>
      </c>
      <c r="G313" s="252" t="s">
        <v>103</v>
      </c>
      <c r="H313" s="252" t="s">
        <v>115</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156</v>
      </c>
      <c r="G314" s="252" t="s">
        <v>103</v>
      </c>
      <c r="H314" s="252" t="s">
        <v>115</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156</v>
      </c>
      <c r="G315" s="252" t="s">
        <v>103</v>
      </c>
      <c r="H315" s="252" t="s">
        <v>115</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156</v>
      </c>
      <c r="G316" s="252" t="s">
        <v>103</v>
      </c>
      <c r="H316" s="252" t="s">
        <v>115</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156</v>
      </c>
      <c r="G317" s="252" t="s">
        <v>103</v>
      </c>
      <c r="H317" s="252" t="s">
        <v>115</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156</v>
      </c>
      <c r="G318" s="252" t="s">
        <v>103</v>
      </c>
      <c r="H318" s="252" t="s">
        <v>115</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156</v>
      </c>
      <c r="G319" s="252" t="s">
        <v>103</v>
      </c>
      <c r="H319" s="252" t="s">
        <v>115</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156</v>
      </c>
      <c r="G320" s="252" t="s">
        <v>103</v>
      </c>
      <c r="H320" s="252" t="s">
        <v>115</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156</v>
      </c>
      <c r="G321" s="252" t="s">
        <v>103</v>
      </c>
      <c r="H321" s="252" t="s">
        <v>115</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156</v>
      </c>
      <c r="G322" s="252" t="s">
        <v>103</v>
      </c>
      <c r="H322" s="252" t="s">
        <v>115</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156</v>
      </c>
      <c r="G323" s="252" t="s">
        <v>103</v>
      </c>
      <c r="H323" s="252" t="s">
        <v>115</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156</v>
      </c>
      <c r="G324" s="252" t="s">
        <v>103</v>
      </c>
      <c r="H324" s="252" t="s">
        <v>115</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156</v>
      </c>
      <c r="G325" s="252" t="s">
        <v>103</v>
      </c>
      <c r="H325" s="252" t="s">
        <v>115</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156</v>
      </c>
      <c r="G326" s="252" t="s">
        <v>103</v>
      </c>
      <c r="H326" s="252" t="s">
        <v>115</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156</v>
      </c>
      <c r="G327" s="252" t="s">
        <v>103</v>
      </c>
      <c r="H327" s="252" t="s">
        <v>115</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156</v>
      </c>
      <c r="G328" s="252" t="s">
        <v>103</v>
      </c>
      <c r="H328" s="252" t="s">
        <v>115</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156</v>
      </c>
      <c r="G329" s="262" t="s">
        <v>103</v>
      </c>
      <c r="H329" s="262" t="s">
        <v>115</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161</v>
      </c>
      <c r="D2" s="313">
        <f>_xll.qlCalendarAdvance(Calendar,_xll.qlSettingsEvaluationDate(),NDays&amp;"D","f",,Trigger)</f>
        <v>42138</v>
      </c>
      <c r="E2" s="218"/>
      <c r="F2" s="218"/>
      <c r="G2" s="218"/>
      <c r="H2" s="219"/>
    </row>
    <row r="3" spans="1:8" ht="22.5" x14ac:dyDescent="0.2">
      <c r="A3" s="217"/>
      <c r="B3" s="218"/>
      <c r="C3" s="312" t="s">
        <v>162</v>
      </c>
      <c r="D3" s="314">
        <f>_xll.qlCalendarEndOfMonth(Calendar,EDATE(DATE(YEAR(D2),MONTH(D2),1),-1))</f>
        <v>42124</v>
      </c>
      <c r="E3" s="218"/>
      <c r="F3" s="218"/>
      <c r="G3" s="218"/>
      <c r="H3" s="219"/>
    </row>
    <row r="4" spans="1:8" ht="13.35" customHeight="1" x14ac:dyDescent="0.2">
      <c r="A4" s="217"/>
      <c r="B4" s="218"/>
      <c r="C4" s="218"/>
      <c r="D4" s="218"/>
      <c r="E4" s="218"/>
      <c r="F4" s="218"/>
      <c r="G4" s="218"/>
      <c r="H4" s="219"/>
    </row>
    <row r="5" spans="1:8" ht="13.35" customHeight="1" x14ac:dyDescent="0.2">
      <c r="A5" s="217"/>
      <c r="B5" s="312" t="s">
        <v>163</v>
      </c>
      <c r="C5" s="315" t="s">
        <v>164</v>
      </c>
      <c r="D5" s="315" t="s">
        <v>165</v>
      </c>
      <c r="E5" s="315" t="s">
        <v>166</v>
      </c>
      <c r="F5" s="315" t="s">
        <v>167</v>
      </c>
      <c r="G5" s="315" t="s">
        <v>168</v>
      </c>
      <c r="H5" s="219"/>
    </row>
    <row r="6" spans="1:8" ht="13.35" customHeight="1" x14ac:dyDescent="0.2">
      <c r="A6" s="217"/>
      <c r="B6" s="222">
        <v>1</v>
      </c>
      <c r="C6" s="223">
        <f>_xll.qlCalendarEndOfMonth(Calendar,_xll.qlCalendarAdvance(Calendar,D3,"1m","mf",FALSE),Trigger)</f>
        <v>42153</v>
      </c>
      <c r="D6" s="222" t="str">
        <f t="shared" ref="D6:D18" si="0">Currency&amp;"Jump"&amp;B6&amp;"_SYNTHON"&amp;QuoteSuffix</f>
        <v>EURJump1_SYNTHON_Quote</v>
      </c>
      <c r="E6" s="224">
        <f>IF(_xll.qlQuoteIsValid(D6,Trigger),_xll.qlQuoteValue(D6,Trigger),1)</f>
        <v>0.99999400000000005</v>
      </c>
      <c r="F6" s="214"/>
      <c r="G6" s="224" t="str">
        <f>IF(ISBLANK(F6),D6,F6)</f>
        <v>EURJump1_SYNTHON_Quote</v>
      </c>
      <c r="H6" s="219"/>
    </row>
    <row r="7" spans="1:8" ht="13.35" customHeight="1" x14ac:dyDescent="0.2">
      <c r="A7" s="217"/>
      <c r="B7" s="225">
        <v>2</v>
      </c>
      <c r="C7" s="226">
        <f>_xll.qlCalendarEndOfMonth(Calendar,_xll.qlCalendarAdvance(Calendar,C6,"1m","mf",TRUE),Trigger)</f>
        <v>42185</v>
      </c>
      <c r="D7" s="225" t="str">
        <f t="shared" si="0"/>
        <v>EURJump2_SYNTHON_Quote</v>
      </c>
      <c r="E7" s="227">
        <f>IF(_xll.qlQuoteIsValid(D7,Trigger),_xll.qlQuoteValue(D7,Trigger),1)</f>
        <v>1</v>
      </c>
      <c r="F7" s="215"/>
      <c r="G7" s="227" t="str">
        <f t="shared" ref="G7:G18" si="1">IF(ISBLANK(F7),D7,F7)</f>
        <v>EURJump2_SYNTHON_Quote</v>
      </c>
      <c r="H7" s="219"/>
    </row>
    <row r="8" spans="1:8" ht="13.35" customHeight="1" x14ac:dyDescent="0.2">
      <c r="A8" s="217"/>
      <c r="B8" s="225">
        <v>3</v>
      </c>
      <c r="C8" s="226">
        <f>_xll.qlCalendarEndOfMonth(Calendar,_xll.qlCalendarAdvance(Calendar,C7,"1m","mf",TRUE),Trigger)</f>
        <v>42216</v>
      </c>
      <c r="D8" s="225" t="str">
        <f t="shared" si="0"/>
        <v>EURJump3_SYNTHON_Quote</v>
      </c>
      <c r="E8" s="227">
        <f>IF(_xll.qlQuoteIsValid(D8,Trigger),_xll.qlQuoteValue(D8,Trigger),1)</f>
        <v>0.99999689999999997</v>
      </c>
      <c r="F8" s="215"/>
      <c r="G8" s="227" t="str">
        <f t="shared" si="1"/>
        <v>EURJump3_SYNTHON_Quote</v>
      </c>
      <c r="H8" s="219"/>
    </row>
    <row r="9" spans="1:8" ht="13.35" customHeight="1" x14ac:dyDescent="0.2">
      <c r="A9" s="217"/>
      <c r="B9" s="225">
        <v>4</v>
      </c>
      <c r="C9" s="226">
        <f>_xll.qlCalendarEndOfMonth(Calendar,_xll.qlCalendarAdvance(Calendar,C8,"1m","mf",TRUE),Trigger)</f>
        <v>42247</v>
      </c>
      <c r="D9" s="225" t="str">
        <f t="shared" si="0"/>
        <v>EURJump4_SYNTHON_Quote</v>
      </c>
      <c r="E9" s="227">
        <f>IF(_xll.qlQuoteIsValid(D9,Trigger),_xll.qlQuoteValue(D9,Trigger),1)</f>
        <v>0.9999924</v>
      </c>
      <c r="F9" s="215"/>
      <c r="G9" s="227" t="str">
        <f t="shared" si="1"/>
        <v>EURJump4_SYNTHON_Quote</v>
      </c>
      <c r="H9" s="219"/>
    </row>
    <row r="10" spans="1:8" ht="13.35" customHeight="1" x14ac:dyDescent="0.2">
      <c r="A10" s="217"/>
      <c r="B10" s="225">
        <v>5</v>
      </c>
      <c r="C10" s="226">
        <f>_xll.qlCalendarEndOfMonth(Calendar,_xll.qlCalendarAdvance(Calendar,C9,"1m","mf",TRUE),Trigger)</f>
        <v>42277</v>
      </c>
      <c r="D10" s="225" t="str">
        <f t="shared" si="0"/>
        <v>EURJump5_SYNTHON_Quote</v>
      </c>
      <c r="E10" s="227">
        <f>IF(_xll.qlQuoteIsValid(D10,Trigger),_xll.qlQuoteValue(D10,Trigger),1)</f>
        <v>0.99996819999999997</v>
      </c>
      <c r="F10" s="215"/>
      <c r="G10" s="227" t="str">
        <f t="shared" si="1"/>
        <v>EURJump5_SYNTHON_Quote</v>
      </c>
      <c r="H10" s="219"/>
    </row>
    <row r="11" spans="1:8" ht="13.35" customHeight="1" x14ac:dyDescent="0.2">
      <c r="A11" s="217"/>
      <c r="B11" s="225">
        <v>6</v>
      </c>
      <c r="C11" s="226">
        <f>_xll.qlCalendarEndOfMonth(Calendar,_xll.qlCalendarAdvance(Calendar,C10,"1m","mf",TRUE),Trigger)</f>
        <v>42307</v>
      </c>
      <c r="D11" s="225" t="str">
        <f t="shared" si="0"/>
        <v>EURJump6_SYNTHON_Quote</v>
      </c>
      <c r="E11" s="227">
        <f>IF(_xll.qlQuoteIsValid(D11,Trigger),_xll.qlQuoteValue(D11,Trigger),1)</f>
        <v>0.99997650000000005</v>
      </c>
      <c r="F11" s="215"/>
      <c r="G11" s="227" t="str">
        <f t="shared" si="1"/>
        <v>EURJump6_SYNTHON_Quote</v>
      </c>
      <c r="H11" s="219"/>
    </row>
    <row r="12" spans="1:8" ht="13.35" customHeight="1" x14ac:dyDescent="0.2">
      <c r="A12" s="217"/>
      <c r="B12" s="225">
        <v>7</v>
      </c>
      <c r="C12" s="226">
        <f>_xll.qlCalendarEndOfMonth(Calendar,_xll.qlCalendarAdvance(Calendar,C11,"1m","mf",TRUE),Trigger)</f>
        <v>42338</v>
      </c>
      <c r="D12" s="225" t="str">
        <f t="shared" si="0"/>
        <v>EURJump7_SYNTHON_Quote</v>
      </c>
      <c r="E12" s="227">
        <f>IF(_xll.qlQuoteIsValid(D12,Trigger),_xll.qlQuoteValue(D12,Trigger),1)</f>
        <v>0.99998989999999999</v>
      </c>
      <c r="F12" s="215"/>
      <c r="G12" s="227" t="str">
        <f t="shared" si="1"/>
        <v>EURJump7_SYNTHON_Quote</v>
      </c>
      <c r="H12" s="219"/>
    </row>
    <row r="13" spans="1:8" ht="13.35" customHeight="1" x14ac:dyDescent="0.2">
      <c r="A13" s="217"/>
      <c r="B13" s="225">
        <v>8</v>
      </c>
      <c r="C13" s="226">
        <f>_xll.qlCalendarEndOfMonth(Calendar,_xll.qlCalendarAdvance(Calendar,C12,"1m","mf",TRUE),Trigger)</f>
        <v>42369</v>
      </c>
      <c r="D13" s="225" t="str">
        <f t="shared" si="0"/>
        <v>EURJump8_SYNTHON_Quote</v>
      </c>
      <c r="E13" s="227">
        <f>IF(_xll.qlQuoteIsValid(D13,Trigger),_xll.qlQuoteValue(D13,Trigger),1)</f>
        <v>0.99999229999999995</v>
      </c>
      <c r="F13" s="215"/>
      <c r="G13" s="227" t="str">
        <f t="shared" si="1"/>
        <v>EURJump8_SYNTHON_Quote</v>
      </c>
      <c r="H13" s="219"/>
    </row>
    <row r="14" spans="1:8" ht="13.35" customHeight="1" x14ac:dyDescent="0.2">
      <c r="A14" s="217"/>
      <c r="B14" s="225">
        <v>9</v>
      </c>
      <c r="C14" s="226">
        <f>_xll.qlCalendarEndOfMonth(Calendar,_xll.qlCalendarAdvance(Calendar,C13,"1m","mf",TRUE),Trigger)</f>
        <v>42398</v>
      </c>
      <c r="D14" s="225" t="str">
        <f t="shared" si="0"/>
        <v>EURJump9_SYNTHON_Quote</v>
      </c>
      <c r="E14" s="227">
        <f>IF(_xll.qlQuoteIsValid(D14,Trigger),_xll.qlQuoteValue(D14,Trigger),1)</f>
        <v>0.99999360000000004</v>
      </c>
      <c r="F14" s="215"/>
      <c r="G14" s="227" t="str">
        <f t="shared" si="1"/>
        <v>EURJump9_SYNTHON_Quote</v>
      </c>
      <c r="H14" s="219"/>
    </row>
    <row r="15" spans="1:8" ht="13.35" customHeight="1" x14ac:dyDescent="0.2">
      <c r="A15" s="217"/>
      <c r="B15" s="225">
        <v>10</v>
      </c>
      <c r="C15" s="226">
        <f>_xll.qlCalendarEndOfMonth(Calendar,_xll.qlCalendarAdvance(Calendar,C14,"1m","mf",TRUE),Trigger)</f>
        <v>42429</v>
      </c>
      <c r="D15" s="225" t="str">
        <f t="shared" si="0"/>
        <v>EURJump10_SYNTHON_Quote</v>
      </c>
      <c r="E15" s="227">
        <f>IF(_xll.qlQuoteIsValid(D15,Trigger),_xll.qlQuoteValue(D15,Trigger),1)</f>
        <v>0.99999660000000001</v>
      </c>
      <c r="F15" s="215"/>
      <c r="G15" s="227" t="str">
        <f t="shared" si="1"/>
        <v>EURJump10_SYNTHON_Quote</v>
      </c>
      <c r="H15" s="219"/>
    </row>
    <row r="16" spans="1:8" ht="13.35" customHeight="1" x14ac:dyDescent="0.2">
      <c r="A16" s="217"/>
      <c r="B16" s="225">
        <v>11</v>
      </c>
      <c r="C16" s="226">
        <f>_xll.qlCalendarEndOfMonth(Calendar,_xll.qlCalendarAdvance(Calendar,C15,"1m","mf",TRUE),Trigger)</f>
        <v>42460</v>
      </c>
      <c r="D16" s="225" t="str">
        <f t="shared" si="0"/>
        <v>EURJump11_SYNTHON_Quote</v>
      </c>
      <c r="E16" s="227">
        <f>IF(_xll.qlQuoteIsValid(D16,Trigger),_xll.qlQuoteValue(D16,Trigger),1)</f>
        <v>0.99999879999999997</v>
      </c>
      <c r="F16" s="215"/>
      <c r="G16" s="227" t="str">
        <f t="shared" si="1"/>
        <v>EURJump11_SYNTHON_Quote</v>
      </c>
      <c r="H16" s="219"/>
    </row>
    <row r="17" spans="1:8" ht="13.35" customHeight="1" x14ac:dyDescent="0.2">
      <c r="A17" s="217"/>
      <c r="B17" s="225">
        <v>12</v>
      </c>
      <c r="C17" s="226">
        <f>_xll.qlCalendarEndOfMonth(Calendar,_xll.qlCalendarAdvance(Calendar,C16,"1m","mf",TRUE),Trigger)</f>
        <v>42489</v>
      </c>
      <c r="D17" s="225" t="str">
        <f t="shared" si="0"/>
        <v>EURJump12_SYNTHON_Quote</v>
      </c>
      <c r="E17" s="227">
        <f>IF(_xll.qlQuoteIsValid(D17,Trigger),_xll.qlQuoteValue(D17,Trigger),1)</f>
        <v>1</v>
      </c>
      <c r="F17" s="215"/>
      <c r="G17" s="227" t="str">
        <f t="shared" si="1"/>
        <v>EURJump12_SYNTHON_Quote</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0.99996609999999997</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149</v>
      </c>
      <c r="C1" s="133"/>
      <c r="D1" s="133"/>
      <c r="E1" s="133"/>
      <c r="F1" s="133"/>
      <c r="G1" s="134" t="s">
        <v>150</v>
      </c>
      <c r="H1" s="133"/>
      <c r="I1" s="133"/>
      <c r="J1" s="133"/>
      <c r="K1" s="133"/>
      <c r="L1" s="164"/>
      <c r="M1" s="123"/>
      <c r="N1" s="50"/>
    </row>
    <row r="2" spans="1:30" ht="11.25" hidden="1" customHeight="1" outlineLevel="1" thickBot="1" x14ac:dyDescent="0.25">
      <c r="A2" s="140"/>
      <c r="B2" s="132" t="s">
        <v>144</v>
      </c>
      <c r="C2" s="132" t="s">
        <v>146</v>
      </c>
      <c r="D2" s="132" t="s">
        <v>75</v>
      </c>
      <c r="E2" s="132" t="s">
        <v>147</v>
      </c>
      <c r="F2" s="135" t="s">
        <v>148</v>
      </c>
      <c r="G2" s="132" t="s">
        <v>146</v>
      </c>
      <c r="H2" s="132" t="s">
        <v>147</v>
      </c>
      <c r="I2" s="132" t="s">
        <v>148</v>
      </c>
      <c r="J2" s="168" t="s">
        <v>152</v>
      </c>
      <c r="K2" s="132" t="s">
        <v>153</v>
      </c>
      <c r="L2" s="164"/>
      <c r="M2" s="123"/>
    </row>
    <row r="3" spans="1:30" ht="11.25" hidden="1" customHeight="1" outlineLevel="1" x14ac:dyDescent="0.2">
      <c r="A3" s="153"/>
      <c r="B3" s="157" t="str">
        <f>_xll.qlPeriodEquivalent(D3&amp;"M")</f>
        <v>1Y</v>
      </c>
      <c r="C3" s="141">
        <f>_xll.qlDateEndOfMonth(EDATE(_xll.qlSettingsEvaluationDate(Trigger),-1))</f>
        <v>42124</v>
      </c>
      <c r="D3" s="138">
        <v>12</v>
      </c>
      <c r="E3" s="141">
        <f t="shared" ref="E3:E16" si="0">EDATE($AA$19,D3)</f>
        <v>42504</v>
      </c>
      <c r="F3" s="160">
        <f>IF(D3&lt;=12,1,IF(D3&lt;=24,3,IF(D3&lt;=120,6,IF(D3&lt;=240,12,IF(D3&lt;=360,36,60)))))</f>
        <v>1</v>
      </c>
      <c r="G3" s="171">
        <f>ROUNDDOWN(J3*10,2)/10</f>
        <v>0</v>
      </c>
      <c r="H3" s="150">
        <f>IF(K3-J3&gt;1%,(QUOTIENT(K3*10000,50)+1)*0.5%,(QUOTIENT(K3*10000,10)+1)*0.1%)</f>
        <v>2E-3</v>
      </c>
      <c r="I3" s="165">
        <f>IF(H3-G3&lt;0.5%,0.05%,IF(H3-G3&lt;1%,0.1%,IF(H3-G3&lt;2%,0.25%,0.5%)))</f>
        <v>5.0000000000000001E-4</v>
      </c>
      <c r="J3" s="150">
        <f>MIN(_xll.ohPack($AB$19:INDEX($AB$19:$AB$3552,MATCH(E3+1,$AA$19:$AA$3552,1),1)))</f>
        <v>6.2413780012325918E-4</v>
      </c>
      <c r="K3" s="165">
        <f>MAX(_xll.ohPack($AB$19:INDEX($AB$19:$AB$3552,MATCH(E3+1,$AA$19:$AA$3552,1),1)))</f>
        <v>1.0226868444260676E-3</v>
      </c>
      <c r="L3" s="164"/>
      <c r="M3" s="123"/>
    </row>
    <row r="4" spans="1:30" ht="11.25" hidden="1" customHeight="1" outlineLevel="1" x14ac:dyDescent="0.2">
      <c r="A4" s="154"/>
      <c r="B4" s="158" t="str">
        <f>_xll.qlPeriodEquivalent(D4&amp;"M")</f>
        <v>2Y</v>
      </c>
      <c r="C4" s="142">
        <f>_xll.qlDateEndOfMonth(EDATE(_xll.qlIMMNextDate(_xll.qlSettingsEvaluationDate(Trigger)-1,TRUE),-3))</f>
        <v>42094</v>
      </c>
      <c r="D4" s="131">
        <v>24</v>
      </c>
      <c r="E4" s="142">
        <f t="shared" si="0"/>
        <v>42869</v>
      </c>
      <c r="F4" s="161">
        <f t="shared" ref="F4:F16" si="1">IF(D4&lt;=12,1,IF(D4&lt;=24,3,IF(D4&lt;=120,6,IF(D4&lt;=240,12,IF(D4&lt;=360,36,60)))))</f>
        <v>3</v>
      </c>
      <c r="G4" s="172">
        <f t="shared" ref="G4:G16" si="2">ROUNDDOWN(J4*10,2)/10</f>
        <v>0</v>
      </c>
      <c r="H4" s="151">
        <f t="shared" ref="H4:H16" si="3">IF(K4-J4&gt;1%,(QUOTIENT(K4*10000,50)+1)*0.5%,(QUOTIENT(K4*10000,10)+1)*0.1%)</f>
        <v>3.0000000000000001E-3</v>
      </c>
      <c r="I4" s="166">
        <f t="shared" ref="I4:I16" si="4">IF(H4-G4&lt;0.5%,0.05%,IF(H4-G4&lt;1%,0.1%,IF(H4-G4&lt;2%,0.25%,0.5%)))</f>
        <v>5.0000000000000001E-4</v>
      </c>
      <c r="J4" s="151">
        <f>MIN(_xll.ohPack($AB$19:INDEX($AB$19:$AB$3552,MATCH(E4+1,$AA$19:$AA$3552,1),1)))</f>
        <v>6.2413780012325918E-4</v>
      </c>
      <c r="K4" s="166">
        <f>MAX(_xll.ohPack($AB$19:INDEX($AB$19:$AB$3552,MATCH(E4+1,$AA$19:$AA$3552,1),1)))</f>
        <v>2.7006663778406104E-3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1">
        <v>60</v>
      </c>
      <c r="E5" s="142">
        <f t="shared" si="0"/>
        <v>43965</v>
      </c>
      <c r="F5" s="161">
        <f t="shared" si="1"/>
        <v>6</v>
      </c>
      <c r="G5" s="172">
        <f t="shared" si="2"/>
        <v>0</v>
      </c>
      <c r="H5" s="151">
        <f t="shared" si="3"/>
        <v>1.0999999999999999E-2</v>
      </c>
      <c r="I5" s="166">
        <f t="shared" si="4"/>
        <v>2.5000000000000001E-3</v>
      </c>
      <c r="J5" s="151">
        <f>MIN(_xll.ohPack($AB$19:INDEX($AB$19:$AB$3552,MATCH(E5+1,$AA$19:$AA$3552,1),1)))</f>
        <v>6.2413780012325918E-4</v>
      </c>
      <c r="K5" s="166">
        <f>MAX(_xll.ohPack($AB$19:INDEX($AB$19:$AB$3552,MATCH(E5+1,$AA$19:$AA$3552,1),1)))</f>
        <v>1.052941326032329E-2</v>
      </c>
      <c r="L5" s="164"/>
      <c r="M5" s="123"/>
    </row>
    <row r="6" spans="1:30" ht="11.25" hidden="1" customHeight="1" outlineLevel="1" x14ac:dyDescent="0.2">
      <c r="A6" s="155" t="s">
        <v>145</v>
      </c>
      <c r="B6" s="158" t="str">
        <f>_xll.qlPeriodEquivalent(D6&amp;"M")</f>
        <v>10Y</v>
      </c>
      <c r="C6" s="142">
        <f t="shared" ref="C6:C9" si="5">C5</f>
        <v>42004</v>
      </c>
      <c r="D6" s="131">
        <v>120</v>
      </c>
      <c r="E6" s="142">
        <f t="shared" si="0"/>
        <v>45791</v>
      </c>
      <c r="F6" s="161">
        <f t="shared" si="1"/>
        <v>6</v>
      </c>
      <c r="G6" s="172">
        <f t="shared" si="2"/>
        <v>0</v>
      </c>
      <c r="H6" s="151">
        <f t="shared" si="3"/>
        <v>0.02</v>
      </c>
      <c r="I6" s="166">
        <f t="shared" si="4"/>
        <v>5.0000000000000001E-3</v>
      </c>
      <c r="J6" s="151">
        <f>MIN(_xll.ohPack($AB$19:INDEX($AB$19:$AB$3552,MATCH(E6+1,$AA$19:$AA$3552,1),1)))</f>
        <v>6.2413780012325918E-4</v>
      </c>
      <c r="K6" s="166">
        <f>MAX(_xll.ohPack($AB$19:INDEX($AB$19:$AB$3552,MATCH(E6+1,$AA$19:$AA$3552,1),1)))</f>
        <v>1.714226099384749E-2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49443</v>
      </c>
      <c r="F7" s="162">
        <f t="shared" si="1"/>
        <v>12</v>
      </c>
      <c r="G7" s="172">
        <f t="shared" si="2"/>
        <v>0</v>
      </c>
      <c r="H7" s="151">
        <f t="shared" si="3"/>
        <v>0.02</v>
      </c>
      <c r="I7" s="166">
        <f t="shared" si="4"/>
        <v>5.0000000000000001E-3</v>
      </c>
      <c r="J7" s="169">
        <f>MIN(_xll.ohPack($AB$19:INDEX($AB$19:$AB$3552,MATCH(E7+1,$AA$19:$AA$3552,1),1)))</f>
        <v>6.2413780012325918E-4</v>
      </c>
      <c r="K7" s="166">
        <f>MAX(_xll.ohPack($AB$19:INDEX($AB$19:$AB$3552,MATCH(E7+1,$AA$19:$AA$3552,1),1)))</f>
        <v>1.7868110621882063E-2</v>
      </c>
      <c r="L7" s="164"/>
      <c r="M7" s="123"/>
    </row>
    <row r="8" spans="1:30" ht="11.25" hidden="1" customHeight="1" outlineLevel="1" x14ac:dyDescent="0.2">
      <c r="A8" s="154"/>
      <c r="B8" s="158" t="str">
        <f>_xll.qlPeriodEquivalent(D8&amp;"M")</f>
        <v>30Y</v>
      </c>
      <c r="C8" s="142">
        <f t="shared" si="5"/>
        <v>42004</v>
      </c>
      <c r="D8" s="131">
        <v>360</v>
      </c>
      <c r="E8" s="142">
        <f t="shared" si="0"/>
        <v>53096</v>
      </c>
      <c r="F8" s="162">
        <f t="shared" si="1"/>
        <v>36</v>
      </c>
      <c r="G8" s="172">
        <f t="shared" si="2"/>
        <v>0</v>
      </c>
      <c r="H8" s="151">
        <f t="shared" si="3"/>
        <v>0.02</v>
      </c>
      <c r="I8" s="166">
        <f t="shared" si="4"/>
        <v>5.0000000000000001E-3</v>
      </c>
      <c r="J8" s="169">
        <f>MIN(_xll.ohPack($AB$19:INDEX($AB$19:$AB$3552,MATCH(E8+1,$AA$19:$AA$3552,1),1)))</f>
        <v>6.2413780012325918E-4</v>
      </c>
      <c r="K8" s="166">
        <f>MAX(_xll.ohPack($AB$19:INDEX($AB$19:$AB$3552,MATCH(E8+1,$AA$19:$AA$3552,1),1)))</f>
        <v>1.7868110621882063E-2</v>
      </c>
      <c r="L8" s="164"/>
      <c r="M8" s="123"/>
    </row>
    <row r="9" spans="1:30" ht="11.25" hidden="1" customHeight="1" outlineLevel="1" thickBot="1" x14ac:dyDescent="0.25">
      <c r="A9" s="154"/>
      <c r="B9" s="158" t="str">
        <f>_xll.qlPeriodEquivalent(D9&amp;"M")</f>
        <v>60Y</v>
      </c>
      <c r="C9" s="142">
        <f t="shared" si="5"/>
        <v>42004</v>
      </c>
      <c r="D9" s="131">
        <v>720</v>
      </c>
      <c r="E9" s="142">
        <f t="shared" si="0"/>
        <v>64053</v>
      </c>
      <c r="F9" s="162">
        <f t="shared" si="1"/>
        <v>60</v>
      </c>
      <c r="G9" s="172">
        <f t="shared" si="2"/>
        <v>0</v>
      </c>
      <c r="H9" s="151">
        <f t="shared" si="3"/>
        <v>0.02</v>
      </c>
      <c r="I9" s="166">
        <f t="shared" si="4"/>
        <v>5.0000000000000001E-3</v>
      </c>
      <c r="J9" s="169">
        <f>MIN(_xll.ohPack($AB$19:INDEX($AB$19:$AB$3552,MATCH(E9+1,$AA$19:$AA$3552,1),1)))</f>
        <v>6.2413780012325918E-4</v>
      </c>
      <c r="K9" s="166">
        <f>MAX(_xll.ohPack($AB$19:INDEX($AB$19:$AB$3552,MATCH(E9+1,$AA$19:$AA$3552,1),1)))</f>
        <v>1.7868110621882063E-2</v>
      </c>
      <c r="L9" s="164"/>
      <c r="M9" s="123"/>
      <c r="AD9" s="118"/>
    </row>
    <row r="10" spans="1:30" ht="11.25" hidden="1" customHeight="1" outlineLevel="1" x14ac:dyDescent="0.2">
      <c r="A10" s="153"/>
      <c r="B10" s="157" t="str">
        <f>_xll.qlPeriodEquivalent(D10&amp;"M")</f>
        <v>1Y</v>
      </c>
      <c r="C10" s="141">
        <f>C3</f>
        <v>42124</v>
      </c>
      <c r="D10" s="138">
        <v>12</v>
      </c>
      <c r="E10" s="141">
        <f t="shared" si="0"/>
        <v>42504</v>
      </c>
      <c r="F10" s="160">
        <f t="shared" si="1"/>
        <v>1</v>
      </c>
      <c r="G10" s="171">
        <f t="shared" si="2"/>
        <v>0</v>
      </c>
      <c r="H10" s="150">
        <f t="shared" si="3"/>
        <v>1.4999999999999999E-2</v>
      </c>
      <c r="I10" s="165">
        <f t="shared" si="4"/>
        <v>2.5000000000000001E-3</v>
      </c>
      <c r="J10" s="150">
        <f>MIN(_xll.ohPack($AC$19:INDEX($AC$19:$AC$3552,MATCH(E10+1,$AA$19:$AA$3552,1),1)))</f>
        <v>1.9745197876730458E-4</v>
      </c>
      <c r="K10" s="165">
        <f>MAX(_xll.ohPack($AC$19:INDEX($AC$19:$AC$3552,MATCH(E10+1,$AA$19:$AA$3552,1),1)))</f>
        <v>1.1659310071330253E-2</v>
      </c>
      <c r="L10" s="164"/>
      <c r="M10" s="123"/>
    </row>
    <row r="11" spans="1:30" ht="11.25" hidden="1" customHeight="1" outlineLevel="1" x14ac:dyDescent="0.2">
      <c r="A11" s="154"/>
      <c r="B11" s="158" t="str">
        <f>_xll.qlPeriodEquivalent(D11&amp;"M")</f>
        <v>2Y</v>
      </c>
      <c r="C11" s="142">
        <f t="shared" ref="C11:C15" si="6">C4</f>
        <v>42094</v>
      </c>
      <c r="D11" s="131">
        <v>24</v>
      </c>
      <c r="E11" s="142">
        <f t="shared" si="0"/>
        <v>42869</v>
      </c>
      <c r="F11" s="161">
        <f t="shared" si="1"/>
        <v>3</v>
      </c>
      <c r="G11" s="172">
        <f t="shared" si="2"/>
        <v>0</v>
      </c>
      <c r="H11" s="151">
        <f t="shared" si="3"/>
        <v>1.4999999999999999E-2</v>
      </c>
      <c r="I11" s="166">
        <f t="shared" si="4"/>
        <v>2.5000000000000001E-3</v>
      </c>
      <c r="J11" s="151">
        <f>MIN(_xll.ohPack($AC$19:INDEX($AC$19:$AC$3552,MATCH(E11+1,$AA$19:$AA$3552,1),1)))</f>
        <v>1.9745197876730458E-4</v>
      </c>
      <c r="K11" s="166">
        <f>MAX(_xll.ohPack($AC$19:INDEX($AC$19:$AC$3552,MATCH(E11+1,$AA$19:$AA$3552,1),1)))</f>
        <v>1.1659310071330253E-2</v>
      </c>
      <c r="L11" s="164"/>
      <c r="M11" s="123"/>
    </row>
    <row r="12" spans="1:30" ht="11.25" hidden="1" customHeight="1" outlineLevel="1" x14ac:dyDescent="0.2">
      <c r="A12" s="154"/>
      <c r="B12" s="158" t="str">
        <f>_xll.qlPeriodEquivalent(D12&amp;"M")</f>
        <v>5Y</v>
      </c>
      <c r="C12" s="142">
        <f t="shared" si="6"/>
        <v>42004</v>
      </c>
      <c r="D12" s="131">
        <v>60</v>
      </c>
      <c r="E12" s="142">
        <f t="shared" si="0"/>
        <v>43965</v>
      </c>
      <c r="F12" s="161">
        <f t="shared" si="1"/>
        <v>6</v>
      </c>
      <c r="G12" s="172">
        <f t="shared" si="2"/>
        <v>0</v>
      </c>
      <c r="H12" s="151">
        <f t="shared" si="3"/>
        <v>1.4999999999999999E-2</v>
      </c>
      <c r="I12" s="166">
        <f t="shared" si="4"/>
        <v>2.5000000000000001E-3</v>
      </c>
      <c r="J12" s="151">
        <f>MIN(_xll.ohPack($AC$19:INDEX($AC$19:$AC$3552,MATCH(E12+1,$AA$19:$AA$3552,1),1)))</f>
        <v>1.9745197876730458E-4</v>
      </c>
      <c r="K12" s="166">
        <f>MAX(_xll.ohPack($AC$19:INDEX($AC$19:$AC$3552,MATCH(E12+1,$AA$19:$AA$3552,1),1)))</f>
        <v>1.1659310071330253E-2</v>
      </c>
      <c r="L12" s="164"/>
      <c r="M12" s="123"/>
    </row>
    <row r="13" spans="1:30" ht="11.25" hidden="1" customHeight="1" outlineLevel="1" x14ac:dyDescent="0.2">
      <c r="A13" s="155" t="s">
        <v>130</v>
      </c>
      <c r="B13" s="158" t="str">
        <f>_xll.qlPeriodEquivalent(D13&amp;"M")</f>
        <v>10Y</v>
      </c>
      <c r="C13" s="142">
        <f t="shared" si="6"/>
        <v>42004</v>
      </c>
      <c r="D13" s="131">
        <v>120</v>
      </c>
      <c r="E13" s="142">
        <f t="shared" si="0"/>
        <v>45791</v>
      </c>
      <c r="F13" s="161">
        <f t="shared" si="1"/>
        <v>6</v>
      </c>
      <c r="G13" s="172">
        <f t="shared" si="2"/>
        <v>0</v>
      </c>
      <c r="H13" s="151">
        <f t="shared" si="3"/>
        <v>0.02</v>
      </c>
      <c r="I13" s="166">
        <f t="shared" si="4"/>
        <v>5.0000000000000001E-3</v>
      </c>
      <c r="J13" s="151">
        <f>MIN(_xll.ohPack($AC$19:INDEX($AC$19:$AC$3552,MATCH(E13+1,$AA$19:$AA$3552,1),1)))</f>
        <v>1.9745197876730458E-4</v>
      </c>
      <c r="K13" s="166">
        <f>MAX(_xll.ohPack($AC$19:INDEX($AC$19:$AC$3552,MATCH(E13+1,$AA$19:$AA$3552,1),1)))</f>
        <v>1.6835977838818295E-2</v>
      </c>
      <c r="L13" s="164"/>
      <c r="M13" s="123"/>
    </row>
    <row r="14" spans="1:30" ht="11.25" hidden="1" customHeight="1" outlineLevel="1" x14ac:dyDescent="0.2">
      <c r="A14" s="154"/>
      <c r="B14" s="158" t="str">
        <f>_xll.qlPeriodEquivalent(D14&amp;"M")</f>
        <v>20Y</v>
      </c>
      <c r="C14" s="142">
        <f t="shared" si="6"/>
        <v>42004</v>
      </c>
      <c r="D14" s="131">
        <v>240</v>
      </c>
      <c r="E14" s="142">
        <f t="shared" si="0"/>
        <v>49443</v>
      </c>
      <c r="F14" s="162">
        <f>IF(D14&lt;=12,1,IF(D14&lt;=24,3,IF(D14&lt;=120,6,IF(D14&lt;=240,12,IF(D14&lt;=360,36,60)))))</f>
        <v>12</v>
      </c>
      <c r="G14" s="172">
        <f>ROUNDDOWN(J14*10,2)/10</f>
        <v>0</v>
      </c>
      <c r="H14" s="151">
        <f t="shared" si="3"/>
        <v>0.02</v>
      </c>
      <c r="I14" s="166">
        <f t="shared" si="4"/>
        <v>5.0000000000000001E-3</v>
      </c>
      <c r="J14" s="169">
        <f>MIN(_xll.ohPack($AC$19:INDEX($AC$19:$AC$3552,MATCH(E14+1,$AA$19:$AA$3552,1),1)))</f>
        <v>1.9745197876730458E-4</v>
      </c>
      <c r="K14" s="166">
        <f>MAX(_xll.ohPack($AC$19:INDEX($AC$19:$AC$3552,MATCH(E14+1,$AA$19:$AA$3552,1),1)))</f>
        <v>1.779612637822936E-2</v>
      </c>
      <c r="L14" s="164"/>
      <c r="M14" s="123"/>
    </row>
    <row r="15" spans="1:30" ht="11.25" hidden="1" customHeight="1" outlineLevel="1" x14ac:dyDescent="0.2">
      <c r="A15" s="154"/>
      <c r="B15" s="158" t="str">
        <f>_xll.qlPeriodEquivalent(D15&amp;"M")</f>
        <v>30Y</v>
      </c>
      <c r="C15" s="142">
        <f t="shared" si="6"/>
        <v>42004</v>
      </c>
      <c r="D15" s="131">
        <v>360</v>
      </c>
      <c r="E15" s="142">
        <f t="shared" si="0"/>
        <v>53096</v>
      </c>
      <c r="F15" s="162">
        <f t="shared" si="1"/>
        <v>36</v>
      </c>
      <c r="G15" s="172">
        <f t="shared" si="2"/>
        <v>0</v>
      </c>
      <c r="H15" s="151">
        <f t="shared" si="3"/>
        <v>0.02</v>
      </c>
      <c r="I15" s="166">
        <f t="shared" si="4"/>
        <v>5.0000000000000001E-3</v>
      </c>
      <c r="J15" s="169">
        <f>MIN(_xll.ohPack($AC$19:INDEX($AC$19:$AC$3552,MATCH(E15+1,$AA$19:$AA$3552,1),1)))</f>
        <v>1.9745197876730458E-4</v>
      </c>
      <c r="K15" s="166">
        <f>MAX(_xll.ohPack($AC$19:INDEX($AC$19:$AC$3552,MATCH(E15+1,$AA$19:$AA$3552,1),1)))</f>
        <v>1.779612637822936E-2</v>
      </c>
      <c r="L15" s="164"/>
      <c r="M15" s="123"/>
      <c r="O15" s="115"/>
      <c r="P15" s="115"/>
      <c r="Q15" s="115"/>
      <c r="R15" s="115"/>
      <c r="S15" s="115"/>
      <c r="T15" s="115"/>
      <c r="U15" s="115"/>
      <c r="V15" s="116"/>
      <c r="W15" s="115"/>
      <c r="X15" s="115"/>
      <c r="AB15" s="114" t="s">
        <v>128</v>
      </c>
      <c r="AC15" s="114" t="s">
        <v>129</v>
      </c>
    </row>
    <row r="16" spans="1:30" ht="11.25" hidden="1" customHeight="1" outlineLevel="1" thickBot="1" x14ac:dyDescent="0.25">
      <c r="A16" s="156"/>
      <c r="B16" s="159" t="str">
        <f>_xll.qlPeriodEquivalent(D16&amp;"M")</f>
        <v>60Y</v>
      </c>
      <c r="C16" s="147">
        <f>C9</f>
        <v>42004</v>
      </c>
      <c r="D16" s="148">
        <v>720</v>
      </c>
      <c r="E16" s="147">
        <f t="shared" si="0"/>
        <v>64053</v>
      </c>
      <c r="F16" s="163">
        <f t="shared" si="1"/>
        <v>60</v>
      </c>
      <c r="G16" s="173">
        <f t="shared" si="2"/>
        <v>0</v>
      </c>
      <c r="H16" s="152">
        <f t="shared" si="3"/>
        <v>0.02</v>
      </c>
      <c r="I16" s="167">
        <f t="shared" si="4"/>
        <v>5.0000000000000001E-3</v>
      </c>
      <c r="J16" s="170">
        <f>MIN(_xll.ohPack($AC$19:INDEX($AC$19:$AC$3552,MATCH(E16+1,$AA$19:$AA$3552,1),1)))</f>
        <v>1.9745197876730458E-4</v>
      </c>
      <c r="K16" s="167">
        <f>MAX(_xll.ohPack($AC$19:INDEX($AC$19:$AC$3552,MATCH(E16+1,$AA$19:$AA$3552,1),1)))</f>
        <v>1.779612637822936E-2</v>
      </c>
      <c r="L16" s="164"/>
      <c r="M16" s="123"/>
      <c r="X16" s="91"/>
      <c r="AB16" s="96" t="str">
        <f>_xll.qlEuribor(,IndexTenor,YieldCurve)</f>
        <v>obj_0078f#0004</v>
      </c>
      <c r="AC16" s="96" t="str">
        <f>_xll.qlEonia(,YieldCurve)</f>
        <v>obj_00792#0004</v>
      </c>
    </row>
    <row r="17" spans="10:29" ht="12" collapsed="1" thickBot="1" x14ac:dyDescent="0.25"/>
    <row r="18" spans="10:29" ht="12" thickBot="1" x14ac:dyDescent="0.25">
      <c r="M18" s="97" t="s">
        <v>44</v>
      </c>
      <c r="N18" s="97" t="s">
        <v>133</v>
      </c>
      <c r="O18" s="98" t="s">
        <v>126</v>
      </c>
      <c r="P18" s="98" t="s">
        <v>43</v>
      </c>
      <c r="Q18" s="98" t="s">
        <v>139</v>
      </c>
      <c r="R18" s="98" t="s">
        <v>127</v>
      </c>
      <c r="S18" s="98"/>
      <c r="T18" s="98"/>
      <c r="U18" s="98" t="s">
        <v>151</v>
      </c>
      <c r="V18" s="109" t="s">
        <v>140</v>
      </c>
      <c r="W18" s="114" t="s">
        <v>142</v>
      </c>
      <c r="Y18" s="127" t="s">
        <v>134</v>
      </c>
      <c r="Z18" s="128" t="s">
        <v>127</v>
      </c>
      <c r="AA18" s="128" t="s">
        <v>126</v>
      </c>
      <c r="AB18" s="129" t="s">
        <v>131</v>
      </c>
      <c r="AC18" s="130" t="s">
        <v>130</v>
      </c>
    </row>
    <row r="19" spans="10:29" ht="12" thickBot="1" x14ac:dyDescent="0.25">
      <c r="J19" s="125" t="s">
        <v>143</v>
      </c>
      <c r="M19" s="99" t="str">
        <f t="array" ref="M19:M36">_xll.ohFilter(RateHelpers!B12:B29,IF(ISERROR(RateHelpers!D12:D29),FALSE,TRUE))</f>
        <v>obj_00733#0001</v>
      </c>
      <c r="N19" s="179" t="str">
        <f>_xll.qlRateHelperQuoteName(M19)</f>
        <v>EUR1x7F_Quote</v>
      </c>
      <c r="O19" s="95">
        <f>_xll.qlRateHelperEarliestDate(M19,Trigger)</f>
        <v>42170</v>
      </c>
      <c r="P19" s="143">
        <f>_xll.qlRateHelperQuoteValue(M19,_xll.ohTrigger(RecalcTrigger,Trigger))</f>
        <v>6.3000000000000003E-4</v>
      </c>
      <c r="Q19" s="143" t="e">
        <f>NA()</f>
        <v>#N/A</v>
      </c>
      <c r="R19" s="95">
        <f>_xll.qlInterestRateIndexFixingDate(IborIndex,O19,_xll.ohTrigger(RecalcTrigger,Trigger))</f>
        <v>42166</v>
      </c>
      <c r="S19" s="95"/>
      <c r="T19" s="95"/>
      <c r="U19" s="143">
        <f>_xll.qlIndexFixing(IborIndex,R19,TRUE,RecalcTrigger)</f>
        <v>6.2999999999982471E-4</v>
      </c>
      <c r="V19" s="144">
        <f t="shared" ref="V19:V36" si="7">U19-P19</f>
        <v>-1.7531549129090607E-16</v>
      </c>
      <c r="W19" s="181">
        <f t="array" ref="W19">MAX(ABS(V19:V36))</f>
        <v>7.0500441422260973E-13</v>
      </c>
      <c r="Y19" s="105" t="s">
        <v>100</v>
      </c>
      <c r="Z19" s="117">
        <f>_xll.qlSettingsEvaluationDate(Trigger)</f>
        <v>42136</v>
      </c>
      <c r="AA19" s="117">
        <f>_xll.qlCalendarAdvance(Calendar,Z19,NDays&amp;"D")</f>
        <v>42138</v>
      </c>
      <c r="AB19" s="92">
        <f t="array" ref="AB19:AB3552">IFERROR(_xll.qlIndexFixing(IborIndex,Z19:Z3552,TRUE,RecalcTrigger),NA())</f>
        <v>6.6799999999994099E-4</v>
      </c>
      <c r="AC19" s="101">
        <f t="array" ref="AC19:AC3552">IFERROR(_xll.qlIndexFixing(OverNightIndex,AA19:AA3552,TRUE,RecalcTrigger),NA())</f>
        <v>7.6946948500911105E-4</v>
      </c>
    </row>
    <row r="20" spans="10:29" ht="12" thickBot="1" x14ac:dyDescent="0.25">
      <c r="J20" s="136"/>
      <c r="M20" s="100" t="str">
        <v>obj_00735#0001</v>
      </c>
      <c r="N20" s="105" t="str">
        <f>_xll.qlRateHelperQuoteName(M20)</f>
        <v>EUR2x8F_Quote</v>
      </c>
      <c r="O20" s="93">
        <f>_xll.qlRateHelperEarliestDate(M20,Trigger)</f>
        <v>42199</v>
      </c>
      <c r="P20" s="92">
        <f>_xll.qlRateHelperQuoteValue(M20,_xll.ohTrigger(RecalcTrigger,Trigger))</f>
        <v>6.4000000000000005E-4</v>
      </c>
      <c r="Q20" s="92" t="e">
        <f>NA()</f>
        <v>#N/A</v>
      </c>
      <c r="R20" s="93">
        <f>_xll.qlInterestRateIndexFixingDate(IborIndex,O20,_xll.ohTrigger(RecalcTrigger,Trigger))</f>
        <v>42195</v>
      </c>
      <c r="S20" s="93"/>
      <c r="T20" s="93"/>
      <c r="U20" s="92">
        <f>_xll.qlIndexFixing(IborIndex,R20,TRUE,RecalcTrigger)</f>
        <v>6.4000000000054356E-4</v>
      </c>
      <c r="V20" s="145">
        <f t="shared" si="7"/>
        <v>5.4351054906698337E-16</v>
      </c>
      <c r="Y20" s="105" t="str">
        <f>Y19</f>
        <v>1D</v>
      </c>
      <c r="Z20" s="93">
        <f>_xll.qlCalendarAdvance(Calendar,Z19,Y20,"f",FALSE)</f>
        <v>42137</v>
      </c>
      <c r="AA20" s="117">
        <f>_xll.qlCalendarAdvance(Calendar,Z20,NDays&amp;"D")</f>
        <v>42139</v>
      </c>
      <c r="AB20" s="92">
        <v>6.6745008967922996E-4</v>
      </c>
      <c r="AC20" s="101">
        <v>7.6947112964020903E-4</v>
      </c>
    </row>
    <row r="21" spans="10:29" ht="12" thickBot="1" x14ac:dyDescent="0.25">
      <c r="M21" s="100" t="str">
        <v>obj_00742#0001</v>
      </c>
      <c r="N21" s="105" t="str">
        <f>_xll.qlRateHelperQuoteName(M21)</f>
        <v>EUR3x9F_Quote</v>
      </c>
      <c r="O21" s="93">
        <f>_xll.qlRateHelperEarliestDate(M21,Trigger)</f>
        <v>42230</v>
      </c>
      <c r="P21" s="92">
        <f>_xll.qlRateHelperQuoteValue(M21,_xll.ohTrigger(RecalcTrigger,Trigger))</f>
        <v>6.4000000000000005E-4</v>
      </c>
      <c r="Q21" s="92" t="e">
        <f>NA()</f>
        <v>#N/A</v>
      </c>
      <c r="R21" s="93">
        <f>_xll.qlInterestRateIndexFixingDate(IborIndex,O21,_xll.ohTrigger(RecalcTrigger,Trigger))</f>
        <v>42228</v>
      </c>
      <c r="S21" s="93"/>
      <c r="T21" s="93"/>
      <c r="U21" s="92">
        <f>_xll.qlIndexFixing(IborIndex,R21,TRUE,RecalcTrigger)</f>
        <v>6.3999999999987201E-4</v>
      </c>
      <c r="V21" s="145">
        <f t="shared" si="7"/>
        <v>-1.2804427657053807E-16</v>
      </c>
      <c r="Y21" s="105" t="str">
        <f t="shared" ref="Y21:Y84" si="8">Y20</f>
        <v>1D</v>
      </c>
      <c r="Z21" s="93">
        <f>_xll.qlCalendarAdvance(Calendar,Z20,Y21,"f",FALSE)</f>
        <v>42138</v>
      </c>
      <c r="AA21" s="117">
        <f>_xll.qlCalendarAdvance(Calendar,Z21,NDays&amp;"D")</f>
        <v>42142</v>
      </c>
      <c r="AB21" s="92">
        <v>6.6322790740195854E-4</v>
      </c>
      <c r="AC21" s="101">
        <v>7.6946948500911105E-4</v>
      </c>
    </row>
    <row r="22" spans="10:29" ht="23.25" thickBot="1" x14ac:dyDescent="0.25">
      <c r="J22" s="213" t="s">
        <v>160</v>
      </c>
      <c r="M22" s="100" t="str">
        <v>obj_00739#0001</v>
      </c>
      <c r="N22" s="105" t="str">
        <f>_xll.qlRateHelperQuoteName(M22)</f>
        <v>EUR4x10F_Quote</v>
      </c>
      <c r="O22" s="93">
        <f>_xll.qlRateHelperEarliestDate(M22,Trigger)</f>
        <v>42261</v>
      </c>
      <c r="P22" s="92">
        <f>_xll.qlRateHelperQuoteValue(M22,_xll.ohTrigger(RecalcTrigger,Trigger))</f>
        <v>6.4999999999999997E-4</v>
      </c>
      <c r="Q22" s="92" t="e">
        <f>NA()</f>
        <v>#N/A</v>
      </c>
      <c r="R22" s="93">
        <f>_xll.qlInterestRateIndexFixingDate(IborIndex,O22,_xll.ohTrigger(RecalcTrigger,Trigger))</f>
        <v>42257</v>
      </c>
      <c r="S22" s="93"/>
      <c r="T22" s="93"/>
      <c r="U22" s="92">
        <f>_xll.qlIndexFixing(IborIndex,R22,TRUE,RecalcTrigger)</f>
        <v>6.5000000000008584E-4</v>
      </c>
      <c r="V22" s="145">
        <f t="shared" si="7"/>
        <v>8.5868812060851951E-17</v>
      </c>
      <c r="Y22" s="105" t="str">
        <f t="shared" si="8"/>
        <v>1D</v>
      </c>
      <c r="Z22" s="93">
        <f>_xll.qlCalendarAdvance(Calendar,Z21,Y22,"f",FALSE)</f>
        <v>42139</v>
      </c>
      <c r="AA22" s="117">
        <f>_xll.qlCalendarAdvance(Calendar,Z22,NDays&amp;"D")</f>
        <v>42143</v>
      </c>
      <c r="AB22" s="92">
        <v>6.6141102992913956E-4</v>
      </c>
      <c r="AC22" s="101">
        <v>7.69469484929175E-4</v>
      </c>
    </row>
    <row r="23" spans="10:29" ht="12" thickBot="1" x14ac:dyDescent="0.25">
      <c r="J23" s="212" t="str">
        <f>ROUNDDOWN((_xll.qlTermStructureMaxDate(YieldCurve,Trigger)-_xll.qlTermStructureReferenceDate(YieldCurve,Trigger))/365,)&amp;"Y"</f>
        <v>60Y</v>
      </c>
      <c r="M23" s="100" t="str">
        <v>obj_0073a#0001</v>
      </c>
      <c r="N23" s="105" t="str">
        <f>_xll.qlRateHelperQuoteName(M23)</f>
        <v>EUR5x11F_Quote</v>
      </c>
      <c r="O23" s="93">
        <f>_xll.qlRateHelperEarliestDate(M23,Trigger)</f>
        <v>42291</v>
      </c>
      <c r="P23" s="92">
        <f>_xll.qlRateHelperQuoteValue(M23,_xll.ohTrigger(RecalcTrigger,Trigger))</f>
        <v>6.8000000000000005E-4</v>
      </c>
      <c r="Q23" s="92" t="e">
        <f>NA()</f>
        <v>#N/A</v>
      </c>
      <c r="R23" s="93">
        <f>_xll.qlInterestRateIndexFixingDate(IborIndex,O23,_xll.ohTrigger(RecalcTrigger,Trigger))</f>
        <v>42289</v>
      </c>
      <c r="S23" s="93"/>
      <c r="T23" s="93"/>
      <c r="U23" s="92">
        <f>_xll.qlIndexFixing(IborIndex,R23,TRUE,RecalcTrigger)</f>
        <v>6.8000000000026145E-4</v>
      </c>
      <c r="V23" s="145">
        <f t="shared" si="7"/>
        <v>2.6140114378625512E-16</v>
      </c>
      <c r="Y23" s="105" t="str">
        <f t="shared" si="8"/>
        <v>1D</v>
      </c>
      <c r="Z23" s="93">
        <f>_xll.qlCalendarAdvance(Calendar,Z22,Y23,"f",FALSE)</f>
        <v>42142</v>
      </c>
      <c r="AA23" s="117">
        <f>_xll.qlCalendarAdvance(Calendar,Z23,NDays&amp;"D")</f>
        <v>42144</v>
      </c>
      <c r="AB23" s="92">
        <v>6.5960669355317732E-4</v>
      </c>
      <c r="AC23" s="101">
        <v>7.6946948500911105E-4</v>
      </c>
    </row>
    <row r="24" spans="10:29" x14ac:dyDescent="0.2">
      <c r="M24" s="100" t="str">
        <v>obj_00737#0001</v>
      </c>
      <c r="N24" s="105" t="str">
        <f>_xll.qlRateHelperQuoteName(M24)</f>
        <v>EUR6x12F_Quote</v>
      </c>
      <c r="O24" s="93">
        <f>_xll.qlRateHelperEarliestDate(M24,Trigger)</f>
        <v>42324</v>
      </c>
      <c r="P24" s="92">
        <f>_xll.qlRateHelperQuoteValue(M24,_xll.ohTrigger(RecalcTrigger,Trigger))</f>
        <v>7.000000000000001E-4</v>
      </c>
      <c r="Q24" s="92" t="e">
        <f>NA()</f>
        <v>#N/A</v>
      </c>
      <c r="R24" s="93">
        <f>_xll.qlInterestRateIndexFixingDate(IborIndex,O24,_xll.ohTrigger(RecalcTrigger,Trigger))</f>
        <v>42320</v>
      </c>
      <c r="S24" s="93"/>
      <c r="T24" s="93"/>
      <c r="U24" s="92">
        <f>_xll.qlIndexFixing(IborIndex,R24,TRUE,RecalcTrigger)</f>
        <v>6.9999999999975453E-4</v>
      </c>
      <c r="V24" s="145">
        <f t="shared" si="7"/>
        <v>-2.4557179206796675E-16</v>
      </c>
      <c r="Y24" s="105" t="str">
        <f t="shared" si="8"/>
        <v>1D</v>
      </c>
      <c r="Z24" s="93">
        <f>_xll.qlCalendarAdvance(Calendar,Z23,Y24,"f",FALSE)</f>
        <v>42143</v>
      </c>
      <c r="AA24" s="117">
        <f>_xll.qlCalendarAdvance(Calendar,Z24,NDays&amp;"D")</f>
        <v>42145</v>
      </c>
      <c r="AB24" s="92">
        <v>6.5552333985920543E-4</v>
      </c>
      <c r="AC24" s="101">
        <v>7.6946948500911105E-4</v>
      </c>
    </row>
    <row r="25" spans="10:29" x14ac:dyDescent="0.2">
      <c r="M25" s="100" t="str">
        <v>obj_00740#0001</v>
      </c>
      <c r="N25" s="105" t="str">
        <f>_xll.qlRateHelperQuoteName(M25)</f>
        <v>EUR7x13F_Quote</v>
      </c>
      <c r="O25" s="93">
        <f>_xll.qlRateHelperEarliestDate(M25,Trigger)</f>
        <v>42352</v>
      </c>
      <c r="P25" s="92">
        <f>_xll.qlRateHelperQuoteValue(M25,_xll.ohTrigger(RecalcTrigger,Trigger))</f>
        <v>7.2000000000000005E-4</v>
      </c>
      <c r="Q25" s="92" t="e">
        <f>NA()</f>
        <v>#N/A</v>
      </c>
      <c r="R25" s="93">
        <f>_xll.qlInterestRateIndexFixingDate(IborIndex,O25,_xll.ohTrigger(RecalcTrigger,Trigger))</f>
        <v>42348</v>
      </c>
      <c r="S25" s="93"/>
      <c r="T25" s="93"/>
      <c r="U25" s="92">
        <f>_xll.qlIndexFixing(IborIndex,R25,TRUE,RecalcTrigger)</f>
        <v>7.1999999997309188E-4</v>
      </c>
      <c r="V25" s="145">
        <f t="shared" si="7"/>
        <v>-2.6908163197614243E-14</v>
      </c>
      <c r="Y25" s="105" t="str">
        <f t="shared" si="8"/>
        <v>1D</v>
      </c>
      <c r="Z25" s="93">
        <f>_xll.qlCalendarAdvance(Calendar,Z24,Y25,"f",FALSE)</f>
        <v>42144</v>
      </c>
      <c r="AA25" s="117">
        <f>_xll.qlCalendarAdvance(Calendar,Z25,NDays&amp;"D")</f>
        <v>42146</v>
      </c>
      <c r="AB25" s="92">
        <v>6.5490601494417819E-4</v>
      </c>
      <c r="AC25" s="101">
        <v>7.6947112966685438E-4</v>
      </c>
    </row>
    <row r="26" spans="10:29" x14ac:dyDescent="0.2">
      <c r="M26" s="100" t="str">
        <v>obj_0073c#0001</v>
      </c>
      <c r="N26" s="105" t="str">
        <f>_xll.qlRateHelperQuoteName(M26)</f>
        <v>EUR8x14F_Quote</v>
      </c>
      <c r="O26" s="93">
        <f>_xll.qlRateHelperEarliestDate(M26,Trigger)</f>
        <v>42383</v>
      </c>
      <c r="P26" s="92">
        <f>_xll.qlRateHelperQuoteValue(M26,_xll.ohTrigger(RecalcTrigger,Trigger))</f>
        <v>7.7000000000000018E-4</v>
      </c>
      <c r="Q26" s="92" t="e">
        <f>NA()</f>
        <v>#N/A</v>
      </c>
      <c r="R26" s="93">
        <f>_xll.qlInterestRateIndexFixingDate(IborIndex,O26,_xll.ohTrigger(RecalcTrigger,Trigger))</f>
        <v>42381</v>
      </c>
      <c r="S26" s="93"/>
      <c r="T26" s="93"/>
      <c r="U26" s="92">
        <f>_xll.qlIndexFixing(IborIndex,R26,TRUE,RecalcTrigger)</f>
        <v>7.6999999999972999E-4</v>
      </c>
      <c r="V26" s="145">
        <f t="shared" si="7"/>
        <v>-2.701831813833877E-16</v>
      </c>
      <c r="Y26" s="105" t="str">
        <f t="shared" si="8"/>
        <v>1D</v>
      </c>
      <c r="Z26" s="93">
        <f>_xll.qlCalendarAdvance(Calendar,Z25,Y26,"f",FALSE)</f>
        <v>42145</v>
      </c>
      <c r="AA26" s="117">
        <f>_xll.qlCalendarAdvance(Calendar,Z26,NDays&amp;"D")</f>
        <v>42149</v>
      </c>
      <c r="AB26" s="92">
        <v>6.5081920215298334E-4</v>
      </c>
      <c r="AC26" s="101">
        <v>7.6946948500911105E-4</v>
      </c>
    </row>
    <row r="27" spans="10:29" x14ac:dyDescent="0.2">
      <c r="M27" s="100" t="str">
        <v>obj_00741#0001</v>
      </c>
      <c r="N27" s="105" t="str">
        <f>_xll.qlRateHelperQuoteName(M27)</f>
        <v>EUR9x15F_Quote</v>
      </c>
      <c r="O27" s="93">
        <f>_xll.qlRateHelperEarliestDate(M27,Trigger)</f>
        <v>42415</v>
      </c>
      <c r="P27" s="92">
        <f>_xll.qlRateHelperQuoteValue(M27,_xll.ohTrigger(RecalcTrigger,Trigger))</f>
        <v>8.200000000000002E-4</v>
      </c>
      <c r="Q27" s="92" t="e">
        <f>NA()</f>
        <v>#N/A</v>
      </c>
      <c r="R27" s="93">
        <f>_xll.qlInterestRateIndexFixingDate(IborIndex,O27,_xll.ohTrigger(RecalcTrigger,Trigger))</f>
        <v>42411</v>
      </c>
      <c r="S27" s="93"/>
      <c r="T27" s="93"/>
      <c r="U27" s="92">
        <f>_xll.qlIndexFixing(IborIndex,R27,TRUE,RecalcTrigger)</f>
        <v>8.19999999999838E-4</v>
      </c>
      <c r="V27" s="145">
        <f t="shared" si="7"/>
        <v>-1.6219664500383146E-16</v>
      </c>
      <c r="Y27" s="105" t="str">
        <f t="shared" si="8"/>
        <v>1D</v>
      </c>
      <c r="Z27" s="93">
        <f>_xll.qlCalendarAdvance(Calendar,Z26,Y27,"f",FALSE)</f>
        <v>42146</v>
      </c>
      <c r="AA27" s="117">
        <f>_xll.qlCalendarAdvance(Calendar,Z27,NDays&amp;"D")</f>
        <v>42150</v>
      </c>
      <c r="AB27" s="92">
        <v>6.4911805384641459E-4</v>
      </c>
      <c r="AC27" s="101">
        <v>7.6946948500911105E-4</v>
      </c>
    </row>
    <row r="28" spans="10:29" x14ac:dyDescent="0.2">
      <c r="M28" s="100" t="str">
        <v>obj_00736#0001</v>
      </c>
      <c r="N28" s="105" t="str">
        <f>_xll.qlRateHelperQuoteName(M28)</f>
        <v>EUR10x16F_Quote</v>
      </c>
      <c r="O28" s="93">
        <f>_xll.qlRateHelperEarliestDate(M28,Trigger)</f>
        <v>42443</v>
      </c>
      <c r="P28" s="92">
        <f>_xll.qlRateHelperQuoteValue(M28,_xll.ohTrigger(RecalcTrigger,Trigger))</f>
        <v>8.7000000000000011E-4</v>
      </c>
      <c r="Q28" s="92" t="e">
        <f>NA()</f>
        <v>#N/A</v>
      </c>
      <c r="R28" s="93">
        <f>_xll.qlInterestRateIndexFixingDate(IborIndex,O28,_xll.ohTrigger(RecalcTrigger,Trigger))</f>
        <v>42439</v>
      </c>
      <c r="S28" s="93"/>
      <c r="T28" s="93"/>
      <c r="U28" s="92">
        <f>_xll.qlIndexFixing(IborIndex,R28,TRUE,RecalcTrigger)</f>
        <v>8.6999999999996509E-4</v>
      </c>
      <c r="V28" s="145">
        <f t="shared" si="7"/>
        <v>-3.5019730171281793E-17</v>
      </c>
      <c r="Y28" s="105" t="str">
        <f t="shared" si="8"/>
        <v>1D</v>
      </c>
      <c r="Z28" s="93">
        <f>_xll.qlCalendarAdvance(Calendar,Z27,Y28,"f",FALSE)</f>
        <v>42149</v>
      </c>
      <c r="AA28" s="117">
        <f>_xll.qlCalendarAdvance(Calendar,Z28,NDays&amp;"D")</f>
        <v>42151</v>
      </c>
      <c r="AB28" s="92">
        <v>6.4743895851494403E-4</v>
      </c>
      <c r="AC28" s="101">
        <v>7.69469484929175E-4</v>
      </c>
    </row>
    <row r="29" spans="10:29" x14ac:dyDescent="0.2">
      <c r="M29" s="100" t="str">
        <v>obj_0073b#0001</v>
      </c>
      <c r="N29" s="105" t="str">
        <f>_xll.qlRateHelperQuoteName(M29)</f>
        <v>EUR11x17F_Quote</v>
      </c>
      <c r="O29" s="93">
        <f>_xll.qlRateHelperEarliestDate(M29,Trigger)</f>
        <v>42474</v>
      </c>
      <c r="P29" s="92">
        <f>_xll.qlRateHelperQuoteValue(M29,_xll.ohTrigger(RecalcTrigger,Trigger))</f>
        <v>9.5E-4</v>
      </c>
      <c r="Q29" s="92" t="e">
        <f>NA()</f>
        <v>#N/A</v>
      </c>
      <c r="R29" s="93">
        <f>_xll.qlInterestRateIndexFixingDate(IborIndex,O29,_xll.ohTrigger(RecalcTrigger,Trigger))</f>
        <v>42472</v>
      </c>
      <c r="S29" s="93"/>
      <c r="T29" s="93"/>
      <c r="U29" s="92">
        <f>_xll.qlIndexFixing(IborIndex,R29,TRUE,RecalcTrigger)</f>
        <v>9.4999999999999913E-4</v>
      </c>
      <c r="V29" s="145">
        <f t="shared" si="7"/>
        <v>-8.6736173798840355E-19</v>
      </c>
      <c r="Y29" s="105" t="str">
        <f t="shared" si="8"/>
        <v>1D</v>
      </c>
      <c r="Z29" s="93">
        <f>_xll.qlCalendarAdvance(Calendar,Z28,Y29,"f",FALSE)</f>
        <v>42150</v>
      </c>
      <c r="AA29" s="117">
        <f>_xll.qlCalendarAdvance(Calendar,Z29,NDays&amp;"D")</f>
        <v>42152</v>
      </c>
      <c r="AB29" s="92">
        <v>6.4391600116168784E-4</v>
      </c>
      <c r="AC29" s="101">
        <v>7.6946948500911105E-4</v>
      </c>
    </row>
    <row r="30" spans="10:29" x14ac:dyDescent="0.2">
      <c r="M30" s="100" t="str">
        <v>obj_0073f#0001</v>
      </c>
      <c r="N30" s="105" t="str">
        <f>_xll.qlRateHelperQuoteName(M30)</f>
        <v>EUR12x18F_Quote</v>
      </c>
      <c r="O30" s="93">
        <f>_xll.qlRateHelperEarliestDate(M30,Trigger)</f>
        <v>42506</v>
      </c>
      <c r="P30" s="92">
        <f>_xll.qlRateHelperQuoteValue(M30,_xll.ohTrigger(RecalcTrigger,Trigger))</f>
        <v>1.0300000000000001E-3</v>
      </c>
      <c r="Q30" s="92" t="e">
        <f>NA()</f>
        <v>#N/A</v>
      </c>
      <c r="R30" s="93">
        <f>_xll.qlInterestRateIndexFixingDate(IborIndex,O30,_xll.ohTrigger(RecalcTrigger,Trigger))</f>
        <v>42502</v>
      </c>
      <c r="S30" s="93"/>
      <c r="T30" s="93"/>
      <c r="U30" s="92">
        <f>_xll.qlIndexFixing(IborIndex,R30,TRUE,RecalcTrigger)</f>
        <v>1.0300000000003182E-3</v>
      </c>
      <c r="V30" s="145">
        <f t="shared" si="7"/>
        <v>3.18104917407247E-16</v>
      </c>
      <c r="Y30" s="105" t="str">
        <f t="shared" si="8"/>
        <v>1D</v>
      </c>
      <c r="Z30" s="93">
        <f>_xll.qlCalendarAdvance(Calendar,Z29,Y30,"f",FALSE)</f>
        <v>42151</v>
      </c>
      <c r="AA30" s="117">
        <f>_xll.qlCalendarAdvance(Calendar,Z30,NDays&amp;"D")</f>
        <v>42153</v>
      </c>
      <c r="AB30" s="92">
        <v>6.4323595881926154E-4</v>
      </c>
      <c r="AC30" s="101">
        <v>1.4894800665388175E-3</v>
      </c>
    </row>
    <row r="31" spans="10:29" x14ac:dyDescent="0.2">
      <c r="M31" s="100" t="str">
        <v>obj_00731#0001</v>
      </c>
      <c r="N31" s="105" t="str">
        <f>_xll.qlRateHelperQuoteName(M31)</f>
        <v>EUR13x19F_Quote</v>
      </c>
      <c r="O31" s="93">
        <f>_xll.qlRateHelperEarliestDate(M31,Trigger)</f>
        <v>42535</v>
      </c>
      <c r="P31" s="92">
        <f>_xll.qlRateHelperQuoteValue(M31,_xll.ohTrigger(RecalcTrigger,Trigger))</f>
        <v>1.1099999999999999E-3</v>
      </c>
      <c r="Q31" s="92" t="e">
        <f>NA()</f>
        <v>#N/A</v>
      </c>
      <c r="R31" s="93">
        <f>_xll.qlInterestRateIndexFixingDate(IborIndex,O31,_xll.ohTrigger(RecalcTrigger,Trigger))</f>
        <v>42531</v>
      </c>
      <c r="S31" s="93"/>
      <c r="T31" s="93"/>
      <c r="U31" s="92">
        <f>_xll.qlIndexFixing(IborIndex,R31,TRUE,RecalcTrigger)</f>
        <v>1.1099999999419907E-3</v>
      </c>
      <c r="V31" s="145">
        <f t="shared" si="7"/>
        <v>-5.8009153036664429E-14</v>
      </c>
      <c r="Y31" s="105" t="str">
        <f t="shared" si="8"/>
        <v>1D</v>
      </c>
      <c r="Z31" s="93">
        <f>_xll.qlCalendarAdvance(Calendar,Z30,Y31,"f",FALSE)</f>
        <v>42152</v>
      </c>
      <c r="AA31" s="117">
        <f>_xll.qlCalendarAdvance(Calendar,Z31,NDays&amp;"D")</f>
        <v>42156</v>
      </c>
      <c r="AB31" s="92">
        <v>6.483370410342768E-4</v>
      </c>
      <c r="AC31" s="101">
        <v>7.6946948500911105E-4</v>
      </c>
    </row>
    <row r="32" spans="10:29" x14ac:dyDescent="0.2">
      <c r="M32" s="100" t="str">
        <v>obj_0073d#0001</v>
      </c>
      <c r="N32" s="105" t="str">
        <f>_xll.qlRateHelperQuoteName(M32)</f>
        <v>EUR14x20F_Quote</v>
      </c>
      <c r="O32" s="93">
        <f>_xll.qlRateHelperEarliestDate(M32,Trigger)</f>
        <v>42565</v>
      </c>
      <c r="P32" s="92">
        <f>_xll.qlRateHelperQuoteValue(M32,_xll.ohTrigger(RecalcTrigger,Trigger))</f>
        <v>1.23E-3</v>
      </c>
      <c r="Q32" s="92" t="e">
        <f>NA()</f>
        <v>#N/A</v>
      </c>
      <c r="R32" s="93">
        <f>_xll.qlInterestRateIndexFixingDate(IborIndex,O32,_xll.ohTrigger(RecalcTrigger,Trigger))</f>
        <v>42563</v>
      </c>
      <c r="S32" s="93"/>
      <c r="T32" s="93"/>
      <c r="U32" s="92">
        <f>_xll.qlIndexFixing(IborIndex,R32,TRUE,RecalcTrigger)</f>
        <v>1.2300000005049936E-3</v>
      </c>
      <c r="V32" s="145">
        <f t="shared" si="7"/>
        <v>5.0499361636813234E-13</v>
      </c>
      <c r="Y32" s="105" t="str">
        <f t="shared" si="8"/>
        <v>1D</v>
      </c>
      <c r="Z32" s="93">
        <f>_xll.qlCalendarAdvance(Calendar,Z31,Y32,"f",FALSE)</f>
        <v>42153</v>
      </c>
      <c r="AA32" s="117">
        <f>_xll.qlCalendarAdvance(Calendar,Z32,NDays&amp;"D")</f>
        <v>42157</v>
      </c>
      <c r="AB32" s="92">
        <v>6.467818355110072E-4</v>
      </c>
      <c r="AC32" s="101">
        <v>7.6946948500911105E-4</v>
      </c>
    </row>
    <row r="33" spans="13:29" x14ac:dyDescent="0.2">
      <c r="M33" s="100" t="str">
        <v>obj_00738#0001</v>
      </c>
      <c r="N33" s="105" t="str">
        <f>_xll.qlRateHelperQuoteName(M33)</f>
        <v>EUR15x21F_Quote</v>
      </c>
      <c r="O33" s="93">
        <f>_xll.qlRateHelperEarliestDate(M33,Trigger)</f>
        <v>42597</v>
      </c>
      <c r="P33" s="92">
        <f>_xll.qlRateHelperQuoteValue(M33,_xll.ohTrigger(RecalcTrigger,Trigger))</f>
        <v>1.34E-3</v>
      </c>
      <c r="Q33" s="92" t="e">
        <f>NA()</f>
        <v>#N/A</v>
      </c>
      <c r="R33" s="93">
        <f>_xll.qlInterestRateIndexFixingDate(IborIndex,O33,_xll.ohTrigger(RecalcTrigger,Trigger))</f>
        <v>42593</v>
      </c>
      <c r="S33" s="93"/>
      <c r="T33" s="93"/>
      <c r="U33" s="92">
        <f>_xll.qlIndexFixing(IborIndex,R33,TRUE,RecalcTrigger)</f>
        <v>1.3400000007050045E-3</v>
      </c>
      <c r="V33" s="145">
        <f t="shared" si="7"/>
        <v>7.0500441422260973E-13</v>
      </c>
      <c r="Y33" s="105" t="str">
        <f t="shared" si="8"/>
        <v>1D</v>
      </c>
      <c r="Z33" s="93">
        <f>_xll.qlCalendarAdvance(Calendar,Z32,Y33,"f",FALSE)</f>
        <v>42156</v>
      </c>
      <c r="AA33" s="117">
        <f>_xll.qlCalendarAdvance(Calendar,Z33,NDays&amp;"D")</f>
        <v>42158</v>
      </c>
      <c r="AB33" s="92">
        <v>6.4525783321571701E-4</v>
      </c>
      <c r="AC33" s="101">
        <v>7.69469484929175E-4</v>
      </c>
    </row>
    <row r="34" spans="13:29" x14ac:dyDescent="0.2">
      <c r="M34" s="100" t="str">
        <v>obj_0073e#0001</v>
      </c>
      <c r="N34" s="105" t="str">
        <f>_xll.qlRateHelperQuoteName(M34)</f>
        <v>EUR16x22F_Quote</v>
      </c>
      <c r="O34" s="93">
        <f>_xll.qlRateHelperEarliestDate(M34,Trigger)</f>
        <v>42627</v>
      </c>
      <c r="P34" s="92">
        <f>_xll.qlRateHelperQuoteValue(M34,_xll.ohTrigger(RecalcTrigger,Trigger))</f>
        <v>1.4499999999999999E-3</v>
      </c>
      <c r="Q34" s="92" t="e">
        <f>NA()</f>
        <v>#N/A</v>
      </c>
      <c r="R34" s="93">
        <f>_xll.qlInterestRateIndexFixingDate(IborIndex,O34,_xll.ohTrigger(RecalcTrigger,Trigger))</f>
        <v>42625</v>
      </c>
      <c r="S34" s="93"/>
      <c r="T34" s="93"/>
      <c r="U34" s="92">
        <f>_xll.qlIndexFixing(IborIndex,R34,TRUE,RecalcTrigger)</f>
        <v>1.4500000005084372E-3</v>
      </c>
      <c r="V34" s="145">
        <f t="shared" si="7"/>
        <v>5.084372593083808E-13</v>
      </c>
      <c r="Y34" s="105" t="str">
        <f t="shared" si="8"/>
        <v>1D</v>
      </c>
      <c r="Z34" s="93">
        <f>_xll.qlCalendarAdvance(Calendar,Z33,Y34,"f",FALSE)</f>
        <v>42157</v>
      </c>
      <c r="AA34" s="117">
        <f>_xll.qlCalendarAdvance(Calendar,Z34,NDays&amp;"D")</f>
        <v>42159</v>
      </c>
      <c r="AB34" s="92">
        <v>6.4376661377489076E-4</v>
      </c>
      <c r="AC34" s="101">
        <v>7.6946948500911105E-4</v>
      </c>
    </row>
    <row r="35" spans="13:29" x14ac:dyDescent="0.2">
      <c r="M35" s="100" t="str">
        <v>obj_00767#0001</v>
      </c>
      <c r="N35" s="105" t="str">
        <f>_xll.qlRateHelperQuoteName(M35)</f>
        <v>EUR17x23F_Quote</v>
      </c>
      <c r="O35" s="93">
        <f>_xll.qlRateHelperEarliestDate(M35,Trigger)</f>
        <v>42657</v>
      </c>
      <c r="P35" s="92">
        <f>_xll.qlRateHelperQuoteValue(M35,_xll.ohTrigger(RecalcTrigger,Trigger))</f>
        <v>1.6099999999999997E-3</v>
      </c>
      <c r="Q35" s="92" t="e">
        <f>NA()</f>
        <v>#N/A</v>
      </c>
      <c r="R35" s="93">
        <f>_xll.qlInterestRateIndexFixingDate(IborIndex,O35,_xll.ohTrigger(RecalcTrigger,Trigger))</f>
        <v>42655</v>
      </c>
      <c r="S35" s="93"/>
      <c r="T35" s="93"/>
      <c r="U35" s="92">
        <f>_xll.qlIndexFixing(IborIndex,R35,TRUE,RecalcTrigger)</f>
        <v>1.6099999994596331E-3</v>
      </c>
      <c r="V35" s="145">
        <f t="shared" si="7"/>
        <v>-5.4036657960720991E-13</v>
      </c>
      <c r="Y35" s="105" t="str">
        <f t="shared" si="8"/>
        <v>1D</v>
      </c>
      <c r="Z35" s="93">
        <f>_xll.qlCalendarAdvance(Calendar,Z34,Y35,"f",FALSE)</f>
        <v>42158</v>
      </c>
      <c r="AA35" s="117">
        <f>_xll.qlCalendarAdvance(Calendar,Z35,NDays&amp;"D")</f>
        <v>42160</v>
      </c>
      <c r="AB35" s="92">
        <v>6.4091349516349257E-4</v>
      </c>
      <c r="AC35" s="101">
        <v>7.6947112966685438E-4</v>
      </c>
    </row>
    <row r="36" spans="13:29" ht="12" thickBot="1" x14ac:dyDescent="0.25">
      <c r="M36" s="102" t="str">
        <v>obj_00732#0001</v>
      </c>
      <c r="N36" s="106" t="str">
        <f>_xll.qlRateHelperQuoteName(M36)</f>
        <v>EUR18x24F_Quote</v>
      </c>
      <c r="O36" s="103">
        <f>_xll.qlRateHelperEarliestDate(M36,Trigger)</f>
        <v>42688</v>
      </c>
      <c r="P36" s="119">
        <f>_xll.qlRateHelperQuoteValue(M36,_xll.ohTrigger(RecalcTrigger,Trigger))</f>
        <v>1.7499999999999998E-3</v>
      </c>
      <c r="Q36" s="119" t="e">
        <f>NA()</f>
        <v>#N/A</v>
      </c>
      <c r="R36" s="103">
        <f>_xll.qlInterestRateIndexFixingDate(IborIndex,O36,_xll.ohTrigger(RecalcTrigger,Trigger))</f>
        <v>42684</v>
      </c>
      <c r="S36" s="103"/>
      <c r="T36" s="103"/>
      <c r="U36" s="119">
        <f>_xll.qlIndexFixing(IborIndex,R36,TRUE,RecalcTrigger)</f>
        <v>1.7499999999378972E-3</v>
      </c>
      <c r="V36" s="146">
        <f t="shared" si="7"/>
        <v>-6.21026667591007E-14</v>
      </c>
      <c r="Y36" s="105" t="str">
        <f t="shared" si="8"/>
        <v>1D</v>
      </c>
      <c r="Z36" s="93">
        <f>_xll.qlCalendarAdvance(Calendar,Z35,Y36,"f",FALSE)</f>
        <v>42159</v>
      </c>
      <c r="AA36" s="117">
        <f>_xll.qlCalendarAdvance(Calendar,Z36,NDays&amp;"D")</f>
        <v>42163</v>
      </c>
      <c r="AB36" s="92">
        <v>6.3816190388044818E-4</v>
      </c>
      <c r="AC36" s="101">
        <v>7.69469484929175E-4</v>
      </c>
    </row>
    <row r="37" spans="13:29" ht="12" thickBot="1" x14ac:dyDescent="0.25">
      <c r="N37" s="178"/>
      <c r="Y37" s="105" t="str">
        <f t="shared" si="8"/>
        <v>1D</v>
      </c>
      <c r="Z37" s="93">
        <f>_xll.qlCalendarAdvance(Calendar,Z36,Y37,"f",FALSE)</f>
        <v>42160</v>
      </c>
      <c r="AA37" s="117">
        <f>_xll.qlCalendarAdvance(Calendar,Z37,NDays&amp;"D")</f>
        <v>42164</v>
      </c>
      <c r="AB37" s="92">
        <v>6.3685903990418069E-4</v>
      </c>
      <c r="AC37" s="101">
        <v>7.6946948500911105E-4</v>
      </c>
    </row>
    <row r="38" spans="13:29" x14ac:dyDescent="0.2">
      <c r="M38" s="97" t="s">
        <v>44</v>
      </c>
      <c r="N38" s="97" t="s">
        <v>141</v>
      </c>
      <c r="O38" s="98" t="s">
        <v>37</v>
      </c>
      <c r="P38" s="98" t="s">
        <v>43</v>
      </c>
      <c r="Q38" s="108" t="s">
        <v>136</v>
      </c>
      <c r="R38" s="98" t="s">
        <v>135</v>
      </c>
      <c r="S38" s="98"/>
      <c r="T38" s="98"/>
      <c r="U38" s="98" t="s">
        <v>151</v>
      </c>
      <c r="V38" s="109" t="s">
        <v>140</v>
      </c>
      <c r="Y38" s="105" t="str">
        <f t="shared" si="8"/>
        <v>1D</v>
      </c>
      <c r="Z38" s="93">
        <f>_xll.qlCalendarAdvance(Calendar,Z37,Y38,"f",FALSE)</f>
        <v>42163</v>
      </c>
      <c r="AA38" s="117">
        <f>_xll.qlCalendarAdvance(Calendar,Z38,NDays&amp;"D")</f>
        <v>42165</v>
      </c>
      <c r="AB38" s="92">
        <v>6.3559888461957846E-4</v>
      </c>
      <c r="AC38" s="101">
        <v>7.6946948500911105E-4</v>
      </c>
    </row>
    <row r="39" spans="13:29" x14ac:dyDescent="0.2">
      <c r="M39" s="105" t="str">
        <f t="array" ref="M39:M75">_xll.ohFilter(RateHelpers!B30:B66,IF(ISERROR(RateHelpers!D30:D66),FALSE,TRUE))</f>
        <v>obj_0075d#0001</v>
      </c>
      <c r="N39" s="105" t="str">
        <f>_xll.qlRateHelperQuoteName(M39)</f>
        <v>EURAB6E1Y_Quote</v>
      </c>
      <c r="O39" s="93">
        <f>_xll.qlRateHelperLatestDate(M39,Trigger)</f>
        <v>42506</v>
      </c>
      <c r="P39" s="120">
        <f>_xll.qlRateHelperQuoteValue(M39,_xll.ohTrigger(RecalcTrigger,YieldCurve))</f>
        <v>6.6E-4</v>
      </c>
      <c r="Q39" s="122" t="str">
        <f t="shared" ref="Q39:Q75" si="9">SUBSTITUTE(SUBSTITUTE(N39,"_Quote",""),"EURAB6E","")</f>
        <v>1Y</v>
      </c>
      <c r="R39" s="123" t="str">
        <f>_xll.qlEuriborSwap(,"IsdaFixA",Monitor!Q39,YieldCurve,"EurON",,_xll.ohTrigger(Trigger,RecalcTrigger))</f>
        <v>obj_00787#0004</v>
      </c>
      <c r="S39" s="123"/>
      <c r="T39" s="123"/>
      <c r="U39" s="110">
        <f>_xll.qlIndexFixing(R39,$Z$19,TRUE,Trigger)</f>
        <v>6.9475915163577672E-4</v>
      </c>
      <c r="V39" s="111">
        <f t="shared" ref="V39:V75" si="10">U39-P39</f>
        <v>3.4759151635776727E-5</v>
      </c>
      <c r="Y39" s="105" t="str">
        <f t="shared" si="8"/>
        <v>1D</v>
      </c>
      <c r="Z39" s="93">
        <f>_xll.qlCalendarAdvance(Calendar,Z38,Y39,"f",FALSE)</f>
        <v>42164</v>
      </c>
      <c r="AA39" s="117">
        <f>_xll.qlCalendarAdvance(Calendar,Z39,NDays&amp;"D")</f>
        <v>42166</v>
      </c>
      <c r="AB39" s="92">
        <v>6.3438316701517835E-4</v>
      </c>
      <c r="AC39" s="101">
        <v>7.6946948500911105E-4</v>
      </c>
    </row>
    <row r="40" spans="13:29" x14ac:dyDescent="0.2">
      <c r="M40" s="105" t="str">
        <v>obj_0074e#0001</v>
      </c>
      <c r="N40" s="105" t="str">
        <f>_xll.qlRateHelperQuoteName(M40)</f>
        <v>EURAB6E15M_Quote</v>
      </c>
      <c r="O40" s="93">
        <f>_xll.qlRateHelperLatestDate(M40,Trigger)</f>
        <v>42597</v>
      </c>
      <c r="P40" s="120">
        <f>_xll.qlRateHelperQuoteValue(M40,_xll.ohTrigger(RecalcTrigger,YieldCurve))</f>
        <v>5.8E-4</v>
      </c>
      <c r="Q40" s="122" t="str">
        <f t="shared" si="9"/>
        <v>15M</v>
      </c>
      <c r="R40" s="123" t="str">
        <f>_xll.qlEuriborSwap(,"IsdaFixA",Monitor!Q40,YieldCurve,Discounting,,_xll.ohTrigger(Trigger,RecalcTrigger))</f>
        <v>obj_00780#0004</v>
      </c>
      <c r="S40" s="123"/>
      <c r="T40" s="123"/>
      <c r="U40" s="110">
        <f>_xll.qlIndexFixing(R40,$Z$19,TRUE,Trigger)</f>
        <v>7.3994454776902684E-4</v>
      </c>
      <c r="V40" s="111">
        <f t="shared" si="10"/>
        <v>1.5994454776902683E-4</v>
      </c>
      <c r="W40" s="94"/>
      <c r="Y40" s="105" t="str">
        <f t="shared" si="8"/>
        <v>1D</v>
      </c>
      <c r="Z40" s="93">
        <f>_xll.qlCalendarAdvance(Calendar,Z39,Y40,"f",FALSE)</f>
        <v>42165</v>
      </c>
      <c r="AA40" s="117">
        <f>_xll.qlCalendarAdvance(Calendar,Z40,NDays&amp;"D")</f>
        <v>42167</v>
      </c>
      <c r="AB40" s="92">
        <v>6.3251967595406714E-4</v>
      </c>
      <c r="AC40" s="101">
        <v>7.6947112964020903E-4</v>
      </c>
    </row>
    <row r="41" spans="13:29" x14ac:dyDescent="0.2">
      <c r="M41" s="105" t="str">
        <v>obj_00734#0001</v>
      </c>
      <c r="N41" s="105" t="str">
        <f>_xll.qlRateHelperQuoteName(M41)</f>
        <v>EURAB6E18M_Quote</v>
      </c>
      <c r="O41" s="93">
        <f>_xll.qlRateHelperLatestDate(M41,Trigger)</f>
        <v>42688</v>
      </c>
      <c r="P41" s="120">
        <f>_xll.qlRateHelperQuoteValue(M41,_xll.ohTrigger(RecalcTrigger,YieldCurve))</f>
        <v>7.9000000000000012E-4</v>
      </c>
      <c r="Q41" s="122" t="str">
        <f t="shared" si="9"/>
        <v>18M</v>
      </c>
      <c r="R41" s="123" t="str">
        <f>_xll.qlEuriborSwap(,"IsdaFixA",Monitor!Q41,YieldCurve,Discounting,,_xll.ohTrigger(Trigger,RecalcTrigger))</f>
        <v>obj_00776#0004</v>
      </c>
      <c r="S41" s="123"/>
      <c r="T41" s="123"/>
      <c r="U41" s="110">
        <f>_xll.qlIndexFixing(R41,$Z$19,TRUE,Trigger)</f>
        <v>8.1254415383619173E-4</v>
      </c>
      <c r="V41" s="111">
        <f t="shared" si="10"/>
        <v>2.2544153836191608E-5</v>
      </c>
      <c r="W41" s="94"/>
      <c r="Y41" s="105" t="str">
        <f t="shared" si="8"/>
        <v>1D</v>
      </c>
      <c r="Z41" s="93">
        <f>_xll.qlCalendarAdvance(Calendar,Z40,Y41,"f",FALSE)</f>
        <v>42166</v>
      </c>
      <c r="AA41" s="117">
        <f>_xll.qlCalendarAdvance(Calendar,Z41,NDays&amp;"D")</f>
        <v>42170</v>
      </c>
      <c r="AB41" s="92">
        <v>6.2999999999982471E-4</v>
      </c>
      <c r="AC41" s="101">
        <v>7.6684336848487078E-4</v>
      </c>
    </row>
    <row r="42" spans="13:29" x14ac:dyDescent="0.2">
      <c r="M42" s="105" t="str">
        <v>obj_0075a#0001</v>
      </c>
      <c r="N42" s="105" t="str">
        <f>_xll.qlRateHelperQuoteName(M42)</f>
        <v>EURAB6E21M_Quote</v>
      </c>
      <c r="O42" s="93">
        <f>_xll.qlRateHelperLatestDate(M42,Trigger)</f>
        <v>42780</v>
      </c>
      <c r="P42" s="120">
        <f>_xll.qlRateHelperQuoteValue(M42,_xll.ohTrigger(RecalcTrigger,YieldCurve))</f>
        <v>8.0000000000000015E-4</v>
      </c>
      <c r="Q42" s="122" t="str">
        <f t="shared" si="9"/>
        <v>21M</v>
      </c>
      <c r="R42" s="123" t="str">
        <f>_xll.qlEuriborSwap(,"IsdaFixA",Monitor!Q42,YieldCurve,Discounting,,_xll.ohTrigger(Trigger,RecalcTrigger))</f>
        <v>obj_00788#0004</v>
      </c>
      <c r="S42" s="123"/>
      <c r="T42" s="123"/>
      <c r="U42" s="110">
        <f>_xll.qlIndexFixing(R42,$Z$19,TRUE,Trigger)</f>
        <v>9.1858683370256628E-4</v>
      </c>
      <c r="V42" s="111">
        <f t="shared" si="10"/>
        <v>1.1858683370256614E-4</v>
      </c>
      <c r="W42" s="94"/>
      <c r="Y42" s="105" t="str">
        <f t="shared" si="8"/>
        <v>1D</v>
      </c>
      <c r="Z42" s="93">
        <f>_xll.qlCalendarAdvance(Calendar,Z41,Y42,"f",FALSE)</f>
        <v>42167</v>
      </c>
      <c r="AA42" s="117">
        <f>_xll.qlCalendarAdvance(Calendar,Z42,NDays&amp;"D")</f>
        <v>42171</v>
      </c>
      <c r="AB42" s="92">
        <v>6.2905444191902924E-4</v>
      </c>
      <c r="AC42" s="101">
        <v>7.6143451783750038E-4</v>
      </c>
    </row>
    <row r="43" spans="13:29" x14ac:dyDescent="0.2">
      <c r="M43" s="105" t="str">
        <v>obj_00758#0001</v>
      </c>
      <c r="N43" s="105" t="str">
        <f>_xll.qlRateHelperQuoteName(M43)</f>
        <v>EURAB6E2Y_Quote</v>
      </c>
      <c r="O43" s="93">
        <f>_xll.qlRateHelperLatestDate(M43,Trigger)</f>
        <v>42870</v>
      </c>
      <c r="P43" s="120">
        <f>_xll.qlRateHelperQuoteValue(M43,_xll.ohTrigger(RecalcTrigger,YieldCurve))</f>
        <v>1.0400000000000001E-3</v>
      </c>
      <c r="Q43" s="122" t="str">
        <f t="shared" si="9"/>
        <v>2Y</v>
      </c>
      <c r="R43" s="123" t="str">
        <f>_xll.qlEuriborSwap(,"IsdaFixA",Monitor!Q43,YieldCurve,Discounting,,_xll.ohTrigger(Trigger,RecalcTrigger))</f>
        <v>obj_00786#0004</v>
      </c>
      <c r="S43" s="123"/>
      <c r="T43" s="123"/>
      <c r="U43" s="110">
        <f>_xll.qlIndexFixing(R43,$Z$19,TRUE,Trigger)</f>
        <v>1.0503346109596886E-3</v>
      </c>
      <c r="V43" s="111">
        <f t="shared" si="10"/>
        <v>1.0334610959688521E-5</v>
      </c>
      <c r="W43" s="114" t="s">
        <v>142</v>
      </c>
      <c r="Y43" s="105" t="str">
        <f t="shared" si="8"/>
        <v>1D</v>
      </c>
      <c r="Z43" s="93">
        <f>_xll.qlCalendarAdvance(Calendar,Z42,Y43,"f",FALSE)</f>
        <v>42170</v>
      </c>
      <c r="AA43" s="117">
        <f>_xll.qlCalendarAdvance(Calendar,Z43,NDays&amp;"D")</f>
        <v>42172</v>
      </c>
      <c r="AB43" s="92">
        <v>6.282037481548544E-4</v>
      </c>
      <c r="AC43" s="101">
        <v>7.5581214207254277E-4</v>
      </c>
    </row>
    <row r="44" spans="13:29" x14ac:dyDescent="0.2">
      <c r="M44" s="105" t="str">
        <v>obj_00746#0001</v>
      </c>
      <c r="N44" s="105" t="str">
        <f>_xll.qlRateHelperQuoteName(M44)</f>
        <v>EURAB6E3Y_Quote</v>
      </c>
      <c r="O44" s="93">
        <f>_xll.qlRateHelperLatestDate(M44,Trigger)</f>
        <v>43234</v>
      </c>
      <c r="P44" s="120">
        <f>_xll.qlRateHelperQuoteValue(M44,_xll.ohTrigger(RecalcTrigger,YieldCurve))</f>
        <v>1.83E-3</v>
      </c>
      <c r="Q44" s="122" t="str">
        <f t="shared" si="9"/>
        <v>3Y</v>
      </c>
      <c r="R44" s="123" t="str">
        <f>_xll.qlEuriborSwap(,"IsdaFixA",Monitor!Q44,YieldCurve,Discounting,,_xll.ohTrigger(Trigger,RecalcTrigger))</f>
        <v>obj_00798#0004</v>
      </c>
      <c r="S44" s="123"/>
      <c r="T44" s="123"/>
      <c r="U44" s="110">
        <f>_xll.qlIndexFixing(R44,$Z$19,TRUE,Trigger)</f>
        <v>1.830000000332275E-3</v>
      </c>
      <c r="V44" s="111">
        <f t="shared" si="10"/>
        <v>3.3227500612076355E-13</v>
      </c>
      <c r="W44" s="137">
        <f t="array" ref="W44">MAX(ABS(V44:V75))</f>
        <v>3.6822195356755669E-5</v>
      </c>
      <c r="Y44" s="105" t="str">
        <f t="shared" si="8"/>
        <v>1D</v>
      </c>
      <c r="Z44" s="93">
        <f>_xll.qlCalendarAdvance(Calendar,Z43,Y44,"f",FALSE)</f>
        <v>42171</v>
      </c>
      <c r="AA44" s="117">
        <f>_xll.qlCalendarAdvance(Calendar,Z44,NDays&amp;"D")</f>
        <v>42173</v>
      </c>
      <c r="AB44" s="92">
        <v>6.2744513653411986E-4</v>
      </c>
      <c r="AC44" s="101">
        <v>7.5000477660402964E-4</v>
      </c>
    </row>
    <row r="45" spans="13:29" x14ac:dyDescent="0.2">
      <c r="M45" s="105" t="str">
        <v>obj_00743#0001</v>
      </c>
      <c r="N45" s="105" t="str">
        <f>_xll.qlRateHelperQuoteName(M45)</f>
        <v>EURAB6E4Y_Quote</v>
      </c>
      <c r="O45" s="93">
        <f>_xll.qlRateHelperLatestDate(M45,Trigger)</f>
        <v>43599</v>
      </c>
      <c r="P45" s="120">
        <f>_xll.qlRateHelperQuoteValue(M45,_xll.ohTrigger(RecalcTrigger,YieldCurve))</f>
        <v>2.8500000000000001E-3</v>
      </c>
      <c r="Q45" s="122" t="str">
        <f t="shared" si="9"/>
        <v>4Y</v>
      </c>
      <c r="R45" s="123" t="str">
        <f>_xll.qlEuriborSwap(,"IsdaFixA",Monitor!Q45,YieldCurve,Discounting,,_xll.ohTrigger(Trigger,RecalcTrigger))</f>
        <v>obj_0078e#0004</v>
      </c>
      <c r="S45" s="123"/>
      <c r="T45" s="123"/>
      <c r="U45" s="110">
        <f>_xll.qlIndexFixing(R45,$Z$19,TRUE,Trigger)</f>
        <v>2.8500000003813444E-3</v>
      </c>
      <c r="V45" s="111">
        <f t="shared" si="10"/>
        <v>3.813442617239815E-13</v>
      </c>
      <c r="W45" s="94"/>
      <c r="Y45" s="105" t="str">
        <f t="shared" si="8"/>
        <v>1D</v>
      </c>
      <c r="Z45" s="93">
        <f>_xll.qlCalendarAdvance(Calendar,Z44,Y45,"f",FALSE)</f>
        <v>42172</v>
      </c>
      <c r="AA45" s="117">
        <f>_xll.qlCalendarAdvance(Calendar,Z45,NDays&amp;"D")</f>
        <v>42174</v>
      </c>
      <c r="AB45" s="92">
        <v>6.2693940580496826E-4</v>
      </c>
      <c r="AC45" s="101">
        <v>7.3791760129005013E-4</v>
      </c>
    </row>
    <row r="46" spans="13:29" x14ac:dyDescent="0.2">
      <c r="M46" s="105" t="str">
        <v>obj_00755#0001</v>
      </c>
      <c r="N46" s="105" t="str">
        <f>_xll.qlRateHelperQuoteName(M46)</f>
        <v>EURAB6E5Y_Quote</v>
      </c>
      <c r="O46" s="93">
        <f>_xll.qlRateHelperLatestDate(M46,Trigger)</f>
        <v>43965</v>
      </c>
      <c r="P46" s="120">
        <f>_xll.qlRateHelperQuoteValue(M46,_xll.ohTrigger(RecalcTrigger,YieldCurve))</f>
        <v>4.0200000000000001E-3</v>
      </c>
      <c r="Q46" s="122" t="str">
        <f t="shared" si="9"/>
        <v>5Y</v>
      </c>
      <c r="R46" s="123" t="str">
        <f>_xll.qlEuriborSwap(,"IsdaFixA",Monitor!Q46,YieldCurve,Discounting,,_xll.ohTrigger(Trigger,RecalcTrigger))</f>
        <v>obj_00774#0005</v>
      </c>
      <c r="S46" s="123"/>
      <c r="T46" s="123"/>
      <c r="U46" s="110">
        <f>_xll.qlIndexFixing(R46,$Z$19,TRUE,Trigger)</f>
        <v>4.0200000000164323E-3</v>
      </c>
      <c r="V46" s="111">
        <f t="shared" si="10"/>
        <v>1.6432168126190305E-14</v>
      </c>
      <c r="W46" s="94"/>
      <c r="Y46" s="105" t="str">
        <f t="shared" si="8"/>
        <v>1D</v>
      </c>
      <c r="Z46" s="93">
        <f>_xll.qlCalendarAdvance(Calendar,Z45,Y46,"f",FALSE)</f>
        <v>42173</v>
      </c>
      <c r="AA46" s="117">
        <f>_xll.qlCalendarAdvance(Calendar,Z46,NDays&amp;"D")</f>
        <v>42177</v>
      </c>
      <c r="AB46" s="92">
        <v>6.252673251100258E-4</v>
      </c>
      <c r="AC46" s="101">
        <v>7.2549612013972364E-4</v>
      </c>
    </row>
    <row r="47" spans="13:29" x14ac:dyDescent="0.2">
      <c r="M47" s="105" t="str">
        <v>obj_00766#0001</v>
      </c>
      <c r="N47" s="105" t="str">
        <f>_xll.qlRateHelperQuoteName(M47)</f>
        <v>EURAB6E6Y_Quote</v>
      </c>
      <c r="O47" s="93">
        <f>_xll.qlRateHelperLatestDate(M47,Trigger)</f>
        <v>44330</v>
      </c>
      <c r="P47" s="120">
        <f>_xll.qlRateHelperQuoteValue(M47,_xll.ohTrigger(RecalcTrigger,YieldCurve))</f>
        <v>5.2199999999999998E-3</v>
      </c>
      <c r="Q47" s="122" t="str">
        <f t="shared" si="9"/>
        <v>6Y</v>
      </c>
      <c r="R47" s="123" t="str">
        <f>_xll.qlEuriborSwap(,"IsdaFixA",Monitor!Q47,YieldCurve,Discounting,,_xll.ohTrigger(Trigger,RecalcTrigger))</f>
        <v>obj_0077a#0004</v>
      </c>
      <c r="S47" s="123"/>
      <c r="T47" s="123"/>
      <c r="U47" s="110">
        <f>_xll.qlIndexFixing(R47,$Z$19,TRUE,Trigger)</f>
        <v>5.2199999999262689E-3</v>
      </c>
      <c r="V47" s="111">
        <f t="shared" si="10"/>
        <v>-7.3730951899442232E-14</v>
      </c>
      <c r="W47" s="94"/>
      <c r="Y47" s="105" t="str">
        <f t="shared" si="8"/>
        <v>1D</v>
      </c>
      <c r="Z47" s="93">
        <f>_xll.qlCalendarAdvance(Calendar,Z46,Y47,"f",FALSE)</f>
        <v>42174</v>
      </c>
      <c r="AA47" s="117">
        <f>_xll.qlCalendarAdvance(Calendar,Z47,NDays&amp;"D")</f>
        <v>42178</v>
      </c>
      <c r="AB47" s="92">
        <v>6.2491884868941E-4</v>
      </c>
      <c r="AC47" s="101">
        <v>7.1919183352697758E-4</v>
      </c>
    </row>
    <row r="48" spans="13:29" x14ac:dyDescent="0.2">
      <c r="M48" s="105" t="str">
        <v>obj_00751#0001</v>
      </c>
      <c r="N48" s="105" t="str">
        <f>_xll.qlRateHelperQuoteName(M48)</f>
        <v>EURAB6E7Y_Quote</v>
      </c>
      <c r="O48" s="93">
        <f>_xll.qlRateHelperLatestDate(M48,Trigger)</f>
        <v>44697</v>
      </c>
      <c r="P48" s="120">
        <f>_xll.qlRateHelperQuoteValue(M48,_xll.ohTrigger(RecalcTrigger,YieldCurve))</f>
        <v>6.4200000000000004E-3</v>
      </c>
      <c r="Q48" s="122" t="str">
        <f t="shared" si="9"/>
        <v>7Y</v>
      </c>
      <c r="R48" s="123" t="str">
        <f>_xll.qlEuriborSwap(,"IsdaFixA",Monitor!Q48,YieldCurve,Discounting,,_xll.ohTrigger(Trigger,RecalcTrigger))</f>
        <v>obj_00794#0004</v>
      </c>
      <c r="S48" s="123"/>
      <c r="T48" s="123"/>
      <c r="U48" s="110">
        <f>_xll.qlIndexFixing(R48,$Z$19,TRUE,Trigger)</f>
        <v>6.4199999999306071E-3</v>
      </c>
      <c r="V48" s="111">
        <f t="shared" si="10"/>
        <v>-6.9393275847762226E-14</v>
      </c>
      <c r="W48" s="94"/>
      <c r="Y48" s="105" t="str">
        <f t="shared" si="8"/>
        <v>1D</v>
      </c>
      <c r="Z48" s="93">
        <f>_xll.qlCalendarAdvance(Calendar,Z47,Y48,"f",FALSE)</f>
        <v>42177</v>
      </c>
      <c r="AA48" s="117">
        <f>_xll.qlCalendarAdvance(Calendar,Z48,NDays&amp;"D")</f>
        <v>42179</v>
      </c>
      <c r="AB48" s="92">
        <v>6.2464063560842167E-4</v>
      </c>
      <c r="AC48" s="101">
        <v>7.1287376817608106E-4</v>
      </c>
    </row>
    <row r="49" spans="10:29" x14ac:dyDescent="0.2">
      <c r="J49" s="115" t="b">
        <v>1</v>
      </c>
      <c r="M49" s="105" t="str">
        <v>obj_0075b#0001</v>
      </c>
      <c r="N49" s="105" t="str">
        <f>_xll.qlRateHelperQuoteName(M49)</f>
        <v>EURAB6E8Y_Quote</v>
      </c>
      <c r="O49" s="93">
        <f>_xll.qlRateHelperLatestDate(M49,Trigger)</f>
        <v>45061</v>
      </c>
      <c r="P49" s="120">
        <f>_xll.qlRateHelperQuoteValue(M49,_xll.ohTrigger(RecalcTrigger,YieldCurve))</f>
        <v>7.5100000000000002E-3</v>
      </c>
      <c r="Q49" s="122" t="str">
        <f t="shared" si="9"/>
        <v>8Y</v>
      </c>
      <c r="R49" s="123" t="str">
        <f>_xll.qlEuriborSwap(,"IsdaFixA",Monitor!Q49,YieldCurve,Discounting,,_xll.ohTrigger(Trigger,RecalcTrigger))</f>
        <v>obj_00796#0004</v>
      </c>
      <c r="S49" s="123"/>
      <c r="T49" s="123"/>
      <c r="U49" s="110">
        <f>_xll.qlIndexFixing(R49,$Z$19,TRUE,Trigger)</f>
        <v>7.5099999995220205E-3</v>
      </c>
      <c r="V49" s="111">
        <f t="shared" si="10"/>
        <v>-4.7797963503848351E-13</v>
      </c>
      <c r="W49" s="94"/>
      <c r="Y49" s="105" t="str">
        <f t="shared" si="8"/>
        <v>1D</v>
      </c>
      <c r="Z49" s="93">
        <f>_xll.qlCalendarAdvance(Calendar,Z48,Y49,"f",FALSE)</f>
        <v>42178</v>
      </c>
      <c r="AA49" s="117">
        <f>_xll.qlCalendarAdvance(Calendar,Z49,NDays&amp;"D")</f>
        <v>42180</v>
      </c>
      <c r="AB49" s="92">
        <v>6.253695367148958E-4</v>
      </c>
      <c r="AC49" s="101">
        <v>7.0657045942112973E-4</v>
      </c>
    </row>
    <row r="50" spans="10:29" x14ac:dyDescent="0.2">
      <c r="M50" s="105" t="str">
        <v>obj_00765#0001</v>
      </c>
      <c r="N50" s="105" t="str">
        <f>_xll.qlRateHelperQuoteName(M50)</f>
        <v>EURAB6E9Y_Quote</v>
      </c>
      <c r="O50" s="93">
        <f>_xll.qlRateHelperLatestDate(M50,Trigger)</f>
        <v>45426</v>
      </c>
      <c r="P50" s="120">
        <f>_xll.qlRateHelperQuoteValue(M50,_xll.ohTrigger(RecalcTrigger,YieldCurve))</f>
        <v>8.4700000000000001E-3</v>
      </c>
      <c r="Q50" s="122" t="str">
        <f t="shared" si="9"/>
        <v>9Y</v>
      </c>
      <c r="R50" s="123" t="str">
        <f>_xll.qlEuriborSwap(,"IsdaFixA",Monitor!Q50,YieldCurve,Discounting,,_xll.ohTrigger(Trigger,RecalcTrigger))</f>
        <v>obj_0078c#0004</v>
      </c>
      <c r="S50" s="123"/>
      <c r="T50" s="123"/>
      <c r="U50" s="110">
        <f>_xll.qlIndexFixing(R50,$Z$19,TRUE,Trigger)</f>
        <v>8.4700000001694462E-3</v>
      </c>
      <c r="V50" s="111">
        <f t="shared" si="10"/>
        <v>1.6944605440993854E-13</v>
      </c>
      <c r="W50" s="94"/>
      <c r="Y50" s="105" t="str">
        <f t="shared" si="8"/>
        <v>1D</v>
      </c>
      <c r="Z50" s="93">
        <f>_xll.qlCalendarAdvance(Calendar,Z49,Y50,"f",FALSE)</f>
        <v>42179</v>
      </c>
      <c r="AA50" s="117">
        <f>_xll.qlCalendarAdvance(Calendar,Z50,NDays&amp;"D")</f>
        <v>42181</v>
      </c>
      <c r="AB50" s="92">
        <v>6.2492938626215971E-4</v>
      </c>
      <c r="AC50" s="101">
        <v>6.941570449647827E-4</v>
      </c>
    </row>
    <row r="51" spans="10:29" x14ac:dyDescent="0.2">
      <c r="M51" s="105" t="str">
        <v>obj_00749#0001</v>
      </c>
      <c r="N51" s="105" t="str">
        <f>_xll.qlRateHelperQuoteName(M51)</f>
        <v>EURAB6E10Y_Quote</v>
      </c>
      <c r="O51" s="93">
        <f>_xll.qlRateHelperLatestDate(M51,Trigger)</f>
        <v>45791</v>
      </c>
      <c r="P51" s="120">
        <f>_xll.qlRateHelperQuoteValue(M51,_xll.ohTrigger(RecalcTrigger,YieldCurve))</f>
        <v>9.2700000000000005E-3</v>
      </c>
      <c r="Q51" s="122" t="str">
        <f t="shared" si="9"/>
        <v>10Y</v>
      </c>
      <c r="R51" s="123" t="str">
        <f>_xll.qlEuriborSwap(,"IsdaFixA",Monitor!Q51,YieldCurve,Discounting,,_xll.ohTrigger(Trigger,RecalcTrigger))</f>
        <v>obj_0078d#0004</v>
      </c>
      <c r="S51" s="123"/>
      <c r="T51" s="123"/>
      <c r="U51" s="110">
        <f>_xll.qlIndexFixing(R51,$Z$19,TRUE,Trigger)</f>
        <v>9.2700000000104019E-3</v>
      </c>
      <c r="V51" s="111">
        <f t="shared" si="10"/>
        <v>1.0401401961956935E-14</v>
      </c>
      <c r="W51" s="94"/>
      <c r="Y51" s="105" t="str">
        <f t="shared" si="8"/>
        <v>1D</v>
      </c>
      <c r="Z51" s="93">
        <f>_xll.qlCalendarAdvance(Calendar,Z50,Y51,"f",FALSE)</f>
        <v>42180</v>
      </c>
      <c r="AA51" s="117">
        <f>_xll.qlCalendarAdvance(Calendar,Z51,NDays&amp;"D")</f>
        <v>42184</v>
      </c>
      <c r="AB51" s="92">
        <v>6.2413780012325918E-4</v>
      </c>
      <c r="AC51" s="101">
        <v>6.8207549408505486E-4</v>
      </c>
    </row>
    <row r="52" spans="10:29" x14ac:dyDescent="0.2">
      <c r="M52" s="105" t="str">
        <v>obj_0074b#0001</v>
      </c>
      <c r="N52" s="105" t="str">
        <f>_xll.qlRateHelperQuoteName(M52)</f>
        <v>EURAB6E11Y_Quote</v>
      </c>
      <c r="O52" s="93">
        <f>_xll.qlRateHelperLatestDate(M52,Trigger)</f>
        <v>46156</v>
      </c>
      <c r="P52" s="120">
        <f>_xll.qlRateHelperQuoteValue(M52,_xll.ohTrigger(RecalcTrigger,YieldCurve))</f>
        <v>9.9899999999999989E-3</v>
      </c>
      <c r="Q52" s="122" t="str">
        <f t="shared" si="9"/>
        <v>11Y</v>
      </c>
      <c r="R52" s="123" t="str">
        <f>_xll.qlEuriborSwap(,"IsdaFixA",Monitor!Q52,YieldCurve,Discounting,,_xll.ohTrigger(Trigger,RecalcTrigger))</f>
        <v>obj_0077d#0004</v>
      </c>
      <c r="S52" s="123"/>
      <c r="T52" s="123"/>
      <c r="U52" s="110">
        <f>_xll.qlIndexFixing(R52,$Z$19,TRUE,Trigger)</f>
        <v>9.9865698570366038E-3</v>
      </c>
      <c r="V52" s="111">
        <f t="shared" si="10"/>
        <v>-3.4301429633950414E-6</v>
      </c>
      <c r="W52" s="94"/>
      <c r="Y52" s="105" t="str">
        <f t="shared" si="8"/>
        <v>1D</v>
      </c>
      <c r="Z52" s="93">
        <f>_xll.qlCalendarAdvance(Calendar,Z51,Y52,"f",FALSE)</f>
        <v>42181</v>
      </c>
      <c r="AA52" s="117">
        <f>_xll.qlCalendarAdvance(Calendar,Z52,NDays&amp;"D")</f>
        <v>42185</v>
      </c>
      <c r="AB52" s="92">
        <v>6.2453642885176017E-4</v>
      </c>
      <c r="AC52" s="101">
        <v>6.7627399600311833E-4</v>
      </c>
    </row>
    <row r="53" spans="10:29" x14ac:dyDescent="0.2">
      <c r="M53" s="105" t="str">
        <v>obj_00759#0001</v>
      </c>
      <c r="N53" s="105" t="str">
        <f>_xll.qlRateHelperQuoteName(M53)</f>
        <v>EURAB6E12Y_Quote</v>
      </c>
      <c r="O53" s="93">
        <f>_xll.qlRateHelperLatestDate(M53,Trigger)</f>
        <v>46521</v>
      </c>
      <c r="P53" s="120">
        <f>_xll.qlRateHelperQuoteValue(M53,_xll.ohTrigger(RecalcTrigger,YieldCurve))</f>
        <v>1.0620000000000001E-2</v>
      </c>
      <c r="Q53" s="122" t="str">
        <f t="shared" si="9"/>
        <v>12Y</v>
      </c>
      <c r="R53" s="123" t="str">
        <f>_xll.qlEuriborSwap(,"IsdaFixA",Monitor!Q53,YieldCurve,Discounting,,_xll.ohTrigger(Trigger,RecalcTrigger))</f>
        <v>obj_0077f#0004</v>
      </c>
      <c r="S53" s="123"/>
      <c r="T53" s="123"/>
      <c r="U53" s="110">
        <f>_xll.qlIndexFixing(R53,$Z$19,TRUE,Trigger)</f>
        <v>1.0619999999962234E-2</v>
      </c>
      <c r="V53" s="111">
        <f t="shared" si="10"/>
        <v>-3.7766664795491067E-14</v>
      </c>
      <c r="W53" s="94"/>
      <c r="Y53" s="105" t="str">
        <f t="shared" si="8"/>
        <v>1D</v>
      </c>
      <c r="Z53" s="93">
        <f>_xll.qlCalendarAdvance(Calendar,Z52,Y53,"f",FALSE)</f>
        <v>42184</v>
      </c>
      <c r="AA53" s="117">
        <f>_xll.qlCalendarAdvance(Calendar,Z53,NDays&amp;"D")</f>
        <v>42186</v>
      </c>
      <c r="AB53" s="92">
        <v>6.4040565517131838E-4</v>
      </c>
      <c r="AC53" s="101">
        <v>6.7065846572234022E-4</v>
      </c>
    </row>
    <row r="54" spans="10:29" x14ac:dyDescent="0.2">
      <c r="M54" s="105" t="str">
        <v>obj_00762#0001</v>
      </c>
      <c r="N54" s="105" t="str">
        <f>_xll.qlRateHelperQuoteName(M54)</f>
        <v>EURAB6E13Y_Quote</v>
      </c>
      <c r="O54" s="93">
        <f>_xll.qlRateHelperLatestDate(M54,Trigger)</f>
        <v>46888</v>
      </c>
      <c r="P54" s="120">
        <f>_xll.qlRateHelperQuoteValue(M54,_xll.ohTrigger(RecalcTrigger,YieldCurve))</f>
        <v>1.1120000000000001E-2</v>
      </c>
      <c r="Q54" s="122" t="str">
        <f t="shared" si="9"/>
        <v>13Y</v>
      </c>
      <c r="R54" s="123" t="str">
        <f>_xll.qlEuriborSwap(,"IsdaFixA",Monitor!Q54,YieldCurve,Discounting,,_xll.ohTrigger(Trigger,RecalcTrigger))</f>
        <v>obj_00773#0005</v>
      </c>
      <c r="S54" s="123"/>
      <c r="T54" s="123"/>
      <c r="U54" s="110">
        <f>_xll.qlIndexFixing(R54,$Z$19,TRUE,Trigger)</f>
        <v>1.1156822195356757E-2</v>
      </c>
      <c r="V54" s="111">
        <f t="shared" si="10"/>
        <v>3.6822195356755669E-5</v>
      </c>
      <c r="W54" s="94"/>
      <c r="Y54" s="105" t="str">
        <f t="shared" si="8"/>
        <v>1D</v>
      </c>
      <c r="Z54" s="93">
        <f>_xll.qlCalendarAdvance(Calendar,Z53,Y54,"f",FALSE)</f>
        <v>42185</v>
      </c>
      <c r="AA54" s="117">
        <f>_xll.qlCalendarAdvance(Calendar,Z54,NDays&amp;"D")</f>
        <v>42187</v>
      </c>
      <c r="AB54" s="92">
        <v>6.4024181292029211E-4</v>
      </c>
      <c r="AC54" s="101">
        <v>6.652574381771359E-4</v>
      </c>
    </row>
    <row r="55" spans="10:29" x14ac:dyDescent="0.2">
      <c r="M55" s="105" t="str">
        <v>obj_00750#0001</v>
      </c>
      <c r="N55" s="105" t="str">
        <f>_xll.qlRateHelperQuoteName(M55)</f>
        <v>EURAB6E14Y_Quote</v>
      </c>
      <c r="O55" s="93">
        <f>_xll.qlRateHelperLatestDate(M55,Trigger)</f>
        <v>47252</v>
      </c>
      <c r="P55" s="120">
        <f>_xll.qlRateHelperQuoteValue(M55,_xll.ohTrigger(RecalcTrigger,YieldCurve))</f>
        <v>1.157E-2</v>
      </c>
      <c r="Q55" s="122" t="str">
        <f t="shared" si="9"/>
        <v>14Y</v>
      </c>
      <c r="R55" s="123" t="str">
        <f>_xll.qlEuriborSwap(,"IsdaFixA",Monitor!Q55,YieldCurve,Discounting,,_xll.ohTrigger(Trigger,RecalcTrigger))</f>
        <v>obj_00783#0004</v>
      </c>
      <c r="S55" s="123"/>
      <c r="T55" s="123"/>
      <c r="U55" s="110">
        <f>_xll.qlIndexFixing(R55,$Z$19,TRUE,Trigger)</f>
        <v>1.1595467064227922E-2</v>
      </c>
      <c r="V55" s="111">
        <f t="shared" si="10"/>
        <v>2.5467064227921096E-5</v>
      </c>
      <c r="W55" s="94"/>
      <c r="Y55" s="105" t="str">
        <f t="shared" si="8"/>
        <v>1D</v>
      </c>
      <c r="Z55" s="93">
        <f>_xll.qlCalendarAdvance(Calendar,Z54,Y55,"f",FALSE)</f>
        <v>42186</v>
      </c>
      <c r="AA55" s="117">
        <f>_xll.qlCalendarAdvance(Calendar,Z55,NDays&amp;"D")</f>
        <v>42188</v>
      </c>
      <c r="AB55" s="92">
        <v>6.4010541044953815E-4</v>
      </c>
      <c r="AC55" s="101">
        <v>6.553142616549934E-4</v>
      </c>
    </row>
    <row r="56" spans="10:29" x14ac:dyDescent="0.2">
      <c r="M56" s="105" t="str">
        <v>obj_0074f#0001</v>
      </c>
      <c r="N56" s="105" t="str">
        <f>_xll.qlRateHelperQuoteName(M56)</f>
        <v>EURAB6E15Y_Quote</v>
      </c>
      <c r="O56" s="93">
        <f>_xll.qlRateHelperLatestDate(M56,Trigger)</f>
        <v>47617</v>
      </c>
      <c r="P56" s="120">
        <f>_xll.qlRateHelperQuoteValue(M56,_xll.ohTrigger(RecalcTrigger,YieldCurve))</f>
        <v>1.196E-2</v>
      </c>
      <c r="Q56" s="122" t="str">
        <f t="shared" si="9"/>
        <v>15Y</v>
      </c>
      <c r="R56" s="123" t="str">
        <f>_xll.qlEuriborSwap(,"IsdaFixA",Monitor!Q56,YieldCurve,Discounting,,_xll.ohTrigger(Trigger,RecalcTrigger))</f>
        <v>obj_00789#0004</v>
      </c>
      <c r="S56" s="123"/>
      <c r="T56" s="123"/>
      <c r="U56" s="110">
        <f>_xll.qlIndexFixing(R56,$Z$19,TRUE,Trigger)</f>
        <v>1.1960000000046701E-2</v>
      </c>
      <c r="V56" s="111">
        <f t="shared" si="10"/>
        <v>4.6700490696771624E-14</v>
      </c>
      <c r="W56" s="94"/>
      <c r="Y56" s="105" t="str">
        <f t="shared" si="8"/>
        <v>1D</v>
      </c>
      <c r="Z56" s="93">
        <f>_xll.qlCalendarAdvance(Calendar,Z55,Y56,"f",FALSE)</f>
        <v>42187</v>
      </c>
      <c r="AA56" s="117">
        <f>_xll.qlCalendarAdvance(Calendar,Z56,NDays&amp;"D")</f>
        <v>42191</v>
      </c>
      <c r="AB56" s="92">
        <v>6.4022851601317778E-4</v>
      </c>
      <c r="AC56" s="101">
        <v>6.4636906075499212E-4</v>
      </c>
    </row>
    <row r="57" spans="10:29" x14ac:dyDescent="0.2">
      <c r="M57" s="105" t="str">
        <v>obj_00761#0001</v>
      </c>
      <c r="N57" s="105" t="str">
        <f>_xll.qlRateHelperQuoteName(M57)</f>
        <v>EURAB6E16Y_Quote</v>
      </c>
      <c r="O57" s="93">
        <f>_xll.qlRateHelperLatestDate(M57,Trigger)</f>
        <v>47982</v>
      </c>
      <c r="P57" s="120">
        <f>_xll.qlRateHelperQuoteValue(M57,_xll.ohTrigger(RecalcTrigger,YieldCurve))</f>
        <v>1.2270000000000001E-2</v>
      </c>
      <c r="Q57" s="122" t="str">
        <f t="shared" si="9"/>
        <v>16Y</v>
      </c>
      <c r="R57" s="123" t="str">
        <f>_xll.qlEuriborSwap(,"IsdaFixA",Monitor!Q57,YieldCurve,Discounting,,_xll.ohTrigger(Trigger,RecalcTrigger))</f>
        <v>obj_00782#0004</v>
      </c>
      <c r="S57" s="123"/>
      <c r="T57" s="123"/>
      <c r="U57" s="110">
        <f>_xll.qlIndexFixing(R57,$Z$19,TRUE,Trigger)</f>
        <v>1.2263470040940749E-2</v>
      </c>
      <c r="V57" s="111">
        <f t="shared" si="10"/>
        <v>-6.5299590592520634E-6</v>
      </c>
      <c r="W57" s="94"/>
      <c r="Y57" s="105" t="str">
        <f t="shared" si="8"/>
        <v>1D</v>
      </c>
      <c r="Z57" s="93">
        <f>_xll.qlCalendarAdvance(Calendar,Z56,Y57,"f",FALSE)</f>
        <v>42188</v>
      </c>
      <c r="AA57" s="117">
        <f>_xll.qlCalendarAdvance(Calendar,Z57,NDays&amp;"D")</f>
        <v>42192</v>
      </c>
      <c r="AB57" s="92">
        <v>6.4032952395909825E-4</v>
      </c>
      <c r="AC57" s="101">
        <v>6.4246857538030611E-4</v>
      </c>
    </row>
    <row r="58" spans="10:29" x14ac:dyDescent="0.2">
      <c r="M58" s="105" t="str">
        <v>obj_00752#0001</v>
      </c>
      <c r="N58" s="105" t="str">
        <f>_xll.qlRateHelperQuoteName(M58)</f>
        <v>EURAB6E17Y_Quote</v>
      </c>
      <c r="O58" s="93">
        <f>_xll.qlRateHelperLatestDate(M58,Trigger)</f>
        <v>48348</v>
      </c>
      <c r="P58" s="120">
        <f>_xll.qlRateHelperQuoteValue(M58,_xll.ohTrigger(RecalcTrigger,YieldCurve))</f>
        <v>1.252E-2</v>
      </c>
      <c r="Q58" s="122" t="str">
        <f t="shared" si="9"/>
        <v>17Y</v>
      </c>
      <c r="R58" s="123" t="str">
        <f>_xll.qlEuriborSwap(,"IsdaFixA",Monitor!Q58,YieldCurve,Discounting,,_xll.ohTrigger(Trigger,RecalcTrigger))</f>
        <v>obj_00775#0005</v>
      </c>
      <c r="S58" s="123"/>
      <c r="T58" s="123"/>
      <c r="U58" s="110">
        <f>_xll.qlIndexFixing(R58,$Z$19,TRUE,Trigger)</f>
        <v>1.2516260509160602E-2</v>
      </c>
      <c r="V58" s="111">
        <f t="shared" si="10"/>
        <v>-3.7394908393977716E-6</v>
      </c>
      <c r="W58" s="94"/>
      <c r="Y58" s="105" t="str">
        <f t="shared" si="8"/>
        <v>1D</v>
      </c>
      <c r="Z58" s="93">
        <f>_xll.qlCalendarAdvance(Calendar,Z57,Y58,"f",FALSE)</f>
        <v>42191</v>
      </c>
      <c r="AA58" s="117">
        <f>_xll.qlCalendarAdvance(Calendar,Z58,NDays&amp;"D")</f>
        <v>42193</v>
      </c>
      <c r="AB58" s="92">
        <v>6.4041002389016719E-4</v>
      </c>
      <c r="AC58" s="101">
        <v>6.3895380402634316E-4</v>
      </c>
    </row>
    <row r="59" spans="10:29" x14ac:dyDescent="0.2">
      <c r="M59" s="105" t="str">
        <v>obj_00756#0001</v>
      </c>
      <c r="N59" s="105" t="str">
        <f>_xll.qlRateHelperQuoteName(M59)</f>
        <v>EURAB6E18Y_Quote</v>
      </c>
      <c r="O59" s="93">
        <f>_xll.qlRateHelperLatestDate(M59,Trigger)</f>
        <v>48715</v>
      </c>
      <c r="P59" s="120">
        <f>_xll.qlRateHelperQuoteValue(M59,_xll.ohTrigger(RecalcTrigger,YieldCurve))</f>
        <v>1.272E-2</v>
      </c>
      <c r="Q59" s="122" t="str">
        <f t="shared" si="9"/>
        <v>18Y</v>
      </c>
      <c r="R59" s="123" t="str">
        <f>_xll.qlEuriborSwap(,"IsdaFixA",Monitor!Q59,YieldCurve,Discounting,,_xll.ohTrigger(Trigger,RecalcTrigger))</f>
        <v>obj_00799#0004</v>
      </c>
      <c r="S59" s="123"/>
      <c r="T59" s="123"/>
      <c r="U59" s="110">
        <f>_xll.qlIndexFixing(R59,$Z$19,TRUE,Trigger)</f>
        <v>1.2720570631873726E-2</v>
      </c>
      <c r="V59" s="111">
        <f t="shared" si="10"/>
        <v>5.7063187372530244E-7</v>
      </c>
      <c r="W59" s="94"/>
      <c r="Y59" s="105" t="str">
        <f t="shared" si="8"/>
        <v>1D</v>
      </c>
      <c r="Z59" s="93">
        <f>_xll.qlCalendarAdvance(Calendar,Z58,Y59,"f",FALSE)</f>
        <v>42192</v>
      </c>
      <c r="AA59" s="117">
        <f>_xll.qlCalendarAdvance(Calendar,Z59,NDays&amp;"D")</f>
        <v>42194</v>
      </c>
      <c r="AB59" s="92">
        <v>6.4038628075626584E-4</v>
      </c>
      <c r="AC59" s="101">
        <v>6.358532817074547E-4</v>
      </c>
    </row>
    <row r="60" spans="10:29" x14ac:dyDescent="0.2">
      <c r="M60" s="105" t="str">
        <v>obj_0075c#0001</v>
      </c>
      <c r="N60" s="105" t="str">
        <f>_xll.qlRateHelperQuoteName(M60)</f>
        <v>EURAB6E19Y_Quote</v>
      </c>
      <c r="O60" s="93">
        <f>_xll.qlRateHelperLatestDate(M60,Trigger)</f>
        <v>49079</v>
      </c>
      <c r="P60" s="120">
        <f>_xll.qlRateHelperQuoteValue(M60,_xll.ohTrigger(RecalcTrigger,YieldCurve))</f>
        <v>1.2880000000000001E-2</v>
      </c>
      <c r="Q60" s="122" t="str">
        <f t="shared" si="9"/>
        <v>19Y</v>
      </c>
      <c r="R60" s="123" t="str">
        <f>_xll.qlEuriborSwap(,"IsdaFixA",Monitor!Q60,YieldCurve,Discounting,,_xll.ohTrigger(Trigger,RecalcTrigger))</f>
        <v>obj_0077c#0004</v>
      </c>
      <c r="S60" s="123"/>
      <c r="T60" s="123"/>
      <c r="U60" s="110">
        <f>_xll.qlIndexFixing(R60,$Z$19,TRUE,Trigger)</f>
        <v>1.2882577463479906E-2</v>
      </c>
      <c r="V60" s="111">
        <f t="shared" si="10"/>
        <v>2.5774634799056312E-6</v>
      </c>
      <c r="W60" s="94"/>
      <c r="Y60" s="105" t="str">
        <f t="shared" si="8"/>
        <v>1D</v>
      </c>
      <c r="Z60" s="93">
        <f>_xll.qlCalendarAdvance(Calendar,Z59,Y60,"f",FALSE)</f>
        <v>42193</v>
      </c>
      <c r="AA60" s="117">
        <f>_xll.qlCalendarAdvance(Calendar,Z60,NDays&amp;"D")</f>
        <v>42195</v>
      </c>
      <c r="AB60" s="92">
        <v>6.404096523244747E-4</v>
      </c>
      <c r="AC60" s="101">
        <v>6.3117685011881974E-4</v>
      </c>
    </row>
    <row r="61" spans="10:29" x14ac:dyDescent="0.2">
      <c r="M61" s="105" t="str">
        <v>obj_00748#0001</v>
      </c>
      <c r="N61" s="105" t="str">
        <f>_xll.qlRateHelperQuoteName(M61)</f>
        <v>EURAB6E20Y_Quote</v>
      </c>
      <c r="O61" s="93">
        <f>_xll.qlRateHelperLatestDate(M61,Trigger)</f>
        <v>49443</v>
      </c>
      <c r="P61" s="120">
        <f>_xll.qlRateHelperQuoteValue(M61,_xll.ohTrigger(RecalcTrigger,YieldCurve))</f>
        <v>1.3010000000000001E-2</v>
      </c>
      <c r="Q61" s="122" t="str">
        <f t="shared" si="9"/>
        <v>20Y</v>
      </c>
      <c r="R61" s="123" t="str">
        <f>_xll.qlEuriborSwap(,"IsdaFixA",Monitor!Q61,YieldCurve,Discounting,,_xll.ohTrigger(Trigger,RecalcTrigger))</f>
        <v>obj_00781#0004</v>
      </c>
      <c r="S61" s="123"/>
      <c r="T61" s="123"/>
      <c r="U61" s="110">
        <f>_xll.qlIndexFixing(R61,$Z$19,TRUE,Trigger)</f>
        <v>1.3009999999934107E-2</v>
      </c>
      <c r="V61" s="111">
        <f t="shared" si="10"/>
        <v>-6.5893471234979017E-14</v>
      </c>
      <c r="W61" s="94"/>
      <c r="Y61" s="105" t="str">
        <f t="shared" si="8"/>
        <v>1D</v>
      </c>
      <c r="Z61" s="93">
        <f>_xll.qlCalendarAdvance(Calendar,Z60,Y61,"f",FALSE)</f>
        <v>42194</v>
      </c>
      <c r="AA61" s="117">
        <f>_xll.qlCalendarAdvance(Calendar,Z61,NDays&amp;"D")</f>
        <v>42198</v>
      </c>
      <c r="AB61" s="92">
        <v>6.4021805560064162E-4</v>
      </c>
      <c r="AC61" s="101">
        <v>6.2816438746615688E-4</v>
      </c>
    </row>
    <row r="62" spans="10:29" x14ac:dyDescent="0.2">
      <c r="M62" s="105" t="str">
        <v>obj_00764#0001</v>
      </c>
      <c r="N62" s="105" t="str">
        <f>_xll.qlRateHelperQuoteName(M62)</f>
        <v>EURAB6E21Y_Quote</v>
      </c>
      <c r="O62" s="93">
        <f>_xll.qlRateHelperLatestDate(M62,Trigger)</f>
        <v>49809</v>
      </c>
      <c r="P62" s="120">
        <f>_xll.qlRateHelperQuoteValue(M62,_xll.ohTrigger(RecalcTrigger,YieldCurve))</f>
        <v>1.311E-2</v>
      </c>
      <c r="Q62" s="122" t="str">
        <f t="shared" si="9"/>
        <v>21Y</v>
      </c>
      <c r="R62" s="123" t="str">
        <f>_xll.qlEuriborSwap(,"IsdaFixA",Monitor!Q62,YieldCurve,Discounting,,_xll.ohTrigger(Trigger,RecalcTrigger))</f>
        <v>obj_00793#0004</v>
      </c>
      <c r="S62" s="123"/>
      <c r="T62" s="123"/>
      <c r="U62" s="110">
        <f>_xll.qlIndexFixing(R62,$Z$19,TRUE,Trigger)</f>
        <v>1.3110631601349643E-2</v>
      </c>
      <c r="V62" s="111">
        <f t="shared" si="10"/>
        <v>6.3160134964289349E-7</v>
      </c>
      <c r="W62" s="94"/>
      <c r="Y62" s="105" t="str">
        <f t="shared" si="8"/>
        <v>1D</v>
      </c>
      <c r="Z62" s="93">
        <f>_xll.qlCalendarAdvance(Calendar,Z61,Y62,"f",FALSE)</f>
        <v>42195</v>
      </c>
      <c r="AA62" s="117">
        <f>_xll.qlCalendarAdvance(Calendar,Z62,NDays&amp;"D")</f>
        <v>42199</v>
      </c>
      <c r="AB62" s="92">
        <v>6.4000000000054356E-4</v>
      </c>
      <c r="AC62" s="101">
        <v>6.2601195467415494E-4</v>
      </c>
    </row>
    <row r="63" spans="10:29" x14ac:dyDescent="0.2">
      <c r="M63" s="105" t="str">
        <v>obj_0074a#0001</v>
      </c>
      <c r="N63" s="105" t="str">
        <f>_xll.qlRateHelperQuoteName(M63)</f>
        <v>EURAB6E22Y_Quote</v>
      </c>
      <c r="O63" s="93">
        <f>_xll.qlRateHelperLatestDate(M63,Trigger)</f>
        <v>50174</v>
      </c>
      <c r="P63" s="120">
        <f>_xll.qlRateHelperQuoteValue(M63,_xll.ohTrigger(RecalcTrigger,YieldCurve))</f>
        <v>1.319E-2</v>
      </c>
      <c r="Q63" s="122" t="str">
        <f t="shared" si="9"/>
        <v>22Y</v>
      </c>
      <c r="R63" s="123" t="str">
        <f>_xll.qlEuriborSwap(,"IsdaFixA",Monitor!Q63,YieldCurve,Discounting,,_xll.ohTrigger(Trigger,RecalcTrigger))</f>
        <v>obj_00797#0004</v>
      </c>
      <c r="S63" s="123"/>
      <c r="T63" s="123"/>
      <c r="U63" s="110">
        <f>_xll.qlIndexFixing(R63,$Z$19,TRUE,Trigger)</f>
        <v>1.31866716811455E-2</v>
      </c>
      <c r="V63" s="111">
        <f t="shared" si="10"/>
        <v>-3.3283188545004533E-6</v>
      </c>
      <c r="W63" s="94"/>
      <c r="Y63" s="105" t="str">
        <f t="shared" si="8"/>
        <v>1D</v>
      </c>
      <c r="Z63" s="93">
        <f>_xll.qlCalendarAdvance(Calendar,Z62,Y63,"f",FALSE)</f>
        <v>42198</v>
      </c>
      <c r="AA63" s="117">
        <f>_xll.qlCalendarAdvance(Calendar,Z63,NDays&amp;"D")</f>
        <v>42200</v>
      </c>
      <c r="AB63" s="92">
        <v>6.3974488323370127E-4</v>
      </c>
      <c r="AC63" s="101">
        <v>6.2254765342828478E-4</v>
      </c>
    </row>
    <row r="64" spans="10:29" x14ac:dyDescent="0.2">
      <c r="M64" s="105" t="str">
        <v>obj_0074d#0001</v>
      </c>
      <c r="N64" s="105" t="str">
        <f>_xll.qlRateHelperQuoteName(M64)</f>
        <v>EURAB6E23Y_Quote</v>
      </c>
      <c r="O64" s="93">
        <f>_xll.qlRateHelperLatestDate(M64,Trigger)</f>
        <v>50539</v>
      </c>
      <c r="P64" s="120">
        <f>_xll.qlRateHelperQuoteValue(M64,_xll.ohTrigger(RecalcTrigger,YieldCurve))</f>
        <v>1.325E-2</v>
      </c>
      <c r="Q64" s="122" t="str">
        <f t="shared" si="9"/>
        <v>23Y</v>
      </c>
      <c r="R64" s="123" t="str">
        <f>_xll.qlEuriborSwap(,"IsdaFixA",Monitor!Q64,YieldCurve,Discounting,,_xll.ohTrigger(Trigger,RecalcTrigger))</f>
        <v>obj_00790#0004</v>
      </c>
      <c r="S64" s="123"/>
      <c r="T64" s="123"/>
      <c r="U64" s="110">
        <f>_xll.qlIndexFixing(R64,$Z$19,TRUE,Trigger)</f>
        <v>1.3246053824849873E-2</v>
      </c>
      <c r="V64" s="111">
        <f t="shared" si="10"/>
        <v>-3.9461751501265047E-6</v>
      </c>
      <c r="W64" s="94"/>
      <c r="Y64" s="105" t="str">
        <f t="shared" si="8"/>
        <v>1D</v>
      </c>
      <c r="Z64" s="93">
        <f>_xll.qlCalendarAdvance(Calendar,Z63,Y64,"f",FALSE)</f>
        <v>42199</v>
      </c>
      <c r="AA64" s="117">
        <f>_xll.qlCalendarAdvance(Calendar,Z64,NDays&amp;"D")</f>
        <v>42201</v>
      </c>
      <c r="AB64" s="92">
        <v>6.3877541919384626E-4</v>
      </c>
      <c r="AC64" s="101">
        <v>6.1916055434707573E-4</v>
      </c>
    </row>
    <row r="65" spans="13:29" x14ac:dyDescent="0.2">
      <c r="M65" s="105" t="str">
        <v>obj_0075e#0001</v>
      </c>
      <c r="N65" s="105" t="str">
        <f>_xll.qlRateHelperQuoteName(M65)</f>
        <v>EURAB6E24Y_Quote</v>
      </c>
      <c r="O65" s="93">
        <f>_xll.qlRateHelperLatestDate(M65,Trigger)</f>
        <v>50906</v>
      </c>
      <c r="P65" s="120">
        <f>_xll.qlRateHelperQuoteValue(M65,_xll.ohTrigger(RecalcTrigger,YieldCurve))</f>
        <v>1.329E-2</v>
      </c>
      <c r="Q65" s="122" t="str">
        <f t="shared" si="9"/>
        <v>24Y</v>
      </c>
      <c r="R65" s="123" t="str">
        <f>_xll.qlEuriborSwap(,"IsdaFixA",Monitor!Q65,YieldCurve,Discounting,,_xll.ohTrigger(Trigger,RecalcTrigger))</f>
        <v>obj_0077e#0004</v>
      </c>
      <c r="S65" s="123"/>
      <c r="T65" s="123"/>
      <c r="U65" s="110">
        <f>_xll.qlIndexFixing(R65,$Z$19,TRUE,Trigger)</f>
        <v>1.329498736505726E-2</v>
      </c>
      <c r="V65" s="111">
        <f t="shared" si="10"/>
        <v>4.9873650572601624E-6</v>
      </c>
      <c r="W65" s="94"/>
      <c r="Y65" s="105" t="str">
        <f t="shared" si="8"/>
        <v>1D</v>
      </c>
      <c r="Z65" s="93">
        <f>_xll.qlCalendarAdvance(Calendar,Z64,Y65,"f",FALSE)</f>
        <v>42200</v>
      </c>
      <c r="AA65" s="117">
        <f>_xll.qlCalendarAdvance(Calendar,Z65,NDays&amp;"D")</f>
        <v>42202</v>
      </c>
      <c r="AB65" s="92">
        <v>6.3888034668624068E-4</v>
      </c>
      <c r="AC65" s="101">
        <v>6.1267023982125579E-4</v>
      </c>
    </row>
    <row r="66" spans="13:29" x14ac:dyDescent="0.2">
      <c r="M66" s="105" t="str">
        <v>obj_00753#0001</v>
      </c>
      <c r="N66" s="105" t="str">
        <f>_xll.qlRateHelperQuoteName(M66)</f>
        <v>EURAB6E25Y_Quote</v>
      </c>
      <c r="O66" s="93">
        <f>_xll.qlRateHelperLatestDate(M66,Trigger)</f>
        <v>51270</v>
      </c>
      <c r="P66" s="120">
        <f>_xll.qlRateHelperQuoteValue(M66,_xll.ohTrigger(RecalcTrigger,YieldCurve))</f>
        <v>1.3340000000000001E-2</v>
      </c>
      <c r="Q66" s="122" t="str">
        <f t="shared" si="9"/>
        <v>25Y</v>
      </c>
      <c r="R66" s="123" t="str">
        <f>_xll.qlEuriborSwap(,"IsdaFixA",Monitor!Q66,YieldCurve,Discounting,,_xll.ohTrigger(Trigger,RecalcTrigger))</f>
        <v>obj_00795#0004</v>
      </c>
      <c r="S66" s="123"/>
      <c r="T66" s="123"/>
      <c r="U66" s="110">
        <f>_xll.qlIndexFixing(R66,$Z$19,TRUE,Trigger)</f>
        <v>1.3340000000012418E-2</v>
      </c>
      <c r="V66" s="111">
        <f t="shared" si="10"/>
        <v>1.2417150641041985E-14</v>
      </c>
      <c r="W66" s="94"/>
      <c r="Y66" s="105" t="str">
        <f t="shared" si="8"/>
        <v>1D</v>
      </c>
      <c r="Z66" s="93">
        <f>_xll.qlCalendarAdvance(Calendar,Z65,Y66,"f",FALSE)</f>
        <v>42201</v>
      </c>
      <c r="AA66" s="117">
        <f>_xll.qlCalendarAdvance(Calendar,Z66,NDays&amp;"D")</f>
        <v>42205</v>
      </c>
      <c r="AB66" s="92">
        <v>6.3853243809463146E-4</v>
      </c>
      <c r="AC66" s="101">
        <v>6.0648618143588351E-4</v>
      </c>
    </row>
    <row r="67" spans="13:29" x14ac:dyDescent="0.2">
      <c r="M67" s="105" t="str">
        <v>obj_0075f#0001</v>
      </c>
      <c r="N67" s="105" t="str">
        <f>_xll.qlRateHelperQuoteName(M67)</f>
        <v>EURAB6E26Y_Quote</v>
      </c>
      <c r="O67" s="93">
        <f>_xll.qlRateHelperLatestDate(M67,Trigger)</f>
        <v>51635</v>
      </c>
      <c r="P67" s="120">
        <f>_xll.qlRateHelperQuoteValue(M67,_xll.ohTrigger(RecalcTrigger,YieldCurve))</f>
        <v>1.3380000000000001E-2</v>
      </c>
      <c r="Q67" s="122" t="str">
        <f t="shared" si="9"/>
        <v>26Y</v>
      </c>
      <c r="R67" s="123" t="str">
        <f>_xll.qlEuriborSwap(,"IsdaFixA",Monitor!Q67,YieldCurve,Discounting,,_xll.ohTrigger(Trigger,RecalcTrigger))</f>
        <v>obj_00785#0004</v>
      </c>
      <c r="S67" s="123"/>
      <c r="T67" s="123"/>
      <c r="U67" s="110">
        <f>_xll.qlIndexFixing(R67,$Z$19,TRUE,Trigger)</f>
        <v>1.3383634971684403E-2</v>
      </c>
      <c r="V67" s="111">
        <f t="shared" si="10"/>
        <v>3.6349716844019664E-6</v>
      </c>
      <c r="W67" s="94"/>
      <c r="Y67" s="105" t="str">
        <f t="shared" si="8"/>
        <v>1D</v>
      </c>
      <c r="Z67" s="93">
        <f>_xll.qlCalendarAdvance(Calendar,Z66,Y67,"f",FALSE)</f>
        <v>42202</v>
      </c>
      <c r="AA67" s="117">
        <f>_xll.qlCalendarAdvance(Calendar,Z67,NDays&amp;"D")</f>
        <v>42206</v>
      </c>
      <c r="AB67" s="92">
        <v>6.3830319611054035E-4</v>
      </c>
      <c r="AC67" s="101">
        <v>6.0356159462315873E-4</v>
      </c>
    </row>
    <row r="68" spans="13:29" x14ac:dyDescent="0.2">
      <c r="M68" s="105" t="str">
        <v>obj_00763#0001</v>
      </c>
      <c r="N68" s="105" t="str">
        <f>_xll.qlRateHelperQuoteName(M68)</f>
        <v>EURAB6E27Y_Quote</v>
      </c>
      <c r="O68" s="93">
        <f>_xll.qlRateHelperLatestDate(M68,Trigger)</f>
        <v>52000</v>
      </c>
      <c r="P68" s="120">
        <f>_xll.qlRateHelperQuoteValue(M68,_xll.ohTrigger(RecalcTrigger,YieldCurve))</f>
        <v>1.3429999999999999E-2</v>
      </c>
      <c r="Q68" s="122" t="str">
        <f t="shared" si="9"/>
        <v>27Y</v>
      </c>
      <c r="R68" s="123" t="str">
        <f>_xll.qlEuriborSwap(,"IsdaFixA",Monitor!Q68,YieldCurve,Discounting,,_xll.ohTrigger(Trigger,RecalcTrigger))</f>
        <v>obj_0078b#0004</v>
      </c>
      <c r="S68" s="123"/>
      <c r="T68" s="123"/>
      <c r="U68" s="110">
        <f>_xll.qlIndexFixing(R68,$Z$19,TRUE,Trigger)</f>
        <v>1.3426782168730073E-2</v>
      </c>
      <c r="V68" s="111">
        <f t="shared" si="10"/>
        <v>-3.2178312699259609E-6</v>
      </c>
      <c r="W68" s="94"/>
      <c r="Y68" s="105" t="str">
        <f t="shared" si="8"/>
        <v>1D</v>
      </c>
      <c r="Z68" s="93">
        <f>_xll.qlCalendarAdvance(Calendar,Z67,Y68,"f",FALSE)</f>
        <v>42205</v>
      </c>
      <c r="AA68" s="117">
        <f>_xll.qlCalendarAdvance(Calendar,Z68,NDays&amp;"D")</f>
        <v>42207</v>
      </c>
      <c r="AB68" s="92">
        <v>6.3807850258501553E-4</v>
      </c>
      <c r="AC68" s="101">
        <v>6.0074481045724326E-4</v>
      </c>
    </row>
    <row r="69" spans="13:29" x14ac:dyDescent="0.2">
      <c r="M69" s="105" t="str">
        <v>obj_00757#0001</v>
      </c>
      <c r="N69" s="105" t="str">
        <f>_xll.qlRateHelperQuoteName(M69)</f>
        <v>EURAB6E28Y_Quote</v>
      </c>
      <c r="O69" s="93">
        <f>_xll.qlRateHelperLatestDate(M69,Trigger)</f>
        <v>52365</v>
      </c>
      <c r="P69" s="120">
        <f>_xll.qlRateHelperQuoteValue(M69,_xll.ohTrigger(RecalcTrigger,YieldCurve))</f>
        <v>1.3469999999999999E-2</v>
      </c>
      <c r="Q69" s="122" t="str">
        <f t="shared" si="9"/>
        <v>28Y</v>
      </c>
      <c r="R69" s="123" t="str">
        <f>_xll.qlEuriborSwap(,"IsdaFixA",Monitor!Q69,YieldCurve,Discounting,,_xll.ohTrigger(Trigger,RecalcTrigger))</f>
        <v>obj_00784#0004</v>
      </c>
      <c r="S69" s="123"/>
      <c r="T69" s="123"/>
      <c r="U69" s="110">
        <f>_xll.qlIndexFixing(R69,$Z$19,TRUE,Trigger)</f>
        <v>1.3467984917585416E-2</v>
      </c>
      <c r="V69" s="111">
        <f t="shared" si="10"/>
        <v>-2.015082414583147E-6</v>
      </c>
      <c r="W69" s="94"/>
      <c r="Y69" s="105" t="str">
        <f t="shared" si="8"/>
        <v>1D</v>
      </c>
      <c r="Z69" s="93">
        <f>_xll.qlCalendarAdvance(Calendar,Z68,Y69,"f",FALSE)</f>
        <v>42206</v>
      </c>
      <c r="AA69" s="117">
        <f>_xll.qlCalendarAdvance(Calendar,Z69,NDays&amp;"D")</f>
        <v>42208</v>
      </c>
      <c r="AB69" s="92">
        <v>6.3699652180359385E-4</v>
      </c>
      <c r="AC69" s="101">
        <v>5.9804092933823938E-4</v>
      </c>
    </row>
    <row r="70" spans="13:29" x14ac:dyDescent="0.2">
      <c r="M70" s="105" t="str">
        <v>obj_00747#0001</v>
      </c>
      <c r="N70" s="105" t="str">
        <f>_xll.qlRateHelperQuoteName(M70)</f>
        <v>EURAB6E29Y_Quote</v>
      </c>
      <c r="O70" s="93">
        <f>_xll.qlRateHelperLatestDate(M70,Trigger)</f>
        <v>52733</v>
      </c>
      <c r="P70" s="120">
        <f>_xll.qlRateHelperQuoteValue(M70,_xll.ohTrigger(RecalcTrigger,YieldCurve))</f>
        <v>1.3509999999999999E-2</v>
      </c>
      <c r="Q70" s="122" t="str">
        <f t="shared" si="9"/>
        <v>29Y</v>
      </c>
      <c r="R70" s="123" t="str">
        <f>_xll.qlEuriborSwap(,"IsdaFixA",Monitor!Q70,YieldCurve,Discounting,,_xll.ohTrigger(Trigger,RecalcTrigger))</f>
        <v>obj_0078a#0004</v>
      </c>
      <c r="S70" s="123"/>
      <c r="T70" s="123"/>
      <c r="U70" s="110">
        <f>_xll.qlIndexFixing(R70,$Z$19,TRUE,Trigger)</f>
        <v>1.3507126305404724E-2</v>
      </c>
      <c r="V70" s="111">
        <f t="shared" si="10"/>
        <v>-2.8736945952758525E-6</v>
      </c>
      <c r="W70" s="94"/>
      <c r="Y70" s="105" t="str">
        <f t="shared" si="8"/>
        <v>1D</v>
      </c>
      <c r="Z70" s="93">
        <f>_xll.qlCalendarAdvance(Calendar,Z69,Y70,"f",FALSE)</f>
        <v>42207</v>
      </c>
      <c r="AA70" s="117">
        <f>_xll.qlCalendarAdvance(Calendar,Z70,NDays&amp;"D")</f>
        <v>42209</v>
      </c>
      <c r="AB70" s="92">
        <v>6.3720603403145015E-4</v>
      </c>
      <c r="AC70" s="101">
        <v>5.93035987277446E-4</v>
      </c>
    </row>
    <row r="71" spans="13:29" x14ac:dyDescent="0.2">
      <c r="M71" s="105" t="str">
        <v>obj_00760#0001</v>
      </c>
      <c r="N71" s="105" t="str">
        <f>_xll.qlRateHelperQuoteName(M71)</f>
        <v>EURAB6E30Y_Quote</v>
      </c>
      <c r="O71" s="93">
        <f>_xll.qlRateHelperLatestDate(M71,Trigger)</f>
        <v>53097</v>
      </c>
      <c r="P71" s="120">
        <f>_xll.qlRateHelperQuoteValue(M71,_xll.ohTrigger(RecalcTrigger,YieldCurve))</f>
        <v>1.3540000000000002E-2</v>
      </c>
      <c r="Q71" s="122" t="str">
        <f t="shared" si="9"/>
        <v>30Y</v>
      </c>
      <c r="R71" s="123" t="str">
        <f>_xll.qlEuriborSwap(,"IsdaFixA",Monitor!Q71,YieldCurve,Discounting,,_xll.ohTrigger(Trigger,RecalcTrigger))</f>
        <v>obj_00778#0004</v>
      </c>
      <c r="S71" s="123"/>
      <c r="T71" s="123"/>
      <c r="U71" s="110">
        <f>_xll.qlIndexFixing(R71,$Z$19,TRUE,Trigger)</f>
        <v>1.3539999999978337E-2</v>
      </c>
      <c r="V71" s="111">
        <f t="shared" si="10"/>
        <v>-2.1664961491474344E-14</v>
      </c>
      <c r="W71" s="94"/>
      <c r="Y71" s="105" t="str">
        <f t="shared" si="8"/>
        <v>1D</v>
      </c>
      <c r="Z71" s="93">
        <f>_xll.qlCalendarAdvance(Calendar,Z70,Y71,"f",FALSE)</f>
        <v>42208</v>
      </c>
      <c r="AA71" s="117">
        <f>_xll.qlCalendarAdvance(Calendar,Z71,NDays&amp;"D")</f>
        <v>42212</v>
      </c>
      <c r="AB71" s="92">
        <v>6.3702359619060406E-4</v>
      </c>
      <c r="AC71" s="101">
        <v>5.8845643549965132E-4</v>
      </c>
    </row>
    <row r="72" spans="13:29" x14ac:dyDescent="0.2">
      <c r="M72" s="105" t="str">
        <v>obj_00745#0001</v>
      </c>
      <c r="N72" s="105" t="str">
        <f>_xll.qlRateHelperQuoteName(M72)</f>
        <v>EURAB6E35Y_Quote</v>
      </c>
      <c r="O72" s="93">
        <f>_xll.qlRateHelperLatestDate(M72,Trigger)</f>
        <v>54924</v>
      </c>
      <c r="P72" s="120">
        <f>_xll.qlRateHelperQuoteValue(M72,_xll.ohTrigger(RecalcTrigger,YieldCurve))</f>
        <v>1.363E-2</v>
      </c>
      <c r="Q72" s="122" t="str">
        <f t="shared" si="9"/>
        <v>35Y</v>
      </c>
      <c r="R72" s="123" t="str">
        <f>_xll.qlEuriborSwap(,"IsdaFixA",Monitor!Q72,YieldCurve,Discounting,,_xll.ohTrigger(Trigger,RecalcTrigger))</f>
        <v>obj_00791#0004</v>
      </c>
      <c r="S72" s="123"/>
      <c r="T72" s="123"/>
      <c r="U72" s="110">
        <f>_xll.qlIndexFixing(R72,$Z$19,TRUE,Trigger)</f>
        <v>1.3629999999803716E-2</v>
      </c>
      <c r="V72" s="111">
        <f t="shared" si="10"/>
        <v>-1.9628396130677572E-13</v>
      </c>
      <c r="W72" s="94"/>
      <c r="Y72" s="105" t="str">
        <f t="shared" si="8"/>
        <v>1D</v>
      </c>
      <c r="Z72" s="93">
        <f>_xll.qlCalendarAdvance(Calendar,Z71,Y72,"f",FALSE)</f>
        <v>42209</v>
      </c>
      <c r="AA72" s="117">
        <f>_xll.qlCalendarAdvance(Calendar,Z72,NDays&amp;"D")</f>
        <v>42213</v>
      </c>
      <c r="AB72" s="92">
        <v>6.3682617305667625E-4</v>
      </c>
      <c r="AC72" s="101">
        <v>5.8639357034095951E-4</v>
      </c>
    </row>
    <row r="73" spans="13:29" x14ac:dyDescent="0.2">
      <c r="M73" s="105" t="str">
        <v>obj_00744#0001</v>
      </c>
      <c r="N73" s="105" t="str">
        <f>_xll.qlRateHelperQuoteName(M73)</f>
        <v>EURAB6E40Y_Quote</v>
      </c>
      <c r="O73" s="93">
        <f>_xll.qlRateHelperLatestDate(M73,Trigger)</f>
        <v>56748</v>
      </c>
      <c r="P73" s="120">
        <f>_xll.qlRateHelperQuoteValue(M73,_xll.ohTrigger(RecalcTrigger,YieldCurve))</f>
        <v>1.362E-2</v>
      </c>
      <c r="Q73" s="122" t="str">
        <f t="shared" si="9"/>
        <v>40Y</v>
      </c>
      <c r="R73" s="123" t="str">
        <f>_xll.qlEuriborSwap(,"IsdaFixA",Monitor!Q73,YieldCurve,Discounting,,_xll.ohTrigger(Trigger,RecalcTrigger))</f>
        <v>obj_00777#0004</v>
      </c>
      <c r="S73" s="123"/>
      <c r="T73" s="123"/>
      <c r="U73" s="110">
        <f>_xll.qlIndexFixing(R73,$Z$19,TRUE,Trigger)</f>
        <v>1.3620000000007931E-2</v>
      </c>
      <c r="V73" s="111">
        <f t="shared" si="10"/>
        <v>7.931155732165962E-15</v>
      </c>
      <c r="W73" s="94"/>
      <c r="Y73" s="105" t="str">
        <f t="shared" si="8"/>
        <v>1D</v>
      </c>
      <c r="Z73" s="93">
        <f>_xll.qlCalendarAdvance(Calendar,Z72,Y73,"f",FALSE)</f>
        <v>42212</v>
      </c>
      <c r="AA73" s="117">
        <f>_xll.qlCalendarAdvance(Calendar,Z73,NDays&amp;"D")</f>
        <v>42214</v>
      </c>
      <c r="AB73" s="92">
        <v>6.3663314427936629E-4</v>
      </c>
      <c r="AC73" s="101">
        <v>5.8447420871132749E-4</v>
      </c>
    </row>
    <row r="74" spans="13:29" x14ac:dyDescent="0.2">
      <c r="M74" s="105" t="str">
        <v>obj_0074c#0001</v>
      </c>
      <c r="N74" s="105" t="str">
        <f>_xll.qlRateHelperQuoteName(M74)</f>
        <v>EURAB6E50Y_Quote</v>
      </c>
      <c r="O74" s="93">
        <f>_xll.qlRateHelperLatestDate(M74,Trigger)</f>
        <v>60401</v>
      </c>
      <c r="P74" s="120">
        <f>_xll.qlRateHelperQuoteValue(M74,_xll.ohTrigger(RecalcTrigger,YieldCurve))</f>
        <v>1.3180000000000001E-2</v>
      </c>
      <c r="Q74" s="122" t="str">
        <f t="shared" si="9"/>
        <v>50Y</v>
      </c>
      <c r="R74" s="123" t="str">
        <f>_xll.qlEuriborSwap(,"IsdaFixA",Monitor!Q74,YieldCurve,Discounting,,_xll.ohTrigger(Trigger,RecalcTrigger))</f>
        <v>obj_00779#0004</v>
      </c>
      <c r="S74" s="123"/>
      <c r="T74" s="123"/>
      <c r="U74" s="110">
        <f>_xll.qlIndexFixing(R74,$Z$19,TRUE,Trigger)</f>
        <v>1.3180000000610573E-2</v>
      </c>
      <c r="V74" s="111">
        <f t="shared" si="10"/>
        <v>6.1057235656303277E-13</v>
      </c>
      <c r="W74" s="94"/>
      <c r="Y74" s="105" t="str">
        <f t="shared" si="8"/>
        <v>1D</v>
      </c>
      <c r="Z74" s="93">
        <f>_xll.qlCalendarAdvance(Calendar,Z73,Y74,"f",FALSE)</f>
        <v>42213</v>
      </c>
      <c r="AA74" s="117">
        <f>_xll.qlCalendarAdvance(Calendar,Z74,NDays&amp;"D")</f>
        <v>42215</v>
      </c>
      <c r="AB74" s="92">
        <v>6.3691713172493345E-4</v>
      </c>
      <c r="AC74" s="101">
        <v>5.8270345077104935E-4</v>
      </c>
    </row>
    <row r="75" spans="13:29" ht="12" thickBot="1" x14ac:dyDescent="0.25">
      <c r="M75" s="106" t="str">
        <v>obj_00754#0001</v>
      </c>
      <c r="N75" s="106" t="str">
        <f>_xll.qlRateHelperQuoteName(M75)</f>
        <v>EURAB6E60Y_Quote</v>
      </c>
      <c r="O75" s="103">
        <f>_xll.qlRateHelperLatestDate(M75,Trigger)</f>
        <v>64053</v>
      </c>
      <c r="P75" s="121">
        <f>_xll.qlRateHelperQuoteValue(M75,_xll.ohTrigger(RecalcTrigger,YieldCurve))</f>
        <v>1.303E-2</v>
      </c>
      <c r="Q75" s="189" t="str">
        <f t="shared" si="9"/>
        <v>60Y</v>
      </c>
      <c r="R75" s="124" t="str">
        <f>_xll.qlEuriborSwap(,"IsdaFixA",Monitor!Q75,YieldCurve,Discounting,,_xll.ohTrigger(Trigger,RecalcTrigger))</f>
        <v>obj_0077b#0004</v>
      </c>
      <c r="S75" s="124"/>
      <c r="T75" s="124"/>
      <c r="U75" s="112">
        <f>_xll.qlIndexFixing(R75,$Z$19,TRUE,Trigger)</f>
        <v>1.3029999999889517E-2</v>
      </c>
      <c r="V75" s="113">
        <f t="shared" si="10"/>
        <v>-1.1048280346148687E-13</v>
      </c>
      <c r="W75" s="94"/>
      <c r="Y75" s="105" t="str">
        <f t="shared" si="8"/>
        <v>1D</v>
      </c>
      <c r="Z75" s="93">
        <f>_xll.qlCalendarAdvance(Calendar,Z74,Y75,"f",FALSE)</f>
        <v>42214</v>
      </c>
      <c r="AA75" s="117">
        <f>_xll.qlCalendarAdvance(Calendar,Z75,NDays&amp;"D")</f>
        <v>42216</v>
      </c>
      <c r="AB75" s="92">
        <v>6.3721397768488582E-4</v>
      </c>
      <c r="AC75" s="101">
        <v>9.5168666454092943E-4</v>
      </c>
    </row>
    <row r="76" spans="13:29" ht="12" thickBot="1" x14ac:dyDescent="0.25">
      <c r="Y76" s="105" t="str">
        <f t="shared" si="8"/>
        <v>1D</v>
      </c>
      <c r="Z76" s="93">
        <f>_xll.qlCalendarAdvance(Calendar,Z75,Y76,"f",FALSE)</f>
        <v>42215</v>
      </c>
      <c r="AA76" s="117">
        <f>_xll.qlCalendarAdvance(Calendar,Z76,NDays&amp;"D")</f>
        <v>42219</v>
      </c>
      <c r="AB76" s="92">
        <v>6.421890440604759E-4</v>
      </c>
      <c r="AC76" s="101">
        <v>5.7720845759057227E-4</v>
      </c>
    </row>
    <row r="77" spans="13:29" x14ac:dyDescent="0.2">
      <c r="M77" s="190" t="s">
        <v>44</v>
      </c>
      <c r="N77" s="97" t="s">
        <v>159</v>
      </c>
      <c r="O77" s="98" t="s">
        <v>127</v>
      </c>
      <c r="P77" s="98" t="s">
        <v>43</v>
      </c>
      <c r="Q77" s="108" t="s">
        <v>136</v>
      </c>
      <c r="R77" s="108" t="s">
        <v>169</v>
      </c>
      <c r="S77" s="98" t="s">
        <v>135</v>
      </c>
      <c r="T77" s="98" t="s">
        <v>157</v>
      </c>
      <c r="U77" s="98" t="s">
        <v>151</v>
      </c>
      <c r="V77" s="109" t="s">
        <v>140</v>
      </c>
      <c r="W77" s="114" t="s">
        <v>158</v>
      </c>
      <c r="Y77" s="105" t="str">
        <f t="shared" si="8"/>
        <v>1D</v>
      </c>
      <c r="Z77" s="93">
        <f>_xll.qlCalendarAdvance(Calendar,Z76,Y77,"f",FALSE)</f>
        <v>42216</v>
      </c>
      <c r="AA77" s="117">
        <f>_xll.qlCalendarAdvance(Calendar,Z77,NDays&amp;"D")</f>
        <v>42220</v>
      </c>
      <c r="AB77" s="92">
        <v>6.4202004029297348E-4</v>
      </c>
      <c r="AC77" s="101">
        <v>5.7625721954224218E-4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2.5737224851329898E-13</v>
      </c>
      <c r="Y78" s="105" t="str">
        <f t="shared" si="8"/>
        <v>1D</v>
      </c>
      <c r="Z78" s="93">
        <f>_xll.qlCalendarAdvance(Calendar,Z77,Y78,"f",FALSE)</f>
        <v>42219</v>
      </c>
      <c r="AA78" s="117">
        <f>_xll.qlCalendarAdvance(Calendar,Z78,NDays&amp;"D")</f>
        <v>42221</v>
      </c>
      <c r="AB78" s="92">
        <v>6.4185450338748596E-4</v>
      </c>
      <c r="AC78" s="101">
        <v>5.7548518574535024E-4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42220</v>
      </c>
      <c r="AA79" s="117">
        <f>_xll.qlCalendarAdvance(Calendar,Z79,NDays&amp;"D")</f>
        <v>42222</v>
      </c>
      <c r="AB79" s="92">
        <v>6.4066171758402014E-4</v>
      </c>
      <c r="AC79" s="101">
        <v>5.7489745644012658E-4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42221</v>
      </c>
      <c r="AA80" s="117">
        <f>_xll.qlCalendarAdvance(Calendar,Z80,NDays&amp;"D")</f>
        <v>42223</v>
      </c>
      <c r="AB80" s="92">
        <v>6.4101617641380577E-4</v>
      </c>
      <c r="AC80" s="101">
        <v>5.7436276273747922E-4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42222</v>
      </c>
      <c r="AA81" s="117">
        <f>_xll.qlCalendarAdvance(Calendar,Z81,NDays&amp;"D")</f>
        <v>42226</v>
      </c>
      <c r="AB81" s="92">
        <v>6.410714220915915E-4</v>
      </c>
      <c r="AC81" s="101">
        <v>5.7449158542333123E-4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42223</v>
      </c>
      <c r="AA82" s="117">
        <f>_xll.qlCalendarAdvance(Calendar,Z82,NDays&amp;"D")</f>
        <v>42227</v>
      </c>
      <c r="AB82" s="92">
        <v>6.4092202556426841E-4</v>
      </c>
      <c r="AC82" s="101">
        <v>5.7490187994169162E-4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42226</v>
      </c>
      <c r="AA83" s="117">
        <f>_xll.qlCalendarAdvance(Calendar,Z83,NDays&amp;"D")</f>
        <v>42228</v>
      </c>
      <c r="AB83" s="92">
        <v>6.4077439498563696E-4</v>
      </c>
      <c r="AC83" s="101">
        <v>5.7552707943386849E-4</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42227</v>
      </c>
      <c r="AA84" s="117">
        <f>_xll.qlCalendarAdvance(Calendar,Z84,NDays&amp;"D")</f>
        <v>42229</v>
      </c>
      <c r="AB84" s="92">
        <v>6.3965893465893616E-4</v>
      </c>
      <c r="AC84" s="101">
        <v>5.7637228414009201E-4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42228</v>
      </c>
      <c r="AA85" s="117">
        <f>_xll.qlCalendarAdvance(Calendar,Z85,NDays&amp;"D")</f>
        <v>42230</v>
      </c>
      <c r="AB85" s="92">
        <v>6.3999999999987201E-4</v>
      </c>
      <c r="AC85" s="101">
        <v>5.7803552389934509E-4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42229</v>
      </c>
      <c r="AA86" s="117">
        <f>_xll.qlCalendarAdvance(Calendar,Z86,NDays&amp;"D")</f>
        <v>42233</v>
      </c>
      <c r="AB86" s="92">
        <v>6.401017428785792E-4</v>
      </c>
      <c r="AC86" s="101">
        <v>5.7876101631215704E-4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42230</v>
      </c>
      <c r="AA87" s="117">
        <f>_xll.qlCalendarAdvance(Calendar,Z87,NDays&amp;"D")</f>
        <v>42234</v>
      </c>
      <c r="AB87" s="92">
        <v>6.4002194117985178E-4</v>
      </c>
      <c r="AC87" s="101">
        <v>5.7857192820698344E-4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42233</v>
      </c>
      <c r="AA88" s="117">
        <f>_xll.qlCalendarAdvance(Calendar,Z88,NDays&amp;"D")</f>
        <v>42235</v>
      </c>
      <c r="AB88" s="92">
        <v>6.3997138590988145E-4</v>
      </c>
      <c r="AC88" s="101">
        <v>5.7802597668299427E-4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42234</v>
      </c>
      <c r="AA89" s="117">
        <f>_xll.qlCalendarAdvance(Calendar,Z89,NDays&amp;"D")</f>
        <v>42236</v>
      </c>
      <c r="AB89" s="92">
        <v>6.3933952626157051E-4</v>
      </c>
      <c r="AC89" s="101">
        <v>5.7710617189066227E-4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42235</v>
      </c>
      <c r="AA90" s="117">
        <f>_xll.qlCalendarAdvance(Calendar,Z90,NDays&amp;"D")</f>
        <v>42237</v>
      </c>
      <c r="AB90" s="92">
        <v>6.3967489732644147E-4</v>
      </c>
      <c r="AC90" s="101">
        <v>5.7393635151115063E-4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42236</v>
      </c>
      <c r="AA91" s="117">
        <f>_xll.qlCalendarAdvance(Calendar,Z91,NDays&amp;"D")</f>
        <v>42240</v>
      </c>
      <c r="AB91" s="92">
        <v>6.4024945716590275E-4</v>
      </c>
      <c r="AC91" s="101">
        <v>5.6934862696422783E-4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42237</v>
      </c>
      <c r="AA92" s="117">
        <f>_xll.qlCalendarAdvance(Calendar,Z92,NDays&amp;"D")</f>
        <v>42241</v>
      </c>
      <c r="AB92" s="92">
        <v>6.4043102474687296E-4</v>
      </c>
      <c r="AC92" s="101">
        <v>5.6630471096497104E-4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42240</v>
      </c>
      <c r="AA93" s="117">
        <f>_xll.qlCalendarAdvance(Calendar,Z93,NDays&amp;"D")</f>
        <v>42242</v>
      </c>
      <c r="AB93" s="92">
        <v>6.406616225698835E-4</v>
      </c>
      <c r="AC93" s="101">
        <v>5.6278500363937667E-4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42241</v>
      </c>
      <c r="AA94" s="117">
        <f>_xll.qlCalendarAdvance(Calendar,Z94,NDays&amp;"D")</f>
        <v>42243</v>
      </c>
      <c r="AB94" s="92">
        <v>6.407663843195139E-4</v>
      </c>
      <c r="AC94" s="101">
        <v>5.5877251545766171E-4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42242</v>
      </c>
      <c r="AA95" s="117">
        <f>_xll.qlCalendarAdvance(Calendar,Z95,NDays&amp;"D")</f>
        <v>42244</v>
      </c>
      <c r="AB95" s="92">
        <v>6.4120859917261375E-4</v>
      </c>
      <c r="AC95" s="101">
        <v>5.4902082466945501E-4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42243</v>
      </c>
      <c r="AA96" s="117">
        <f>_xll.qlCalendarAdvance(Calendar,Z96,NDays&amp;"D")</f>
        <v>42247</v>
      </c>
      <c r="AB96" s="92">
        <v>6.4272523729400652E-4</v>
      </c>
      <c r="AC96" s="101">
        <v>3.2734798380751329E-3</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42244</v>
      </c>
      <c r="AA97" s="117">
        <f>_xll.qlCalendarAdvance(Calendar,Z97,NDays&amp;"D")</f>
        <v>42248</v>
      </c>
      <c r="AB97" s="92">
        <v>6.3494424312941647E-4</v>
      </c>
      <c r="AC97" s="101">
        <v>5.3072372169005178E-4</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42247</v>
      </c>
      <c r="AA98" s="117">
        <f>_xll.qlCalendarAdvance(Calendar,Z98,NDays&amp;"D")</f>
        <v>42249</v>
      </c>
      <c r="AB98" s="92">
        <v>6.3554671394287397E-4</v>
      </c>
      <c r="AC98" s="101">
        <v>5.2339776488885548E-4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42248</v>
      </c>
      <c r="AA99" s="117">
        <f>_xll.qlCalendarAdvance(Calendar,Z99,NDays&amp;"D")</f>
        <v>42250</v>
      </c>
      <c r="AB99" s="92">
        <v>6.3622615354196228E-4</v>
      </c>
      <c r="AC99" s="101">
        <v>5.1546009956382477E-4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42249</v>
      </c>
      <c r="AA100" s="117">
        <f>_xll.qlCalendarAdvance(Calendar,Z100,NDays&amp;"D")</f>
        <v>42251</v>
      </c>
      <c r="AB100" s="92">
        <v>6.3698658350140288E-4</v>
      </c>
      <c r="AC100" s="101">
        <v>4.9746147950280317E-4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42250</v>
      </c>
      <c r="AA101" s="117">
        <f>_xll.qlCalendarAdvance(Calendar,Z101,NDays&amp;"D")</f>
        <v>42254</v>
      </c>
      <c r="AB101" s="92">
        <v>6.3979549768265439E-4</v>
      </c>
      <c r="AC101" s="101">
        <v>4.772525599516797E-4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42251</v>
      </c>
      <c r="AA102" s="117">
        <f>_xll.qlCalendarAdvance(Calendar,Z102,NDays&amp;"D")</f>
        <v>42255</v>
      </c>
      <c r="AB102" s="92">
        <v>6.4092206004209753E-4</v>
      </c>
      <c r="AC102" s="101">
        <v>4.6600150738207446E-4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42254</v>
      </c>
      <c r="AA103" s="117">
        <f>_xll.qlCalendarAdvance(Calendar,Z103,NDays&amp;"D")</f>
        <v>42256</v>
      </c>
      <c r="AB103" s="92">
        <v>6.421511870655552E-4</v>
      </c>
      <c r="AC103" s="101">
        <v>4.5403680855038431E-4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42255</v>
      </c>
      <c r="AA104" s="117">
        <f>_xll.qlCalendarAdvance(Calendar,Z104,NDays&amp;"D")</f>
        <v>42257</v>
      </c>
      <c r="AB104" s="92">
        <v>6.4348748691698784E-4</v>
      </c>
      <c r="AC104" s="101">
        <v>4.4134147368701804E-4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42256</v>
      </c>
      <c r="AA105" s="117">
        <f>_xll.qlCalendarAdvance(Calendar,Z105,NDays&amp;"D")</f>
        <v>42258</v>
      </c>
      <c r="AB105" s="92">
        <v>6.4493566553269527E-4</v>
      </c>
      <c r="AC105" s="101">
        <v>4.1343087771927856E-4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42257</v>
      </c>
      <c r="AA106" s="117">
        <f>_xll.qlCalendarAdvance(Calendar,Z106,NDays&amp;"D")</f>
        <v>42261</v>
      </c>
      <c r="AB106" s="92">
        <v>6.5000000000008584E-4</v>
      </c>
      <c r="AC106" s="101">
        <v>3.8312655544103791E-4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42258</v>
      </c>
      <c r="AA107" s="117">
        <f>_xll.qlCalendarAdvance(Calendar,Z107,NDays&amp;"D")</f>
        <v>42262</v>
      </c>
      <c r="AB107" s="92">
        <v>6.5194309438218435E-4</v>
      </c>
      <c r="AC107" s="101">
        <v>3.6781234274307906E-4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42261</v>
      </c>
      <c r="AA108" s="117">
        <f>_xll.qlCalendarAdvance(Calendar,Z108,NDays&amp;"D")</f>
        <v>42263</v>
      </c>
      <c r="AB108" s="92">
        <v>6.5401329145748852E-4</v>
      </c>
      <c r="AC108" s="101">
        <v>3.5299241641695289E-4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42262</v>
      </c>
      <c r="AA109" s="117">
        <f>_xll.qlCalendarAdvance(Calendar,Z109,NDays&amp;"D")</f>
        <v>42264</v>
      </c>
      <c r="AB109" s="92">
        <v>6.5620587201723813E-4</v>
      </c>
      <c r="AC109" s="101">
        <v>3.3869092954219582E-4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42263</v>
      </c>
      <c r="AA110" s="117">
        <f>_xll.qlCalendarAdvance(Calendar,Z110,NDays&amp;"D")</f>
        <v>42265</v>
      </c>
      <c r="AB110" s="92">
        <v>6.5851595349455494E-4</v>
      </c>
      <c r="AC110" s="101">
        <v>3.1193712383803529E-4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42264</v>
      </c>
      <c r="AA111" s="117">
        <f>_xll.qlCalendarAdvance(Calendar,Z111,NDays&amp;"D")</f>
        <v>42268</v>
      </c>
      <c r="AB111" s="92">
        <v>6.6609992729736158E-4</v>
      </c>
      <c r="AC111" s="101">
        <v>2.8715244166477305E-4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42265</v>
      </c>
      <c r="AA112" s="117">
        <f>_xll.qlCalendarAdvance(Calendar,Z112,NDays&amp;"D")</f>
        <v>42269</v>
      </c>
      <c r="AB112" s="92">
        <v>6.68827919463151E-4</v>
      </c>
      <c r="AC112" s="101">
        <v>2.7580545047811711E-4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42268</v>
      </c>
      <c r="AA113" s="117">
        <f>_xll.qlCalendarAdvance(Calendar,Z113,NDays&amp;"D")</f>
        <v>42270</v>
      </c>
      <c r="AB113" s="92">
        <v>6.7164654919320754E-4</v>
      </c>
      <c r="AC113" s="101">
        <v>2.6512181809934532E-4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42269</v>
      </c>
      <c r="AA114" s="117">
        <f>_xll.qlCalendarAdvance(Calendar,Z114,NDays&amp;"D")</f>
        <v>42271</v>
      </c>
      <c r="AB114" s="92">
        <v>6.7454995368849372E-4</v>
      </c>
      <c r="AC114" s="101">
        <v>2.5512569768793014E-4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42270</v>
      </c>
      <c r="AA115" s="117">
        <f>_xll.qlCalendarAdvance(Calendar,Z115,NDays&amp;"D")</f>
        <v>42272</v>
      </c>
      <c r="AB115" s="92">
        <v>6.8031000816458657E-4</v>
      </c>
      <c r="AC115" s="101">
        <v>2.3754608594828142E-4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42271</v>
      </c>
      <c r="AA116" s="117">
        <f>_xll.qlCalendarAdvance(Calendar,Z116,NDays&amp;"D")</f>
        <v>42275</v>
      </c>
      <c r="AB116" s="92">
        <v>6.8756707204507578E-4</v>
      </c>
      <c r="AC116" s="101">
        <v>2.2249939938490115E-4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42272</v>
      </c>
      <c r="AA117" s="117">
        <f>_xll.qlCalendarAdvance(Calendar,Z117,NDays&amp;"D")</f>
        <v>42276</v>
      </c>
      <c r="AB117" s="92">
        <v>6.9012196239516869E-4</v>
      </c>
      <c r="AC117" s="101">
        <v>2.1630313676190838E-4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42275</v>
      </c>
      <c r="AA118" s="117">
        <f>_xll.qlCalendarAdvance(Calendar,Z118,NDays&amp;"D")</f>
        <v>42277</v>
      </c>
      <c r="AB118" s="92">
        <v>6.9406655429365158E-4</v>
      </c>
      <c r="AC118" s="101">
        <v>1.1659310071330253E-2</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42276</v>
      </c>
      <c r="AA119" s="117">
        <f>_xll.qlCalendarAdvance(Calendar,Z119,NDays&amp;"D")</f>
        <v>42278</v>
      </c>
      <c r="AB119" s="92">
        <v>6.3715640816053851E-4</v>
      </c>
      <c r="AC119" s="101">
        <v>2.0643205824733002E-4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42277</v>
      </c>
      <c r="AA120" s="117">
        <f>_xll.qlCalendarAdvance(Calendar,Z120,NDays&amp;"D")</f>
        <v>42279</v>
      </c>
      <c r="AB120" s="92">
        <v>6.4240807590849544E-4</v>
      </c>
      <c r="AC120" s="101">
        <v>2.0039372318869653E-4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42278</v>
      </c>
      <c r="AA121" s="117">
        <f>_xll.qlCalendarAdvance(Calendar,Z121,NDays&amp;"D")</f>
        <v>42282</v>
      </c>
      <c r="AB121" s="92">
        <v>6.5060725905659105E-4</v>
      </c>
      <c r="AC121" s="101">
        <v>1.9745197876730458E-4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42279</v>
      </c>
      <c r="AA122" s="117">
        <f>_xll.qlCalendarAdvance(Calendar,Z122,NDays&amp;"D")</f>
        <v>42283</v>
      </c>
      <c r="AB122" s="92">
        <v>6.5398696190947087E-4</v>
      </c>
      <c r="AC122" s="101">
        <v>1.9758995231988763E-4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42282</v>
      </c>
      <c r="AA123" s="117">
        <f>_xll.qlCalendarAdvance(Calendar,Z123,NDays&amp;"D")</f>
        <v>42284</v>
      </c>
      <c r="AB123" s="92">
        <v>6.5735775730528371E-4</v>
      </c>
      <c r="AC123" s="101">
        <v>1.9872942963239382E-4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42283</v>
      </c>
      <c r="AA124" s="117">
        <f>_xll.qlCalendarAdvance(Calendar,Z124,NDays&amp;"D")</f>
        <v>42285</v>
      </c>
      <c r="AB124" s="92">
        <v>6.6071150907513233E-4</v>
      </c>
      <c r="AC124" s="101">
        <v>2.0089456410410378E-4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42284</v>
      </c>
      <c r="AA125" s="117">
        <f>_xll.qlCalendarAdvance(Calendar,Z125,NDays&amp;"D")</f>
        <v>42286</v>
      </c>
      <c r="AB125" s="92">
        <v>6.6556765039715567E-4</v>
      </c>
      <c r="AC125" s="101">
        <v>2.0876457767826651E-4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42285</v>
      </c>
      <c r="AA126" s="117">
        <f>_xll.qlCalendarAdvance(Calendar,Z126,NDays&amp;"D")</f>
        <v>42289</v>
      </c>
      <c r="AB126" s="92">
        <v>6.7378766815787096E-4</v>
      </c>
      <c r="AC126" s="101">
        <v>2.2029473901064023E-4</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42286</v>
      </c>
      <c r="AA127" s="117">
        <f>_xll.qlCalendarAdvance(Calendar,Z127,NDays&amp;"D")</f>
        <v>42290</v>
      </c>
      <c r="AB127" s="92">
        <v>6.7692847090536953E-4</v>
      </c>
      <c r="AC127" s="101">
        <v>2.2795045842904926E-4</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42289</v>
      </c>
      <c r="AA128" s="117">
        <f>_xll.qlCalendarAdvance(Calendar,Z128,NDays&amp;"D")</f>
        <v>42291</v>
      </c>
      <c r="AB128" s="92">
        <v>6.8000000000026145E-4</v>
      </c>
      <c r="AC128" s="101">
        <v>2.3656583707953871E-4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42290</v>
      </c>
      <c r="AA129" s="117">
        <f>_xll.qlCalendarAdvance(Calendar,Z129,NDays&amp;"D")</f>
        <v>42292</v>
      </c>
      <c r="AB129" s="92">
        <v>6.8299471311338131E-4</v>
      </c>
      <c r="AC129" s="101">
        <v>2.4531039975350666E-4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42291</v>
      </c>
      <c r="AA130" s="117">
        <f>_xll.qlCalendarAdvance(Calendar,Z130,NDays&amp;"D")</f>
        <v>42293</v>
      </c>
      <c r="AB130" s="92">
        <v>6.8683502546639462E-4</v>
      </c>
      <c r="AC130" s="101">
        <v>2.6249281641632649E-4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42292</v>
      </c>
      <c r="AA131" s="117">
        <f>_xll.qlCalendarAdvance(Calendar,Z131,NDays&amp;"D")</f>
        <v>42296</v>
      </c>
      <c r="AB131" s="92">
        <v>6.9420930977365691E-4</v>
      </c>
      <c r="AC131" s="101">
        <v>2.7932436499789048E-4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42293</v>
      </c>
      <c r="AA132" s="117">
        <f>_xll.qlCalendarAdvance(Calendar,Z132,NDays&amp;"D")</f>
        <v>42297</v>
      </c>
      <c r="AB132" s="92">
        <v>6.9682766497844125E-4</v>
      </c>
      <c r="AC132" s="101">
        <v>2.8754319949086948E-4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42296</v>
      </c>
      <c r="AA133" s="117">
        <f>_xll.qlCalendarAdvance(Calendar,Z133,NDays&amp;"D")</f>
        <v>42298</v>
      </c>
      <c r="AB133" s="92">
        <v>6.9937441509502791E-4</v>
      </c>
      <c r="AC133" s="101">
        <v>2.9563073725036304E-4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42297</v>
      </c>
      <c r="AA134" s="117">
        <f>_xll.qlCalendarAdvance(Calendar,Z134,NDays&amp;"D")</f>
        <v>42299</v>
      </c>
      <c r="AB134" s="92">
        <v>7.0185091862055697E-4</v>
      </c>
      <c r="AC134" s="101">
        <v>3.0357826108939889E-4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42298</v>
      </c>
      <c r="AA135" s="117">
        <f>_xll.qlCalendarAdvance(Calendar,Z135,NDays&amp;"D")</f>
        <v>42300</v>
      </c>
      <c r="AB135" s="92">
        <v>7.0461868708084194E-4</v>
      </c>
      <c r="AC135" s="101">
        <v>3.1896329292457892E-4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42299</v>
      </c>
      <c r="AA136" s="117">
        <f>_xll.qlCalendarAdvance(Calendar,Z136,NDays&amp;"D")</f>
        <v>42303</v>
      </c>
      <c r="AB136" s="92">
        <v>7.1108368174901374E-4</v>
      </c>
      <c r="AC136" s="101">
        <v>3.3379387605947386E-4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42300</v>
      </c>
      <c r="AA137" s="117">
        <f>_xll.qlCalendarAdvance(Calendar,Z137,NDays&amp;"D")</f>
        <v>42304</v>
      </c>
      <c r="AB137" s="92">
        <v>7.1323137476610426E-4</v>
      </c>
      <c r="AC137" s="101">
        <v>3.4091057425023052E-4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42303</v>
      </c>
      <c r="AA138" s="117">
        <f>_xll.qlCalendarAdvance(Calendar,Z138,NDays&amp;"D")</f>
        <v>42305</v>
      </c>
      <c r="AB138" s="92">
        <v>7.1531819916594453E-4</v>
      </c>
      <c r="AC138" s="101">
        <v>3.478349563579286E-4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42304</v>
      </c>
      <c r="AA139" s="117">
        <f>_xll.qlCalendarAdvance(Calendar,Z139,NDays&amp;"D")</f>
        <v>42306</v>
      </c>
      <c r="AB139" s="92">
        <v>7.1734592243960602E-4</v>
      </c>
      <c r="AC139" s="101">
        <v>3.5455830495578766E-4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42305</v>
      </c>
      <c r="AA140" s="117">
        <f>_xll.qlCalendarAdvance(Calendar,Z140,NDays&amp;"D")</f>
        <v>42307</v>
      </c>
      <c r="AB140" s="92">
        <v>7.1933855253183509E-4</v>
      </c>
      <c r="AC140" s="101">
        <v>3.1873665834680764E-3</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42306</v>
      </c>
      <c r="AA141" s="117">
        <f>_xll.qlCalendarAdvance(Calendar,Z141,NDays&amp;"D")</f>
        <v>42310</v>
      </c>
      <c r="AB141" s="92">
        <v>6.7851292857125335E-4</v>
      </c>
      <c r="AC141" s="101">
        <v>3.792670243463192E-4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42307</v>
      </c>
      <c r="AA142" s="117">
        <f>_xll.qlCalendarAdvance(Calendar,Z142,NDays&amp;"D")</f>
        <v>42311</v>
      </c>
      <c r="AB142" s="92">
        <v>6.8030093689463143E-4</v>
      </c>
      <c r="AC142" s="101">
        <v>3.8485445006841701E-4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42310</v>
      </c>
      <c r="AA143" s="117">
        <f>_xll.qlCalendarAdvance(Calendar,Z143,NDays&amp;"D")</f>
        <v>42312</v>
      </c>
      <c r="AB143" s="92">
        <v>6.8204063227579137E-4</v>
      </c>
      <c r="AC143" s="101">
        <v>3.901885399582028E-4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42311</v>
      </c>
      <c r="AA144" s="117">
        <f>_xll.qlCalendarAdvance(Calendar,Z144,NDays&amp;"D")</f>
        <v>42313</v>
      </c>
      <c r="AB144" s="92">
        <v>6.8373419226781579E-4</v>
      </c>
      <c r="AC144" s="101">
        <v>3.9526057698857642E-4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42312</v>
      </c>
      <c r="AA145" s="117">
        <f>_xll.qlCalendarAdvance(Calendar,Z145,NDays&amp;"D")</f>
        <v>42314</v>
      </c>
      <c r="AB145" s="92">
        <v>6.8538385317020215E-4</v>
      </c>
      <c r="AC145" s="101">
        <v>4.0448801063242001E-4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42313</v>
      </c>
      <c r="AA146" s="117">
        <f>_xll.qlCalendarAdvance(Calendar,Z146,NDays&amp;"D")</f>
        <v>42317</v>
      </c>
      <c r="AB146" s="92">
        <v>6.9009268548943378E-4</v>
      </c>
      <c r="AC146" s="101">
        <v>4.1275385501471362E-4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42314</v>
      </c>
      <c r="AA147" s="117">
        <f>_xll.qlCalendarAdvance(Calendar,Z147,NDays&amp;"D")</f>
        <v>42318</v>
      </c>
      <c r="AB147" s="92">
        <v>6.9159028790513892E-4</v>
      </c>
      <c r="AC147" s="101">
        <v>4.1638487170203575E-4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42317</v>
      </c>
      <c r="AA148" s="117">
        <f>_xll.qlCalendarAdvance(Calendar,Z148,NDays&amp;"D")</f>
        <v>42319</v>
      </c>
      <c r="AB148" s="92">
        <v>6.9305605388669572E-4</v>
      </c>
      <c r="AC148" s="101">
        <v>4.1970153304760061E-4</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42318</v>
      </c>
      <c r="AA149" s="117">
        <f>_xll.qlCalendarAdvance(Calendar,Z149,NDays&amp;"D")</f>
        <v>42320</v>
      </c>
      <c r="AB149" s="92">
        <v>6.9449257219803277E-4</v>
      </c>
      <c r="AC149" s="101">
        <v>4.2269512202430803E-4</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42319</v>
      </c>
      <c r="AA150" s="117">
        <f>_xll.qlCalendarAdvance(Calendar,Z150,NDays&amp;"D")</f>
        <v>42321</v>
      </c>
      <c r="AB150" s="92">
        <v>6.9590249034466145E-4</v>
      </c>
      <c r="AC150" s="101">
        <v>4.2756231464657901E-4</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42320</v>
      </c>
      <c r="AA151" s="117">
        <f>_xll.qlCalendarAdvance(Calendar,Z151,NDays&amp;"D")</f>
        <v>42324</v>
      </c>
      <c r="AB151" s="92">
        <v>6.9999999999975453E-4</v>
      </c>
      <c r="AC151" s="101">
        <v>4.3136275159838533E-4</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42321</v>
      </c>
      <c r="AA152" s="117">
        <f>_xll.qlCalendarAdvance(Calendar,Z152,NDays&amp;"D")</f>
        <v>42325</v>
      </c>
      <c r="AB152" s="92">
        <v>7.0133100803892404E-4</v>
      </c>
      <c r="AC152" s="101">
        <v>4.3320446030392645E-4</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42324</v>
      </c>
      <c r="AA153" s="117">
        <f>_xll.qlCalendarAdvance(Calendar,Z153,NDays&amp;"D")</f>
        <v>42326</v>
      </c>
      <c r="AB153" s="92">
        <v>7.0264856352078369E-4</v>
      </c>
      <c r="AC153" s="101">
        <v>4.3527660116282618E-4</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42325</v>
      </c>
      <c r="AA154" s="117">
        <f>_xll.qlCalendarAdvance(Calendar,Z154,NDays&amp;"D")</f>
        <v>42327</v>
      </c>
      <c r="AB154" s="92">
        <v>7.0395465447441543E-4</v>
      </c>
      <c r="AC154" s="101">
        <v>4.3758307785246586E-4</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42326</v>
      </c>
      <c r="AA155" s="117">
        <f>_xll.qlCalendarAdvance(Calendar,Z155,NDays&amp;"D")</f>
        <v>42328</v>
      </c>
      <c r="AB155" s="92">
        <v>7.052512830881245E-4</v>
      </c>
      <c r="AC155" s="101">
        <v>4.4299721611018583E-4</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42327</v>
      </c>
      <c r="AA156" s="117">
        <f>_xll.qlCalendarAdvance(Calendar,Z156,NDays&amp;"D")</f>
        <v>42331</v>
      </c>
      <c r="AB156" s="92">
        <v>7.0910462915892169E-4</v>
      </c>
      <c r="AC156" s="101">
        <v>4.4923042310074379E-4</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42328</v>
      </c>
      <c r="AA157" s="117">
        <f>_xll.qlCalendarAdvance(Calendar,Z157,NDays&amp;"D")</f>
        <v>42332</v>
      </c>
      <c r="AB157" s="92">
        <v>7.1038371348045796E-4</v>
      </c>
      <c r="AC157" s="101">
        <v>4.5276713858122264E-4</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42331</v>
      </c>
      <c r="AA158" s="117">
        <f>_xll.qlCalendarAdvance(Calendar,Z158,NDays&amp;"D")</f>
        <v>42333</v>
      </c>
      <c r="AB158" s="92">
        <v>7.116635587919466E-4</v>
      </c>
      <c r="AC158" s="101">
        <v>4.565616134755146E-4</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42332</v>
      </c>
      <c r="AA159" s="117">
        <f>_xll.qlCalendarAdvance(Calendar,Z159,NDays&amp;"D")</f>
        <v>42334</v>
      </c>
      <c r="AB159" s="92">
        <v>7.129462522387891E-4</v>
      </c>
      <c r="AC159" s="101">
        <v>4.6061775186068132E-4</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42333</v>
      </c>
      <c r="AA160" s="117">
        <f>_xll.qlCalendarAdvance(Calendar,Z160,NDays&amp;"D")</f>
        <v>42335</v>
      </c>
      <c r="AB160" s="92">
        <v>7.142338951234144E-4</v>
      </c>
      <c r="AC160" s="101">
        <v>4.6962237211012337E-4</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42334</v>
      </c>
      <c r="AA161" s="117">
        <f>_xll.qlCalendarAdvance(Calendar,Z161,NDays&amp;"D")</f>
        <v>42338</v>
      </c>
      <c r="AB161" s="92">
        <v>7.1816629122846312E-4</v>
      </c>
      <c r="AC161" s="101">
        <v>4.1155785851287874E-3</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42335</v>
      </c>
      <c r="AA162" s="117">
        <f>_xll.qlCalendarAdvance(Calendar,Z162,NDays&amp;"D")</f>
        <v>42339</v>
      </c>
      <c r="AB162" s="92">
        <v>6.9965687676612996E-4</v>
      </c>
      <c r="AC162" s="101">
        <v>4.8496003205222848E-4</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42338</v>
      </c>
      <c r="AA163" s="117">
        <f>_xll.qlCalendarAdvance(Calendar,Z163,NDays&amp;"D")</f>
        <v>42340</v>
      </c>
      <c r="AB163" s="92">
        <v>7.01042883581459E-4</v>
      </c>
      <c r="AC163" s="101">
        <v>4.9066813332387937E-4</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42339</v>
      </c>
      <c r="AA164" s="117">
        <f>_xll.qlCalendarAdvance(Calendar,Z164,NDays&amp;"D")</f>
        <v>42341</v>
      </c>
      <c r="AB164" s="92">
        <v>7.0245041546005001E-4</v>
      </c>
      <c r="AC164" s="101">
        <v>4.9666522550673164E-4</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42340</v>
      </c>
      <c r="AA165" s="117">
        <f>_xll.qlCalendarAdvance(Calendar,Z165,NDays&amp;"D")</f>
        <v>42342</v>
      </c>
      <c r="AB165" s="92">
        <v>7.0465805255086073E-4</v>
      </c>
      <c r="AC165" s="101">
        <v>5.0964295386535241E-4</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42341</v>
      </c>
      <c r="AA166" s="117">
        <f>_xll.qlCalendarAdvance(Calendar,Z166,NDays&amp;"D")</f>
        <v>42345</v>
      </c>
      <c r="AB166" s="92">
        <v>7.0834048103718232E-4</v>
      </c>
      <c r="AC166" s="101">
        <v>5.236215816939449E-4</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42342</v>
      </c>
      <c r="AA167" s="117">
        <f>_xll.qlCalendarAdvance(Calendar,Z167,NDays&amp;"D")</f>
        <v>42346</v>
      </c>
      <c r="AB167" s="92">
        <v>7.0988927704185301E-4</v>
      </c>
      <c r="AC167" s="101">
        <v>5.3112218727058291E-4</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42345</v>
      </c>
      <c r="AA168" s="117">
        <f>_xll.qlCalendarAdvance(Calendar,Z168,NDays&amp;"D")</f>
        <v>42347</v>
      </c>
      <c r="AB168" s="92">
        <v>7.1147315222542975E-4</v>
      </c>
      <c r="AC168" s="101">
        <v>5.3893520742143153E-4</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42346</v>
      </c>
      <c r="AA169" s="117">
        <f>_xll.qlCalendarAdvance(Calendar,Z169,NDays&amp;"D")</f>
        <v>42348</v>
      </c>
      <c r="AB169" s="92">
        <v>7.130944149058208E-4</v>
      </c>
      <c r="AC169" s="101">
        <v>5.4706454598374421E-4</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42347</v>
      </c>
      <c r="AA170" s="117">
        <f>_xll.qlCalendarAdvance(Calendar,Z170,NDays&amp;"D")</f>
        <v>42349</v>
      </c>
      <c r="AB170" s="92">
        <v>7.1649663295701011E-4</v>
      </c>
      <c r="AC170" s="101">
        <v>5.6439802226471159E-4</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42348</v>
      </c>
      <c r="AA171" s="117">
        <f>_xll.qlCalendarAdvance(Calendar,Z171,NDays&amp;"D")</f>
        <v>42352</v>
      </c>
      <c r="AB171" s="92">
        <v>7.1999999997309188E-4</v>
      </c>
      <c r="AC171" s="101">
        <v>5.8282316317104232E-4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42349</v>
      </c>
      <c r="AA172" s="117">
        <f>_xll.qlCalendarAdvance(Calendar,Z172,NDays&amp;"D")</f>
        <v>42353</v>
      </c>
      <c r="AB172" s="92">
        <v>7.2184182205766595E-4</v>
      </c>
      <c r="AC172" s="101">
        <v>5.9386126864069411E-4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42352</v>
      </c>
      <c r="AA173" s="117">
        <f>_xll.qlCalendarAdvance(Calendar,Z173,NDays&amp;"D")</f>
        <v>42354</v>
      </c>
      <c r="AB173" s="92">
        <v>7.23719237153183E-4</v>
      </c>
      <c r="AC173" s="101">
        <v>6.0580699464907184E-4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42353</v>
      </c>
      <c r="AA174" s="117">
        <f>_xll.qlCalendarAdvance(Calendar,Z174,NDays&amp;"D")</f>
        <v>42355</v>
      </c>
      <c r="AB174" s="92">
        <v>7.2562245979496402E-4</v>
      </c>
      <c r="AC174" s="101">
        <v>6.1703024218040525E-4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42354</v>
      </c>
      <c r="AA175" s="117">
        <f>_xll.qlCalendarAdvance(Calendar,Z175,NDays&amp;"D")</f>
        <v>42356</v>
      </c>
      <c r="AB175" s="92">
        <v>7.3040906448426125E-4</v>
      </c>
      <c r="AC175" s="101">
        <v>6.3698899794850661E-4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42355</v>
      </c>
      <c r="AA176" s="117">
        <f>_xll.qlCalendarAdvance(Calendar,Z176,NDays&amp;"D")</f>
        <v>42359</v>
      </c>
      <c r="AB176" s="92">
        <v>7.3347533862129846E-4</v>
      </c>
      <c r="AC176" s="101">
        <v>6.5437602856377453E-4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42356</v>
      </c>
      <c r="AA177" s="117">
        <f>_xll.qlCalendarAdvance(Calendar,Z177,NDays&amp;"D")</f>
        <v>42360</v>
      </c>
      <c r="AB177" s="92">
        <v>7.3549432527609984E-4</v>
      </c>
      <c r="AC177" s="101">
        <v>6.6174506954119749E-4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42359</v>
      </c>
      <c r="AA178" s="117">
        <f>_xll.qlCalendarAdvance(Calendar,Z178,NDays&amp;"D")</f>
        <v>42361</v>
      </c>
      <c r="AB178" s="92">
        <v>7.3753404333831165E-4</v>
      </c>
      <c r="AC178" s="101">
        <v>6.6829490629416455E-4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42360</v>
      </c>
      <c r="AA179" s="117">
        <f>_xll.qlCalendarAdvance(Calendar,Z179,NDays&amp;"D")</f>
        <v>42362</v>
      </c>
      <c r="AB179" s="92">
        <v>7.395937634591121E-4</v>
      </c>
      <c r="AC179" s="101">
        <v>6.8043434858555685E-4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42361</v>
      </c>
      <c r="AA180" s="117">
        <f>_xll.qlCalendarAdvance(Calendar,Z180,NDays&amp;"D")</f>
        <v>42366</v>
      </c>
      <c r="AB180" s="92">
        <v>7.4801924433340924E-4</v>
      </c>
      <c r="AC180" s="101">
        <v>6.8819179579016065E-4</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42362</v>
      </c>
      <c r="AA181" s="117">
        <f>_xll.qlCalendarAdvance(Calendar,Z181,NDays&amp;"D")</f>
        <v>42367</v>
      </c>
      <c r="AB181" s="92">
        <v>7.5016920128991829E-4</v>
      </c>
      <c r="AC181" s="101">
        <v>6.8948786839939658E-4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42366</v>
      </c>
      <c r="AA182" s="117">
        <f>_xll.qlCalendarAdvance(Calendar,Z182,NDays&amp;"D")</f>
        <v>42368</v>
      </c>
      <c r="AB182" s="92">
        <v>7.5233548427548053E-4</v>
      </c>
      <c r="AC182" s="101">
        <v>6.8985189049186602E-4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42367</v>
      </c>
      <c r="AA183" s="117">
        <f>_xll.qlCalendarAdvance(Calendar,Z183,NDays&amp;"D")</f>
        <v>42369</v>
      </c>
      <c r="AB183" s="92">
        <v>7.526773584025355E-4</v>
      </c>
      <c r="AC183" s="101">
        <v>1.3789732139968258E-3</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42368</v>
      </c>
      <c r="AA184" s="117">
        <f>_xll.qlCalendarAdvance(Calendar,Z184,NDays&amp;"D")</f>
        <v>42373</v>
      </c>
      <c r="AB184" s="92">
        <v>7.4635313607429349E-4</v>
      </c>
      <c r="AC184" s="101">
        <v>6.7712701214084348E-4</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42369</v>
      </c>
      <c r="AA185" s="117">
        <f>_xll.qlCalendarAdvance(Calendar,Z185,NDays&amp;"D")</f>
        <v>42374</v>
      </c>
      <c r="AB185" s="92">
        <v>7.4863151206502247E-4</v>
      </c>
      <c r="AC185" s="101">
        <v>6.7156019257552657E-4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42373</v>
      </c>
      <c r="AA186" s="117">
        <f>_xll.qlCalendarAdvance(Calendar,Z186,NDays&amp;"D")</f>
        <v>42375</v>
      </c>
      <c r="AB186" s="92">
        <v>7.5092946894826337E-4</v>
      </c>
      <c r="AC186" s="101">
        <v>6.6494847652087685E-4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42374</v>
      </c>
      <c r="AA187" s="117">
        <f>_xll.qlCalendarAdvance(Calendar,Z187,NDays&amp;"D")</f>
        <v>42376</v>
      </c>
      <c r="AB187" s="92">
        <v>7.5324679776061999E-4</v>
      </c>
      <c r="AC187" s="101">
        <v>6.5727574303231506E-4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42375</v>
      </c>
      <c r="AA188" s="117">
        <f>_xll.qlCalendarAdvance(Calendar,Z188,NDays&amp;"D")</f>
        <v>42377</v>
      </c>
      <c r="AB188" s="92">
        <v>7.5558332305869632E-4</v>
      </c>
      <c r="AC188" s="101">
        <v>6.3831407898007342E-4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42376</v>
      </c>
      <c r="AA189" s="117">
        <f>_xll.qlCalendarAdvance(Calendar,Z189,NDays&amp;"D")</f>
        <v>42380</v>
      </c>
      <c r="AB189" s="92">
        <v>7.6270682626797964E-4</v>
      </c>
      <c r="AC189" s="101">
        <v>6.1565221888493227E-4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42377</v>
      </c>
      <c r="AA190" s="117">
        <f>_xll.qlCalendarAdvance(Calendar,Z190,NDays&amp;"D")</f>
        <v>42381</v>
      </c>
      <c r="AB190" s="92">
        <v>7.651190535166981E-4</v>
      </c>
      <c r="AC190" s="101">
        <v>6.0243258637626695E-4</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42380</v>
      </c>
      <c r="AA191" s="117">
        <f>_xll.qlCalendarAdvance(Calendar,Z191,NDays&amp;"D")</f>
        <v>42382</v>
      </c>
      <c r="AB191" s="92">
        <v>7.6755010286402164E-4</v>
      </c>
      <c r="AC191" s="101">
        <v>5.8805521172544672E-4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42381</v>
      </c>
      <c r="AA192" s="117">
        <f>_xll.qlCalendarAdvance(Calendar,Z192,NDays&amp;"D")</f>
        <v>42383</v>
      </c>
      <c r="AB192" s="92">
        <v>7.6999999999972999E-4</v>
      </c>
      <c r="AC192" s="101">
        <v>5.7908573800169449E-4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42382</v>
      </c>
      <c r="AA193" s="117">
        <f>_xll.qlCalendarAdvance(Calendar,Z193,NDays&amp;"D")</f>
        <v>42384</v>
      </c>
      <c r="AB193" s="92">
        <v>7.7243407814756059E-4</v>
      </c>
      <c r="AC193" s="101">
        <v>5.7378657300155567E-4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42383</v>
      </c>
      <c r="AA194" s="117">
        <f>_xll.qlCalendarAdvance(Calendar,Z194,NDays&amp;"D")</f>
        <v>42387</v>
      </c>
      <c r="AB194" s="92">
        <v>7.7944726374070295E-4</v>
      </c>
      <c r="AC194" s="101">
        <v>5.6882384338763359E-4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42384</v>
      </c>
      <c r="AA195" s="117">
        <f>_xll.qlCalendarAdvance(Calendar,Z195,NDays&amp;"D")</f>
        <v>42388</v>
      </c>
      <c r="AB195" s="92">
        <v>7.8169456412868158E-4</v>
      </c>
      <c r="AC195" s="101">
        <v>5.6651756022318978E-4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42387</v>
      </c>
      <c r="AA196" s="117">
        <f>_xll.qlCalendarAdvance(Calendar,Z196,NDays&amp;"D")</f>
        <v>42389</v>
      </c>
      <c r="AB196" s="92">
        <v>7.8389964679679072E-4</v>
      </c>
      <c r="AC196" s="101">
        <v>5.6431934693179642E-4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42388</v>
      </c>
      <c r="AA197" s="117">
        <f>_xll.qlCalendarAdvance(Calendar,Z197,NDays&amp;"D")</f>
        <v>42390</v>
      </c>
      <c r="AB197" s="92">
        <v>7.8606433092719803E-4</v>
      </c>
      <c r="AC197" s="101">
        <v>5.6223140023625717E-4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42389</v>
      </c>
      <c r="AA198" s="117">
        <f>_xll.qlCalendarAdvance(Calendar,Z198,NDays&amp;"D")</f>
        <v>42391</v>
      </c>
      <c r="AB198" s="92">
        <v>7.8819044994562224E-4</v>
      </c>
      <c r="AC198" s="101">
        <v>5.5843491295171077E-4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42390</v>
      </c>
      <c r="AA199" s="117">
        <f>_xll.qlCalendarAdvance(Calendar,Z199,NDays&amp;"D")</f>
        <v>42394</v>
      </c>
      <c r="AB199" s="92">
        <v>7.9435596427151979E-4</v>
      </c>
      <c r="AC199" s="101">
        <v>5.5502621698622079E-4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42391</v>
      </c>
      <c r="AA200" s="117">
        <f>_xll.qlCalendarAdvance(Calendar,Z200,NDays&amp;"D")</f>
        <v>42395</v>
      </c>
      <c r="AB200" s="92">
        <v>7.9634644200887977E-4</v>
      </c>
      <c r="AC200" s="101">
        <v>5.5352255611040846E-4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42394</v>
      </c>
      <c r="AA201" s="117">
        <f>_xll.qlCalendarAdvance(Calendar,Z201,NDays&amp;"D")</f>
        <v>42396</v>
      </c>
      <c r="AB201" s="92">
        <v>7.9830773544203567E-4</v>
      </c>
      <c r="AC201" s="101">
        <v>5.5214234296663278E-4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42395</v>
      </c>
      <c r="AA202" s="117">
        <f>_xll.qlCalendarAdvance(Calendar,Z202,NDays&amp;"D")</f>
        <v>42397</v>
      </c>
      <c r="AB202" s="92">
        <v>8.0024176346460299E-4</v>
      </c>
      <c r="AC202" s="101">
        <v>5.5088777419776136E-4</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42396</v>
      </c>
      <c r="AA203" s="117">
        <f>_xll.qlCalendarAdvance(Calendar,Z203,NDays&amp;"D")</f>
        <v>42398</v>
      </c>
      <c r="AB203" s="92">
        <v>8.0215045921550531E-4</v>
      </c>
      <c r="AC203" s="101">
        <v>1.3168177000277836E-3</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42397</v>
      </c>
      <c r="AA204" s="117">
        <f>_xll.qlCalendarAdvance(Calendar,Z204,NDays&amp;"D")</f>
        <v>42401</v>
      </c>
      <c r="AB204" s="92">
        <v>7.9507958765954328E-4</v>
      </c>
      <c r="AC204" s="101">
        <v>5.4716988052483373E-4</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42398</v>
      </c>
      <c r="AA205" s="117">
        <f>_xll.qlCalendarAdvance(Calendar,Z205,NDays&amp;"D")</f>
        <v>42402</v>
      </c>
      <c r="AB205" s="92">
        <v>7.9690655889054702E-4</v>
      </c>
      <c r="AC205" s="101">
        <v>5.4657648655087598E-4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42401</v>
      </c>
      <c r="AA206" s="117">
        <f>_xll.qlCalendarAdvance(Calendar,Z206,NDays&amp;"D")</f>
        <v>42403</v>
      </c>
      <c r="AB206" s="92">
        <v>7.9871807729440093E-4</v>
      </c>
      <c r="AC206" s="101">
        <v>5.4612191808800503E-4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42402</v>
      </c>
      <c r="AA207" s="117">
        <f>_xll.qlCalendarAdvance(Calendar,Z207,NDays&amp;"D")</f>
        <v>42404</v>
      </c>
      <c r="AB207" s="92">
        <v>8.0051616145816089E-4</v>
      </c>
      <c r="AC207" s="101">
        <v>5.4580837177908847E-4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42403</v>
      </c>
      <c r="AA208" s="117">
        <f>_xll.qlCalendarAdvance(Calendar,Z208,NDays&amp;"D")</f>
        <v>42405</v>
      </c>
      <c r="AB208" s="92">
        <v>8.0230284420979871E-4</v>
      </c>
      <c r="AC208" s="101">
        <v>5.456631648392829E-4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42404</v>
      </c>
      <c r="AA209" s="117">
        <f>_xll.qlCalendarAdvance(Calendar,Z209,NDays&amp;"D")</f>
        <v>42408</v>
      </c>
      <c r="AB209" s="92">
        <v>8.0761502592365181E-4</v>
      </c>
      <c r="AC209" s="101">
        <v>5.4600834621609806E-4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42405</v>
      </c>
      <c r="AA210" s="117">
        <f>_xll.qlCalendarAdvance(Calendar,Z210,NDays&amp;"D")</f>
        <v>42409</v>
      </c>
      <c r="AB210" s="92">
        <v>8.0937671617139898E-4</v>
      </c>
      <c r="AC210" s="101">
        <v>5.4643286383715406E-4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42408</v>
      </c>
      <c r="AA211" s="117">
        <f>_xll.qlCalendarAdvance(Calendar,Z211,NDays&amp;"D")</f>
        <v>42410</v>
      </c>
      <c r="AB211" s="92">
        <v>8.1113738279268792E-4</v>
      </c>
      <c r="AC211" s="101">
        <v>5.4701158458847488E-4</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42409</v>
      </c>
      <c r="AA212" s="117">
        <f>_xll.qlCalendarAdvance(Calendar,Z212,NDays&amp;"D")</f>
        <v>42411</v>
      </c>
      <c r="AB212" s="92">
        <v>8.1289914407372426E-4</v>
      </c>
      <c r="AC212" s="101">
        <v>5.4774670559254446E-4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42410</v>
      </c>
      <c r="AA213" s="117">
        <f>_xll.qlCalendarAdvance(Calendar,Z213,NDays&amp;"D")</f>
        <v>42412</v>
      </c>
      <c r="AB213" s="92">
        <v>8.1466413254163011E-4</v>
      </c>
      <c r="AC213" s="101">
        <v>5.4975010466584706E-4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42411</v>
      </c>
      <c r="AA214" s="117">
        <f>_xll.qlCalendarAdvance(Calendar,Z214,NDays&amp;"D")</f>
        <v>42415</v>
      </c>
      <c r="AB214" s="92">
        <v>8.19999999999838E-4</v>
      </c>
      <c r="AC214" s="101">
        <v>5.5402704168372452E-4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42412</v>
      </c>
      <c r="AA215" s="117">
        <f>_xll.qlCalendarAdvance(Calendar,Z215,NDays&amp;"D")</f>
        <v>42416</v>
      </c>
      <c r="AB215" s="92">
        <v>8.2178983116355634E-4</v>
      </c>
      <c r="AC215" s="101">
        <v>5.5900063242297904E-4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42415</v>
      </c>
      <c r="AA216" s="117">
        <f>_xll.qlCalendarAdvance(Calendar,Z216,NDays&amp;"D")</f>
        <v>42417</v>
      </c>
      <c r="AB216" s="92">
        <v>8.2357400726711821E-4</v>
      </c>
      <c r="AC216" s="101">
        <v>5.6408228240378833E-4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42416</v>
      </c>
      <c r="AA217" s="117">
        <f>_xll.qlCalendarAdvance(Calendar,Z217,NDays&amp;"D")</f>
        <v>42418</v>
      </c>
      <c r="AB217" s="92">
        <v>8.2535413676279622E-4</v>
      </c>
      <c r="AC217" s="101">
        <v>5.6927278555107819E-4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42417</v>
      </c>
      <c r="AA218" s="117">
        <f>_xll.qlCalendarAdvance(Calendar,Z218,NDays&amp;"D")</f>
        <v>42419</v>
      </c>
      <c r="AB218" s="92">
        <v>8.2713184190237371E-4</v>
      </c>
      <c r="AC218" s="101">
        <v>5.8002154053049537E-4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42418</v>
      </c>
      <c r="AA219" s="117">
        <f>_xll.qlCalendarAdvance(Calendar,Z219,NDays&amp;"D")</f>
        <v>42422</v>
      </c>
      <c r="AB219" s="92">
        <v>8.3246684071081414E-4</v>
      </c>
      <c r="AC219" s="101">
        <v>5.9113921046183293E-4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42419</v>
      </c>
      <c r="AA220" s="117">
        <f>_xll.qlCalendarAdvance(Calendar,Z220,NDays&amp;"D")</f>
        <v>42423</v>
      </c>
      <c r="AB220" s="92">
        <v>8.3425134695556524E-4</v>
      </c>
      <c r="AC220" s="101">
        <v>5.9688588943451748E-4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42422</v>
      </c>
      <c r="AA221" s="117">
        <f>_xll.qlCalendarAdvance(Calendar,Z221,NDays&amp;"D")</f>
        <v>42424</v>
      </c>
      <c r="AB221" s="92">
        <v>8.3604174711380532E-4</v>
      </c>
      <c r="AC221" s="101">
        <v>6.0274618576272587E-4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42423</v>
      </c>
      <c r="AA222" s="117">
        <f>_xll.qlCalendarAdvance(Calendar,Z222,NDays&amp;"D")</f>
        <v>42425</v>
      </c>
      <c r="AB222" s="92">
        <v>8.3783974624053296E-4</v>
      </c>
      <c r="AC222" s="101">
        <v>6.0872089297170362E-4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42424</v>
      </c>
      <c r="AA223" s="117">
        <f>_xll.qlCalendarAdvance(Calendar,Z223,NDays&amp;"D")</f>
        <v>42426</v>
      </c>
      <c r="AB223" s="92">
        <v>8.3964706319377086E-4</v>
      </c>
      <c r="AC223" s="101">
        <v>6.2105671919887584E-4</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42425</v>
      </c>
      <c r="AA224" s="117">
        <f>_xll.qlCalendarAdvance(Calendar,Z224,NDays&amp;"D")</f>
        <v>42429</v>
      </c>
      <c r="AB224" s="92">
        <v>8.4658506832204969E-4</v>
      </c>
      <c r="AC224" s="101">
        <v>1.8577860292534609E-3</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42426</v>
      </c>
      <c r="AA225" s="117">
        <f>_xll.qlCalendarAdvance(Calendar,Z225,NDays&amp;"D")</f>
        <v>42430</v>
      </c>
      <c r="AB225" s="92">
        <v>8.4188142433296584E-4</v>
      </c>
      <c r="AC225" s="101">
        <v>6.4033838519605979E-4</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42429</v>
      </c>
      <c r="AA226" s="117">
        <f>_xll.qlCalendarAdvance(Calendar,Z226,NDays&amp;"D")</f>
        <v>42431</v>
      </c>
      <c r="AB226" s="92">
        <v>8.4385563305381436E-4</v>
      </c>
      <c r="AC226" s="101">
        <v>6.4701623259111329E-4</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42430</v>
      </c>
      <c r="AA227" s="117">
        <f>_xll.qlCalendarAdvance(Calendar,Z227,NDays&amp;"D")</f>
        <v>42432</v>
      </c>
      <c r="AB227" s="92">
        <v>8.4786477425817291E-4</v>
      </c>
      <c r="AC227" s="101">
        <v>6.5381404906084128E-4</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42431</v>
      </c>
      <c r="AA228" s="117">
        <f>_xll.qlCalendarAdvance(Calendar,Z228,NDays&amp;"D")</f>
        <v>42433</v>
      </c>
      <c r="AB228" s="92">
        <v>8.4891215534527024E-4</v>
      </c>
      <c r="AC228" s="101">
        <v>6.6781478701649633E-4</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42432</v>
      </c>
      <c r="AA229" s="117">
        <f>_xll.qlCalendarAdvance(Calendar,Z229,NDays&amp;"D")</f>
        <v>42436</v>
      </c>
      <c r="AB229" s="92">
        <v>8.5413279168401334E-4</v>
      </c>
      <c r="AC229" s="101">
        <v>6.8222088378533385E-4</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42433</v>
      </c>
      <c r="AA230" s="117">
        <f>_xll.qlCalendarAdvance(Calendar,Z230,NDays&amp;"D")</f>
        <v>42437</v>
      </c>
      <c r="AB230" s="92">
        <v>8.5628245935353642E-4</v>
      </c>
      <c r="AC230" s="101">
        <v>6.8963045466219342E-4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42436</v>
      </c>
      <c r="AA231" s="117">
        <f>_xll.qlCalendarAdvance(Calendar,Z231,NDays&amp;"D")</f>
        <v>42438</v>
      </c>
      <c r="AB231" s="92">
        <v>8.5846794037013009E-4</v>
      </c>
      <c r="AC231" s="101">
        <v>6.9716475840309045E-4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42437</v>
      </c>
      <c r="AA232" s="117">
        <f>_xll.qlCalendarAdvance(Calendar,Z232,NDays&amp;"D")</f>
        <v>42439</v>
      </c>
      <c r="AB232" s="92">
        <v>8.6357861111914015E-4</v>
      </c>
      <c r="AC232" s="101">
        <v>7.0482458893295075E-4</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42438</v>
      </c>
      <c r="AA233" s="117">
        <f>_xll.qlCalendarAdvance(Calendar,Z233,NDays&amp;"D")</f>
        <v>42440</v>
      </c>
      <c r="AB233" s="92">
        <v>8.6443504853795121E-4</v>
      </c>
      <c r="AC233" s="101">
        <v>7.2056808490650326E-4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42439</v>
      </c>
      <c r="AA234" s="117">
        <f>_xll.qlCalendarAdvance(Calendar,Z234,NDays&amp;"D")</f>
        <v>42443</v>
      </c>
      <c r="AB234" s="92">
        <v>8.6999999999996509E-4</v>
      </c>
      <c r="AC234" s="101">
        <v>7.3665393633071119E-4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42440</v>
      </c>
      <c r="AA235" s="117">
        <f>_xll.qlCalendarAdvance(Calendar,Z235,NDays&amp;"D")</f>
        <v>42444</v>
      </c>
      <c r="AB235" s="92">
        <v>8.7244024738195405E-4</v>
      </c>
      <c r="AC235" s="101">
        <v>7.4446445328391064E-4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42443</v>
      </c>
      <c r="AA236" s="117">
        <f>_xll.qlCalendarAdvance(Calendar,Z236,NDays&amp;"D")</f>
        <v>42445</v>
      </c>
      <c r="AB236" s="92">
        <v>8.7492531672747501E-4</v>
      </c>
      <c r="AC236" s="101">
        <v>7.5191057124612826E-4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42444</v>
      </c>
      <c r="AA237" s="117">
        <f>_xll.qlCalendarAdvance(Calendar,Z237,NDays&amp;"D")</f>
        <v>42446</v>
      </c>
      <c r="AB237" s="92">
        <v>8.8133284080684686E-4</v>
      </c>
      <c r="AC237" s="101">
        <v>7.5898672147189927E-4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42445</v>
      </c>
      <c r="AA238" s="117">
        <f>_xll.qlCalendarAdvance(Calendar,Z238,NDays&amp;"D")</f>
        <v>42447</v>
      </c>
      <c r="AB238" s="92">
        <v>8.8199231168053691E-4</v>
      </c>
      <c r="AC238" s="101">
        <v>7.718796081501722E-4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42446</v>
      </c>
      <c r="AA239" s="117">
        <f>_xll.qlCalendarAdvance(Calendar,Z239,NDays&amp;"D")</f>
        <v>42450</v>
      </c>
      <c r="AB239" s="92">
        <v>8.8792853787122506E-4</v>
      </c>
      <c r="AC239" s="101">
        <v>7.8348027313879243E-4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42447</v>
      </c>
      <c r="AA240" s="117">
        <f>_xll.qlCalendarAdvance(Calendar,Z240,NDays&amp;"D")</f>
        <v>42451</v>
      </c>
      <c r="AB240" s="92">
        <v>8.906257055530315E-4</v>
      </c>
      <c r="AC240" s="101">
        <v>7.8862305557869661E-4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42450</v>
      </c>
      <c r="AA241" s="117">
        <f>_xll.qlCalendarAdvance(Calendar,Z241,NDays&amp;"D")</f>
        <v>42452</v>
      </c>
      <c r="AB241" s="92">
        <v>8.9334864376533008E-4</v>
      </c>
      <c r="AC241" s="101">
        <v>7.9336245876859834E-4</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42451</v>
      </c>
      <c r="AA242" s="117">
        <f>_xll.qlCalendarAdvance(Calendar,Z242,NDays&amp;"D")</f>
        <v>42453</v>
      </c>
      <c r="AB242" s="92">
        <v>9.0055161764907195E-4</v>
      </c>
      <c r="AC242" s="101">
        <v>8.0468264913768905E-4</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42452</v>
      </c>
      <c r="AA243" s="117">
        <f>_xll.qlCalendarAdvance(Calendar,Z243,NDays&amp;"D")</f>
        <v>42458</v>
      </c>
      <c r="AB243" s="92">
        <v>9.1007167337945878E-4</v>
      </c>
      <c r="AC243" s="101">
        <v>8.1301606822847816E-4</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42453</v>
      </c>
      <c r="AA244" s="117">
        <f>_xll.qlCalendarAdvance(Calendar,Z244,NDays&amp;"D")</f>
        <v>42459</v>
      </c>
      <c r="AB244" s="92">
        <v>9.1289687420708959E-4</v>
      </c>
      <c r="AC244" s="101">
        <v>8.1477589459311162E-4</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42458</v>
      </c>
      <c r="AA245" s="117">
        <f>_xll.qlCalendarAdvance(Calendar,Z245,NDays&amp;"D")</f>
        <v>42460</v>
      </c>
      <c r="AB245" s="92">
        <v>9.1343098708578303E-4</v>
      </c>
      <c r="AC245" s="101">
        <v>1.2480892903976581E-3</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42459</v>
      </c>
      <c r="AA246" s="117">
        <f>_xll.qlCalendarAdvance(Calendar,Z246,NDays&amp;"D")</f>
        <v>42461</v>
      </c>
      <c r="AB246" s="92">
        <v>9.1848221502508615E-4</v>
      </c>
      <c r="AC246" s="101">
        <v>8.1719250681011602E-4</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42460</v>
      </c>
      <c r="AA247" s="117">
        <f>_xll.qlCalendarAdvance(Calendar,Z247,NDays&amp;"D")</f>
        <v>42464</v>
      </c>
      <c r="AB247" s="92">
        <v>9.2242253431671034E-4</v>
      </c>
      <c r="AC247" s="101">
        <v>8.1674473080717291E-4</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42461</v>
      </c>
      <c r="AA248" s="117">
        <f>_xll.qlCalendarAdvance(Calendar,Z248,NDays&amp;"D")</f>
        <v>42465</v>
      </c>
      <c r="AB248" s="92">
        <v>9.2525386746977745E-4</v>
      </c>
      <c r="AC248" s="101">
        <v>8.157334587011178E-4</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42464</v>
      </c>
      <c r="AA249" s="117">
        <f>_xll.qlCalendarAdvance(Calendar,Z249,NDays&amp;"D")</f>
        <v>42466</v>
      </c>
      <c r="AB249" s="92">
        <v>9.2807664039534505E-4</v>
      </c>
      <c r="AC249" s="101">
        <v>8.1424084674708297E-4</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42465</v>
      </c>
      <c r="AA250" s="117">
        <f>_xll.qlCalendarAdvance(Calendar,Z250,NDays&amp;"D")</f>
        <v>42467</v>
      </c>
      <c r="AB250" s="92">
        <v>9.3088795113321096E-4</v>
      </c>
      <c r="AC250" s="101">
        <v>8.1226132643941185E-4</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42466</v>
      </c>
      <c r="AA251" s="117">
        <f>_xll.qlCalendarAdvance(Calendar,Z251,NDays&amp;"D")</f>
        <v>42468</v>
      </c>
      <c r="AB251" s="92">
        <v>9.3781275247344434E-4</v>
      </c>
      <c r="AC251" s="101">
        <v>8.0665322221840086E-4</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42467</v>
      </c>
      <c r="AA252" s="117">
        <f>_xll.qlCalendarAdvance(Calendar,Z252,NDays&amp;"D")</f>
        <v>42471</v>
      </c>
      <c r="AB252" s="92">
        <v>9.4196012960127452E-4</v>
      </c>
      <c r="AC252" s="101">
        <v>7.9936278924108706E-4</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42468</v>
      </c>
      <c r="AA253" s="117">
        <f>_xll.qlCalendarAdvance(Calendar,Z253,NDays&amp;"D")</f>
        <v>42472</v>
      </c>
      <c r="AB253" s="92">
        <v>9.4467019659875452E-4</v>
      </c>
      <c r="AC253" s="101">
        <v>7.9486519806160061E-4</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42471</v>
      </c>
      <c r="AA254" s="117">
        <f>_xll.qlCalendarAdvance(Calendar,Z254,NDays&amp;"D")</f>
        <v>42473</v>
      </c>
      <c r="AB254" s="92">
        <v>9.4735114761054654E-4</v>
      </c>
      <c r="AC254" s="101">
        <v>7.8984728701492202E-4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42472</v>
      </c>
      <c r="AA255" s="117">
        <f>_xll.qlCalendarAdvance(Calendar,Z255,NDays&amp;"D")</f>
        <v>42474</v>
      </c>
      <c r="AB255" s="92">
        <v>9.4999999999999913E-4</v>
      </c>
      <c r="AC255" s="101">
        <v>7.8440932573364819E-4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42473</v>
      </c>
      <c r="AA256" s="117">
        <f>_xll.qlCalendarAdvance(Calendar,Z256,NDays&amp;"D")</f>
        <v>42475</v>
      </c>
      <c r="AB256" s="92">
        <v>9.5579025716440087E-4</v>
      </c>
      <c r="AC256" s="101">
        <v>7.7367945210404798E-4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42474</v>
      </c>
      <c r="AA257" s="117">
        <f>_xll.qlCalendarAdvance(Calendar,Z257,NDays&amp;"D")</f>
        <v>42478</v>
      </c>
      <c r="AB257" s="92">
        <v>9.6027066807601697E-4</v>
      </c>
      <c r="AC257" s="101">
        <v>7.6331090376413613E-4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42475</v>
      </c>
      <c r="AA258" s="117">
        <f>_xll.qlCalendarAdvance(Calendar,Z258,NDays&amp;"D")</f>
        <v>42479</v>
      </c>
      <c r="AB258" s="92">
        <v>9.6276768147512688E-4</v>
      </c>
      <c r="AC258" s="101">
        <v>7.5831470854659244E-4</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42478</v>
      </c>
      <c r="AA259" s="117">
        <f>_xll.qlCalendarAdvance(Calendar,Z259,NDays&amp;"D")</f>
        <v>42480</v>
      </c>
      <c r="AB259" s="92">
        <v>9.6524104642884908E-4</v>
      </c>
      <c r="AC259" s="101">
        <v>7.5343381493730988E-4</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42479</v>
      </c>
      <c r="AA260" s="117">
        <f>_xll.qlCalendarAdvance(Calendar,Z260,NDays&amp;"D")</f>
        <v>42481</v>
      </c>
      <c r="AB260" s="92">
        <v>9.6769309473139476E-4</v>
      </c>
      <c r="AC260" s="101">
        <v>7.4867019216107167E-4</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42480</v>
      </c>
      <c r="AA261" s="117">
        <f>_xll.qlCalendarAdvance(Calendar,Z261,NDays&amp;"D")</f>
        <v>42482</v>
      </c>
      <c r="AB261" s="92">
        <v>9.7242798502144981E-4</v>
      </c>
      <c r="AC261" s="101">
        <v>7.3954521194963263E-4</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42481</v>
      </c>
      <c r="AA262" s="117">
        <f>_xll.qlCalendarAdvance(Calendar,Z262,NDays&amp;"D")</f>
        <v>42485</v>
      </c>
      <c r="AB262" s="92">
        <v>9.7733526313936551E-4</v>
      </c>
      <c r="AC262" s="101">
        <v>7.3082778389021996E-4</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42482</v>
      </c>
      <c r="AA263" s="117">
        <f>_xll.qlCalendarAdvance(Calendar,Z263,NDays&amp;"D")</f>
        <v>42486</v>
      </c>
      <c r="AB263" s="92">
        <v>9.7971621092758253E-4</v>
      </c>
      <c r="AC263" s="101">
        <v>7.2668004701625932E-4</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42485</v>
      </c>
      <c r="AA264" s="117">
        <f>_xll.qlCalendarAdvance(Calendar,Z264,NDays&amp;"D")</f>
        <v>42487</v>
      </c>
      <c r="AB264" s="92">
        <v>9.8209013632744578E-4</v>
      </c>
      <c r="AC264" s="101">
        <v>7.2266139376608862E-4</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42486</v>
      </c>
      <c r="AA265" s="117">
        <f>_xll.qlCalendarAdvance(Calendar,Z265,NDays&amp;"D")</f>
        <v>42488</v>
      </c>
      <c r="AB265" s="92">
        <v>9.8445947229989172E-4</v>
      </c>
      <c r="AC265" s="101">
        <v>7.1877379312468292E-4</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42487</v>
      </c>
      <c r="AA266" s="117">
        <f>_xll.qlCalendarAdvance(Calendar,Z266,NDays&amp;"D")</f>
        <v>42489</v>
      </c>
      <c r="AB266" s="92">
        <v>9.8855914004206363E-4</v>
      </c>
      <c r="AC266" s="101">
        <v>7.1144668404521383E-4</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42488</v>
      </c>
      <c r="AA267" s="117">
        <f>_xll.qlCalendarAdvance(Calendar,Z267,NDays&amp;"D")</f>
        <v>42492</v>
      </c>
      <c r="AB267" s="92">
        <v>9.9473981652862544E-4</v>
      </c>
      <c r="AC267" s="101">
        <v>7.0457329346851338E-4</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42489</v>
      </c>
      <c r="AA268" s="117">
        <f>_xll.qlCalendarAdvance(Calendar,Z268,NDays&amp;"D")</f>
        <v>42493</v>
      </c>
      <c r="AB268" s="92">
        <v>9.9710309744654286E-4</v>
      </c>
      <c r="AC268" s="101">
        <v>7.0137048856722117E-4</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42492</v>
      </c>
      <c r="AA269" s="117">
        <f>_xll.qlCalendarAdvance(Calendar,Z269,NDays&amp;"D")</f>
        <v>42494</v>
      </c>
      <c r="AB269" s="92">
        <v>9.9947993132712539E-4</v>
      </c>
      <c r="AC269" s="101">
        <v>6.9831054922531166E-4</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42493</v>
      </c>
      <c r="AA270" s="117">
        <f>_xll.qlCalendarAdvance(Calendar,Z270,NDays&amp;"D")</f>
        <v>42495</v>
      </c>
      <c r="AB270" s="92">
        <v>1.0033586940971424E-3</v>
      </c>
      <c r="AC270" s="101">
        <v>6.9539544458763203E-4</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42494</v>
      </c>
      <c r="AA271" s="117">
        <f>_xll.qlCalendarAdvance(Calendar,Z271,NDays&amp;"D")</f>
        <v>42496</v>
      </c>
      <c r="AB271" s="92">
        <v>1.0050214189568191E-3</v>
      </c>
      <c r="AC271" s="101">
        <v>6.90059183927616E-4</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42495</v>
      </c>
      <c r="AA272" s="117">
        <f>_xll.qlCalendarAdvance(Calendar,Z272,NDays&amp;"D")</f>
        <v>42499</v>
      </c>
      <c r="AB272" s="92">
        <v>1.0116569887842824E-3</v>
      </c>
      <c r="AC272" s="101">
        <v>6.8522274822235829E-4</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42496</v>
      </c>
      <c r="AA273" s="117">
        <f>_xll.qlCalendarAdvance(Calendar,Z273,NDays&amp;"D")</f>
        <v>42500</v>
      </c>
      <c r="AB273" s="92">
        <v>1.0141690978637337E-3</v>
      </c>
      <c r="AC273" s="101">
        <v>6.8306134892281989E-4</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42499</v>
      </c>
      <c r="AA274" s="117">
        <f>_xll.qlCalendarAdvance(Calendar,Z274,NDays&amp;"D")</f>
        <v>42501</v>
      </c>
      <c r="AB274" s="92">
        <v>1.0167128798874521E-3</v>
      </c>
      <c r="AC274" s="101">
        <v>6.8105659735806512E-4</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42500</v>
      </c>
      <c r="AA275" s="117">
        <f>_xll.qlCalendarAdvance(Calendar,Z275,NDays&amp;"D")</f>
        <v>42502</v>
      </c>
      <c r="AB275" s="92">
        <v>1.0208421163356957E-3</v>
      </c>
      <c r="AC275" s="101">
        <v>6.7921046235319693E-4</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42501</v>
      </c>
      <c r="AA276" s="117">
        <f>_xll.qlCalendarAdvance(Calendar,Z276,NDays&amp;"D")</f>
        <v>42503</v>
      </c>
      <c r="AB276" s="92">
        <v>1.0226868444260676E-3</v>
      </c>
      <c r="AC276" s="101">
        <v>6.7605802763992529E-4</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42502</v>
      </c>
      <c r="AA277" s="117">
        <f>_xll.qlCalendarAdvance(Calendar,Z277,NDays&amp;"D")</f>
        <v>42506</v>
      </c>
      <c r="AB277" s="92">
        <v>1.0300000000003182E-3</v>
      </c>
      <c r="AC277" s="101">
        <v>6.7352080784566226E-4</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42503</v>
      </c>
      <c r="AA278" s="117">
        <f>_xll.qlCalendarAdvance(Calendar,Z278,NDays&amp;"D")</f>
        <v>42507</v>
      </c>
      <c r="AB278" s="92">
        <v>1.0327886993404642E-3</v>
      </c>
      <c r="AC278" s="101">
        <v>6.7291485447817934E-4</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42506</v>
      </c>
      <c r="AA279" s="117">
        <f>_xll.qlCalendarAdvance(Calendar,Z279,NDays&amp;"D")</f>
        <v>42508</v>
      </c>
      <c r="AB279" s="92">
        <v>1.0356207292141195E-3</v>
      </c>
      <c r="AC279" s="101">
        <v>6.7290103129558076E-4</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42507</v>
      </c>
      <c r="AA280" s="117">
        <f>_xll.qlCalendarAdvance(Calendar,Z280,NDays&amp;"D")</f>
        <v>42509</v>
      </c>
      <c r="AB280" s="92">
        <v>1.0403545052093829E-3</v>
      </c>
      <c r="AC280" s="101">
        <v>6.7348581735515722E-4</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42508</v>
      </c>
      <c r="AA281" s="117">
        <f>_xll.qlCalendarAdvance(Calendar,Z281,NDays&amp;"D")</f>
        <v>42510</v>
      </c>
      <c r="AB281" s="92">
        <v>1.0423356292025919E-3</v>
      </c>
      <c r="AC281" s="101">
        <v>6.7668442103041571E-4</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42509</v>
      </c>
      <c r="AA282" s="117">
        <f>_xll.qlCalendarAdvance(Calendar,Z282,NDays&amp;"D")</f>
        <v>42513</v>
      </c>
      <c r="AB282" s="92">
        <v>1.0502726163654967E-3</v>
      </c>
      <c r="AC282" s="101">
        <v>6.8194063540083505E-4</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42510</v>
      </c>
      <c r="AA283" s="117">
        <f>_xll.qlCalendarAdvance(Calendar,Z283,NDays&amp;"D")</f>
        <v>42514</v>
      </c>
      <c r="AB283" s="92">
        <v>1.0532690600356424E-3</v>
      </c>
      <c r="AC283" s="101">
        <v>6.8561565337077468E-4</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42513</v>
      </c>
      <c r="AA284" s="117">
        <f>_xll.qlCalendarAdvance(Calendar,Z284,NDays&amp;"D")</f>
        <v>42515</v>
      </c>
      <c r="AB284" s="92">
        <v>1.0562765529164649E-3</v>
      </c>
      <c r="AC284" s="101">
        <v>6.8992815500656945E-4</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42514</v>
      </c>
      <c r="AA285" s="117">
        <f>_xll.qlCalendarAdvance(Calendar,Z285,NDays&amp;"D")</f>
        <v>42516</v>
      </c>
      <c r="AB285" s="92">
        <v>1.0613682532877703E-3</v>
      </c>
      <c r="AC285" s="101">
        <v>6.9488461904576582E-4</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42515</v>
      </c>
      <c r="AA286" s="117">
        <f>_xll.qlCalendarAdvance(Calendar,Z286,NDays&amp;"D")</f>
        <v>42517</v>
      </c>
      <c r="AB286" s="92">
        <v>1.0633471933953491E-3</v>
      </c>
      <c r="AC286" s="101">
        <v>7.0697787256435163E-4</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42516</v>
      </c>
      <c r="AA287" s="117">
        <f>_xll.qlCalendarAdvance(Calendar,Z287,NDays&amp;"D")</f>
        <v>42520</v>
      </c>
      <c r="AB287" s="92">
        <v>1.0713103825246344E-3</v>
      </c>
      <c r="AC287" s="101">
        <v>7.2127968174129364E-4</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42517</v>
      </c>
      <c r="AA288" s="117">
        <f>_xll.qlCalendarAdvance(Calendar,Z288,NDays&amp;"D")</f>
        <v>42521</v>
      </c>
      <c r="AB288" s="92">
        <v>1.0732209683376856E-3</v>
      </c>
      <c r="AC288" s="101">
        <v>7.295531443762826E-4</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42520</v>
      </c>
      <c r="AA289" s="117">
        <f>_xll.qlCalendarAdvance(Calendar,Z289,NDays&amp;"D")</f>
        <v>42522</v>
      </c>
      <c r="AB289" s="92">
        <v>1.0761634924195667E-3</v>
      </c>
      <c r="AC289" s="101">
        <v>7.3850944383835326E-4</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42521</v>
      </c>
      <c r="AA290" s="117">
        <f>_xll.qlCalendarAdvance(Calendar,Z290,NDays&amp;"D")</f>
        <v>42523</v>
      </c>
      <c r="AB290" s="92">
        <v>1.0790786920964141E-3</v>
      </c>
      <c r="AC290" s="101">
        <v>7.4815505926473236E-4</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42522</v>
      </c>
      <c r="AA291" s="117">
        <f>_xll.qlCalendarAdvance(Calendar,Z291,NDays&amp;"D")</f>
        <v>42524</v>
      </c>
      <c r="AB291" s="92">
        <v>1.0841146629491185E-3</v>
      </c>
      <c r="AC291" s="101">
        <v>7.6977805130162835E-4</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42523</v>
      </c>
      <c r="AA292" s="117">
        <f>_xll.qlCalendarAdvance(Calendar,Z292,NDays&amp;"D")</f>
        <v>42527</v>
      </c>
      <c r="AB292" s="92">
        <v>1.0903620454151986E-3</v>
      </c>
      <c r="AC292" s="101">
        <v>7.9376026239863506E-4</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42524</v>
      </c>
      <c r="AA293" s="117">
        <f>_xll.qlCalendarAdvance(Calendar,Z293,NDays&amp;"D")</f>
        <v>42528</v>
      </c>
      <c r="AB293" s="92">
        <v>1.0930620715675834E-3</v>
      </c>
      <c r="AC293" s="101">
        <v>8.0694964398553282E-4</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42527</v>
      </c>
      <c r="AA294" s="117">
        <f>_xll.qlCalendarAdvance(Calendar,Z294,NDays&amp;"D")</f>
        <v>42529</v>
      </c>
      <c r="AB294" s="92">
        <v>1.0957030323221493E-3</v>
      </c>
      <c r="AC294" s="101">
        <v>8.2086721596041912E-4</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42528</v>
      </c>
      <c r="AA295" s="117">
        <f>_xll.qlCalendarAdvance(Calendar,Z295,NDays&amp;"D")</f>
        <v>42530</v>
      </c>
      <c r="AB295" s="92">
        <v>1.0982794773217912E-3</v>
      </c>
      <c r="AC295" s="101">
        <v>8.3551945778026493E-4</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42529</v>
      </c>
      <c r="AA296" s="117">
        <f>_xll.qlCalendarAdvance(Calendar,Z296,NDays&amp;"D")</f>
        <v>42531</v>
      </c>
      <c r="AB296" s="92">
        <v>1.1029059936810109E-3</v>
      </c>
      <c r="AC296" s="101">
        <v>8.6730732478557115E-4</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42530</v>
      </c>
      <c r="AA297" s="117">
        <f>_xll.qlCalendarAdvance(Calendar,Z297,NDays&amp;"D")</f>
        <v>42534</v>
      </c>
      <c r="AB297" s="92">
        <v>1.1078294908362096E-3</v>
      </c>
      <c r="AC297" s="101">
        <v>9.0160470329614384E-4</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42531</v>
      </c>
      <c r="AA298" s="117">
        <f>_xll.qlCalendarAdvance(Calendar,Z298,NDays&amp;"D")</f>
        <v>42535</v>
      </c>
      <c r="AB298" s="92">
        <v>1.1099999999419907E-3</v>
      </c>
      <c r="AC298" s="101">
        <v>9.1975383373466002E-4</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42534</v>
      </c>
      <c r="AA299" s="117">
        <f>_xll.qlCalendarAdvance(Calendar,Z299,NDays&amp;"D")</f>
        <v>42536</v>
      </c>
      <c r="AB299" s="92">
        <v>1.1120743250593477E-3</v>
      </c>
      <c r="AC299" s="101">
        <v>9.373027766734765E-4</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42535</v>
      </c>
      <c r="AA300" s="117">
        <f>_xll.qlCalendarAdvance(Calendar,Z300,NDays&amp;"D")</f>
        <v>42537</v>
      </c>
      <c r="AB300" s="92">
        <v>1.1140567071556392E-3</v>
      </c>
      <c r="AC300" s="101">
        <v>9.5396923864399241E-4</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42536</v>
      </c>
      <c r="AA301" s="117">
        <f>_xll.qlCalendarAdvance(Calendar,Z301,NDays&amp;"D")</f>
        <v>42538</v>
      </c>
      <c r="AB301" s="92">
        <v>1.1179826917370695E-3</v>
      </c>
      <c r="AC301" s="101">
        <v>9.8431313851676805E-4</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42537</v>
      </c>
      <c r="AA302" s="117">
        <f>_xll.qlCalendarAdvance(Calendar,Z302,NDays&amp;"D")</f>
        <v>42541</v>
      </c>
      <c r="AB302" s="92">
        <v>1.1211936177630542E-3</v>
      </c>
      <c r="AC302" s="101">
        <v>1.0116098291046427E-3</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42538</v>
      </c>
      <c r="AA303" s="117">
        <f>_xll.qlCalendarAdvance(Calendar,Z303,NDays&amp;"D")</f>
        <v>42542</v>
      </c>
      <c r="AB303" s="92">
        <v>1.1228119638296095E-3</v>
      </c>
      <c r="AC303" s="101">
        <v>1.0237135504898021E-3</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42541</v>
      </c>
      <c r="AA304" s="117">
        <f>_xll.qlCalendarAdvance(Calendar,Z304,NDays&amp;"D")</f>
        <v>42543</v>
      </c>
      <c r="AB304" s="92">
        <v>1.124377094294622E-3</v>
      </c>
      <c r="AC304" s="101">
        <v>1.0348746567689915E-3</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42542</v>
      </c>
      <c r="AA305" s="117">
        <f>_xll.qlCalendarAdvance(Calendar,Z305,NDays&amp;"D")</f>
        <v>42544</v>
      </c>
      <c r="AB305" s="92">
        <v>1.1258956916124629E-3</v>
      </c>
      <c r="AC305" s="101">
        <v>1.0450831253194792E-3</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42543</v>
      </c>
      <c r="AA306" s="117">
        <f>_xll.qlCalendarAdvance(Calendar,Z306,NDays&amp;"D")</f>
        <v>42545</v>
      </c>
      <c r="AB306" s="92">
        <v>1.1305317743744382E-3</v>
      </c>
      <c r="AC306" s="101">
        <v>1.0622776270086121E-3</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42544</v>
      </c>
      <c r="AA307" s="117">
        <f>_xll.qlCalendarAdvance(Calendar,Z307,NDays&amp;"D")</f>
        <v>42548</v>
      </c>
      <c r="AB307" s="92">
        <v>1.1316406771847548E-3</v>
      </c>
      <c r="AC307" s="101">
        <v>1.0761901779332561E-3</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42545</v>
      </c>
      <c r="AA308" s="117">
        <f>_xll.qlCalendarAdvance(Calendar,Z308,NDays&amp;"D")</f>
        <v>42549</v>
      </c>
      <c r="AB308" s="92">
        <v>1.1330291242500532E-3</v>
      </c>
      <c r="AC308" s="101">
        <v>1.081485123934911E-3</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42548</v>
      </c>
      <c r="AA309" s="117">
        <f>_xll.qlCalendarAdvance(Calendar,Z309,NDays&amp;"D")</f>
        <v>42550</v>
      </c>
      <c r="AB309" s="92">
        <v>1.1344125000801166E-3</v>
      </c>
      <c r="AC309" s="101">
        <v>1.0857672983899391E-3</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42549</v>
      </c>
      <c r="AA310" s="117">
        <f>_xll.qlCalendarAdvance(Calendar,Z310,NDays&amp;"D")</f>
        <v>42551</v>
      </c>
      <c r="AB310" s="92">
        <v>1.135797942850897E-3</v>
      </c>
      <c r="AC310" s="101">
        <v>1.089026679155225E-3</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42550</v>
      </c>
      <c r="AA311" s="117">
        <f>_xll.qlCalendarAdvance(Calendar,Z311,NDays&amp;"D")</f>
        <v>42552</v>
      </c>
      <c r="AB311" s="92">
        <v>1.2055333092582231E-3</v>
      </c>
      <c r="AC311" s="101">
        <v>1.0920893295018885E-3</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42551</v>
      </c>
      <c r="AA312" s="117">
        <f>_xll.qlCalendarAdvance(Calendar,Z312,NDays&amp;"D")</f>
        <v>42555</v>
      </c>
      <c r="AB312" s="92">
        <v>1.2091018662711537E-3</v>
      </c>
      <c r="AC312" s="101">
        <v>1.0916358186197073E-3</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42552</v>
      </c>
      <c r="AA313" s="117">
        <f>_xll.qlCalendarAdvance(Calendar,Z313,NDays&amp;"D")</f>
        <v>42556</v>
      </c>
      <c r="AB313" s="92">
        <v>1.2106339806139399E-3</v>
      </c>
      <c r="AC313" s="101">
        <v>1.0896308963115331E-3</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42555</v>
      </c>
      <c r="AA314" s="117">
        <f>_xll.qlCalendarAdvance(Calendar,Z314,NDays&amp;"D")</f>
        <v>42557</v>
      </c>
      <c r="AB314" s="92">
        <v>1.2122137721788965E-3</v>
      </c>
      <c r="AC314" s="101">
        <v>1.0865430466555637E-3</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42556</v>
      </c>
      <c r="AA315" s="117">
        <f>_xll.qlCalendarAdvance(Calendar,Z315,NDays&amp;"D")</f>
        <v>42558</v>
      </c>
      <c r="AB315" s="92">
        <v>1.2158428924591289E-3</v>
      </c>
      <c r="AC315" s="101">
        <v>1.0823622473488115E-3</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42557</v>
      </c>
      <c r="AA316" s="117">
        <f>_xll.qlCalendarAdvance(Calendar,Z316,NDays&amp;"D")</f>
        <v>42559</v>
      </c>
      <c r="AB316" s="92">
        <v>1.2165607517944199E-3</v>
      </c>
      <c r="AC316" s="101">
        <v>1.0703105543985458E-3</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42558</v>
      </c>
      <c r="AA317" s="117">
        <f>_xll.qlCalendarAdvance(Calendar,Z317,NDays&amp;"D")</f>
        <v>42562</v>
      </c>
      <c r="AB317" s="92">
        <v>1.2210948654679389E-3</v>
      </c>
      <c r="AC317" s="101">
        <v>1.0545091097924342E-3</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42559</v>
      </c>
      <c r="AA318" s="117">
        <f>_xll.qlCalendarAdvance(Calendar,Z318,NDays&amp;"D")</f>
        <v>42563</v>
      </c>
      <c r="AB318" s="92">
        <v>1.2231218133505208E-3</v>
      </c>
      <c r="AC318" s="101">
        <v>1.0447132293656125E-3</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42562</v>
      </c>
      <c r="AA319" s="117">
        <f>_xll.qlCalendarAdvance(Calendar,Z319,NDays&amp;"D")</f>
        <v>42564</v>
      </c>
      <c r="AB319" s="92">
        <v>1.2252507406167361E-3</v>
      </c>
      <c r="AC319" s="101">
        <v>1.0337642661095714E-3</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42563</v>
      </c>
      <c r="AA320" s="117">
        <f>_xll.qlCalendarAdvance(Calendar,Z320,NDays&amp;"D")</f>
        <v>42565</v>
      </c>
      <c r="AB320" s="92">
        <v>1.2300000005049936E-3</v>
      </c>
      <c r="AC320" s="101">
        <v>1.021916289429825E-3</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42564</v>
      </c>
      <c r="AA321" s="117">
        <f>_xll.qlCalendarAdvance(Calendar,Z321,NDays&amp;"D")</f>
        <v>42566</v>
      </c>
      <c r="AB321" s="92">
        <v>1.2311212825914897E-3</v>
      </c>
      <c r="AC321" s="101">
        <v>9.9908911586510385E-4</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42565</v>
      </c>
      <c r="AA322" s="117">
        <f>_xll.qlCalendarAdvance(Calendar,Z322,NDays&amp;"D")</f>
        <v>42569</v>
      </c>
      <c r="AB322" s="92">
        <v>1.237610223681991E-3</v>
      </c>
      <c r="AC322" s="101">
        <v>9.7767205203602714E-4</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42566</v>
      </c>
      <c r="AA323" s="117">
        <f>_xll.qlCalendarAdvance(Calendar,Z323,NDays&amp;"D")</f>
        <v>42570</v>
      </c>
      <c r="AB323" s="92">
        <v>1.2404207879085603E-3</v>
      </c>
      <c r="AC323" s="101">
        <v>9.6768470021046937E-4</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42569</v>
      </c>
      <c r="AA324" s="117">
        <f>_xll.qlCalendarAdvance(Calendar,Z324,NDays&amp;"D")</f>
        <v>42571</v>
      </c>
      <c r="AB324" s="92">
        <v>1.2433351881809781E-3</v>
      </c>
      <c r="AC324" s="101">
        <v>9.5813640461628324E-4</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42570</v>
      </c>
      <c r="AA325" s="117">
        <f>_xll.qlCalendarAdvance(Calendar,Z325,NDays&amp;"D")</f>
        <v>42572</v>
      </c>
      <c r="AB325" s="92">
        <v>1.2493514722113476E-3</v>
      </c>
      <c r="AC325" s="101">
        <v>9.4903195174467214E-4</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42571</v>
      </c>
      <c r="AA326" s="117">
        <f>_xll.qlCalendarAdvance(Calendar,Z326,NDays&amp;"D")</f>
        <v>42573</v>
      </c>
      <c r="AB326" s="92">
        <v>1.250971523159738E-3</v>
      </c>
      <c r="AC326" s="101">
        <v>9.3232886898775291E-4</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42572</v>
      </c>
      <c r="AA327" s="117">
        <f>_xll.qlCalendarAdvance(Calendar,Z327,NDays&amp;"D")</f>
        <v>42576</v>
      </c>
      <c r="AB327" s="92">
        <v>1.2593060401670979E-3</v>
      </c>
      <c r="AC327" s="101">
        <v>9.1714829874689485E-4</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42573</v>
      </c>
      <c r="AA328" s="117">
        <f>_xll.qlCalendarAdvance(Calendar,Z328,NDays&amp;"D")</f>
        <v>42577</v>
      </c>
      <c r="AB328" s="92">
        <v>1.2627476708319035E-3</v>
      </c>
      <c r="AC328" s="101">
        <v>9.1033485805525061E-4</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42576</v>
      </c>
      <c r="AA329" s="117">
        <f>_xll.qlCalendarAdvance(Calendar,Z329,NDays&amp;"D")</f>
        <v>42578</v>
      </c>
      <c r="AB329" s="92">
        <v>1.2662608276656098E-3</v>
      </c>
      <c r="AC329" s="101">
        <v>9.0399397951301808E-4</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42577</v>
      </c>
      <c r="AA330" s="117">
        <f>_xll.qlCalendarAdvance(Calendar,Z330,NDays&amp;"D")</f>
        <v>42579</v>
      </c>
      <c r="AB330" s="92">
        <v>1.2730830075172619E-3</v>
      </c>
      <c r="AC330" s="101">
        <v>8.9813044969133671E-4</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42578</v>
      </c>
      <c r="AA331" s="117">
        <f>_xll.qlCalendarAdvance(Calendar,Z331,NDays&amp;"D")</f>
        <v>42580</v>
      </c>
      <c r="AB331" s="92">
        <v>1.2767384709511467E-3</v>
      </c>
      <c r="AC331" s="101">
        <v>8.8802067579329957E-4</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42579</v>
      </c>
      <c r="AA332" s="117">
        <f>_xll.qlCalendarAdvance(Calendar,Z332,NDays&amp;"D")</f>
        <v>42583</v>
      </c>
      <c r="AB332" s="92">
        <v>1.2847308056474422E-3</v>
      </c>
      <c r="AC332" s="101">
        <v>8.7954554919278394E-4</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42580</v>
      </c>
      <c r="AA333" s="117">
        <f>_xll.qlCalendarAdvance(Calendar,Z333,NDays&amp;"D")</f>
        <v>42584</v>
      </c>
      <c r="AB333" s="92">
        <v>1.2885713282065458E-3</v>
      </c>
      <c r="AC333" s="101">
        <v>8.7614056178075828E-4</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42583</v>
      </c>
      <c r="AA334" s="117">
        <f>_xll.qlCalendarAdvance(Calendar,Z334,NDays&amp;"D")</f>
        <v>42585</v>
      </c>
      <c r="AB334" s="92">
        <v>1.2924490651189874E-3</v>
      </c>
      <c r="AC334" s="101">
        <v>8.7324164251612046E-4</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42584</v>
      </c>
      <c r="AA335" s="117">
        <f>_xll.qlCalendarAdvance(Calendar,Z335,NDays&amp;"D")</f>
        <v>42586</v>
      </c>
      <c r="AB335" s="92">
        <v>1.2995906589919498E-3</v>
      </c>
      <c r="AC335" s="101">
        <v>8.7085357812988207E-4</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42585</v>
      </c>
      <c r="AA336" s="117">
        <f>_xll.qlCalendarAdvance(Calendar,Z336,NDays&amp;"D")</f>
        <v>42587</v>
      </c>
      <c r="AB336" s="92">
        <v>1.3019050073688079E-3</v>
      </c>
      <c r="AC336" s="101">
        <v>8.6780632352123632E-4</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42586</v>
      </c>
      <c r="AA337" s="117">
        <f>_xll.qlCalendarAdvance(Calendar,Z337,NDays&amp;"D")</f>
        <v>42590</v>
      </c>
      <c r="AB337" s="92">
        <v>1.3122172542932794E-3</v>
      </c>
      <c r="AC337" s="101">
        <v>8.6650560039203128E-4</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42587</v>
      </c>
      <c r="AA338" s="117">
        <f>_xll.qlCalendarAdvance(Calendar,Z338,NDays&amp;"D")</f>
        <v>42591</v>
      </c>
      <c r="AB338" s="92">
        <v>1.3162104787118011E-3</v>
      </c>
      <c r="AC338" s="101">
        <v>8.6674360896488167E-4</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42590</v>
      </c>
      <c r="AA339" s="117">
        <f>_xll.qlCalendarAdvance(Calendar,Z339,NDays&amp;"D")</f>
        <v>42592</v>
      </c>
      <c r="AB339" s="92">
        <v>1.3202046031369136E-3</v>
      </c>
      <c r="AC339" s="101">
        <v>8.6752119200284028E-4</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42591</v>
      </c>
      <c r="AA340" s="117">
        <f>_xll.qlCalendarAdvance(Calendar,Z340,NDays&amp;"D")</f>
        <v>42593</v>
      </c>
      <c r="AB340" s="92">
        <v>1.3271734259570353E-3</v>
      </c>
      <c r="AC340" s="101">
        <v>8.6884313591717444E-4</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42592</v>
      </c>
      <c r="AA341" s="117">
        <f>_xll.qlCalendarAdvance(Calendar,Z341,NDays&amp;"D")</f>
        <v>42594</v>
      </c>
      <c r="AB341" s="92">
        <v>1.3296476779421649E-3</v>
      </c>
      <c r="AC341" s="101">
        <v>8.7332761214753418E-4</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42593</v>
      </c>
      <c r="AA342" s="117">
        <f>_xll.qlCalendarAdvance(Calendar,Z342,NDays&amp;"D")</f>
        <v>42597</v>
      </c>
      <c r="AB342" s="92">
        <v>1.3400000007050045E-3</v>
      </c>
      <c r="AC342" s="101">
        <v>8.7964182929667345E-4</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42594</v>
      </c>
      <c r="AA343" s="117">
        <f>_xll.qlCalendarAdvance(Calendar,Z343,NDays&amp;"D")</f>
        <v>42598</v>
      </c>
      <c r="AB343" s="92">
        <v>1.3438872094438128E-3</v>
      </c>
      <c r="AC343" s="101">
        <v>8.8358633497875871E-4</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42597</v>
      </c>
      <c r="AA344" s="117">
        <f>_xll.qlCalendarAdvance(Calendar,Z344,NDays&amp;"D")</f>
        <v>42599</v>
      </c>
      <c r="AB344" s="92">
        <v>1.347745968268892E-3</v>
      </c>
      <c r="AC344" s="101">
        <v>8.8793151959087879E-4</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42598</v>
      </c>
      <c r="AA345" s="117">
        <f>_xll.qlCalendarAdvance(Calendar,Z345,NDays&amp;"D")</f>
        <v>42600</v>
      </c>
      <c r="AB345" s="92">
        <v>1.3542037026131343E-3</v>
      </c>
      <c r="AC345" s="101">
        <v>8.9268068665049327E-4</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42599</v>
      </c>
      <c r="AA346" s="117">
        <f>_xll.qlCalendarAdvance(Calendar,Z346,NDays&amp;"D")</f>
        <v>42601</v>
      </c>
      <c r="AB346" s="92">
        <v>1.3566950574639776E-3</v>
      </c>
      <c r="AC346" s="101">
        <v>9.0354441462103807E-4</v>
      </c>
    </row>
    <row r="347" spans="13:29" ht="12" thickBot="1" x14ac:dyDescent="0.25">
      <c r="M347" s="210" t="str">
        <f>RateHelpers!B336</f>
        <v>obj_00730#0001</v>
      </c>
      <c r="N347" s="106" t="str">
        <f>_xll.qlRateHelperQuoteName(M347)</f>
        <v>EUR15F30Y_Quote</v>
      </c>
      <c r="O347" s="103">
        <f>_xll.qlInterestRateIndexFixingDate(S347,_xll.qlRateHelperEarliestDate(M347,Trigger),)</f>
        <v>47613</v>
      </c>
      <c r="P347" s="121">
        <f>_xll.qlRateHelperQuoteValue(M347,_xll.ohTrigger(RecalcTrigger,YieldCurve))</f>
        <v>1.4459999999999999E-2</v>
      </c>
      <c r="Q347" s="124" t="str">
        <f t="shared" si="33"/>
        <v>30Y</v>
      </c>
      <c r="R347" s="124">
        <v>2</v>
      </c>
      <c r="S347" s="124" t="str">
        <f>_xll.qlSwapIndex(,"Euribor",Q347,NDays,Currency,Calendar,"1Y","mf","30/360 (Bond Basis)",IborIndex,Discounting,,_xll.ohTrigger(Trigger,RecalcTrigger))</f>
        <v>obj_0079a#0004</v>
      </c>
      <c r="T347" s="124" t="str">
        <f>_xll.qlVanillaSwapFromSwapIndex(,S347,O347)</f>
        <v>obj_0079d#0004</v>
      </c>
      <c r="U347" s="112">
        <f>_xll.qlVanillaSwapFairRate(T347)</f>
        <v>1.4460000000257371E-2</v>
      </c>
      <c r="V347" s="207">
        <f t="shared" si="34"/>
        <v>2.5737224851329898E-13</v>
      </c>
      <c r="Y347" s="105" t="str">
        <f t="shared" si="35"/>
        <v>1D</v>
      </c>
      <c r="Z347" s="93">
        <f>_xll.qlCalendarAdvance(Calendar,Z346,Y347,"f",FALSE)</f>
        <v>42600</v>
      </c>
      <c r="AA347" s="117">
        <f>_xll.qlCalendarAdvance(Calendar,Z347,NDays&amp;"D")</f>
        <v>42604</v>
      </c>
      <c r="AB347" s="92">
        <v>1.3667320165654674E-3</v>
      </c>
      <c r="AC347" s="101">
        <v>9.1578325115193593E-4</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42601</v>
      </c>
      <c r="AA348" s="117">
        <f>_xll.qlCalendarAdvance(Calendar,Z348,NDays&amp;"D")</f>
        <v>42605</v>
      </c>
      <c r="AB348" s="92">
        <v>1.3704917167145021E-3</v>
      </c>
      <c r="AC348" s="101">
        <v>9.2260188440995705E-4</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42604</v>
      </c>
      <c r="AA349" s="117">
        <f>_xll.qlCalendarAdvance(Calendar,Z349,NDays&amp;"D")</f>
        <v>42606</v>
      </c>
      <c r="AB349" s="92">
        <v>1.3742470066044224E-3</v>
      </c>
      <c r="AC349" s="101">
        <v>9.2984432161991037E-4</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42605</v>
      </c>
      <c r="AA350" s="117">
        <f>_xll.qlCalendarAdvance(Calendar,Z350,NDays&amp;"D")</f>
        <v>42607</v>
      </c>
      <c r="AB350" s="92">
        <v>1.3807549698929831E-3</v>
      </c>
      <c r="AC350" s="101">
        <v>9.3751386637919154E-4</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42606</v>
      </c>
      <c r="AA351" s="117">
        <f>_xll.qlCalendarAdvance(Calendar,Z351,NDays&amp;"D")</f>
        <v>42608</v>
      </c>
      <c r="AB351" s="92">
        <v>1.3831472657502512E-3</v>
      </c>
      <c r="AC351" s="101">
        <v>9.5429569571869877E-4</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42607</v>
      </c>
      <c r="AA352" s="117">
        <f>_xll.qlCalendarAdvance(Calendar,Z352,NDays&amp;"D")</f>
        <v>42611</v>
      </c>
      <c r="AB352" s="92">
        <v>1.3916194791941568E-3</v>
      </c>
      <c r="AC352" s="101">
        <v>9.7252919389667625E-4</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42608</v>
      </c>
      <c r="AA353" s="117">
        <f>_xll.qlCalendarAdvance(Calendar,Z353,NDays&amp;"D")</f>
        <v>42612</v>
      </c>
      <c r="AB353" s="92">
        <v>1.3939184074407297E-3</v>
      </c>
      <c r="AC353" s="101">
        <v>9.8238383092308368E-4</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42611</v>
      </c>
      <c r="AA354" s="117">
        <f>_xll.qlCalendarAdvance(Calendar,Z354,NDays&amp;"D")</f>
        <v>42613</v>
      </c>
      <c r="AB354" s="92">
        <v>1.3961882691542415E-3</v>
      </c>
      <c r="AC354" s="101">
        <v>9.9268539724306493E-4</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42612</v>
      </c>
      <c r="AA355" s="117">
        <f>_xll.qlCalendarAdvance(Calendar,Z355,NDays&amp;"D")</f>
        <v>42614</v>
      </c>
      <c r="AB355" s="92">
        <v>1.3998736402807451E-3</v>
      </c>
      <c r="AC355" s="101">
        <v>1.0034371963740796E-3</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42613</v>
      </c>
      <c r="AA356" s="117">
        <f>_xll.qlCalendarAdvance(Calendar,Z356,NDays&amp;"D")</f>
        <v>42615</v>
      </c>
      <c r="AB356" s="92">
        <v>1.4035687384065655E-3</v>
      </c>
      <c r="AC356" s="101">
        <v>1.0264610155719112E-3</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42614</v>
      </c>
      <c r="AA357" s="117">
        <f>_xll.qlCalendarAdvance(Calendar,Z357,NDays&amp;"D")</f>
        <v>42618</v>
      </c>
      <c r="AB357" s="92">
        <v>1.4165037136163303E-3</v>
      </c>
      <c r="AC357" s="101">
        <v>1.0510127940754899E-3</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42615</v>
      </c>
      <c r="AA358" s="117">
        <f>_xll.qlCalendarAdvance(Calendar,Z358,NDays&amp;"D")</f>
        <v>42619</v>
      </c>
      <c r="AB358" s="92">
        <v>1.4185188591276251E-3</v>
      </c>
      <c r="AC358" s="101">
        <v>1.0640653118620946E-3</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42618</v>
      </c>
      <c r="AA359" s="117">
        <f>_xll.qlCalendarAdvance(Calendar,Z359,NDays&amp;"D")</f>
        <v>42620</v>
      </c>
      <c r="AB359" s="92">
        <v>1.4223170878205149E-3</v>
      </c>
      <c r="AC359" s="101">
        <v>1.0775878843638509E-3</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42619</v>
      </c>
      <c r="AA360" s="117">
        <f>_xll.qlCalendarAdvance(Calendar,Z360,NDays&amp;"D")</f>
        <v>42621</v>
      </c>
      <c r="AB360" s="92">
        <v>1.4261469632662475E-3</v>
      </c>
      <c r="AC360" s="101">
        <v>1.0915838150182822E-3</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42620</v>
      </c>
      <c r="AA361" s="117">
        <f>_xll.qlCalendarAdvance(Calendar,Z361,NDays&amp;"D")</f>
        <v>42622</v>
      </c>
      <c r="AB361" s="92">
        <v>1.4300121995232755E-3</v>
      </c>
      <c r="AC361" s="101">
        <v>1.1211735468563688E-3</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42621</v>
      </c>
      <c r="AA362" s="117">
        <f>_xll.qlCalendarAdvance(Calendar,Z362,NDays&amp;"D")</f>
        <v>42625</v>
      </c>
      <c r="AB362" s="92">
        <v>1.4442934178560862E-3</v>
      </c>
      <c r="AC362" s="101">
        <v>1.1523671927893275E-3</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42622</v>
      </c>
      <c r="AA363" s="117">
        <f>_xll.qlCalendarAdvance(Calendar,Z363,NDays&amp;"D")</f>
        <v>42626</v>
      </c>
      <c r="AB363" s="92">
        <v>1.4459016415678209E-3</v>
      </c>
      <c r="AC363" s="101">
        <v>1.1687794692871734E-3</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42625</v>
      </c>
      <c r="AA364" s="117">
        <f>_xll.qlCalendarAdvance(Calendar,Z364,NDays&amp;"D")</f>
        <v>42627</v>
      </c>
      <c r="AB364" s="92">
        <v>1.4500000005084372E-3</v>
      </c>
      <c r="AC364" s="101">
        <v>1.1854608039207903E-3</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42626</v>
      </c>
      <c r="AA365" s="117">
        <f>_xll.qlCalendarAdvance(Calendar,Z365,NDays&amp;"D")</f>
        <v>42628</v>
      </c>
      <c r="AB365" s="92">
        <v>1.4541555027592476E-3</v>
      </c>
      <c r="AC365" s="101">
        <v>1.2015143536103778E-3</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42627</v>
      </c>
      <c r="AA366" s="117">
        <f>_xll.qlCalendarAdvance(Calendar,Z366,NDays&amp;"D")</f>
        <v>42629</v>
      </c>
      <c r="AB366" s="92">
        <v>1.4583676464688742E-3</v>
      </c>
      <c r="AC366" s="101">
        <v>1.2307506512332367E-3</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42628</v>
      </c>
      <c r="AA367" s="117">
        <f>_xll.qlCalendarAdvance(Calendar,Z367,NDays&amp;"D")</f>
        <v>42632</v>
      </c>
      <c r="AB367" s="92">
        <v>1.4745589177531195E-3</v>
      </c>
      <c r="AC367" s="101">
        <v>1.2570651549292933E-3</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42629</v>
      </c>
      <c r="AA368" s="117">
        <f>_xll.qlCalendarAdvance(Calendar,Z368,NDays&amp;"D")</f>
        <v>42633</v>
      </c>
      <c r="AB368" s="92">
        <v>1.4757553876392927E-3</v>
      </c>
      <c r="AC368" s="101">
        <v>1.2687486362317202E-3</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42632</v>
      </c>
      <c r="AA369" s="117">
        <f>_xll.qlCalendarAdvance(Calendar,Z369,NDays&amp;"D")</f>
        <v>42634</v>
      </c>
      <c r="AB369" s="92">
        <v>1.4802303261112241E-3</v>
      </c>
      <c r="AC369" s="101">
        <v>1.2795350820482554E-3</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42633</v>
      </c>
      <c r="AA370" s="117">
        <f>_xll.qlCalendarAdvance(Calendar,Z370,NDays&amp;"D")</f>
        <v>42635</v>
      </c>
      <c r="AB370" s="92">
        <v>1.4847537599575016E-3</v>
      </c>
      <c r="AC370" s="101">
        <v>1.2894168185173527E-3</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42634</v>
      </c>
      <c r="AA371" s="117">
        <f>_xll.qlCalendarAdvance(Calendar,Z371,NDays&amp;"D")</f>
        <v>42636</v>
      </c>
      <c r="AB371" s="92">
        <v>1.4893243409584678E-3</v>
      </c>
      <c r="AC371" s="101">
        <v>1.3061309628525919E-3</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42635</v>
      </c>
      <c r="AA372" s="117">
        <f>_xll.qlCalendarAdvance(Calendar,Z372,NDays&amp;"D")</f>
        <v>42639</v>
      </c>
      <c r="AB372" s="92">
        <v>1.5070221050532025E-3</v>
      </c>
      <c r="AC372" s="101">
        <v>1.319743192969014E-3</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42636</v>
      </c>
      <c r="AA373" s="117">
        <f>_xll.qlCalendarAdvance(Calendar,Z373,NDays&amp;"D")</f>
        <v>42640</v>
      </c>
      <c r="AB373" s="92">
        <v>1.5080512667294472E-3</v>
      </c>
      <c r="AC373" s="101">
        <v>1.3249862743780483E-3</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42639</v>
      </c>
      <c r="AA374" s="117">
        <f>_xll.qlCalendarAdvance(Calendar,Z374,NDays&amp;"D")</f>
        <v>42641</v>
      </c>
      <c r="AB374" s="92">
        <v>1.5128374548113316E-3</v>
      </c>
      <c r="AC374" s="101">
        <v>1.3292786030305592E-3</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42640</v>
      </c>
      <c r="AA375" s="117">
        <f>_xll.qlCalendarAdvance(Calendar,Z375,NDays&amp;"D")</f>
        <v>42642</v>
      </c>
      <c r="AB375" s="92">
        <v>1.5176627574841192E-3</v>
      </c>
      <c r="AC375" s="101">
        <v>1.3326125053048088E-3</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42641</v>
      </c>
      <c r="AA376" s="117">
        <f>_xll.qlCalendarAdvance(Calendar,Z376,NDays&amp;"D")</f>
        <v>42643</v>
      </c>
      <c r="AB376" s="92">
        <v>1.5263736345019672E-3</v>
      </c>
      <c r="AC376" s="101">
        <v>1.3360521439587103E-3</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42642</v>
      </c>
      <c r="AA377" s="117">
        <f>_xll.qlCalendarAdvance(Calendar,Z377,NDays&amp;"D")</f>
        <v>42646</v>
      </c>
      <c r="AB377" s="92">
        <v>1.5412027287512173E-3</v>
      </c>
      <c r="AC377" s="101">
        <v>1.3362103724290364E-3</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42643</v>
      </c>
      <c r="AA378" s="117">
        <f>_xll.qlCalendarAdvance(Calendar,Z378,NDays&amp;"D")</f>
        <v>42647</v>
      </c>
      <c r="AB378" s="92">
        <v>1.5461986159360408E-3</v>
      </c>
      <c r="AC378" s="101">
        <v>1.3346370345690417E-3</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42646</v>
      </c>
      <c r="AA379" s="117">
        <f>_xll.qlCalendarAdvance(Calendar,Z379,NDays&amp;"D")</f>
        <v>42648</v>
      </c>
      <c r="AB379" s="92">
        <v>1.5512186818818358E-3</v>
      </c>
      <c r="AC379" s="101">
        <v>1.3320592272414444E-3</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42647</v>
      </c>
      <c r="AA380" s="117">
        <f>_xll.qlCalendarAdvance(Calendar,Z380,NDays&amp;"D")</f>
        <v>42649</v>
      </c>
      <c r="AB380" s="92">
        <v>1.5562615811422103E-3</v>
      </c>
      <c r="AC380" s="101">
        <v>1.3284692767445705E-3</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42648</v>
      </c>
      <c r="AA381" s="117">
        <f>_xll.qlCalendarAdvance(Calendar,Z381,NDays&amp;"D")</f>
        <v>42650</v>
      </c>
      <c r="AB381" s="92">
        <v>1.561325970953023E-3</v>
      </c>
      <c r="AC381" s="101">
        <v>1.3178820200732133E-3</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42649</v>
      </c>
      <c r="AA382" s="117">
        <f>_xll.qlCalendarAdvance(Calendar,Z382,NDays&amp;"D")</f>
        <v>42653</v>
      </c>
      <c r="AB382" s="92">
        <v>1.5766346963159998E-3</v>
      </c>
      <c r="AC382" s="101">
        <v>1.3038345658333839E-3</v>
      </c>
    </row>
    <row r="383" spans="13:29" ht="12" thickBot="1" x14ac:dyDescent="0.25">
      <c r="M383" s="210" t="str">
        <f>RateHelpers!B372</f>
        <v>obj_0072f#0001</v>
      </c>
      <c r="N383" s="106" t="str">
        <f>_xll.qlRateHelperQuoteName(M383)</f>
        <v>EUR25F30Y_Quote</v>
      </c>
      <c r="O383" s="103">
        <f>_xll.qlInterestRateIndexFixingDate(S383,_xll.qlRateHelperEarliestDate(M383,Trigger),)</f>
        <v>51266</v>
      </c>
      <c r="P383" s="121">
        <f>_xll.qlRateHelperQuoteValue(M383,_xll.ohTrigger(RecalcTrigger,YieldCurve))</f>
        <v>1.2709999999999999E-2</v>
      </c>
      <c r="Q383" s="124" t="str">
        <f t="shared" si="37"/>
        <v>30Y</v>
      </c>
      <c r="R383" s="124">
        <v>2</v>
      </c>
      <c r="S383" s="124" t="str">
        <f>_xll.qlSwapIndex(,"Euribor",Q383,NDays,Currency,Calendar,"1Y","mf","30/360 (Bond Basis)",IborIndex,Discounting,,_xll.ohTrigger(Trigger,RecalcTrigger))</f>
        <v>obj_0079b#0004</v>
      </c>
      <c r="T383" s="124" t="str">
        <f>_xll.qlVanillaSwapFromSwapIndex(,S383,O383)</f>
        <v>obj_0079c#0004</v>
      </c>
      <c r="U383" s="112">
        <f>_xll.qlVanillaSwapFairRate(T383)</f>
        <v>1.2710000000076611E-2</v>
      </c>
      <c r="V383" s="207">
        <f t="shared" si="34"/>
        <v>7.6612327593039709E-14</v>
      </c>
      <c r="Y383" s="105" t="str">
        <f t="shared" si="35"/>
        <v>1D</v>
      </c>
      <c r="Z383" s="93">
        <f>_xll.qlCalendarAdvance(Calendar,Z382,Y383,"f",FALSE)</f>
        <v>42650</v>
      </c>
      <c r="AA383" s="117">
        <f>_xll.qlCalendarAdvance(Calendar,Z383,NDays&amp;"D")</f>
        <v>42654</v>
      </c>
      <c r="AB383" s="92">
        <v>1.581771674373435E-3</v>
      </c>
      <c r="AC383" s="101">
        <v>1.2950687922064219E-3</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42653</v>
      </c>
      <c r="AA384" s="117">
        <f>_xll.qlCalendarAdvance(Calendar,Z384,NDays&amp;"D")</f>
        <v>42655</v>
      </c>
      <c r="AB384" s="92">
        <v>1.5869234694207027E-3</v>
      </c>
      <c r="AC384" s="101">
        <v>1.2852448326405863E-3</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42654</v>
      </c>
      <c r="AA385" s="117">
        <f>_xll.qlCalendarAdvance(Calendar,Z385,NDays&amp;"D")</f>
        <v>42656</v>
      </c>
      <c r="AB385" s="92">
        <v>1.5920887547968246E-3</v>
      </c>
      <c r="AC385" s="101">
        <v>1.2743550133542669E-3</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42655</v>
      </c>
      <c r="AA386" s="117">
        <f>_xll.qlCalendarAdvance(Calendar,Z386,NDays&amp;"D")</f>
        <v>42657</v>
      </c>
      <c r="AB386" s="92">
        <v>1.6099999994596331E-3</v>
      </c>
      <c r="AC386" s="101">
        <v>1.2513930745772228E-3</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42656</v>
      </c>
      <c r="AA387" s="117">
        <f>_xll.qlCalendarAdvance(Calendar,Z387,NDays&amp;"D")</f>
        <v>42660</v>
      </c>
      <c r="AB387" s="92">
        <v>1.6158619508531175E-3</v>
      </c>
      <c r="AC387" s="101">
        <v>1.2299019339767625E-3</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42657</v>
      </c>
      <c r="AA388" s="117">
        <f>_xll.qlCalendarAdvance(Calendar,Z388,NDays&amp;"D")</f>
        <v>42661</v>
      </c>
      <c r="AB388" s="92">
        <v>1.6179770826391532E-3</v>
      </c>
      <c r="AC388" s="101">
        <v>1.2200423769659352E-3</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42660</v>
      </c>
      <c r="AA389" s="117">
        <f>_xll.qlCalendarAdvance(Calendar,Z389,NDays&amp;"D")</f>
        <v>42662</v>
      </c>
      <c r="AB389" s="92">
        <v>1.6231073867824196E-3</v>
      </c>
      <c r="AC389" s="101">
        <v>1.2107200382249772E-3</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42661</v>
      </c>
      <c r="AA390" s="117">
        <f>_xll.qlCalendarAdvance(Calendar,Z390,NDays&amp;"D")</f>
        <v>42663</v>
      </c>
      <c r="AB390" s="92">
        <v>1.6282089064783331E-3</v>
      </c>
      <c r="AC390" s="101">
        <v>1.2019395278262124E-3</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42662</v>
      </c>
      <c r="AA391" s="117">
        <f>_xll.qlCalendarAdvance(Calendar,Z391,NDays&amp;"D")</f>
        <v>42664</v>
      </c>
      <c r="AB391" s="92">
        <v>1.633282870354203E-3</v>
      </c>
      <c r="AC391" s="101">
        <v>1.1862115600980161E-3</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42663</v>
      </c>
      <c r="AA392" s="117">
        <f>_xll.qlCalendarAdvance(Calendar,Z392,NDays&amp;"D")</f>
        <v>42667</v>
      </c>
      <c r="AB392" s="92">
        <v>1.648351725578922E-3</v>
      </c>
      <c r="AC392" s="101">
        <v>1.1723279706998824E-3</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42664</v>
      </c>
      <c r="AA393" s="117">
        <f>_xll.qlCalendarAdvance(Calendar,Z393,NDays&amp;"D")</f>
        <v>42668</v>
      </c>
      <c r="AB393" s="92">
        <v>1.6533277687687269E-3</v>
      </c>
      <c r="AC393" s="101">
        <v>1.1663257530969418E-3</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42667</v>
      </c>
      <c r="AA394" s="117">
        <f>_xll.qlCalendarAdvance(Calendar,Z394,NDays&amp;"D")</f>
        <v>42669</v>
      </c>
      <c r="AB394" s="92">
        <v>1.6582824115144775E-3</v>
      </c>
      <c r="AC394" s="101">
        <v>1.1608930243500737E-3</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42668</v>
      </c>
      <c r="AA395" s="117">
        <f>_xll.qlCalendarAdvance(Calendar,Z395,NDays&amp;"D")</f>
        <v>42670</v>
      </c>
      <c r="AB395" s="92">
        <v>1.6632168873362732E-3</v>
      </c>
      <c r="AC395" s="101">
        <v>1.1560343946115381E-3</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42669</v>
      </c>
      <c r="AA396" s="117">
        <f>_xll.qlCalendarAdvance(Calendar,Z396,NDays&amp;"D")</f>
        <v>42671</v>
      </c>
      <c r="AB396" s="92">
        <v>1.6681324305720204E-3</v>
      </c>
      <c r="AC396" s="101">
        <v>1.1482575114207805E-3</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42670</v>
      </c>
      <c r="AA397" s="117">
        <f>_xll.qlCalendarAdvance(Calendar,Z397,NDays&amp;"D")</f>
        <v>42674</v>
      </c>
      <c r="AB397" s="92">
        <v>1.6768293727777077E-3</v>
      </c>
      <c r="AC397" s="101">
        <v>1.1424330676668148E-3</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01" si="39">U398-P398</f>
        <v>#VALUE!</v>
      </c>
      <c r="Y398" s="105" t="str">
        <f t="shared" si="35"/>
        <v>1D</v>
      </c>
      <c r="Z398" s="93">
        <f>_xll.qlCalendarAdvance(Calendar,Z397,Y398,"f",FALSE)</f>
        <v>42671</v>
      </c>
      <c r="AA398" s="117">
        <f>_xll.qlCalendarAdvance(Calendar,Z398,NDays&amp;"D")</f>
        <v>42675</v>
      </c>
      <c r="AB398" s="92">
        <v>1.6876299929063493E-3</v>
      </c>
      <c r="AC398" s="101">
        <v>1.1405140844544803E-3</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42674</v>
      </c>
      <c r="AA399" s="117">
        <f>_xll.qlCalendarAdvance(Calendar,Z399,NDays&amp;"D")</f>
        <v>42676</v>
      </c>
      <c r="AB399" s="92">
        <v>1.690647376601042E-3</v>
      </c>
      <c r="AC399" s="101">
        <v>1.1391968610041658E-3</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42675</v>
      </c>
      <c r="AA400" s="117">
        <f>_xll.qlCalendarAdvance(Calendar,Z400,NDays&amp;"D")</f>
        <v>42677</v>
      </c>
      <c r="AB400" s="92">
        <v>1.6955208058695769E-3</v>
      </c>
      <c r="AC400" s="101">
        <v>1.1384860073082592E-3</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42676</v>
      </c>
      <c r="AA401" s="117">
        <f>_xll.qlCalendarAdvance(Calendar,Z401,NDays&amp;"D")</f>
        <v>42678</v>
      </c>
      <c r="AB401" s="92">
        <v>1.7003793092062399E-3</v>
      </c>
      <c r="AC401" s="101">
        <v>1.1391121874559929E-3</v>
      </c>
    </row>
    <row r="402" spans="13:29" x14ac:dyDescent="0.2">
      <c r="Y402" s="105" t="str">
        <f t="shared" si="35"/>
        <v>1D</v>
      </c>
      <c r="Z402" s="93">
        <f>_xll.qlCalendarAdvance(Calendar,Z401,Y402,"f",FALSE)</f>
        <v>42677</v>
      </c>
      <c r="AA402" s="117">
        <f>_xll.qlCalendarAdvance(Calendar,Z402,NDays&amp;"D")</f>
        <v>42681</v>
      </c>
      <c r="AB402" s="92">
        <v>1.7165187074099984E-3</v>
      </c>
      <c r="AC402" s="101">
        <v>1.141798492794166E-3</v>
      </c>
    </row>
    <row r="403" spans="13:29" x14ac:dyDescent="0.2">
      <c r="Y403" s="105" t="str">
        <f t="shared" si="35"/>
        <v>1D</v>
      </c>
      <c r="Z403" s="93">
        <f>_xll.qlCalendarAdvance(Calendar,Z402,Y403,"f",FALSE)</f>
        <v>42678</v>
      </c>
      <c r="AA403" s="117">
        <f>_xll.qlCalendarAdvance(Calendar,Z403,NDays&amp;"D")</f>
        <v>42682</v>
      </c>
      <c r="AB403" s="92">
        <v>1.7196885029427753E-3</v>
      </c>
      <c r="AC403" s="101">
        <v>1.1441886399943257E-3</v>
      </c>
    </row>
    <row r="404" spans="13:29" x14ac:dyDescent="0.2">
      <c r="Y404" s="105" t="str">
        <f t="shared" si="35"/>
        <v>1D</v>
      </c>
      <c r="Z404" s="93">
        <f>_xll.qlCalendarAdvance(Calendar,Z403,Y404,"f",FALSE)</f>
        <v>42681</v>
      </c>
      <c r="AA404" s="117">
        <f>_xll.qlCalendarAdvance(Calendar,Z404,NDays&amp;"D")</f>
        <v>42683</v>
      </c>
      <c r="AB404" s="92">
        <v>1.7244907135644187E-3</v>
      </c>
      <c r="AC404" s="101">
        <v>1.147212817862453E-3</v>
      </c>
    </row>
    <row r="405" spans="13:29" x14ac:dyDescent="0.2">
      <c r="Y405" s="105" t="str">
        <f t="shared" ref="Y405:Y468" si="40">Y404</f>
        <v>1D</v>
      </c>
      <c r="Z405" s="93">
        <f>_xll.qlCalendarAdvance(Calendar,Z404,Y405,"f",FALSE)</f>
        <v>42682</v>
      </c>
      <c r="AA405" s="117">
        <f>_xll.qlCalendarAdvance(Calendar,Z405,NDays&amp;"D")</f>
        <v>42684</v>
      </c>
      <c r="AB405" s="92">
        <v>1.7292853387625021E-3</v>
      </c>
      <c r="AC405" s="101">
        <v>1.1508756363909356E-3</v>
      </c>
    </row>
    <row r="406" spans="13:29" x14ac:dyDescent="0.2">
      <c r="Y406" s="105" t="str">
        <f t="shared" si="40"/>
        <v>1D</v>
      </c>
      <c r="Z406" s="93">
        <f>_xll.qlCalendarAdvance(Calendar,Z405,Y406,"f",FALSE)</f>
        <v>42683</v>
      </c>
      <c r="AA406" s="117">
        <f>_xll.qlCalendarAdvance(Calendar,Z406,NDays&amp;"D")</f>
        <v>42685</v>
      </c>
      <c r="AB406" s="92">
        <v>1.7340736048206305E-3</v>
      </c>
      <c r="AC406" s="101">
        <v>1.1603568666984643E-3</v>
      </c>
    </row>
    <row r="407" spans="13:29" x14ac:dyDescent="0.2">
      <c r="Y407" s="105" t="str">
        <f t="shared" si="40"/>
        <v>1D</v>
      </c>
      <c r="Z407" s="93">
        <f>_xll.qlCalendarAdvance(Calendar,Z406,Y407,"f",FALSE)</f>
        <v>42684</v>
      </c>
      <c r="AA407" s="117">
        <f>_xll.qlCalendarAdvance(Calendar,Z407,NDays&amp;"D")</f>
        <v>42688</v>
      </c>
      <c r="AB407" s="92">
        <v>1.7499999999378972E-3</v>
      </c>
      <c r="AC407" s="101">
        <v>1.172005521032915E-3</v>
      </c>
    </row>
    <row r="408" spans="13:29" x14ac:dyDescent="0.2">
      <c r="Y408" s="105" t="str">
        <f t="shared" si="40"/>
        <v>1D</v>
      </c>
      <c r="Z408" s="93">
        <f>_xll.qlCalendarAdvance(Calendar,Z407,Y408,"f",FALSE)</f>
        <v>42685</v>
      </c>
      <c r="AA408" s="117">
        <f>_xll.qlCalendarAdvance(Calendar,Z408,NDays&amp;"D")</f>
        <v>42689</v>
      </c>
      <c r="AB408" s="92">
        <v>1.753187631973719E-3</v>
      </c>
      <c r="AC408" s="101">
        <v>1.1789306956266898E-3</v>
      </c>
    </row>
    <row r="409" spans="13:29" x14ac:dyDescent="0.2">
      <c r="Y409" s="105" t="str">
        <f t="shared" si="40"/>
        <v>1D</v>
      </c>
      <c r="Z409" s="93">
        <f>_xll.qlCalendarAdvance(Calendar,Z408,Y409,"f",FALSE)</f>
        <v>42688</v>
      </c>
      <c r="AA409" s="117">
        <f>_xll.qlCalendarAdvance(Calendar,Z409,NDays&amp;"D")</f>
        <v>42690</v>
      </c>
      <c r="AB409" s="92">
        <v>1.7579617135263436E-3</v>
      </c>
      <c r="AC409" s="101">
        <v>1.1863724585126079E-3</v>
      </c>
    </row>
    <row r="410" spans="13:29" x14ac:dyDescent="0.2">
      <c r="Y410" s="105" t="str">
        <f t="shared" si="40"/>
        <v>1D</v>
      </c>
      <c r="Z410" s="93">
        <f>_xll.qlCalendarAdvance(Calendar,Z409,Y410,"f",FALSE)</f>
        <v>42689</v>
      </c>
      <c r="AA410" s="117">
        <f>_xll.qlCalendarAdvance(Calendar,Z410,NDays&amp;"D")</f>
        <v>42691</v>
      </c>
      <c r="AB410" s="92">
        <v>1.7627327595813691E-3</v>
      </c>
      <c r="AC410" s="101">
        <v>1.19373440036874E-3</v>
      </c>
    </row>
    <row r="411" spans="13:29" x14ac:dyDescent="0.2">
      <c r="Y411" s="105" t="str">
        <f t="shared" si="40"/>
        <v>1D</v>
      </c>
      <c r="Z411" s="93">
        <f>_xll.qlCalendarAdvance(Calendar,Z410,Y411,"f",FALSE)</f>
        <v>42690</v>
      </c>
      <c r="AA411" s="117">
        <f>_xll.qlCalendarAdvance(Calendar,Z411,NDays&amp;"D")</f>
        <v>42692</v>
      </c>
      <c r="AB411" s="92">
        <v>1.7675012499962751E-3</v>
      </c>
      <c r="AC411" s="101">
        <v>1.2076895891333095E-3</v>
      </c>
    </row>
    <row r="412" spans="13:29" x14ac:dyDescent="0.2">
      <c r="Y412" s="105" t="str">
        <f t="shared" si="40"/>
        <v>1D</v>
      </c>
      <c r="Z412" s="93">
        <f>_xll.qlCalendarAdvance(Calendar,Z411,Y412,"f",FALSE)</f>
        <v>42691</v>
      </c>
      <c r="AA412" s="117">
        <f>_xll.qlCalendarAdvance(Calendar,Z412,NDays&amp;"D")</f>
        <v>42695</v>
      </c>
      <c r="AB412" s="92">
        <v>1.783473770897812E-3</v>
      </c>
      <c r="AC412" s="101">
        <v>1.2208544915814912E-3</v>
      </c>
    </row>
    <row r="413" spans="13:29" x14ac:dyDescent="0.2">
      <c r="Y413" s="105" t="str">
        <f t="shared" si="40"/>
        <v>1D</v>
      </c>
      <c r="Z413" s="93">
        <f>_xll.qlCalendarAdvance(Calendar,Z412,Y413,"f",FALSE)</f>
        <v>42692</v>
      </c>
      <c r="AA413" s="117">
        <f>_xll.qlCalendarAdvance(Calendar,Z413,NDays&amp;"D")</f>
        <v>42696</v>
      </c>
      <c r="AB413" s="92">
        <v>1.7865761059579902E-3</v>
      </c>
      <c r="AC413" s="101">
        <v>1.2270431582805941E-3</v>
      </c>
    </row>
    <row r="414" spans="13:29" x14ac:dyDescent="0.2">
      <c r="Y414" s="105" t="str">
        <f t="shared" si="40"/>
        <v>1D</v>
      </c>
      <c r="Z414" s="93">
        <f>_xll.qlCalendarAdvance(Calendar,Z413,Y414,"f",FALSE)</f>
        <v>42695</v>
      </c>
      <c r="AA414" s="117">
        <f>_xll.qlCalendarAdvance(Calendar,Z414,NDays&amp;"D")</f>
        <v>42697</v>
      </c>
      <c r="AB414" s="92">
        <v>1.7913517452060239E-3</v>
      </c>
      <c r="AC414" s="101">
        <v>1.232991507693626E-3</v>
      </c>
    </row>
    <row r="415" spans="13:29" x14ac:dyDescent="0.2">
      <c r="Y415" s="105" t="str">
        <f t="shared" si="40"/>
        <v>1D</v>
      </c>
      <c r="Z415" s="93">
        <f>_xll.qlCalendarAdvance(Calendar,Z414,Y415,"f",FALSE)</f>
        <v>42696</v>
      </c>
      <c r="AA415" s="117">
        <f>_xll.qlCalendarAdvance(Calendar,Z415,NDays&amp;"D")</f>
        <v>42698</v>
      </c>
      <c r="AB415" s="92">
        <v>1.7961328708327019E-3</v>
      </c>
      <c r="AC415" s="101">
        <v>1.2386976526101989E-3</v>
      </c>
    </row>
    <row r="416" spans="13:29" x14ac:dyDescent="0.2">
      <c r="Y416" s="105" t="str">
        <f t="shared" si="40"/>
        <v>1D</v>
      </c>
      <c r="Z416" s="93">
        <f>_xll.qlCalendarAdvance(Calendar,Z415,Y416,"f",FALSE)</f>
        <v>42697</v>
      </c>
      <c r="AA416" s="117">
        <f>_xll.qlCalendarAdvance(Calendar,Z416,NDays&amp;"D")</f>
        <v>42699</v>
      </c>
      <c r="AB416" s="92">
        <v>1.8009208587769449E-3</v>
      </c>
      <c r="AC416" s="101">
        <v>1.2492974919897648E-3</v>
      </c>
    </row>
    <row r="417" spans="25:29" x14ac:dyDescent="0.2">
      <c r="Y417" s="105" t="str">
        <f t="shared" si="40"/>
        <v>1D</v>
      </c>
      <c r="Z417" s="93">
        <f>_xll.qlCalendarAdvance(Calendar,Z416,Y417,"f",FALSE)</f>
        <v>42698</v>
      </c>
      <c r="AA417" s="117">
        <f>_xll.qlCalendarAdvance(Calendar,Z417,NDays&amp;"D")</f>
        <v>42702</v>
      </c>
      <c r="AB417" s="92">
        <v>1.8170926346552838E-3</v>
      </c>
      <c r="AC417" s="101">
        <v>1.2590624381481064E-3</v>
      </c>
    </row>
    <row r="418" spans="25:29" x14ac:dyDescent="0.2">
      <c r="Y418" s="105" t="str">
        <f t="shared" si="40"/>
        <v>1D</v>
      </c>
      <c r="Z418" s="93">
        <f>_xll.qlCalendarAdvance(Calendar,Z417,Y418,"f",FALSE)</f>
        <v>42699</v>
      </c>
      <c r="AA418" s="117">
        <f>_xll.qlCalendarAdvance(Calendar,Z418,NDays&amp;"D")</f>
        <v>42703</v>
      </c>
      <c r="AB418" s="92">
        <v>1.8201693085630579E-3</v>
      </c>
      <c r="AC418" s="101">
        <v>1.2635292491491867E-3</v>
      </c>
    </row>
    <row r="419" spans="25:29" x14ac:dyDescent="0.2">
      <c r="Y419" s="105" t="str">
        <f t="shared" si="40"/>
        <v>1D</v>
      </c>
      <c r="Z419" s="93">
        <f>_xll.qlCalendarAdvance(Calendar,Z418,Y419,"f",FALSE)</f>
        <v>42702</v>
      </c>
      <c r="AA419" s="117">
        <f>_xll.qlCalendarAdvance(Calendar,Z419,NDays&amp;"D")</f>
        <v>42704</v>
      </c>
      <c r="AB419" s="92">
        <v>1.8267890187680606E-3</v>
      </c>
      <c r="AC419" s="101">
        <v>1.2677425312723756E-3</v>
      </c>
    </row>
    <row r="420" spans="25:29" x14ac:dyDescent="0.2">
      <c r="Y420" s="105" t="str">
        <f t="shared" si="40"/>
        <v>1D</v>
      </c>
      <c r="Z420" s="93">
        <f>_xll.qlCalendarAdvance(Calendar,Z419,Y420,"f",FALSE)</f>
        <v>42703</v>
      </c>
      <c r="AA420" s="117">
        <f>_xll.qlCalendarAdvance(Calendar,Z420,NDays&amp;"D")</f>
        <v>42705</v>
      </c>
      <c r="AB420" s="92">
        <v>1.8316594194723369E-3</v>
      </c>
      <c r="AC420" s="101">
        <v>1.2717003969875407E-3</v>
      </c>
    </row>
    <row r="421" spans="25:29" x14ac:dyDescent="0.2">
      <c r="Y421" s="105" t="str">
        <f t="shared" si="40"/>
        <v>1D</v>
      </c>
      <c r="Z421" s="93">
        <f>_xll.qlCalendarAdvance(Calendar,Z420,Y421,"f",FALSE)</f>
        <v>42704</v>
      </c>
      <c r="AA421" s="117">
        <f>_xll.qlCalendarAdvance(Calendar,Z421,NDays&amp;"D")</f>
        <v>42706</v>
      </c>
      <c r="AB421" s="92">
        <v>1.8365465411493513E-3</v>
      </c>
      <c r="AC421" s="101">
        <v>1.2787598461727612E-3</v>
      </c>
    </row>
    <row r="422" spans="25:29" x14ac:dyDescent="0.2">
      <c r="Y422" s="105" t="str">
        <f t="shared" si="40"/>
        <v>1D</v>
      </c>
      <c r="Z422" s="93">
        <f>_xll.qlCalendarAdvance(Calendar,Z421,Y422,"f",FALSE)</f>
        <v>42705</v>
      </c>
      <c r="AA422" s="117">
        <f>_xll.qlCalendarAdvance(Calendar,Z422,NDays&amp;"D")</f>
        <v>42709</v>
      </c>
      <c r="AB422" s="92">
        <v>1.8513227731293141E-3</v>
      </c>
      <c r="AC422" s="101">
        <v>1.2849399492420588E-3</v>
      </c>
    </row>
    <row r="423" spans="25:29" x14ac:dyDescent="0.2">
      <c r="Y423" s="105" t="str">
        <f t="shared" si="40"/>
        <v>1D</v>
      </c>
      <c r="Z423" s="93">
        <f>_xll.qlCalendarAdvance(Calendar,Z422,Y423,"f",FALSE)</f>
        <v>42706</v>
      </c>
      <c r="AA423" s="117">
        <f>_xll.qlCalendarAdvance(Calendar,Z423,NDays&amp;"D")</f>
        <v>42710</v>
      </c>
      <c r="AB423" s="92">
        <v>1.856291370406661E-3</v>
      </c>
      <c r="AC423" s="101">
        <v>1.2875924226829483E-3</v>
      </c>
    </row>
    <row r="424" spans="25:29" x14ac:dyDescent="0.2">
      <c r="Y424" s="105" t="str">
        <f t="shared" si="40"/>
        <v>1D</v>
      </c>
      <c r="Z424" s="93">
        <f>_xll.qlCalendarAdvance(Calendar,Z423,Y424,"f",FALSE)</f>
        <v>42709</v>
      </c>
      <c r="AA424" s="117">
        <f>_xll.qlCalendarAdvance(Calendar,Z424,NDays&amp;"D")</f>
        <v>42711</v>
      </c>
      <c r="AB424" s="92">
        <v>1.8612840351076663E-3</v>
      </c>
      <c r="AC424" s="101">
        <v>1.2899781554942535E-3</v>
      </c>
    </row>
    <row r="425" spans="25:29" x14ac:dyDescent="0.2">
      <c r="Y425" s="105" t="str">
        <f t="shared" si="40"/>
        <v>1D</v>
      </c>
      <c r="Z425" s="93">
        <f>_xll.qlCalendarAdvance(Calendar,Z424,Y425,"f",FALSE)</f>
        <v>42710</v>
      </c>
      <c r="AA425" s="117">
        <f>_xll.qlCalendarAdvance(Calendar,Z425,NDays&amp;"D")</f>
        <v>42712</v>
      </c>
      <c r="AB425" s="92">
        <v>1.8663022668802083E-3</v>
      </c>
      <c r="AC425" s="101">
        <v>1.2920952603057145E-3</v>
      </c>
    </row>
    <row r="426" spans="25:29" x14ac:dyDescent="0.2">
      <c r="Y426" s="105" t="str">
        <f t="shared" si="40"/>
        <v>1D</v>
      </c>
      <c r="Z426" s="93">
        <f>_xll.qlCalendarAdvance(Calendar,Z425,Y426,"f",FALSE)</f>
        <v>42711</v>
      </c>
      <c r="AA426" s="117">
        <f>_xll.qlCalendarAdvance(Calendar,Z426,NDays&amp;"D")</f>
        <v>42713</v>
      </c>
      <c r="AB426" s="92">
        <v>1.8713475754933001E-3</v>
      </c>
      <c r="AC426" s="101">
        <v>1.2954292678557522E-3</v>
      </c>
    </row>
    <row r="427" spans="25:29" x14ac:dyDescent="0.2">
      <c r="Y427" s="105" t="str">
        <f t="shared" si="40"/>
        <v>1D</v>
      </c>
      <c r="Z427" s="93">
        <f>_xll.qlCalendarAdvance(Calendar,Z426,Y427,"f",FALSE)</f>
        <v>42712</v>
      </c>
      <c r="AA427" s="117">
        <f>_xll.qlCalendarAdvance(Calendar,Z427,NDays&amp;"D")</f>
        <v>42716</v>
      </c>
      <c r="AB427" s="92">
        <v>1.8866612118672156E-3</v>
      </c>
      <c r="AC427" s="101">
        <v>1.297839651988042E-3</v>
      </c>
    </row>
    <row r="428" spans="25:29" x14ac:dyDescent="0.2">
      <c r="Y428" s="105" t="str">
        <f t="shared" si="40"/>
        <v>1D</v>
      </c>
      <c r="Z428" s="93">
        <f>_xll.qlCalendarAdvance(Calendar,Z427,Y428,"f",FALSE)</f>
        <v>42713</v>
      </c>
      <c r="AA428" s="117">
        <f>_xll.qlCalendarAdvance(Calendar,Z428,NDays&amp;"D")</f>
        <v>42717</v>
      </c>
      <c r="AB428" s="92">
        <v>1.8918301279395209E-3</v>
      </c>
      <c r="AC428" s="101">
        <v>1.2985853061664443E-3</v>
      </c>
    </row>
    <row r="429" spans="25:29" x14ac:dyDescent="0.2">
      <c r="Y429" s="105" t="str">
        <f t="shared" si="40"/>
        <v>1D</v>
      </c>
      <c r="Z429" s="93">
        <f>_xll.qlCalendarAdvance(Calendar,Z428,Y429,"f",FALSE)</f>
        <v>42716</v>
      </c>
      <c r="AA429" s="117">
        <f>_xll.qlCalendarAdvance(Calendar,Z429,NDays&amp;"D")</f>
        <v>42718</v>
      </c>
      <c r="AB429" s="92">
        <v>1.8970338215074346E-3</v>
      </c>
      <c r="AC429" s="101">
        <v>1.2991422301933397E-3</v>
      </c>
    </row>
    <row r="430" spans="25:29" x14ac:dyDescent="0.2">
      <c r="Y430" s="105" t="str">
        <f t="shared" si="40"/>
        <v>1D</v>
      </c>
      <c r="Z430" s="93">
        <f>_xll.qlCalendarAdvance(Calendar,Z429,Y430,"f",FALSE)</f>
        <v>42717</v>
      </c>
      <c r="AA430" s="117">
        <f>_xll.qlCalendarAdvance(Calendar,Z430,NDays&amp;"D")</f>
        <v>42719</v>
      </c>
      <c r="AB430" s="92">
        <v>1.9022733613665583E-3</v>
      </c>
      <c r="AC430" s="101">
        <v>1.2998746812531436E-3</v>
      </c>
    </row>
    <row r="431" spans="25:29" x14ac:dyDescent="0.2">
      <c r="Y431" s="105" t="str">
        <f t="shared" si="40"/>
        <v>1D</v>
      </c>
      <c r="Z431" s="93">
        <f>_xll.qlCalendarAdvance(Calendar,Z430,Y431,"f",FALSE)</f>
        <v>42718</v>
      </c>
      <c r="AA431" s="117">
        <f>_xll.qlCalendarAdvance(Calendar,Z431,NDays&amp;"D")</f>
        <v>42720</v>
      </c>
      <c r="AB431" s="92">
        <v>1.9075478127130096E-3</v>
      </c>
      <c r="AC431" s="101">
        <v>1.3022418159014393E-3</v>
      </c>
    </row>
    <row r="432" spans="25:29" x14ac:dyDescent="0.2">
      <c r="Y432" s="105" t="str">
        <f t="shared" si="40"/>
        <v>1D</v>
      </c>
      <c r="Z432" s="93">
        <f>_xll.qlCalendarAdvance(Calendar,Z431,Y432,"f",FALSE)</f>
        <v>42719</v>
      </c>
      <c r="AA432" s="117">
        <f>_xll.qlCalendarAdvance(Calendar,Z432,NDays&amp;"D")</f>
        <v>42723</v>
      </c>
      <c r="AB432" s="92">
        <v>1.923566128418515E-3</v>
      </c>
      <c r="AC432" s="101">
        <v>1.3055064551803497E-3</v>
      </c>
    </row>
    <row r="433" spans="25:29" x14ac:dyDescent="0.2">
      <c r="Y433" s="105" t="str">
        <f t="shared" si="40"/>
        <v>1D</v>
      </c>
      <c r="Z433" s="93">
        <f>_xll.qlCalendarAdvance(Calendar,Z432,Y433,"f",FALSE)</f>
        <v>42720</v>
      </c>
      <c r="AA433" s="117">
        <f>_xll.qlCalendarAdvance(Calendar,Z433,NDays&amp;"D")</f>
        <v>42724</v>
      </c>
      <c r="AB433" s="92">
        <v>1.9289656652849302E-3</v>
      </c>
      <c r="AC433" s="101">
        <v>1.3075992951616655E-3</v>
      </c>
    </row>
    <row r="434" spans="25:29" x14ac:dyDescent="0.2">
      <c r="Y434" s="105" t="str">
        <f t="shared" si="40"/>
        <v>1D</v>
      </c>
      <c r="Z434" s="93">
        <f>_xll.qlCalendarAdvance(Calendar,Z433,Y434,"f",FALSE)</f>
        <v>42723</v>
      </c>
      <c r="AA434" s="117">
        <f>_xll.qlCalendarAdvance(Calendar,Z434,NDays&amp;"D")</f>
        <v>42725</v>
      </c>
      <c r="AB434" s="92">
        <v>1.9343927802511491E-3</v>
      </c>
      <c r="AC434" s="101">
        <v>1.3099698555496531E-3</v>
      </c>
    </row>
    <row r="435" spans="25:29" x14ac:dyDescent="0.2">
      <c r="Y435" s="105" t="str">
        <f t="shared" si="40"/>
        <v>1D</v>
      </c>
      <c r="Z435" s="93">
        <f>_xll.qlCalendarAdvance(Calendar,Z434,Y435,"f",FALSE)</f>
        <v>42724</v>
      </c>
      <c r="AA435" s="117">
        <f>_xll.qlCalendarAdvance(Calendar,Z435,NDays&amp;"D")</f>
        <v>42726</v>
      </c>
      <c r="AB435" s="92">
        <v>1.9398459747334972E-3</v>
      </c>
      <c r="AC435" s="101">
        <v>1.3126200170798796E-3</v>
      </c>
    </row>
    <row r="436" spans="25:29" x14ac:dyDescent="0.2">
      <c r="Y436" s="105" t="str">
        <f t="shared" si="40"/>
        <v>1D</v>
      </c>
      <c r="Z436" s="93">
        <f>_xll.qlCalendarAdvance(Calendar,Z435,Y436,"f",FALSE)</f>
        <v>42725</v>
      </c>
      <c r="AA436" s="117">
        <f>_xll.qlCalendarAdvance(Calendar,Z436,NDays&amp;"D")</f>
        <v>42727</v>
      </c>
      <c r="AB436" s="92">
        <v>1.9453237395137294E-3</v>
      </c>
      <c r="AC436" s="101">
        <v>1.3206671510190837E-3</v>
      </c>
    </row>
    <row r="437" spans="25:29" x14ac:dyDescent="0.2">
      <c r="Y437" s="105" t="str">
        <f t="shared" si="40"/>
        <v>1D</v>
      </c>
      <c r="Z437" s="93">
        <f>_xll.qlCalendarAdvance(Calendar,Z436,Y437,"f",FALSE)</f>
        <v>42726</v>
      </c>
      <c r="AA437" s="117">
        <f>_xll.qlCalendarAdvance(Calendar,Z437,NDays&amp;"D")</f>
        <v>42731</v>
      </c>
      <c r="AB437" s="92">
        <v>1.9674499449674953E-3</v>
      </c>
      <c r="AC437" s="101">
        <v>1.3301306709667671E-3</v>
      </c>
    </row>
    <row r="438" spans="25:29" x14ac:dyDescent="0.2">
      <c r="Y438" s="105" t="str">
        <f t="shared" si="40"/>
        <v>1D</v>
      </c>
      <c r="Z438" s="93">
        <f>_xll.qlCalendarAdvance(Calendar,Z437,Y438,"f",FALSE)</f>
        <v>42727</v>
      </c>
      <c r="AA438" s="117">
        <f>_xll.qlCalendarAdvance(Calendar,Z438,NDays&amp;"D")</f>
        <v>42732</v>
      </c>
      <c r="AB438" s="92">
        <v>1.9730275506779759E-3</v>
      </c>
      <c r="AC438" s="101">
        <v>1.3344979369556143E-3</v>
      </c>
    </row>
    <row r="439" spans="25:29" x14ac:dyDescent="0.2">
      <c r="Y439" s="105" t="str">
        <f t="shared" si="40"/>
        <v>1D</v>
      </c>
      <c r="Z439" s="93">
        <f>_xll.qlCalendarAdvance(Calendar,Z438,Y439,"f",FALSE)</f>
        <v>42731</v>
      </c>
      <c r="AA439" s="117">
        <f>_xll.qlCalendarAdvance(Calendar,Z439,NDays&amp;"D")</f>
        <v>42733</v>
      </c>
      <c r="AB439" s="92">
        <v>1.9786204480021462E-3</v>
      </c>
      <c r="AC439" s="101">
        <v>1.339157969955096E-3</v>
      </c>
    </row>
    <row r="440" spans="25:29" x14ac:dyDescent="0.2">
      <c r="Y440" s="105" t="str">
        <f t="shared" si="40"/>
        <v>1D</v>
      </c>
      <c r="Z440" s="93">
        <f>_xll.qlCalendarAdvance(Calendar,Z439,Y440,"f",FALSE)</f>
        <v>42732</v>
      </c>
      <c r="AA440" s="117">
        <f>_xll.qlCalendarAdvance(Calendar,Z440,NDays&amp;"D")</f>
        <v>42734</v>
      </c>
      <c r="AB440" s="92">
        <v>1.9842270532613236E-3</v>
      </c>
      <c r="AC440" s="101">
        <v>5.4176520474324974E-3</v>
      </c>
    </row>
    <row r="441" spans="25:29" x14ac:dyDescent="0.2">
      <c r="Y441" s="105" t="str">
        <f t="shared" si="40"/>
        <v>1D</v>
      </c>
      <c r="Z441" s="93">
        <f>_xll.qlCalendarAdvance(Calendar,Z440,Y441,"f",FALSE)</f>
        <v>42733</v>
      </c>
      <c r="AA441" s="117">
        <f>_xll.qlCalendarAdvance(Calendar,Z441,NDays&amp;"D")</f>
        <v>42737</v>
      </c>
      <c r="AB441" s="92">
        <v>1.9339903374893963E-3</v>
      </c>
      <c r="AC441" s="101">
        <v>1.3607633897283478E-3</v>
      </c>
    </row>
    <row r="442" spans="25:29" x14ac:dyDescent="0.2">
      <c r="Y442" s="105" t="str">
        <f t="shared" si="40"/>
        <v>1D</v>
      </c>
      <c r="Z442" s="93">
        <f>_xll.qlCalendarAdvance(Calendar,Z441,Y442,"f",FALSE)</f>
        <v>42734</v>
      </c>
      <c r="AA442" s="117">
        <f>_xll.qlCalendarAdvance(Calendar,Z442,NDays&amp;"D")</f>
        <v>42738</v>
      </c>
      <c r="AB442" s="92">
        <v>1.937150014970889E-3</v>
      </c>
      <c r="AC442" s="101">
        <v>1.3669154708129128E-3</v>
      </c>
    </row>
    <row r="443" spans="25:29" x14ac:dyDescent="0.2">
      <c r="Y443" s="105" t="str">
        <f t="shared" si="40"/>
        <v>1D</v>
      </c>
      <c r="Z443" s="93">
        <f>_xll.qlCalendarAdvance(Calendar,Z442,Y443,"f",FALSE)</f>
        <v>42737</v>
      </c>
      <c r="AA443" s="117">
        <f>_xll.qlCalendarAdvance(Calendar,Z443,NDays&amp;"D")</f>
        <v>42739</v>
      </c>
      <c r="AB443" s="92">
        <v>1.9427923560315617E-3</v>
      </c>
      <c r="AC443" s="101">
        <v>1.3733716039610044E-3</v>
      </c>
    </row>
    <row r="444" spans="25:29" x14ac:dyDescent="0.2">
      <c r="Y444" s="105" t="str">
        <f t="shared" si="40"/>
        <v>1D</v>
      </c>
      <c r="Z444" s="93">
        <f>_xll.qlCalendarAdvance(Calendar,Z443,Y444,"f",FALSE)</f>
        <v>42738</v>
      </c>
      <c r="AA444" s="117">
        <f>_xll.qlCalendarAdvance(Calendar,Z444,NDays&amp;"D")</f>
        <v>42740</v>
      </c>
      <c r="AB444" s="92">
        <v>1.9484386762659098E-3</v>
      </c>
      <c r="AC444" s="101">
        <v>1.3801336701479983E-3</v>
      </c>
    </row>
    <row r="445" spans="25:29" x14ac:dyDescent="0.2">
      <c r="Y445" s="105" t="str">
        <f t="shared" si="40"/>
        <v>1D</v>
      </c>
      <c r="Z445" s="93">
        <f>_xll.qlCalendarAdvance(Calendar,Z444,Y445,"f",FALSE)</f>
        <v>42739</v>
      </c>
      <c r="AA445" s="117">
        <f>_xll.qlCalendarAdvance(Calendar,Z445,NDays&amp;"D")</f>
        <v>42741</v>
      </c>
      <c r="AB445" s="92">
        <v>1.9540873087041674E-3</v>
      </c>
      <c r="AC445" s="101">
        <v>1.3946923867003136E-3</v>
      </c>
    </row>
    <row r="446" spans="25:29" x14ac:dyDescent="0.2">
      <c r="Y446" s="105" t="str">
        <f t="shared" si="40"/>
        <v>1D</v>
      </c>
      <c r="Z446" s="93">
        <f>_xll.qlCalendarAdvance(Calendar,Z445,Y446,"f",FALSE)</f>
        <v>42740</v>
      </c>
      <c r="AA446" s="117">
        <f>_xll.qlCalendarAdvance(Calendar,Z446,NDays&amp;"D")</f>
        <v>42744</v>
      </c>
      <c r="AB446" s="92">
        <v>1.9735669016849094E-3</v>
      </c>
      <c r="AC446" s="101">
        <v>1.4102788820746781E-3</v>
      </c>
    </row>
    <row r="447" spans="25:29" x14ac:dyDescent="0.2">
      <c r="Y447" s="105" t="str">
        <f t="shared" si="40"/>
        <v>1D</v>
      </c>
      <c r="Z447" s="93">
        <f>_xll.qlCalendarAdvance(Calendar,Z446,Y447,"f",FALSE)</f>
        <v>42741</v>
      </c>
      <c r="AA447" s="117">
        <f>_xll.qlCalendarAdvance(Calendar,Z447,NDays&amp;"D")</f>
        <v>42745</v>
      </c>
      <c r="AB447" s="92">
        <v>1.9766712466976828E-3</v>
      </c>
      <c r="AC447" s="101">
        <v>1.4185988261683491E-3</v>
      </c>
    </row>
    <row r="448" spans="25:29" x14ac:dyDescent="0.2">
      <c r="Y448" s="105" t="str">
        <f t="shared" si="40"/>
        <v>1D</v>
      </c>
      <c r="Z448" s="93">
        <f>_xll.qlCalendarAdvance(Calendar,Z447,Y448,"f",FALSE)</f>
        <v>42744</v>
      </c>
      <c r="AA448" s="117">
        <f>_xll.qlCalendarAdvance(Calendar,Z448,NDays&amp;"D")</f>
        <v>42746</v>
      </c>
      <c r="AB448" s="92">
        <v>1.9823060611937906E-3</v>
      </c>
      <c r="AC448" s="101">
        <v>1.4272359882738783E-3</v>
      </c>
    </row>
    <row r="449" spans="25:29" x14ac:dyDescent="0.2">
      <c r="Y449" s="105" t="str">
        <f t="shared" si="40"/>
        <v>1D</v>
      </c>
      <c r="Z449" s="93">
        <f>_xll.qlCalendarAdvance(Calendar,Z448,Y449,"f",FALSE)</f>
        <v>42745</v>
      </c>
      <c r="AA449" s="117">
        <f>_xll.qlCalendarAdvance(Calendar,Z449,NDays&amp;"D")</f>
        <v>42747</v>
      </c>
      <c r="AB449" s="92">
        <v>1.9879329614191123E-3</v>
      </c>
      <c r="AC449" s="101">
        <v>1.4361922495265134E-3</v>
      </c>
    </row>
    <row r="450" spans="25:29" x14ac:dyDescent="0.2">
      <c r="Y450" s="105" t="str">
        <f t="shared" si="40"/>
        <v>1D</v>
      </c>
      <c r="Z450" s="93">
        <f>_xll.qlCalendarAdvance(Calendar,Z449,Y450,"f",FALSE)</f>
        <v>42746</v>
      </c>
      <c r="AA450" s="117">
        <f>_xll.qlCalendarAdvance(Calendar,Z450,NDays&amp;"D")</f>
        <v>42748</v>
      </c>
      <c r="AB450" s="92">
        <v>1.9935502055148367E-3</v>
      </c>
      <c r="AC450" s="101">
        <v>1.455183721388309E-3</v>
      </c>
    </row>
    <row r="451" spans="25:29" x14ac:dyDescent="0.2">
      <c r="Y451" s="105" t="str">
        <f t="shared" si="40"/>
        <v>1D</v>
      </c>
      <c r="Z451" s="93">
        <f>_xll.qlCalendarAdvance(Calendar,Z450,Y451,"f",FALSE)</f>
        <v>42747</v>
      </c>
      <c r="AA451" s="117">
        <f>_xll.qlCalendarAdvance(Calendar,Z451,NDays&amp;"D")</f>
        <v>42751</v>
      </c>
      <c r="AB451" s="92">
        <v>2.0129250667842514E-3</v>
      </c>
      <c r="AC451" s="101">
        <v>1.4751281621006029E-3</v>
      </c>
    </row>
    <row r="452" spans="25:29" x14ac:dyDescent="0.2">
      <c r="Y452" s="105" t="str">
        <f t="shared" si="40"/>
        <v>1D</v>
      </c>
      <c r="Z452" s="93">
        <f>_xll.qlCalendarAdvance(Calendar,Z451,Y452,"f",FALSE)</f>
        <v>42748</v>
      </c>
      <c r="AA452" s="117">
        <f>_xll.qlCalendarAdvance(Calendar,Z452,NDays&amp;"D")</f>
        <v>42752</v>
      </c>
      <c r="AB452" s="92">
        <v>2.0158880601420714E-3</v>
      </c>
      <c r="AC452" s="101">
        <v>1.485000161718375E-3</v>
      </c>
    </row>
    <row r="453" spans="25:29" x14ac:dyDescent="0.2">
      <c r="Y453" s="105" t="str">
        <f t="shared" si="40"/>
        <v>1D</v>
      </c>
      <c r="Z453" s="93">
        <f>_xll.qlCalendarAdvance(Calendar,Z452,Y453,"f",FALSE)</f>
        <v>42751</v>
      </c>
      <c r="AA453" s="117">
        <f>_xll.qlCalendarAdvance(Calendar,Z453,NDays&amp;"D")</f>
        <v>42753</v>
      </c>
      <c r="AB453" s="92">
        <v>2.0214350878084396E-3</v>
      </c>
      <c r="AC453" s="101">
        <v>1.494490357467626E-3</v>
      </c>
    </row>
    <row r="454" spans="25:29" x14ac:dyDescent="0.2">
      <c r="Y454" s="105" t="str">
        <f t="shared" si="40"/>
        <v>1D</v>
      </c>
      <c r="Z454" s="93">
        <f>_xll.qlCalendarAdvance(Calendar,Z453,Y454,"f",FALSE)</f>
        <v>42752</v>
      </c>
      <c r="AA454" s="117">
        <f>_xll.qlCalendarAdvance(Calendar,Z454,NDays&amp;"D")</f>
        <v>42754</v>
      </c>
      <c r="AB454" s="92">
        <v>2.0269696376840739E-3</v>
      </c>
      <c r="AC454" s="101">
        <v>1.5035960278453331E-3</v>
      </c>
    </row>
    <row r="455" spans="25:29" x14ac:dyDescent="0.2">
      <c r="Y455" s="105" t="str">
        <f t="shared" si="40"/>
        <v>1D</v>
      </c>
      <c r="Z455" s="93">
        <f>_xll.qlCalendarAdvance(Calendar,Z454,Y455,"f",FALSE)</f>
        <v>42753</v>
      </c>
      <c r="AA455" s="117">
        <f>_xll.qlCalendarAdvance(Calendar,Z455,NDays&amp;"D")</f>
        <v>42755</v>
      </c>
      <c r="AB455" s="92">
        <v>2.0324938572798719E-3</v>
      </c>
      <c r="AC455" s="101">
        <v>1.5205184325761678E-3</v>
      </c>
    </row>
    <row r="456" spans="25:29" x14ac:dyDescent="0.2">
      <c r="Y456" s="105" t="str">
        <f t="shared" si="40"/>
        <v>1D</v>
      </c>
      <c r="Z456" s="93">
        <f>_xll.qlCalendarAdvance(Calendar,Z455,Y456,"f",FALSE)</f>
        <v>42754</v>
      </c>
      <c r="AA456" s="117">
        <f>_xll.qlCalendarAdvance(Calendar,Z456,NDays&amp;"D")</f>
        <v>42758</v>
      </c>
      <c r="AB456" s="92">
        <v>2.0516912026263276E-3</v>
      </c>
      <c r="AC456" s="101">
        <v>1.5361190282980886E-3</v>
      </c>
    </row>
    <row r="457" spans="25:29" x14ac:dyDescent="0.2">
      <c r="Y457" s="105" t="str">
        <f t="shared" si="40"/>
        <v>1D</v>
      </c>
      <c r="Z457" s="93">
        <f>_xll.qlCalendarAdvance(Calendar,Z456,Y457,"f",FALSE)</f>
        <v>42755</v>
      </c>
      <c r="AA457" s="117">
        <f>_xll.qlCalendarAdvance(Calendar,Z457,NDays&amp;"D")</f>
        <v>42759</v>
      </c>
      <c r="AB457" s="92">
        <v>2.0545309010003149E-3</v>
      </c>
      <c r="AC457" s="101">
        <v>1.5432612513510691E-3</v>
      </c>
    </row>
    <row r="458" spans="25:29" x14ac:dyDescent="0.2">
      <c r="Y458" s="105" t="str">
        <f t="shared" si="40"/>
        <v>1D</v>
      </c>
      <c r="Z458" s="93">
        <f>_xll.qlCalendarAdvance(Calendar,Z457,Y458,"f",FALSE)</f>
        <v>42758</v>
      </c>
      <c r="AA458" s="117">
        <f>_xll.qlCalendarAdvance(Calendar,Z458,NDays&amp;"D")</f>
        <v>42760</v>
      </c>
      <c r="AB458" s="92">
        <v>2.0600361997714272E-3</v>
      </c>
      <c r="AC458" s="101">
        <v>1.5500026206538564E-3</v>
      </c>
    </row>
    <row r="459" spans="25:29" x14ac:dyDescent="0.2">
      <c r="Y459" s="105" t="str">
        <f t="shared" si="40"/>
        <v>1D</v>
      </c>
      <c r="Z459" s="93">
        <f>_xll.qlCalendarAdvance(Calendar,Z458,Y459,"f",FALSE)</f>
        <v>42759</v>
      </c>
      <c r="AA459" s="117">
        <f>_xll.qlCalendarAdvance(Calendar,Z459,NDays&amp;"D")</f>
        <v>42761</v>
      </c>
      <c r="AB459" s="92">
        <v>2.0655443640735559E-3</v>
      </c>
      <c r="AC459" s="101">
        <v>1.556340415183044E-3</v>
      </c>
    </row>
    <row r="460" spans="25:29" x14ac:dyDescent="0.2">
      <c r="Y460" s="105" t="str">
        <f t="shared" si="40"/>
        <v>1D</v>
      </c>
      <c r="Z460" s="93">
        <f>_xll.qlCalendarAdvance(Calendar,Z459,Y460,"f",FALSE)</f>
        <v>42760</v>
      </c>
      <c r="AA460" s="117">
        <f>_xll.qlCalendarAdvance(Calendar,Z460,NDays&amp;"D")</f>
        <v>42762</v>
      </c>
      <c r="AB460" s="92">
        <v>2.0710576449983905E-3</v>
      </c>
      <c r="AC460" s="101">
        <v>1.567663973887079E-3</v>
      </c>
    </row>
    <row r="461" spans="25:29" x14ac:dyDescent="0.2">
      <c r="Y461" s="105" t="str">
        <f t="shared" si="40"/>
        <v>1D</v>
      </c>
      <c r="Z461" s="93">
        <f>_xll.qlCalendarAdvance(Calendar,Z460,Y461,"f",FALSE)</f>
        <v>42761</v>
      </c>
      <c r="AA461" s="117">
        <f>_xll.qlCalendarAdvance(Calendar,Z461,NDays&amp;"D")</f>
        <v>42765</v>
      </c>
      <c r="AB461" s="92">
        <v>2.0903835969047786E-3</v>
      </c>
      <c r="AC461" s="101">
        <v>1.5776014160628904E-3</v>
      </c>
    </row>
    <row r="462" spans="25:29" x14ac:dyDescent="0.2">
      <c r="Y462" s="105" t="str">
        <f t="shared" si="40"/>
        <v>1D</v>
      </c>
      <c r="Z462" s="93">
        <f>_xll.qlCalendarAdvance(Calendar,Z461,Y462,"f",FALSE)</f>
        <v>42762</v>
      </c>
      <c r="AA462" s="117">
        <f>_xll.qlCalendarAdvance(Calendar,Z462,NDays&amp;"D")</f>
        <v>42766</v>
      </c>
      <c r="AB462" s="92">
        <v>2.0932074747190416E-3</v>
      </c>
      <c r="AC462" s="101">
        <v>1.5818805151379678E-3</v>
      </c>
    </row>
    <row r="463" spans="25:29" x14ac:dyDescent="0.2">
      <c r="Y463" s="105" t="str">
        <f t="shared" si="40"/>
        <v>1D</v>
      </c>
      <c r="Z463" s="93">
        <f>_xll.qlCalendarAdvance(Calendar,Z462,Y463,"f",FALSE)</f>
        <v>42765</v>
      </c>
      <c r="AA463" s="117">
        <f>_xll.qlCalendarAdvance(Calendar,Z463,NDays&amp;"D")</f>
        <v>42767</v>
      </c>
      <c r="AB463" s="92">
        <v>2.0987806230914501E-3</v>
      </c>
      <c r="AC463" s="101">
        <v>1.5857397111407323E-3</v>
      </c>
    </row>
    <row r="464" spans="25:29" x14ac:dyDescent="0.2">
      <c r="Y464" s="105" t="str">
        <f t="shared" si="40"/>
        <v>1D</v>
      </c>
      <c r="Z464" s="93">
        <f>_xll.qlCalendarAdvance(Calendar,Z463,Y464,"f",FALSE)</f>
        <v>42766</v>
      </c>
      <c r="AA464" s="117">
        <f>_xll.qlCalendarAdvance(Calendar,Z464,NDays&amp;"D")</f>
        <v>42768</v>
      </c>
      <c r="AB464" s="92">
        <v>2.1043727054135155E-3</v>
      </c>
      <c r="AC464" s="101">
        <v>1.589176282568161E-3</v>
      </c>
    </row>
    <row r="465" spans="25:29" x14ac:dyDescent="0.2">
      <c r="Y465" s="105" t="str">
        <f t="shared" si="40"/>
        <v>1D</v>
      </c>
      <c r="Z465" s="93">
        <f>_xll.qlCalendarAdvance(Calendar,Z464,Y465,"f",FALSE)</f>
        <v>42767</v>
      </c>
      <c r="AA465" s="117">
        <f>_xll.qlCalendarAdvance(Calendar,Z465,NDays&amp;"D")</f>
        <v>42769</v>
      </c>
      <c r="AB465" s="92">
        <v>2.1099860763700825E-3</v>
      </c>
      <c r="AC465" s="101">
        <v>1.5946341337258474E-3</v>
      </c>
    </row>
    <row r="466" spans="25:29" x14ac:dyDescent="0.2">
      <c r="Y466" s="105" t="str">
        <f t="shared" si="40"/>
        <v>1D</v>
      </c>
      <c r="Z466" s="93">
        <f>_xll.qlCalendarAdvance(Calendar,Z465,Y466,"f",FALSE)</f>
        <v>42768</v>
      </c>
      <c r="AA466" s="117">
        <f>_xll.qlCalendarAdvance(Calendar,Z466,NDays&amp;"D")</f>
        <v>42772</v>
      </c>
      <c r="AB466" s="92">
        <v>2.1297750913710795E-3</v>
      </c>
      <c r="AC466" s="101">
        <v>1.5986418959812454E-3</v>
      </c>
    </row>
    <row r="467" spans="25:29" x14ac:dyDescent="0.2">
      <c r="Y467" s="105" t="str">
        <f t="shared" si="40"/>
        <v>1D</v>
      </c>
      <c r="Z467" s="93">
        <f>_xll.qlCalendarAdvance(Calendar,Z466,Y467,"f",FALSE)</f>
        <v>42769</v>
      </c>
      <c r="AA467" s="117">
        <f>_xll.qlCalendarAdvance(Calendar,Z467,NDays&amp;"D")</f>
        <v>42773</v>
      </c>
      <c r="AB467" s="92">
        <v>2.1327000582932556E-3</v>
      </c>
      <c r="AC467" s="101">
        <v>1.5999245243847326E-3</v>
      </c>
    </row>
    <row r="468" spans="25:29" x14ac:dyDescent="0.2">
      <c r="Y468" s="105" t="str">
        <f t="shared" si="40"/>
        <v>1D</v>
      </c>
      <c r="Z468" s="93">
        <f>_xll.qlCalendarAdvance(Calendar,Z467,Y468,"f",FALSE)</f>
        <v>42772</v>
      </c>
      <c r="AA468" s="117">
        <f>_xll.qlCalendarAdvance(Calendar,Z468,NDays&amp;"D")</f>
        <v>42774</v>
      </c>
      <c r="AB468" s="92">
        <v>2.1384557107495539E-3</v>
      </c>
      <c r="AC468" s="101">
        <v>1.6007682002339152E-3</v>
      </c>
    </row>
    <row r="469" spans="25:29" x14ac:dyDescent="0.2">
      <c r="Y469" s="105" t="str">
        <f t="shared" ref="Y469:Y532" si="41">Y468</f>
        <v>1D</v>
      </c>
      <c r="Z469" s="93">
        <f>_xll.qlCalendarAdvance(Calendar,Z468,Y469,"f",FALSE)</f>
        <v>42773</v>
      </c>
      <c r="AA469" s="117">
        <f>_xll.qlCalendarAdvance(Calendar,Z469,NDays&amp;"D")</f>
        <v>42775</v>
      </c>
      <c r="AB469" s="92">
        <v>2.144247090785421E-3</v>
      </c>
      <c r="AC469" s="101">
        <v>1.601170201945834E-3</v>
      </c>
    </row>
    <row r="470" spans="25:29" x14ac:dyDescent="0.2">
      <c r="Y470" s="105" t="str">
        <f t="shared" si="41"/>
        <v>1D</v>
      </c>
      <c r="Z470" s="93">
        <f>_xll.qlCalendarAdvance(Calendar,Z469,Y470,"f",FALSE)</f>
        <v>42774</v>
      </c>
      <c r="AA470" s="117">
        <f>_xll.qlCalendarAdvance(Calendar,Z470,NDays&amp;"D")</f>
        <v>42776</v>
      </c>
      <c r="AB470" s="92">
        <v>2.1500766567022645E-3</v>
      </c>
      <c r="AC470" s="101">
        <v>1.6004954675175043E-3</v>
      </c>
    </row>
    <row r="471" spans="25:29" x14ac:dyDescent="0.2">
      <c r="Y471" s="105" t="str">
        <f t="shared" si="41"/>
        <v>1D</v>
      </c>
      <c r="Z471" s="93">
        <f>_xll.qlCalendarAdvance(Calendar,Z470,Y471,"f",FALSE)</f>
        <v>42775</v>
      </c>
      <c r="AA471" s="117">
        <f>_xll.qlCalendarAdvance(Calendar,Z471,NDays&amp;"D")</f>
        <v>42779</v>
      </c>
      <c r="AB471" s="92">
        <v>2.1706738669443407E-3</v>
      </c>
      <c r="AC471" s="101">
        <v>1.5983070419167689E-3</v>
      </c>
    </row>
    <row r="472" spans="25:29" x14ac:dyDescent="0.2">
      <c r="Y472" s="105" t="str">
        <f t="shared" si="41"/>
        <v>1D</v>
      </c>
      <c r="Z472" s="93">
        <f>_xll.qlCalendarAdvance(Calendar,Z471,Y472,"f",FALSE)</f>
        <v>42776</v>
      </c>
      <c r="AA472" s="117">
        <f>_xll.qlCalendarAdvance(Calendar,Z472,NDays&amp;"D")</f>
        <v>42780</v>
      </c>
      <c r="AB472" s="92">
        <v>2.1738264633685439E-3</v>
      </c>
      <c r="AC472" s="101">
        <v>1.5964598533546592E-3</v>
      </c>
    </row>
    <row r="473" spans="25:29" x14ac:dyDescent="0.2">
      <c r="Y473" s="105" t="str">
        <f t="shared" si="41"/>
        <v>1D</v>
      </c>
      <c r="Z473" s="93">
        <f>_xll.qlCalendarAdvance(Calendar,Z472,Y473,"f",FALSE)</f>
        <v>42779</v>
      </c>
      <c r="AA473" s="117">
        <f>_xll.qlCalendarAdvance(Calendar,Z473,NDays&amp;"D")</f>
        <v>42781</v>
      </c>
      <c r="AB473" s="92">
        <v>2.1798843513873858E-3</v>
      </c>
      <c r="AC473" s="101">
        <v>1.5944004547030488E-3</v>
      </c>
    </row>
    <row r="474" spans="25:29" x14ac:dyDescent="0.2">
      <c r="Y474" s="105" t="str">
        <f t="shared" si="41"/>
        <v>1D</v>
      </c>
      <c r="Z474" s="93">
        <f>_xll.qlCalendarAdvance(Calendar,Z473,Y474,"f",FALSE)</f>
        <v>42780</v>
      </c>
      <c r="AA474" s="117">
        <f>_xll.qlCalendarAdvance(Calendar,Z474,NDays&amp;"D")</f>
        <v>42782</v>
      </c>
      <c r="AB474" s="92">
        <v>2.1859941265611319E-3</v>
      </c>
      <c r="AC474" s="101">
        <v>1.5931123453238882E-3</v>
      </c>
    </row>
    <row r="475" spans="25:29" x14ac:dyDescent="0.2">
      <c r="Y475" s="105" t="str">
        <f t="shared" si="41"/>
        <v>1D</v>
      </c>
      <c r="Z475" s="93">
        <f>_xll.qlCalendarAdvance(Calendar,Z474,Y475,"f",FALSE)</f>
        <v>42781</v>
      </c>
      <c r="AA475" s="117">
        <f>_xll.qlCalendarAdvance(Calendar,Z475,NDays&amp;"D")</f>
        <v>42783</v>
      </c>
      <c r="AB475" s="92">
        <v>2.1921515366545336E-3</v>
      </c>
      <c r="AC475" s="101">
        <v>1.5939631034278534E-3</v>
      </c>
    </row>
    <row r="476" spans="25:29" x14ac:dyDescent="0.2">
      <c r="Y476" s="105" t="str">
        <f t="shared" si="41"/>
        <v>1D</v>
      </c>
      <c r="Z476" s="93">
        <f>_xll.qlCalendarAdvance(Calendar,Z475,Y476,"f",FALSE)</f>
        <v>42782</v>
      </c>
      <c r="AA476" s="117">
        <f>_xll.qlCalendarAdvance(Calendar,Z476,NDays&amp;"D")</f>
        <v>42786</v>
      </c>
      <c r="AB476" s="92">
        <v>2.2137534007917836E-3</v>
      </c>
      <c r="AC476" s="101">
        <v>1.5982518589385819E-3</v>
      </c>
    </row>
    <row r="477" spans="25:29" x14ac:dyDescent="0.2">
      <c r="Y477" s="105" t="str">
        <f t="shared" si="41"/>
        <v>1D</v>
      </c>
      <c r="Z477" s="93">
        <f>_xll.qlCalendarAdvance(Calendar,Z476,Y477,"f",FALSE)</f>
        <v>42783</v>
      </c>
      <c r="AA477" s="117">
        <f>_xll.qlCalendarAdvance(Calendar,Z477,NDays&amp;"D")</f>
        <v>42787</v>
      </c>
      <c r="AB477" s="92">
        <v>2.2171441185891432E-3</v>
      </c>
      <c r="AC477" s="101">
        <v>1.6021419181733165E-3</v>
      </c>
    </row>
    <row r="478" spans="25:29" x14ac:dyDescent="0.2">
      <c r="Y478" s="105" t="str">
        <f t="shared" si="41"/>
        <v>1D</v>
      </c>
      <c r="Z478" s="93">
        <f>_xll.qlCalendarAdvance(Calendar,Z477,Y478,"f",FALSE)</f>
        <v>42786</v>
      </c>
      <c r="AA478" s="117">
        <f>_xll.qlCalendarAdvance(Calendar,Z478,NDays&amp;"D")</f>
        <v>42788</v>
      </c>
      <c r="AB478" s="92">
        <v>2.2234543329176658E-3</v>
      </c>
      <c r="AC478" s="101">
        <v>1.6070869268958177E-3</v>
      </c>
    </row>
    <row r="479" spans="25:29" x14ac:dyDescent="0.2">
      <c r="Y479" s="105" t="str">
        <f t="shared" si="41"/>
        <v>1D</v>
      </c>
      <c r="Z479" s="93">
        <f>_xll.qlCalendarAdvance(Calendar,Z478,Y479,"f",FALSE)</f>
        <v>42787</v>
      </c>
      <c r="AA479" s="117">
        <f>_xll.qlCalendarAdvance(Calendar,Z479,NDays&amp;"D")</f>
        <v>42789</v>
      </c>
      <c r="AB479" s="92">
        <v>2.2297777823043212E-3</v>
      </c>
      <c r="AC479" s="101">
        <v>1.6130933239555389E-3</v>
      </c>
    </row>
    <row r="480" spans="25:29" x14ac:dyDescent="0.2">
      <c r="Y480" s="105" t="str">
        <f t="shared" si="41"/>
        <v>1D</v>
      </c>
      <c r="Z480" s="93">
        <f>_xll.qlCalendarAdvance(Calendar,Z479,Y480,"f",FALSE)</f>
        <v>42788</v>
      </c>
      <c r="AA480" s="117">
        <f>_xll.qlCalendarAdvance(Calendar,Z480,NDays&amp;"D")</f>
        <v>42790</v>
      </c>
      <c r="AB480" s="92">
        <v>2.2361086075725393E-3</v>
      </c>
      <c r="AC480" s="101">
        <v>1.6286836402201743E-3</v>
      </c>
    </row>
    <row r="481" spans="25:29" x14ac:dyDescent="0.2">
      <c r="Y481" s="105" t="str">
        <f t="shared" si="41"/>
        <v>1D</v>
      </c>
      <c r="Z481" s="93">
        <f>_xll.qlCalendarAdvance(Calendar,Z480,Y481,"f",FALSE)</f>
        <v>42789</v>
      </c>
      <c r="AA481" s="117">
        <f>_xll.qlCalendarAdvance(Calendar,Z481,NDays&amp;"D")</f>
        <v>42793</v>
      </c>
      <c r="AB481" s="92">
        <v>2.2580264994752032E-3</v>
      </c>
      <c r="AC481" s="101">
        <v>1.647861567359854E-3</v>
      </c>
    </row>
    <row r="482" spans="25:29" x14ac:dyDescent="0.2">
      <c r="Y482" s="105" t="str">
        <f t="shared" si="41"/>
        <v>1D</v>
      </c>
      <c r="Z482" s="93">
        <f>_xll.qlCalendarAdvance(Calendar,Z481,Y482,"f",FALSE)</f>
        <v>42790</v>
      </c>
      <c r="AA482" s="117">
        <f>_xll.qlCalendarAdvance(Calendar,Z482,NDays&amp;"D")</f>
        <v>42794</v>
      </c>
      <c r="AB482" s="92">
        <v>2.2702498344292451E-3</v>
      </c>
      <c r="AC482" s="101">
        <v>1.6592714854102297E-3</v>
      </c>
    </row>
    <row r="483" spans="25:29" x14ac:dyDescent="0.2">
      <c r="Y483" s="105" t="str">
        <f t="shared" si="41"/>
        <v>1D</v>
      </c>
      <c r="Z483" s="93">
        <f>_xll.qlCalendarAdvance(Calendar,Z482,Y483,"f",FALSE)</f>
        <v>42793</v>
      </c>
      <c r="AA483" s="117">
        <f>_xll.qlCalendarAdvance(Calendar,Z483,NDays&amp;"D")</f>
        <v>42795</v>
      </c>
      <c r="AB483" s="92">
        <v>2.2765461314347545E-3</v>
      </c>
      <c r="AC483" s="101">
        <v>1.6717814237754425E-3</v>
      </c>
    </row>
    <row r="484" spans="25:29" x14ac:dyDescent="0.2">
      <c r="Y484" s="105" t="str">
        <f t="shared" si="41"/>
        <v>1D</v>
      </c>
      <c r="Z484" s="93">
        <f>_xll.qlCalendarAdvance(Calendar,Z483,Y484,"f",FALSE)</f>
        <v>42794</v>
      </c>
      <c r="AA484" s="117">
        <f>_xll.qlCalendarAdvance(Calendar,Z484,NDays&amp;"D")</f>
        <v>42796</v>
      </c>
      <c r="AB484" s="92">
        <v>2.2887857978288522E-3</v>
      </c>
      <c r="AC484" s="101">
        <v>1.6853978211450737E-3</v>
      </c>
    </row>
    <row r="485" spans="25:29" x14ac:dyDescent="0.2">
      <c r="Y485" s="105" t="str">
        <f t="shared" si="41"/>
        <v>1D</v>
      </c>
      <c r="Z485" s="93">
        <f>_xll.qlCalendarAdvance(Calendar,Z484,Y485,"f",FALSE)</f>
        <v>42795</v>
      </c>
      <c r="AA485" s="117">
        <f>_xll.qlCalendarAdvance(Calendar,Z485,NDays&amp;"D")</f>
        <v>42797</v>
      </c>
      <c r="AB485" s="92">
        <v>2.2920366239218199E-3</v>
      </c>
      <c r="AC485" s="101">
        <v>1.7163591888280649E-3</v>
      </c>
    </row>
    <row r="486" spans="25:29" x14ac:dyDescent="0.2">
      <c r="Y486" s="105" t="str">
        <f t="shared" si="41"/>
        <v>1D</v>
      </c>
      <c r="Z486" s="93">
        <f>_xll.qlCalendarAdvance(Calendar,Z485,Y486,"f",FALSE)</f>
        <v>42796</v>
      </c>
      <c r="AA486" s="117">
        <f>_xll.qlCalendarAdvance(Calendar,Z486,NDays&amp;"D")</f>
        <v>42800</v>
      </c>
      <c r="AB486" s="92">
        <v>2.3074862053294189E-3</v>
      </c>
      <c r="AC486" s="101">
        <v>1.7510567750989026E-3</v>
      </c>
    </row>
    <row r="487" spans="25:29" x14ac:dyDescent="0.2">
      <c r="Y487" s="105" t="str">
        <f t="shared" si="41"/>
        <v>1D</v>
      </c>
      <c r="Z487" s="93">
        <f>_xll.qlCalendarAdvance(Calendar,Z486,Y487,"f",FALSE)</f>
        <v>42797</v>
      </c>
      <c r="AA487" s="117">
        <f>_xll.qlCalendarAdvance(Calendar,Z487,NDays&amp;"D")</f>
        <v>42801</v>
      </c>
      <c r="AB487" s="92">
        <v>2.3135233566951986E-3</v>
      </c>
      <c r="AC487" s="101">
        <v>1.7703020486337095E-3</v>
      </c>
    </row>
    <row r="488" spans="25:29" x14ac:dyDescent="0.2">
      <c r="Y488" s="105" t="str">
        <f t="shared" si="41"/>
        <v>1D</v>
      </c>
      <c r="Z488" s="93">
        <f>_xll.qlCalendarAdvance(Calendar,Z487,Y488,"f",FALSE)</f>
        <v>42800</v>
      </c>
      <c r="AA488" s="117">
        <f>_xll.qlCalendarAdvance(Calendar,Z488,NDays&amp;"D")</f>
        <v>42802</v>
      </c>
      <c r="AB488" s="92">
        <v>2.3194958614238042E-3</v>
      </c>
      <c r="AC488" s="101">
        <v>1.7906924135502322E-3</v>
      </c>
    </row>
    <row r="489" spans="25:29" x14ac:dyDescent="0.2">
      <c r="Y489" s="105" t="str">
        <f t="shared" si="41"/>
        <v>1D</v>
      </c>
      <c r="Z489" s="93">
        <f>_xll.qlCalendarAdvance(Calendar,Z488,Y489,"f",FALSE)</f>
        <v>42801</v>
      </c>
      <c r="AA489" s="117">
        <f>_xll.qlCalendarAdvance(Calendar,Z489,NDays&amp;"D")</f>
        <v>42803</v>
      </c>
      <c r="AB489" s="92">
        <v>2.3314663419802331E-3</v>
      </c>
      <c r="AC489" s="101">
        <v>1.8122343087778603E-3</v>
      </c>
    </row>
    <row r="490" spans="25:29" x14ac:dyDescent="0.2">
      <c r="Y490" s="105" t="str">
        <f t="shared" si="41"/>
        <v>1D</v>
      </c>
      <c r="Z490" s="93">
        <f>_xll.qlCalendarAdvance(Calendar,Z489,Y490,"f",FALSE)</f>
        <v>42802</v>
      </c>
      <c r="AA490" s="117">
        <f>_xll.qlCalendarAdvance(Calendar,Z490,NDays&amp;"D")</f>
        <v>42804</v>
      </c>
      <c r="AB490" s="92">
        <v>2.33426125098497E-3</v>
      </c>
      <c r="AC490" s="101">
        <v>1.8591983288640535E-3</v>
      </c>
    </row>
    <row r="491" spans="25:29" x14ac:dyDescent="0.2">
      <c r="Y491" s="105" t="str">
        <f t="shared" si="41"/>
        <v>1D</v>
      </c>
      <c r="Z491" s="93">
        <f>_xll.qlCalendarAdvance(Calendar,Z490,Y491,"f",FALSE)</f>
        <v>42803</v>
      </c>
      <c r="AA491" s="117">
        <f>_xll.qlCalendarAdvance(Calendar,Z491,NDays&amp;"D")</f>
        <v>42807</v>
      </c>
      <c r="AB491" s="92">
        <v>2.3481695885173718E-3</v>
      </c>
      <c r="AC491" s="101">
        <v>1.9100459693888183E-3</v>
      </c>
    </row>
    <row r="492" spans="25:29" x14ac:dyDescent="0.2">
      <c r="Y492" s="105" t="str">
        <f t="shared" si="41"/>
        <v>1D</v>
      </c>
      <c r="Z492" s="93">
        <f>_xll.qlCalendarAdvance(Calendar,Z491,Y492,"f",FALSE)</f>
        <v>42804</v>
      </c>
      <c r="AA492" s="117">
        <f>_xll.qlCalendarAdvance(Calendar,Z492,NDays&amp;"D")</f>
        <v>42808</v>
      </c>
      <c r="AB492" s="92">
        <v>2.3536222600251608E-3</v>
      </c>
      <c r="AC492" s="101">
        <v>1.937061250441019E-3</v>
      </c>
    </row>
    <row r="493" spans="25:29" x14ac:dyDescent="0.2">
      <c r="Y493" s="105" t="str">
        <f t="shared" si="41"/>
        <v>1D</v>
      </c>
      <c r="Z493" s="93">
        <f>_xll.qlCalendarAdvance(Calendar,Z492,Y493,"f",FALSE)</f>
        <v>42807</v>
      </c>
      <c r="AA493" s="117">
        <f>_xll.qlCalendarAdvance(Calendar,Z493,NDays&amp;"D")</f>
        <v>42809</v>
      </c>
      <c r="AB493" s="92">
        <v>2.3589680426260935E-3</v>
      </c>
      <c r="AC493" s="101">
        <v>1.9633579128086609E-3</v>
      </c>
    </row>
    <row r="494" spans="25:29" x14ac:dyDescent="0.2">
      <c r="Y494" s="105" t="str">
        <f t="shared" si="41"/>
        <v>1D</v>
      </c>
      <c r="Z494" s="93">
        <f>_xll.qlCalendarAdvance(Calendar,Z493,Y494,"f",FALSE)</f>
        <v>42808</v>
      </c>
      <c r="AA494" s="117">
        <f>_xll.qlCalendarAdvance(Calendar,Z494,NDays&amp;"D")</f>
        <v>42810</v>
      </c>
      <c r="AB494" s="92">
        <v>2.3704182178976583E-3</v>
      </c>
      <c r="AC494" s="101">
        <v>1.9885490598969824E-3</v>
      </c>
    </row>
    <row r="495" spans="25:29" x14ac:dyDescent="0.2">
      <c r="Y495" s="105" t="str">
        <f t="shared" si="41"/>
        <v>1D</v>
      </c>
      <c r="Z495" s="93">
        <f>_xll.qlCalendarAdvance(Calendar,Z494,Y495,"f",FALSE)</f>
        <v>42809</v>
      </c>
      <c r="AA495" s="117">
        <f>_xll.qlCalendarAdvance(Calendar,Z495,NDays&amp;"D")</f>
        <v>42811</v>
      </c>
      <c r="AB495" s="92">
        <v>2.3724692705872166E-3</v>
      </c>
      <c r="AC495" s="101">
        <v>2.0352218904307051E-3</v>
      </c>
    </row>
    <row r="496" spans="25:29" x14ac:dyDescent="0.2">
      <c r="Y496" s="105" t="str">
        <f t="shared" si="41"/>
        <v>1D</v>
      </c>
      <c r="Z496" s="93">
        <f>_xll.qlCalendarAdvance(Calendar,Z495,Y496,"f",FALSE)</f>
        <v>42810</v>
      </c>
      <c r="AA496" s="117">
        <f>_xll.qlCalendarAdvance(Calendar,Z496,NDays&amp;"D")</f>
        <v>42814</v>
      </c>
      <c r="AB496" s="92">
        <v>2.3842733025084117E-3</v>
      </c>
      <c r="AC496" s="101">
        <v>2.078114823182986E-3</v>
      </c>
    </row>
    <row r="497" spans="25:29" x14ac:dyDescent="0.2">
      <c r="Y497" s="105" t="str">
        <f t="shared" si="41"/>
        <v>1D</v>
      </c>
      <c r="Z497" s="93">
        <f>_xll.qlCalendarAdvance(Calendar,Z496,Y497,"f",FALSE)</f>
        <v>42811</v>
      </c>
      <c r="AA497" s="117">
        <f>_xll.qlCalendarAdvance(Calendar,Z497,NDays&amp;"D")</f>
        <v>42815</v>
      </c>
      <c r="AB497" s="92">
        <v>2.3890923028041765E-3</v>
      </c>
      <c r="AC497" s="101">
        <v>2.0976706396691469E-3</v>
      </c>
    </row>
    <row r="498" spans="25:29" x14ac:dyDescent="0.2">
      <c r="Y498" s="105" t="str">
        <f t="shared" si="41"/>
        <v>1D</v>
      </c>
      <c r="Z498" s="93">
        <f>_xll.qlCalendarAdvance(Calendar,Z497,Y498,"f",FALSE)</f>
        <v>42814</v>
      </c>
      <c r="AA498" s="117">
        <f>_xll.qlCalendarAdvance(Calendar,Z498,NDays&amp;"D")</f>
        <v>42816</v>
      </c>
      <c r="AB498" s="92">
        <v>2.3938450269940337E-3</v>
      </c>
      <c r="AC498" s="101">
        <v>2.1160778392737001E-3</v>
      </c>
    </row>
    <row r="499" spans="25:29" x14ac:dyDescent="0.2">
      <c r="Y499" s="105" t="str">
        <f t="shared" si="41"/>
        <v>1D</v>
      </c>
      <c r="Z499" s="93">
        <f>_xll.qlCalendarAdvance(Calendar,Z498,Y499,"f",FALSE)</f>
        <v>42815</v>
      </c>
      <c r="AA499" s="117">
        <f>_xll.qlCalendarAdvance(Calendar,Z499,NDays&amp;"D")</f>
        <v>42817</v>
      </c>
      <c r="AB499" s="92">
        <v>2.4049322068930485E-3</v>
      </c>
      <c r="AC499" s="101">
        <v>2.1333292384628777E-3</v>
      </c>
    </row>
    <row r="500" spans="25:29" x14ac:dyDescent="0.2">
      <c r="Y500" s="105" t="str">
        <f t="shared" si="41"/>
        <v>1D</v>
      </c>
      <c r="Z500" s="93">
        <f>_xll.qlCalendarAdvance(Calendar,Z499,Y500,"f",FALSE)</f>
        <v>42816</v>
      </c>
      <c r="AA500" s="117">
        <f>_xll.qlCalendarAdvance(Calendar,Z500,NDays&amp;"D")</f>
        <v>42818</v>
      </c>
      <c r="AB500" s="92">
        <v>2.4063860710083862E-3</v>
      </c>
      <c r="AC500" s="101">
        <v>2.1639564579967185E-3</v>
      </c>
    </row>
    <row r="501" spans="25:29" x14ac:dyDescent="0.2">
      <c r="Y501" s="105" t="str">
        <f t="shared" si="41"/>
        <v>1D</v>
      </c>
      <c r="Z501" s="93">
        <f>_xll.qlCalendarAdvance(Calendar,Z500,Y501,"f",FALSE)</f>
        <v>42817</v>
      </c>
      <c r="AA501" s="117">
        <f>_xll.qlCalendarAdvance(Calendar,Z501,NDays&amp;"D")</f>
        <v>42821</v>
      </c>
      <c r="AB501" s="92">
        <v>2.416834705812501E-3</v>
      </c>
      <c r="AC501" s="101">
        <v>2.1906331594312434E-3</v>
      </c>
    </row>
    <row r="502" spans="25:29" x14ac:dyDescent="0.2">
      <c r="Y502" s="105" t="str">
        <f t="shared" si="41"/>
        <v>1D</v>
      </c>
      <c r="Z502" s="93">
        <f>_xll.qlCalendarAdvance(Calendar,Z501,Y502,"f",FALSE)</f>
        <v>42818</v>
      </c>
      <c r="AA502" s="117">
        <f>_xll.qlCalendarAdvance(Calendar,Z502,NDays&amp;"D")</f>
        <v>42822</v>
      </c>
      <c r="AB502" s="92">
        <v>2.4213224373432376E-3</v>
      </c>
      <c r="AC502" s="101">
        <v>2.2019978030574094E-3</v>
      </c>
    </row>
    <row r="503" spans="25:29" x14ac:dyDescent="0.2">
      <c r="Y503" s="105" t="str">
        <f t="shared" si="41"/>
        <v>1D</v>
      </c>
      <c r="Z503" s="93">
        <f>_xll.qlCalendarAdvance(Calendar,Z502,Y503,"f",FALSE)</f>
        <v>42821</v>
      </c>
      <c r="AA503" s="117">
        <f>_xll.qlCalendarAdvance(Calendar,Z503,NDays&amp;"D")</f>
        <v>42823</v>
      </c>
      <c r="AB503" s="92">
        <v>2.4257884769526721E-3</v>
      </c>
      <c r="AC503" s="101">
        <v>2.212163545065593E-3</v>
      </c>
    </row>
    <row r="504" spans="25:29" x14ac:dyDescent="0.2">
      <c r="Y504" s="105" t="str">
        <f t="shared" si="41"/>
        <v>1D</v>
      </c>
      <c r="Z504" s="93">
        <f>_xll.qlCalendarAdvance(Calendar,Z503,Y504,"f",FALSE)</f>
        <v>42822</v>
      </c>
      <c r="AA504" s="117">
        <f>_xll.qlCalendarAdvance(Calendar,Z504,NDays&amp;"D")</f>
        <v>42824</v>
      </c>
      <c r="AB504" s="92">
        <v>2.4269409130008093E-3</v>
      </c>
      <c r="AC504" s="101">
        <v>2.2211232020019622E-3</v>
      </c>
    </row>
    <row r="505" spans="25:29" x14ac:dyDescent="0.2">
      <c r="Y505" s="105" t="str">
        <f t="shared" si="41"/>
        <v>1D</v>
      </c>
      <c r="Z505" s="93">
        <f>_xll.qlCalendarAdvance(Calendar,Z504,Y505,"f",FALSE)</f>
        <v>42823</v>
      </c>
      <c r="AA505" s="117">
        <f>_xll.qlCalendarAdvance(Calendar,Z505,NDays&amp;"D")</f>
        <v>42825</v>
      </c>
      <c r="AB505" s="92">
        <v>2.4280567989526077E-3</v>
      </c>
      <c r="AC505" s="101">
        <v>2.2350001898008287E-3</v>
      </c>
    </row>
    <row r="506" spans="25:29" x14ac:dyDescent="0.2">
      <c r="Y506" s="105" t="str">
        <f t="shared" si="41"/>
        <v>1D</v>
      </c>
      <c r="Z506" s="93">
        <f>_xll.qlCalendarAdvance(Calendar,Z505,Y506,"f",FALSE)</f>
        <v>42824</v>
      </c>
      <c r="AA506" s="117">
        <f>_xll.qlCalendarAdvance(Calendar,Z506,NDays&amp;"D")</f>
        <v>42828</v>
      </c>
      <c r="AB506" s="92">
        <v>2.4446601723288144E-3</v>
      </c>
      <c r="AC506" s="101">
        <v>2.2447573081940675E-3</v>
      </c>
    </row>
    <row r="507" spans="25:29" x14ac:dyDescent="0.2">
      <c r="Y507" s="105" t="str">
        <f t="shared" si="41"/>
        <v>1D</v>
      </c>
      <c r="Z507" s="93">
        <f>_xll.qlCalendarAdvance(Calendar,Z506,Y507,"f",FALSE)</f>
        <v>42825</v>
      </c>
      <c r="AA507" s="117">
        <f>_xll.qlCalendarAdvance(Calendar,Z507,NDays&amp;"D")</f>
        <v>42829</v>
      </c>
      <c r="AB507" s="92">
        <v>2.449118490731358E-3</v>
      </c>
      <c r="AC507" s="101">
        <v>2.2475787872444641E-3</v>
      </c>
    </row>
    <row r="508" spans="25:29" x14ac:dyDescent="0.2">
      <c r="Y508" s="105" t="str">
        <f t="shared" si="41"/>
        <v>1D</v>
      </c>
      <c r="Z508" s="93">
        <f>_xll.qlCalendarAdvance(Calendar,Z507,Y508,"f",FALSE)</f>
        <v>42828</v>
      </c>
      <c r="AA508" s="117">
        <f>_xll.qlCalendarAdvance(Calendar,Z508,NDays&amp;"D")</f>
        <v>42830</v>
      </c>
      <c r="AB508" s="92">
        <v>2.4536017420796639E-3</v>
      </c>
      <c r="AC508" s="101">
        <v>2.2491510802602477E-3</v>
      </c>
    </row>
    <row r="509" spans="25:29" x14ac:dyDescent="0.2">
      <c r="Y509" s="105" t="str">
        <f t="shared" si="41"/>
        <v>1D</v>
      </c>
      <c r="Z509" s="93">
        <f>_xll.qlCalendarAdvance(Calendar,Z508,Y509,"f",FALSE)</f>
        <v>42829</v>
      </c>
      <c r="AA509" s="117">
        <f>_xll.qlCalendarAdvance(Calendar,Z509,NDays&amp;"D")</f>
        <v>42831</v>
      </c>
      <c r="AB509" s="92">
        <v>2.4581167605406263E-3</v>
      </c>
      <c r="AC509" s="101">
        <v>2.2494670041073306E-3</v>
      </c>
    </row>
    <row r="510" spans="25:29" x14ac:dyDescent="0.2">
      <c r="Y510" s="105" t="str">
        <f t="shared" si="41"/>
        <v>1D</v>
      </c>
      <c r="Z510" s="93">
        <f>_xll.qlCalendarAdvance(Calendar,Z509,Y510,"f",FALSE)</f>
        <v>42830</v>
      </c>
      <c r="AA510" s="117">
        <f>_xll.qlCalendarAdvance(Calendar,Z510,NDays&amp;"D")</f>
        <v>42832</v>
      </c>
      <c r="AB510" s="92">
        <v>2.469524804762333E-3</v>
      </c>
      <c r="AC510" s="101">
        <v>2.2458890480692162E-3</v>
      </c>
    </row>
    <row r="511" spans="25:29" x14ac:dyDescent="0.2">
      <c r="Y511" s="105" t="str">
        <f t="shared" si="41"/>
        <v>1D</v>
      </c>
      <c r="Z511" s="93">
        <f>_xll.qlCalendarAdvance(Calendar,Z510,Y511,"f",FALSE)</f>
        <v>42831</v>
      </c>
      <c r="AA511" s="117">
        <f>_xll.qlCalendarAdvance(Calendar,Z511,NDays&amp;"D")</f>
        <v>42835</v>
      </c>
      <c r="AB511" s="92">
        <v>2.4766325570799029E-3</v>
      </c>
      <c r="AC511" s="101">
        <v>2.2380233384922121E-3</v>
      </c>
    </row>
    <row r="512" spans="25:29" x14ac:dyDescent="0.2">
      <c r="Y512" s="105" t="str">
        <f t="shared" si="41"/>
        <v>1D</v>
      </c>
      <c r="Z512" s="93">
        <f>_xll.qlCalendarAdvance(Calendar,Z511,Y512,"f",FALSE)</f>
        <v>42832</v>
      </c>
      <c r="AA512" s="117">
        <f>_xll.qlCalendarAdvance(Calendar,Z512,NDays&amp;"D")</f>
        <v>42836</v>
      </c>
      <c r="AB512" s="92">
        <v>2.4814102918704305E-3</v>
      </c>
      <c r="AC512" s="101">
        <v>2.2319496650080595E-3</v>
      </c>
    </row>
    <row r="513" spans="25:29" x14ac:dyDescent="0.2">
      <c r="Y513" s="105" t="str">
        <f t="shared" si="41"/>
        <v>1D</v>
      </c>
      <c r="Z513" s="93">
        <f>_xll.qlCalendarAdvance(Calendar,Z512,Y513,"f",FALSE)</f>
        <v>42835</v>
      </c>
      <c r="AA513" s="117">
        <f>_xll.qlCalendarAdvance(Calendar,Z513,NDays&amp;"D")</f>
        <v>42837</v>
      </c>
      <c r="AB513" s="92">
        <v>2.4862616197654647E-3</v>
      </c>
      <c r="AC513" s="101">
        <v>2.2245765221917679E-3</v>
      </c>
    </row>
    <row r="514" spans="25:29" x14ac:dyDescent="0.2">
      <c r="Y514" s="105" t="str">
        <f t="shared" si="41"/>
        <v>1D</v>
      </c>
      <c r="Z514" s="93">
        <f>_xll.qlCalendarAdvance(Calendar,Z513,Y514,"f",FALSE)</f>
        <v>42836</v>
      </c>
      <c r="AA514" s="117">
        <f>_xll.qlCalendarAdvance(Calendar,Z514,NDays&amp;"D")</f>
        <v>42838</v>
      </c>
      <c r="AB514" s="92">
        <v>2.4911936486167988E-3</v>
      </c>
      <c r="AC514" s="101">
        <v>2.1932869649106124E-3</v>
      </c>
    </row>
    <row r="515" spans="25:29" x14ac:dyDescent="0.2">
      <c r="Y515" s="105" t="str">
        <f t="shared" si="41"/>
        <v>1D</v>
      </c>
      <c r="Z515" s="93">
        <f>_xll.qlCalendarAdvance(Calendar,Z514,Y515,"f",FALSE)</f>
        <v>42837</v>
      </c>
      <c r="AA515" s="117">
        <f>_xll.qlCalendarAdvance(Calendar,Z515,NDays&amp;"D")</f>
        <v>42843</v>
      </c>
      <c r="AB515" s="92">
        <v>2.5173158199079896E-3</v>
      </c>
      <c r="AC515" s="101">
        <v>2.1529977590351024E-3</v>
      </c>
    </row>
    <row r="516" spans="25:29" x14ac:dyDescent="0.2">
      <c r="Y516" s="105" t="str">
        <f t="shared" si="41"/>
        <v>1D</v>
      </c>
      <c r="Z516" s="93">
        <f>_xll.qlCalendarAdvance(Calendar,Z515,Y516,"f",FALSE)</f>
        <v>42838</v>
      </c>
      <c r="AA516" s="117">
        <f>_xll.qlCalendarAdvance(Calendar,Z516,NDays&amp;"D")</f>
        <v>42844</v>
      </c>
      <c r="AB516" s="92">
        <v>2.522881588100984E-3</v>
      </c>
      <c r="AC516" s="101">
        <v>2.1384384866074413E-3</v>
      </c>
    </row>
    <row r="517" spans="25:29" x14ac:dyDescent="0.2">
      <c r="Y517" s="105" t="str">
        <f t="shared" si="41"/>
        <v>1D</v>
      </c>
      <c r="Z517" s="93">
        <f>_xll.qlCalendarAdvance(Calendar,Z516,Y517,"f",FALSE)</f>
        <v>42843</v>
      </c>
      <c r="AA517" s="117">
        <f>_xll.qlCalendarAdvance(Calendar,Z517,NDays&amp;"D")</f>
        <v>42845</v>
      </c>
      <c r="AB517" s="92">
        <v>2.5285673556211747E-3</v>
      </c>
      <c r="AC517" s="101">
        <v>2.1246445116851476E-3</v>
      </c>
    </row>
    <row r="518" spans="25:29" x14ac:dyDescent="0.2">
      <c r="Y518" s="105" t="str">
        <f t="shared" si="41"/>
        <v>1D</v>
      </c>
      <c r="Z518" s="93">
        <f>_xll.qlCalendarAdvance(Calendar,Z517,Y518,"f",FALSE)</f>
        <v>42844</v>
      </c>
      <c r="AA518" s="117">
        <f>_xll.qlCalendarAdvance(Calendar,Z518,NDays&amp;"D")</f>
        <v>42846</v>
      </c>
      <c r="AB518" s="92">
        <v>2.5415666648851785E-3</v>
      </c>
      <c r="AC518" s="101">
        <v>2.0996435790543444E-3</v>
      </c>
    </row>
    <row r="519" spans="25:29" x14ac:dyDescent="0.2">
      <c r="Y519" s="105" t="str">
        <f t="shared" si="41"/>
        <v>1D</v>
      </c>
      <c r="Z519" s="93">
        <f>_xll.qlCalendarAdvance(Calendar,Z518,Y519,"f",FALSE)</f>
        <v>42845</v>
      </c>
      <c r="AA519" s="117">
        <f>_xll.qlCalendarAdvance(Calendar,Z519,NDays&amp;"D")</f>
        <v>42849</v>
      </c>
      <c r="AB519" s="92">
        <v>2.5524262033186857E-3</v>
      </c>
      <c r="AC519" s="101">
        <v>2.0772167064819769E-3</v>
      </c>
    </row>
    <row r="520" spans="25:29" x14ac:dyDescent="0.2">
      <c r="Y520" s="105" t="str">
        <f t="shared" si="41"/>
        <v>1D</v>
      </c>
      <c r="Z520" s="93">
        <f>_xll.qlCalendarAdvance(Calendar,Z519,Y520,"f",FALSE)</f>
        <v>42846</v>
      </c>
      <c r="AA520" s="117">
        <f>_xll.qlCalendarAdvance(Calendar,Z520,NDays&amp;"D")</f>
        <v>42850</v>
      </c>
      <c r="AB520" s="92">
        <v>2.5586485753531416E-3</v>
      </c>
      <c r="AC520" s="101">
        <v>2.0673205586607679E-3</v>
      </c>
    </row>
    <row r="521" spans="25:29" x14ac:dyDescent="0.2">
      <c r="Y521" s="105" t="str">
        <f t="shared" si="41"/>
        <v>1D</v>
      </c>
      <c r="Z521" s="93">
        <f>_xll.qlCalendarAdvance(Calendar,Z520,Y521,"f",FALSE)</f>
        <v>42849</v>
      </c>
      <c r="AA521" s="117">
        <f>_xll.qlCalendarAdvance(Calendar,Z521,NDays&amp;"D")</f>
        <v>42851</v>
      </c>
      <c r="AB521" s="92">
        <v>2.5649654055460514E-3</v>
      </c>
      <c r="AC521" s="101">
        <v>2.0582182438388941E-3</v>
      </c>
    </row>
    <row r="522" spans="25:29" x14ac:dyDescent="0.2">
      <c r="Y522" s="105" t="str">
        <f t="shared" si="41"/>
        <v>1D</v>
      </c>
      <c r="Z522" s="93">
        <f>_xll.qlCalendarAdvance(Calendar,Z521,Y522,"f",FALSE)</f>
        <v>42850</v>
      </c>
      <c r="AA522" s="117">
        <f>_xll.qlCalendarAdvance(Calendar,Z522,NDays&amp;"D")</f>
        <v>42852</v>
      </c>
      <c r="AB522" s="92">
        <v>2.5713723448656787E-3</v>
      </c>
      <c r="AC522" s="101">
        <v>2.0499145185315371E-3</v>
      </c>
    </row>
    <row r="523" spans="25:29" x14ac:dyDescent="0.2">
      <c r="Y523" s="105" t="str">
        <f t="shared" si="41"/>
        <v>1D</v>
      </c>
      <c r="Z523" s="93">
        <f>_xll.qlCalendarAdvance(Calendar,Z522,Y523,"f",FALSE)</f>
        <v>42851</v>
      </c>
      <c r="AA523" s="117">
        <f>_xll.qlCalendarAdvance(Calendar,Z523,NDays&amp;"D")</f>
        <v>42853</v>
      </c>
      <c r="AB523" s="92">
        <v>2.5887952212391078E-3</v>
      </c>
      <c r="AC523" s="101">
        <v>2.033206990470493E-3</v>
      </c>
    </row>
    <row r="524" spans="25:29" x14ac:dyDescent="0.2">
      <c r="Y524" s="105" t="str">
        <f t="shared" si="41"/>
        <v>1D</v>
      </c>
      <c r="Z524" s="93">
        <f>_xll.qlCalendarAdvance(Calendar,Z523,Y524,"f",FALSE)</f>
        <v>42852</v>
      </c>
      <c r="AA524" s="117">
        <f>_xll.qlCalendarAdvance(Calendar,Z524,NDays&amp;"D")</f>
        <v>42857</v>
      </c>
      <c r="AB524" s="92">
        <v>2.6082624726300862E-3</v>
      </c>
      <c r="AC524" s="101">
        <v>2.0205411896423442E-3</v>
      </c>
    </row>
    <row r="525" spans="25:29" x14ac:dyDescent="0.2">
      <c r="Y525" s="105" t="str">
        <f t="shared" si="41"/>
        <v>1D</v>
      </c>
      <c r="Z525" s="93">
        <f>_xll.qlCalendarAdvance(Calendar,Z524,Y525,"f",FALSE)</f>
        <v>42853</v>
      </c>
      <c r="AA525" s="117">
        <f>_xll.qlCalendarAdvance(Calendar,Z525,NDays&amp;"D")</f>
        <v>42858</v>
      </c>
      <c r="AB525" s="92">
        <v>2.615120084086168E-3</v>
      </c>
      <c r="AC525" s="101">
        <v>2.0171288754511352E-3</v>
      </c>
    </row>
    <row r="526" spans="25:29" x14ac:dyDescent="0.2">
      <c r="Y526" s="105" t="str">
        <f t="shared" si="41"/>
        <v>1D</v>
      </c>
      <c r="Z526" s="93">
        <f>_xll.qlCalendarAdvance(Calendar,Z525,Y526,"f",FALSE)</f>
        <v>42857</v>
      </c>
      <c r="AA526" s="117">
        <f>_xll.qlCalendarAdvance(Calendar,Z526,NDays&amp;"D")</f>
        <v>42859</v>
      </c>
      <c r="AB526" s="92">
        <v>2.6293636515518242E-3</v>
      </c>
      <c r="AC526" s="101">
        <v>2.0145484424638482E-3</v>
      </c>
    </row>
    <row r="527" spans="25:29" x14ac:dyDescent="0.2">
      <c r="Y527" s="105" t="str">
        <f t="shared" si="41"/>
        <v>1D</v>
      </c>
      <c r="Z527" s="93">
        <f>_xll.qlCalendarAdvance(Calendar,Z526,Y527,"f",FALSE)</f>
        <v>42858</v>
      </c>
      <c r="AA527" s="117">
        <f>_xll.qlCalendarAdvance(Calendar,Z527,NDays&amp;"D")</f>
        <v>42860</v>
      </c>
      <c r="AB527" s="92">
        <v>2.6326722446569596E-3</v>
      </c>
      <c r="AC527" s="101">
        <v>2.0121955409369008E-3</v>
      </c>
    </row>
    <row r="528" spans="25:29" x14ac:dyDescent="0.2">
      <c r="Y528" s="105" t="str">
        <f t="shared" si="41"/>
        <v>1D</v>
      </c>
      <c r="Z528" s="93">
        <f>_xll.qlCalendarAdvance(Calendar,Z527,Y528,"f",FALSE)</f>
        <v>42859</v>
      </c>
      <c r="AA528" s="117">
        <f>_xll.qlCalendarAdvance(Calendar,Z528,NDays&amp;"D")</f>
        <v>42863</v>
      </c>
      <c r="AB528" s="92">
        <v>2.6501960438150784E-3</v>
      </c>
      <c r="AC528" s="101">
        <v>2.0126406431053567E-3</v>
      </c>
    </row>
    <row r="529" spans="25:29" x14ac:dyDescent="0.2">
      <c r="Y529" s="105" t="str">
        <f t="shared" si="41"/>
        <v>1D</v>
      </c>
      <c r="Z529" s="93">
        <f>_xll.qlCalendarAdvance(Calendar,Z528,Y529,"f",FALSE)</f>
        <v>42860</v>
      </c>
      <c r="AA529" s="117">
        <f>_xll.qlCalendarAdvance(Calendar,Z529,NDays&amp;"D")</f>
        <v>42864</v>
      </c>
      <c r="AB529" s="92">
        <v>2.6573367017057111E-3</v>
      </c>
      <c r="AC529" s="101">
        <v>2.0142909565912248E-3</v>
      </c>
    </row>
    <row r="530" spans="25:29" x14ac:dyDescent="0.2">
      <c r="Y530" s="105" t="str">
        <f t="shared" si="41"/>
        <v>1D</v>
      </c>
      <c r="Z530" s="93">
        <f>_xll.qlCalendarAdvance(Calendar,Z529,Y530,"f",FALSE)</f>
        <v>42863</v>
      </c>
      <c r="AA530" s="117">
        <f>_xll.qlCalendarAdvance(Calendar,Z530,NDays&amp;"D")</f>
        <v>42865</v>
      </c>
      <c r="AB530" s="92">
        <v>2.6645083543713516E-3</v>
      </c>
      <c r="AC530" s="101">
        <v>2.0168016874144712E-3</v>
      </c>
    </row>
    <row r="531" spans="25:29" x14ac:dyDescent="0.2">
      <c r="Y531" s="105" t="str">
        <f t="shared" si="41"/>
        <v>1D</v>
      </c>
      <c r="Z531" s="93">
        <f>_xll.qlCalendarAdvance(Calendar,Z530,Y531,"f",FALSE)</f>
        <v>42864</v>
      </c>
      <c r="AA531" s="117">
        <f>_xll.qlCalendarAdvance(Calendar,Z531,NDays&amp;"D")</f>
        <v>42866</v>
      </c>
      <c r="AB531" s="92">
        <v>2.6790538408393684E-3</v>
      </c>
      <c r="AC531" s="101">
        <v>2.0201775916106612E-3</v>
      </c>
    </row>
    <row r="532" spans="25:29" x14ac:dyDescent="0.2">
      <c r="Y532" s="105" t="str">
        <f t="shared" si="41"/>
        <v>1D</v>
      </c>
      <c r="Z532" s="93">
        <f>_xll.qlCalendarAdvance(Calendar,Z531,Y532,"f",FALSE)</f>
        <v>42865</v>
      </c>
      <c r="AA532" s="117">
        <f>_xll.qlCalendarAdvance(Calendar,Z532,NDays&amp;"D")</f>
        <v>42867</v>
      </c>
      <c r="AB532" s="92">
        <v>2.6826002803865285E-3</v>
      </c>
      <c r="AC532" s="101">
        <v>2.029848537068446E-3</v>
      </c>
    </row>
    <row r="533" spans="25:29" x14ac:dyDescent="0.2">
      <c r="Y533" s="105" t="str">
        <f t="shared" ref="Y533:Y596" si="42">Y532</f>
        <v>1D</v>
      </c>
      <c r="Z533" s="93">
        <f>_xll.qlCalendarAdvance(Calendar,Z532,Y533,"f",FALSE)</f>
        <v>42866</v>
      </c>
      <c r="AA533" s="117">
        <f>_xll.qlCalendarAdvance(Calendar,Z533,NDays&amp;"D")</f>
        <v>42870</v>
      </c>
      <c r="AB533" s="92">
        <v>2.7006663778406104E-3</v>
      </c>
      <c r="AC533" s="101">
        <v>2.0422812740950036E-3</v>
      </c>
    </row>
    <row r="534" spans="25:29" x14ac:dyDescent="0.2">
      <c r="Y534" s="105" t="str">
        <f t="shared" si="42"/>
        <v>1D</v>
      </c>
      <c r="Z534" s="93">
        <f>_xll.qlCalendarAdvance(Calendar,Z533,Y534,"f",FALSE)</f>
        <v>42867</v>
      </c>
      <c r="AA534" s="117">
        <f>_xll.qlCalendarAdvance(Calendar,Z534,NDays&amp;"D")</f>
        <v>42871</v>
      </c>
      <c r="AB534" s="92">
        <v>2.7079253339754874E-3</v>
      </c>
      <c r="AC534" s="101">
        <v>2.0491720427706639E-3</v>
      </c>
    </row>
    <row r="535" spans="25:29" x14ac:dyDescent="0.2">
      <c r="Y535" s="105" t="str">
        <f t="shared" si="42"/>
        <v>1D</v>
      </c>
      <c r="Z535" s="93">
        <f>_xll.qlCalendarAdvance(Calendar,Z534,Y535,"f",FALSE)</f>
        <v>42870</v>
      </c>
      <c r="AA535" s="117">
        <f>_xll.qlCalendarAdvance(Calendar,Z535,NDays&amp;"D")</f>
        <v>42872</v>
      </c>
      <c r="AB535" s="92">
        <v>2.7151866873992535E-3</v>
      </c>
      <c r="AC535" s="101">
        <v>2.0560697716387466E-3</v>
      </c>
    </row>
    <row r="536" spans="25:29" x14ac:dyDescent="0.2">
      <c r="Y536" s="105" t="str">
        <f t="shared" si="42"/>
        <v>1D</v>
      </c>
      <c r="Z536" s="93">
        <f>_xll.qlCalendarAdvance(Calendar,Z535,Y536,"f",FALSE)</f>
        <v>42871</v>
      </c>
      <c r="AA536" s="117">
        <f>_xll.qlCalendarAdvance(Calendar,Z536,NDays&amp;"D")</f>
        <v>42873</v>
      </c>
      <c r="AB536" s="92">
        <v>2.7298055129373797E-3</v>
      </c>
      <c r="AC536" s="101">
        <v>2.0629744105793435E-3</v>
      </c>
    </row>
    <row r="537" spans="25:29" x14ac:dyDescent="0.2">
      <c r="Y537" s="105" t="s">
        <v>138</v>
      </c>
      <c r="Z537" s="93">
        <f>_xll.qlCalendarAdvance(Calendar,Z536,Y537,"f",FALSE)</f>
        <v>42878</v>
      </c>
      <c r="AA537" s="117">
        <f>_xll.qlCalendarAdvance(Calendar,Z537,NDays&amp;"D")</f>
        <v>42880</v>
      </c>
      <c r="AB537" s="92">
        <v>2.7807175152614752E-3</v>
      </c>
      <c r="AC537" s="101">
        <v>2.1114961482471273E-3</v>
      </c>
    </row>
    <row r="538" spans="25:29" x14ac:dyDescent="0.2">
      <c r="Y538" s="105" t="str">
        <f t="shared" si="42"/>
        <v>1w</v>
      </c>
      <c r="Z538" s="93">
        <f>_xll.qlCalendarAdvance(Calendar,Z537,Y538,"f",FALSE)</f>
        <v>42885</v>
      </c>
      <c r="AA538" s="117">
        <f>_xll.qlCalendarAdvance(Calendar,Z538,NDays&amp;"D")</f>
        <v>42887</v>
      </c>
      <c r="AB538" s="92">
        <v>2.820679274966939E-3</v>
      </c>
      <c r="AC538" s="101">
        <v>2.1603368019285085E-3</v>
      </c>
    </row>
    <row r="539" spans="25:29" x14ac:dyDescent="0.2">
      <c r="Y539" s="105" t="str">
        <f t="shared" si="42"/>
        <v>1w</v>
      </c>
      <c r="Z539" s="93">
        <f>_xll.qlCalendarAdvance(Calendar,Z538,Y539,"f",FALSE)</f>
        <v>42892</v>
      </c>
      <c r="AA539" s="117">
        <f>_xll.qlCalendarAdvance(Calendar,Z539,NDays&amp;"D")</f>
        <v>42894</v>
      </c>
      <c r="AB539" s="92">
        <v>2.8717600316270609E-3</v>
      </c>
      <c r="AC539" s="101">
        <v>2.2094791540361314E-3</v>
      </c>
    </row>
    <row r="540" spans="25:29" x14ac:dyDescent="0.2">
      <c r="Y540" s="105" t="str">
        <f t="shared" si="42"/>
        <v>1w</v>
      </c>
      <c r="Z540" s="93">
        <f>_xll.qlCalendarAdvance(Calendar,Z539,Y540,"f",FALSE)</f>
        <v>42899</v>
      </c>
      <c r="AA540" s="117">
        <f>_xll.qlCalendarAdvance(Calendar,Z540,NDays&amp;"D")</f>
        <v>42901</v>
      </c>
      <c r="AB540" s="92">
        <v>2.9229028496661697E-3</v>
      </c>
      <c r="AC540" s="101">
        <v>2.2589059874622563E-3</v>
      </c>
    </row>
    <row r="541" spans="25:29" x14ac:dyDescent="0.2">
      <c r="Y541" s="105" t="str">
        <f t="shared" si="42"/>
        <v>1w</v>
      </c>
      <c r="Z541" s="93">
        <f>_xll.qlCalendarAdvance(Calendar,Z540,Y541,"f",FALSE)</f>
        <v>42906</v>
      </c>
      <c r="AA541" s="117">
        <f>_xll.qlCalendarAdvance(Calendar,Z541,NDays&amp;"D")</f>
        <v>42908</v>
      </c>
      <c r="AB541" s="92">
        <v>2.9740904904400917E-3</v>
      </c>
      <c r="AC541" s="101">
        <v>2.3086000845395915E-3</v>
      </c>
    </row>
    <row r="542" spans="25:29" x14ac:dyDescent="0.2">
      <c r="Y542" s="105" t="str">
        <f t="shared" si="42"/>
        <v>1w</v>
      </c>
      <c r="Z542" s="93">
        <f>_xll.qlCalendarAdvance(Calendar,Z541,Y542,"f",FALSE)</f>
        <v>42913</v>
      </c>
      <c r="AA542" s="117">
        <f>_xll.qlCalendarAdvance(Calendar,Z542,NDays&amp;"D")</f>
        <v>42915</v>
      </c>
      <c r="AB542" s="92">
        <v>3.0253057135198515E-3</v>
      </c>
      <c r="AC542" s="101">
        <v>2.3585442282403335E-3</v>
      </c>
    </row>
    <row r="543" spans="25:29" x14ac:dyDescent="0.2">
      <c r="Y543" s="105" t="str">
        <f t="shared" si="42"/>
        <v>1w</v>
      </c>
      <c r="Z543" s="93">
        <f>_xll.qlCalendarAdvance(Calendar,Z542,Y543,"f",FALSE)</f>
        <v>42920</v>
      </c>
      <c r="AA543" s="117">
        <f>_xll.qlCalendarAdvance(Calendar,Z543,NDays&amp;"D")</f>
        <v>42922</v>
      </c>
      <c r="AB543" s="92">
        <v>3.0875363405493609E-3</v>
      </c>
      <c r="AC543" s="101">
        <v>2.4087212009771264E-3</v>
      </c>
    </row>
    <row r="544" spans="25:29" x14ac:dyDescent="0.2">
      <c r="Y544" s="105" t="str">
        <f t="shared" si="42"/>
        <v>1w</v>
      </c>
      <c r="Z544" s="93">
        <f>_xll.qlCalendarAdvance(Calendar,Z543,Y544,"f",FALSE)</f>
        <v>42927</v>
      </c>
      <c r="AA544" s="117">
        <f>_xll.qlCalendarAdvance(Calendar,Z544,NDays&amp;"D")</f>
        <v>42929</v>
      </c>
      <c r="AB544" s="92">
        <v>3.138736370578799E-3</v>
      </c>
      <c r="AC544" s="101">
        <v>2.4591137853224865E-3</v>
      </c>
    </row>
    <row r="545" spans="25:29" x14ac:dyDescent="0.2">
      <c r="Y545" s="105" t="str">
        <f t="shared" si="42"/>
        <v>1w</v>
      </c>
      <c r="Z545" s="93">
        <f>_xll.qlCalendarAdvance(Calendar,Z544,Y545,"f",FALSE)</f>
        <v>42934</v>
      </c>
      <c r="AA545" s="117">
        <f>_xll.qlCalendarAdvance(Calendar,Z545,NDays&amp;"D")</f>
        <v>42936</v>
      </c>
      <c r="AB545" s="92">
        <v>3.1899085753345391E-3</v>
      </c>
      <c r="AC545" s="101">
        <v>2.5097047639288661E-3</v>
      </c>
    </row>
    <row r="546" spans="25:29" x14ac:dyDescent="0.2">
      <c r="Y546" s="105" t="str">
        <f t="shared" si="42"/>
        <v>1w</v>
      </c>
      <c r="Z546" s="93">
        <f>_xll.qlCalendarAdvance(Calendar,Z545,Y546,"f",FALSE)</f>
        <v>42941</v>
      </c>
      <c r="AA546" s="117">
        <f>_xll.qlCalendarAdvance(Calendar,Z546,NDays&amp;"D")</f>
        <v>42943</v>
      </c>
      <c r="AB546" s="92">
        <v>3.241035706333079E-3</v>
      </c>
      <c r="AC546" s="101">
        <v>2.5604769193687815E-3</v>
      </c>
    </row>
    <row r="547" spans="25:29" x14ac:dyDescent="0.2">
      <c r="Y547" s="105" t="str">
        <f t="shared" si="42"/>
        <v>1w</v>
      </c>
      <c r="Z547" s="93">
        <f>_xll.qlCalendarAdvance(Calendar,Z546,Y547,"f",FALSE)</f>
        <v>42948</v>
      </c>
      <c r="AA547" s="117">
        <f>_xll.qlCalendarAdvance(Calendar,Z547,NDays&amp;"D")</f>
        <v>42950</v>
      </c>
      <c r="AB547" s="92">
        <v>3.2921005132751659E-3</v>
      </c>
      <c r="AC547" s="101">
        <v>2.611413034214749E-3</v>
      </c>
    </row>
    <row r="548" spans="25:29" x14ac:dyDescent="0.2">
      <c r="Y548" s="105" t="str">
        <f t="shared" si="42"/>
        <v>1w</v>
      </c>
      <c r="Z548" s="93">
        <f>_xll.qlCalendarAdvance(Calendar,Z547,Y548,"f",FALSE)</f>
        <v>42955</v>
      </c>
      <c r="AA548" s="117">
        <f>_xll.qlCalendarAdvance(Calendar,Z548,NDays&amp;"D")</f>
        <v>42957</v>
      </c>
      <c r="AB548" s="92">
        <v>3.3430857440492324E-3</v>
      </c>
      <c r="AC548" s="101">
        <v>2.6624958911192209E-3</v>
      </c>
    </row>
    <row r="549" spans="25:29" x14ac:dyDescent="0.2">
      <c r="Y549" s="105" t="str">
        <f t="shared" si="42"/>
        <v>1w</v>
      </c>
      <c r="Z549" s="93">
        <f>_xll.qlCalendarAdvance(Calendar,Z548,Y549,"f",FALSE)</f>
        <v>42962</v>
      </c>
      <c r="AA549" s="117">
        <f>_xll.qlCalendarAdvance(Calendar,Z549,NDays&amp;"D")</f>
        <v>42964</v>
      </c>
      <c r="AB549" s="92">
        <v>3.3939741447374136E-3</v>
      </c>
      <c r="AC549" s="101">
        <v>2.7137082724149053E-3</v>
      </c>
    </row>
    <row r="550" spans="25:29" x14ac:dyDescent="0.2">
      <c r="Y550" s="105" t="str">
        <f t="shared" si="42"/>
        <v>1w</v>
      </c>
      <c r="Z550" s="93">
        <f>_xll.qlCalendarAdvance(Calendar,Z549,Y550,"f",FALSE)</f>
        <v>42969</v>
      </c>
      <c r="AA550" s="117">
        <f>_xll.qlCalendarAdvance(Calendar,Z550,NDays&amp;"D")</f>
        <v>42971</v>
      </c>
      <c r="AB550" s="92">
        <v>3.4447484596250035E-3</v>
      </c>
      <c r="AC550" s="101">
        <v>2.7650329609141266E-3</v>
      </c>
    </row>
    <row r="551" spans="25:29" x14ac:dyDescent="0.2">
      <c r="Y551" s="105" t="str">
        <f t="shared" si="42"/>
        <v>1w</v>
      </c>
      <c r="Z551" s="93">
        <f>_xll.qlCalendarAdvance(Calendar,Z550,Y551,"f",FALSE)</f>
        <v>42976</v>
      </c>
      <c r="AA551" s="117">
        <f>_xll.qlCalendarAdvance(Calendar,Z551,NDays&amp;"D")</f>
        <v>42978</v>
      </c>
      <c r="AB551" s="92">
        <v>3.4774612077536999E-3</v>
      </c>
      <c r="AC551" s="101">
        <v>2.816452738949593E-3</v>
      </c>
    </row>
    <row r="552" spans="25:29" x14ac:dyDescent="0.2">
      <c r="Y552" s="105" t="str">
        <f t="shared" si="42"/>
        <v>1w</v>
      </c>
      <c r="Z552" s="93">
        <f>_xll.qlCalendarAdvance(Calendar,Z551,Y552,"f",FALSE)</f>
        <v>42983</v>
      </c>
      <c r="AA552" s="117">
        <f>_xll.qlCalendarAdvance(Calendar,Z552,NDays&amp;"D")</f>
        <v>42985</v>
      </c>
      <c r="AB552" s="92">
        <v>3.5280350926011851E-3</v>
      </c>
      <c r="AC552" s="101">
        <v>2.8679503892536928E-3</v>
      </c>
    </row>
    <row r="553" spans="25:29" x14ac:dyDescent="0.2">
      <c r="Y553" s="105" t="str">
        <f t="shared" si="42"/>
        <v>1w</v>
      </c>
      <c r="Z553" s="93">
        <f>_xll.qlCalendarAdvance(Calendar,Z552,Y553,"f",FALSE)</f>
        <v>42990</v>
      </c>
      <c r="AA553" s="117">
        <f>_xll.qlCalendarAdvance(Calendar,Z553,NDays&amp;"D")</f>
        <v>42992</v>
      </c>
      <c r="AB553" s="92">
        <v>3.5784492525276455E-3</v>
      </c>
      <c r="AC553" s="101">
        <v>2.9195086941591342E-3</v>
      </c>
    </row>
    <row r="554" spans="25:29" x14ac:dyDescent="0.2">
      <c r="Y554" s="105" t="str">
        <f t="shared" si="42"/>
        <v>1w</v>
      </c>
      <c r="Z554" s="93">
        <f>_xll.qlCalendarAdvance(Calendar,Z553,Y554,"f",FALSE)</f>
        <v>42997</v>
      </c>
      <c r="AA554" s="117">
        <f>_xll.qlCalendarAdvance(Calendar,Z554,NDays&amp;"D")</f>
        <v>42999</v>
      </c>
      <c r="AB554" s="92">
        <v>3.6286864265563461E-3</v>
      </c>
      <c r="AC554" s="101">
        <v>2.9711104361584972E-3</v>
      </c>
    </row>
    <row r="555" spans="25:29" x14ac:dyDescent="0.2">
      <c r="Y555" s="105" t="str">
        <f t="shared" si="42"/>
        <v>1w</v>
      </c>
      <c r="Z555" s="93">
        <f>_xll.qlCalendarAdvance(Calendar,Z554,Y555,"f",FALSE)</f>
        <v>43004</v>
      </c>
      <c r="AA555" s="117">
        <f>_xll.qlCalendarAdvance(Calendar,Z555,NDays&amp;"D")</f>
        <v>43006</v>
      </c>
      <c r="AB555" s="92">
        <v>3.6787293520133433E-3</v>
      </c>
      <c r="AC555" s="101">
        <v>3.0227383979042344E-3</v>
      </c>
    </row>
    <row r="556" spans="25:29" x14ac:dyDescent="0.2">
      <c r="Y556" s="105" t="str">
        <f t="shared" si="42"/>
        <v>1w</v>
      </c>
      <c r="Z556" s="93">
        <f>_xll.qlCalendarAdvance(Calendar,Z555,Y556,"f",FALSE)</f>
        <v>43011</v>
      </c>
      <c r="AA556" s="117">
        <f>_xll.qlCalendarAdvance(Calendar,Z556,NDays&amp;"D")</f>
        <v>43013</v>
      </c>
      <c r="AB556" s="92">
        <v>3.7320595526373298E-3</v>
      </c>
      <c r="AC556" s="101">
        <v>3.0743753617290537E-3</v>
      </c>
    </row>
    <row r="557" spans="25:29" x14ac:dyDescent="0.2">
      <c r="Y557" s="105" t="str">
        <f t="shared" si="42"/>
        <v>1w</v>
      </c>
      <c r="Z557" s="93">
        <f>_xll.qlCalendarAdvance(Calendar,Z556,Y557,"f",FALSE)</f>
        <v>43018</v>
      </c>
      <c r="AA557" s="117">
        <f>_xll.qlCalendarAdvance(Calendar,Z557,NDays&amp;"D")</f>
        <v>43020</v>
      </c>
      <c r="AB557" s="92">
        <v>3.7816403746352388E-3</v>
      </c>
      <c r="AC557" s="101">
        <v>3.1260041102854075E-3</v>
      </c>
    </row>
    <row r="558" spans="25:29" x14ac:dyDescent="0.2">
      <c r="Y558" s="105" t="str">
        <f t="shared" si="42"/>
        <v>1w</v>
      </c>
      <c r="Z558" s="93">
        <f>_xll.qlCalendarAdvance(Calendar,Z557,Y558,"f",FALSE)</f>
        <v>43025</v>
      </c>
      <c r="AA558" s="117">
        <f>_xll.qlCalendarAdvance(Calendar,Z558,NDays&amp;"D")</f>
        <v>43027</v>
      </c>
      <c r="AB558" s="92">
        <v>3.8309739205043439E-3</v>
      </c>
      <c r="AC558" s="101">
        <v>3.1776074259060039E-3</v>
      </c>
    </row>
    <row r="559" spans="25:29" x14ac:dyDescent="0.2">
      <c r="Y559" s="105" t="str">
        <f t="shared" si="42"/>
        <v>1w</v>
      </c>
      <c r="Z559" s="93">
        <f>_xll.qlCalendarAdvance(Calendar,Z558,Y559,"f",FALSE)</f>
        <v>43032</v>
      </c>
      <c r="AA559" s="117">
        <f>_xll.qlCalendarAdvance(Calendar,Z559,NDays&amp;"D")</f>
        <v>43034</v>
      </c>
      <c r="AB559" s="92">
        <v>3.8800429205653321E-3</v>
      </c>
      <c r="AC559" s="101">
        <v>3.229168091003487E-3</v>
      </c>
    </row>
    <row r="560" spans="25:29" x14ac:dyDescent="0.2">
      <c r="Y560" s="105" t="str">
        <f t="shared" si="42"/>
        <v>1w</v>
      </c>
      <c r="Z560" s="93">
        <f>_xll.qlCalendarAdvance(Calendar,Z559,Y560,"f",FALSE)</f>
        <v>43039</v>
      </c>
      <c r="AA560" s="117">
        <f>_xll.qlCalendarAdvance(Calendar,Z560,NDays&amp;"D")</f>
        <v>43041</v>
      </c>
      <c r="AB560" s="92">
        <v>3.9254259406454502E-3</v>
      </c>
      <c r="AC560" s="101">
        <v>3.2806688882303092E-3</v>
      </c>
    </row>
    <row r="561" spans="25:29" x14ac:dyDescent="0.2">
      <c r="Y561" s="105" t="str">
        <f t="shared" si="42"/>
        <v>1w</v>
      </c>
      <c r="Z561" s="93">
        <f>_xll.qlCalendarAdvance(Calendar,Z560,Y561,"f",FALSE)</f>
        <v>43046</v>
      </c>
      <c r="AA561" s="117">
        <f>_xll.qlCalendarAdvance(Calendar,Z561,NDays&amp;"D")</f>
        <v>43048</v>
      </c>
      <c r="AB561" s="92">
        <v>3.9739407658156978E-3</v>
      </c>
      <c r="AC561" s="101">
        <v>3.3320925998392426E-3</v>
      </c>
    </row>
    <row r="562" spans="25:29" x14ac:dyDescent="0.2">
      <c r="Y562" s="105" t="str">
        <f t="shared" si="42"/>
        <v>1w</v>
      </c>
      <c r="Z562" s="93">
        <f>_xll.qlCalendarAdvance(Calendar,Z561,Y562,"f",FALSE)</f>
        <v>43053</v>
      </c>
      <c r="AA562" s="117">
        <f>_xll.qlCalendarAdvance(Calendar,Z562,NDays&amp;"D")</f>
        <v>43055</v>
      </c>
      <c r="AB562" s="92">
        <v>4.0221405712041938E-3</v>
      </c>
      <c r="AC562" s="101">
        <v>3.3834220083228672E-3</v>
      </c>
    </row>
    <row r="563" spans="25:29" x14ac:dyDescent="0.2">
      <c r="Y563" s="105" t="str">
        <f t="shared" si="42"/>
        <v>1w</v>
      </c>
      <c r="Z563" s="93">
        <f>_xll.qlCalendarAdvance(Calendar,Z562,Y563,"f",FALSE)</f>
        <v>43060</v>
      </c>
      <c r="AA563" s="117">
        <f>_xll.qlCalendarAdvance(Calendar,Z563,NDays&amp;"D")</f>
        <v>43062</v>
      </c>
      <c r="AB563" s="92">
        <v>4.0700181435206415E-3</v>
      </c>
      <c r="AC563" s="101">
        <v>3.4346398960138913E-3</v>
      </c>
    </row>
    <row r="564" spans="25:29" x14ac:dyDescent="0.2">
      <c r="Y564" s="105" t="str">
        <f t="shared" si="42"/>
        <v>1w</v>
      </c>
      <c r="Z564" s="93">
        <f>_xll.qlCalendarAdvance(Calendar,Z563,Y564,"f",FALSE)</f>
        <v>43067</v>
      </c>
      <c r="AA564" s="117">
        <f>_xll.qlCalendarAdvance(Calendar,Z564,NDays&amp;"D")</f>
        <v>43069</v>
      </c>
      <c r="AB564" s="92">
        <v>4.1208854125761602E-3</v>
      </c>
      <c r="AC564" s="101">
        <v>3.4857290455647671E-3</v>
      </c>
    </row>
    <row r="565" spans="25:29" x14ac:dyDescent="0.2">
      <c r="Y565" s="105" t="str">
        <f t="shared" si="42"/>
        <v>1w</v>
      </c>
      <c r="Z565" s="93">
        <f>_xll.qlCalendarAdvance(Calendar,Z564,Y565,"f",FALSE)</f>
        <v>43074</v>
      </c>
      <c r="AA565" s="117">
        <f>_xll.qlCalendarAdvance(Calendar,Z565,NDays&amp;"D")</f>
        <v>43076</v>
      </c>
      <c r="AB565" s="92">
        <v>4.1681330117657031E-3</v>
      </c>
      <c r="AC565" s="101">
        <v>3.5366722390683947E-3</v>
      </c>
    </row>
    <row r="566" spans="25:29" x14ac:dyDescent="0.2">
      <c r="Y566" s="105" t="str">
        <f t="shared" si="42"/>
        <v>1w</v>
      </c>
      <c r="Z566" s="93">
        <f>_xll.qlCalendarAdvance(Calendar,Z565,Y566,"f",FALSE)</f>
        <v>43081</v>
      </c>
      <c r="AA566" s="117">
        <f>_xll.qlCalendarAdvance(Calendar,Z566,NDays&amp;"D")</f>
        <v>43083</v>
      </c>
      <c r="AB566" s="92">
        <v>4.2150988774681568E-3</v>
      </c>
      <c r="AC566" s="101">
        <v>3.5874522590972902E-3</v>
      </c>
    </row>
    <row r="567" spans="25:29" x14ac:dyDescent="0.2">
      <c r="Y567" s="105" t="str">
        <f t="shared" si="42"/>
        <v>1w</v>
      </c>
      <c r="Z567" s="93">
        <f>_xll.qlCalendarAdvance(Calendar,Z566,Y567,"f",FALSE)</f>
        <v>43088</v>
      </c>
      <c r="AA567" s="117">
        <f>_xll.qlCalendarAdvance(Calendar,Z567,NDays&amp;"D")</f>
        <v>43090</v>
      </c>
      <c r="AB567" s="92">
        <v>4.2617976134996993E-3</v>
      </c>
      <c r="AC567" s="101">
        <v>3.6380518879841617E-3</v>
      </c>
    </row>
    <row r="568" spans="25:29" x14ac:dyDescent="0.2">
      <c r="Y568" s="105" t="str">
        <f t="shared" si="42"/>
        <v>1w</v>
      </c>
      <c r="Z568" s="93">
        <f>_xll.qlCalendarAdvance(Calendar,Z567,Y568,"f",FALSE)</f>
        <v>43096</v>
      </c>
      <c r="AA568" s="117">
        <f>_xll.qlCalendarAdvance(Calendar,Z568,NDays&amp;"D")</f>
        <v>43098</v>
      </c>
      <c r="AB568" s="92">
        <v>4.3148602190882807E-3</v>
      </c>
      <c r="AC568" s="101">
        <v>3.7064578821732752E-3</v>
      </c>
    </row>
    <row r="569" spans="25:29" x14ac:dyDescent="0.2">
      <c r="Y569" s="105" t="str">
        <f t="shared" si="42"/>
        <v>1w</v>
      </c>
      <c r="Z569" s="93">
        <f>_xll.qlCalendarAdvance(Calendar,Z568,Y569,"f",FALSE)</f>
        <v>43103</v>
      </c>
      <c r="AA569" s="117">
        <f>_xll.qlCalendarAdvance(Calendar,Z569,NDays&amp;"D")</f>
        <v>43105</v>
      </c>
      <c r="AB569" s="92">
        <v>4.3578128549388176E-3</v>
      </c>
      <c r="AC569" s="101">
        <v>3.752975944495418E-3</v>
      </c>
    </row>
    <row r="570" spans="25:29" x14ac:dyDescent="0.2">
      <c r="Y570" s="105" t="str">
        <f t="shared" si="42"/>
        <v>1w</v>
      </c>
      <c r="Z570" s="93">
        <f>_xll.qlCalendarAdvance(Calendar,Z569,Y570,"f",FALSE)</f>
        <v>43110</v>
      </c>
      <c r="AA570" s="117">
        <f>_xll.qlCalendarAdvance(Calendar,Z570,NDays&amp;"D")</f>
        <v>43112</v>
      </c>
      <c r="AB570" s="92">
        <v>4.4037822593451757E-3</v>
      </c>
      <c r="AC570" s="101">
        <v>3.8028625633845792E-3</v>
      </c>
    </row>
    <row r="571" spans="25:29" x14ac:dyDescent="0.2">
      <c r="Y571" s="105" t="str">
        <f t="shared" si="42"/>
        <v>1w</v>
      </c>
      <c r="Z571" s="93">
        <f>_xll.qlCalendarAdvance(Calendar,Z570,Y571,"f",FALSE)</f>
        <v>43117</v>
      </c>
      <c r="AA571" s="117">
        <f>_xll.qlCalendarAdvance(Calendar,Z571,NDays&amp;"D")</f>
        <v>43119</v>
      </c>
      <c r="AB571" s="92">
        <v>4.4495506238357695E-3</v>
      </c>
      <c r="AC571" s="101">
        <v>3.8524950095375488E-3</v>
      </c>
    </row>
    <row r="572" spans="25:29" x14ac:dyDescent="0.2">
      <c r="Y572" s="105" t="str">
        <f t="shared" si="42"/>
        <v>1w</v>
      </c>
      <c r="Z572" s="93">
        <f>_xll.qlCalendarAdvance(Calendar,Z571,Y572,"f",FALSE)</f>
        <v>43124</v>
      </c>
      <c r="AA572" s="117">
        <f>_xll.qlCalendarAdvance(Calendar,Z572,NDays&amp;"D")</f>
        <v>43126</v>
      </c>
      <c r="AB572" s="92">
        <v>4.4951364575685614E-3</v>
      </c>
      <c r="AC572" s="101">
        <v>3.9018560648340639E-3</v>
      </c>
    </row>
    <row r="573" spans="25:29" x14ac:dyDescent="0.2">
      <c r="Y573" s="105" t="str">
        <f t="shared" si="42"/>
        <v>1w</v>
      </c>
      <c r="Z573" s="93">
        <f>_xll.qlCalendarAdvance(Calendar,Z572,Y573,"f",FALSE)</f>
        <v>43131</v>
      </c>
      <c r="AA573" s="117">
        <f>_xll.qlCalendarAdvance(Calendar,Z573,NDays&amp;"D")</f>
        <v>43133</v>
      </c>
      <c r="AB573" s="92">
        <v>4.5405590157624083E-3</v>
      </c>
      <c r="AC573" s="101">
        <v>3.9509285109406989E-3</v>
      </c>
    </row>
    <row r="574" spans="25:29" x14ac:dyDescent="0.2">
      <c r="Y574" s="105" t="str">
        <f t="shared" si="42"/>
        <v>1w</v>
      </c>
      <c r="Z574" s="93">
        <f>_xll.qlCalendarAdvance(Calendar,Z573,Y574,"f",FALSE)</f>
        <v>43138</v>
      </c>
      <c r="AA574" s="117">
        <f>_xll.qlCalendarAdvance(Calendar,Z574,NDays&amp;"D")</f>
        <v>43140</v>
      </c>
      <c r="AB574" s="92">
        <v>4.5858382997646281E-3</v>
      </c>
      <c r="AC574" s="101">
        <v>3.9996951295240279E-3</v>
      </c>
    </row>
    <row r="575" spans="25:29" x14ac:dyDescent="0.2">
      <c r="Y575" s="105" t="str">
        <f t="shared" si="42"/>
        <v>1w</v>
      </c>
      <c r="Z575" s="93">
        <f>_xll.qlCalendarAdvance(Calendar,Z574,Y575,"f",FALSE)</f>
        <v>43145</v>
      </c>
      <c r="AA575" s="117">
        <f>_xll.qlCalendarAdvance(Calendar,Z575,NDays&amp;"D")</f>
        <v>43147</v>
      </c>
      <c r="AB575" s="92">
        <v>4.6309950571207809E-3</v>
      </c>
      <c r="AC575" s="101">
        <v>4.0481387023039161E-3</v>
      </c>
    </row>
    <row r="576" spans="25:29" x14ac:dyDescent="0.2">
      <c r="Y576" s="105" t="str">
        <f t="shared" si="42"/>
        <v>1w</v>
      </c>
      <c r="Z576" s="93">
        <f>_xll.qlCalendarAdvance(Calendar,Z575,Y576,"f",FALSE)</f>
        <v>43152</v>
      </c>
      <c r="AA576" s="117">
        <f>_xll.qlCalendarAdvance(Calendar,Z576,NDays&amp;"D")</f>
        <v>43154</v>
      </c>
      <c r="AB576" s="92">
        <v>4.6760507816453302E-3</v>
      </c>
      <c r="AC576" s="101">
        <v>4.0962420109202924E-3</v>
      </c>
    </row>
    <row r="577" spans="25:29" x14ac:dyDescent="0.2">
      <c r="Y577" s="105" t="str">
        <f t="shared" si="42"/>
        <v>1w</v>
      </c>
      <c r="Z577" s="93">
        <f>_xll.qlCalendarAdvance(Calendar,Z576,Y577,"f",FALSE)</f>
        <v>43159</v>
      </c>
      <c r="AA577" s="117">
        <f>_xll.qlCalendarAdvance(Calendar,Z577,NDays&amp;"D")</f>
        <v>43161</v>
      </c>
      <c r="AB577" s="92">
        <v>4.733958504024232E-3</v>
      </c>
      <c r="AC577" s="101">
        <v>4.1439878369597949E-3</v>
      </c>
    </row>
    <row r="578" spans="25:29" x14ac:dyDescent="0.2">
      <c r="Y578" s="105" t="str">
        <f t="shared" si="42"/>
        <v>1w</v>
      </c>
      <c r="Z578" s="93">
        <f>_xll.qlCalendarAdvance(Calendar,Z577,Y578,"f",FALSE)</f>
        <v>43166</v>
      </c>
      <c r="AA578" s="117">
        <f>_xll.qlCalendarAdvance(Calendar,Z578,NDays&amp;"D")</f>
        <v>43168</v>
      </c>
      <c r="AB578" s="92">
        <v>4.7789156886064504E-3</v>
      </c>
      <c r="AC578" s="101">
        <v>4.1913589620623526E-3</v>
      </c>
    </row>
    <row r="579" spans="25:29" x14ac:dyDescent="0.2">
      <c r="Y579" s="105" t="str">
        <f t="shared" si="42"/>
        <v>1w</v>
      </c>
      <c r="Z579" s="93">
        <f>_xll.qlCalendarAdvance(Calendar,Z578,Y579,"f",FALSE)</f>
        <v>43173</v>
      </c>
      <c r="AA579" s="117">
        <f>_xll.qlCalendarAdvance(Calendar,Z579,NDays&amp;"D")</f>
        <v>43175</v>
      </c>
      <c r="AB579" s="92">
        <v>4.8238466143025772E-3</v>
      </c>
      <c r="AC579" s="101">
        <v>4.2383381677346676E-3</v>
      </c>
    </row>
    <row r="580" spans="25:29" x14ac:dyDescent="0.2">
      <c r="Y580" s="105" t="str">
        <f t="shared" si="42"/>
        <v>1w</v>
      </c>
      <c r="Z580" s="93">
        <f>_xll.qlCalendarAdvance(Calendar,Z579,Y580,"f",FALSE)</f>
        <v>43180</v>
      </c>
      <c r="AA580" s="117">
        <f>_xll.qlCalendarAdvance(Calendar,Z580,NDays&amp;"D")</f>
        <v>43182</v>
      </c>
      <c r="AB580" s="92">
        <v>4.8687752762251024E-3</v>
      </c>
      <c r="AC580" s="101">
        <v>4.2849082355900237E-3</v>
      </c>
    </row>
    <row r="581" spans="25:29" x14ac:dyDescent="0.2">
      <c r="Y581" s="105" t="str">
        <f t="shared" si="42"/>
        <v>1w</v>
      </c>
      <c r="Z581" s="93">
        <f>_xll.qlCalendarAdvance(Calendar,Z580,Y581,"f",FALSE)</f>
        <v>43187</v>
      </c>
      <c r="AA581" s="117">
        <f>_xll.qlCalendarAdvance(Calendar,Z581,NDays&amp;"D")</f>
        <v>43193</v>
      </c>
      <c r="AB581" s="92">
        <v>4.9328595857754242E-3</v>
      </c>
      <c r="AC581" s="101">
        <v>4.3506435287987699E-3</v>
      </c>
    </row>
    <row r="582" spans="25:29" x14ac:dyDescent="0.2">
      <c r="Y582" s="105" t="str">
        <f t="shared" si="42"/>
        <v>1w</v>
      </c>
      <c r="Z582" s="93">
        <f>_xll.qlCalendarAdvance(Calendar,Z581,Y582,"f",FALSE)</f>
        <v>43194</v>
      </c>
      <c r="AA582" s="117">
        <f>_xll.qlCalendarAdvance(Calendar,Z582,NDays&amp;"D")</f>
        <v>43196</v>
      </c>
      <c r="AB582" s="92">
        <v>4.9587254423169086E-3</v>
      </c>
      <c r="AC582" s="101">
        <v>4.3767520838233764E-3</v>
      </c>
    </row>
    <row r="583" spans="25:29" x14ac:dyDescent="0.2">
      <c r="Y583" s="105" t="str">
        <f t="shared" si="42"/>
        <v>1w</v>
      </c>
      <c r="Z583" s="93">
        <f>_xll.qlCalendarAdvance(Calendar,Z582,Y583,"f",FALSE)</f>
        <v>43201</v>
      </c>
      <c r="AA583" s="117">
        <f>_xll.qlCalendarAdvance(Calendar,Z583,NDays&amp;"D")</f>
        <v>43203</v>
      </c>
      <c r="AB583" s="92">
        <v>5.0037985900862891E-3</v>
      </c>
      <c r="AC583" s="101">
        <v>4.4219914271614869E-3</v>
      </c>
    </row>
    <row r="584" spans="25:29" x14ac:dyDescent="0.2">
      <c r="Y584" s="105" t="str">
        <f t="shared" si="42"/>
        <v>1w</v>
      </c>
      <c r="Z584" s="93">
        <f>_xll.qlCalendarAdvance(Calendar,Z583,Y584,"f",FALSE)</f>
        <v>43208</v>
      </c>
      <c r="AA584" s="117">
        <f>_xll.qlCalendarAdvance(Calendar,Z584,NDays&amp;"D")</f>
        <v>43210</v>
      </c>
      <c r="AB584" s="92">
        <v>5.0489727614633105E-3</v>
      </c>
      <c r="AC584" s="101">
        <v>4.4667527586828015E-3</v>
      </c>
    </row>
    <row r="585" spans="25:29" x14ac:dyDescent="0.2">
      <c r="Y585" s="105" t="str">
        <f t="shared" si="42"/>
        <v>1w</v>
      </c>
      <c r="Z585" s="93">
        <f>_xll.qlCalendarAdvance(Calendar,Z584,Y585,"f",FALSE)</f>
        <v>43215</v>
      </c>
      <c r="AA585" s="117">
        <f>_xll.qlCalendarAdvance(Calendar,Z585,NDays&amp;"D")</f>
        <v>43217</v>
      </c>
      <c r="AB585" s="92">
        <v>5.0942756054795776E-3</v>
      </c>
      <c r="AC585" s="101">
        <v>4.5110188597607959E-3</v>
      </c>
    </row>
    <row r="586" spans="25:29" x14ac:dyDescent="0.2">
      <c r="Y586" s="105" t="str">
        <f t="shared" si="42"/>
        <v>1w</v>
      </c>
      <c r="Z586" s="93">
        <f>_xll.qlCalendarAdvance(Calendar,Z585,Y586,"f",FALSE)</f>
        <v>43222</v>
      </c>
      <c r="AA586" s="117">
        <f>_xll.qlCalendarAdvance(Calendar,Z586,NDays&amp;"D")</f>
        <v>43224</v>
      </c>
      <c r="AB586" s="92">
        <v>5.1397355022337948E-3</v>
      </c>
      <c r="AC586" s="101">
        <v>4.554772511822236E-3</v>
      </c>
    </row>
    <row r="587" spans="25:29" x14ac:dyDescent="0.2">
      <c r="Y587" s="105" t="str">
        <f t="shared" si="42"/>
        <v>1w</v>
      </c>
      <c r="Z587" s="93">
        <f>_xll.qlCalendarAdvance(Calendar,Z586,Y587,"f",FALSE)</f>
        <v>43229</v>
      </c>
      <c r="AA587" s="117">
        <f>_xll.qlCalendarAdvance(Calendar,Z587,NDays&amp;"D")</f>
        <v>43231</v>
      </c>
      <c r="AB587" s="92">
        <v>5.1853815630006506E-3</v>
      </c>
      <c r="AC587" s="101">
        <v>4.5979964962672426E-3</v>
      </c>
    </row>
    <row r="588" spans="25:29" x14ac:dyDescent="0.2">
      <c r="Y588" s="105" t="str">
        <f t="shared" si="42"/>
        <v>1w</v>
      </c>
      <c r="Z588" s="93">
        <f>_xll.qlCalendarAdvance(Calendar,Z587,Y588,"f",FALSE)</f>
        <v>43236</v>
      </c>
      <c r="AA588" s="117">
        <f>_xll.qlCalendarAdvance(Calendar,Z588,NDays&amp;"D")</f>
        <v>43238</v>
      </c>
      <c r="AB588" s="92">
        <v>5.2312427403044138E-3</v>
      </c>
      <c r="AC588" s="101">
        <v>4.6409130287017319E-3</v>
      </c>
    </row>
    <row r="589" spans="25:29" x14ac:dyDescent="0.2">
      <c r="Y589" s="105" t="str">
        <f t="shared" si="42"/>
        <v>1w</v>
      </c>
      <c r="Z589" s="93">
        <f>_xll.qlCalendarAdvance(Calendar,Z588,Y589,"f",FALSE)</f>
        <v>43243</v>
      </c>
      <c r="AA589" s="117">
        <f>_xll.qlCalendarAdvance(Calendar,Z589,NDays&amp;"D")</f>
        <v>43245</v>
      </c>
      <c r="AB589" s="92">
        <v>5.2773336500371486E-3</v>
      </c>
      <c r="AC589" s="101">
        <v>4.684009246362919E-3</v>
      </c>
    </row>
    <row r="590" spans="25:29" x14ac:dyDescent="0.2">
      <c r="Y590" s="105" t="str">
        <f t="shared" si="42"/>
        <v>1w</v>
      </c>
      <c r="Z590" s="93">
        <f>_xll.qlCalendarAdvance(Calendar,Z589,Y590,"f",FALSE)</f>
        <v>43250</v>
      </c>
      <c r="AA590" s="117">
        <f>_xll.qlCalendarAdvance(Calendar,Z590,NDays&amp;"D")</f>
        <v>43252</v>
      </c>
      <c r="AB590" s="92">
        <v>5.3236566715487623E-3</v>
      </c>
      <c r="AC590" s="101">
        <v>4.7273100807743162E-3</v>
      </c>
    </row>
    <row r="591" spans="25:29" x14ac:dyDescent="0.2">
      <c r="Y591" s="105" t="str">
        <f t="shared" si="42"/>
        <v>1w</v>
      </c>
      <c r="Z591" s="93">
        <f>_xll.qlCalendarAdvance(Calendar,Z590,Y591,"f",FALSE)</f>
        <v>43257</v>
      </c>
      <c r="AA591" s="117">
        <f>_xll.qlCalendarAdvance(Calendar,Z591,NDays&amp;"D")</f>
        <v>43259</v>
      </c>
      <c r="AB591" s="92">
        <v>5.370213811372572E-3</v>
      </c>
      <c r="AC591" s="101">
        <v>4.7708175168015288E-3</v>
      </c>
    </row>
    <row r="592" spans="25:29" x14ac:dyDescent="0.2">
      <c r="Y592" s="105" t="str">
        <f t="shared" si="42"/>
        <v>1w</v>
      </c>
      <c r="Z592" s="93">
        <f>_xll.qlCalendarAdvance(Calendar,Z591,Y592,"f",FALSE)</f>
        <v>43264</v>
      </c>
      <c r="AA592" s="117">
        <f>_xll.qlCalendarAdvance(Calendar,Z592,NDays&amp;"D")</f>
        <v>43266</v>
      </c>
      <c r="AB592" s="92">
        <v>5.4170070763179994E-3</v>
      </c>
      <c r="AC592" s="101">
        <v>4.8145335393101618E-3</v>
      </c>
    </row>
    <row r="593" spans="25:29" x14ac:dyDescent="0.2">
      <c r="Y593" s="105" t="str">
        <f t="shared" si="42"/>
        <v>1w</v>
      </c>
      <c r="Z593" s="93">
        <f>_xll.qlCalendarAdvance(Calendar,Z592,Y593,"f",FALSE)</f>
        <v>43271</v>
      </c>
      <c r="AA593" s="117">
        <f>_xll.qlCalendarAdvance(Calendar,Z593,NDays&amp;"D")</f>
        <v>43273</v>
      </c>
      <c r="AB593" s="92">
        <v>5.4640384734688414E-3</v>
      </c>
      <c r="AC593" s="101">
        <v>4.8584601332457567E-3</v>
      </c>
    </row>
    <row r="594" spans="25:29" x14ac:dyDescent="0.2">
      <c r="Y594" s="105" t="str">
        <f t="shared" si="42"/>
        <v>1w</v>
      </c>
      <c r="Z594" s="93">
        <f>_xll.qlCalendarAdvance(Calendar,Z593,Y594,"f",FALSE)</f>
        <v>43278</v>
      </c>
      <c r="AA594" s="117">
        <f>_xll.qlCalendarAdvance(Calendar,Z594,NDays&amp;"D")</f>
        <v>43280</v>
      </c>
      <c r="AB594" s="92">
        <v>5.5113100101893174E-3</v>
      </c>
      <c r="AC594" s="101">
        <v>4.9025992834472731E-3</v>
      </c>
    </row>
    <row r="595" spans="25:29" x14ac:dyDescent="0.2">
      <c r="Y595" s="105" t="str">
        <f t="shared" si="42"/>
        <v>1w</v>
      </c>
      <c r="Z595" s="93">
        <f>_xll.qlCalendarAdvance(Calendar,Z594,Y595,"f",FALSE)</f>
        <v>43285</v>
      </c>
      <c r="AA595" s="117">
        <f>_xll.qlCalendarAdvance(Calendar,Z595,NDays&amp;"D")</f>
        <v>43287</v>
      </c>
      <c r="AB595" s="92">
        <v>5.5588236941227775E-3</v>
      </c>
      <c r="AC595" s="101">
        <v>4.9469529748336072E-3</v>
      </c>
    </row>
    <row r="596" spans="25:29" x14ac:dyDescent="0.2">
      <c r="Y596" s="105" t="str">
        <f t="shared" si="42"/>
        <v>1w</v>
      </c>
      <c r="Z596" s="93">
        <f>_xll.qlCalendarAdvance(Calendar,Z595,Y596,"f",FALSE)</f>
        <v>43292</v>
      </c>
      <c r="AA596" s="117">
        <f>_xll.qlCalendarAdvance(Calendar,Z596,NDays&amp;"D")</f>
        <v>43294</v>
      </c>
      <c r="AB596" s="92">
        <v>5.6065815331973147E-3</v>
      </c>
      <c r="AC596" s="101">
        <v>4.991523192270364E-3</v>
      </c>
    </row>
    <row r="597" spans="25:29" x14ac:dyDescent="0.2">
      <c r="Y597" s="105" t="str">
        <f t="shared" ref="Y597:Y660" si="43">Y596</f>
        <v>1w</v>
      </c>
      <c r="Z597" s="93">
        <f>_xll.qlCalendarAdvance(Calendar,Z596,Y597,"f",FALSE)</f>
        <v>43299</v>
      </c>
      <c r="AA597" s="117">
        <f>_xll.qlCalendarAdvance(Calendar,Z597,NDays&amp;"D")</f>
        <v>43301</v>
      </c>
      <c r="AB597" s="92">
        <v>5.6545855356262015E-3</v>
      </c>
      <c r="AC597" s="101">
        <v>5.0363119207297302E-3</v>
      </c>
    </row>
    <row r="598" spans="25:29" x14ac:dyDescent="0.2">
      <c r="Y598" s="105" t="str">
        <f t="shared" si="43"/>
        <v>1w</v>
      </c>
      <c r="Z598" s="93">
        <f>_xll.qlCalendarAdvance(Calendar,Z597,Y598,"f",FALSE)</f>
        <v>43306</v>
      </c>
      <c r="AA598" s="117">
        <f>_xll.qlCalendarAdvance(Calendar,Z598,NDays&amp;"D")</f>
        <v>43308</v>
      </c>
      <c r="AB598" s="92">
        <v>5.7028377099117749E-3</v>
      </c>
      <c r="AC598" s="101">
        <v>5.0813211450506657E-3</v>
      </c>
    </row>
    <row r="599" spans="25:29" x14ac:dyDescent="0.2">
      <c r="Y599" s="105" t="str">
        <f t="shared" si="43"/>
        <v>1w</v>
      </c>
      <c r="Z599" s="93">
        <f>_xll.qlCalendarAdvance(Calendar,Z598,Y599,"f",FALSE)</f>
        <v>43313</v>
      </c>
      <c r="AA599" s="117">
        <f>_xll.qlCalendarAdvance(Calendar,Z599,NDays&amp;"D")</f>
        <v>43315</v>
      </c>
      <c r="AB599" s="92">
        <v>5.7513400648471673E-3</v>
      </c>
      <c r="AC599" s="101">
        <v>5.1265528501787117E-3</v>
      </c>
    </row>
    <row r="600" spans="25:29" x14ac:dyDescent="0.2">
      <c r="Y600" s="105" t="str">
        <f t="shared" si="43"/>
        <v>1w</v>
      </c>
      <c r="Z600" s="93">
        <f>_xll.qlCalendarAdvance(Calendar,Z599,Y600,"f",FALSE)</f>
        <v>43320</v>
      </c>
      <c r="AA600" s="117">
        <f>_xll.qlCalendarAdvance(Calendar,Z600,NDays&amp;"D")</f>
        <v>43322</v>
      </c>
      <c r="AB600" s="92">
        <v>5.8000946095184639E-3</v>
      </c>
      <c r="AC600" s="101">
        <v>5.1720090210061187E-3</v>
      </c>
    </row>
    <row r="601" spans="25:29" x14ac:dyDescent="0.2">
      <c r="Y601" s="105" t="str">
        <f t="shared" si="43"/>
        <v>1w</v>
      </c>
      <c r="Z601" s="93">
        <f>_xll.qlCalendarAdvance(Calendar,Z600,Y601,"f",FALSE)</f>
        <v>43327</v>
      </c>
      <c r="AA601" s="117">
        <f>_xll.qlCalendarAdvance(Calendar,Z601,NDays&amp;"D")</f>
        <v>43329</v>
      </c>
      <c r="AB601" s="92">
        <v>5.8491033533094603E-3</v>
      </c>
      <c r="AC601" s="101">
        <v>5.2176916424517827E-3</v>
      </c>
    </row>
    <row r="602" spans="25:29" x14ac:dyDescent="0.2">
      <c r="Y602" s="105" t="str">
        <f t="shared" si="43"/>
        <v>1w</v>
      </c>
      <c r="Z602" s="93">
        <f>_xll.qlCalendarAdvance(Calendar,Z601,Y602,"f",FALSE)</f>
        <v>43334</v>
      </c>
      <c r="AA602" s="117">
        <f>_xll.qlCalendarAdvance(Calendar,Z602,NDays&amp;"D")</f>
        <v>43336</v>
      </c>
      <c r="AB602" s="92">
        <v>5.8983683059012264E-3</v>
      </c>
      <c r="AC602" s="101">
        <v>5.2636026995145357E-3</v>
      </c>
    </row>
    <row r="603" spans="25:29" x14ac:dyDescent="0.2">
      <c r="Y603" s="105" t="str">
        <f t="shared" si="43"/>
        <v>1w</v>
      </c>
      <c r="Z603" s="93">
        <f>_xll.qlCalendarAdvance(Calendar,Z602,Y603,"f",FALSE)</f>
        <v>43341</v>
      </c>
      <c r="AA603" s="117">
        <f>_xll.qlCalendarAdvance(Calendar,Z603,NDays&amp;"D")</f>
        <v>43343</v>
      </c>
      <c r="AB603" s="92">
        <v>5.9331984764222877E-3</v>
      </c>
      <c r="AC603" s="101">
        <v>5.3097441770066922E-3</v>
      </c>
    </row>
    <row r="604" spans="25:29" x14ac:dyDescent="0.2">
      <c r="Y604" s="105" t="str">
        <f t="shared" si="43"/>
        <v>1w</v>
      </c>
      <c r="Z604" s="93">
        <f>_xll.qlCalendarAdvance(Calendar,Z603,Y604,"f",FALSE)</f>
        <v>43348</v>
      </c>
      <c r="AA604" s="117">
        <f>_xll.qlCalendarAdvance(Calendar,Z604,NDays&amp;"D")</f>
        <v>43350</v>
      </c>
      <c r="AB604" s="92">
        <v>5.9829015486084552E-3</v>
      </c>
      <c r="AC604" s="101">
        <v>5.3561180599270841E-3</v>
      </c>
    </row>
    <row r="605" spans="25:29" x14ac:dyDescent="0.2">
      <c r="Y605" s="105" t="str">
        <f t="shared" si="43"/>
        <v>1w</v>
      </c>
      <c r="Z605" s="93">
        <f>_xll.qlCalendarAdvance(Calendar,Z604,Y605,"f",FALSE)</f>
        <v>43355</v>
      </c>
      <c r="AA605" s="117">
        <f>_xll.qlCalendarAdvance(Calendar,Z605,NDays&amp;"D")</f>
        <v>43357</v>
      </c>
      <c r="AB605" s="92">
        <v>6.0328662409234995E-3</v>
      </c>
      <c r="AC605" s="101">
        <v>5.4027263332212527E-3</v>
      </c>
    </row>
    <row r="606" spans="25:29" x14ac:dyDescent="0.2">
      <c r="Y606" s="105" t="str">
        <f t="shared" si="43"/>
        <v>1w</v>
      </c>
      <c r="Z606" s="93">
        <f>_xll.qlCalendarAdvance(Calendar,Z605,Y606,"f",FALSE)</f>
        <v>43362</v>
      </c>
      <c r="AA606" s="117">
        <f>_xll.qlCalendarAdvance(Calendar,Z606,NDays&amp;"D")</f>
        <v>43364</v>
      </c>
      <c r="AB606" s="92">
        <v>6.0830945636095573E-3</v>
      </c>
      <c r="AC606" s="101">
        <v>5.4495709817814486E-3</v>
      </c>
    </row>
    <row r="607" spans="25:29" x14ac:dyDescent="0.2">
      <c r="Y607" s="105" t="str">
        <f t="shared" si="43"/>
        <v>1w</v>
      </c>
      <c r="Z607" s="93">
        <f>_xll.qlCalendarAdvance(Calendar,Z606,Y607,"f",FALSE)</f>
        <v>43369</v>
      </c>
      <c r="AA607" s="117">
        <f>_xll.qlCalendarAdvance(Calendar,Z607,NDays&amp;"D")</f>
        <v>43371</v>
      </c>
      <c r="AB607" s="92">
        <v>6.137339982212154E-3</v>
      </c>
      <c r="AC607" s="101">
        <v>5.4966539905798584E-3</v>
      </c>
    </row>
    <row r="608" spans="25:29" x14ac:dyDescent="0.2">
      <c r="Y608" s="105" t="str">
        <f t="shared" si="43"/>
        <v>1w</v>
      </c>
      <c r="Z608" s="93">
        <f>_xll.qlCalendarAdvance(Calendar,Z607,Y608,"f",FALSE)</f>
        <v>43376</v>
      </c>
      <c r="AA608" s="117">
        <f>_xll.qlCalendarAdvance(Calendar,Z608,NDays&amp;"D")</f>
        <v>43378</v>
      </c>
      <c r="AB608" s="92">
        <v>6.1881222770850987E-3</v>
      </c>
      <c r="AC608" s="101">
        <v>5.543977344615314E-3</v>
      </c>
    </row>
    <row r="609" spans="25:29" x14ac:dyDescent="0.2">
      <c r="Y609" s="105" t="str">
        <f t="shared" si="43"/>
        <v>1w</v>
      </c>
      <c r="Z609" s="93">
        <f>_xll.qlCalendarAdvance(Calendar,Z608,Y609,"f",FALSE)</f>
        <v>43383</v>
      </c>
      <c r="AA609" s="117">
        <f>_xll.qlCalendarAdvance(Calendar,Z609,NDays&amp;"D")</f>
        <v>43385</v>
      </c>
      <c r="AB609" s="92">
        <v>6.2391743904166089E-3</v>
      </c>
      <c r="AC609" s="101">
        <v>5.591543028780066E-3</v>
      </c>
    </row>
    <row r="610" spans="25:29" x14ac:dyDescent="0.2">
      <c r="Y610" s="105" t="str">
        <f t="shared" si="43"/>
        <v>1w</v>
      </c>
      <c r="Z610" s="93">
        <f>_xll.qlCalendarAdvance(Calendar,Z609,Y610,"f",FALSE)</f>
        <v>43390</v>
      </c>
      <c r="AA610" s="117">
        <f>_xll.qlCalendarAdvance(Calendar,Z610,NDays&amp;"D")</f>
        <v>43392</v>
      </c>
      <c r="AB610" s="92">
        <v>6.3057749993711987E-3</v>
      </c>
      <c r="AC610" s="101">
        <v>5.6393530280463011E-3</v>
      </c>
    </row>
    <row r="611" spans="25:29" x14ac:dyDescent="0.2">
      <c r="Y611" s="105" t="str">
        <f t="shared" si="43"/>
        <v>1w</v>
      </c>
      <c r="Z611" s="93">
        <f>_xll.qlCalendarAdvance(Calendar,Z610,Y611,"f",FALSE)</f>
        <v>43397</v>
      </c>
      <c r="AA611" s="117">
        <f>_xll.qlCalendarAdvance(Calendar,Z611,NDays&amp;"D")</f>
        <v>43399</v>
      </c>
      <c r="AB611" s="92">
        <v>6.3420961193679098E-3</v>
      </c>
      <c r="AC611" s="101">
        <v>5.6874093273862059E-3</v>
      </c>
    </row>
    <row r="612" spans="25:29" x14ac:dyDescent="0.2">
      <c r="Y612" s="105" t="str">
        <f t="shared" si="43"/>
        <v>1w</v>
      </c>
      <c r="Z612" s="93">
        <f>_xll.qlCalendarAdvance(Calendar,Z611,Y612,"f",FALSE)</f>
        <v>43404</v>
      </c>
      <c r="AA612" s="117">
        <f>_xll.qlCalendarAdvance(Calendar,Z612,NDays&amp;"D")</f>
        <v>43406</v>
      </c>
      <c r="AB612" s="92">
        <v>6.3901133498631708E-3</v>
      </c>
      <c r="AC612" s="101">
        <v>5.7357139117719669E-3</v>
      </c>
    </row>
    <row r="613" spans="25:29" x14ac:dyDescent="0.2">
      <c r="Y613" s="105" t="str">
        <f t="shared" si="43"/>
        <v>1w</v>
      </c>
      <c r="Z613" s="93">
        <f>_xll.qlCalendarAdvance(Calendar,Z612,Y613,"f",FALSE)</f>
        <v>43411</v>
      </c>
      <c r="AA613" s="117">
        <f>_xll.qlCalendarAdvance(Calendar,Z613,NDays&amp;"D")</f>
        <v>43413</v>
      </c>
      <c r="AB613" s="92">
        <v>6.4422433978789263E-3</v>
      </c>
      <c r="AC613" s="101">
        <v>5.7842687661757708E-3</v>
      </c>
    </row>
    <row r="614" spans="25:29" x14ac:dyDescent="0.2">
      <c r="Y614" s="105" t="str">
        <f t="shared" si="43"/>
        <v>1w</v>
      </c>
      <c r="Z614" s="93">
        <f>_xll.qlCalendarAdvance(Calendar,Z613,Y614,"f",FALSE)</f>
        <v>43418</v>
      </c>
      <c r="AA614" s="117">
        <f>_xll.qlCalendarAdvance(Calendar,Z614,NDays&amp;"D")</f>
        <v>43420</v>
      </c>
      <c r="AB614" s="92">
        <v>6.4946531140652923E-3</v>
      </c>
      <c r="AC614" s="101">
        <v>5.8330758755698042E-3</v>
      </c>
    </row>
    <row r="615" spans="25:29" x14ac:dyDescent="0.2">
      <c r="Y615" s="105" t="str">
        <f t="shared" si="43"/>
        <v>1w</v>
      </c>
      <c r="Z615" s="93">
        <f>_xll.qlCalendarAdvance(Calendar,Z614,Y615,"f",FALSE)</f>
        <v>43425</v>
      </c>
      <c r="AA615" s="117">
        <f>_xll.qlCalendarAdvance(Calendar,Z615,NDays&amp;"D")</f>
        <v>43427</v>
      </c>
      <c r="AB615" s="92">
        <v>6.5473396109803818E-3</v>
      </c>
      <c r="AC615" s="101">
        <v>5.8821372249262538E-3</v>
      </c>
    </row>
    <row r="616" spans="25:29" x14ac:dyDescent="0.2">
      <c r="Y616" s="105" t="str">
        <f t="shared" si="43"/>
        <v>1w</v>
      </c>
      <c r="Z616" s="93">
        <f>_xll.qlCalendarAdvance(Calendar,Z615,Y616,"f",FALSE)</f>
        <v>43432</v>
      </c>
      <c r="AA616" s="117">
        <f>_xll.qlCalendarAdvance(Calendar,Z616,NDays&amp;"D")</f>
        <v>43434</v>
      </c>
      <c r="AB616" s="92">
        <v>6.6042289754465093E-3</v>
      </c>
      <c r="AC616" s="101">
        <v>5.9314547992705968E-3</v>
      </c>
    </row>
    <row r="617" spans="25:29" x14ac:dyDescent="0.2">
      <c r="Y617" s="105" t="str">
        <f t="shared" si="43"/>
        <v>1w</v>
      </c>
      <c r="Z617" s="93">
        <f>_xll.qlCalendarAdvance(Calendar,Z616,Y617,"f",FALSE)</f>
        <v>43439</v>
      </c>
      <c r="AA617" s="117">
        <f>_xll.qlCalendarAdvance(Calendar,Z617,NDays&amp;"D")</f>
        <v>43441</v>
      </c>
      <c r="AB617" s="92">
        <v>6.6574496962562265E-3</v>
      </c>
      <c r="AC617" s="101">
        <v>5.9810305835750199E-3</v>
      </c>
    </row>
    <row r="618" spans="25:29" x14ac:dyDescent="0.2">
      <c r="Y618" s="105" t="str">
        <f t="shared" si="43"/>
        <v>1w</v>
      </c>
      <c r="Z618" s="93">
        <f>_xll.qlCalendarAdvance(Calendar,Z617,Y618,"f",FALSE)</f>
        <v>43446</v>
      </c>
      <c r="AA618" s="117">
        <f>_xll.qlCalendarAdvance(Calendar,Z618,NDays&amp;"D")</f>
        <v>43448</v>
      </c>
      <c r="AB618" s="92">
        <v>6.7109082576364788E-3</v>
      </c>
      <c r="AC618" s="101">
        <v>6.0308665628383551E-3</v>
      </c>
    </row>
    <row r="619" spans="25:29" x14ac:dyDescent="0.2">
      <c r="Y619" s="105" t="str">
        <f t="shared" si="43"/>
        <v>1w</v>
      </c>
      <c r="Z619" s="93">
        <f>_xll.qlCalendarAdvance(Calendar,Z618,Y619,"f",FALSE)</f>
        <v>43453</v>
      </c>
      <c r="AA619" s="117">
        <f>_xll.qlCalendarAdvance(Calendar,Z619,NDays&amp;"D")</f>
        <v>43455</v>
      </c>
      <c r="AB619" s="92">
        <v>6.7645914663877664E-3</v>
      </c>
      <c r="AC619" s="101">
        <v>6.0809647220594343E-3</v>
      </c>
    </row>
    <row r="620" spans="25:29" x14ac:dyDescent="0.2">
      <c r="Y620" s="105" t="str">
        <f t="shared" si="43"/>
        <v>1w</v>
      </c>
      <c r="Z620" s="93">
        <f>_xll.qlCalendarAdvance(Calendar,Z619,Y620,"f",FALSE)</f>
        <v>43461</v>
      </c>
      <c r="AA620" s="117">
        <f>_xll.qlCalendarAdvance(Calendar,Z620,NDays&amp;"D")</f>
        <v>43465</v>
      </c>
      <c r="AB620" s="92">
        <v>6.8296535280963841E-3</v>
      </c>
      <c r="AC620" s="101">
        <v>6.149324334216999E-3</v>
      </c>
    </row>
    <row r="621" spans="25:29" x14ac:dyDescent="0.2">
      <c r="Y621" s="105" t="str">
        <f t="shared" si="43"/>
        <v>1w</v>
      </c>
      <c r="Z621" s="93">
        <f>_xll.qlCalendarAdvance(Calendar,Z620,Y621,"f",FALSE)</f>
        <v>43468</v>
      </c>
      <c r="AA621" s="117">
        <f>_xll.qlCalendarAdvance(Calendar,Z621,NDays&amp;"D")</f>
        <v>43472</v>
      </c>
      <c r="AB621" s="92">
        <v>6.8958168859896193E-3</v>
      </c>
      <c r="AC621" s="101">
        <v>6.1963614803950406E-3</v>
      </c>
    </row>
    <row r="622" spans="25:29" x14ac:dyDescent="0.2">
      <c r="Y622" s="105" t="str">
        <f t="shared" si="43"/>
        <v>1w</v>
      </c>
      <c r="Z622" s="93">
        <f>_xll.qlCalendarAdvance(Calendar,Z621,Y622,"f",FALSE)</f>
        <v>43475</v>
      </c>
      <c r="AA622" s="117">
        <f>_xll.qlCalendarAdvance(Calendar,Z622,NDays&amp;"D")</f>
        <v>43479</v>
      </c>
      <c r="AB622" s="92">
        <v>6.9501664120459744E-3</v>
      </c>
      <c r="AC622" s="101">
        <v>6.2473332887691413E-3</v>
      </c>
    </row>
    <row r="623" spans="25:29" x14ac:dyDescent="0.2">
      <c r="Y623" s="105" t="str">
        <f t="shared" si="43"/>
        <v>1w</v>
      </c>
      <c r="Z623" s="93">
        <f>_xll.qlCalendarAdvance(Calendar,Z622,Y623,"f",FALSE)</f>
        <v>43482</v>
      </c>
      <c r="AA623" s="117">
        <f>_xll.qlCalendarAdvance(Calendar,Z623,NDays&amp;"D")</f>
        <v>43486</v>
      </c>
      <c r="AB623" s="92">
        <v>7.0046788841862089E-3</v>
      </c>
      <c r="AC623" s="101">
        <v>6.2985757603950532E-3</v>
      </c>
    </row>
    <row r="624" spans="25:29" x14ac:dyDescent="0.2">
      <c r="Y624" s="105" t="str">
        <f t="shared" si="43"/>
        <v>1w</v>
      </c>
      <c r="Z624" s="93">
        <f>_xll.qlCalendarAdvance(Calendar,Z623,Y624,"f",FALSE)</f>
        <v>43489</v>
      </c>
      <c r="AA624" s="117">
        <f>_xll.qlCalendarAdvance(Calendar,Z624,NDays&amp;"D")</f>
        <v>43493</v>
      </c>
      <c r="AB624" s="92">
        <v>7.0593396302167507E-3</v>
      </c>
      <c r="AC624" s="101">
        <v>6.3500908800051548E-3</v>
      </c>
    </row>
    <row r="625" spans="25:29" x14ac:dyDescent="0.2">
      <c r="Y625" s="105" t="str">
        <f t="shared" si="43"/>
        <v>1w</v>
      </c>
      <c r="Z625" s="93">
        <f>_xll.qlCalendarAdvance(Calendar,Z624,Y625,"f",FALSE)</f>
        <v>43496</v>
      </c>
      <c r="AA625" s="117">
        <f>_xll.qlCalendarAdvance(Calendar,Z625,NDays&amp;"D")</f>
        <v>43500</v>
      </c>
      <c r="AB625" s="92">
        <v>7.1141337053387977E-3</v>
      </c>
      <c r="AC625" s="101">
        <v>6.4018806323318245E-3</v>
      </c>
    </row>
    <row r="626" spans="25:29" x14ac:dyDescent="0.2">
      <c r="Y626" s="105" t="str">
        <f t="shared" si="43"/>
        <v>1w</v>
      </c>
      <c r="Z626" s="93">
        <f>_xll.qlCalendarAdvance(Calendar,Z625,Y626,"f",FALSE)</f>
        <v>43503</v>
      </c>
      <c r="AA626" s="117">
        <f>_xll.qlCalendarAdvance(Calendar,Z626,NDays&amp;"D")</f>
        <v>43507</v>
      </c>
      <c r="AB626" s="92">
        <v>7.1690458920995546E-3</v>
      </c>
      <c r="AC626" s="101">
        <v>6.4539470021873768E-3</v>
      </c>
    </row>
    <row r="627" spans="25:29" x14ac:dyDescent="0.2">
      <c r="Y627" s="105" t="str">
        <f t="shared" si="43"/>
        <v>1w</v>
      </c>
      <c r="Z627" s="93">
        <f>_xll.qlCalendarAdvance(Calendar,Z626,Y627,"f",FALSE)</f>
        <v>43510</v>
      </c>
      <c r="AA627" s="117">
        <f>_xll.qlCalendarAdvance(Calendar,Z627,NDays&amp;"D")</f>
        <v>43514</v>
      </c>
      <c r="AB627" s="92">
        <v>7.2240607003461266E-3</v>
      </c>
      <c r="AC627" s="101">
        <v>6.5062919742242542E-3</v>
      </c>
    </row>
    <row r="628" spans="25:29" x14ac:dyDescent="0.2">
      <c r="Y628" s="105" t="str">
        <f t="shared" si="43"/>
        <v>1w</v>
      </c>
      <c r="Z628" s="93">
        <f>_xll.qlCalendarAdvance(Calendar,Z627,Y628,"f",FALSE)</f>
        <v>43517</v>
      </c>
      <c r="AA628" s="117">
        <f>_xll.qlCalendarAdvance(Calendar,Z628,NDays&amp;"D")</f>
        <v>43521</v>
      </c>
      <c r="AB628" s="92">
        <v>7.2791623671771997E-3</v>
      </c>
      <c r="AC628" s="101">
        <v>6.5589175331748351E-3</v>
      </c>
    </row>
    <row r="629" spans="25:29" x14ac:dyDescent="0.2">
      <c r="Y629" s="105" t="str">
        <f t="shared" si="43"/>
        <v>1w</v>
      </c>
      <c r="Z629" s="93">
        <f>_xll.qlCalendarAdvance(Calendar,Z628,Y629,"f",FALSE)</f>
        <v>43524</v>
      </c>
      <c r="AA629" s="117">
        <f>_xll.qlCalendarAdvance(Calendar,Z629,NDays&amp;"D")</f>
        <v>43528</v>
      </c>
      <c r="AB629" s="92">
        <v>7.3423934099351492E-3</v>
      </c>
      <c r="AC629" s="101">
        <v>6.6118256638514339E-3</v>
      </c>
    </row>
    <row r="630" spans="25:29" x14ac:dyDescent="0.2">
      <c r="Y630" s="105" t="str">
        <f t="shared" si="43"/>
        <v>1w</v>
      </c>
      <c r="Z630" s="93">
        <f>_xll.qlCalendarAdvance(Calendar,Z629,Y630,"f",FALSE)</f>
        <v>43531</v>
      </c>
      <c r="AA630" s="117">
        <f>_xll.qlCalendarAdvance(Calendar,Z630,NDays&amp;"D")</f>
        <v>43535</v>
      </c>
      <c r="AB630" s="92">
        <v>7.3976151136049325E-3</v>
      </c>
      <c r="AC630" s="101">
        <v>6.665018350826557E-3</v>
      </c>
    </row>
    <row r="631" spans="25:29" x14ac:dyDescent="0.2">
      <c r="Y631" s="105" t="str">
        <f t="shared" si="43"/>
        <v>1w</v>
      </c>
      <c r="Z631" s="93">
        <f>_xll.qlCalendarAdvance(Calendar,Z630,Y631,"f",FALSE)</f>
        <v>43538</v>
      </c>
      <c r="AA631" s="117">
        <f>_xll.qlCalendarAdvance(Calendar,Z631,NDays&amp;"D")</f>
        <v>43542</v>
      </c>
      <c r="AB631" s="92">
        <v>7.4528727638304478E-3</v>
      </c>
      <c r="AC631" s="101">
        <v>6.718497578992455E-3</v>
      </c>
    </row>
    <row r="632" spans="25:29" x14ac:dyDescent="0.2">
      <c r="Y632" s="105" t="str">
        <f t="shared" si="43"/>
        <v>1w</v>
      </c>
      <c r="Z632" s="93">
        <f>_xll.qlCalendarAdvance(Calendar,Z631,Y632,"f",FALSE)</f>
        <v>43545</v>
      </c>
      <c r="AA632" s="117">
        <f>_xll.qlCalendarAdvance(Calendar,Z632,NDays&amp;"D")</f>
        <v>43549</v>
      </c>
      <c r="AB632" s="92">
        <v>7.508149633662739E-3</v>
      </c>
      <c r="AC632" s="101">
        <v>6.7722653330815064E-3</v>
      </c>
    </row>
    <row r="633" spans="25:29" x14ac:dyDescent="0.2">
      <c r="Y633" s="105" t="str">
        <f t="shared" si="43"/>
        <v>1w</v>
      </c>
      <c r="Z633" s="93">
        <f>_xll.qlCalendarAdvance(Calendar,Z632,Y633,"f",FALSE)</f>
        <v>43552</v>
      </c>
      <c r="AA633" s="117">
        <f>_xll.qlCalendarAdvance(Calendar,Z633,NDays&amp;"D")</f>
        <v>43556</v>
      </c>
      <c r="AB633" s="92">
        <v>7.5594160934284622E-3</v>
      </c>
      <c r="AC633" s="101">
        <v>6.8263235977461534E-3</v>
      </c>
    </row>
    <row r="634" spans="25:29" x14ac:dyDescent="0.2">
      <c r="Y634" s="105" t="str">
        <f t="shared" si="43"/>
        <v>1w</v>
      </c>
      <c r="Z634" s="93">
        <f>_xll.qlCalendarAdvance(Calendar,Z633,Y634,"f",FALSE)</f>
        <v>43559</v>
      </c>
      <c r="AA634" s="117">
        <f>_xll.qlCalendarAdvance(Calendar,Z634,NDays&amp;"D")</f>
        <v>43563</v>
      </c>
      <c r="AB634" s="92">
        <v>7.6146863997020448E-3</v>
      </c>
      <c r="AC634" s="101">
        <v>6.8806743578786467E-3</v>
      </c>
    </row>
    <row r="635" spans="25:29" x14ac:dyDescent="0.2">
      <c r="Y635" s="105" t="str">
        <f t="shared" si="43"/>
        <v>1w</v>
      </c>
      <c r="Z635" s="93">
        <f>_xll.qlCalendarAdvance(Calendar,Z634,Y635,"f",FALSE)</f>
        <v>43566</v>
      </c>
      <c r="AA635" s="117">
        <f>_xll.qlCalendarAdvance(Calendar,Z635,NDays&amp;"D")</f>
        <v>43570</v>
      </c>
      <c r="AB635" s="92">
        <v>7.6699248520113528E-3</v>
      </c>
      <c r="AC635" s="101">
        <v>6.9353195981314286E-3</v>
      </c>
    </row>
    <row r="636" spans="25:29" x14ac:dyDescent="0.2">
      <c r="Y636" s="105" t="str">
        <f t="shared" si="43"/>
        <v>1w</v>
      </c>
      <c r="Z636" s="93">
        <f>_xll.qlCalendarAdvance(Calendar,Z635,Y636,"f",FALSE)</f>
        <v>43573</v>
      </c>
      <c r="AA636" s="117">
        <f>_xll.qlCalendarAdvance(Calendar,Z636,NDays&amp;"D")</f>
        <v>43579</v>
      </c>
      <c r="AB636" s="92">
        <v>7.7408701130879344E-3</v>
      </c>
      <c r="AC636" s="101">
        <v>7.0060136637728476E-3</v>
      </c>
    </row>
    <row r="637" spans="25:29" x14ac:dyDescent="0.2">
      <c r="Y637" s="105" t="str">
        <f t="shared" si="43"/>
        <v>1w</v>
      </c>
      <c r="Z637" s="93">
        <f>_xll.qlCalendarAdvance(Calendar,Z636,Y637,"f",FALSE)</f>
        <v>43580</v>
      </c>
      <c r="AA637" s="117">
        <f>_xll.qlCalendarAdvance(Calendar,Z637,NDays&amp;"D")</f>
        <v>43584</v>
      </c>
      <c r="AB637" s="92">
        <v>7.7802344172251212E-3</v>
      </c>
      <c r="AC637" s="101">
        <v>7.0455014579273723E-3</v>
      </c>
    </row>
    <row r="638" spans="25:29" x14ac:dyDescent="0.2">
      <c r="Y638" s="105" t="str">
        <f t="shared" si="43"/>
        <v>1w</v>
      </c>
      <c r="Z638" s="93">
        <f>_xll.qlCalendarAdvance(Calendar,Z637,Y638,"f",FALSE)</f>
        <v>43587</v>
      </c>
      <c r="AA638" s="117">
        <f>_xll.qlCalendarAdvance(Calendar,Z638,NDays&amp;"D")</f>
        <v>43591</v>
      </c>
      <c r="AB638" s="92">
        <v>7.8392437264292007E-3</v>
      </c>
      <c r="AC638" s="101">
        <v>7.101042047175099E-3</v>
      </c>
    </row>
    <row r="639" spans="25:29" x14ac:dyDescent="0.2">
      <c r="Y639" s="105" t="str">
        <f t="shared" si="43"/>
        <v>1w</v>
      </c>
      <c r="Z639" s="93">
        <f>_xll.qlCalendarAdvance(Calendar,Z638,Y639,"f",FALSE)</f>
        <v>43594</v>
      </c>
      <c r="AA639" s="117">
        <f>_xll.qlCalendarAdvance(Calendar,Z639,NDays&amp;"D")</f>
        <v>43598</v>
      </c>
      <c r="AB639" s="92">
        <v>7.8941640915396617E-3</v>
      </c>
      <c r="AC639" s="101">
        <v>7.1568850555525643E-3</v>
      </c>
    </row>
    <row r="640" spans="25:29" x14ac:dyDescent="0.2">
      <c r="Y640" s="105" t="str">
        <f t="shared" si="43"/>
        <v>1w</v>
      </c>
      <c r="Z640" s="93">
        <f>_xll.qlCalendarAdvance(Calendar,Z639,Y640,"f",FALSE)</f>
        <v>43601</v>
      </c>
      <c r="AA640" s="117">
        <f>_xll.qlCalendarAdvance(Calendar,Z640,NDays&amp;"D")</f>
        <v>43605</v>
      </c>
      <c r="AB640" s="92">
        <v>7.9489616112845031E-3</v>
      </c>
      <c r="AC640" s="101">
        <v>7.2128732622633862E-3</v>
      </c>
    </row>
    <row r="641" spans="25:29" x14ac:dyDescent="0.2">
      <c r="Y641" s="105" t="str">
        <f t="shared" si="43"/>
        <v>1w</v>
      </c>
      <c r="Z641" s="93">
        <f>_xll.qlCalendarAdvance(Calendar,Z640,Y641,"f",FALSE)</f>
        <v>43608</v>
      </c>
      <c r="AA641" s="117">
        <f>_xll.qlCalendarAdvance(Calendar,Z641,NDays&amp;"D")</f>
        <v>43612</v>
      </c>
      <c r="AB641" s="92">
        <v>8.0036277756488586E-3</v>
      </c>
      <c r="AC641" s="101">
        <v>7.2687962104556192E-3</v>
      </c>
    </row>
    <row r="642" spans="25:29" x14ac:dyDescent="0.2">
      <c r="Y642" s="105" t="str">
        <f t="shared" si="43"/>
        <v>1w</v>
      </c>
      <c r="Z642" s="93">
        <f>_xll.qlCalendarAdvance(Calendar,Z641,Y642,"f",FALSE)</f>
        <v>43615</v>
      </c>
      <c r="AA642" s="117">
        <f>_xll.qlCalendarAdvance(Calendar,Z642,NDays&amp;"D")</f>
        <v>43619</v>
      </c>
      <c r="AB642" s="92">
        <v>8.0542217018182861E-3</v>
      </c>
      <c r="AC642" s="101">
        <v>7.3246476177946107E-3</v>
      </c>
    </row>
    <row r="643" spans="25:29" x14ac:dyDescent="0.2">
      <c r="Y643" s="105" t="str">
        <f t="shared" si="43"/>
        <v>1w</v>
      </c>
      <c r="Z643" s="93">
        <f>_xll.qlCalendarAdvance(Calendar,Z642,Y643,"f",FALSE)</f>
        <v>43622</v>
      </c>
      <c r="AA643" s="117">
        <f>_xll.qlCalendarAdvance(Calendar,Z643,NDays&amp;"D")</f>
        <v>43626</v>
      </c>
      <c r="AB643" s="92">
        <v>8.1086205717069582E-3</v>
      </c>
      <c r="AC643" s="101">
        <v>7.3804224474294244E-3</v>
      </c>
    </row>
    <row r="644" spans="25:29" x14ac:dyDescent="0.2">
      <c r="Y644" s="105" t="str">
        <f t="shared" si="43"/>
        <v>1w</v>
      </c>
      <c r="Z644" s="93">
        <f>_xll.qlCalendarAdvance(Calendar,Z643,Y644,"f",FALSE)</f>
        <v>43629</v>
      </c>
      <c r="AA644" s="117">
        <f>_xll.qlCalendarAdvance(Calendar,Z644,NDays&amp;"D")</f>
        <v>43633</v>
      </c>
      <c r="AB644" s="92">
        <v>8.1628732293943778E-3</v>
      </c>
      <c r="AC644" s="101">
        <v>7.4361156622693159E-3</v>
      </c>
    </row>
    <row r="645" spans="25:29" x14ac:dyDescent="0.2">
      <c r="Y645" s="105" t="str">
        <f t="shared" si="43"/>
        <v>1w</v>
      </c>
      <c r="Z645" s="93">
        <f>_xll.qlCalendarAdvance(Calendar,Z644,Y645,"f",FALSE)</f>
        <v>43636</v>
      </c>
      <c r="AA645" s="117">
        <f>_xll.qlCalendarAdvance(Calendar,Z645,NDays&amp;"D")</f>
        <v>43640</v>
      </c>
      <c r="AB645" s="92">
        <v>8.2169746049199164E-3</v>
      </c>
      <c r="AC645" s="101">
        <v>7.4917222256232208E-3</v>
      </c>
    </row>
    <row r="646" spans="25:29" x14ac:dyDescent="0.2">
      <c r="Y646" s="105" t="str">
        <f t="shared" si="43"/>
        <v>1w</v>
      </c>
      <c r="Z646" s="93">
        <f>_xll.qlCalendarAdvance(Calendar,Z645,Y646,"f",FALSE)</f>
        <v>43643</v>
      </c>
      <c r="AA646" s="117">
        <f>_xll.qlCalendarAdvance(Calendar,Z646,NDays&amp;"D")</f>
        <v>43647</v>
      </c>
      <c r="AB646" s="92">
        <v>8.2787007095680171E-3</v>
      </c>
      <c r="AC646" s="101">
        <v>7.5472371003204586E-3</v>
      </c>
    </row>
    <row r="647" spans="25:29" x14ac:dyDescent="0.2">
      <c r="Y647" s="105" t="str">
        <f t="shared" si="43"/>
        <v>1w</v>
      </c>
      <c r="Z647" s="93">
        <f>_xll.qlCalendarAdvance(Calendar,Z646,Y647,"f",FALSE)</f>
        <v>43650</v>
      </c>
      <c r="AA647" s="117">
        <f>_xll.qlCalendarAdvance(Calendar,Z647,NDays&amp;"D")</f>
        <v>43654</v>
      </c>
      <c r="AB647" s="92">
        <v>8.328582277964066E-3</v>
      </c>
      <c r="AC647" s="101">
        <v>7.602655249590029E-3</v>
      </c>
    </row>
    <row r="648" spans="25:29" x14ac:dyDescent="0.2">
      <c r="Y648" s="105" t="str">
        <f t="shared" si="43"/>
        <v>1w</v>
      </c>
      <c r="Z648" s="93">
        <f>_xll.qlCalendarAdvance(Calendar,Z647,Y648,"f",FALSE)</f>
        <v>43657</v>
      </c>
      <c r="AA648" s="117">
        <f>_xll.qlCalendarAdvance(Calendar,Z648,NDays&amp;"D")</f>
        <v>43661</v>
      </c>
      <c r="AB648" s="92">
        <v>8.3821869569575148E-3</v>
      </c>
      <c r="AC648" s="101">
        <v>7.6579716363411876E-3</v>
      </c>
    </row>
    <row r="649" spans="25:29" x14ac:dyDescent="0.2">
      <c r="Y649" s="105" t="str">
        <f t="shared" si="43"/>
        <v>1w</v>
      </c>
      <c r="Z649" s="93">
        <f>_xll.qlCalendarAdvance(Calendar,Z648,Y649,"f",FALSE)</f>
        <v>43664</v>
      </c>
      <c r="AA649" s="117">
        <f>_xll.qlCalendarAdvance(Calendar,Z649,NDays&amp;"D")</f>
        <v>43668</v>
      </c>
      <c r="AB649" s="92">
        <v>8.4356197103241867E-3</v>
      </c>
      <c r="AC649" s="101">
        <v>7.713181223722998E-3</v>
      </c>
    </row>
    <row r="650" spans="25:29" x14ac:dyDescent="0.2">
      <c r="Y650" s="105" t="str">
        <f t="shared" si="43"/>
        <v>1w</v>
      </c>
      <c r="Z650" s="93">
        <f>_xll.qlCalendarAdvance(Calendar,Z649,Y650,"f",FALSE)</f>
        <v>43671</v>
      </c>
      <c r="AA650" s="117">
        <f>_xll.qlCalendarAdvance(Calendar,Z650,NDays&amp;"D")</f>
        <v>43675</v>
      </c>
      <c r="AB650" s="92">
        <v>8.4888754653114282E-3</v>
      </c>
      <c r="AC650" s="101">
        <v>7.7682789747246517E-3</v>
      </c>
    </row>
    <row r="651" spans="25:29" x14ac:dyDescent="0.2">
      <c r="Y651" s="105" t="str">
        <f t="shared" si="43"/>
        <v>1w</v>
      </c>
      <c r="Z651" s="93">
        <f>_xll.qlCalendarAdvance(Calendar,Z650,Y651,"f",FALSE)</f>
        <v>43678</v>
      </c>
      <c r="AA651" s="117">
        <f>_xll.qlCalendarAdvance(Calendar,Z651,NDays&amp;"D")</f>
        <v>43682</v>
      </c>
      <c r="AB651" s="92">
        <v>8.5419491486665479E-3</v>
      </c>
      <c r="AC651" s="101">
        <v>7.8232598524152763E-3</v>
      </c>
    </row>
    <row r="652" spans="25:29" x14ac:dyDescent="0.2">
      <c r="Y652" s="105" t="str">
        <f t="shared" si="43"/>
        <v>1w</v>
      </c>
      <c r="Z652" s="93">
        <f>_xll.qlCalendarAdvance(Calendar,Z651,Y652,"f",FALSE)</f>
        <v>43685</v>
      </c>
      <c r="AA652" s="117">
        <f>_xll.qlCalendarAdvance(Calendar,Z652,NDays&amp;"D")</f>
        <v>43689</v>
      </c>
      <c r="AB652" s="92">
        <v>8.5948356866381321E-3</v>
      </c>
      <c r="AC652" s="101">
        <v>7.8781188199439356E-3</v>
      </c>
    </row>
    <row r="653" spans="25:29" x14ac:dyDescent="0.2">
      <c r="Y653" s="105" t="str">
        <f t="shared" si="43"/>
        <v>1w</v>
      </c>
      <c r="Z653" s="93">
        <f>_xll.qlCalendarAdvance(Calendar,Z652,Y653,"f",FALSE)</f>
        <v>43692</v>
      </c>
      <c r="AA653" s="117">
        <f>_xll.qlCalendarAdvance(Calendar,Z653,NDays&amp;"D")</f>
        <v>43696</v>
      </c>
      <c r="AB653" s="92">
        <v>8.6475300049851499E-3</v>
      </c>
      <c r="AC653" s="101">
        <v>7.932850840219885E-3</v>
      </c>
    </row>
    <row r="654" spans="25:29" x14ac:dyDescent="0.2">
      <c r="Y654" s="105" t="str">
        <f t="shared" si="43"/>
        <v>1w</v>
      </c>
      <c r="Z654" s="93">
        <f>_xll.qlCalendarAdvance(Calendar,Z653,Y654,"f",FALSE)</f>
        <v>43699</v>
      </c>
      <c r="AA654" s="117">
        <f>_xll.qlCalendarAdvance(Calendar,Z654,NDays&amp;"D")</f>
        <v>43703</v>
      </c>
      <c r="AB654" s="92">
        <v>8.7000270289769675E-3</v>
      </c>
      <c r="AC654" s="101">
        <v>7.987450876312252E-3</v>
      </c>
    </row>
    <row r="655" spans="25:29" x14ac:dyDescent="0.2">
      <c r="Y655" s="105" t="str">
        <f t="shared" si="43"/>
        <v>1w</v>
      </c>
      <c r="Z655" s="93">
        <f>_xll.qlCalendarAdvance(Calendar,Z654,Y655,"f",FALSE)</f>
        <v>43706</v>
      </c>
      <c r="AA655" s="117">
        <f>_xll.qlCalendarAdvance(Calendar,Z655,NDays&amp;"D")</f>
        <v>43710</v>
      </c>
      <c r="AB655" s="92">
        <v>8.744781026198311E-3</v>
      </c>
      <c r="AC655" s="101">
        <v>8.0419138912102284E-3</v>
      </c>
    </row>
    <row r="656" spans="25:29" x14ac:dyDescent="0.2">
      <c r="Y656" s="105" t="str">
        <f t="shared" si="43"/>
        <v>1w</v>
      </c>
      <c r="Z656" s="93">
        <f>_xll.qlCalendarAdvance(Calendar,Z655,Y656,"f",FALSE)</f>
        <v>43713</v>
      </c>
      <c r="AA656" s="117">
        <f>_xll.qlCalendarAdvance(Calendar,Z656,NDays&amp;"D")</f>
        <v>43717</v>
      </c>
      <c r="AB656" s="92">
        <v>8.796898799873526E-3</v>
      </c>
      <c r="AC656" s="101">
        <v>8.0962348479829416E-3</v>
      </c>
    </row>
    <row r="657" spans="25:29" x14ac:dyDescent="0.2">
      <c r="Y657" s="105" t="str">
        <f t="shared" si="43"/>
        <v>1w</v>
      </c>
      <c r="Z657" s="93">
        <f>_xll.qlCalendarAdvance(Calendar,Z656,Y657,"f",FALSE)</f>
        <v>43720</v>
      </c>
      <c r="AA657" s="117">
        <f>_xll.qlCalendarAdvance(Calendar,Z657,NDays&amp;"D")</f>
        <v>43724</v>
      </c>
      <c r="AB657" s="92">
        <v>8.8488047728451716E-3</v>
      </c>
      <c r="AC657" s="101">
        <v>8.1504087096995192E-3</v>
      </c>
    </row>
    <row r="658" spans="25:29" x14ac:dyDescent="0.2">
      <c r="Y658" s="105" t="str">
        <f t="shared" si="43"/>
        <v>1w</v>
      </c>
      <c r="Z658" s="93">
        <f>_xll.qlCalendarAdvance(Calendar,Z657,Y658,"f",FALSE)</f>
        <v>43727</v>
      </c>
      <c r="AA658" s="117">
        <f>_xll.qlCalendarAdvance(Calendar,Z658,NDays&amp;"D")</f>
        <v>43731</v>
      </c>
      <c r="AB658" s="92">
        <v>8.9004938689838421E-3</v>
      </c>
      <c r="AC658" s="101">
        <v>8.2044304393491529E-3</v>
      </c>
    </row>
    <row r="659" spans="25:29" x14ac:dyDescent="0.2">
      <c r="Y659" s="105" t="str">
        <f t="shared" si="43"/>
        <v>1w</v>
      </c>
      <c r="Z659" s="93">
        <f>_xll.qlCalendarAdvance(Calendar,Z658,Y659,"f",FALSE)</f>
        <v>43734</v>
      </c>
      <c r="AA659" s="117">
        <f>_xll.qlCalendarAdvance(Calendar,Z659,NDays&amp;"D")</f>
        <v>43738</v>
      </c>
      <c r="AB659" s="92">
        <v>8.9556688451781843E-3</v>
      </c>
      <c r="AC659" s="101">
        <v>8.2582949999210342E-3</v>
      </c>
    </row>
    <row r="660" spans="25:29" x14ac:dyDescent="0.2">
      <c r="Y660" s="105" t="str">
        <f t="shared" si="43"/>
        <v>1w</v>
      </c>
      <c r="Z660" s="93">
        <f>_xll.qlCalendarAdvance(Calendar,Z659,Y660,"f",FALSE)</f>
        <v>43741</v>
      </c>
      <c r="AA660" s="117">
        <f>_xll.qlCalendarAdvance(Calendar,Z660,NDays&amp;"D")</f>
        <v>43745</v>
      </c>
      <c r="AB660" s="92">
        <v>9.0068922494579255E-3</v>
      </c>
      <c r="AC660" s="101">
        <v>8.3119973545642267E-3</v>
      </c>
    </row>
    <row r="661" spans="25:29" x14ac:dyDescent="0.2">
      <c r="Y661" s="105" t="str">
        <f t="shared" ref="Y661:Y724" si="44">Y660</f>
        <v>1w</v>
      </c>
      <c r="Z661" s="93">
        <f>_xll.qlCalendarAdvance(Calendar,Z660,Y661,"f",FALSE)</f>
        <v>43748</v>
      </c>
      <c r="AA661" s="117">
        <f>_xll.qlCalendarAdvance(Calendar,Z661,NDays&amp;"D")</f>
        <v>43752</v>
      </c>
      <c r="AB661" s="92">
        <v>9.0578831844549349E-3</v>
      </c>
      <c r="AC661" s="101">
        <v>8.365532466187986E-3</v>
      </c>
    </row>
    <row r="662" spans="25:29" x14ac:dyDescent="0.2">
      <c r="Y662" s="105" t="str">
        <f t="shared" si="44"/>
        <v>1w</v>
      </c>
      <c r="Z662" s="93">
        <f>_xll.qlCalendarAdvance(Calendar,Z661,Y662,"f",FALSE)</f>
        <v>43755</v>
      </c>
      <c r="AA662" s="117">
        <f>_xll.qlCalendarAdvance(Calendar,Z662,NDays&amp;"D")</f>
        <v>43759</v>
      </c>
      <c r="AB662" s="92">
        <v>9.1086365719922086E-3</v>
      </c>
      <c r="AC662" s="101">
        <v>8.4188952977015674E-3</v>
      </c>
    </row>
    <row r="663" spans="25:29" x14ac:dyDescent="0.2">
      <c r="Y663" s="105" t="str">
        <f t="shared" si="44"/>
        <v>1w</v>
      </c>
      <c r="Z663" s="93">
        <f>_xll.qlCalendarAdvance(Calendar,Z662,Y663,"f",FALSE)</f>
        <v>43762</v>
      </c>
      <c r="AA663" s="117">
        <f>_xll.qlCalendarAdvance(Calendar,Z663,NDays&amp;"D")</f>
        <v>43766</v>
      </c>
      <c r="AB663" s="92">
        <v>9.1591473334563696E-3</v>
      </c>
      <c r="AC663" s="101">
        <v>8.4720808123339708E-3</v>
      </c>
    </row>
    <row r="664" spans="25:29" x14ac:dyDescent="0.2">
      <c r="Y664" s="105" t="str">
        <f t="shared" si="44"/>
        <v>1w</v>
      </c>
      <c r="Z664" s="93">
        <f>_xll.qlCalendarAdvance(Calendar,Z663,Y664,"f",FALSE)</f>
        <v>43769</v>
      </c>
      <c r="AA664" s="117">
        <f>_xll.qlCalendarAdvance(Calendar,Z664,NDays&amp;"D")</f>
        <v>43773</v>
      </c>
      <c r="AB664" s="92">
        <v>9.2057897123259298E-3</v>
      </c>
      <c r="AC664" s="101">
        <v>8.5250839729145156E-3</v>
      </c>
    </row>
    <row r="665" spans="25:29" x14ac:dyDescent="0.2">
      <c r="Y665" s="105" t="str">
        <f t="shared" si="44"/>
        <v>1w</v>
      </c>
      <c r="Z665" s="93">
        <f>_xll.qlCalendarAdvance(Calendar,Z664,Y665,"f",FALSE)</f>
        <v>43776</v>
      </c>
      <c r="AA665" s="117">
        <f>_xll.qlCalendarAdvance(Calendar,Z665,NDays&amp;"D")</f>
        <v>43780</v>
      </c>
      <c r="AB665" s="92">
        <v>9.2558185014083635E-3</v>
      </c>
      <c r="AC665" s="101">
        <v>8.5778997426722015E-3</v>
      </c>
    </row>
    <row r="666" spans="25:29" x14ac:dyDescent="0.2">
      <c r="Y666" s="105" t="str">
        <f t="shared" si="44"/>
        <v>1w</v>
      </c>
      <c r="Z666" s="93">
        <f>_xll.qlCalendarAdvance(Calendar,Z665,Y666,"f",FALSE)</f>
        <v>43783</v>
      </c>
      <c r="AA666" s="117">
        <f>_xll.qlCalendarAdvance(Calendar,Z666,NDays&amp;"D")</f>
        <v>43787</v>
      </c>
      <c r="AB666" s="92">
        <v>9.3055902362504869E-3</v>
      </c>
      <c r="AC666" s="101">
        <v>8.6305230843564118E-3</v>
      </c>
    </row>
    <row r="667" spans="25:29" x14ac:dyDescent="0.2">
      <c r="Y667" s="105" t="str">
        <f t="shared" si="44"/>
        <v>1w</v>
      </c>
      <c r="Z667" s="93">
        <f>_xll.qlCalendarAdvance(Calendar,Z666,Y667,"f",FALSE)</f>
        <v>43790</v>
      </c>
      <c r="AA667" s="117">
        <f>_xll.qlCalendarAdvance(Calendar,Z667,NDays&amp;"D")</f>
        <v>43794</v>
      </c>
      <c r="AB667" s="92">
        <v>9.3551078379987013E-3</v>
      </c>
      <c r="AC667" s="101">
        <v>8.6829489611961463E-3</v>
      </c>
    </row>
    <row r="668" spans="25:29" x14ac:dyDescent="0.2">
      <c r="Y668" s="105" t="str">
        <f t="shared" si="44"/>
        <v>1w</v>
      </c>
      <c r="Z668" s="93">
        <f>_xll.qlCalendarAdvance(Calendar,Z667,Y668,"f",FALSE)</f>
        <v>43797</v>
      </c>
      <c r="AA668" s="117">
        <f>_xll.qlCalendarAdvance(Calendar,Z668,NDays&amp;"D")</f>
        <v>43801</v>
      </c>
      <c r="AB668" s="92">
        <v>9.4079320679091583E-3</v>
      </c>
      <c r="AC668" s="101">
        <v>8.7351723359407885E-3</v>
      </c>
    </row>
    <row r="669" spans="25:29" x14ac:dyDescent="0.2">
      <c r="Y669" s="105" t="str">
        <f t="shared" si="44"/>
        <v>1w</v>
      </c>
      <c r="Z669" s="93">
        <f>_xll.qlCalendarAdvance(Calendar,Z668,Y669,"f",FALSE)</f>
        <v>43804</v>
      </c>
      <c r="AA669" s="117">
        <f>_xll.qlCalendarAdvance(Calendar,Z669,NDays&amp;"D")</f>
        <v>43808</v>
      </c>
      <c r="AB669" s="92">
        <v>9.4569560228720158E-3</v>
      </c>
      <c r="AC669" s="101">
        <v>8.7871881718193379E-3</v>
      </c>
    </row>
    <row r="670" spans="25:29" x14ac:dyDescent="0.2">
      <c r="Y670" s="105" t="str">
        <f t="shared" si="44"/>
        <v>1w</v>
      </c>
      <c r="Z670" s="93">
        <f>_xll.qlCalendarAdvance(Calendar,Z669,Y670,"f",FALSE)</f>
        <v>43811</v>
      </c>
      <c r="AA670" s="117">
        <f>_xll.qlCalendarAdvance(Calendar,Z670,NDays&amp;"D")</f>
        <v>43815</v>
      </c>
      <c r="AB670" s="92">
        <v>9.5057563769947329E-3</v>
      </c>
      <c r="AC670" s="101">
        <v>8.838991431661114E-3</v>
      </c>
    </row>
    <row r="671" spans="25:29" x14ac:dyDescent="0.2">
      <c r="Y671" s="105" t="str">
        <f t="shared" si="44"/>
        <v>1w</v>
      </c>
      <c r="Z671" s="93">
        <f>_xll.qlCalendarAdvance(Calendar,Z670,Y671,"f",FALSE)</f>
        <v>43818</v>
      </c>
      <c r="AA671" s="117">
        <f>_xll.qlCalendarAdvance(Calendar,Z671,NDays&amp;"D")</f>
        <v>43822</v>
      </c>
      <c r="AB671" s="92">
        <v>9.5543432594194285E-3</v>
      </c>
      <c r="AC671" s="101">
        <v>8.8905770786151805E-3</v>
      </c>
    </row>
    <row r="672" spans="25:29" x14ac:dyDescent="0.2">
      <c r="Y672" s="105" t="str">
        <f t="shared" si="44"/>
        <v>1w</v>
      </c>
      <c r="Z672" s="93">
        <f>_xll.qlCalendarAdvance(Calendar,Z671,Y672,"f",FALSE)</f>
        <v>43826</v>
      </c>
      <c r="AA672" s="117">
        <f>_xll.qlCalendarAdvance(Calendar,Z672,NDays&amp;"D")</f>
        <v>43830</v>
      </c>
      <c r="AB672" s="92">
        <v>9.6061191130475589E-3</v>
      </c>
      <c r="AC672" s="101">
        <v>8.953027723390683E-3</v>
      </c>
    </row>
    <row r="673" spans="25:29" x14ac:dyDescent="0.2">
      <c r="Y673" s="105" t="str">
        <f t="shared" si="44"/>
        <v>1w</v>
      </c>
      <c r="Z673" s="93">
        <f>_xll.qlCalendarAdvance(Calendar,Z672,Y673,"f",FALSE)</f>
        <v>43833</v>
      </c>
      <c r="AA673" s="117">
        <f>_xll.qlCalendarAdvance(Calendar,Z673,NDays&amp;"D")</f>
        <v>43837</v>
      </c>
      <c r="AB673" s="92">
        <v>9.6542915752342775E-3</v>
      </c>
      <c r="AC673" s="101">
        <v>9.000361549249547E-3</v>
      </c>
    </row>
    <row r="674" spans="25:29" x14ac:dyDescent="0.2">
      <c r="Y674" s="105" t="str">
        <f t="shared" si="44"/>
        <v>1w</v>
      </c>
      <c r="Z674" s="93">
        <f>_xll.qlCalendarAdvance(Calendar,Z673,Y674,"f",FALSE)</f>
        <v>43840</v>
      </c>
      <c r="AA674" s="117">
        <f>_xll.qlCalendarAdvance(Calendar,Z674,NDays&amp;"D")</f>
        <v>43844</v>
      </c>
      <c r="AB674" s="92">
        <v>9.7022825503160909E-3</v>
      </c>
      <c r="AC674" s="101">
        <v>9.0512304775991481E-3</v>
      </c>
    </row>
    <row r="675" spans="25:29" x14ac:dyDescent="0.2">
      <c r="Y675" s="105" t="str">
        <f t="shared" si="44"/>
        <v>1w</v>
      </c>
      <c r="Z675" s="93">
        <f>_xll.qlCalendarAdvance(Calendar,Z674,Y675,"f",FALSE)</f>
        <v>43847</v>
      </c>
      <c r="AA675" s="117">
        <f>_xll.qlCalendarAdvance(Calendar,Z675,NDays&amp;"D")</f>
        <v>43851</v>
      </c>
      <c r="AB675" s="92">
        <v>9.750103135694679E-3</v>
      </c>
      <c r="AC675" s="101">
        <v>9.1018609253534777E-3</v>
      </c>
    </row>
    <row r="676" spans="25:29" x14ac:dyDescent="0.2">
      <c r="Y676" s="105" t="str">
        <f t="shared" si="44"/>
        <v>1w</v>
      </c>
      <c r="Z676" s="93">
        <f>_xll.qlCalendarAdvance(Calendar,Z675,Y676,"f",FALSE)</f>
        <v>43854</v>
      </c>
      <c r="AA676" s="117">
        <f>_xll.qlCalendarAdvance(Calendar,Z676,NDays&amp;"D")</f>
        <v>43858</v>
      </c>
      <c r="AB676" s="92">
        <v>9.7977646500298967E-3</v>
      </c>
      <c r="AC676" s="101">
        <v>9.1522478554217912E-3</v>
      </c>
    </row>
    <row r="677" spans="25:29" x14ac:dyDescent="0.2">
      <c r="Y677" s="105" t="str">
        <f t="shared" si="44"/>
        <v>1w</v>
      </c>
      <c r="Z677" s="93">
        <f>_xll.qlCalendarAdvance(Calendar,Z676,Y677,"f",FALSE)</f>
        <v>43861</v>
      </c>
      <c r="AA677" s="117">
        <f>_xll.qlCalendarAdvance(Calendar,Z677,NDays&amp;"D")</f>
        <v>43865</v>
      </c>
      <c r="AB677" s="92">
        <v>9.8452786332577837E-3</v>
      </c>
      <c r="AC677" s="101">
        <v>9.2023862310330884E-3</v>
      </c>
    </row>
    <row r="678" spans="25:29" x14ac:dyDescent="0.2">
      <c r="Y678" s="105" t="str">
        <f t="shared" si="44"/>
        <v>1w</v>
      </c>
      <c r="Z678" s="93">
        <f>_xll.qlCalendarAdvance(Calendar,Z677,Y678,"f",FALSE)</f>
        <v>43868</v>
      </c>
      <c r="AA678" s="117">
        <f>_xll.qlCalendarAdvance(Calendar,Z678,NDays&amp;"D")</f>
        <v>43872</v>
      </c>
      <c r="AB678" s="92">
        <v>9.8926568466028621E-3</v>
      </c>
      <c r="AC678" s="101">
        <v>9.2522710146969445E-3</v>
      </c>
    </row>
    <row r="679" spans="25:29" x14ac:dyDescent="0.2">
      <c r="Y679" s="105" t="str">
        <f t="shared" si="44"/>
        <v>1w</v>
      </c>
      <c r="Z679" s="93">
        <f>_xll.qlCalendarAdvance(Calendar,Z678,Y679,"f",FALSE)</f>
        <v>43875</v>
      </c>
      <c r="AA679" s="117">
        <f>_xll.qlCalendarAdvance(Calendar,Z679,NDays&amp;"D")</f>
        <v>43879</v>
      </c>
      <c r="AB679" s="92">
        <v>9.9399112726031701E-3</v>
      </c>
      <c r="AC679" s="101">
        <v>9.3018971698022312E-3</v>
      </c>
    </row>
    <row r="680" spans="25:29" x14ac:dyDescent="0.2">
      <c r="Y680" s="105" t="str">
        <f t="shared" si="44"/>
        <v>1w</v>
      </c>
      <c r="Z680" s="93">
        <f>_xll.qlCalendarAdvance(Calendar,Z679,Y680,"f",FALSE)</f>
        <v>43882</v>
      </c>
      <c r="AA680" s="117">
        <f>_xll.qlCalendarAdvance(Calendar,Z680,NDays&amp;"D")</f>
        <v>43886</v>
      </c>
      <c r="AB680" s="92">
        <v>9.9870541151230001E-3</v>
      </c>
      <c r="AC680" s="101">
        <v>9.3512596590983321E-3</v>
      </c>
    </row>
    <row r="681" spans="25:29" x14ac:dyDescent="0.2">
      <c r="Y681" s="105" t="str">
        <f t="shared" si="44"/>
        <v>1w</v>
      </c>
      <c r="Z681" s="93">
        <f>_xll.qlCalendarAdvance(Calendar,Z680,Y681,"f",FALSE)</f>
        <v>43889</v>
      </c>
      <c r="AA681" s="117">
        <f>_xll.qlCalendarAdvance(Calendar,Z681,NDays&amp;"D")</f>
        <v>43893</v>
      </c>
      <c r="AB681" s="92">
        <v>1.0041046508789193E-2</v>
      </c>
      <c r="AC681" s="101">
        <v>9.4003534455744386E-3</v>
      </c>
    </row>
    <row r="682" spans="25:29" x14ac:dyDescent="0.2">
      <c r="Y682" s="105" t="str">
        <f t="shared" si="44"/>
        <v>1w</v>
      </c>
      <c r="Z682" s="93">
        <f>_xll.qlCalendarAdvance(Calendar,Z681,Y682,"f",FALSE)</f>
        <v>43896</v>
      </c>
      <c r="AA682" s="117">
        <f>_xll.qlCalendarAdvance(Calendar,Z682,NDays&amp;"D")</f>
        <v>43900</v>
      </c>
      <c r="AB682" s="92">
        <v>1.0088006740874313E-2</v>
      </c>
      <c r="AC682" s="101">
        <v>9.4491734922996784E-3</v>
      </c>
    </row>
    <row r="683" spans="25:29" x14ac:dyDescent="0.2">
      <c r="Y683" s="105" t="str">
        <f t="shared" si="44"/>
        <v>1w</v>
      </c>
      <c r="Z683" s="93">
        <f>_xll.qlCalendarAdvance(Calendar,Z682,Y683,"f",FALSE)</f>
        <v>43903</v>
      </c>
      <c r="AA683" s="117">
        <f>_xll.qlCalendarAdvance(Calendar,Z683,NDays&amp;"D")</f>
        <v>43907</v>
      </c>
      <c r="AB683" s="92">
        <v>1.0134894778399539E-2</v>
      </c>
      <c r="AC683" s="101">
        <v>9.4977147621833069E-3</v>
      </c>
    </row>
    <row r="684" spans="25:29" x14ac:dyDescent="0.2">
      <c r="Y684" s="105" t="str">
        <f t="shared" si="44"/>
        <v>1w</v>
      </c>
      <c r="Z684" s="93">
        <f>_xll.qlCalendarAdvance(Calendar,Z683,Y684,"f",FALSE)</f>
        <v>43910</v>
      </c>
      <c r="AA684" s="117">
        <f>_xll.qlCalendarAdvance(Calendar,Z684,NDays&amp;"D")</f>
        <v>43914</v>
      </c>
      <c r="AB684" s="92">
        <v>1.0181723576421896E-2</v>
      </c>
      <c r="AC684" s="101">
        <v>9.5459722180546436E-3</v>
      </c>
    </row>
    <row r="685" spans="25:29" x14ac:dyDescent="0.2">
      <c r="Y685" s="105" t="str">
        <f t="shared" si="44"/>
        <v>1w</v>
      </c>
      <c r="Z685" s="93">
        <f>_xll.qlCalendarAdvance(Calendar,Z684,Y685,"f",FALSE)</f>
        <v>43917</v>
      </c>
      <c r="AA685" s="117">
        <f>_xll.qlCalendarAdvance(Calendar,Z685,NDays&amp;"D")</f>
        <v>43921</v>
      </c>
      <c r="AB685" s="92">
        <v>1.022502148727643E-2</v>
      </c>
      <c r="AC685" s="101">
        <v>9.5939408231426881E-3</v>
      </c>
    </row>
    <row r="686" spans="25:29" x14ac:dyDescent="0.2">
      <c r="Y686" s="105" t="str">
        <f t="shared" si="44"/>
        <v>1w</v>
      </c>
      <c r="Z686" s="93">
        <f>_xll.qlCalendarAdvance(Calendar,Z685,Y686,"f",FALSE)</f>
        <v>43924</v>
      </c>
      <c r="AA686" s="117">
        <f>_xll.qlCalendarAdvance(Calendar,Z686,NDays&amp;"D")</f>
        <v>43928</v>
      </c>
      <c r="AB686" s="92">
        <v>1.0271767517576838E-2</v>
      </c>
      <c r="AC686" s="101">
        <v>9.6416155401168879E-3</v>
      </c>
    </row>
    <row r="687" spans="25:29" x14ac:dyDescent="0.2">
      <c r="Y687" s="105" t="str">
        <f t="shared" si="44"/>
        <v>1w</v>
      </c>
      <c r="Z687" s="93">
        <f>_xll.qlCalendarAdvance(Calendar,Z686,Y687,"f",FALSE)</f>
        <v>43935</v>
      </c>
      <c r="AA687" s="117">
        <f>_xll.qlCalendarAdvance(Calendar,Z687,NDays&amp;"D")</f>
        <v>43937</v>
      </c>
      <c r="AB687" s="92">
        <v>1.0331842833865651E-2</v>
      </c>
      <c r="AC687" s="101">
        <v>9.7024716632176933E-3</v>
      </c>
    </row>
    <row r="688" spans="25:29" x14ac:dyDescent="0.2">
      <c r="Y688" s="105" t="str">
        <f t="shared" si="44"/>
        <v>1w</v>
      </c>
      <c r="Z688" s="93">
        <f>_xll.qlCalendarAdvance(Calendar,Z687,Y688,"f",FALSE)</f>
        <v>43942</v>
      </c>
      <c r="AA688" s="117">
        <f>_xll.qlCalendarAdvance(Calendar,Z688,NDays&amp;"D")</f>
        <v>43944</v>
      </c>
      <c r="AB688" s="92">
        <v>1.0378564737259247E-2</v>
      </c>
      <c r="AC688" s="101">
        <v>9.7494557217014943E-3</v>
      </c>
    </row>
    <row r="689" spans="25:29" x14ac:dyDescent="0.2">
      <c r="Y689" s="105" t="str">
        <f t="shared" si="44"/>
        <v>1w</v>
      </c>
      <c r="Z689" s="93">
        <f>_xll.qlCalendarAdvance(Calendar,Z688,Y689,"f",FALSE)</f>
        <v>43949</v>
      </c>
      <c r="AA689" s="117">
        <f>_xll.qlCalendarAdvance(Calendar,Z689,NDays&amp;"D")</f>
        <v>43951</v>
      </c>
      <c r="AB689" s="92">
        <v>1.0425299235900531E-2</v>
      </c>
      <c r="AC689" s="101">
        <v>9.8064865928271239E-3</v>
      </c>
    </row>
    <row r="690" spans="25:29" x14ac:dyDescent="0.2">
      <c r="Y690" s="105" t="str">
        <f t="shared" si="44"/>
        <v>1w</v>
      </c>
      <c r="Z690" s="93">
        <f>_xll.qlCalendarAdvance(Calendar,Z689,Y690,"f",FALSE)</f>
        <v>43956</v>
      </c>
      <c r="AA690" s="117">
        <f>_xll.qlCalendarAdvance(Calendar,Z690,NDays&amp;"D")</f>
        <v>43958</v>
      </c>
      <c r="AB690" s="92">
        <v>1.0482593414946688E-2</v>
      </c>
      <c r="AC690" s="101">
        <v>9.8424874867131251E-3</v>
      </c>
    </row>
    <row r="691" spans="25:29" x14ac:dyDescent="0.2">
      <c r="Y691" s="105" t="str">
        <f t="shared" si="44"/>
        <v>1w</v>
      </c>
      <c r="Z691" s="93">
        <f>_xll.qlCalendarAdvance(Calendar,Z690,Y691,"f",FALSE)</f>
        <v>43963</v>
      </c>
      <c r="AA691" s="117">
        <f>_xll.qlCalendarAdvance(Calendar,Z691,NDays&amp;"D")</f>
        <v>43965</v>
      </c>
      <c r="AB691" s="92">
        <v>1.052941326032329E-2</v>
      </c>
      <c r="AC691" s="101">
        <v>9.888526383887708E-3</v>
      </c>
    </row>
    <row r="692" spans="25:29" x14ac:dyDescent="0.2">
      <c r="Y692" s="105" t="str">
        <f t="shared" si="44"/>
        <v>1w</v>
      </c>
      <c r="Z692" s="93">
        <f>_xll.qlCalendarAdvance(Calendar,Z691,Y692,"f",FALSE)</f>
        <v>43970</v>
      </c>
      <c r="AA692" s="117">
        <f>_xll.qlCalendarAdvance(Calendar,Z692,NDays&amp;"D")</f>
        <v>43972</v>
      </c>
      <c r="AB692" s="92">
        <v>1.057628739472994E-2</v>
      </c>
      <c r="AC692" s="101">
        <v>9.9344520052735419E-3</v>
      </c>
    </row>
    <row r="693" spans="25:29" x14ac:dyDescent="0.2">
      <c r="Y693" s="105" t="str">
        <f t="shared" si="44"/>
        <v>1w</v>
      </c>
      <c r="Z693" s="93">
        <f>_xll.qlCalendarAdvance(Calendar,Z692,Y693,"f",FALSE)</f>
        <v>43977</v>
      </c>
      <c r="AA693" s="117">
        <f>_xll.qlCalendarAdvance(Calendar,Z693,NDays&amp;"D")</f>
        <v>43979</v>
      </c>
      <c r="AB693" s="92">
        <v>1.0623218819183274E-2</v>
      </c>
      <c r="AC693" s="101">
        <v>9.9804247841372984E-3</v>
      </c>
    </row>
    <row r="694" spans="25:29" x14ac:dyDescent="0.2">
      <c r="Y694" s="105" t="str">
        <f t="shared" si="44"/>
        <v>1w</v>
      </c>
      <c r="Z694" s="93">
        <f>_xll.qlCalendarAdvance(Calendar,Z693,Y694,"f",FALSE)</f>
        <v>43984</v>
      </c>
      <c r="AA694" s="117">
        <f>_xll.qlCalendarAdvance(Calendar,Z694,NDays&amp;"D")</f>
        <v>43986</v>
      </c>
      <c r="AB694" s="92">
        <v>1.0659607546579497E-2</v>
      </c>
      <c r="AC694" s="101">
        <v>1.0026445378992221E-2</v>
      </c>
    </row>
    <row r="695" spans="25:29" x14ac:dyDescent="0.2">
      <c r="Y695" s="105" t="str">
        <f t="shared" si="44"/>
        <v>1w</v>
      </c>
      <c r="Z695" s="93">
        <f>_xll.qlCalendarAdvance(Calendar,Z694,Y695,"f",FALSE)</f>
        <v>43991</v>
      </c>
      <c r="AA695" s="117">
        <f>_xll.qlCalendarAdvance(Calendar,Z695,NDays&amp;"D")</f>
        <v>43993</v>
      </c>
      <c r="AB695" s="92">
        <v>1.0706638131698084E-2</v>
      </c>
      <c r="AC695" s="101">
        <v>1.0072514448671299E-2</v>
      </c>
    </row>
    <row r="696" spans="25:29" x14ac:dyDescent="0.2">
      <c r="Y696" s="105" t="str">
        <f t="shared" si="44"/>
        <v>1w</v>
      </c>
      <c r="Z696" s="93">
        <f>_xll.qlCalendarAdvance(Calendar,Z695,Y696,"f",FALSE)</f>
        <v>43998</v>
      </c>
      <c r="AA696" s="117">
        <f>_xll.qlCalendarAdvance(Calendar,Z696,NDays&amp;"D")</f>
        <v>44000</v>
      </c>
      <c r="AB696" s="92">
        <v>1.0753727839847949E-2</v>
      </c>
      <c r="AC696" s="101">
        <v>1.0118632651767712E-2</v>
      </c>
    </row>
    <row r="697" spans="25:29" x14ac:dyDescent="0.2">
      <c r="Y697" s="105" t="str">
        <f t="shared" si="44"/>
        <v>1w</v>
      </c>
      <c r="Z697" s="93">
        <f>_xll.qlCalendarAdvance(Calendar,Z696,Y697,"f",FALSE)</f>
        <v>44005</v>
      </c>
      <c r="AA697" s="117">
        <f>_xll.qlCalendarAdvance(Calendar,Z697,NDays&amp;"D")</f>
        <v>44007</v>
      </c>
      <c r="AB697" s="92">
        <v>1.0811530746951081E-2</v>
      </c>
      <c r="AC697" s="101">
        <v>1.0164800647274319E-2</v>
      </c>
    </row>
    <row r="698" spans="25:29" x14ac:dyDescent="0.2">
      <c r="Y698" s="105" t="str">
        <f t="shared" si="44"/>
        <v>1w</v>
      </c>
      <c r="Z698" s="93">
        <f>_xll.qlCalendarAdvance(Calendar,Z697,Y698,"f",FALSE)</f>
        <v>44012</v>
      </c>
      <c r="AA698" s="117">
        <f>_xll.qlCalendarAdvance(Calendar,Z698,NDays&amp;"D")</f>
        <v>44014</v>
      </c>
      <c r="AB698" s="92">
        <v>1.0858758619360059E-2</v>
      </c>
      <c r="AC698" s="101">
        <v>1.0211019093784302E-2</v>
      </c>
    </row>
    <row r="699" spans="25:29" x14ac:dyDescent="0.2">
      <c r="Y699" s="105" t="str">
        <f t="shared" si="44"/>
        <v>1w</v>
      </c>
      <c r="Z699" s="93">
        <f>_xll.qlCalendarAdvance(Calendar,Z698,Y699,"f",FALSE)</f>
        <v>44019</v>
      </c>
      <c r="AA699" s="117">
        <f>_xll.qlCalendarAdvance(Calendar,Z699,NDays&amp;"D")</f>
        <v>44021</v>
      </c>
      <c r="AB699" s="92">
        <v>1.0906047781390159E-2</v>
      </c>
      <c r="AC699" s="101">
        <v>1.0257288649890839E-2</v>
      </c>
    </row>
    <row r="700" spans="25:29" x14ac:dyDescent="0.2">
      <c r="Y700" s="105" t="str">
        <f t="shared" si="44"/>
        <v>1w</v>
      </c>
      <c r="Z700" s="93">
        <f>_xll.qlCalendarAdvance(Calendar,Z699,Y700,"f",FALSE)</f>
        <v>44026</v>
      </c>
      <c r="AA700" s="117">
        <f>_xll.qlCalendarAdvance(Calendar,Z700,NDays&amp;"D")</f>
        <v>44028</v>
      </c>
      <c r="AB700" s="92">
        <v>1.0953398899881724E-2</v>
      </c>
      <c r="AC700" s="101">
        <v>1.0303609974586792E-2</v>
      </c>
    </row>
    <row r="701" spans="25:29" x14ac:dyDescent="0.2">
      <c r="Y701" s="105" t="str">
        <f t="shared" si="44"/>
        <v>1w</v>
      </c>
      <c r="Z701" s="93">
        <f>_xll.qlCalendarAdvance(Calendar,Z700,Y701,"f",FALSE)</f>
        <v>44033</v>
      </c>
      <c r="AA701" s="117">
        <f>_xll.qlCalendarAdvance(Calendar,Z701,NDays&amp;"D")</f>
        <v>44035</v>
      </c>
      <c r="AB701" s="92">
        <v>1.1000812641745586E-2</v>
      </c>
      <c r="AC701" s="101">
        <v>1.0349983726545275E-2</v>
      </c>
    </row>
    <row r="702" spans="25:29" x14ac:dyDescent="0.2">
      <c r="Y702" s="105" t="str">
        <f t="shared" si="44"/>
        <v>1w</v>
      </c>
      <c r="Z702" s="93">
        <f>_xll.qlCalendarAdvance(Calendar,Z701,Y702,"f",FALSE)</f>
        <v>44040</v>
      </c>
      <c r="AA702" s="117">
        <f>_xll.qlCalendarAdvance(Calendar,Z702,NDays&amp;"D")</f>
        <v>44042</v>
      </c>
      <c r="AB702" s="92">
        <v>1.1037545000463346E-2</v>
      </c>
      <c r="AC702" s="101">
        <v>1.0396410564519343E-2</v>
      </c>
    </row>
    <row r="703" spans="25:29" x14ac:dyDescent="0.2">
      <c r="Y703" s="105" t="str">
        <f t="shared" si="44"/>
        <v>1w</v>
      </c>
      <c r="Z703" s="93">
        <f>_xll.qlCalendarAdvance(Calendar,Z702,Y703,"f",FALSE)</f>
        <v>44047</v>
      </c>
      <c r="AA703" s="117">
        <f>_xll.qlCalendarAdvance(Calendar,Z703,NDays&amp;"D")</f>
        <v>44049</v>
      </c>
      <c r="AB703" s="92">
        <v>1.1095830663584187E-2</v>
      </c>
      <c r="AC703" s="101">
        <v>1.0442891147102173E-2</v>
      </c>
    </row>
    <row r="704" spans="25:29" x14ac:dyDescent="0.2">
      <c r="Y704" s="105" t="str">
        <f t="shared" si="44"/>
        <v>1w</v>
      </c>
      <c r="Z704" s="93">
        <f>_xll.qlCalendarAdvance(Calendar,Z703,Y704,"f",FALSE)</f>
        <v>44054</v>
      </c>
      <c r="AA704" s="117">
        <f>_xll.qlCalendarAdvance(Calendar,Z704,NDays&amp;"D")</f>
        <v>44056</v>
      </c>
      <c r="AB704" s="92">
        <v>1.1143436277732559E-2</v>
      </c>
      <c r="AC704" s="101">
        <v>1.048942613304682E-2</v>
      </c>
    </row>
    <row r="705" spans="25:29" x14ac:dyDescent="0.2">
      <c r="Y705" s="105" t="str">
        <f t="shared" si="44"/>
        <v>1w</v>
      </c>
      <c r="Z705" s="93">
        <f>_xll.qlCalendarAdvance(Calendar,Z704,Y705,"f",FALSE)</f>
        <v>44061</v>
      </c>
      <c r="AA705" s="117">
        <f>_xll.qlCalendarAdvance(Calendar,Z705,NDays&amp;"D")</f>
        <v>44063</v>
      </c>
      <c r="AB705" s="92">
        <v>1.1191107183602209E-2</v>
      </c>
      <c r="AC705" s="101">
        <v>1.0536016181266206E-2</v>
      </c>
    </row>
    <row r="706" spans="25:29" x14ac:dyDescent="0.2">
      <c r="Y706" s="105" t="str">
        <f t="shared" si="44"/>
        <v>1w</v>
      </c>
      <c r="Z706" s="93">
        <f>_xll.qlCalendarAdvance(Calendar,Z705,Y706,"f",FALSE)</f>
        <v>44068</v>
      </c>
      <c r="AA706" s="117">
        <f>_xll.qlCalendarAdvance(Calendar,Z706,NDays&amp;"D")</f>
        <v>44070</v>
      </c>
      <c r="AB706" s="92">
        <v>1.1228023349210537E-2</v>
      </c>
      <c r="AC706" s="101">
        <v>1.0582661950433447E-2</v>
      </c>
    </row>
    <row r="707" spans="25:29" x14ac:dyDescent="0.2">
      <c r="Y707" s="105" t="str">
        <f t="shared" si="44"/>
        <v>1w</v>
      </c>
      <c r="Z707" s="93">
        <f>_xll.qlCalendarAdvance(Calendar,Z706,Y707,"f",FALSE)</f>
        <v>44075</v>
      </c>
      <c r="AA707" s="117">
        <f>_xll.qlCalendarAdvance(Calendar,Z707,NDays&amp;"D")</f>
        <v>44077</v>
      </c>
      <c r="AB707" s="92">
        <v>1.1268584177138012E-2</v>
      </c>
      <c r="AC707" s="101">
        <v>1.0629364099301597E-2</v>
      </c>
    </row>
    <row r="708" spans="25:29" x14ac:dyDescent="0.2">
      <c r="Y708" s="105" t="str">
        <f t="shared" si="44"/>
        <v>1w</v>
      </c>
      <c r="Z708" s="93">
        <f>_xll.qlCalendarAdvance(Calendar,Z707,Y708,"f",FALSE)</f>
        <v>44082</v>
      </c>
      <c r="AA708" s="117">
        <f>_xll.qlCalendarAdvance(Calendar,Z708,NDays&amp;"D")</f>
        <v>44084</v>
      </c>
      <c r="AB708" s="92">
        <v>1.1316422333278944E-2</v>
      </c>
      <c r="AC708" s="101">
        <v>1.0676123286543771E-2</v>
      </c>
    </row>
    <row r="709" spans="25:29" x14ac:dyDescent="0.2">
      <c r="Y709" s="105" t="str">
        <f t="shared" si="44"/>
        <v>1w</v>
      </c>
      <c r="Z709" s="93">
        <f>_xll.qlCalendarAdvance(Calendar,Z708,Y709,"f",FALSE)</f>
        <v>44089</v>
      </c>
      <c r="AA709" s="117">
        <f>_xll.qlCalendarAdvance(Calendar,Z709,NDays&amp;"D")</f>
        <v>44091</v>
      </c>
      <c r="AB709" s="92">
        <v>1.1364328169921519E-2</v>
      </c>
      <c r="AC709" s="101">
        <v>1.072294017091302E-2</v>
      </c>
    </row>
    <row r="710" spans="25:29" x14ac:dyDescent="0.2">
      <c r="Y710" s="105" t="str">
        <f t="shared" si="44"/>
        <v>1w</v>
      </c>
      <c r="Z710" s="93">
        <f>_xll.qlCalendarAdvance(Calendar,Z709,Y710,"f",FALSE)</f>
        <v>44096</v>
      </c>
      <c r="AA710" s="117">
        <f>_xll.qlCalendarAdvance(Calendar,Z710,NDays&amp;"D")</f>
        <v>44098</v>
      </c>
      <c r="AB710" s="92">
        <v>1.1412302354353402E-2</v>
      </c>
      <c r="AC710" s="101">
        <v>1.0769815411242334E-2</v>
      </c>
    </row>
    <row r="711" spans="25:29" x14ac:dyDescent="0.2">
      <c r="Y711" s="105" t="str">
        <f t="shared" si="44"/>
        <v>1w</v>
      </c>
      <c r="Z711" s="93">
        <f>_xll.qlCalendarAdvance(Calendar,Z710,Y711,"f",FALSE)</f>
        <v>44103</v>
      </c>
      <c r="AA711" s="117">
        <f>_xll.qlCalendarAdvance(Calendar,Z711,NDays&amp;"D")</f>
        <v>44105</v>
      </c>
      <c r="AB711" s="92">
        <v>1.1463983214974181E-2</v>
      </c>
      <c r="AC711" s="101">
        <v>1.0816749666204828E-2</v>
      </c>
    </row>
    <row r="712" spans="25:29" x14ac:dyDescent="0.2">
      <c r="Y712" s="105" t="str">
        <f t="shared" si="44"/>
        <v>1w</v>
      </c>
      <c r="Z712" s="93">
        <f>_xll.qlCalendarAdvance(Calendar,Z711,Y712,"f",FALSE)</f>
        <v>44110</v>
      </c>
      <c r="AA712" s="117">
        <f>_xll.qlCalendarAdvance(Calendar,Z712,NDays&amp;"D")</f>
        <v>44112</v>
      </c>
      <c r="AB712" s="92">
        <v>1.1512102836099264E-2</v>
      </c>
      <c r="AC712" s="101">
        <v>1.0863743594473618E-2</v>
      </c>
    </row>
    <row r="713" spans="25:29" x14ac:dyDescent="0.2">
      <c r="Y713" s="105" t="str">
        <f t="shared" si="44"/>
        <v>1w</v>
      </c>
      <c r="Z713" s="93">
        <f>_xll.qlCalendarAdvance(Calendar,Z712,Y713,"f",FALSE)</f>
        <v>44117</v>
      </c>
      <c r="AA713" s="117">
        <f>_xll.qlCalendarAdvance(Calendar,Z713,NDays&amp;"D")</f>
        <v>44119</v>
      </c>
      <c r="AB713" s="92">
        <v>1.1560292863642624E-2</v>
      </c>
      <c r="AC713" s="101">
        <v>1.0910797854961629E-2</v>
      </c>
    </row>
    <row r="714" spans="25:29" x14ac:dyDescent="0.2">
      <c r="Y714" s="105" t="str">
        <f t="shared" si="44"/>
        <v>1w</v>
      </c>
      <c r="Z714" s="93">
        <f>_xll.qlCalendarAdvance(Calendar,Z713,Y714,"f",FALSE)</f>
        <v>44124</v>
      </c>
      <c r="AA714" s="117">
        <f>_xll.qlCalendarAdvance(Calendar,Z714,NDays&amp;"D")</f>
        <v>44126</v>
      </c>
      <c r="AB714" s="92">
        <v>1.1608553965229779E-2</v>
      </c>
      <c r="AC714" s="101">
        <v>1.0957913106262041E-2</v>
      </c>
    </row>
    <row r="715" spans="25:29" x14ac:dyDescent="0.2">
      <c r="Y715" s="105" t="str">
        <f t="shared" si="44"/>
        <v>1w</v>
      </c>
      <c r="Z715" s="93">
        <f>_xll.qlCalendarAdvance(Calendar,Z714,Y715,"f",FALSE)</f>
        <v>44131</v>
      </c>
      <c r="AA715" s="117">
        <f>_xll.qlCalendarAdvance(Calendar,Z715,NDays&amp;"D")</f>
        <v>44133</v>
      </c>
      <c r="AB715" s="92">
        <v>1.1656886808560028E-2</v>
      </c>
      <c r="AC715" s="101">
        <v>1.1005090007207841E-2</v>
      </c>
    </row>
    <row r="716" spans="25:29" x14ac:dyDescent="0.2">
      <c r="Y716" s="105" t="str">
        <f t="shared" si="44"/>
        <v>1w</v>
      </c>
      <c r="Z716" s="93">
        <f>_xll.qlCalendarAdvance(Calendar,Z715,Y716,"f",FALSE)</f>
        <v>44138</v>
      </c>
      <c r="AA716" s="117">
        <f>_xll.qlCalendarAdvance(Calendar,Z716,NDays&amp;"D")</f>
        <v>44140</v>
      </c>
      <c r="AB716" s="92">
        <v>1.1701620141568773E-2</v>
      </c>
      <c r="AC716" s="101">
        <v>1.1052329216472145E-2</v>
      </c>
    </row>
    <row r="717" spans="25:29" x14ac:dyDescent="0.2">
      <c r="Y717" s="105" t="str">
        <f t="shared" si="44"/>
        <v>1w</v>
      </c>
      <c r="Z717" s="93">
        <f>_xll.qlCalendarAdvance(Calendar,Z716,Y717,"f",FALSE)</f>
        <v>44145</v>
      </c>
      <c r="AA717" s="117">
        <f>_xll.qlCalendarAdvance(Calendar,Z717,NDays&amp;"D")</f>
        <v>44147</v>
      </c>
      <c r="AB717" s="92">
        <v>1.1750091450545501E-2</v>
      </c>
      <c r="AC717" s="101">
        <v>1.1099631392887943E-2</v>
      </c>
    </row>
    <row r="718" spans="25:29" x14ac:dyDescent="0.2">
      <c r="Y718" s="105" t="str">
        <f t="shared" si="44"/>
        <v>1w</v>
      </c>
      <c r="Z718" s="93">
        <f>_xll.qlCalendarAdvance(Calendar,Z717,Y718,"f",FALSE)</f>
        <v>44152</v>
      </c>
      <c r="AA718" s="117">
        <f>_xll.qlCalendarAdvance(Calendar,Z718,NDays&amp;"D")</f>
        <v>44154</v>
      </c>
      <c r="AB718" s="92">
        <v>1.1798635569310481E-2</v>
      </c>
      <c r="AC718" s="101">
        <v>1.114699719512835E-2</v>
      </c>
    </row>
    <row r="719" spans="25:29" x14ac:dyDescent="0.2">
      <c r="Y719" s="105" t="str">
        <f t="shared" si="44"/>
        <v>1w</v>
      </c>
      <c r="Z719" s="93">
        <f>_xll.qlCalendarAdvance(Calendar,Z718,Y719,"f",FALSE)</f>
        <v>44159</v>
      </c>
      <c r="AA719" s="117">
        <f>_xll.qlCalendarAdvance(Calendar,Z719,NDays&amp;"D")</f>
        <v>44161</v>
      </c>
      <c r="AB719" s="92">
        <v>1.1847243613977824E-2</v>
      </c>
      <c r="AC719" s="101">
        <v>1.1194427282026354E-2</v>
      </c>
    </row>
    <row r="720" spans="25:29" x14ac:dyDescent="0.2">
      <c r="Y720" s="105" t="str">
        <f t="shared" si="44"/>
        <v>1w</v>
      </c>
      <c r="Z720" s="93">
        <f>_xll.qlCalendarAdvance(Calendar,Z719,Y720,"f",FALSE)</f>
        <v>44166</v>
      </c>
      <c r="AA720" s="117">
        <f>_xll.qlCalendarAdvance(Calendar,Z720,NDays&amp;"D")</f>
        <v>44168</v>
      </c>
      <c r="AB720" s="92">
        <v>1.1899594201044023E-2</v>
      </c>
      <c r="AC720" s="101">
        <v>1.124192231225507E-2</v>
      </c>
    </row>
    <row r="721" spans="25:29" x14ac:dyDescent="0.2">
      <c r="Y721" s="105" t="str">
        <f t="shared" si="44"/>
        <v>1w</v>
      </c>
      <c r="Z721" s="93">
        <f>_xll.qlCalendarAdvance(Calendar,Z720,Y721,"f",FALSE)</f>
        <v>44173</v>
      </c>
      <c r="AA721" s="117">
        <f>_xll.qlCalendarAdvance(Calendar,Z721,NDays&amp;"D")</f>
        <v>44175</v>
      </c>
      <c r="AB721" s="92">
        <v>1.1948288823276055E-2</v>
      </c>
      <c r="AC721" s="101">
        <v>1.1289482944567553E-2</v>
      </c>
    </row>
    <row r="722" spans="25:29" x14ac:dyDescent="0.2">
      <c r="Y722" s="105" t="str">
        <f t="shared" si="44"/>
        <v>1w</v>
      </c>
      <c r="Z722" s="93">
        <f>_xll.qlCalendarAdvance(Calendar,Z721,Y722,"f",FALSE)</f>
        <v>44180</v>
      </c>
      <c r="AA722" s="117">
        <f>_xll.qlCalendarAdvance(Calendar,Z722,NDays&amp;"D")</f>
        <v>44182</v>
      </c>
      <c r="AB722" s="92">
        <v>1.1997003093732672E-2</v>
      </c>
      <c r="AC722" s="101">
        <v>1.1337109837716852E-2</v>
      </c>
    </row>
    <row r="723" spans="25:29" x14ac:dyDescent="0.2">
      <c r="Y723" s="105" t="str">
        <f t="shared" si="44"/>
        <v>1w</v>
      </c>
      <c r="Z723" s="93">
        <f>_xll.qlCalendarAdvance(Calendar,Z722,Y723,"f",FALSE)</f>
        <v>44187</v>
      </c>
      <c r="AA723" s="117">
        <f>_xll.qlCalendarAdvance(Calendar,Z723,NDays&amp;"D")</f>
        <v>44189</v>
      </c>
      <c r="AB723" s="92">
        <v>1.204572251770163E-2</v>
      </c>
      <c r="AC723" s="101">
        <v>1.1395574426187327E-2</v>
      </c>
    </row>
    <row r="724" spans="25:29" x14ac:dyDescent="0.2">
      <c r="Y724" s="105" t="str">
        <f t="shared" si="44"/>
        <v>1w</v>
      </c>
      <c r="Z724" s="93">
        <f>_xll.qlCalendarAdvance(Calendar,Z723,Y724,"f",FALSE)</f>
        <v>44194</v>
      </c>
      <c r="AA724" s="117">
        <f>_xll.qlCalendarAdvance(Calendar,Z724,NDays&amp;"D")</f>
        <v>44196</v>
      </c>
      <c r="AB724" s="92">
        <v>1.209074727181724E-2</v>
      </c>
      <c r="AC724" s="101">
        <v>1.144335493883375E-2</v>
      </c>
    </row>
    <row r="725" spans="25:29" x14ac:dyDescent="0.2">
      <c r="Y725" s="105" t="str">
        <f t="shared" ref="Y725:Y788" si="45">Y724</f>
        <v>1w</v>
      </c>
      <c r="Z725" s="93">
        <f>_xll.qlCalendarAdvance(Calendar,Z724,Y725,"f",FALSE)</f>
        <v>44201</v>
      </c>
      <c r="AA725" s="117">
        <f>_xll.qlCalendarAdvance(Calendar,Z725,NDays&amp;"D")</f>
        <v>44203</v>
      </c>
      <c r="AB725" s="92">
        <v>1.213943882979974E-2</v>
      </c>
      <c r="AC725" s="101">
        <v>1.1480394669716176E-2</v>
      </c>
    </row>
    <row r="726" spans="25:29" x14ac:dyDescent="0.2">
      <c r="Y726" s="105" t="str">
        <f t="shared" si="45"/>
        <v>1w</v>
      </c>
      <c r="Z726" s="93">
        <f>_xll.qlCalendarAdvance(Calendar,Z725,Y726,"f",FALSE)</f>
        <v>44208</v>
      </c>
      <c r="AA726" s="117">
        <f>_xll.qlCalendarAdvance(Calendar,Z726,NDays&amp;"D")</f>
        <v>44210</v>
      </c>
      <c r="AB726" s="92">
        <v>1.2188092509066386E-2</v>
      </c>
      <c r="AC726" s="101">
        <v>1.1528293193583394E-2</v>
      </c>
    </row>
    <row r="727" spans="25:29" x14ac:dyDescent="0.2">
      <c r="Y727" s="105" t="str">
        <f t="shared" si="45"/>
        <v>1w</v>
      </c>
      <c r="Z727" s="93">
        <f>_xll.qlCalendarAdvance(Calendar,Z726,Y727,"f",FALSE)</f>
        <v>44215</v>
      </c>
      <c r="AA727" s="117">
        <f>_xll.qlCalendarAdvance(Calendar,Z727,NDays&amp;"D")</f>
        <v>44217</v>
      </c>
      <c r="AB727" s="92">
        <v>1.2236693014592704E-2</v>
      </c>
      <c r="AC727" s="101">
        <v>1.1576261272212562E-2</v>
      </c>
    </row>
    <row r="728" spans="25:29" x14ac:dyDescent="0.2">
      <c r="Y728" s="105" t="str">
        <f t="shared" si="45"/>
        <v>1w</v>
      </c>
      <c r="Z728" s="93">
        <f>_xll.qlCalendarAdvance(Calendar,Z727,Y728,"f",FALSE)</f>
        <v>44222</v>
      </c>
      <c r="AA728" s="117">
        <f>_xll.qlCalendarAdvance(Calendar,Z728,NDays&amp;"D")</f>
        <v>44224</v>
      </c>
      <c r="AB728" s="92">
        <v>1.2285224865415442E-2</v>
      </c>
      <c r="AC728" s="101">
        <v>1.1624299564116924E-2</v>
      </c>
    </row>
    <row r="729" spans="25:29" x14ac:dyDescent="0.2">
      <c r="Y729" s="105" t="str">
        <f t="shared" si="45"/>
        <v>1w</v>
      </c>
      <c r="Z729" s="93">
        <f>_xll.qlCalendarAdvance(Calendar,Z728,Y729,"f",FALSE)</f>
        <v>44229</v>
      </c>
      <c r="AA729" s="117">
        <f>_xll.qlCalendarAdvance(Calendar,Z729,NDays&amp;"D")</f>
        <v>44231</v>
      </c>
      <c r="AB729" s="92">
        <v>1.233367239461888E-2</v>
      </c>
      <c r="AC729" s="101">
        <v>1.1672408728129469E-2</v>
      </c>
    </row>
    <row r="730" spans="25:29" x14ac:dyDescent="0.2">
      <c r="Y730" s="105" t="str">
        <f t="shared" si="45"/>
        <v>1w</v>
      </c>
      <c r="Z730" s="93">
        <f>_xll.qlCalendarAdvance(Calendar,Z729,Y730,"f",FALSE)</f>
        <v>44236</v>
      </c>
      <c r="AA730" s="117">
        <f>_xll.qlCalendarAdvance(Calendar,Z730,NDays&amp;"D")</f>
        <v>44238</v>
      </c>
      <c r="AB730" s="92">
        <v>1.238201974931363E-2</v>
      </c>
      <c r="AC730" s="101">
        <v>1.1720589423003247E-2</v>
      </c>
    </row>
    <row r="731" spans="25:29" x14ac:dyDescent="0.2">
      <c r="Y731" s="105" t="str">
        <f t="shared" si="45"/>
        <v>1w</v>
      </c>
      <c r="Z731" s="93">
        <f>_xll.qlCalendarAdvance(Calendar,Z730,Y731,"f",FALSE)</f>
        <v>44243</v>
      </c>
      <c r="AA731" s="117">
        <f>_xll.qlCalendarAdvance(Calendar,Z731,NDays&amp;"D")</f>
        <v>44245</v>
      </c>
      <c r="AB731" s="92">
        <v>1.243025089062692E-2</v>
      </c>
      <c r="AC731" s="101">
        <v>1.1768842307411376E-2</v>
      </c>
    </row>
    <row r="732" spans="25:29" x14ac:dyDescent="0.2">
      <c r="Y732" s="105" t="str">
        <f t="shared" si="45"/>
        <v>1w</v>
      </c>
      <c r="Z732" s="93">
        <f>_xll.qlCalendarAdvance(Calendar,Z731,Y732,"f",FALSE)</f>
        <v>44250</v>
      </c>
      <c r="AA732" s="117">
        <f>_xll.qlCalendarAdvance(Calendar,Z732,NDays&amp;"D")</f>
        <v>44252</v>
      </c>
      <c r="AB732" s="92">
        <v>1.2478349593685371E-2</v>
      </c>
      <c r="AC732" s="101">
        <v>1.1817168040186843E-2</v>
      </c>
    </row>
    <row r="733" spans="25:29" x14ac:dyDescent="0.2">
      <c r="Y733" s="105" t="str">
        <f t="shared" si="45"/>
        <v>1w</v>
      </c>
      <c r="Z733" s="93">
        <f>_xll.qlCalendarAdvance(Calendar,Z732,Y733,"f",FALSE)</f>
        <v>44257</v>
      </c>
      <c r="AA733" s="117">
        <f>_xll.qlCalendarAdvance(Calendar,Z733,NDays&amp;"D")</f>
        <v>44259</v>
      </c>
      <c r="AB733" s="92">
        <v>1.254417941574104E-2</v>
      </c>
      <c r="AC733" s="101">
        <v>1.1865567280002765E-2</v>
      </c>
    </row>
    <row r="734" spans="25:29" x14ac:dyDescent="0.2">
      <c r="Y734" s="105" t="str">
        <f t="shared" si="45"/>
        <v>1w</v>
      </c>
      <c r="Z734" s="93">
        <f>_xll.qlCalendarAdvance(Calendar,Z733,Y734,"f",FALSE)</f>
        <v>44264</v>
      </c>
      <c r="AA734" s="117">
        <f>_xll.qlCalendarAdvance(Calendar,Z734,NDays&amp;"D")</f>
        <v>44266</v>
      </c>
      <c r="AB734" s="92">
        <v>1.2591874020089138E-2</v>
      </c>
      <c r="AC734" s="101">
        <v>1.1914040685772065E-2</v>
      </c>
    </row>
    <row r="735" spans="25:29" x14ac:dyDescent="0.2">
      <c r="Y735" s="105" t="str">
        <f t="shared" si="45"/>
        <v>1w</v>
      </c>
      <c r="Z735" s="93">
        <f>_xll.qlCalendarAdvance(Calendar,Z734,Y735,"f",FALSE)</f>
        <v>44271</v>
      </c>
      <c r="AA735" s="117">
        <f>_xll.qlCalendarAdvance(Calendar,Z735,NDays&amp;"D")</f>
        <v>44273</v>
      </c>
      <c r="AB735" s="92">
        <v>1.2639381578982842E-2</v>
      </c>
      <c r="AC735" s="101">
        <v>1.1962588916007988E-2</v>
      </c>
    </row>
    <row r="736" spans="25:29" x14ac:dyDescent="0.2">
      <c r="Y736" s="105" t="str">
        <f t="shared" si="45"/>
        <v>1w</v>
      </c>
      <c r="Z736" s="93">
        <f>_xll.qlCalendarAdvance(Calendar,Z735,Y736,"f",FALSE)</f>
        <v>44278</v>
      </c>
      <c r="AA736" s="117">
        <f>_xll.qlCalendarAdvance(Calendar,Z736,NDays&amp;"D")</f>
        <v>44280</v>
      </c>
      <c r="AB736" s="92">
        <v>1.2686685465092962E-2</v>
      </c>
      <c r="AC736" s="101">
        <v>1.2011212629623458E-2</v>
      </c>
    </row>
    <row r="737" spans="25:29" x14ac:dyDescent="0.2">
      <c r="Y737" s="105" t="str">
        <f t="shared" si="45"/>
        <v>1w</v>
      </c>
      <c r="Z737" s="93">
        <f>_xll.qlCalendarAdvance(Calendar,Z736,Y737,"f",FALSE)</f>
        <v>44285</v>
      </c>
      <c r="AA737" s="117">
        <f>_xll.qlCalendarAdvance(Calendar,Z737,NDays&amp;"D")</f>
        <v>44287</v>
      </c>
      <c r="AB737" s="92">
        <v>1.2723279207806006E-2</v>
      </c>
      <c r="AC737" s="101">
        <v>1.2074652281475196E-2</v>
      </c>
    </row>
    <row r="738" spans="25:29" x14ac:dyDescent="0.2">
      <c r="Y738" s="105" t="str">
        <f t="shared" si="45"/>
        <v>1w</v>
      </c>
      <c r="Z738" s="93">
        <f>_xll.qlCalendarAdvance(Calendar,Z737,Y738,"f",FALSE)</f>
        <v>44292</v>
      </c>
      <c r="AA738" s="117">
        <f>_xll.qlCalendarAdvance(Calendar,Z738,NDays&amp;"D")</f>
        <v>44294</v>
      </c>
      <c r="AB738" s="92">
        <v>1.2770189467829568E-2</v>
      </c>
      <c r="AC738" s="101">
        <v>1.2108689141925311E-2</v>
      </c>
    </row>
    <row r="739" spans="25:29" x14ac:dyDescent="0.2">
      <c r="Y739" s="105" t="str">
        <f t="shared" si="45"/>
        <v>1w</v>
      </c>
      <c r="Z739" s="93">
        <f>_xll.qlCalendarAdvance(Calendar,Z738,Y739,"f",FALSE)</f>
        <v>44299</v>
      </c>
      <c r="AA739" s="117">
        <f>_xll.qlCalendarAdvance(Calendar,Z739,NDays&amp;"D")</f>
        <v>44301</v>
      </c>
      <c r="AB739" s="92">
        <v>1.281684712608543E-2</v>
      </c>
      <c r="AC739" s="101">
        <v>1.2157543258037862E-2</v>
      </c>
    </row>
    <row r="740" spans="25:29" x14ac:dyDescent="0.2">
      <c r="Y740" s="105" t="str">
        <f t="shared" si="45"/>
        <v>1w</v>
      </c>
      <c r="Z740" s="93">
        <f>_xll.qlCalendarAdvance(Calendar,Z739,Y740,"f",FALSE)</f>
        <v>44306</v>
      </c>
      <c r="AA740" s="117">
        <f>_xll.qlCalendarAdvance(Calendar,Z740,NDays&amp;"D")</f>
        <v>44308</v>
      </c>
      <c r="AB740" s="92">
        <v>1.2863234616317821E-2</v>
      </c>
      <c r="AC740" s="101">
        <v>1.2206475492622104E-2</v>
      </c>
    </row>
    <row r="741" spans="25:29" x14ac:dyDescent="0.2">
      <c r="Y741" s="105" t="str">
        <f t="shared" si="45"/>
        <v>1w</v>
      </c>
      <c r="Z741" s="93">
        <f>_xll.qlCalendarAdvance(Calendar,Z740,Y741,"f",FALSE)</f>
        <v>44313</v>
      </c>
      <c r="AA741" s="117">
        <f>_xll.qlCalendarAdvance(Calendar,Z741,NDays&amp;"D")</f>
        <v>44315</v>
      </c>
      <c r="AB741" s="92">
        <v>1.29093341882254E-2</v>
      </c>
      <c r="AC741" s="101">
        <v>1.2255486504271218E-2</v>
      </c>
    </row>
    <row r="742" spans="25:29" x14ac:dyDescent="0.2">
      <c r="Y742" s="105" t="str">
        <f t="shared" si="45"/>
        <v>1w</v>
      </c>
      <c r="Z742" s="93">
        <f>_xll.qlCalendarAdvance(Calendar,Z741,Y742,"f",FALSE)</f>
        <v>44320</v>
      </c>
      <c r="AA742" s="117">
        <f>_xll.qlCalendarAdvance(Calendar,Z742,NDays&amp;"D")</f>
        <v>44322</v>
      </c>
      <c r="AB742" s="92">
        <v>1.2965277701308307E-2</v>
      </c>
      <c r="AC742" s="101">
        <v>1.2304576951818191E-2</v>
      </c>
    </row>
    <row r="743" spans="25:29" x14ac:dyDescent="0.2">
      <c r="Y743" s="105" t="str">
        <f t="shared" si="45"/>
        <v>1w</v>
      </c>
      <c r="Z743" s="93">
        <f>_xll.qlCalendarAdvance(Calendar,Z742,Y743,"f",FALSE)</f>
        <v>44327</v>
      </c>
      <c r="AA743" s="117">
        <f>_xll.qlCalendarAdvance(Calendar,Z743,NDays&amp;"D")</f>
        <v>44329</v>
      </c>
      <c r="AB743" s="92">
        <v>1.3010675098323659E-2</v>
      </c>
      <c r="AC743" s="101">
        <v>1.235374749393614E-2</v>
      </c>
    </row>
    <row r="744" spans="25:29" x14ac:dyDescent="0.2">
      <c r="Y744" s="105" t="str">
        <f t="shared" si="45"/>
        <v>1w</v>
      </c>
      <c r="Z744" s="93">
        <f>_xll.qlCalendarAdvance(Calendar,Z743,Y744,"f",FALSE)</f>
        <v>44334</v>
      </c>
      <c r="AA744" s="117">
        <f>_xll.qlCalendarAdvance(Calendar,Z744,NDays&amp;"D")</f>
        <v>44336</v>
      </c>
      <c r="AB744" s="92">
        <v>1.3055730763213405E-2</v>
      </c>
      <c r="AC744" s="101">
        <v>1.2402837846998693E-2</v>
      </c>
    </row>
    <row r="745" spans="25:29" x14ac:dyDescent="0.2">
      <c r="Y745" s="105" t="str">
        <f t="shared" si="45"/>
        <v>1w</v>
      </c>
      <c r="Z745" s="93">
        <f>_xll.qlCalendarAdvance(Calendar,Z744,Y745,"f",FALSE)</f>
        <v>44341</v>
      </c>
      <c r="AA745" s="117">
        <f>_xll.qlCalendarAdvance(Calendar,Z745,NDays&amp;"D")</f>
        <v>44343</v>
      </c>
      <c r="AB745" s="92">
        <v>1.310043709836726E-2</v>
      </c>
      <c r="AC745" s="101">
        <v>1.2451635369581382E-2</v>
      </c>
    </row>
    <row r="746" spans="25:29" x14ac:dyDescent="0.2">
      <c r="Y746" s="105" t="str">
        <f t="shared" si="45"/>
        <v>1w</v>
      </c>
      <c r="Z746" s="93">
        <f>_xll.qlCalendarAdvance(Calendar,Z745,Y746,"f",FALSE)</f>
        <v>44348</v>
      </c>
      <c r="AA746" s="117">
        <f>_xll.qlCalendarAdvance(Calendar,Z746,NDays&amp;"D")</f>
        <v>44350</v>
      </c>
      <c r="AB746" s="92">
        <v>1.3134935183445984E-2</v>
      </c>
      <c r="AC746" s="101">
        <v>1.2500134718198552E-2</v>
      </c>
    </row>
    <row r="747" spans="25:29" x14ac:dyDescent="0.2">
      <c r="Y747" s="105" t="str">
        <f t="shared" si="45"/>
        <v>1w</v>
      </c>
      <c r="Z747" s="93">
        <f>_xll.qlCalendarAdvance(Calendar,Z746,Y747,"f",FALSE)</f>
        <v>44355</v>
      </c>
      <c r="AA747" s="117">
        <f>_xll.qlCalendarAdvance(Calendar,Z747,NDays&amp;"D")</f>
        <v>44357</v>
      </c>
      <c r="AB747" s="92">
        <v>1.3179006482219419E-2</v>
      </c>
      <c r="AC747" s="101">
        <v>1.2548331811155222E-2</v>
      </c>
    </row>
    <row r="748" spans="25:29" x14ac:dyDescent="0.2">
      <c r="Y748" s="105" t="str">
        <f t="shared" si="45"/>
        <v>1w</v>
      </c>
      <c r="Z748" s="93">
        <f>_xll.qlCalendarAdvance(Calendar,Z747,Y748,"f",FALSE)</f>
        <v>44362</v>
      </c>
      <c r="AA748" s="117">
        <f>_xll.qlCalendarAdvance(Calendar,Z748,NDays&amp;"D")</f>
        <v>44364</v>
      </c>
      <c r="AB748" s="92">
        <v>1.3222716953423062E-2</v>
      </c>
      <c r="AC748" s="101">
        <v>1.2596222566596538E-2</v>
      </c>
    </row>
    <row r="749" spans="25:29" x14ac:dyDescent="0.2">
      <c r="Y749" s="105" t="str">
        <f t="shared" si="45"/>
        <v>1w</v>
      </c>
      <c r="Z749" s="93">
        <f>_xll.qlCalendarAdvance(Calendar,Z748,Y749,"f",FALSE)</f>
        <v>44369</v>
      </c>
      <c r="AA749" s="117">
        <f>_xll.qlCalendarAdvance(Calendar,Z749,NDays&amp;"D")</f>
        <v>44371</v>
      </c>
      <c r="AB749" s="92">
        <v>1.3266062464101081E-2</v>
      </c>
      <c r="AC749" s="101">
        <v>1.2643802902827517E-2</v>
      </c>
    </row>
    <row r="750" spans="25:29" x14ac:dyDescent="0.2">
      <c r="Y750" s="105" t="str">
        <f t="shared" si="45"/>
        <v>1w</v>
      </c>
      <c r="Z750" s="93">
        <f>_xll.qlCalendarAdvance(Calendar,Z749,Y750,"f",FALSE)</f>
        <v>44376</v>
      </c>
      <c r="AA750" s="117">
        <f>_xll.qlCalendarAdvance(Calendar,Z750,NDays&amp;"D")</f>
        <v>44378</v>
      </c>
      <c r="AB750" s="92">
        <v>1.3318584053631347E-2</v>
      </c>
      <c r="AC750" s="101">
        <v>1.2691068738153177E-2</v>
      </c>
    </row>
    <row r="751" spans="25:29" x14ac:dyDescent="0.2">
      <c r="Y751" s="105" t="str">
        <f t="shared" si="45"/>
        <v>1w</v>
      </c>
      <c r="Z751" s="93">
        <f>_xll.qlCalendarAdvance(Calendar,Z750,Y751,"f",FALSE)</f>
        <v>44383</v>
      </c>
      <c r="AA751" s="117">
        <f>_xll.qlCalendarAdvance(Calendar,Z751,NDays&amp;"D")</f>
        <v>44385</v>
      </c>
      <c r="AB751" s="92">
        <v>1.3361107563780153E-2</v>
      </c>
      <c r="AC751" s="101">
        <v>1.2738015990638729E-2</v>
      </c>
    </row>
    <row r="752" spans="25:29" x14ac:dyDescent="0.2">
      <c r="Y752" s="105" t="str">
        <f t="shared" si="45"/>
        <v>1w</v>
      </c>
      <c r="Z752" s="93">
        <f>_xll.qlCalendarAdvance(Calendar,Z751,Y752,"f",FALSE)</f>
        <v>44390</v>
      </c>
      <c r="AA752" s="117">
        <f>_xll.qlCalendarAdvance(Calendar,Z752,NDays&amp;"D")</f>
        <v>44392</v>
      </c>
      <c r="AB752" s="92">
        <v>1.3403252800626384E-2</v>
      </c>
      <c r="AC752" s="101">
        <v>1.2784640578669126E-2</v>
      </c>
    </row>
    <row r="753" spans="25:29" x14ac:dyDescent="0.2">
      <c r="Y753" s="105" t="str">
        <f t="shared" si="45"/>
        <v>1w</v>
      </c>
      <c r="Z753" s="93">
        <f>_xll.qlCalendarAdvance(Calendar,Z752,Y753,"f",FALSE)</f>
        <v>44397</v>
      </c>
      <c r="AA753" s="117">
        <f>_xll.qlCalendarAdvance(Calendar,Z753,NDays&amp;"D")</f>
        <v>44399</v>
      </c>
      <c r="AB753" s="92">
        <v>1.3445015629740039E-2</v>
      </c>
      <c r="AC753" s="101">
        <v>1.2830938420389515E-2</v>
      </c>
    </row>
    <row r="754" spans="25:29" x14ac:dyDescent="0.2">
      <c r="Y754" s="105" t="str">
        <f t="shared" si="45"/>
        <v>1w</v>
      </c>
      <c r="Z754" s="93">
        <f>_xll.qlCalendarAdvance(Calendar,Z753,Y754,"f",FALSE)</f>
        <v>44404</v>
      </c>
      <c r="AA754" s="117">
        <f>_xll.qlCalendarAdvance(Calendar,Z754,NDays&amp;"D")</f>
        <v>44406</v>
      </c>
      <c r="AB754" s="92">
        <v>1.3486391916562616E-2</v>
      </c>
      <c r="AC754" s="101">
        <v>1.2876905434104913E-2</v>
      </c>
    </row>
    <row r="755" spans="25:29" x14ac:dyDescent="0.2">
      <c r="Y755" s="105" t="str">
        <f t="shared" si="45"/>
        <v>1w</v>
      </c>
      <c r="Z755" s="93">
        <f>_xll.qlCalendarAdvance(Calendar,Z754,Y755,"f",FALSE)</f>
        <v>44411</v>
      </c>
      <c r="AA755" s="117">
        <f>_xll.qlCalendarAdvance(Calendar,Z755,NDays&amp;"D")</f>
        <v>44413</v>
      </c>
      <c r="AB755" s="92">
        <v>1.3527377526414848E-2</v>
      </c>
      <c r="AC755" s="101">
        <v>1.2922537537960466E-2</v>
      </c>
    </row>
    <row r="756" spans="25:29" x14ac:dyDescent="0.2">
      <c r="Y756" s="105" t="str">
        <f t="shared" si="45"/>
        <v>1w</v>
      </c>
      <c r="Z756" s="93">
        <f>_xll.qlCalendarAdvance(Calendar,Z755,Y756,"f",FALSE)</f>
        <v>44418</v>
      </c>
      <c r="AA756" s="117">
        <f>_xll.qlCalendarAdvance(Calendar,Z756,NDays&amp;"D")</f>
        <v>44420</v>
      </c>
      <c r="AB756" s="92">
        <v>1.3567968324504872E-2</v>
      </c>
      <c r="AC756" s="101">
        <v>1.2967830650181256E-2</v>
      </c>
    </row>
    <row r="757" spans="25:29" x14ac:dyDescent="0.2">
      <c r="Y757" s="105" t="str">
        <f t="shared" si="45"/>
        <v>1w</v>
      </c>
      <c r="Z757" s="93">
        <f>_xll.qlCalendarAdvance(Calendar,Z756,Y757,"f",FALSE)</f>
        <v>44425</v>
      </c>
      <c r="AA757" s="117">
        <f>_xll.qlCalendarAdvance(Calendar,Z757,NDays&amp;"D")</f>
        <v>44427</v>
      </c>
      <c r="AB757" s="92">
        <v>1.360816017593768E-2</v>
      </c>
      <c r="AC757" s="101">
        <v>1.3012780689152237E-2</v>
      </c>
    </row>
    <row r="758" spans="25:29" x14ac:dyDescent="0.2">
      <c r="Y758" s="105" t="str">
        <f t="shared" si="45"/>
        <v>1w</v>
      </c>
      <c r="Z758" s="93">
        <f>_xll.qlCalendarAdvance(Calendar,Z757,Y758,"f",FALSE)</f>
        <v>44432</v>
      </c>
      <c r="AA758" s="117">
        <f>_xll.qlCalendarAdvance(Calendar,Z758,NDays&amp;"D")</f>
        <v>44434</v>
      </c>
      <c r="AB758" s="92">
        <v>1.3647948945722001E-2</v>
      </c>
      <c r="AC758" s="101">
        <v>1.3057383572938619E-2</v>
      </c>
    </row>
    <row r="759" spans="25:29" x14ac:dyDescent="0.2">
      <c r="Y759" s="105" t="str">
        <f t="shared" si="45"/>
        <v>1w</v>
      </c>
      <c r="Z759" s="93">
        <f>_xll.qlCalendarAdvance(Calendar,Z758,Y759,"f",FALSE)</f>
        <v>44439</v>
      </c>
      <c r="AA759" s="117">
        <f>_xll.qlCalendarAdvance(Calendar,Z759,NDays&amp;"D")</f>
        <v>44441</v>
      </c>
      <c r="AB759" s="92">
        <v>1.3672658138953691E-2</v>
      </c>
      <c r="AC759" s="101">
        <v>1.3101635219765484E-2</v>
      </c>
    </row>
    <row r="760" spans="25:29" x14ac:dyDescent="0.2">
      <c r="Y760" s="105" t="str">
        <f t="shared" si="45"/>
        <v>1w</v>
      </c>
      <c r="Z760" s="93">
        <f>_xll.qlCalendarAdvance(Calendar,Z759,Y760,"f",FALSE)</f>
        <v>44446</v>
      </c>
      <c r="AA760" s="117">
        <f>_xll.qlCalendarAdvance(Calendar,Z760,NDays&amp;"D")</f>
        <v>44448</v>
      </c>
      <c r="AB760" s="92">
        <v>1.3711774738854097E-2</v>
      </c>
      <c r="AC760" s="101">
        <v>1.3145531548017786E-2</v>
      </c>
    </row>
    <row r="761" spans="25:29" x14ac:dyDescent="0.2">
      <c r="Y761" s="105" t="str">
        <f t="shared" si="45"/>
        <v>1w</v>
      </c>
      <c r="Z761" s="93">
        <f>_xll.qlCalendarAdvance(Calendar,Z760,Y761,"f",FALSE)</f>
        <v>44453</v>
      </c>
      <c r="AA761" s="117">
        <f>_xll.qlCalendarAdvance(Calendar,Z761,NDays&amp;"D")</f>
        <v>44455</v>
      </c>
      <c r="AB761" s="92">
        <v>1.3750477386317976E-2</v>
      </c>
      <c r="AC761" s="101">
        <v>1.3189068475760735E-2</v>
      </c>
    </row>
    <row r="762" spans="25:29" x14ac:dyDescent="0.2">
      <c r="Y762" s="105" t="str">
        <f t="shared" si="45"/>
        <v>1w</v>
      </c>
      <c r="Z762" s="93">
        <f>_xll.qlCalendarAdvance(Calendar,Z761,Y762,"f",FALSE)</f>
        <v>44460</v>
      </c>
      <c r="AA762" s="117">
        <f>_xll.qlCalendarAdvance(Calendar,Z762,NDays&amp;"D")</f>
        <v>44462</v>
      </c>
      <c r="AB762" s="92">
        <v>1.3788761947524528E-2</v>
      </c>
      <c r="AC762" s="101">
        <v>1.3232241921299348E-2</v>
      </c>
    </row>
    <row r="763" spans="25:29" x14ac:dyDescent="0.2">
      <c r="Y763" s="105" t="str">
        <f t="shared" si="45"/>
        <v>1w</v>
      </c>
      <c r="Z763" s="93">
        <f>_xll.qlCalendarAdvance(Calendar,Z762,Y763,"f",FALSE)</f>
        <v>44467</v>
      </c>
      <c r="AA763" s="117">
        <f>_xll.qlCalendarAdvance(Calendar,Z763,NDays&amp;"D")</f>
        <v>44469</v>
      </c>
      <c r="AB763" s="92">
        <v>1.3829445572152363E-2</v>
      </c>
      <c r="AC763" s="101">
        <v>1.3275047802858708E-2</v>
      </c>
    </row>
    <row r="764" spans="25:29" x14ac:dyDescent="0.2">
      <c r="Y764" s="105" t="str">
        <f t="shared" si="45"/>
        <v>1w</v>
      </c>
      <c r="Z764" s="93">
        <f>_xll.qlCalendarAdvance(Calendar,Z763,Y764,"f",FALSE)</f>
        <v>44474</v>
      </c>
      <c r="AA764" s="117">
        <f>_xll.qlCalendarAdvance(Calendar,Z764,NDays&amp;"D")</f>
        <v>44476</v>
      </c>
      <c r="AB764" s="92">
        <v>1.3866851109871041E-2</v>
      </c>
      <c r="AC764" s="101">
        <v>1.3317482038583961E-2</v>
      </c>
    </row>
    <row r="765" spans="25:29" x14ac:dyDescent="0.2">
      <c r="Y765" s="105" t="str">
        <f t="shared" si="45"/>
        <v>1w</v>
      </c>
      <c r="Z765" s="93">
        <f>_xll.qlCalendarAdvance(Calendar,Z764,Y765,"f",FALSE)</f>
        <v>44481</v>
      </c>
      <c r="AA765" s="117">
        <f>_xll.qlCalendarAdvance(Calendar,Z765,NDays&amp;"D")</f>
        <v>44483</v>
      </c>
      <c r="AB765" s="92">
        <v>1.3903825851557463E-2</v>
      </c>
      <c r="AC765" s="101">
        <v>1.3359540546780124E-2</v>
      </c>
    </row>
    <row r="766" spans="25:29" x14ac:dyDescent="0.2">
      <c r="Y766" s="105" t="str">
        <f t="shared" si="45"/>
        <v>1w</v>
      </c>
      <c r="Z766" s="93">
        <f>_xll.qlCalendarAdvance(Calendar,Z765,Y766,"f",FALSE)</f>
        <v>44488</v>
      </c>
      <c r="AA766" s="117">
        <f>_xll.qlCalendarAdvance(Calendar,Z766,NDays&amp;"D")</f>
        <v>44490</v>
      </c>
      <c r="AB766" s="92">
        <v>1.3940365662934539E-2</v>
      </c>
      <c r="AC766" s="101">
        <v>1.3401219245512408E-2</v>
      </c>
    </row>
    <row r="767" spans="25:29" x14ac:dyDescent="0.2">
      <c r="Y767" s="105" t="str">
        <f t="shared" si="45"/>
        <v>1w</v>
      </c>
      <c r="Z767" s="93">
        <f>_xll.qlCalendarAdvance(Calendar,Z766,Y767,"f",FALSE)</f>
        <v>44495</v>
      </c>
      <c r="AA767" s="117">
        <f>_xll.qlCalendarAdvance(Calendar,Z767,NDays&amp;"D")</f>
        <v>44497</v>
      </c>
      <c r="AB767" s="92">
        <v>1.3976466409707598E-2</v>
      </c>
      <c r="AC767" s="101">
        <v>1.3442514053325638E-2</v>
      </c>
    </row>
    <row r="768" spans="25:29" x14ac:dyDescent="0.2">
      <c r="Y768" s="105" t="str">
        <f t="shared" si="45"/>
        <v>1w</v>
      </c>
      <c r="Z768" s="93">
        <f>_xll.qlCalendarAdvance(Calendar,Z767,Y768,"f",FALSE)</f>
        <v>44502</v>
      </c>
      <c r="AA768" s="117">
        <f>_xll.qlCalendarAdvance(Calendar,Z768,NDays&amp;"D")</f>
        <v>44504</v>
      </c>
      <c r="AB768" s="92">
        <v>1.4009458003678662E-2</v>
      </c>
      <c r="AC768" s="101">
        <v>1.3483420888045217E-2</v>
      </c>
    </row>
    <row r="769" spans="25:29" x14ac:dyDescent="0.2">
      <c r="Y769" s="105" t="str">
        <f t="shared" si="45"/>
        <v>1w</v>
      </c>
      <c r="Z769" s="93">
        <f>_xll.qlCalendarAdvance(Calendar,Z768,Y769,"f",FALSE)</f>
        <v>44509</v>
      </c>
      <c r="AA769" s="117">
        <f>_xll.qlCalendarAdvance(Calendar,Z769,NDays&amp;"D")</f>
        <v>44511</v>
      </c>
      <c r="AB769" s="92">
        <v>1.4044700210657663E-2</v>
      </c>
      <c r="AC769" s="101">
        <v>1.3523935668136033E-2</v>
      </c>
    </row>
    <row r="770" spans="25:29" x14ac:dyDescent="0.2">
      <c r="Y770" s="105" t="str">
        <f t="shared" si="45"/>
        <v>1w</v>
      </c>
      <c r="Z770" s="93">
        <f>_xll.qlCalendarAdvance(Calendar,Z769,Y770,"f",FALSE)</f>
        <v>44516</v>
      </c>
      <c r="AA770" s="117">
        <f>_xll.qlCalendarAdvance(Calendar,Z770,NDays&amp;"D")</f>
        <v>44518</v>
      </c>
      <c r="AB770" s="92">
        <v>1.4079491315965288E-2</v>
      </c>
      <c r="AC770" s="101">
        <v>1.3564054311743234E-2</v>
      </c>
    </row>
    <row r="771" spans="25:29" x14ac:dyDescent="0.2">
      <c r="Y771" s="105" t="str">
        <f t="shared" si="45"/>
        <v>1w</v>
      </c>
      <c r="Z771" s="93">
        <f>_xll.qlCalendarAdvance(Calendar,Z770,Y771,"f",FALSE)</f>
        <v>44523</v>
      </c>
      <c r="AA771" s="117">
        <f>_xll.qlCalendarAdvance(Calendar,Z771,NDays&amp;"D")</f>
        <v>44525</v>
      </c>
      <c r="AB771" s="92">
        <v>1.4113832166660975E-2</v>
      </c>
      <c r="AC771" s="101">
        <v>1.3603772737171838E-2</v>
      </c>
    </row>
    <row r="772" spans="25:29" x14ac:dyDescent="0.2">
      <c r="Y772" s="105" t="str">
        <f t="shared" si="45"/>
        <v>1w</v>
      </c>
      <c r="Z772" s="93">
        <f>_xll.qlCalendarAdvance(Calendar,Z771,Y772,"f",FALSE)</f>
        <v>44530</v>
      </c>
      <c r="AA772" s="117">
        <f>_xll.qlCalendarAdvance(Calendar,Z772,NDays&amp;"D")</f>
        <v>44532</v>
      </c>
      <c r="AB772" s="92">
        <v>1.4150274101491202E-2</v>
      </c>
      <c r="AC772" s="101">
        <v>1.3643086862487053E-2</v>
      </c>
    </row>
    <row r="773" spans="25:29" x14ac:dyDescent="0.2">
      <c r="Y773" s="105" t="str">
        <f t="shared" si="45"/>
        <v>1w</v>
      </c>
      <c r="Z773" s="93">
        <f>_xll.qlCalendarAdvance(Calendar,Z772,Y773,"f",FALSE)</f>
        <v>44537</v>
      </c>
      <c r="AA773" s="117">
        <f>_xll.qlCalendarAdvance(Calendar,Z773,NDays&amp;"D")</f>
        <v>44539</v>
      </c>
      <c r="AB773" s="92">
        <v>1.4183716712863679E-2</v>
      </c>
      <c r="AC773" s="101">
        <v>1.3681992606073834E-2</v>
      </c>
    </row>
    <row r="774" spans="25:29" x14ac:dyDescent="0.2">
      <c r="Y774" s="105" t="str">
        <f t="shared" si="45"/>
        <v>1w</v>
      </c>
      <c r="Z774" s="93">
        <f>_xll.qlCalendarAdvance(Calendar,Z773,Y774,"f",FALSE)</f>
        <v>44544</v>
      </c>
      <c r="AA774" s="117">
        <f>_xll.qlCalendarAdvance(Calendar,Z774,NDays&amp;"D")</f>
        <v>44546</v>
      </c>
      <c r="AB774" s="92">
        <v>1.4216741666816737E-2</v>
      </c>
      <c r="AC774" s="101">
        <v>1.3720485885997391E-2</v>
      </c>
    </row>
    <row r="775" spans="25:29" x14ac:dyDescent="0.2">
      <c r="Y775" s="105" t="str">
        <f t="shared" si="45"/>
        <v>1w</v>
      </c>
      <c r="Z775" s="93">
        <f>_xll.qlCalendarAdvance(Calendar,Z774,Y775,"f",FALSE)</f>
        <v>44551</v>
      </c>
      <c r="AA775" s="117">
        <f>_xll.qlCalendarAdvance(Calendar,Z775,NDays&amp;"D")</f>
        <v>44553</v>
      </c>
      <c r="AB775" s="92">
        <v>1.4249359861136788E-2</v>
      </c>
      <c r="AC775" s="101">
        <v>1.3758562620562742E-2</v>
      </c>
    </row>
    <row r="776" spans="25:29" x14ac:dyDescent="0.2">
      <c r="Y776" s="105" t="str">
        <f t="shared" si="45"/>
        <v>1w</v>
      </c>
      <c r="Z776" s="93">
        <f>_xll.qlCalendarAdvance(Calendar,Z775,Y776,"f",FALSE)</f>
        <v>44558</v>
      </c>
      <c r="AA776" s="117">
        <f>_xll.qlCalendarAdvance(Calendar,Z776,NDays&amp;"D")</f>
        <v>44560</v>
      </c>
      <c r="AB776" s="92">
        <v>1.4281582352253007E-2</v>
      </c>
      <c r="AC776" s="101">
        <v>1.3796218727915033E-2</v>
      </c>
    </row>
    <row r="777" spans="25:29" x14ac:dyDescent="0.2">
      <c r="Y777" s="105" t="str">
        <f t="shared" si="45"/>
        <v>1w</v>
      </c>
      <c r="Z777" s="93">
        <f>_xll.qlCalendarAdvance(Calendar,Z776,Y777,"f",FALSE)</f>
        <v>44565</v>
      </c>
      <c r="AA777" s="117">
        <f>_xll.qlCalendarAdvance(Calendar,Z777,NDays&amp;"D")</f>
        <v>44567</v>
      </c>
      <c r="AB777" s="92">
        <v>1.4311001481306779E-2</v>
      </c>
      <c r="AC777" s="101">
        <v>1.3833450126279345E-2</v>
      </c>
    </row>
    <row r="778" spans="25:29" x14ac:dyDescent="0.2">
      <c r="Y778" s="105" t="str">
        <f t="shared" si="45"/>
        <v>1w</v>
      </c>
      <c r="Z778" s="93">
        <f>_xll.qlCalendarAdvance(Calendar,Z777,Y778,"f",FALSE)</f>
        <v>44572</v>
      </c>
      <c r="AA778" s="117">
        <f>_xll.qlCalendarAdvance(Calendar,Z778,NDays&amp;"D")</f>
        <v>44574</v>
      </c>
      <c r="AB778" s="92">
        <v>1.4342486752093358E-2</v>
      </c>
      <c r="AC778" s="101">
        <v>1.3870252734040633E-2</v>
      </c>
    </row>
    <row r="779" spans="25:29" x14ac:dyDescent="0.2">
      <c r="Y779" s="105" t="str">
        <f t="shared" si="45"/>
        <v>1w</v>
      </c>
      <c r="Z779" s="93">
        <f>_xll.qlCalendarAdvance(Calendar,Z778,Y779,"f",FALSE)</f>
        <v>44579</v>
      </c>
      <c r="AA779" s="117">
        <f>_xll.qlCalendarAdvance(Calendar,Z779,NDays&amp;"D")</f>
        <v>44581</v>
      </c>
      <c r="AB779" s="92">
        <v>1.4373609189859292E-2</v>
      </c>
      <c r="AC779" s="101">
        <v>1.3906622469104235E-2</v>
      </c>
    </row>
    <row r="780" spans="25:29" x14ac:dyDescent="0.2">
      <c r="Y780" s="105" t="str">
        <f t="shared" si="45"/>
        <v>1w</v>
      </c>
      <c r="Z780" s="93">
        <f>_xll.qlCalendarAdvance(Calendar,Z779,Y780,"f",FALSE)</f>
        <v>44586</v>
      </c>
      <c r="AA780" s="117">
        <f>_xll.qlCalendarAdvance(Calendar,Z780,NDays&amp;"D")</f>
        <v>44588</v>
      </c>
      <c r="AB780" s="92">
        <v>1.4404380549802944E-2</v>
      </c>
      <c r="AC780" s="101">
        <v>1.3942555250014976E-2</v>
      </c>
    </row>
    <row r="781" spans="25:29" x14ac:dyDescent="0.2">
      <c r="Y781" s="105" t="str">
        <f t="shared" si="45"/>
        <v>1w</v>
      </c>
      <c r="Z781" s="93">
        <f>_xll.qlCalendarAdvance(Calendar,Z780,Y781,"f",FALSE)</f>
        <v>44593</v>
      </c>
      <c r="AA781" s="117">
        <f>_xll.qlCalendarAdvance(Calendar,Z781,NDays&amp;"D")</f>
        <v>44595</v>
      </c>
      <c r="AB781" s="92">
        <v>1.4434812746584509E-2</v>
      </c>
      <c r="AC781" s="101">
        <v>1.3978046994678195E-2</v>
      </c>
    </row>
    <row r="782" spans="25:29" x14ac:dyDescent="0.2">
      <c r="Y782" s="105" t="str">
        <f t="shared" si="45"/>
        <v>1w</v>
      </c>
      <c r="Z782" s="93">
        <f>_xll.qlCalendarAdvance(Calendar,Z781,Y782,"f",FALSE)</f>
        <v>44600</v>
      </c>
      <c r="AA782" s="117">
        <f>_xll.qlCalendarAdvance(Calendar,Z782,NDays&amp;"D")</f>
        <v>44602</v>
      </c>
      <c r="AB782" s="92">
        <v>1.4464917854320282E-2</v>
      </c>
      <c r="AC782" s="101">
        <v>1.4013093621558781E-2</v>
      </c>
    </row>
    <row r="783" spans="25:29" x14ac:dyDescent="0.2">
      <c r="Y783" s="105" t="str">
        <f t="shared" si="45"/>
        <v>1w</v>
      </c>
      <c r="Z783" s="93">
        <f>_xll.qlCalendarAdvance(Calendar,Z782,Y783,"f",FALSE)</f>
        <v>44607</v>
      </c>
      <c r="AA783" s="117">
        <f>_xll.qlCalendarAdvance(Calendar,Z783,NDays&amp;"D")</f>
        <v>44609</v>
      </c>
      <c r="AB783" s="92">
        <v>1.4494708106572933E-2</v>
      </c>
      <c r="AC783" s="101">
        <v>1.4047691048721944E-2</v>
      </c>
    </row>
    <row r="784" spans="25:29" x14ac:dyDescent="0.2">
      <c r="Y784" s="105" t="str">
        <f t="shared" si="45"/>
        <v>1w</v>
      </c>
      <c r="Z784" s="93">
        <f>_xll.qlCalendarAdvance(Calendar,Z783,Y784,"f",FALSE)</f>
        <v>44614</v>
      </c>
      <c r="AA784" s="117">
        <f>_xll.qlCalendarAdvance(Calendar,Z784,NDays&amp;"D")</f>
        <v>44616</v>
      </c>
      <c r="AB784" s="92">
        <v>1.452419589634312E-2</v>
      </c>
      <c r="AC784" s="101">
        <v>1.4081835194552639E-2</v>
      </c>
    </row>
    <row r="785" spans="25:29" x14ac:dyDescent="0.2">
      <c r="Y785" s="105" t="str">
        <f t="shared" si="45"/>
        <v>1w</v>
      </c>
      <c r="Z785" s="93">
        <f>_xll.qlCalendarAdvance(Calendar,Z784,Y785,"f",FALSE)</f>
        <v>44621</v>
      </c>
      <c r="AA785" s="117">
        <f>_xll.qlCalendarAdvance(Calendar,Z785,NDays&amp;"D")</f>
        <v>44623</v>
      </c>
      <c r="AB785" s="92">
        <v>1.4564820665617461E-2</v>
      </c>
      <c r="AC785" s="101">
        <v>1.4115521977036138E-2</v>
      </c>
    </row>
    <row r="786" spans="25:29" x14ac:dyDescent="0.2">
      <c r="Y786" s="105" t="str">
        <f t="shared" si="45"/>
        <v>1w</v>
      </c>
      <c r="Z786" s="93">
        <f>_xll.qlCalendarAdvance(Calendar,Z785,Y786,"f",FALSE)</f>
        <v>44628</v>
      </c>
      <c r="AA786" s="117">
        <f>_xll.qlCalendarAdvance(Calendar,Z786,NDays&amp;"D")</f>
        <v>44630</v>
      </c>
      <c r="AB786" s="92">
        <v>1.459368063796658E-2</v>
      </c>
      <c r="AC786" s="101">
        <v>1.4148747314477461E-2</v>
      </c>
    </row>
    <row r="787" spans="25:29" x14ac:dyDescent="0.2">
      <c r="Y787" s="105" t="str">
        <f t="shared" si="45"/>
        <v>1w</v>
      </c>
      <c r="Z787" s="93">
        <f>_xll.qlCalendarAdvance(Calendar,Z786,Y787,"f",FALSE)</f>
        <v>44635</v>
      </c>
      <c r="AA787" s="117">
        <f>_xll.qlCalendarAdvance(Calendar,Z787,NDays&amp;"D")</f>
        <v>44637</v>
      </c>
      <c r="AB787" s="92">
        <v>1.4622279767885894E-2</v>
      </c>
      <c r="AC787" s="101">
        <v>1.4181507125181625E-2</v>
      </c>
    </row>
    <row r="788" spans="25:29" x14ac:dyDescent="0.2">
      <c r="Y788" s="105" t="str">
        <f t="shared" si="45"/>
        <v>1w</v>
      </c>
      <c r="Z788" s="93">
        <f>_xll.qlCalendarAdvance(Calendar,Z787,Y788,"f",FALSE)</f>
        <v>44642</v>
      </c>
      <c r="AA788" s="117">
        <f>_xll.qlCalendarAdvance(Calendar,Z788,NDays&amp;"D")</f>
        <v>44644</v>
      </c>
      <c r="AB788" s="92">
        <v>1.4650630737662452E-2</v>
      </c>
      <c r="AC788" s="101">
        <v>1.4213797327133904E-2</v>
      </c>
    </row>
    <row r="789" spans="25:29" x14ac:dyDescent="0.2">
      <c r="Y789" s="105" t="str">
        <f t="shared" ref="Y789:Y852" si="46">Y788</f>
        <v>1w</v>
      </c>
      <c r="Z789" s="93">
        <f>_xll.qlCalendarAdvance(Calendar,Z788,Y789,"f",FALSE)</f>
        <v>44649</v>
      </c>
      <c r="AA789" s="117">
        <f>_xll.qlCalendarAdvance(Calendar,Z789,NDays&amp;"D")</f>
        <v>44651</v>
      </c>
      <c r="AB789" s="92">
        <v>1.4672026586354194E-2</v>
      </c>
      <c r="AC789" s="101">
        <v>1.4245613838879123E-2</v>
      </c>
    </row>
    <row r="790" spans="25:29" x14ac:dyDescent="0.2">
      <c r="Y790" s="105" t="str">
        <f t="shared" si="46"/>
        <v>1w</v>
      </c>
      <c r="Z790" s="93">
        <f>_xll.qlCalendarAdvance(Calendar,Z789,Y790,"f",FALSE)</f>
        <v>44656</v>
      </c>
      <c r="AA790" s="117">
        <f>_xll.qlCalendarAdvance(Calendar,Z790,NDays&amp;"D")</f>
        <v>44658</v>
      </c>
      <c r="AB790" s="92">
        <v>1.4699949186373894E-2</v>
      </c>
      <c r="AC790" s="101">
        <v>1.4276952578482494E-2</v>
      </c>
    </row>
    <row r="791" spans="25:29" x14ac:dyDescent="0.2">
      <c r="Y791" s="105" t="str">
        <f t="shared" si="46"/>
        <v>1w</v>
      </c>
      <c r="Z791" s="93">
        <f>_xll.qlCalendarAdvance(Calendar,Z790,Y791,"f",FALSE)</f>
        <v>44663</v>
      </c>
      <c r="AA791" s="117">
        <f>_xll.qlCalendarAdvance(Calendar,Z791,NDays&amp;"D")</f>
        <v>44665</v>
      </c>
      <c r="AB791" s="92">
        <v>1.4727661378562544E-2</v>
      </c>
      <c r="AC791" s="101">
        <v>1.4317665429476989E-2</v>
      </c>
    </row>
    <row r="792" spans="25:29" x14ac:dyDescent="0.2">
      <c r="Y792" s="105" t="str">
        <f t="shared" si="46"/>
        <v>1w</v>
      </c>
      <c r="Z792" s="93">
        <f>_xll.qlCalendarAdvance(Calendar,Z791,Y792,"f",FALSE)</f>
        <v>44670</v>
      </c>
      <c r="AA792" s="117">
        <f>_xll.qlCalendarAdvance(Calendar,Z792,NDays&amp;"D")</f>
        <v>44672</v>
      </c>
      <c r="AB792" s="92">
        <v>1.4755176682684688E-2</v>
      </c>
      <c r="AC792" s="101">
        <v>1.4338180414004142E-2</v>
      </c>
    </row>
    <row r="793" spans="25:29" x14ac:dyDescent="0.2">
      <c r="Y793" s="105" t="str">
        <f t="shared" si="46"/>
        <v>1w</v>
      </c>
      <c r="Z793" s="93">
        <f>_xll.qlCalendarAdvance(Calendar,Z792,Y793,"f",FALSE)</f>
        <v>44677</v>
      </c>
      <c r="AA793" s="117">
        <f>_xll.qlCalendarAdvance(Calendar,Z793,NDays&amp;"D")</f>
        <v>44679</v>
      </c>
      <c r="AB793" s="92">
        <v>1.4782508776175467E-2</v>
      </c>
      <c r="AC793" s="101">
        <v>1.4368061346292649E-2</v>
      </c>
    </row>
    <row r="794" spans="25:29" x14ac:dyDescent="0.2">
      <c r="Y794" s="105" t="str">
        <f t="shared" si="46"/>
        <v>1w</v>
      </c>
      <c r="Z794" s="93">
        <f>_xll.qlCalendarAdvance(Calendar,Z793,Y794,"f",FALSE)</f>
        <v>44684</v>
      </c>
      <c r="AA794" s="117">
        <f>_xll.qlCalendarAdvance(Calendar,Z794,NDays&amp;"D")</f>
        <v>44686</v>
      </c>
      <c r="AB794" s="92">
        <v>1.4816254953032883E-2</v>
      </c>
      <c r="AC794" s="101">
        <v>1.4397448179339634E-2</v>
      </c>
    </row>
    <row r="795" spans="25:29" x14ac:dyDescent="0.2">
      <c r="Y795" s="105" t="str">
        <f t="shared" si="46"/>
        <v>1w</v>
      </c>
      <c r="Z795" s="93">
        <f>_xll.qlCalendarAdvance(Calendar,Z794,Y795,"f",FALSE)</f>
        <v>44691</v>
      </c>
      <c r="AA795" s="117">
        <f>_xll.qlCalendarAdvance(Calendar,Z795,NDays&amp;"D")</f>
        <v>44693</v>
      </c>
      <c r="AB795" s="92">
        <v>1.4843236940096012E-2</v>
      </c>
      <c r="AC795" s="101">
        <v>1.4426336831370179E-2</v>
      </c>
    </row>
    <row r="796" spans="25:29" x14ac:dyDescent="0.2">
      <c r="Y796" s="105" t="str">
        <f t="shared" si="46"/>
        <v>1w</v>
      </c>
      <c r="Z796" s="93">
        <f>_xll.qlCalendarAdvance(Calendar,Z795,Y796,"f",FALSE)</f>
        <v>44698</v>
      </c>
      <c r="AA796" s="117">
        <f>_xll.qlCalendarAdvance(Calendar,Z796,NDays&amp;"D")</f>
        <v>44700</v>
      </c>
      <c r="AB796" s="92">
        <v>1.4870077626021898E-2</v>
      </c>
      <c r="AC796" s="101">
        <v>1.4454770123011329E-2</v>
      </c>
    </row>
    <row r="797" spans="25:29" x14ac:dyDescent="0.2">
      <c r="Y797" s="105" t="str">
        <f t="shared" si="46"/>
        <v>1w</v>
      </c>
      <c r="Z797" s="93">
        <f>_xll.qlCalendarAdvance(Calendar,Z796,Y797,"f",FALSE)</f>
        <v>44705</v>
      </c>
      <c r="AA797" s="117">
        <f>_xll.qlCalendarAdvance(Calendar,Z797,NDays&amp;"D")</f>
        <v>44707</v>
      </c>
      <c r="AB797" s="92">
        <v>1.48967847639115E-2</v>
      </c>
      <c r="AC797" s="101">
        <v>1.4483024372351494E-2</v>
      </c>
    </row>
    <row r="798" spans="25:29" x14ac:dyDescent="0.2">
      <c r="Y798" s="105" t="str">
        <f t="shared" si="46"/>
        <v>1w</v>
      </c>
      <c r="Z798" s="93">
        <f>_xll.qlCalendarAdvance(Calendar,Z797,Y798,"f",FALSE)</f>
        <v>44712</v>
      </c>
      <c r="AA798" s="117">
        <f>_xll.qlCalendarAdvance(Calendar,Z798,NDays&amp;"D")</f>
        <v>44714</v>
      </c>
      <c r="AB798" s="92">
        <v>1.4916876378219259E-2</v>
      </c>
      <c r="AC798" s="101">
        <v>1.4511146297380151E-2</v>
      </c>
    </row>
    <row r="799" spans="25:29" x14ac:dyDescent="0.2">
      <c r="Y799" s="105" t="str">
        <f t="shared" si="46"/>
        <v>1w</v>
      </c>
      <c r="Z799" s="93">
        <f>_xll.qlCalendarAdvance(Calendar,Z798,Y799,"f",FALSE)</f>
        <v>44719</v>
      </c>
      <c r="AA799" s="117">
        <f>_xll.qlCalendarAdvance(Calendar,Z799,NDays&amp;"D")</f>
        <v>44721</v>
      </c>
      <c r="AB799" s="92">
        <v>1.4943342509404895E-2</v>
      </c>
      <c r="AC799" s="101">
        <v>1.4539135886746379E-2</v>
      </c>
    </row>
    <row r="800" spans="25:29" x14ac:dyDescent="0.2">
      <c r="Y800" s="105" t="str">
        <f t="shared" si="46"/>
        <v>1w</v>
      </c>
      <c r="Z800" s="93">
        <f>_xll.qlCalendarAdvance(Calendar,Z799,Y800,"f",FALSE)</f>
        <v>44726</v>
      </c>
      <c r="AA800" s="117">
        <f>_xll.qlCalendarAdvance(Calendar,Z800,NDays&amp;"D")</f>
        <v>44728</v>
      </c>
      <c r="AB800" s="92">
        <v>1.4969675494227962E-2</v>
      </c>
      <c r="AC800" s="101">
        <v>1.4566993129019323E-2</v>
      </c>
    </row>
    <row r="801" spans="25:29" x14ac:dyDescent="0.2">
      <c r="Y801" s="105" t="str">
        <f t="shared" si="46"/>
        <v>1w</v>
      </c>
      <c r="Z801" s="93">
        <f>_xll.qlCalendarAdvance(Calendar,Z800,Y801,"f",FALSE)</f>
        <v>44733</v>
      </c>
      <c r="AA801" s="117">
        <f>_xll.qlCalendarAdvance(Calendar,Z801,NDays&amp;"D")</f>
        <v>44735</v>
      </c>
      <c r="AB801" s="92">
        <v>1.4995875315928534E-2</v>
      </c>
      <c r="AC801" s="101">
        <v>1.4594718012848062E-2</v>
      </c>
    </row>
    <row r="802" spans="25:29" x14ac:dyDescent="0.2">
      <c r="Y802" s="105" t="str">
        <f t="shared" si="46"/>
        <v>1w</v>
      </c>
      <c r="Z802" s="93">
        <f>_xll.qlCalendarAdvance(Calendar,Z801,Y802,"f",FALSE)</f>
        <v>44740</v>
      </c>
      <c r="AA802" s="117">
        <f>_xll.qlCalendarAdvance(Calendar,Z802,NDays&amp;"D")</f>
        <v>44742</v>
      </c>
      <c r="AB802" s="92">
        <v>1.502194195777333E-2</v>
      </c>
      <c r="AC802" s="101">
        <v>1.4622310526801741E-2</v>
      </c>
    </row>
    <row r="803" spans="25:29" x14ac:dyDescent="0.2">
      <c r="Y803" s="105" t="str">
        <f t="shared" si="46"/>
        <v>1w</v>
      </c>
      <c r="Z803" s="93">
        <f>_xll.qlCalendarAdvance(Calendar,Z802,Y803,"f",FALSE)</f>
        <v>44747</v>
      </c>
      <c r="AA803" s="117">
        <f>_xll.qlCalendarAdvance(Calendar,Z803,NDays&amp;"D")</f>
        <v>44749</v>
      </c>
      <c r="AB803" s="92">
        <v>1.5054231334750503E-2</v>
      </c>
      <c r="AC803" s="101">
        <v>1.4649770659529437E-2</v>
      </c>
    </row>
    <row r="804" spans="25:29" x14ac:dyDescent="0.2">
      <c r="Y804" s="105" t="str">
        <f t="shared" si="46"/>
        <v>1w</v>
      </c>
      <c r="Z804" s="93">
        <f>_xll.qlCalendarAdvance(Calendar,Z803,Y804,"f",FALSE)</f>
        <v>44754</v>
      </c>
      <c r="AA804" s="117">
        <f>_xll.qlCalendarAdvance(Calendar,Z804,NDays&amp;"D")</f>
        <v>44756</v>
      </c>
      <c r="AB804" s="92">
        <v>1.5080006230061917E-2</v>
      </c>
      <c r="AC804" s="101">
        <v>1.4677098399600297E-2</v>
      </c>
    </row>
    <row r="805" spans="25:29" x14ac:dyDescent="0.2">
      <c r="Y805" s="105" t="str">
        <f t="shared" si="46"/>
        <v>1w</v>
      </c>
      <c r="Z805" s="93">
        <f>_xll.qlCalendarAdvance(Calendar,Z804,Y805,"f",FALSE)</f>
        <v>44761</v>
      </c>
      <c r="AA805" s="117">
        <f>_xll.qlCalendarAdvance(Calendar,Z805,NDays&amp;"D")</f>
        <v>44763</v>
      </c>
      <c r="AB805" s="92">
        <v>1.5105647880702551E-2</v>
      </c>
      <c r="AC805" s="101">
        <v>1.4704293735743335E-2</v>
      </c>
    </row>
    <row r="806" spans="25:29" x14ac:dyDescent="0.2">
      <c r="Y806" s="105" t="str">
        <f t="shared" si="46"/>
        <v>1w</v>
      </c>
      <c r="Z806" s="93">
        <f>_xll.qlCalendarAdvance(Calendar,Z805,Y806,"f",FALSE)</f>
        <v>44768</v>
      </c>
      <c r="AA806" s="117">
        <f>_xll.qlCalendarAdvance(Calendar,Z806,NDays&amp;"D")</f>
        <v>44770</v>
      </c>
      <c r="AB806" s="92">
        <v>1.5131156269963189E-2</v>
      </c>
      <c r="AC806" s="101">
        <v>1.4731356656367822E-2</v>
      </c>
    </row>
    <row r="807" spans="25:29" x14ac:dyDescent="0.2">
      <c r="Y807" s="105" t="str">
        <f t="shared" si="46"/>
        <v>1w</v>
      </c>
      <c r="Z807" s="93">
        <f>_xll.qlCalendarAdvance(Calendar,Z806,Y807,"f",FALSE)</f>
        <v>44775</v>
      </c>
      <c r="AA807" s="117">
        <f>_xll.qlCalendarAdvance(Calendar,Z807,NDays&amp;"D")</f>
        <v>44777</v>
      </c>
      <c r="AB807" s="92">
        <v>1.5156531381159544E-2</v>
      </c>
      <c r="AC807" s="101">
        <v>1.4758287150282712E-2</v>
      </c>
    </row>
    <row r="808" spans="25:29" x14ac:dyDescent="0.2">
      <c r="Y808" s="105" t="str">
        <f t="shared" si="46"/>
        <v>1w</v>
      </c>
      <c r="Z808" s="93">
        <f>_xll.qlCalendarAdvance(Calendar,Z807,Y808,"f",FALSE)</f>
        <v>44782</v>
      </c>
      <c r="AA808" s="117">
        <f>_xll.qlCalendarAdvance(Calendar,Z808,NDays&amp;"D")</f>
        <v>44784</v>
      </c>
      <c r="AB808" s="92">
        <v>1.518177319763612E-2</v>
      </c>
      <c r="AC808" s="101">
        <v>1.4785085205977211E-2</v>
      </c>
    </row>
    <row r="809" spans="25:29" x14ac:dyDescent="0.2">
      <c r="Y809" s="105" t="str">
        <f t="shared" si="46"/>
        <v>1w</v>
      </c>
      <c r="Z809" s="93">
        <f>_xll.qlCalendarAdvance(Calendar,Z808,Y809,"f",FALSE)</f>
        <v>44789</v>
      </c>
      <c r="AA809" s="117">
        <f>_xll.qlCalendarAdvance(Calendar,Z809,NDays&amp;"D")</f>
        <v>44791</v>
      </c>
      <c r="AB809" s="92">
        <v>1.5206881702763211E-2</v>
      </c>
      <c r="AC809" s="101">
        <v>1.4811750812180335E-2</v>
      </c>
    </row>
    <row r="810" spans="25:29" x14ac:dyDescent="0.2">
      <c r="Y810" s="105" t="str">
        <f t="shared" si="46"/>
        <v>1w</v>
      </c>
      <c r="Z810" s="93">
        <f>_xll.qlCalendarAdvance(Calendar,Z809,Y810,"f",FALSE)</f>
        <v>44796</v>
      </c>
      <c r="AA810" s="117">
        <f>_xll.qlCalendarAdvance(Calendar,Z810,NDays&amp;"D")</f>
        <v>44798</v>
      </c>
      <c r="AB810" s="92">
        <v>1.5231856879937321E-2</v>
      </c>
      <c r="AC810" s="101">
        <v>1.4838283957381293E-2</v>
      </c>
    </row>
    <row r="811" spans="25:29" x14ac:dyDescent="0.2">
      <c r="Y811" s="105" t="str">
        <f t="shared" si="46"/>
        <v>1w</v>
      </c>
      <c r="Z811" s="93">
        <f>_xll.qlCalendarAdvance(Calendar,Z810,Y811,"f",FALSE)</f>
        <v>44803</v>
      </c>
      <c r="AA811" s="117">
        <f>_xll.qlCalendarAdvance(Calendar,Z811,NDays&amp;"D")</f>
        <v>44805</v>
      </c>
      <c r="AB811" s="92">
        <v>1.5246440247031567E-2</v>
      </c>
      <c r="AC811" s="101">
        <v>1.48646846303091E-2</v>
      </c>
    </row>
    <row r="812" spans="25:29" x14ac:dyDescent="0.2">
      <c r="Y812" s="105" t="str">
        <f t="shared" si="46"/>
        <v>1w</v>
      </c>
      <c r="Z812" s="93">
        <f>_xll.qlCalendarAdvance(Calendar,Z811,Y812,"f",FALSE)</f>
        <v>44810</v>
      </c>
      <c r="AA812" s="117">
        <f>_xll.qlCalendarAdvance(Calendar,Z812,NDays&amp;"D")</f>
        <v>44812</v>
      </c>
      <c r="AB812" s="92">
        <v>1.5271191144020972E-2</v>
      </c>
      <c r="AC812" s="101">
        <v>1.4890952819452963E-2</v>
      </c>
    </row>
    <row r="813" spans="25:29" x14ac:dyDescent="0.2">
      <c r="Y813" s="105" t="str">
        <f t="shared" si="46"/>
        <v>1w</v>
      </c>
      <c r="Z813" s="93">
        <f>_xll.qlCalendarAdvance(Calendar,Z812,Y813,"f",FALSE)</f>
        <v>44817</v>
      </c>
      <c r="AA813" s="117">
        <f>_xll.qlCalendarAdvance(Calendar,Z813,NDays&amp;"D")</f>
        <v>44819</v>
      </c>
      <c r="AB813" s="92">
        <v>1.5295808689072264E-2</v>
      </c>
      <c r="AC813" s="101">
        <v>1.4917088513461962E-2</v>
      </c>
    </row>
    <row r="814" spans="25:29" x14ac:dyDescent="0.2">
      <c r="Y814" s="105" t="str">
        <f t="shared" si="46"/>
        <v>1w</v>
      </c>
      <c r="Z814" s="93">
        <f>_xll.qlCalendarAdvance(Calendar,Z813,Y814,"f",FALSE)</f>
        <v>44824</v>
      </c>
      <c r="AA814" s="117">
        <f>_xll.qlCalendarAdvance(Calendar,Z814,NDays&amp;"D")</f>
        <v>44826</v>
      </c>
      <c r="AB814" s="92">
        <v>1.5320292865819754E-2</v>
      </c>
      <c r="AC814" s="101">
        <v>1.4943091700985178E-2</v>
      </c>
    </row>
    <row r="815" spans="25:29" x14ac:dyDescent="0.2">
      <c r="Y815" s="105" t="str">
        <f t="shared" si="46"/>
        <v>1w</v>
      </c>
      <c r="Z815" s="93">
        <f>_xll.qlCalendarAdvance(Calendar,Z814,Y815,"f",FALSE)</f>
        <v>44831</v>
      </c>
      <c r="AA815" s="117">
        <f>_xll.qlCalendarAdvance(Calendar,Z815,NDays&amp;"D")</f>
        <v>44833</v>
      </c>
      <c r="AB815" s="92">
        <v>1.5344643657922917E-2</v>
      </c>
      <c r="AC815" s="101">
        <v>1.4968962370591754E-2</v>
      </c>
    </row>
    <row r="816" spans="25:29" x14ac:dyDescent="0.2">
      <c r="Y816" s="105" t="str">
        <f t="shared" si="46"/>
        <v>1w</v>
      </c>
      <c r="Z816" s="93">
        <f>_xll.qlCalendarAdvance(Calendar,Z815,Y816,"f",FALSE)</f>
        <v>44838</v>
      </c>
      <c r="AA816" s="117">
        <f>_xll.qlCalendarAdvance(Calendar,Z816,NDays&amp;"D")</f>
        <v>44840</v>
      </c>
      <c r="AB816" s="92">
        <v>1.5370871777873696E-2</v>
      </c>
      <c r="AC816" s="101">
        <v>1.4994700511010706E-2</v>
      </c>
    </row>
    <row r="817" spans="25:29" x14ac:dyDescent="0.2">
      <c r="Y817" s="105" t="str">
        <f t="shared" si="46"/>
        <v>1w</v>
      </c>
      <c r="Z817" s="93">
        <f>_xll.qlCalendarAdvance(Calendar,Z816,Y817,"f",FALSE)</f>
        <v>44845</v>
      </c>
      <c r="AA817" s="117">
        <f>_xll.qlCalendarAdvance(Calendar,Z817,NDays&amp;"D")</f>
        <v>44847</v>
      </c>
      <c r="AB817" s="92">
        <v>1.5394947242069133E-2</v>
      </c>
      <c r="AC817" s="101">
        <v>1.5020306110731241E-2</v>
      </c>
    </row>
    <row r="818" spans="25:29" x14ac:dyDescent="0.2">
      <c r="Y818" s="105" t="str">
        <f t="shared" si="46"/>
        <v>1w</v>
      </c>
      <c r="Z818" s="93">
        <f>_xll.qlCalendarAdvance(Calendar,Z817,Y818,"f",FALSE)</f>
        <v>44852</v>
      </c>
      <c r="AA818" s="117">
        <f>_xll.qlCalendarAdvance(Calendar,Z818,NDays&amp;"D")</f>
        <v>44854</v>
      </c>
      <c r="AB818" s="92">
        <v>1.5418889267503431E-2</v>
      </c>
      <c r="AC818" s="101">
        <v>1.5045779158402439E-2</v>
      </c>
    </row>
    <row r="819" spans="25:29" x14ac:dyDescent="0.2">
      <c r="Y819" s="105" t="str">
        <f t="shared" si="46"/>
        <v>1w</v>
      </c>
      <c r="Z819" s="93">
        <f>_xll.qlCalendarAdvance(Calendar,Z818,Y819,"f",FALSE)</f>
        <v>44859</v>
      </c>
      <c r="AA819" s="117">
        <f>_xll.qlCalendarAdvance(Calendar,Z819,NDays&amp;"D")</f>
        <v>44861</v>
      </c>
      <c r="AB819" s="92">
        <v>1.5442697837916188E-2</v>
      </c>
      <c r="AC819" s="101">
        <v>1.5071119642593445E-2</v>
      </c>
    </row>
    <row r="820" spans="25:29" x14ac:dyDescent="0.2">
      <c r="Y820" s="105" t="str">
        <f t="shared" si="46"/>
        <v>1w</v>
      </c>
      <c r="Z820" s="93">
        <f>_xll.qlCalendarAdvance(Calendar,Z819,Y820,"f",FALSE)</f>
        <v>44866</v>
      </c>
      <c r="AA820" s="117">
        <f>_xll.qlCalendarAdvance(Calendar,Z820,NDays&amp;"D")</f>
        <v>44868</v>
      </c>
      <c r="AB820" s="92">
        <v>1.5464396278703479E-2</v>
      </c>
      <c r="AC820" s="101">
        <v>1.5096327552033273E-2</v>
      </c>
    </row>
    <row r="821" spans="25:29" x14ac:dyDescent="0.2">
      <c r="Y821" s="105" t="str">
        <f t="shared" si="46"/>
        <v>1w</v>
      </c>
      <c r="Z821" s="93">
        <f>_xll.qlCalendarAdvance(Calendar,Z820,Y821,"f",FALSE)</f>
        <v>44873</v>
      </c>
      <c r="AA821" s="117">
        <f>_xll.qlCalendarAdvance(Calendar,Z821,NDays&amp;"D")</f>
        <v>44875</v>
      </c>
      <c r="AB821" s="92">
        <v>1.5487946421262633E-2</v>
      </c>
      <c r="AC821" s="101">
        <v>1.5121402875371004E-2</v>
      </c>
    </row>
    <row r="822" spans="25:29" x14ac:dyDescent="0.2">
      <c r="Y822" s="105" t="str">
        <f t="shared" si="46"/>
        <v>1w</v>
      </c>
      <c r="Z822" s="93">
        <f>_xll.qlCalendarAdvance(Calendar,Z821,Y822,"f",FALSE)</f>
        <v>44880</v>
      </c>
      <c r="AA822" s="117">
        <f>_xll.qlCalendarAdvance(Calendar,Z822,NDays&amp;"D")</f>
        <v>44882</v>
      </c>
      <c r="AB822" s="92">
        <v>1.5511363034384995E-2</v>
      </c>
      <c r="AC822" s="101">
        <v>1.5146345600935973E-2</v>
      </c>
    </row>
    <row r="823" spans="25:29" x14ac:dyDescent="0.2">
      <c r="Y823" s="105" t="str">
        <f t="shared" si="46"/>
        <v>1w</v>
      </c>
      <c r="Z823" s="93">
        <f>_xll.qlCalendarAdvance(Calendar,Z822,Y823,"f",FALSE)</f>
        <v>44887</v>
      </c>
      <c r="AA823" s="117">
        <f>_xll.qlCalendarAdvance(Calendar,Z823,NDays&amp;"D")</f>
        <v>44889</v>
      </c>
      <c r="AB823" s="92">
        <v>1.5534643350654661E-2</v>
      </c>
      <c r="AC823" s="101">
        <v>1.5171155717617069E-2</v>
      </c>
    </row>
    <row r="824" spans="25:29" x14ac:dyDescent="0.2">
      <c r="Y824" s="105" t="str">
        <f t="shared" si="46"/>
        <v>1w</v>
      </c>
      <c r="Z824" s="93">
        <f>_xll.qlCalendarAdvance(Calendar,Z823,Y824,"f",FALSE)</f>
        <v>44894</v>
      </c>
      <c r="AA824" s="117">
        <f>_xll.qlCalendarAdvance(Calendar,Z824,NDays&amp;"D")</f>
        <v>44896</v>
      </c>
      <c r="AB824" s="92">
        <v>1.5559719178037961E-2</v>
      </c>
      <c r="AC824" s="101">
        <v>1.5195833213983434E-2</v>
      </c>
    </row>
    <row r="825" spans="25:29" x14ac:dyDescent="0.2">
      <c r="Y825" s="105" t="str">
        <f t="shared" si="46"/>
        <v>1w</v>
      </c>
      <c r="Z825" s="93">
        <f>_xll.qlCalendarAdvance(Calendar,Z824,Y825,"f",FALSE)</f>
        <v>44901</v>
      </c>
      <c r="AA825" s="117">
        <f>_xll.qlCalendarAdvance(Calendar,Z825,NDays&amp;"D")</f>
        <v>44903</v>
      </c>
      <c r="AB825" s="92">
        <v>1.5582691871755826E-2</v>
      </c>
      <c r="AC825" s="101">
        <v>1.5220378078524277E-2</v>
      </c>
    </row>
    <row r="826" spans="25:29" x14ac:dyDescent="0.2">
      <c r="Y826" s="105" t="str">
        <f t="shared" si="46"/>
        <v>1w</v>
      </c>
      <c r="Z826" s="93">
        <f>_xll.qlCalendarAdvance(Calendar,Z825,Y826,"f",FALSE)</f>
        <v>44908</v>
      </c>
      <c r="AA826" s="117">
        <f>_xll.qlCalendarAdvance(Calendar,Z826,NDays&amp;"D")</f>
        <v>44910</v>
      </c>
      <c r="AB826" s="92">
        <v>1.5605503241069745E-2</v>
      </c>
      <c r="AC826" s="101">
        <v>1.5244790299968614E-2</v>
      </c>
    </row>
    <row r="827" spans="25:29" x14ac:dyDescent="0.2">
      <c r="Y827" s="105" t="str">
        <f t="shared" si="46"/>
        <v>1w</v>
      </c>
      <c r="Z827" s="93">
        <f>_xll.qlCalendarAdvance(Calendar,Z826,Y827,"f",FALSE)</f>
        <v>44915</v>
      </c>
      <c r="AA827" s="117">
        <f>_xll.qlCalendarAdvance(Calendar,Z827,NDays&amp;"D")</f>
        <v>44917</v>
      </c>
      <c r="AB827" s="92">
        <v>1.5628145006496685E-2</v>
      </c>
      <c r="AC827" s="101">
        <v>1.5269069866965523E-2</v>
      </c>
    </row>
    <row r="828" spans="25:29" x14ac:dyDescent="0.2">
      <c r="Y828" s="105" t="str">
        <f t="shared" si="46"/>
        <v>1w</v>
      </c>
      <c r="Z828" s="93">
        <f>_xll.qlCalendarAdvance(Calendar,Z827,Y828,"f",FALSE)</f>
        <v>44922</v>
      </c>
      <c r="AA828" s="117">
        <f>_xll.qlCalendarAdvance(Calendar,Z828,NDays&amp;"D")</f>
        <v>44924</v>
      </c>
      <c r="AB828" s="92">
        <v>1.5650608811942808E-2</v>
      </c>
      <c r="AC828" s="101">
        <v>1.5293216768004214E-2</v>
      </c>
    </row>
    <row r="829" spans="25:29" x14ac:dyDescent="0.2">
      <c r="Y829" s="105" t="str">
        <f t="shared" si="46"/>
        <v>1w</v>
      </c>
      <c r="Z829" s="93">
        <f>_xll.qlCalendarAdvance(Calendar,Z828,Y829,"f",FALSE)</f>
        <v>44929</v>
      </c>
      <c r="AA829" s="117">
        <f>_xll.qlCalendarAdvance(Calendar,Z829,NDays&amp;"D")</f>
        <v>44931</v>
      </c>
      <c r="AB829" s="92">
        <v>1.5671015188195119E-2</v>
      </c>
      <c r="AC829" s="101">
        <v>1.5317230991733766E-2</v>
      </c>
    </row>
    <row r="830" spans="25:29" x14ac:dyDescent="0.2">
      <c r="Y830" s="105" t="str">
        <f t="shared" si="46"/>
        <v>1w</v>
      </c>
      <c r="Z830" s="93">
        <f>_xll.qlCalendarAdvance(Calendar,Z829,Y830,"f",FALSE)</f>
        <v>44936</v>
      </c>
      <c r="AA830" s="117">
        <f>_xll.qlCalendarAdvance(Calendar,Z830,NDays&amp;"D")</f>
        <v>44938</v>
      </c>
      <c r="AB830" s="92">
        <v>1.5693114196694509E-2</v>
      </c>
      <c r="AC830" s="101">
        <v>1.534111252696313E-2</v>
      </c>
    </row>
    <row r="831" spans="25:29" x14ac:dyDescent="0.2">
      <c r="Y831" s="105" t="str">
        <f t="shared" si="46"/>
        <v>1w</v>
      </c>
      <c r="Z831" s="93">
        <f>_xll.qlCalendarAdvance(Calendar,Z830,Y831,"f",FALSE)</f>
        <v>44943</v>
      </c>
      <c r="AA831" s="117">
        <f>_xll.qlCalendarAdvance(Calendar,Z831,NDays&amp;"D")</f>
        <v>44945</v>
      </c>
      <c r="AB831" s="92">
        <v>1.571501057574123E-2</v>
      </c>
      <c r="AC831" s="101">
        <v>1.5364861361941706E-2</v>
      </c>
    </row>
    <row r="832" spans="25:29" x14ac:dyDescent="0.2">
      <c r="Y832" s="105" t="str">
        <f t="shared" si="46"/>
        <v>1w</v>
      </c>
      <c r="Z832" s="93">
        <f>_xll.qlCalendarAdvance(Calendar,Z831,Y832,"f",FALSE)</f>
        <v>44950</v>
      </c>
      <c r="AA832" s="117">
        <f>_xll.qlCalendarAdvance(Calendar,Z832,NDays&amp;"D")</f>
        <v>44952</v>
      </c>
      <c r="AB832" s="92">
        <v>1.5736695626470894E-2</v>
      </c>
      <c r="AC832" s="101">
        <v>1.5388477485558383E-2</v>
      </c>
    </row>
    <row r="833" spans="25:29" x14ac:dyDescent="0.2">
      <c r="Y833" s="105" t="str">
        <f t="shared" si="46"/>
        <v>1w</v>
      </c>
      <c r="Z833" s="93">
        <f>_xll.qlCalendarAdvance(Calendar,Z832,Y833,"f",FALSE)</f>
        <v>44957</v>
      </c>
      <c r="AA833" s="117">
        <f>_xll.qlCalendarAdvance(Calendar,Z833,NDays&amp;"D")</f>
        <v>44959</v>
      </c>
      <c r="AB833" s="92">
        <v>1.5758160573004918E-2</v>
      </c>
      <c r="AC833" s="101">
        <v>1.5411960886382303E-2</v>
      </c>
    </row>
    <row r="834" spans="25:29" x14ac:dyDescent="0.2">
      <c r="Y834" s="105" t="str">
        <f t="shared" si="46"/>
        <v>1w</v>
      </c>
      <c r="Z834" s="93">
        <f>_xll.qlCalendarAdvance(Calendar,Z833,Y834,"f",FALSE)</f>
        <v>44964</v>
      </c>
      <c r="AA834" s="117">
        <f>_xll.qlCalendarAdvance(Calendar,Z834,NDays&amp;"D")</f>
        <v>44966</v>
      </c>
      <c r="AB834" s="92">
        <v>1.5779396562458466E-2</v>
      </c>
      <c r="AC834" s="101">
        <v>1.5435311552982611E-2</v>
      </c>
    </row>
    <row r="835" spans="25:29" x14ac:dyDescent="0.2">
      <c r="Y835" s="105" t="str">
        <f t="shared" si="46"/>
        <v>1w</v>
      </c>
      <c r="Z835" s="93">
        <f>_xll.qlCalendarAdvance(Calendar,Z834,Y835,"f",FALSE)</f>
        <v>44971</v>
      </c>
      <c r="AA835" s="117">
        <f>_xll.qlCalendarAdvance(Calendar,Z835,NDays&amp;"D")</f>
        <v>44973</v>
      </c>
      <c r="AB835" s="92">
        <v>1.580039466494752E-2</v>
      </c>
      <c r="AC835" s="101">
        <v>1.5458529474008387E-2</v>
      </c>
    </row>
    <row r="836" spans="25:29" x14ac:dyDescent="0.2">
      <c r="Y836" s="105" t="str">
        <f t="shared" si="46"/>
        <v>1w</v>
      </c>
      <c r="Z836" s="93">
        <f>_xll.qlCalendarAdvance(Calendar,Z835,Y836,"f",FALSE)</f>
        <v>44978</v>
      </c>
      <c r="AA836" s="117">
        <f>_xll.qlCalendarAdvance(Calendar,Z836,NDays&amp;"D")</f>
        <v>44980</v>
      </c>
      <c r="AB836" s="92">
        <v>1.5821145873591978E-2</v>
      </c>
      <c r="AC836" s="101">
        <v>1.5481614638028773E-2</v>
      </c>
    </row>
    <row r="837" spans="25:29" x14ac:dyDescent="0.2">
      <c r="Y837" s="105" t="str">
        <f t="shared" si="46"/>
        <v>1w</v>
      </c>
      <c r="Z837" s="93">
        <f>_xll.qlCalendarAdvance(Calendar,Z836,Y837,"f",FALSE)</f>
        <v>44985</v>
      </c>
      <c r="AA837" s="117">
        <f>_xll.qlCalendarAdvance(Calendar,Z837,NDays&amp;"D")</f>
        <v>44987</v>
      </c>
      <c r="AB837" s="92">
        <v>1.5850204312019393E-2</v>
      </c>
      <c r="AC837" s="101">
        <v>1.5504567033692851E-2</v>
      </c>
    </row>
    <row r="838" spans="25:29" x14ac:dyDescent="0.2">
      <c r="Y838" s="105" t="str">
        <f t="shared" si="46"/>
        <v>1w</v>
      </c>
      <c r="Z838" s="93">
        <f>_xll.qlCalendarAdvance(Calendar,Z837,Y838,"f",FALSE)</f>
        <v>44992</v>
      </c>
      <c r="AA838" s="117">
        <f>_xll.qlCalendarAdvance(Calendar,Z838,NDays&amp;"D")</f>
        <v>44994</v>
      </c>
      <c r="AB838" s="92">
        <v>1.5870322397638744E-2</v>
      </c>
      <c r="AC838" s="101">
        <v>1.5527386649649699E-2</v>
      </c>
    </row>
    <row r="839" spans="25:29" x14ac:dyDescent="0.2">
      <c r="Y839" s="105" t="str">
        <f t="shared" si="46"/>
        <v>1w</v>
      </c>
      <c r="Z839" s="93">
        <f>_xll.qlCalendarAdvance(Calendar,Z838,Y839,"f",FALSE)</f>
        <v>44999</v>
      </c>
      <c r="AA839" s="117">
        <f>_xll.qlCalendarAdvance(Calendar,Z839,NDays&amp;"D")</f>
        <v>45001</v>
      </c>
      <c r="AB839" s="92">
        <v>1.5890163370184097E-2</v>
      </c>
      <c r="AC839" s="101">
        <v>1.5550073474548398E-2</v>
      </c>
    </row>
    <row r="840" spans="25:29" x14ac:dyDescent="0.2">
      <c r="Y840" s="105" t="str">
        <f t="shared" si="46"/>
        <v>1w</v>
      </c>
      <c r="Z840" s="93">
        <f>_xll.qlCalendarAdvance(Calendar,Z839,Y840,"f",FALSE)</f>
        <v>45006</v>
      </c>
      <c r="AA840" s="117">
        <f>_xll.qlCalendarAdvance(Calendar,Z840,NDays&amp;"D")</f>
        <v>45008</v>
      </c>
      <c r="AB840" s="92">
        <v>1.5909718109131773E-2</v>
      </c>
      <c r="AC840" s="101">
        <v>1.5572627496958091E-2</v>
      </c>
    </row>
    <row r="841" spans="25:29" x14ac:dyDescent="0.2">
      <c r="Y841" s="105" t="str">
        <f t="shared" si="46"/>
        <v>1w</v>
      </c>
      <c r="Z841" s="93">
        <f>_xll.qlCalendarAdvance(Calendar,Z840,Y841,"f",FALSE)</f>
        <v>45013</v>
      </c>
      <c r="AA841" s="117">
        <f>_xll.qlCalendarAdvance(Calendar,Z841,NDays&amp;"D")</f>
        <v>45015</v>
      </c>
      <c r="AB841" s="92">
        <v>1.5924124753246442E-2</v>
      </c>
      <c r="AC841" s="101">
        <v>1.559504870528805E-2</v>
      </c>
    </row>
    <row r="842" spans="25:29" x14ac:dyDescent="0.2">
      <c r="Y842" s="105" t="str">
        <f t="shared" si="46"/>
        <v>1w</v>
      </c>
      <c r="Z842" s="93">
        <f>_xll.qlCalendarAdvance(Calendar,Z841,Y842,"f",FALSE)</f>
        <v>45020</v>
      </c>
      <c r="AA842" s="117">
        <f>_xll.qlCalendarAdvance(Calendar,Z842,NDays&amp;"D")</f>
        <v>45022</v>
      </c>
      <c r="AB842" s="92">
        <v>1.5943152504310831E-2</v>
      </c>
      <c r="AC842" s="101">
        <v>1.5625034255091208E-2</v>
      </c>
    </row>
    <row r="843" spans="25:29" x14ac:dyDescent="0.2">
      <c r="Y843" s="105" t="str">
        <f t="shared" si="46"/>
        <v>1w</v>
      </c>
      <c r="Z843" s="93">
        <f>_xll.qlCalendarAdvance(Calendar,Z842,Y843,"f",FALSE)</f>
        <v>45027</v>
      </c>
      <c r="AA843" s="117">
        <f>_xll.qlCalendarAdvance(Calendar,Z843,NDays&amp;"D")</f>
        <v>45029</v>
      </c>
      <c r="AB843" s="92">
        <v>1.5961867371710452E-2</v>
      </c>
      <c r="AC843" s="101">
        <v>1.5639492635104446E-2</v>
      </c>
    </row>
    <row r="844" spans="25:29" x14ac:dyDescent="0.2">
      <c r="Y844" s="105" t="str">
        <f t="shared" si="46"/>
        <v>1w</v>
      </c>
      <c r="Z844" s="93">
        <f>_xll.qlCalendarAdvance(Calendar,Z843,Y844,"f",FALSE)</f>
        <v>45034</v>
      </c>
      <c r="AA844" s="117">
        <f>_xll.qlCalendarAdvance(Calendar,Z844,NDays&amp;"D")</f>
        <v>45036</v>
      </c>
      <c r="AB844" s="92">
        <v>1.5980259815223573E-2</v>
      </c>
      <c r="AC844" s="101">
        <v>1.5661515333649234E-2</v>
      </c>
    </row>
    <row r="845" spans="25:29" x14ac:dyDescent="0.2">
      <c r="Y845" s="105" t="str">
        <f t="shared" si="46"/>
        <v>1w</v>
      </c>
      <c r="Z845" s="93">
        <f>_xll.qlCalendarAdvance(Calendar,Z844,Y845,"f",FALSE)</f>
        <v>45041</v>
      </c>
      <c r="AA845" s="117">
        <f>_xll.qlCalendarAdvance(Calendar,Z845,NDays&amp;"D")</f>
        <v>45043</v>
      </c>
      <c r="AB845" s="92">
        <v>1.5998320218552058E-2</v>
      </c>
      <c r="AC845" s="101">
        <v>1.5683405172710607E-2</v>
      </c>
    </row>
    <row r="846" spans="25:29" x14ac:dyDescent="0.2">
      <c r="Y846" s="105" t="str">
        <f t="shared" si="46"/>
        <v>1w</v>
      </c>
      <c r="Z846" s="93">
        <f>_xll.qlCalendarAdvance(Calendar,Z845,Y846,"f",FALSE)</f>
        <v>45048</v>
      </c>
      <c r="AA846" s="117">
        <f>_xll.qlCalendarAdvance(Calendar,Z846,NDays&amp;"D")</f>
        <v>45050</v>
      </c>
      <c r="AB846" s="92">
        <v>1.6020515451384974E-2</v>
      </c>
      <c r="AC846" s="101">
        <v>1.5705162141017581E-2</v>
      </c>
    </row>
    <row r="847" spans="25:29" x14ac:dyDescent="0.2">
      <c r="Y847" s="105" t="str">
        <f t="shared" si="46"/>
        <v>1w</v>
      </c>
      <c r="Z847" s="93">
        <f>_xll.qlCalendarAdvance(Calendar,Z846,Y847,"f",FALSE)</f>
        <v>45055</v>
      </c>
      <c r="AA847" s="117">
        <f>_xll.qlCalendarAdvance(Calendar,Z847,NDays&amp;"D")</f>
        <v>45057</v>
      </c>
      <c r="AB847" s="92">
        <v>1.6037804889917438E-2</v>
      </c>
      <c r="AC847" s="101">
        <v>1.5726786227219236E-2</v>
      </c>
    </row>
    <row r="848" spans="25:29" x14ac:dyDescent="0.2">
      <c r="Y848" s="105" t="str">
        <f t="shared" si="46"/>
        <v>1w</v>
      </c>
      <c r="Z848" s="93">
        <f>_xll.qlCalendarAdvance(Calendar,Z847,Y848,"f",FALSE)</f>
        <v>45062</v>
      </c>
      <c r="AA848" s="117">
        <f>_xll.qlCalendarAdvance(Calendar,Z848,NDays&amp;"D")</f>
        <v>45064</v>
      </c>
      <c r="AB848" s="92">
        <v>1.6054732537416645E-2</v>
      </c>
      <c r="AC848" s="101">
        <v>1.5748251525797841E-2</v>
      </c>
    </row>
    <row r="849" spans="25:29" x14ac:dyDescent="0.2">
      <c r="Y849" s="105" t="str">
        <f t="shared" si="46"/>
        <v>1w</v>
      </c>
      <c r="Z849" s="93">
        <f>_xll.qlCalendarAdvance(Calendar,Z848,Y849,"f",FALSE)</f>
        <v>45069</v>
      </c>
      <c r="AA849" s="117">
        <f>_xll.qlCalendarAdvance(Calendar,Z849,NDays&amp;"D")</f>
        <v>45071</v>
      </c>
      <c r="AB849" s="92">
        <v>1.6071292093007925E-2</v>
      </c>
      <c r="AC849" s="101">
        <v>1.5769403326268971E-2</v>
      </c>
    </row>
    <row r="850" spans="25:29" x14ac:dyDescent="0.2">
      <c r="Y850" s="105" t="str">
        <f t="shared" si="46"/>
        <v>1w</v>
      </c>
      <c r="Z850" s="93">
        <f>_xll.qlCalendarAdvance(Calendar,Z849,Y850,"f",FALSE)</f>
        <v>45076</v>
      </c>
      <c r="AA850" s="117">
        <f>_xll.qlCalendarAdvance(Calendar,Z850,NDays&amp;"D")</f>
        <v>45078</v>
      </c>
      <c r="AB850" s="92">
        <v>1.6083318758826473E-2</v>
      </c>
      <c r="AC850" s="101">
        <v>1.5790213839101952E-2</v>
      </c>
    </row>
    <row r="851" spans="25:29" x14ac:dyDescent="0.2">
      <c r="Y851" s="105" t="str">
        <f t="shared" si="46"/>
        <v>1w</v>
      </c>
      <c r="Z851" s="93">
        <f>_xll.qlCalendarAdvance(Calendar,Z850,Y851,"f",FALSE)</f>
        <v>45083</v>
      </c>
      <c r="AA851" s="117">
        <f>_xll.qlCalendarAdvance(Calendar,Z851,NDays&amp;"D")</f>
        <v>45085</v>
      </c>
      <c r="AB851" s="92">
        <v>1.6099215346861456E-2</v>
      </c>
      <c r="AC851" s="101">
        <v>1.5810681085159928E-2</v>
      </c>
    </row>
    <row r="852" spans="25:29" x14ac:dyDescent="0.2">
      <c r="Y852" s="105" t="str">
        <f t="shared" si="46"/>
        <v>1w</v>
      </c>
      <c r="Z852" s="93">
        <f>_xll.qlCalendarAdvance(Calendar,Z851,Y852,"f",FALSE)</f>
        <v>45090</v>
      </c>
      <c r="AA852" s="117">
        <f>_xll.qlCalendarAdvance(Calendar,Z852,NDays&amp;"D")</f>
        <v>45092</v>
      </c>
      <c r="AB852" s="92">
        <v>1.6114738064210776E-2</v>
      </c>
      <c r="AC852" s="101">
        <v>1.5830803085306044E-2</v>
      </c>
    </row>
    <row r="853" spans="25:29" x14ac:dyDescent="0.2">
      <c r="Y853" s="105" t="str">
        <f t="shared" ref="Y853:Y916" si="47">Y852</f>
        <v>1w</v>
      </c>
      <c r="Z853" s="93">
        <f>_xll.qlCalendarAdvance(Calendar,Z852,Y853,"f",FALSE)</f>
        <v>45097</v>
      </c>
      <c r="AA853" s="117">
        <f>_xll.qlCalendarAdvance(Calendar,Z853,NDays&amp;"D")</f>
        <v>45099</v>
      </c>
      <c r="AB853" s="92">
        <v>1.6129884906839455E-2</v>
      </c>
      <c r="AC853" s="101">
        <v>1.5850577860243575E-2</v>
      </c>
    </row>
    <row r="854" spans="25:29" x14ac:dyDescent="0.2">
      <c r="Y854" s="105" t="str">
        <f t="shared" si="47"/>
        <v>1w</v>
      </c>
      <c r="Z854" s="93">
        <f>_xll.qlCalendarAdvance(Calendar,Z853,Y854,"f",FALSE)</f>
        <v>45104</v>
      </c>
      <c r="AA854" s="117">
        <f>_xll.qlCalendarAdvance(Calendar,Z854,NDays&amp;"D")</f>
        <v>45106</v>
      </c>
      <c r="AB854" s="92">
        <v>1.6144653870867155E-2</v>
      </c>
      <c r="AC854" s="101">
        <v>1.5870003430835666E-2</v>
      </c>
    </row>
    <row r="855" spans="25:29" x14ac:dyDescent="0.2">
      <c r="Y855" s="105" t="str">
        <f t="shared" si="47"/>
        <v>1w</v>
      </c>
      <c r="Z855" s="93">
        <f>_xll.qlCalendarAdvance(Calendar,Z854,Y855,"f",FALSE)</f>
        <v>45111</v>
      </c>
      <c r="AA855" s="117">
        <f>_xll.qlCalendarAdvance(Calendar,Z855,NDays&amp;"D")</f>
        <v>45113</v>
      </c>
      <c r="AB855" s="92">
        <v>1.6162802151524124E-2</v>
      </c>
      <c r="AC855" s="101">
        <v>1.5889077818025399E-2</v>
      </c>
    </row>
    <row r="856" spans="25:29" x14ac:dyDescent="0.2">
      <c r="Y856" s="105" t="str">
        <f t="shared" si="47"/>
        <v>1w</v>
      </c>
      <c r="Z856" s="93">
        <f>_xll.qlCalendarAdvance(Calendar,Z855,Y856,"f",FALSE)</f>
        <v>45118</v>
      </c>
      <c r="AA856" s="117">
        <f>_xll.qlCalendarAdvance(Calendar,Z856,NDays&amp;"D")</f>
        <v>45120</v>
      </c>
      <c r="AB856" s="92">
        <v>1.6176727241687661E-2</v>
      </c>
      <c r="AC856" s="101">
        <v>1.5907799042516046E-2</v>
      </c>
    </row>
    <row r="857" spans="25:29" x14ac:dyDescent="0.2">
      <c r="Y857" s="105" t="str">
        <f t="shared" si="47"/>
        <v>1w</v>
      </c>
      <c r="Z857" s="93">
        <f>_xll.qlCalendarAdvance(Calendar,Z856,Y857,"f",FALSE)</f>
        <v>45125</v>
      </c>
      <c r="AA857" s="117">
        <f>_xll.qlCalendarAdvance(Calendar,Z857,NDays&amp;"D")</f>
        <v>45127</v>
      </c>
      <c r="AB857" s="92">
        <v>1.6190267963281539E-2</v>
      </c>
      <c r="AC857" s="101">
        <v>1.5926165125250691E-2</v>
      </c>
    </row>
    <row r="858" spans="25:29" x14ac:dyDescent="0.2">
      <c r="Y858" s="105" t="str">
        <f t="shared" si="47"/>
        <v>1w</v>
      </c>
      <c r="Z858" s="93">
        <f>_xll.qlCalendarAdvance(Calendar,Z857,Y858,"f",FALSE)</f>
        <v>45132</v>
      </c>
      <c r="AA858" s="117">
        <f>_xll.qlCalendarAdvance(Calendar,Z858,NDays&amp;"D")</f>
        <v>45134</v>
      </c>
      <c r="AB858" s="92">
        <v>1.6203422312709756E-2</v>
      </c>
      <c r="AC858" s="101">
        <v>1.5944174087012541E-2</v>
      </c>
    </row>
    <row r="859" spans="25:29" x14ac:dyDescent="0.2">
      <c r="Y859" s="105" t="str">
        <f t="shared" si="47"/>
        <v>1w</v>
      </c>
      <c r="Z859" s="93">
        <f>_xll.qlCalendarAdvance(Calendar,Z858,Y859,"f",FALSE)</f>
        <v>45139</v>
      </c>
      <c r="AA859" s="117">
        <f>_xll.qlCalendarAdvance(Calendar,Z859,NDays&amp;"D")</f>
        <v>45141</v>
      </c>
      <c r="AB859" s="92">
        <v>1.6216188286549513E-2</v>
      </c>
      <c r="AC859" s="101">
        <v>1.5961823948584808E-2</v>
      </c>
    </row>
    <row r="860" spans="25:29" x14ac:dyDescent="0.2">
      <c r="Y860" s="105" t="str">
        <f t="shared" si="47"/>
        <v>1w</v>
      </c>
      <c r="Z860" s="93">
        <f>_xll.qlCalendarAdvance(Calendar,Z859,Y860,"f",FALSE)</f>
        <v>45146</v>
      </c>
      <c r="AA860" s="117">
        <f>_xll.qlCalendarAdvance(Calendar,Z860,NDays&amp;"D")</f>
        <v>45148</v>
      </c>
      <c r="AB860" s="92">
        <v>1.6228563881558931E-2</v>
      </c>
      <c r="AC860" s="101">
        <v>1.59791127307507E-2</v>
      </c>
    </row>
    <row r="861" spans="25:29" x14ac:dyDescent="0.2">
      <c r="Y861" s="105" t="str">
        <f t="shared" si="47"/>
        <v>1w</v>
      </c>
      <c r="Z861" s="93">
        <f>_xll.qlCalendarAdvance(Calendar,Z860,Y861,"f",FALSE)</f>
        <v>45153</v>
      </c>
      <c r="AA861" s="117">
        <f>_xll.qlCalendarAdvance(Calendar,Z861,NDays&amp;"D")</f>
        <v>45155</v>
      </c>
      <c r="AB861" s="92">
        <v>1.624054709467793E-2</v>
      </c>
      <c r="AC861" s="101">
        <v>1.5996038454533235E-2</v>
      </c>
    </row>
    <row r="862" spans="25:29" x14ac:dyDescent="0.2">
      <c r="Y862" s="105" t="str">
        <f t="shared" si="47"/>
        <v>1w</v>
      </c>
      <c r="Z862" s="93">
        <f>_xll.qlCalendarAdvance(Calendar,Z861,Y862,"f",FALSE)</f>
        <v>45160</v>
      </c>
      <c r="AA862" s="117">
        <f>_xll.qlCalendarAdvance(Calendar,Z862,NDays&amp;"D")</f>
        <v>45162</v>
      </c>
      <c r="AB862" s="92">
        <v>1.625213592303423E-2</v>
      </c>
      <c r="AC862" s="101">
        <v>1.6012599140635686E-2</v>
      </c>
    </row>
    <row r="863" spans="25:29" x14ac:dyDescent="0.2">
      <c r="Y863" s="105" t="str">
        <f t="shared" si="47"/>
        <v>1w</v>
      </c>
      <c r="Z863" s="93">
        <f>_xll.qlCalendarAdvance(Calendar,Z862,Y863,"f",FALSE)</f>
        <v>45167</v>
      </c>
      <c r="AA863" s="117">
        <f>_xll.qlCalendarAdvance(Calendar,Z863,NDays&amp;"D")</f>
        <v>45169</v>
      </c>
      <c r="AB863" s="92">
        <v>1.625920435970294E-2</v>
      </c>
      <c r="AC863" s="101">
        <v>1.60287928099212E-2</v>
      </c>
    </row>
    <row r="864" spans="25:29" x14ac:dyDescent="0.2">
      <c r="Y864" s="105" t="str">
        <f t="shared" si="47"/>
        <v>1w</v>
      </c>
      <c r="Z864" s="93">
        <f>_xll.qlCalendarAdvance(Calendar,Z863,Y864,"f",FALSE)</f>
        <v>45174</v>
      </c>
      <c r="AA864" s="117">
        <f>_xll.qlCalendarAdvance(Calendar,Z864,NDays&amp;"D")</f>
        <v>45176</v>
      </c>
      <c r="AB864" s="92">
        <v>1.627011297795428E-2</v>
      </c>
      <c r="AC864" s="101">
        <v>1.6044617483252921E-2</v>
      </c>
    </row>
    <row r="865" spans="25:29" x14ac:dyDescent="0.2">
      <c r="Y865" s="105" t="str">
        <f t="shared" si="47"/>
        <v>1w</v>
      </c>
      <c r="Z865" s="93">
        <f>_xll.qlCalendarAdvance(Calendar,Z864,Y865,"f",FALSE)</f>
        <v>45181</v>
      </c>
      <c r="AA865" s="117">
        <f>_xll.qlCalendarAdvance(Calendar,Z865,NDays&amp;"D")</f>
        <v>45183</v>
      </c>
      <c r="AB865" s="92">
        <v>1.6280621846685103E-2</v>
      </c>
      <c r="AC865" s="101">
        <v>1.606007118141406E-2</v>
      </c>
    </row>
    <row r="866" spans="25:29" x14ac:dyDescent="0.2">
      <c r="Y866" s="105" t="str">
        <f t="shared" si="47"/>
        <v>1w</v>
      </c>
      <c r="Z866" s="93">
        <f>_xll.qlCalendarAdvance(Calendar,Z865,Y866,"f",FALSE)</f>
        <v>45188</v>
      </c>
      <c r="AA866" s="117">
        <f>_xll.qlCalendarAdvance(Calendar,Z866,NDays&amp;"D")</f>
        <v>45190</v>
      </c>
      <c r="AB866" s="92">
        <v>1.6290728964249088E-2</v>
      </c>
      <c r="AC866" s="101">
        <v>1.6075151925187825E-2</v>
      </c>
    </row>
    <row r="867" spans="25:29" x14ac:dyDescent="0.2">
      <c r="Y867" s="105" t="str">
        <f t="shared" si="47"/>
        <v>1w</v>
      </c>
      <c r="Z867" s="93">
        <f>_xll.qlCalendarAdvance(Calendar,Z866,Y867,"f",FALSE)</f>
        <v>45195</v>
      </c>
      <c r="AA867" s="117">
        <f>_xll.qlCalendarAdvance(Calendar,Z867,NDays&amp;"D")</f>
        <v>45197</v>
      </c>
      <c r="AB867" s="92">
        <v>1.6300432329202384E-2</v>
      </c>
      <c r="AC867" s="101">
        <v>1.6089857735597235E-2</v>
      </c>
    </row>
    <row r="868" spans="25:29" x14ac:dyDescent="0.2">
      <c r="Y868" s="105" t="str">
        <f t="shared" si="47"/>
        <v>1w</v>
      </c>
      <c r="Z868" s="93">
        <f>_xll.qlCalendarAdvance(Calendar,Z867,Y868,"f",FALSE)</f>
        <v>45202</v>
      </c>
      <c r="AA868" s="117">
        <f>_xll.qlCalendarAdvance(Calendar,Z868,NDays&amp;"D")</f>
        <v>45204</v>
      </c>
      <c r="AB868" s="92">
        <v>1.6310620334883862E-2</v>
      </c>
      <c r="AC868" s="101">
        <v>1.6104186633345563E-2</v>
      </c>
    </row>
    <row r="869" spans="25:29" x14ac:dyDescent="0.2">
      <c r="Y869" s="105" t="str">
        <f t="shared" si="47"/>
        <v>1w</v>
      </c>
      <c r="Z869" s="93">
        <f>_xll.qlCalendarAdvance(Calendar,Z868,Y869,"f",FALSE)</f>
        <v>45209</v>
      </c>
      <c r="AA869" s="117">
        <f>_xll.qlCalendarAdvance(Calendar,Z869,NDays&amp;"D")</f>
        <v>45211</v>
      </c>
      <c r="AB869" s="92">
        <v>1.6319480769213707E-2</v>
      </c>
      <c r="AC869" s="101">
        <v>1.6118136639216019E-2</v>
      </c>
    </row>
    <row r="870" spans="25:29" x14ac:dyDescent="0.2">
      <c r="Y870" s="105" t="str">
        <f t="shared" si="47"/>
        <v>1w</v>
      </c>
      <c r="Z870" s="93">
        <f>_xll.qlCalendarAdvance(Calendar,Z869,Y870,"f",FALSE)</f>
        <v>45216</v>
      </c>
      <c r="AA870" s="117">
        <f>_xll.qlCalendarAdvance(Calendar,Z870,NDays&amp;"D")</f>
        <v>45218</v>
      </c>
      <c r="AB870" s="92">
        <v>1.632793128666497E-2</v>
      </c>
      <c r="AC870" s="101">
        <v>1.6131705774231619E-2</v>
      </c>
    </row>
    <row r="871" spans="25:29" x14ac:dyDescent="0.2">
      <c r="Y871" s="105" t="str">
        <f t="shared" si="47"/>
        <v>1w</v>
      </c>
      <c r="Z871" s="93">
        <f>_xll.qlCalendarAdvance(Calendar,Z870,Y871,"f",FALSE)</f>
        <v>45223</v>
      </c>
      <c r="AA871" s="117">
        <f>_xll.qlCalendarAdvance(Calendar,Z871,NDays&amp;"D")</f>
        <v>45225</v>
      </c>
      <c r="AB871" s="92">
        <v>1.6335969886537276E-2</v>
      </c>
      <c r="AC871" s="101">
        <v>1.6144892059175575E-2</v>
      </c>
    </row>
    <row r="872" spans="25:29" x14ac:dyDescent="0.2">
      <c r="Y872" s="105" t="str">
        <f t="shared" si="47"/>
        <v>1w</v>
      </c>
      <c r="Z872" s="93">
        <f>_xll.qlCalendarAdvance(Calendar,Z871,Y872,"f",FALSE)</f>
        <v>45230</v>
      </c>
      <c r="AA872" s="117">
        <f>_xll.qlCalendarAdvance(Calendar,Z872,NDays&amp;"D")</f>
        <v>45232</v>
      </c>
      <c r="AB872" s="92">
        <v>1.634282282887857E-2</v>
      </c>
      <c r="AC872" s="101">
        <v>1.6157693514751159E-2</v>
      </c>
    </row>
    <row r="873" spans="25:29" x14ac:dyDescent="0.2">
      <c r="Y873" s="105" t="str">
        <f t="shared" si="47"/>
        <v>1w</v>
      </c>
      <c r="Z873" s="93">
        <f>_xll.qlCalendarAdvance(Calendar,Z872,Y873,"f",FALSE)</f>
        <v>45237</v>
      </c>
      <c r="AA873" s="117">
        <f>_xll.qlCalendarAdvance(Calendar,Z873,NDays&amp;"D")</f>
        <v>45239</v>
      </c>
      <c r="AB873" s="92">
        <v>1.6350061659636685E-2</v>
      </c>
      <c r="AC873" s="101">
        <v>1.6170108161981389E-2</v>
      </c>
    </row>
    <row r="874" spans="25:29" x14ac:dyDescent="0.2">
      <c r="Y874" s="105" t="str">
        <f t="shared" si="47"/>
        <v>1w</v>
      </c>
      <c r="Z874" s="93">
        <f>_xll.qlCalendarAdvance(Calendar,Z873,Y874,"f",FALSE)</f>
        <v>45244</v>
      </c>
      <c r="AA874" s="117">
        <f>_xll.qlCalendarAdvance(Calendar,Z874,NDays&amp;"D")</f>
        <v>45246</v>
      </c>
      <c r="AB874" s="92">
        <v>1.6356882836775416E-2</v>
      </c>
      <c r="AC874" s="101">
        <v>1.6182134021489603E-2</v>
      </c>
    </row>
    <row r="875" spans="25:29" x14ac:dyDescent="0.2">
      <c r="Y875" s="105" t="str">
        <f t="shared" si="47"/>
        <v>1w</v>
      </c>
      <c r="Z875" s="93">
        <f>_xll.qlCalendarAdvance(Calendar,Z874,Y875,"f",FALSE)</f>
        <v>45251</v>
      </c>
      <c r="AA875" s="117">
        <f>_xll.qlCalendarAdvance(Calendar,Z875,NDays&amp;"D")</f>
        <v>45253</v>
      </c>
      <c r="AB875" s="92">
        <v>1.6363293467748292E-2</v>
      </c>
      <c r="AC875" s="101">
        <v>1.6193769114378753E-2</v>
      </c>
    </row>
    <row r="876" spans="25:29" x14ac:dyDescent="0.2">
      <c r="Y876" s="105" t="str">
        <f t="shared" si="47"/>
        <v>1w</v>
      </c>
      <c r="Z876" s="93">
        <f>_xll.qlCalendarAdvance(Calendar,Z875,Y876,"f",FALSE)</f>
        <v>45258</v>
      </c>
      <c r="AA876" s="117">
        <f>_xll.qlCalendarAdvance(Calendar,Z876,NDays&amp;"D")</f>
        <v>45260</v>
      </c>
      <c r="AB876" s="92">
        <v>1.6369977384181871E-2</v>
      </c>
      <c r="AC876" s="101">
        <v>1.6205011461352115E-2</v>
      </c>
    </row>
    <row r="877" spans="25:29" x14ac:dyDescent="0.2">
      <c r="Y877" s="105" t="str">
        <f t="shared" si="47"/>
        <v>1w</v>
      </c>
      <c r="Z877" s="93">
        <f>_xll.qlCalendarAdvance(Calendar,Z876,Y877,"f",FALSE)</f>
        <v>45265</v>
      </c>
      <c r="AA877" s="117">
        <f>_xll.qlCalendarAdvance(Calendar,Z877,NDays&amp;"D")</f>
        <v>45267</v>
      </c>
      <c r="AB877" s="92">
        <v>1.6375617611893635E-2</v>
      </c>
      <c r="AC877" s="101">
        <v>1.6215859083272832E-2</v>
      </c>
    </row>
    <row r="878" spans="25:29" x14ac:dyDescent="0.2">
      <c r="Y878" s="105" t="str">
        <f t="shared" si="47"/>
        <v>1w</v>
      </c>
      <c r="Z878" s="93">
        <f>_xll.qlCalendarAdvance(Calendar,Z877,Y878,"f",FALSE)</f>
        <v>45272</v>
      </c>
      <c r="AA878" s="117">
        <f>_xll.qlCalendarAdvance(Calendar,Z878,NDays&amp;"D")</f>
        <v>45274</v>
      </c>
      <c r="AB878" s="92">
        <v>1.6380923664325163E-2</v>
      </c>
      <c r="AC878" s="101">
        <v>1.6226310001083988E-2</v>
      </c>
    </row>
    <row r="879" spans="25:29" x14ac:dyDescent="0.2">
      <c r="Y879" s="105" t="str">
        <f t="shared" si="47"/>
        <v>1w</v>
      </c>
      <c r="Z879" s="93">
        <f>_xll.qlCalendarAdvance(Calendar,Z878,Y879,"f",FALSE)</f>
        <v>45279</v>
      </c>
      <c r="AA879" s="117">
        <f>_xll.qlCalendarAdvance(Calendar,Z879,NDays&amp;"D")</f>
        <v>45281</v>
      </c>
      <c r="AB879" s="92">
        <v>1.638592079262146E-2</v>
      </c>
      <c r="AC879" s="101">
        <v>1.6236362235408919E-2</v>
      </c>
    </row>
    <row r="880" spans="25:29" x14ac:dyDescent="0.2">
      <c r="Y880" s="105" t="str">
        <f t="shared" si="47"/>
        <v>1w</v>
      </c>
      <c r="Z880" s="93">
        <f>_xll.qlCalendarAdvance(Calendar,Z879,Y880,"f",FALSE)</f>
        <v>45287</v>
      </c>
      <c r="AA880" s="117">
        <f>_xll.qlCalendarAdvance(Calendar,Z880,NDays&amp;"D")</f>
        <v>45289</v>
      </c>
      <c r="AB880" s="92">
        <v>1.6390689415897896E-2</v>
      </c>
      <c r="AC880" s="101">
        <v>1.6250458382978117E-2</v>
      </c>
    </row>
    <row r="881" spans="25:29" x14ac:dyDescent="0.2">
      <c r="Y881" s="105" t="str">
        <f t="shared" si="47"/>
        <v>1w</v>
      </c>
      <c r="Z881" s="93">
        <f>_xll.qlCalendarAdvance(Calendar,Z880,Y881,"f",FALSE)</f>
        <v>45294</v>
      </c>
      <c r="AA881" s="117">
        <f>_xll.qlCalendarAdvance(Calendar,Z881,NDays&amp;"D")</f>
        <v>45296</v>
      </c>
      <c r="AB881" s="92">
        <v>1.6395118392876468E-2</v>
      </c>
      <c r="AC881" s="101">
        <v>1.6258562526081377E-2</v>
      </c>
    </row>
    <row r="882" spans="25:29" x14ac:dyDescent="0.2">
      <c r="Y882" s="105" t="str">
        <f t="shared" si="47"/>
        <v>1w</v>
      </c>
      <c r="Z882" s="93">
        <f>_xll.qlCalendarAdvance(Calendar,Z881,Y882,"f",FALSE)</f>
        <v>45301</v>
      </c>
      <c r="AA882" s="117">
        <f>_xll.qlCalendarAdvance(Calendar,Z882,NDays&amp;"D")</f>
        <v>45303</v>
      </c>
      <c r="AB882" s="92">
        <v>1.6399316526777639E-2</v>
      </c>
      <c r="AC882" s="101">
        <v>1.6267291641192116E-2</v>
      </c>
    </row>
    <row r="883" spans="25:29" x14ac:dyDescent="0.2">
      <c r="Y883" s="105" t="str">
        <f t="shared" si="47"/>
        <v>1w</v>
      </c>
      <c r="Z883" s="93">
        <f>_xll.qlCalendarAdvance(Calendar,Z882,Y883,"f",FALSE)</f>
        <v>45308</v>
      </c>
      <c r="AA883" s="117">
        <f>_xll.qlCalendarAdvance(Calendar,Z883,NDays&amp;"D")</f>
        <v>45310</v>
      </c>
      <c r="AB883" s="92">
        <v>1.6403310121822629E-2</v>
      </c>
      <c r="AC883" s="101">
        <v>1.6275613554510571E-2</v>
      </c>
    </row>
    <row r="884" spans="25:29" x14ac:dyDescent="0.2">
      <c r="Y884" s="105" t="str">
        <f t="shared" si="47"/>
        <v>1w</v>
      </c>
      <c r="Z884" s="93">
        <f>_xll.qlCalendarAdvance(Calendar,Z883,Y884,"f",FALSE)</f>
        <v>45315</v>
      </c>
      <c r="AA884" s="117">
        <f>_xll.qlCalendarAdvance(Calendar,Z884,NDays&amp;"D")</f>
        <v>45317</v>
      </c>
      <c r="AB884" s="92">
        <v>1.6407125708277771E-2</v>
      </c>
      <c r="AC884" s="101">
        <v>1.6283526286686723E-2</v>
      </c>
    </row>
    <row r="885" spans="25:29" x14ac:dyDescent="0.2">
      <c r="Y885" s="105" t="str">
        <f t="shared" si="47"/>
        <v>1w</v>
      </c>
      <c r="Z885" s="93">
        <f>_xll.qlCalendarAdvance(Calendar,Z884,Y885,"f",FALSE)</f>
        <v>45322</v>
      </c>
      <c r="AA885" s="117">
        <f>_xll.qlCalendarAdvance(Calendar,Z885,NDays&amp;"D")</f>
        <v>45324</v>
      </c>
      <c r="AB885" s="92">
        <v>1.641079004242817E-2</v>
      </c>
      <c r="AC885" s="101">
        <v>1.6291027858290619E-2</v>
      </c>
    </row>
    <row r="886" spans="25:29" x14ac:dyDescent="0.2">
      <c r="Y886" s="105" t="str">
        <f t="shared" si="47"/>
        <v>1w</v>
      </c>
      <c r="Z886" s="93">
        <f>_xll.qlCalendarAdvance(Calendar,Z885,Y886,"f",FALSE)</f>
        <v>45329</v>
      </c>
      <c r="AA886" s="117">
        <f>_xll.qlCalendarAdvance(Calendar,Z886,NDays&amp;"D")</f>
        <v>45331</v>
      </c>
      <c r="AB886" s="92">
        <v>1.6414330106561431E-2</v>
      </c>
      <c r="AC886" s="101">
        <v>1.6298116289972242E-2</v>
      </c>
    </row>
    <row r="887" spans="25:29" x14ac:dyDescent="0.2">
      <c r="Y887" s="105" t="str">
        <f t="shared" si="47"/>
        <v>1w</v>
      </c>
      <c r="Z887" s="93">
        <f>_xll.qlCalendarAdvance(Calendar,Z886,Y887,"f",FALSE)</f>
        <v>45336</v>
      </c>
      <c r="AA887" s="117">
        <f>_xll.qlCalendarAdvance(Calendar,Z887,NDays&amp;"D")</f>
        <v>45338</v>
      </c>
      <c r="AB887" s="92">
        <v>1.6417773108947483E-2</v>
      </c>
      <c r="AC887" s="101">
        <v>1.6304789602328285E-2</v>
      </c>
    </row>
    <row r="888" spans="25:29" x14ac:dyDescent="0.2">
      <c r="Y888" s="105" t="str">
        <f t="shared" si="47"/>
        <v>1w</v>
      </c>
      <c r="Z888" s="93">
        <f>_xll.qlCalendarAdvance(Calendar,Z887,Y888,"f",FALSE)</f>
        <v>45343</v>
      </c>
      <c r="AA888" s="117">
        <f>_xll.qlCalendarAdvance(Calendar,Z888,NDays&amp;"D")</f>
        <v>45345</v>
      </c>
      <c r="AB888" s="92">
        <v>1.6421146483829332E-2</v>
      </c>
      <c r="AC888" s="101">
        <v>1.631104581606202E-2</v>
      </c>
    </row>
    <row r="889" spans="25:29" x14ac:dyDescent="0.2">
      <c r="Y889" s="105" t="str">
        <f t="shared" si="47"/>
        <v>1w</v>
      </c>
      <c r="Z889" s="93">
        <f>_xll.qlCalendarAdvance(Calendar,Z888,Y889,"f",FALSE)</f>
        <v>45350</v>
      </c>
      <c r="AA889" s="117">
        <f>_xll.qlCalendarAdvance(Calendar,Z889,NDays&amp;"D")</f>
        <v>45352</v>
      </c>
      <c r="AB889" s="92">
        <v>1.64263291307397E-2</v>
      </c>
      <c r="AC889" s="101">
        <v>1.6316882951743494E-2</v>
      </c>
    </row>
    <row r="890" spans="25:29" x14ac:dyDescent="0.2">
      <c r="Y890" s="105" t="str">
        <f t="shared" si="47"/>
        <v>1w</v>
      </c>
      <c r="Z890" s="93">
        <f>_xll.qlCalendarAdvance(Calendar,Z889,Y890,"f",FALSE)</f>
        <v>45357</v>
      </c>
      <c r="AA890" s="117">
        <f>_xll.qlCalendarAdvance(Calendar,Z890,NDays&amp;"D")</f>
        <v>45359</v>
      </c>
      <c r="AB890" s="92">
        <v>1.642968418090085E-2</v>
      </c>
      <c r="AC890" s="101">
        <v>1.6322299030075982E-2</v>
      </c>
    </row>
    <row r="891" spans="25:29" x14ac:dyDescent="0.2">
      <c r="Y891" s="105" t="str">
        <f t="shared" si="47"/>
        <v>1w</v>
      </c>
      <c r="Z891" s="93">
        <f>_xll.qlCalendarAdvance(Calendar,Z890,Y891,"f",FALSE)</f>
        <v>45364</v>
      </c>
      <c r="AA891" s="117">
        <f>_xll.qlCalendarAdvance(Calendar,Z891,NDays&amp;"D")</f>
        <v>45366</v>
      </c>
      <c r="AB891" s="92">
        <v>1.6433058041974615E-2</v>
      </c>
      <c r="AC891" s="101">
        <v>1.6327292071656174E-2</v>
      </c>
    </row>
    <row r="892" spans="25:29" x14ac:dyDescent="0.2">
      <c r="Y892" s="105" t="str">
        <f t="shared" si="47"/>
        <v>1w</v>
      </c>
      <c r="Z892" s="93">
        <f>_xll.qlCalendarAdvance(Calendar,Z891,Y892,"f",FALSE)</f>
        <v>45371</v>
      </c>
      <c r="AA892" s="117">
        <f>_xll.qlCalendarAdvance(Calendar,Z892,NDays&amp;"D")</f>
        <v>45373</v>
      </c>
      <c r="AB892" s="92">
        <v>1.6436478659173834E-2</v>
      </c>
      <c r="AC892" s="101">
        <v>1.63318600971607E-2</v>
      </c>
    </row>
    <row r="893" spans="25:29" x14ac:dyDescent="0.2">
      <c r="Y893" s="105" t="str">
        <f t="shared" si="47"/>
        <v>1w</v>
      </c>
      <c r="Z893" s="93">
        <f>_xll.qlCalendarAdvance(Calendar,Z892,Y893,"f",FALSE)</f>
        <v>45378</v>
      </c>
      <c r="AA893" s="117">
        <f>_xll.qlCalendarAdvance(Calendar,Z893,NDays&amp;"D")</f>
        <v>45384</v>
      </c>
      <c r="AB893" s="92">
        <v>1.6440640901772646E-2</v>
      </c>
      <c r="AC893" s="101">
        <v>1.6336906190090872E-2</v>
      </c>
    </row>
    <row r="894" spans="25:29" x14ac:dyDescent="0.2">
      <c r="Y894" s="105" t="str">
        <f t="shared" si="47"/>
        <v>1w</v>
      </c>
      <c r="Z894" s="93">
        <f>_xll.qlCalendarAdvance(Calendar,Z893,Y894,"f",FALSE)</f>
        <v>45385</v>
      </c>
      <c r="AA894" s="117">
        <f>_xll.qlCalendarAdvance(Calendar,Z894,NDays&amp;"D")</f>
        <v>45387</v>
      </c>
      <c r="AB894" s="92">
        <v>1.6443573054482023E-2</v>
      </c>
      <c r="AC894" s="101">
        <v>1.6339713182542681E-2</v>
      </c>
    </row>
    <row r="895" spans="25:29" x14ac:dyDescent="0.2">
      <c r="Y895" s="105" t="str">
        <f t="shared" si="47"/>
        <v>1w</v>
      </c>
      <c r="Z895" s="93">
        <f>_xll.qlCalendarAdvance(Calendar,Z894,Y895,"f",FALSE)</f>
        <v>45392</v>
      </c>
      <c r="AA895" s="117">
        <f>_xll.qlCalendarAdvance(Calendar,Z895,NDays&amp;"D")</f>
        <v>45394</v>
      </c>
      <c r="AB895" s="92">
        <v>1.6447303834734538E-2</v>
      </c>
      <c r="AC895" s="101">
        <v>1.6342994283746748E-2</v>
      </c>
    </row>
    <row r="896" spans="25:29" x14ac:dyDescent="0.2">
      <c r="Y896" s="105" t="str">
        <f t="shared" si="47"/>
        <v>1w</v>
      </c>
      <c r="Z896" s="93">
        <f>_xll.qlCalendarAdvance(Calendar,Z895,Y896,"f",FALSE)</f>
        <v>45399</v>
      </c>
      <c r="AA896" s="117">
        <f>_xll.qlCalendarAdvance(Calendar,Z896,NDays&amp;"D")</f>
        <v>45401</v>
      </c>
      <c r="AB896" s="92">
        <v>1.6451195375434602E-2</v>
      </c>
      <c r="AC896" s="101">
        <v>1.6345842451555015E-2</v>
      </c>
    </row>
    <row r="897" spans="25:29" x14ac:dyDescent="0.2">
      <c r="Y897" s="105" t="str">
        <f t="shared" si="47"/>
        <v>1w</v>
      </c>
      <c r="Z897" s="93">
        <f>_xll.qlCalendarAdvance(Calendar,Z896,Y897,"f",FALSE)</f>
        <v>45406</v>
      </c>
      <c r="AA897" s="117">
        <f>_xll.qlCalendarAdvance(Calendar,Z897,NDays&amp;"D")</f>
        <v>45408</v>
      </c>
      <c r="AB897" s="92">
        <v>1.6455276733616613E-2</v>
      </c>
      <c r="AC897" s="101">
        <v>1.6348255706564174E-2</v>
      </c>
    </row>
    <row r="898" spans="25:29" x14ac:dyDescent="0.2">
      <c r="Y898" s="105" t="str">
        <f t="shared" si="47"/>
        <v>1w</v>
      </c>
      <c r="Z898" s="93">
        <f>_xll.qlCalendarAdvance(Calendar,Z897,Y898,"f",FALSE)</f>
        <v>45414</v>
      </c>
      <c r="AA898" s="117">
        <f>_xll.qlCalendarAdvance(Calendar,Z898,NDays&amp;"D")</f>
        <v>45418</v>
      </c>
      <c r="AB898" s="92">
        <v>1.6460706542174165E-2</v>
      </c>
      <c r="AC898" s="101">
        <v>1.6349976639933317E-2</v>
      </c>
    </row>
    <row r="899" spans="25:29" x14ac:dyDescent="0.2">
      <c r="Y899" s="105" t="str">
        <f t="shared" si="47"/>
        <v>1w</v>
      </c>
      <c r="Z899" s="93">
        <f>_xll.qlCalendarAdvance(Calendar,Z898,Y899,"f",FALSE)</f>
        <v>45421</v>
      </c>
      <c r="AA899" s="117">
        <f>_xll.qlCalendarAdvance(Calendar,Z899,NDays&amp;"D")</f>
        <v>45425</v>
      </c>
      <c r="AB899" s="92">
        <v>1.6465348921108482E-2</v>
      </c>
      <c r="AC899" s="101">
        <v>1.6351388261313105E-2</v>
      </c>
    </row>
    <row r="900" spans="25:29" x14ac:dyDescent="0.2">
      <c r="Y900" s="105" t="str">
        <f t="shared" si="47"/>
        <v>1w</v>
      </c>
      <c r="Z900" s="93">
        <f>_xll.qlCalendarAdvance(Calendar,Z899,Y900,"f",FALSE)</f>
        <v>45428</v>
      </c>
      <c r="AA900" s="117">
        <f>_xll.qlCalendarAdvance(Calendar,Z900,NDays&amp;"D")</f>
        <v>45432</v>
      </c>
      <c r="AB900" s="92">
        <v>1.6470279362468882E-2</v>
      </c>
      <c r="AC900" s="101">
        <v>1.6352654606821559E-2</v>
      </c>
    </row>
    <row r="901" spans="25:29" x14ac:dyDescent="0.2">
      <c r="Y901" s="105" t="str">
        <f t="shared" si="47"/>
        <v>1w</v>
      </c>
      <c r="Z901" s="93">
        <f>_xll.qlCalendarAdvance(Calendar,Z900,Y901,"f",FALSE)</f>
        <v>45435</v>
      </c>
      <c r="AA901" s="117">
        <f>_xll.qlCalendarAdvance(Calendar,Z901,NDays&amp;"D")</f>
        <v>45439</v>
      </c>
      <c r="AB901" s="92">
        <v>1.6475508213952418E-2</v>
      </c>
      <c r="AC901" s="101">
        <v>1.6354164329888121E-2</v>
      </c>
    </row>
    <row r="902" spans="25:29" x14ac:dyDescent="0.2">
      <c r="Y902" s="105" t="str">
        <f t="shared" si="47"/>
        <v>1w</v>
      </c>
      <c r="Z902" s="93">
        <f>_xll.qlCalendarAdvance(Calendar,Z901,Y902,"f",FALSE)</f>
        <v>45442</v>
      </c>
      <c r="AA902" s="117">
        <f>_xll.qlCalendarAdvance(Calendar,Z902,NDays&amp;"D")</f>
        <v>45446</v>
      </c>
      <c r="AB902" s="92">
        <v>1.6480162543514632E-2</v>
      </c>
      <c r="AC902" s="101">
        <v>1.6355923597739519E-2</v>
      </c>
    </row>
    <row r="903" spans="25:29" x14ac:dyDescent="0.2">
      <c r="Y903" s="105" t="str">
        <f t="shared" si="47"/>
        <v>1w</v>
      </c>
      <c r="Z903" s="93">
        <f>_xll.qlCalendarAdvance(Calendar,Z902,Y903,"f",FALSE)</f>
        <v>45449</v>
      </c>
      <c r="AA903" s="117">
        <f>_xll.qlCalendarAdvance(Calendar,Z903,NDays&amp;"D")</f>
        <v>45453</v>
      </c>
      <c r="AB903" s="92">
        <v>1.6485976399730321E-2</v>
      </c>
      <c r="AC903" s="101">
        <v>1.635793625330173E-2</v>
      </c>
    </row>
    <row r="904" spans="25:29" x14ac:dyDescent="0.2">
      <c r="Y904" s="105" t="str">
        <f t="shared" si="47"/>
        <v>1w</v>
      </c>
      <c r="Z904" s="93">
        <f>_xll.qlCalendarAdvance(Calendar,Z903,Y904,"f",FALSE)</f>
        <v>45456</v>
      </c>
      <c r="AA904" s="117">
        <f>_xll.qlCalendarAdvance(Calendar,Z904,NDays&amp;"D")</f>
        <v>45460</v>
      </c>
      <c r="AB904" s="92">
        <v>1.6492100020023132E-2</v>
      </c>
      <c r="AC904" s="101">
        <v>1.6360206139180988E-2</v>
      </c>
    </row>
    <row r="905" spans="25:29" x14ac:dyDescent="0.2">
      <c r="Y905" s="105" t="str">
        <f t="shared" si="47"/>
        <v>1w</v>
      </c>
      <c r="Z905" s="93">
        <f>_xll.qlCalendarAdvance(Calendar,Z904,Y905,"f",FALSE)</f>
        <v>45463</v>
      </c>
      <c r="AA905" s="117">
        <f>_xll.qlCalendarAdvance(Calendar,Z905,NDays&amp;"D")</f>
        <v>45467</v>
      </c>
      <c r="AB905" s="92">
        <v>1.6498537282047105E-2</v>
      </c>
      <c r="AC905" s="101">
        <v>1.6362737098063462E-2</v>
      </c>
    </row>
    <row r="906" spans="25:29" x14ac:dyDescent="0.2">
      <c r="Y906" s="105" t="str">
        <f t="shared" si="47"/>
        <v>1w</v>
      </c>
      <c r="Z906" s="93">
        <f>_xll.qlCalendarAdvance(Calendar,Z905,Y906,"f",FALSE)</f>
        <v>45470</v>
      </c>
      <c r="AA906" s="117">
        <f>_xll.qlCalendarAdvance(Calendar,Z906,NDays&amp;"D")</f>
        <v>45474</v>
      </c>
      <c r="AB906" s="92">
        <v>1.6507239416338474E-2</v>
      </c>
      <c r="AC906" s="101">
        <v>1.6365532972795194E-2</v>
      </c>
    </row>
    <row r="907" spans="25:29" x14ac:dyDescent="0.2">
      <c r="Y907" s="105" t="str">
        <f t="shared" si="47"/>
        <v>1w</v>
      </c>
      <c r="Z907" s="93">
        <f>_xll.qlCalendarAdvance(Calendar,Z906,Y907,"f",FALSE)</f>
        <v>45477</v>
      </c>
      <c r="AA907" s="117">
        <f>_xll.qlCalendarAdvance(Calendar,Z907,NDays&amp;"D")</f>
        <v>45481</v>
      </c>
      <c r="AB907" s="92">
        <v>1.651336534469916E-2</v>
      </c>
      <c r="AC907" s="101">
        <v>1.6368597606142288E-2</v>
      </c>
    </row>
    <row r="908" spans="25:29" x14ac:dyDescent="0.2">
      <c r="Y908" s="105" t="str">
        <f t="shared" si="47"/>
        <v>1w</v>
      </c>
      <c r="Z908" s="93">
        <f>_xll.qlCalendarAdvance(Calendar,Z907,Y908,"f",FALSE)</f>
        <v>45484</v>
      </c>
      <c r="AA908" s="117">
        <f>_xll.qlCalendarAdvance(Calendar,Z908,NDays&amp;"D")</f>
        <v>45488</v>
      </c>
      <c r="AB908" s="92">
        <v>1.6520791731148867E-2</v>
      </c>
      <c r="AC908" s="101">
        <v>1.6371934840631042E-2</v>
      </c>
    </row>
    <row r="909" spans="25:29" x14ac:dyDescent="0.2">
      <c r="Y909" s="105" t="str">
        <f t="shared" si="47"/>
        <v>1w</v>
      </c>
      <c r="Z909" s="93">
        <f>_xll.qlCalendarAdvance(Calendar,Z908,Y909,"f",FALSE)</f>
        <v>45491</v>
      </c>
      <c r="AA909" s="117">
        <f>_xll.qlCalendarAdvance(Calendar,Z909,NDays&amp;"D")</f>
        <v>45495</v>
      </c>
      <c r="AB909" s="92">
        <v>1.6528547564264175E-2</v>
      </c>
      <c r="AC909" s="101">
        <v>1.6375548519347305E-2</v>
      </c>
    </row>
    <row r="910" spans="25:29" x14ac:dyDescent="0.2">
      <c r="Y910" s="105" t="str">
        <f t="shared" si="47"/>
        <v>1w</v>
      </c>
      <c r="Z910" s="93">
        <f>_xll.qlCalendarAdvance(Calendar,Z909,Y910,"f",FALSE)</f>
        <v>45498</v>
      </c>
      <c r="AA910" s="117">
        <f>_xll.qlCalendarAdvance(Calendar,Z910,NDays&amp;"D")</f>
        <v>45502</v>
      </c>
      <c r="AB910" s="92">
        <v>1.6536636722964876E-2</v>
      </c>
      <c r="AC910" s="101">
        <v>1.6379442484657503E-2</v>
      </c>
    </row>
    <row r="911" spans="25:29" x14ac:dyDescent="0.2">
      <c r="Y911" s="105" t="str">
        <f t="shared" si="47"/>
        <v>1w</v>
      </c>
      <c r="Z911" s="93">
        <f>_xll.qlCalendarAdvance(Calendar,Z910,Y911,"f",FALSE)</f>
        <v>45505</v>
      </c>
      <c r="AA911" s="117">
        <f>_xll.qlCalendarAdvance(Calendar,Z911,NDays&amp;"D")</f>
        <v>45509</v>
      </c>
      <c r="AB911" s="92">
        <v>1.6545063086402318E-2</v>
      </c>
      <c r="AC911" s="101">
        <v>1.6383620579647484E-2</v>
      </c>
    </row>
    <row r="912" spans="25:29" x14ac:dyDescent="0.2">
      <c r="Y912" s="105" t="str">
        <f t="shared" si="47"/>
        <v>1w</v>
      </c>
      <c r="Z912" s="93">
        <f>_xll.qlCalendarAdvance(Calendar,Z911,Y912,"f",FALSE)</f>
        <v>45512</v>
      </c>
      <c r="AA912" s="117">
        <f>_xll.qlCalendarAdvance(Calendar,Z912,NDays&amp;"D")</f>
        <v>45516</v>
      </c>
      <c r="AB912" s="92">
        <v>1.6553830533965055E-2</v>
      </c>
      <c r="AC912" s="101">
        <v>1.6388086646843547E-2</v>
      </c>
    </row>
    <row r="913" spans="25:29" x14ac:dyDescent="0.2">
      <c r="Y913" s="105" t="str">
        <f t="shared" si="47"/>
        <v>1w</v>
      </c>
      <c r="Z913" s="93">
        <f>_xll.qlCalendarAdvance(Calendar,Z912,Y913,"f",FALSE)</f>
        <v>45519</v>
      </c>
      <c r="AA913" s="117">
        <f>_xll.qlCalendarAdvance(Calendar,Z913,NDays&amp;"D")</f>
        <v>45523</v>
      </c>
      <c r="AB913" s="92">
        <v>1.6562942945287085E-2</v>
      </c>
      <c r="AC913" s="101">
        <v>1.6392844529011796E-2</v>
      </c>
    </row>
    <row r="914" spans="25:29" x14ac:dyDescent="0.2">
      <c r="Y914" s="105" t="str">
        <f t="shared" si="47"/>
        <v>1w</v>
      </c>
      <c r="Z914" s="93">
        <f>_xll.qlCalendarAdvance(Calendar,Z913,Y914,"f",FALSE)</f>
        <v>45526</v>
      </c>
      <c r="AA914" s="117">
        <f>_xll.qlCalendarAdvance(Calendar,Z914,NDays&amp;"D")</f>
        <v>45530</v>
      </c>
      <c r="AB914" s="92">
        <v>1.6572404200252654E-2</v>
      </c>
      <c r="AC914" s="101">
        <v>1.6397898068918337E-2</v>
      </c>
    </row>
    <row r="915" spans="25:29" x14ac:dyDescent="0.2">
      <c r="Y915" s="105" t="str">
        <f t="shared" si="47"/>
        <v>1w</v>
      </c>
      <c r="Z915" s="93">
        <f>_xll.qlCalendarAdvance(Calendar,Z914,Y915,"f",FALSE)</f>
        <v>45533</v>
      </c>
      <c r="AA915" s="117">
        <f>_xll.qlCalendarAdvance(Calendar,Z915,NDays&amp;"D")</f>
        <v>45537</v>
      </c>
      <c r="AB915" s="92">
        <v>1.6579811365508637E-2</v>
      </c>
      <c r="AC915" s="101">
        <v>1.6403251109329275E-2</v>
      </c>
    </row>
    <row r="916" spans="25:29" x14ac:dyDescent="0.2">
      <c r="Y916" s="105" t="str">
        <f t="shared" si="47"/>
        <v>1w</v>
      </c>
      <c r="Z916" s="93">
        <f>_xll.qlCalendarAdvance(Calendar,Z915,Y916,"f",FALSE)</f>
        <v>45540</v>
      </c>
      <c r="AA916" s="117">
        <f>_xll.qlCalendarAdvance(Calendar,Z916,NDays&amp;"D")</f>
        <v>45544</v>
      </c>
      <c r="AB916" s="92">
        <v>1.6589927425966079E-2</v>
      </c>
      <c r="AC916" s="101">
        <v>1.6408907493010716E-2</v>
      </c>
    </row>
    <row r="917" spans="25:29" x14ac:dyDescent="0.2">
      <c r="Y917" s="105" t="str">
        <f t="shared" ref="Y917:Y980" si="48">Y916</f>
        <v>1w</v>
      </c>
      <c r="Z917" s="93">
        <f>_xll.qlCalendarAdvance(Calendar,Z916,Y917,"f",FALSE)</f>
        <v>45547</v>
      </c>
      <c r="AA917" s="117">
        <f>_xll.qlCalendarAdvance(Calendar,Z917,NDays&amp;"D")</f>
        <v>45551</v>
      </c>
      <c r="AB917" s="92">
        <v>1.6600403383212375E-2</v>
      </c>
      <c r="AC917" s="101">
        <v>1.6414871062728764E-2</v>
      </c>
    </row>
    <row r="918" spans="25:29" x14ac:dyDescent="0.2">
      <c r="Y918" s="105" t="str">
        <f t="shared" si="48"/>
        <v>1w</v>
      </c>
      <c r="Z918" s="93">
        <f>_xll.qlCalendarAdvance(Calendar,Z917,Y918,"f",FALSE)</f>
        <v>45554</v>
      </c>
      <c r="AA918" s="117">
        <f>_xll.qlCalendarAdvance(Calendar,Z918,NDays&amp;"D")</f>
        <v>45558</v>
      </c>
      <c r="AB918" s="92">
        <v>1.6611243117746085E-2</v>
      </c>
      <c r="AC918" s="101">
        <v>1.6421145661089653E-2</v>
      </c>
    </row>
    <row r="919" spans="25:29" x14ac:dyDescent="0.2">
      <c r="Y919" s="105" t="str">
        <f t="shared" si="48"/>
        <v>1w</v>
      </c>
      <c r="Z919" s="93">
        <f>_xll.qlCalendarAdvance(Calendar,Z918,Y919,"f",FALSE)</f>
        <v>45561</v>
      </c>
      <c r="AA919" s="117">
        <f>_xll.qlCalendarAdvance(Calendar,Z919,NDays&amp;"D")</f>
        <v>45565</v>
      </c>
      <c r="AB919" s="92">
        <v>1.6622450510345544E-2</v>
      </c>
      <c r="AC919" s="101">
        <v>1.6427735130939425E-2</v>
      </c>
    </row>
    <row r="920" spans="25:29" x14ac:dyDescent="0.2">
      <c r="Y920" s="105" t="str">
        <f t="shared" si="48"/>
        <v>1w</v>
      </c>
      <c r="Z920" s="93">
        <f>_xll.qlCalendarAdvance(Calendar,Z919,Y920,"f",FALSE)</f>
        <v>45568</v>
      </c>
      <c r="AA920" s="117">
        <f>_xll.qlCalendarAdvance(Calendar,Z920,NDays&amp;"D")</f>
        <v>45572</v>
      </c>
      <c r="AB920" s="92">
        <v>1.6634029442078532E-2</v>
      </c>
      <c r="AC920" s="101">
        <v>1.6434643315044184E-2</v>
      </c>
    </row>
    <row r="921" spans="25:29" x14ac:dyDescent="0.2">
      <c r="Y921" s="105" t="str">
        <f t="shared" si="48"/>
        <v>1w</v>
      </c>
      <c r="Z921" s="93">
        <f>_xll.qlCalendarAdvance(Calendar,Z920,Y921,"f",FALSE)</f>
        <v>45575</v>
      </c>
      <c r="AA921" s="117">
        <f>_xll.qlCalendarAdvance(Calendar,Z921,NDays&amp;"D")</f>
        <v>45579</v>
      </c>
      <c r="AB921" s="92">
        <v>1.66459837943106E-2</v>
      </c>
      <c r="AC921" s="101">
        <v>1.6441874056170036E-2</v>
      </c>
    </row>
    <row r="922" spans="25:29" x14ac:dyDescent="0.2">
      <c r="Y922" s="105" t="str">
        <f t="shared" si="48"/>
        <v>1w</v>
      </c>
      <c r="Z922" s="93">
        <f>_xll.qlCalendarAdvance(Calendar,Z921,Y922,"f",FALSE)</f>
        <v>45582</v>
      </c>
      <c r="AA922" s="117">
        <f>_xll.qlCalendarAdvance(Calendar,Z922,NDays&amp;"D")</f>
        <v>45586</v>
      </c>
      <c r="AB922" s="92">
        <v>1.6659716423968782E-2</v>
      </c>
      <c r="AC922" s="101">
        <v>1.644943119700315E-2</v>
      </c>
    </row>
    <row r="923" spans="25:29" x14ac:dyDescent="0.2">
      <c r="Y923" s="105" t="str">
        <f t="shared" si="48"/>
        <v>1w</v>
      </c>
      <c r="Z923" s="93">
        <f>_xll.qlCalendarAdvance(Calendar,Z922,Y923,"f",FALSE)</f>
        <v>45589</v>
      </c>
      <c r="AA923" s="117">
        <f>_xll.qlCalendarAdvance(Calendar,Z923,NDays&amp;"D")</f>
        <v>45593</v>
      </c>
      <c r="AB923" s="92">
        <v>1.6671034287250374E-2</v>
      </c>
      <c r="AC923" s="101">
        <v>1.6457318580309632E-2</v>
      </c>
    </row>
    <row r="924" spans="25:29" x14ac:dyDescent="0.2">
      <c r="Y924" s="105" t="str">
        <f t="shared" si="48"/>
        <v>1w</v>
      </c>
      <c r="Z924" s="93">
        <f>_xll.qlCalendarAdvance(Calendar,Z923,Y924,"f",FALSE)</f>
        <v>45596</v>
      </c>
      <c r="AA924" s="117">
        <f>_xll.qlCalendarAdvance(Calendar,Z924,NDays&amp;"D")</f>
        <v>45600</v>
      </c>
      <c r="AB924" s="92">
        <v>1.6684138192233015E-2</v>
      </c>
      <c r="AC924" s="101">
        <v>1.6465540048855587E-2</v>
      </c>
    </row>
    <row r="925" spans="25:29" x14ac:dyDescent="0.2">
      <c r="Y925" s="105" t="str">
        <f t="shared" si="48"/>
        <v>1w</v>
      </c>
      <c r="Z925" s="93">
        <f>_xll.qlCalendarAdvance(Calendar,Z924,Y925,"f",FALSE)</f>
        <v>45603</v>
      </c>
      <c r="AA925" s="117">
        <f>_xll.qlCalendarAdvance(Calendar,Z925,NDays&amp;"D")</f>
        <v>45607</v>
      </c>
      <c r="AB925" s="92">
        <v>1.6697633046279109E-2</v>
      </c>
      <c r="AC925" s="101">
        <v>1.647409944540712E-2</v>
      </c>
    </row>
    <row r="926" spans="25:29" x14ac:dyDescent="0.2">
      <c r="Y926" s="105" t="str">
        <f t="shared" si="48"/>
        <v>1w</v>
      </c>
      <c r="Z926" s="93">
        <f>_xll.qlCalendarAdvance(Calendar,Z925,Y926,"f",FALSE)</f>
        <v>45610</v>
      </c>
      <c r="AA926" s="117">
        <f>_xll.qlCalendarAdvance(Calendar,Z926,NDays&amp;"D")</f>
        <v>45614</v>
      </c>
      <c r="AB926" s="92">
        <v>1.6711521306829936E-2</v>
      </c>
      <c r="AC926" s="101">
        <v>1.6483000612810272E-2</v>
      </c>
    </row>
    <row r="927" spans="25:29" x14ac:dyDescent="0.2">
      <c r="Y927" s="105" t="str">
        <f t="shared" si="48"/>
        <v>1w</v>
      </c>
      <c r="Z927" s="93">
        <f>_xll.qlCalendarAdvance(Calendar,Z926,Y927,"f",FALSE)</f>
        <v>45617</v>
      </c>
      <c r="AA927" s="117">
        <f>_xll.qlCalendarAdvance(Calendar,Z927,NDays&amp;"D")</f>
        <v>45621</v>
      </c>
      <c r="AB927" s="92">
        <v>1.672579138956299E-2</v>
      </c>
      <c r="AC927" s="101">
        <v>1.6492247393671278E-2</v>
      </c>
    </row>
    <row r="928" spans="25:29" x14ac:dyDescent="0.2">
      <c r="Y928" s="105" t="str">
        <f t="shared" si="48"/>
        <v>1w</v>
      </c>
      <c r="Z928" s="93">
        <f>_xll.qlCalendarAdvance(Calendar,Z927,Y928,"f",FALSE)</f>
        <v>45624</v>
      </c>
      <c r="AA928" s="117">
        <f>_xll.qlCalendarAdvance(Calendar,Z928,NDays&amp;"D")</f>
        <v>45628</v>
      </c>
      <c r="AB928" s="92">
        <v>1.6740423612736314E-2</v>
      </c>
      <c r="AC928" s="101">
        <v>1.6501843630756241E-2</v>
      </c>
    </row>
    <row r="929" spans="25:29" x14ac:dyDescent="0.2">
      <c r="Y929" s="105" t="str">
        <f t="shared" si="48"/>
        <v>1w</v>
      </c>
      <c r="Z929" s="93">
        <f>_xll.qlCalendarAdvance(Calendar,Z928,Y929,"f",FALSE)</f>
        <v>45631</v>
      </c>
      <c r="AA929" s="117">
        <f>_xll.qlCalendarAdvance(Calendar,Z929,NDays&amp;"D")</f>
        <v>45635</v>
      </c>
      <c r="AB929" s="92">
        <v>1.6755398023521512E-2</v>
      </c>
      <c r="AC929" s="101">
        <v>1.6511793166911204E-2</v>
      </c>
    </row>
    <row r="930" spans="25:29" x14ac:dyDescent="0.2">
      <c r="Y930" s="105" t="str">
        <f t="shared" si="48"/>
        <v>1w</v>
      </c>
      <c r="Z930" s="93">
        <f>_xll.qlCalendarAdvance(Calendar,Z929,Y930,"f",FALSE)</f>
        <v>45638</v>
      </c>
      <c r="AA930" s="117">
        <f>_xll.qlCalendarAdvance(Calendar,Z930,NDays&amp;"D")</f>
        <v>45642</v>
      </c>
      <c r="AB930" s="92">
        <v>1.6770694489022353E-2</v>
      </c>
      <c r="AC930" s="101">
        <v>1.6522099844902272E-2</v>
      </c>
    </row>
    <row r="931" spans="25:29" x14ac:dyDescent="0.2">
      <c r="Y931" s="105" t="str">
        <f t="shared" si="48"/>
        <v>1w</v>
      </c>
      <c r="Z931" s="93">
        <f>_xll.qlCalendarAdvance(Calendar,Z930,Y931,"f",FALSE)</f>
        <v>45645</v>
      </c>
      <c r="AA931" s="117">
        <f>_xll.qlCalendarAdvance(Calendar,Z931,NDays&amp;"D")</f>
        <v>45649</v>
      </c>
      <c r="AB931" s="92">
        <v>1.6786292696233492E-2</v>
      </c>
      <c r="AC931" s="101">
        <v>1.6532767507575485E-2</v>
      </c>
    </row>
    <row r="932" spans="25:29" x14ac:dyDescent="0.2">
      <c r="Y932" s="105" t="str">
        <f t="shared" si="48"/>
        <v>1w</v>
      </c>
      <c r="Z932" s="93">
        <f>_xll.qlCalendarAdvance(Calendar,Z931,Y932,"f",FALSE)</f>
        <v>45653</v>
      </c>
      <c r="AA932" s="117">
        <f>_xll.qlCalendarAdvance(Calendar,Z932,NDays&amp;"D")</f>
        <v>45657</v>
      </c>
      <c r="AB932" s="92">
        <v>1.6802827448532193E-2</v>
      </c>
      <c r="AC932" s="101">
        <v>1.6546593124826536E-2</v>
      </c>
    </row>
    <row r="933" spans="25:29" x14ac:dyDescent="0.2">
      <c r="Y933" s="105" t="str">
        <f t="shared" si="48"/>
        <v>1w</v>
      </c>
      <c r="Z933" s="93">
        <f>_xll.qlCalendarAdvance(Calendar,Z932,Y933,"f",FALSE)</f>
        <v>45660</v>
      </c>
      <c r="AA933" s="117">
        <f>_xll.qlCalendarAdvance(Calendar,Z933,NDays&amp;"D")</f>
        <v>45664</v>
      </c>
      <c r="AB933" s="92">
        <v>1.6818992385608168E-2</v>
      </c>
      <c r="AC933" s="101">
        <v>1.655686021412528E-2</v>
      </c>
    </row>
    <row r="934" spans="25:29" x14ac:dyDescent="0.2">
      <c r="Y934" s="105" t="str">
        <f t="shared" si="48"/>
        <v>1w</v>
      </c>
      <c r="Z934" s="93">
        <f>_xll.qlCalendarAdvance(Calendar,Z933,Y934,"f",FALSE)</f>
        <v>45667</v>
      </c>
      <c r="AA934" s="117">
        <f>_xll.qlCalendarAdvance(Calendar,Z934,NDays&amp;"D")</f>
        <v>45671</v>
      </c>
      <c r="AB934" s="92">
        <v>1.6835396281248458E-2</v>
      </c>
      <c r="AC934" s="101">
        <v>1.656868741686246E-2</v>
      </c>
    </row>
    <row r="935" spans="25:29" x14ac:dyDescent="0.2">
      <c r="Y935" s="105" t="str">
        <f t="shared" si="48"/>
        <v>1w</v>
      </c>
      <c r="Z935" s="93">
        <f>_xll.qlCalendarAdvance(Calendar,Z934,Y935,"f",FALSE)</f>
        <v>45674</v>
      </c>
      <c r="AA935" s="117">
        <f>_xll.qlCalendarAdvance(Calendar,Z935,NDays&amp;"D")</f>
        <v>45678</v>
      </c>
      <c r="AB935" s="92">
        <v>1.6852017964920338E-2</v>
      </c>
      <c r="AC935" s="101">
        <v>1.6580891524107244E-2</v>
      </c>
    </row>
    <row r="936" spans="25:29" x14ac:dyDescent="0.2">
      <c r="Y936" s="105" t="str">
        <f t="shared" si="48"/>
        <v>1w</v>
      </c>
      <c r="Z936" s="93">
        <f>_xll.qlCalendarAdvance(Calendar,Z935,Y936,"f",FALSE)</f>
        <v>45681</v>
      </c>
      <c r="AA936" s="117">
        <f>_xll.qlCalendarAdvance(Calendar,Z936,NDays&amp;"D")</f>
        <v>45685</v>
      </c>
      <c r="AB936" s="92">
        <v>1.6868836084820382E-2</v>
      </c>
      <c r="AC936" s="101">
        <v>1.6593476378865546E-2</v>
      </c>
    </row>
    <row r="937" spans="25:29" x14ac:dyDescent="0.2">
      <c r="Y937" s="105" t="str">
        <f t="shared" si="48"/>
        <v>1w</v>
      </c>
      <c r="Z937" s="93">
        <f>_xll.qlCalendarAdvance(Calendar,Z936,Y937,"f",FALSE)</f>
        <v>45688</v>
      </c>
      <c r="AA937" s="117">
        <f>_xll.qlCalendarAdvance(Calendar,Z937,NDays&amp;"D")</f>
        <v>45692</v>
      </c>
      <c r="AB937" s="92">
        <v>1.6885829107843572E-2</v>
      </c>
      <c r="AC937" s="101">
        <v>1.6606445823743599E-2</v>
      </c>
    </row>
    <row r="938" spans="25:29" x14ac:dyDescent="0.2">
      <c r="Y938" s="105" t="str">
        <f t="shared" si="48"/>
        <v>1w</v>
      </c>
      <c r="Z938" s="93">
        <f>_xll.qlCalendarAdvance(Calendar,Z937,Y938,"f",FALSE)</f>
        <v>45695</v>
      </c>
      <c r="AA938" s="117">
        <f>_xll.qlCalendarAdvance(Calendar,Z938,NDays&amp;"D")</f>
        <v>45699</v>
      </c>
      <c r="AB938" s="92">
        <v>1.69029753195559E-2</v>
      </c>
      <c r="AC938" s="101">
        <v>1.6619803701587443E-2</v>
      </c>
    </row>
    <row r="939" spans="25:29" x14ac:dyDescent="0.2">
      <c r="Y939" s="105" t="str">
        <f t="shared" si="48"/>
        <v>1w</v>
      </c>
      <c r="Z939" s="93">
        <f>_xll.qlCalendarAdvance(Calendar,Z938,Y939,"f",FALSE)</f>
        <v>45702</v>
      </c>
      <c r="AA939" s="117">
        <f>_xll.qlCalendarAdvance(Calendar,Z939,NDays&amp;"D")</f>
        <v>45706</v>
      </c>
      <c r="AB939" s="92">
        <v>1.6920252824166992E-2</v>
      </c>
      <c r="AC939" s="101">
        <v>1.6633553855003314E-2</v>
      </c>
    </row>
    <row r="940" spans="25:29" x14ac:dyDescent="0.2">
      <c r="Y940" s="105" t="str">
        <f t="shared" si="48"/>
        <v>1w</v>
      </c>
      <c r="Z940" s="93">
        <f>_xll.qlCalendarAdvance(Calendar,Z939,Y940,"f",FALSE)</f>
        <v>45709</v>
      </c>
      <c r="AA940" s="117">
        <f>_xll.qlCalendarAdvance(Calendar,Z940,NDays&amp;"D")</f>
        <v>45713</v>
      </c>
      <c r="AB940" s="92">
        <v>1.6937639544511114E-2</v>
      </c>
      <c r="AC940" s="101">
        <v>1.6647700127156995E-2</v>
      </c>
    </row>
    <row r="941" spans="25:29" x14ac:dyDescent="0.2">
      <c r="Y941" s="105" t="str">
        <f t="shared" si="48"/>
        <v>1w</v>
      </c>
      <c r="Z941" s="93">
        <f>_xll.qlCalendarAdvance(Calendar,Z940,Y941,"f",FALSE)</f>
        <v>45716</v>
      </c>
      <c r="AA941" s="117">
        <f>_xll.qlCalendarAdvance(Calendar,Z941,NDays&amp;"D")</f>
        <v>45720</v>
      </c>
      <c r="AB941" s="92">
        <v>1.6960089894373316E-2</v>
      </c>
      <c r="AC941" s="101">
        <v>1.6662246360334976E-2</v>
      </c>
    </row>
    <row r="942" spans="25:29" x14ac:dyDescent="0.2">
      <c r="Y942" s="105" t="str">
        <f t="shared" si="48"/>
        <v>1w</v>
      </c>
      <c r="Z942" s="93">
        <f>_xll.qlCalendarAdvance(Calendar,Z941,Y942,"f",FALSE)</f>
        <v>45723</v>
      </c>
      <c r="AA942" s="117">
        <f>_xll.qlCalendarAdvance(Calendar,Z942,NDays&amp;"D")</f>
        <v>45727</v>
      </c>
      <c r="AB942" s="92">
        <v>1.6977611745377787E-2</v>
      </c>
      <c r="AC942" s="101">
        <v>1.6677196397703042E-2</v>
      </c>
    </row>
    <row r="943" spans="25:29" x14ac:dyDescent="0.2">
      <c r="Y943" s="105" t="str">
        <f t="shared" si="48"/>
        <v>1w</v>
      </c>
      <c r="Z943" s="93">
        <f>_xll.qlCalendarAdvance(Calendar,Z942,Y943,"f",FALSE)</f>
        <v>45730</v>
      </c>
      <c r="AA943" s="117">
        <f>_xll.qlCalendarAdvance(Calendar,Z943,NDays&amp;"D")</f>
        <v>45734</v>
      </c>
      <c r="AB943" s="92">
        <v>1.6995171939211167E-2</v>
      </c>
      <c r="AC943" s="101">
        <v>1.6692554081947364E-2</v>
      </c>
    </row>
    <row r="944" spans="25:29" x14ac:dyDescent="0.2">
      <c r="Y944" s="105" t="str">
        <f t="shared" si="48"/>
        <v>1w</v>
      </c>
      <c r="Z944" s="93">
        <f>_xll.qlCalendarAdvance(Calendar,Z943,Y944,"f",FALSE)</f>
        <v>45737</v>
      </c>
      <c r="AA944" s="117">
        <f>_xll.qlCalendarAdvance(Calendar,Z944,NDays&amp;"D")</f>
        <v>45741</v>
      </c>
      <c r="AB944" s="92">
        <v>1.7012748028548155E-2</v>
      </c>
      <c r="AC944" s="101">
        <v>1.6708323255754109E-2</v>
      </c>
    </row>
    <row r="945" spans="25:29" x14ac:dyDescent="0.2">
      <c r="Y945" s="105" t="str">
        <f t="shared" si="48"/>
        <v>1w</v>
      </c>
      <c r="Z945" s="93">
        <f>_xll.qlCalendarAdvance(Calendar,Z944,Y945,"f",FALSE)</f>
        <v>45744</v>
      </c>
      <c r="AA945" s="117">
        <f>_xll.qlCalendarAdvance(Calendar,Z945,NDays&amp;"D")</f>
        <v>45748</v>
      </c>
      <c r="AB945" s="92">
        <v>1.7028687919426657E-2</v>
      </c>
      <c r="AC945" s="101">
        <v>1.6724507762049257E-2</v>
      </c>
    </row>
    <row r="946" spans="25:29" x14ac:dyDescent="0.2">
      <c r="Y946" s="105" t="str">
        <f t="shared" si="48"/>
        <v>1w</v>
      </c>
      <c r="Z946" s="93">
        <f>_xll.qlCalendarAdvance(Calendar,Z945,Y946,"f",FALSE)</f>
        <v>45751</v>
      </c>
      <c r="AA946" s="117">
        <f>_xll.qlCalendarAdvance(Calendar,Z946,NDays&amp;"D")</f>
        <v>45755</v>
      </c>
      <c r="AB946" s="92">
        <v>1.7046237242084462E-2</v>
      </c>
      <c r="AC946" s="101">
        <v>1.6741111443598911E-2</v>
      </c>
    </row>
    <row r="947" spans="25:29" x14ac:dyDescent="0.2">
      <c r="Y947" s="105" t="str">
        <f t="shared" si="48"/>
        <v>1w</v>
      </c>
      <c r="Z947" s="93">
        <f>_xll.qlCalendarAdvance(Calendar,Z946,Y947,"f",FALSE)</f>
        <v>45758</v>
      </c>
      <c r="AA947" s="117">
        <f>_xll.qlCalendarAdvance(Calendar,Z947,NDays&amp;"D")</f>
        <v>45762</v>
      </c>
      <c r="AB947" s="92">
        <v>1.7063734744438154E-2</v>
      </c>
      <c r="AC947" s="101">
        <v>1.6758138143009305E-2</v>
      </c>
    </row>
    <row r="948" spans="25:29" x14ac:dyDescent="0.2">
      <c r="Y948" s="105" t="str">
        <f t="shared" si="48"/>
        <v>1w</v>
      </c>
      <c r="Z948" s="93">
        <f>_xll.qlCalendarAdvance(Calendar,Z947,Y948,"f",FALSE)</f>
        <v>45769</v>
      </c>
      <c r="AA948" s="117">
        <f>_xll.qlCalendarAdvance(Calendar,Z948,NDays&amp;"D")</f>
        <v>45771</v>
      </c>
      <c r="AB948" s="92">
        <v>1.7086117899066285E-2</v>
      </c>
      <c r="AC948" s="101">
        <v>1.678065737572787E-2</v>
      </c>
    </row>
    <row r="949" spans="25:29" x14ac:dyDescent="0.2">
      <c r="Y949" s="105" t="str">
        <f t="shared" si="48"/>
        <v>1w</v>
      </c>
      <c r="Z949" s="93">
        <f>_xll.qlCalendarAdvance(Calendar,Z948,Y949,"f",FALSE)</f>
        <v>45776</v>
      </c>
      <c r="AA949" s="117">
        <f>_xll.qlCalendarAdvance(Calendar,Z949,NDays&amp;"D")</f>
        <v>45779</v>
      </c>
      <c r="AB949" s="92">
        <v>1.7109034081674211E-2</v>
      </c>
      <c r="AC949" s="101">
        <v>1.6804677749391317E-2</v>
      </c>
    </row>
    <row r="950" spans="25:29" x14ac:dyDescent="0.2">
      <c r="Y950" s="105" t="str">
        <f t="shared" si="48"/>
        <v>1w</v>
      </c>
      <c r="Z950" s="93">
        <f>_xll.qlCalendarAdvance(Calendar,Z949,Y950,"f",FALSE)</f>
        <v>45783</v>
      </c>
      <c r="AA950" s="117">
        <f>_xll.qlCalendarAdvance(Calendar,Z950,NDays&amp;"D")</f>
        <v>45785</v>
      </c>
      <c r="AB950" s="92">
        <v>1.7125286930084336E-2</v>
      </c>
      <c r="AC950" s="101">
        <v>1.6817109075946135E-2</v>
      </c>
    </row>
    <row r="951" spans="25:29" x14ac:dyDescent="0.2">
      <c r="Y951" s="105" t="str">
        <f t="shared" si="48"/>
        <v>1w</v>
      </c>
      <c r="Z951" s="93">
        <f>_xll.qlCalendarAdvance(Calendar,Z950,Y951,"f",FALSE)</f>
        <v>45790</v>
      </c>
      <c r="AA951" s="117">
        <f>_xll.qlCalendarAdvance(Calendar,Z951,NDays&amp;"D")</f>
        <v>45792</v>
      </c>
      <c r="AB951" s="92">
        <v>1.714226099384749E-2</v>
      </c>
      <c r="AC951" s="101">
        <v>1.6835977838818295E-2</v>
      </c>
    </row>
    <row r="952" spans="25:29" x14ac:dyDescent="0.2">
      <c r="Y952" s="105" t="str">
        <f t="shared" si="48"/>
        <v>1w</v>
      </c>
      <c r="Z952" s="93">
        <f>_xll.qlCalendarAdvance(Calendar,Z951,Y952,"f",FALSE)</f>
        <v>45797</v>
      </c>
      <c r="AA952" s="117">
        <f>_xll.qlCalendarAdvance(Calendar,Z952,NDays&amp;"D")</f>
        <v>45799</v>
      </c>
      <c r="AB952" s="92">
        <v>1.7159063696633624E-2</v>
      </c>
      <c r="AC952" s="101">
        <v>1.6854871306648533E-2</v>
      </c>
    </row>
    <row r="953" spans="25:29" x14ac:dyDescent="0.2">
      <c r="Y953" s="105" t="str">
        <f t="shared" si="48"/>
        <v>1w</v>
      </c>
      <c r="Z953" s="93">
        <f>_xll.qlCalendarAdvance(Calendar,Z952,Y953,"f",FALSE)</f>
        <v>45804</v>
      </c>
      <c r="AA953" s="117">
        <f>_xll.qlCalendarAdvance(Calendar,Z953,NDays&amp;"D")</f>
        <v>45806</v>
      </c>
      <c r="AB953" s="92">
        <v>1.7171083420417583E-2</v>
      </c>
      <c r="AC953" s="101">
        <v>1.6873602022347001E-2</v>
      </c>
    </row>
    <row r="954" spans="25:29" x14ac:dyDescent="0.2">
      <c r="Y954" s="105" t="str">
        <f t="shared" si="48"/>
        <v>1w</v>
      </c>
      <c r="Z954" s="93">
        <f>_xll.qlCalendarAdvance(Calendar,Z953,Y954,"f",FALSE)</f>
        <v>45811</v>
      </c>
      <c r="AA954" s="117">
        <f>_xll.qlCalendarAdvance(Calendar,Z954,NDays&amp;"D")</f>
        <v>45813</v>
      </c>
      <c r="AB954" s="92">
        <v>1.7187572237558544E-2</v>
      </c>
      <c r="AC954" s="101">
        <v>1.6892169196784934E-2</v>
      </c>
    </row>
    <row r="955" spans="25:29" x14ac:dyDescent="0.2">
      <c r="Y955" s="105" t="str">
        <f t="shared" si="48"/>
        <v>1w</v>
      </c>
      <c r="Z955" s="93">
        <f>_xll.qlCalendarAdvance(Calendar,Z954,Y955,"f",FALSE)</f>
        <v>45818</v>
      </c>
      <c r="AA955" s="117">
        <f>_xll.qlCalendarAdvance(Calendar,Z955,NDays&amp;"D")</f>
        <v>45820</v>
      </c>
      <c r="AB955" s="92">
        <v>1.7203885082275983E-2</v>
      </c>
      <c r="AC955" s="101">
        <v>1.6910572040673699E-2</v>
      </c>
    </row>
    <row r="956" spans="25:29" x14ac:dyDescent="0.2">
      <c r="Y956" s="105" t="str">
        <f t="shared" si="48"/>
        <v>1w</v>
      </c>
      <c r="Z956" s="93">
        <f>_xll.qlCalendarAdvance(Calendar,Z955,Y956,"f",FALSE)</f>
        <v>45825</v>
      </c>
      <c r="AA956" s="117">
        <f>_xll.qlCalendarAdvance(Calendar,Z956,NDays&amp;"D")</f>
        <v>45827</v>
      </c>
      <c r="AB956" s="92">
        <v>1.7220021154174092E-2</v>
      </c>
      <c r="AC956" s="101">
        <v>1.6928809764884534E-2</v>
      </c>
    </row>
    <row r="957" spans="25:29" x14ac:dyDescent="0.2">
      <c r="Y957" s="105" t="str">
        <f t="shared" si="48"/>
        <v>1w</v>
      </c>
      <c r="Z957" s="93">
        <f>_xll.qlCalendarAdvance(Calendar,Z956,Y957,"f",FALSE)</f>
        <v>45832</v>
      </c>
      <c r="AA957" s="117">
        <f>_xll.qlCalendarAdvance(Calendar,Z957,NDays&amp;"D")</f>
        <v>45834</v>
      </c>
      <c r="AB957" s="92">
        <v>1.7240442714002747E-2</v>
      </c>
      <c r="AC957" s="101">
        <v>1.6946881580208739E-2</v>
      </c>
    </row>
    <row r="958" spans="25:29" x14ac:dyDescent="0.2">
      <c r="Y958" s="105" t="str">
        <f t="shared" si="48"/>
        <v>1w</v>
      </c>
      <c r="Z958" s="93">
        <f>_xll.qlCalendarAdvance(Calendar,Z957,Y958,"f",FALSE)</f>
        <v>45839</v>
      </c>
      <c r="AA958" s="117">
        <f>_xll.qlCalendarAdvance(Calendar,Z958,NDays&amp;"D")</f>
        <v>45841</v>
      </c>
      <c r="AB958" s="92">
        <v>1.7256186014126942E-2</v>
      </c>
      <c r="AC958" s="101">
        <v>1.6964786697357681E-2</v>
      </c>
    </row>
    <row r="959" spans="25:29" x14ac:dyDescent="0.2">
      <c r="Y959" s="105" t="str">
        <f t="shared" si="48"/>
        <v>1w</v>
      </c>
      <c r="Z959" s="93">
        <f>_xll.qlCalendarAdvance(Calendar,Z958,Y959,"f",FALSE)</f>
        <v>45846</v>
      </c>
      <c r="AA959" s="117">
        <f>_xll.qlCalendarAdvance(Calendar,Z959,NDays&amp;"D")</f>
        <v>45848</v>
      </c>
      <c r="AB959" s="92">
        <v>1.7271749945225266E-2</v>
      </c>
      <c r="AC959" s="101">
        <v>1.6982524327202597E-2</v>
      </c>
    </row>
    <row r="960" spans="25:29" x14ac:dyDescent="0.2">
      <c r="Y960" s="105" t="str">
        <f t="shared" si="48"/>
        <v>1w</v>
      </c>
      <c r="Z960" s="93">
        <f>_xll.qlCalendarAdvance(Calendar,Z959,Y960,"f",FALSE)</f>
        <v>45853</v>
      </c>
      <c r="AA960" s="117">
        <f>_xll.qlCalendarAdvance(Calendar,Z960,NDays&amp;"D")</f>
        <v>45855</v>
      </c>
      <c r="AB960" s="92">
        <v>1.7287133706811165E-2</v>
      </c>
      <c r="AC960" s="101">
        <v>1.7000093680534789E-2</v>
      </c>
    </row>
    <row r="961" spans="25:29" x14ac:dyDescent="0.2">
      <c r="Y961" s="105" t="str">
        <f t="shared" si="48"/>
        <v>1w</v>
      </c>
      <c r="Z961" s="93">
        <f>_xll.qlCalendarAdvance(Calendar,Z960,Y961,"f",FALSE)</f>
        <v>45860</v>
      </c>
      <c r="AA961" s="117">
        <f>_xll.qlCalendarAdvance(Calendar,Z961,NDays&amp;"D")</f>
        <v>45862</v>
      </c>
      <c r="AB961" s="92">
        <v>1.7302336498424293E-2</v>
      </c>
      <c r="AC961" s="101">
        <v>1.7017493968065622E-2</v>
      </c>
    </row>
    <row r="962" spans="25:29" x14ac:dyDescent="0.2">
      <c r="Y962" s="105" t="str">
        <f t="shared" si="48"/>
        <v>1w</v>
      </c>
      <c r="Z962" s="93">
        <f>_xll.qlCalendarAdvance(Calendar,Z961,Y962,"f",FALSE)</f>
        <v>45867</v>
      </c>
      <c r="AA962" s="117">
        <f>_xll.qlCalendarAdvance(Calendar,Z962,NDays&amp;"D")</f>
        <v>45869</v>
      </c>
      <c r="AB962" s="92">
        <v>1.7313080536900175E-2</v>
      </c>
      <c r="AC962" s="101">
        <v>1.7034724400666335E-2</v>
      </c>
    </row>
    <row r="963" spans="25:29" x14ac:dyDescent="0.2">
      <c r="Y963" s="105" t="str">
        <f t="shared" si="48"/>
        <v>1w</v>
      </c>
      <c r="Z963" s="93">
        <f>_xll.qlCalendarAdvance(Calendar,Z962,Y963,"f",FALSE)</f>
        <v>45874</v>
      </c>
      <c r="AA963" s="117">
        <f>_xll.qlCalendarAdvance(Calendar,Z963,NDays&amp;"D")</f>
        <v>45876</v>
      </c>
      <c r="AB963" s="92">
        <v>1.7332195970010764E-2</v>
      </c>
      <c r="AC963" s="101">
        <v>1.7051784189048291E-2</v>
      </c>
    </row>
    <row r="964" spans="25:29" x14ac:dyDescent="0.2">
      <c r="Y964" s="105" t="str">
        <f t="shared" si="48"/>
        <v>1w</v>
      </c>
      <c r="Z964" s="93">
        <f>_xll.qlCalendarAdvance(Calendar,Z963,Y964,"f",FALSE)</f>
        <v>45881</v>
      </c>
      <c r="AA964" s="117">
        <f>_xll.qlCalendarAdvance(Calendar,Z964,NDays&amp;"D")</f>
        <v>45883</v>
      </c>
      <c r="AB964" s="92">
        <v>1.7346851049191495E-2</v>
      </c>
      <c r="AC964" s="101">
        <v>1.706867254408273E-2</v>
      </c>
    </row>
    <row r="965" spans="25:29" x14ac:dyDescent="0.2">
      <c r="Y965" s="105" t="str">
        <f t="shared" si="48"/>
        <v>1w</v>
      </c>
      <c r="Z965" s="93">
        <f>_xll.qlCalendarAdvance(Calendar,Z964,Y965,"f",FALSE)</f>
        <v>45888</v>
      </c>
      <c r="AA965" s="117">
        <f>_xll.qlCalendarAdvance(Calendar,Z965,NDays&amp;"D")</f>
        <v>45890</v>
      </c>
      <c r="AB965" s="92">
        <v>1.7361321956814221E-2</v>
      </c>
      <c r="AC965" s="101">
        <v>1.7085388676481017E-2</v>
      </c>
    </row>
    <row r="966" spans="25:29" x14ac:dyDescent="0.2">
      <c r="Y966" s="105" t="str">
        <f t="shared" si="48"/>
        <v>1w</v>
      </c>
      <c r="Z966" s="93">
        <f>_xll.qlCalendarAdvance(Calendar,Z965,Y966,"f",FALSE)</f>
        <v>45895</v>
      </c>
      <c r="AA966" s="117">
        <f>_xll.qlCalendarAdvance(Calendar,Z966,NDays&amp;"D")</f>
        <v>45897</v>
      </c>
      <c r="AB966" s="92">
        <v>1.7371483296906225E-2</v>
      </c>
      <c r="AC966" s="101">
        <v>1.7101931797114389E-2</v>
      </c>
    </row>
    <row r="967" spans="25:29" x14ac:dyDescent="0.2">
      <c r="Y967" s="105" t="str">
        <f t="shared" si="48"/>
        <v>1w</v>
      </c>
      <c r="Z967" s="93">
        <f>_xll.qlCalendarAdvance(Calendar,Z966,Y967,"f",FALSE)</f>
        <v>45902</v>
      </c>
      <c r="AA967" s="117">
        <f>_xll.qlCalendarAdvance(Calendar,Z967,NDays&amp;"D")</f>
        <v>45904</v>
      </c>
      <c r="AB967" s="92">
        <v>1.7382892045847493E-2</v>
      </c>
      <c r="AC967" s="101">
        <v>1.7118301116694212E-2</v>
      </c>
    </row>
    <row r="968" spans="25:29" x14ac:dyDescent="0.2">
      <c r="Y968" s="105" t="str">
        <f t="shared" si="48"/>
        <v>1w</v>
      </c>
      <c r="Z968" s="93">
        <f>_xll.qlCalendarAdvance(Calendar,Z967,Y968,"f",FALSE)</f>
        <v>45909</v>
      </c>
      <c r="AA968" s="117">
        <f>_xll.qlCalendarAdvance(Calendar,Z968,NDays&amp;"D")</f>
        <v>45911</v>
      </c>
      <c r="AB968" s="92">
        <v>1.7396870244519854E-2</v>
      </c>
      <c r="AC968" s="101">
        <v>1.7134495846091724E-2</v>
      </c>
    </row>
    <row r="969" spans="25:29" x14ac:dyDescent="0.2">
      <c r="Y969" s="105" t="str">
        <f t="shared" si="48"/>
        <v>1w</v>
      </c>
      <c r="Z969" s="93">
        <f>_xll.qlCalendarAdvance(Calendar,Z968,Y969,"f",FALSE)</f>
        <v>45916</v>
      </c>
      <c r="AA969" s="117">
        <f>_xll.qlCalendarAdvance(Calendar,Z969,NDays&amp;"D")</f>
        <v>45918</v>
      </c>
      <c r="AB969" s="92">
        <v>1.7410661398636017E-2</v>
      </c>
      <c r="AC969" s="101">
        <v>1.7150515196098226E-2</v>
      </c>
    </row>
    <row r="970" spans="25:29" x14ac:dyDescent="0.2">
      <c r="Y970" s="105" t="str">
        <f t="shared" si="48"/>
        <v>1w</v>
      </c>
      <c r="Z970" s="93">
        <f>_xll.qlCalendarAdvance(Calendar,Z969,Y970,"f",FALSE)</f>
        <v>45923</v>
      </c>
      <c r="AA970" s="117">
        <f>_xll.qlCalendarAdvance(Calendar,Z970,NDays&amp;"D")</f>
        <v>45925</v>
      </c>
      <c r="AB970" s="92">
        <v>1.7424264708278063E-2</v>
      </c>
      <c r="AC970" s="101">
        <v>1.716635837750502E-2</v>
      </c>
    </row>
    <row r="971" spans="25:29" x14ac:dyDescent="0.2">
      <c r="Y971" s="105" t="str">
        <f t="shared" si="48"/>
        <v>1w</v>
      </c>
      <c r="Z971" s="93">
        <f>_xll.qlCalendarAdvance(Calendar,Z970,Y971,"f",FALSE)</f>
        <v>45930</v>
      </c>
      <c r="AA971" s="117">
        <f>_xll.qlCalendarAdvance(Calendar,Z971,NDays&amp;"D")</f>
        <v>45932</v>
      </c>
      <c r="AB971" s="92">
        <v>1.7438992947121083E-2</v>
      </c>
      <c r="AC971" s="101">
        <v>1.7182024601023471E-2</v>
      </c>
    </row>
    <row r="972" spans="25:29" x14ac:dyDescent="0.2">
      <c r="Y972" s="105" t="str">
        <f t="shared" si="48"/>
        <v>1w</v>
      </c>
      <c r="Z972" s="93">
        <f>_xll.qlCalendarAdvance(Calendar,Z971,Y972,"f",FALSE)</f>
        <v>45937</v>
      </c>
      <c r="AA972" s="117">
        <f>_xll.qlCalendarAdvance(Calendar,Z972,NDays&amp;"D")</f>
        <v>45939</v>
      </c>
      <c r="AB972" s="92">
        <v>1.7452204997171129E-2</v>
      </c>
      <c r="AC972" s="101">
        <v>1.7197513077524818E-2</v>
      </c>
    </row>
    <row r="973" spans="25:29" x14ac:dyDescent="0.2">
      <c r="Y973" s="105" t="str">
        <f t="shared" si="48"/>
        <v>1w</v>
      </c>
      <c r="Z973" s="93">
        <f>_xll.qlCalendarAdvance(Calendar,Z972,Y973,"f",FALSE)</f>
        <v>45944</v>
      </c>
      <c r="AA973" s="117">
        <f>_xll.qlCalendarAdvance(Calendar,Z973,NDays&amp;"D")</f>
        <v>45946</v>
      </c>
      <c r="AB973" s="92">
        <v>1.7465226737342993E-2</v>
      </c>
      <c r="AC973" s="101">
        <v>1.7212823017800361E-2</v>
      </c>
    </row>
    <row r="974" spans="25:29" x14ac:dyDescent="0.2">
      <c r="Y974" s="105" t="str">
        <f t="shared" si="48"/>
        <v>1w</v>
      </c>
      <c r="Z974" s="93">
        <f>_xll.qlCalendarAdvance(Calendar,Z973,Y974,"f",FALSE)</f>
        <v>45951</v>
      </c>
      <c r="AA974" s="117">
        <f>_xll.qlCalendarAdvance(Calendar,Z974,NDays&amp;"D")</f>
        <v>45953</v>
      </c>
      <c r="AB974" s="92">
        <v>1.7478057367789446E-2</v>
      </c>
      <c r="AC974" s="101">
        <v>1.7227953632561466E-2</v>
      </c>
    </row>
    <row r="975" spans="25:29" x14ac:dyDescent="0.2">
      <c r="Y975" s="105" t="str">
        <f t="shared" si="48"/>
        <v>1w</v>
      </c>
      <c r="Z975" s="93">
        <f>_xll.qlCalendarAdvance(Calendar,Z974,Y975,"f",FALSE)</f>
        <v>45958</v>
      </c>
      <c r="AA975" s="117">
        <f>_xll.qlCalendarAdvance(Calendar,Z975,NDays&amp;"D")</f>
        <v>45960</v>
      </c>
      <c r="AB975" s="92">
        <v>1.749069608869885E-2</v>
      </c>
      <c r="AC975" s="101">
        <v>1.7242904132679371E-2</v>
      </c>
    </row>
    <row r="976" spans="25:29" x14ac:dyDescent="0.2">
      <c r="Y976" s="105" t="str">
        <f t="shared" si="48"/>
        <v>1w</v>
      </c>
      <c r="Z976" s="93">
        <f>_xll.qlCalendarAdvance(Calendar,Z975,Y976,"f",FALSE)</f>
        <v>45965</v>
      </c>
      <c r="AA976" s="117">
        <f>_xll.qlCalendarAdvance(Calendar,Z976,NDays&amp;"D")</f>
        <v>45967</v>
      </c>
      <c r="AB976" s="92">
        <v>1.7501895040745362E-2</v>
      </c>
      <c r="AC976" s="101">
        <v>1.7257673728945377E-2</v>
      </c>
    </row>
    <row r="977" spans="25:29" x14ac:dyDescent="0.2">
      <c r="Y977" s="105" t="str">
        <f t="shared" si="48"/>
        <v>1w</v>
      </c>
      <c r="Z977" s="93">
        <f>_xll.qlCalendarAdvance(Calendar,Z976,Y977,"f",FALSE)</f>
        <v>45972</v>
      </c>
      <c r="AA977" s="117">
        <f>_xll.qlCalendarAdvance(Calendar,Z977,NDays&amp;"D")</f>
        <v>45974</v>
      </c>
      <c r="AB977" s="92">
        <v>1.7514161044051901E-2</v>
      </c>
      <c r="AC977" s="101">
        <v>1.7272261632150787E-2</v>
      </c>
    </row>
    <row r="978" spans="25:29" x14ac:dyDescent="0.2">
      <c r="Y978" s="105" t="str">
        <f t="shared" si="48"/>
        <v>1w</v>
      </c>
      <c r="Z978" s="93">
        <f>_xll.qlCalendarAdvance(Calendar,Z977,Y978,"f",FALSE)</f>
        <v>45979</v>
      </c>
      <c r="AA978" s="117">
        <f>_xll.qlCalendarAdvance(Calendar,Z978,NDays&amp;"D")</f>
        <v>45981</v>
      </c>
      <c r="AB978" s="92">
        <v>1.752623280471614E-2</v>
      </c>
      <c r="AC978" s="101">
        <v>1.7286667053006965E-2</v>
      </c>
    </row>
    <row r="979" spans="25:29" x14ac:dyDescent="0.2">
      <c r="Y979" s="105" t="str">
        <f t="shared" si="48"/>
        <v>1w</v>
      </c>
      <c r="Z979" s="93">
        <f>_xll.qlCalendarAdvance(Calendar,Z978,Y979,"f",FALSE)</f>
        <v>45986</v>
      </c>
      <c r="AA979" s="117">
        <f>_xll.qlCalendarAdvance(Calendar,Z979,NDays&amp;"D")</f>
        <v>45988</v>
      </c>
      <c r="AB979" s="92">
        <v>1.7538109523126209E-2</v>
      </c>
      <c r="AC979" s="101">
        <v>1.730088920238515E-2</v>
      </c>
    </row>
    <row r="980" spans="25:29" x14ac:dyDescent="0.2">
      <c r="Y980" s="105" t="str">
        <f t="shared" si="48"/>
        <v>1w</v>
      </c>
      <c r="Z980" s="93">
        <f>_xll.qlCalendarAdvance(Calendar,Z979,Y980,"f",FALSE)</f>
        <v>45993</v>
      </c>
      <c r="AA980" s="117">
        <f>_xll.qlCalendarAdvance(Calendar,Z980,NDays&amp;"D")</f>
        <v>45995</v>
      </c>
      <c r="AB980" s="92">
        <v>1.7550983059251707E-2</v>
      </c>
      <c r="AC980" s="101">
        <v>1.7314927291076643E-2</v>
      </c>
    </row>
    <row r="981" spans="25:29" x14ac:dyDescent="0.2">
      <c r="Y981" s="105" t="str">
        <f t="shared" ref="Y981:Y1044" si="49">Y980</f>
        <v>1w</v>
      </c>
      <c r="Z981" s="93">
        <f>_xll.qlCalendarAdvance(Calendar,Z980,Y981,"f",FALSE)</f>
        <v>46000</v>
      </c>
      <c r="AA981" s="117">
        <f>_xll.qlCalendarAdvance(Calendar,Z981,NDays&amp;"D")</f>
        <v>46002</v>
      </c>
      <c r="AB981" s="92">
        <v>1.7562453528895274E-2</v>
      </c>
      <c r="AC981" s="101">
        <v>1.7328780529872745E-2</v>
      </c>
    </row>
    <row r="982" spans="25:29" x14ac:dyDescent="0.2">
      <c r="Y982" s="105" t="str">
        <f t="shared" si="49"/>
        <v>1w</v>
      </c>
      <c r="Z982" s="93">
        <f>_xll.qlCalendarAdvance(Calendar,Z981,Y982,"f",FALSE)</f>
        <v>46007</v>
      </c>
      <c r="AA982" s="117">
        <f>_xll.qlCalendarAdvance(Calendar,Z982,NDays&amp;"D")</f>
        <v>46009</v>
      </c>
      <c r="AB982" s="92">
        <v>1.7573726491340549E-2</v>
      </c>
      <c r="AC982" s="101">
        <v>1.7342448129644694E-2</v>
      </c>
    </row>
    <row r="983" spans="25:29" x14ac:dyDescent="0.2">
      <c r="Y983" s="105" t="str">
        <f t="shared" si="49"/>
        <v>1w</v>
      </c>
      <c r="Z983" s="93">
        <f>_xll.qlCalendarAdvance(Calendar,Z982,Y983,"f",FALSE)</f>
        <v>46014</v>
      </c>
      <c r="AA983" s="117">
        <f>_xll.qlCalendarAdvance(Calendar,Z983,NDays&amp;"D")</f>
        <v>46020</v>
      </c>
      <c r="AB983" s="92">
        <v>1.7591040178448286E-2</v>
      </c>
      <c r="AC983" s="101">
        <v>1.7363548821238695E-2</v>
      </c>
    </row>
    <row r="984" spans="25:29" x14ac:dyDescent="0.2">
      <c r="Y984" s="105" t="str">
        <f t="shared" si="49"/>
        <v>1w</v>
      </c>
      <c r="Z984" s="93">
        <f>_xll.qlCalendarAdvance(Calendar,Z983,Y984,"f",FALSE)</f>
        <v>46021</v>
      </c>
      <c r="AA984" s="117">
        <f>_xll.qlCalendarAdvance(Calendar,Z984,NDays&amp;"D")</f>
        <v>46024</v>
      </c>
      <c r="AB984" s="92">
        <v>1.7596078847783851E-2</v>
      </c>
      <c r="AC984" s="101">
        <v>1.7373824153636974E-2</v>
      </c>
    </row>
    <row r="985" spans="25:29" x14ac:dyDescent="0.2">
      <c r="Y985" s="105" t="str">
        <f t="shared" si="49"/>
        <v>1w</v>
      </c>
      <c r="Z985" s="93">
        <f>_xll.qlCalendarAdvance(Calendar,Z984,Y985,"f",FALSE)</f>
        <v>46028</v>
      </c>
      <c r="AA985" s="117">
        <f>_xll.qlCalendarAdvance(Calendar,Z985,NDays&amp;"D")</f>
        <v>46030</v>
      </c>
      <c r="AB985" s="92">
        <v>1.7605229172841071E-2</v>
      </c>
      <c r="AC985" s="101">
        <v>1.7382329201929281E-2</v>
      </c>
    </row>
    <row r="986" spans="25:29" x14ac:dyDescent="0.2">
      <c r="Y986" s="105" t="str">
        <f t="shared" si="49"/>
        <v>1w</v>
      </c>
      <c r="Z986" s="93">
        <f>_xll.qlCalendarAdvance(Calendar,Z985,Y986,"f",FALSE)</f>
        <v>46035</v>
      </c>
      <c r="AA986" s="117">
        <f>_xll.qlCalendarAdvance(Calendar,Z986,NDays&amp;"D")</f>
        <v>46037</v>
      </c>
      <c r="AB986" s="92">
        <v>1.761571820961259E-2</v>
      </c>
      <c r="AC986" s="101">
        <v>1.7395246353117955E-2</v>
      </c>
    </row>
    <row r="987" spans="25:29" x14ac:dyDescent="0.2">
      <c r="Y987" s="105" t="str">
        <f t="shared" si="49"/>
        <v>1w</v>
      </c>
      <c r="Z987" s="93">
        <f>_xll.qlCalendarAdvance(Calendar,Z986,Y987,"f",FALSE)</f>
        <v>46042</v>
      </c>
      <c r="AA987" s="117">
        <f>_xll.qlCalendarAdvance(Calendar,Z987,NDays&amp;"D")</f>
        <v>46044</v>
      </c>
      <c r="AB987" s="92">
        <v>1.7626005808662356E-2</v>
      </c>
      <c r="AC987" s="101">
        <v>1.7407973919159048E-2</v>
      </c>
    </row>
    <row r="988" spans="25:29" x14ac:dyDescent="0.2">
      <c r="Y988" s="105" t="str">
        <f t="shared" si="49"/>
        <v>1w</v>
      </c>
      <c r="Z988" s="93">
        <f>_xll.qlCalendarAdvance(Calendar,Z987,Y988,"f",FALSE)</f>
        <v>46049</v>
      </c>
      <c r="AA988" s="117">
        <f>_xll.qlCalendarAdvance(Calendar,Z988,NDays&amp;"D")</f>
        <v>46051</v>
      </c>
      <c r="AB988" s="92">
        <v>1.7636091170746829E-2</v>
      </c>
      <c r="AC988" s="101">
        <v>1.7420511110843862E-2</v>
      </c>
    </row>
    <row r="989" spans="25:29" x14ac:dyDescent="0.2">
      <c r="Y989" s="105" t="str">
        <f t="shared" si="49"/>
        <v>1w</v>
      </c>
      <c r="Z989" s="93">
        <f>_xll.qlCalendarAdvance(Calendar,Z988,Y989,"f",FALSE)</f>
        <v>46056</v>
      </c>
      <c r="AA989" s="117">
        <f>_xll.qlCalendarAdvance(Calendar,Z989,NDays&amp;"D")</f>
        <v>46058</v>
      </c>
      <c r="AB989" s="92">
        <v>1.7645973496668833E-2</v>
      </c>
      <c r="AC989" s="101">
        <v>1.7432857138963698E-2</v>
      </c>
    </row>
    <row r="990" spans="25:29" x14ac:dyDescent="0.2">
      <c r="Y990" s="105" t="str">
        <f t="shared" si="49"/>
        <v>1w</v>
      </c>
      <c r="Z990" s="93">
        <f>_xll.qlCalendarAdvance(Calendar,Z989,Y990,"f",FALSE)</f>
        <v>46063</v>
      </c>
      <c r="AA990" s="117">
        <f>_xll.qlCalendarAdvance(Calendar,Z990,NDays&amp;"D")</f>
        <v>46065</v>
      </c>
      <c r="AB990" s="92">
        <v>1.7655651987275801E-2</v>
      </c>
      <c r="AC990" s="101">
        <v>1.7445011214389794E-2</v>
      </c>
    </row>
    <row r="991" spans="25:29" x14ac:dyDescent="0.2">
      <c r="Y991" s="105" t="str">
        <f t="shared" si="49"/>
        <v>1w</v>
      </c>
      <c r="Z991" s="93">
        <f>_xll.qlCalendarAdvance(Calendar,Z990,Y991,"f",FALSE)</f>
        <v>46070</v>
      </c>
      <c r="AA991" s="117">
        <f>_xll.qlCalendarAdvance(Calendar,Z991,NDays&amp;"D")</f>
        <v>46072</v>
      </c>
      <c r="AB991" s="92">
        <v>1.7665125843461537E-2</v>
      </c>
      <c r="AC991" s="101">
        <v>1.7456972547833516E-2</v>
      </c>
    </row>
    <row r="992" spans="25:29" x14ac:dyDescent="0.2">
      <c r="Y992" s="105" t="str">
        <f t="shared" si="49"/>
        <v>1w</v>
      </c>
      <c r="Z992" s="93">
        <f>_xll.qlCalendarAdvance(Calendar,Z991,Y992,"f",FALSE)</f>
        <v>46077</v>
      </c>
      <c r="AA992" s="117">
        <f>_xll.qlCalendarAdvance(Calendar,Z992,NDays&amp;"D")</f>
        <v>46079</v>
      </c>
      <c r="AB992" s="92">
        <v>1.7674394266168427E-2</v>
      </c>
      <c r="AC992" s="101">
        <v>1.7468740350166101E-2</v>
      </c>
    </row>
    <row r="993" spans="25:29" x14ac:dyDescent="0.2">
      <c r="Y993" s="105" t="str">
        <f t="shared" si="49"/>
        <v>1w</v>
      </c>
      <c r="Z993" s="93">
        <f>_xll.qlCalendarAdvance(Calendar,Z992,Y993,"f",FALSE)</f>
        <v>46084</v>
      </c>
      <c r="AA993" s="117">
        <f>_xll.qlCalendarAdvance(Calendar,Z993,NDays&amp;"D")</f>
        <v>46086</v>
      </c>
      <c r="AB993" s="92">
        <v>1.768848529733243E-2</v>
      </c>
      <c r="AC993" s="101">
        <v>1.7480313832018979E-2</v>
      </c>
    </row>
    <row r="994" spans="25:29" x14ac:dyDescent="0.2">
      <c r="Y994" s="105" t="str">
        <f t="shared" si="49"/>
        <v>1w</v>
      </c>
      <c r="Z994" s="93">
        <f>_xll.qlCalendarAdvance(Calendar,Z993,Y994,"f",FALSE)</f>
        <v>46091</v>
      </c>
      <c r="AA994" s="117">
        <f>_xll.qlCalendarAdvance(Calendar,Z994,NDays&amp;"D")</f>
        <v>46093</v>
      </c>
      <c r="AB994" s="92">
        <v>1.7697267226900924E-2</v>
      </c>
      <c r="AC994" s="101">
        <v>1.7491692204423259E-2</v>
      </c>
    </row>
    <row r="995" spans="25:29" x14ac:dyDescent="0.2">
      <c r="Y995" s="105" t="str">
        <f t="shared" si="49"/>
        <v>1w</v>
      </c>
      <c r="Z995" s="93">
        <f>_xll.qlCalendarAdvance(Calendar,Z994,Y995,"f",FALSE)</f>
        <v>46098</v>
      </c>
      <c r="AA995" s="117">
        <f>_xll.qlCalendarAdvance(Calendar,Z995,NDays&amp;"D")</f>
        <v>46100</v>
      </c>
      <c r="AB995" s="92">
        <v>1.7705840990927407E-2</v>
      </c>
      <c r="AC995" s="101">
        <v>1.7502874677930436E-2</v>
      </c>
    </row>
    <row r="996" spans="25:29" x14ac:dyDescent="0.2">
      <c r="Y996" s="105" t="str">
        <f t="shared" si="49"/>
        <v>1w</v>
      </c>
      <c r="Z996" s="93">
        <f>_xll.qlCalendarAdvance(Calendar,Z995,Y996,"f",FALSE)</f>
        <v>46105</v>
      </c>
      <c r="AA996" s="117">
        <f>_xll.qlCalendarAdvance(Calendar,Z996,NDays&amp;"D")</f>
        <v>46107</v>
      </c>
      <c r="AB996" s="92">
        <v>1.7714205790300138E-2</v>
      </c>
      <c r="AC996" s="101">
        <v>1.7513860463571618E-2</v>
      </c>
    </row>
    <row r="997" spans="25:29" x14ac:dyDescent="0.2">
      <c r="Y997" s="105" t="str">
        <f t="shared" si="49"/>
        <v>1w</v>
      </c>
      <c r="Z997" s="93">
        <f>_xll.qlCalendarAdvance(Calendar,Z996,Y997,"f",FALSE)</f>
        <v>46112</v>
      </c>
      <c r="AA997" s="117">
        <f>_xll.qlCalendarAdvance(Calendar,Z997,NDays&amp;"D")</f>
        <v>46114</v>
      </c>
      <c r="AB997" s="92">
        <v>1.7719524685707318E-2</v>
      </c>
      <c r="AC997" s="101">
        <v>1.7529397573714078E-2</v>
      </c>
    </row>
    <row r="998" spans="25:29" x14ac:dyDescent="0.2">
      <c r="Y998" s="105" t="str">
        <f t="shared" si="49"/>
        <v>1w</v>
      </c>
      <c r="Z998" s="93">
        <f>_xll.qlCalendarAdvance(Calendar,Z997,Y998,"f",FALSE)</f>
        <v>46119</v>
      </c>
      <c r="AA998" s="117">
        <f>_xll.qlCalendarAdvance(Calendar,Z998,NDays&amp;"D")</f>
        <v>46121</v>
      </c>
      <c r="AB998" s="92">
        <v>1.7727513922175333E-2</v>
      </c>
      <c r="AC998" s="101">
        <v>1.7535238813941589E-2</v>
      </c>
    </row>
    <row r="999" spans="25:29" x14ac:dyDescent="0.2">
      <c r="Y999" s="105" t="str">
        <f t="shared" si="49"/>
        <v>1w</v>
      </c>
      <c r="Z999" s="93">
        <f>_xll.qlCalendarAdvance(Calendar,Z998,Y999,"f",FALSE)</f>
        <v>46126</v>
      </c>
      <c r="AA999" s="117">
        <f>_xll.qlCalendarAdvance(Calendar,Z999,NDays&amp;"D")</f>
        <v>46128</v>
      </c>
      <c r="AB999" s="92">
        <v>1.7735291998707471E-2</v>
      </c>
      <c r="AC999" s="101">
        <v>1.7545629800412854E-2</v>
      </c>
    </row>
    <row r="1000" spans="25:29" x14ac:dyDescent="0.2">
      <c r="Y1000" s="105" t="str">
        <f t="shared" si="49"/>
        <v>1w</v>
      </c>
      <c r="Z1000" s="93">
        <f>_xll.qlCalendarAdvance(Calendar,Z999,Y1000,"f",FALSE)</f>
        <v>46133</v>
      </c>
      <c r="AA1000" s="117">
        <f>_xll.qlCalendarAdvance(Calendar,Z1000,NDays&amp;"D")</f>
        <v>46135</v>
      </c>
      <c r="AB1000" s="92">
        <v>1.7742858116556001E-2</v>
      </c>
      <c r="AC1000" s="101">
        <v>1.7555820942103395E-2</v>
      </c>
    </row>
    <row r="1001" spans="25:29" x14ac:dyDescent="0.2">
      <c r="Y1001" s="105" t="str">
        <f t="shared" si="49"/>
        <v>1w</v>
      </c>
      <c r="Z1001" s="93">
        <f>_xll.qlCalendarAdvance(Calendar,Z1000,Y1001,"f",FALSE)</f>
        <v>46140</v>
      </c>
      <c r="AA1001" s="117">
        <f>_xll.qlCalendarAdvance(Calendar,Z1001,NDays&amp;"D")</f>
        <v>46142</v>
      </c>
      <c r="AB1001" s="92">
        <v>1.7750211477030407E-2</v>
      </c>
      <c r="AC1001" s="101">
        <v>1.7569209531060892E-2</v>
      </c>
    </row>
    <row r="1002" spans="25:29" x14ac:dyDescent="0.2">
      <c r="Y1002" s="105" t="str">
        <f t="shared" si="49"/>
        <v>1w</v>
      </c>
      <c r="Z1002" s="93">
        <f>_xll.qlCalendarAdvance(Calendar,Z1001,Y1002,"f",FALSE)</f>
        <v>46147</v>
      </c>
      <c r="AA1002" s="117">
        <f>_xll.qlCalendarAdvance(Calendar,Z1002,NDays&amp;"D")</f>
        <v>46149</v>
      </c>
      <c r="AB1002" s="92">
        <v>1.775996158542625E-2</v>
      </c>
      <c r="AC1002" s="101">
        <v>1.7575600534227576E-2</v>
      </c>
    </row>
    <row r="1003" spans="25:29" x14ac:dyDescent="0.2">
      <c r="Y1003" s="105" t="str">
        <f t="shared" si="49"/>
        <v>1w</v>
      </c>
      <c r="Z1003" s="93">
        <f>_xll.qlCalendarAdvance(Calendar,Z1002,Y1003,"f",FALSE)</f>
        <v>46154</v>
      </c>
      <c r="AA1003" s="117">
        <f>_xll.qlCalendarAdvance(Calendar,Z1003,NDays&amp;"D")</f>
        <v>46156</v>
      </c>
      <c r="AB1003" s="92">
        <v>1.7766841261701794E-2</v>
      </c>
      <c r="AC1003" s="101">
        <v>1.7585187406323755E-2</v>
      </c>
    </row>
    <row r="1004" spans="25:29" x14ac:dyDescent="0.2">
      <c r="Y1004" s="105" t="str">
        <f t="shared" si="49"/>
        <v>1w</v>
      </c>
      <c r="Z1004" s="93">
        <f>_xll.qlCalendarAdvance(Calendar,Z1003,Y1004,"f",FALSE)</f>
        <v>46161</v>
      </c>
      <c r="AA1004" s="117">
        <f>_xll.qlCalendarAdvance(Calendar,Z1004,NDays&amp;"D")</f>
        <v>46163</v>
      </c>
      <c r="AB1004" s="92">
        <v>1.7773505582425884E-2</v>
      </c>
      <c r="AC1004" s="101">
        <v>1.7594571276804416E-2</v>
      </c>
    </row>
    <row r="1005" spans="25:29" x14ac:dyDescent="0.2">
      <c r="Y1005" s="105" t="str">
        <f t="shared" si="49"/>
        <v>1w</v>
      </c>
      <c r="Z1005" s="93">
        <f>_xll.qlCalendarAdvance(Calendar,Z1004,Y1005,"f",FALSE)</f>
        <v>46168</v>
      </c>
      <c r="AA1005" s="117">
        <f>_xll.qlCalendarAdvance(Calendar,Z1005,NDays&amp;"D")</f>
        <v>46170</v>
      </c>
      <c r="AB1005" s="92">
        <v>1.7779953748998188E-2</v>
      </c>
      <c r="AC1005" s="101">
        <v>1.7603751356460862E-2</v>
      </c>
    </row>
    <row r="1006" spans="25:29" x14ac:dyDescent="0.2">
      <c r="Y1006" s="105" t="str">
        <f t="shared" si="49"/>
        <v>1w</v>
      </c>
      <c r="Z1006" s="93">
        <f>_xll.qlCalendarAdvance(Calendar,Z1005,Y1006,"f",FALSE)</f>
        <v>46175</v>
      </c>
      <c r="AA1006" s="117">
        <f>_xll.qlCalendarAdvance(Calendar,Z1006,NDays&amp;"D")</f>
        <v>46177</v>
      </c>
      <c r="AB1006" s="92">
        <v>1.7783758968588009E-2</v>
      </c>
      <c r="AC1006" s="101">
        <v>1.7612726856164329E-2</v>
      </c>
    </row>
    <row r="1007" spans="25:29" x14ac:dyDescent="0.2">
      <c r="Y1007" s="105" t="str">
        <f t="shared" si="49"/>
        <v>1w</v>
      </c>
      <c r="Z1007" s="93">
        <f>_xll.qlCalendarAdvance(Calendar,Z1006,Y1007,"f",FALSE)</f>
        <v>46182</v>
      </c>
      <c r="AA1007" s="117">
        <f>_xll.qlCalendarAdvance(Calendar,Z1007,NDays&amp;"D")</f>
        <v>46184</v>
      </c>
      <c r="AB1007" s="92">
        <v>1.7789819015520035E-2</v>
      </c>
      <c r="AC1007" s="101">
        <v>1.7621496986626184E-2</v>
      </c>
    </row>
    <row r="1008" spans="25:29" x14ac:dyDescent="0.2">
      <c r="Y1008" s="105" t="str">
        <f t="shared" si="49"/>
        <v>1w</v>
      </c>
      <c r="Z1008" s="93">
        <f>_xll.qlCalendarAdvance(Calendar,Z1007,Y1008,"f",FALSE)</f>
        <v>46189</v>
      </c>
      <c r="AA1008" s="117">
        <f>_xll.qlCalendarAdvance(Calendar,Z1008,NDays&amp;"D")</f>
        <v>46191</v>
      </c>
      <c r="AB1008" s="92">
        <v>1.7795660715866222E-2</v>
      </c>
      <c r="AC1008" s="101">
        <v>1.7630060958717664E-2</v>
      </c>
    </row>
    <row r="1009" spans="25:29" x14ac:dyDescent="0.2">
      <c r="Y1009" s="105" t="str">
        <f t="shared" si="49"/>
        <v>1w</v>
      </c>
      <c r="Z1009" s="93">
        <f>_xll.qlCalendarAdvance(Calendar,Z1008,Y1009,"f",FALSE)</f>
        <v>46196</v>
      </c>
      <c r="AA1009" s="117">
        <f>_xll.qlCalendarAdvance(Calendar,Z1009,NDays&amp;"D")</f>
        <v>46198</v>
      </c>
      <c r="AB1009" s="92">
        <v>1.7803568903912329E-2</v>
      </c>
      <c r="AC1009" s="101">
        <v>1.763841798323007E-2</v>
      </c>
    </row>
    <row r="1010" spans="25:29" x14ac:dyDescent="0.2">
      <c r="Y1010" s="105" t="str">
        <f t="shared" si="49"/>
        <v>1w</v>
      </c>
      <c r="Z1010" s="93">
        <f>_xll.qlCalendarAdvance(Calendar,Z1009,Y1010,"f",FALSE)</f>
        <v>46203</v>
      </c>
      <c r="AA1010" s="117">
        <f>_xll.qlCalendarAdvance(Calendar,Z1010,NDays&amp;"D")</f>
        <v>46205</v>
      </c>
      <c r="AB1010" s="92">
        <v>1.7808924322884698E-2</v>
      </c>
      <c r="AC1010" s="101">
        <v>1.7646567271034641E-2</v>
      </c>
    </row>
    <row r="1011" spans="25:29" x14ac:dyDescent="0.2">
      <c r="Y1011" s="105" t="str">
        <f t="shared" si="49"/>
        <v>1w</v>
      </c>
      <c r="Z1011" s="93">
        <f>_xll.qlCalendarAdvance(Calendar,Z1010,Y1011,"f",FALSE)</f>
        <v>46210</v>
      </c>
      <c r="AA1011" s="117">
        <f>_xll.qlCalendarAdvance(Calendar,Z1011,NDays&amp;"D")</f>
        <v>46212</v>
      </c>
      <c r="AB1011" s="92">
        <v>1.7814058797414975E-2</v>
      </c>
      <c r="AC1011" s="101">
        <v>1.7654508032602934E-2</v>
      </c>
    </row>
    <row r="1012" spans="25:29" x14ac:dyDescent="0.2">
      <c r="Y1012" s="105" t="str">
        <f t="shared" si="49"/>
        <v>1w</v>
      </c>
      <c r="Z1012" s="93">
        <f>_xll.qlCalendarAdvance(Calendar,Z1011,Y1012,"f",FALSE)</f>
        <v>46217</v>
      </c>
      <c r="AA1012" s="117">
        <f>_xll.qlCalendarAdvance(Calendar,Z1012,NDays&amp;"D")</f>
        <v>46219</v>
      </c>
      <c r="AB1012" s="92">
        <v>1.7818971529348922E-2</v>
      </c>
      <c r="AC1012" s="101">
        <v>1.766223947912593E-2</v>
      </c>
    </row>
    <row r="1013" spans="25:29" x14ac:dyDescent="0.2">
      <c r="Y1013" s="105" t="str">
        <f t="shared" si="49"/>
        <v>1w</v>
      </c>
      <c r="Z1013" s="93">
        <f>_xll.qlCalendarAdvance(Calendar,Z1012,Y1013,"f",FALSE)</f>
        <v>46224</v>
      </c>
      <c r="AA1013" s="117">
        <f>_xll.qlCalendarAdvance(Calendar,Z1013,NDays&amp;"D")</f>
        <v>46226</v>
      </c>
      <c r="AB1013" s="92">
        <v>1.7823661720599782E-2</v>
      </c>
      <c r="AC1013" s="101">
        <v>1.7669760821235059E-2</v>
      </c>
    </row>
    <row r="1014" spans="25:29" x14ac:dyDescent="0.2">
      <c r="Y1014" s="105" t="str">
        <f t="shared" si="49"/>
        <v>1w</v>
      </c>
      <c r="Z1014" s="93">
        <f>_xll.qlCalendarAdvance(Calendar,Z1013,Y1014,"f",FALSE)</f>
        <v>46231</v>
      </c>
      <c r="AA1014" s="117">
        <f>_xll.qlCalendarAdvance(Calendar,Z1014,NDays&amp;"D")</f>
        <v>46233</v>
      </c>
      <c r="AB1014" s="92">
        <v>1.782608094408155E-2</v>
      </c>
      <c r="AC1014" s="101">
        <v>1.7677071269721623E-2</v>
      </c>
    </row>
    <row r="1015" spans="25:29" x14ac:dyDescent="0.2">
      <c r="Y1015" s="105" t="str">
        <f t="shared" si="49"/>
        <v>1w</v>
      </c>
      <c r="Z1015" s="93">
        <f>_xll.qlCalendarAdvance(Calendar,Z1014,Y1015,"f",FALSE)</f>
        <v>46238</v>
      </c>
      <c r="AA1015" s="117">
        <f>_xll.qlCalendarAdvance(Calendar,Z1015,NDays&amp;"D")</f>
        <v>46240</v>
      </c>
      <c r="AB1015" s="92">
        <v>1.7832371289044302E-2</v>
      </c>
      <c r="AC1015" s="101">
        <v>1.7684170035456859E-2</v>
      </c>
    </row>
    <row r="1016" spans="25:29" x14ac:dyDescent="0.2">
      <c r="Y1016" s="105" t="str">
        <f t="shared" si="49"/>
        <v>1w</v>
      </c>
      <c r="Z1016" s="93">
        <f>_xll.qlCalendarAdvance(Calendar,Z1015,Y1016,"f",FALSE)</f>
        <v>46245</v>
      </c>
      <c r="AA1016" s="117">
        <f>_xll.qlCalendarAdvance(Calendar,Z1016,NDays&amp;"D")</f>
        <v>46247</v>
      </c>
      <c r="AB1016" s="92">
        <v>1.7836389070408683E-2</v>
      </c>
      <c r="AC1016" s="101">
        <v>1.7691056329232069E-2</v>
      </c>
    </row>
    <row r="1017" spans="25:29" x14ac:dyDescent="0.2">
      <c r="Y1017" s="105" t="str">
        <f t="shared" si="49"/>
        <v>1w</v>
      </c>
      <c r="Z1017" s="93">
        <f>_xll.qlCalendarAdvance(Calendar,Z1016,Y1017,"f",FALSE)</f>
        <v>46252</v>
      </c>
      <c r="AA1017" s="117">
        <f>_xll.qlCalendarAdvance(Calendar,Z1017,NDays&amp;"D")</f>
        <v>46254</v>
      </c>
      <c r="AB1017" s="92">
        <v>1.7840181119432717E-2</v>
      </c>
      <c r="AC1017" s="101">
        <v>1.7697729361758618E-2</v>
      </c>
    </row>
    <row r="1018" spans="25:29" x14ac:dyDescent="0.2">
      <c r="Y1018" s="105" t="str">
        <f t="shared" si="49"/>
        <v>1w</v>
      </c>
      <c r="Z1018" s="93">
        <f>_xll.qlCalendarAdvance(Calendar,Z1017,Y1018,"f",FALSE)</f>
        <v>46259</v>
      </c>
      <c r="AA1018" s="117">
        <f>_xll.qlCalendarAdvance(Calendar,Z1018,NDays&amp;"D")</f>
        <v>46261</v>
      </c>
      <c r="AB1018" s="92">
        <v>1.7841893081823219E-2</v>
      </c>
      <c r="AC1018" s="101">
        <v>1.7704188343907745E-2</v>
      </c>
    </row>
    <row r="1019" spans="25:29" x14ac:dyDescent="0.2">
      <c r="Y1019" s="105" t="str">
        <f t="shared" si="49"/>
        <v>1w</v>
      </c>
      <c r="Z1019" s="93">
        <f>_xll.qlCalendarAdvance(Calendar,Z1018,Y1019,"f",FALSE)</f>
        <v>46266</v>
      </c>
      <c r="AA1019" s="117">
        <f>_xll.qlCalendarAdvance(Calendar,Z1019,NDays&amp;"D")</f>
        <v>46268</v>
      </c>
      <c r="AB1019" s="92">
        <v>1.7844069505493266E-2</v>
      </c>
      <c r="AC1019" s="101">
        <v>1.7710432486470751E-2</v>
      </c>
    </row>
    <row r="1020" spans="25:29" x14ac:dyDescent="0.2">
      <c r="Y1020" s="105" t="str">
        <f t="shared" si="49"/>
        <v>1w</v>
      </c>
      <c r="Z1020" s="93">
        <f>_xll.qlCalendarAdvance(Calendar,Z1019,Y1020,"f",FALSE)</f>
        <v>46273</v>
      </c>
      <c r="AA1020" s="117">
        <f>_xll.qlCalendarAdvance(Calendar,Z1020,NDays&amp;"D")</f>
        <v>46275</v>
      </c>
      <c r="AB1020" s="92">
        <v>1.7847261591808321E-2</v>
      </c>
      <c r="AC1020" s="101">
        <v>1.7716461000238937E-2</v>
      </c>
    </row>
    <row r="1021" spans="25:29" x14ac:dyDescent="0.2">
      <c r="Y1021" s="105" t="str">
        <f t="shared" si="49"/>
        <v>1w</v>
      </c>
      <c r="Z1021" s="93">
        <f>_xll.qlCalendarAdvance(Calendar,Z1020,Y1021,"f",FALSE)</f>
        <v>46280</v>
      </c>
      <c r="AA1021" s="117">
        <f>_xll.qlCalendarAdvance(Calendar,Z1021,NDays&amp;"D")</f>
        <v>46282</v>
      </c>
      <c r="AB1021" s="92">
        <v>1.7850225096341803E-2</v>
      </c>
      <c r="AC1021" s="101">
        <v>1.7722273096083541E-2</v>
      </c>
    </row>
    <row r="1022" spans="25:29" x14ac:dyDescent="0.2">
      <c r="Y1022" s="105" t="str">
        <f t="shared" si="49"/>
        <v>1w</v>
      </c>
      <c r="Z1022" s="93">
        <f>_xll.qlCalendarAdvance(Calendar,Z1021,Y1022,"f",FALSE)</f>
        <v>46287</v>
      </c>
      <c r="AA1022" s="117">
        <f>_xll.qlCalendarAdvance(Calendar,Z1022,NDays&amp;"D")</f>
        <v>46289</v>
      </c>
      <c r="AB1022" s="92">
        <v>1.7852959221849457E-2</v>
      </c>
      <c r="AC1022" s="101">
        <v>1.7727867984715928E-2</v>
      </c>
    </row>
    <row r="1023" spans="25:29" x14ac:dyDescent="0.2">
      <c r="Y1023" s="105" t="str">
        <f t="shared" si="49"/>
        <v>1w</v>
      </c>
      <c r="Z1023" s="93">
        <f>_xll.qlCalendarAdvance(Calendar,Z1022,Y1023,"f",FALSE)</f>
        <v>46294</v>
      </c>
      <c r="AA1023" s="117">
        <f>_xll.qlCalendarAdvance(Calendar,Z1023,NDays&amp;"D")</f>
        <v>46296</v>
      </c>
      <c r="AB1023" s="92">
        <v>1.7856003377271674E-2</v>
      </c>
      <c r="AC1023" s="101">
        <v>1.7733244876927401E-2</v>
      </c>
    </row>
    <row r="1024" spans="25:29" x14ac:dyDescent="0.2">
      <c r="Y1024" s="105" t="str">
        <f t="shared" si="49"/>
        <v>1w</v>
      </c>
      <c r="Z1024" s="93">
        <f>_xll.qlCalendarAdvance(Calendar,Z1023,Y1024,"f",FALSE)</f>
        <v>46301</v>
      </c>
      <c r="AA1024" s="117">
        <f>_xll.qlCalendarAdvance(Calendar,Z1024,NDays&amp;"D")</f>
        <v>46303</v>
      </c>
      <c r="AB1024" s="92">
        <v>1.7858259690266578E-2</v>
      </c>
      <c r="AC1024" s="101">
        <v>1.7738402983669133E-2</v>
      </c>
    </row>
    <row r="1025" spans="25:29" x14ac:dyDescent="0.2">
      <c r="Y1025" s="105" t="str">
        <f t="shared" si="49"/>
        <v>1w</v>
      </c>
      <c r="Z1025" s="93">
        <f>_xll.qlCalendarAdvance(Calendar,Z1024,Y1025,"f",FALSE)</f>
        <v>46308</v>
      </c>
      <c r="AA1025" s="117">
        <f>_xll.qlCalendarAdvance(Calendar,Z1025,NDays&amp;"D")</f>
        <v>46310</v>
      </c>
      <c r="AB1025" s="92">
        <v>1.7860284164600247E-2</v>
      </c>
      <c r="AC1025" s="101">
        <v>1.7743341515572553E-2</v>
      </c>
    </row>
    <row r="1026" spans="25:29" x14ac:dyDescent="0.2">
      <c r="Y1026" s="105" t="str">
        <f t="shared" si="49"/>
        <v>1w</v>
      </c>
      <c r="Z1026" s="93">
        <f>_xll.qlCalendarAdvance(Calendar,Z1025,Y1026,"f",FALSE)</f>
        <v>46315</v>
      </c>
      <c r="AA1026" s="117">
        <f>_xll.qlCalendarAdvance(Calendar,Z1026,NDays&amp;"D")</f>
        <v>46317</v>
      </c>
      <c r="AB1026" s="92">
        <v>1.7862076003295247E-2</v>
      </c>
      <c r="AC1026" s="101">
        <v>1.7748059683588835E-2</v>
      </c>
    </row>
    <row r="1027" spans="25:29" x14ac:dyDescent="0.2">
      <c r="Y1027" s="105" t="str">
        <f t="shared" si="49"/>
        <v>1w</v>
      </c>
      <c r="Z1027" s="93">
        <f>_xll.qlCalendarAdvance(Calendar,Z1026,Y1027,"f",FALSE)</f>
        <v>46322</v>
      </c>
      <c r="AA1027" s="117">
        <f>_xll.qlCalendarAdvance(Calendar,Z1027,NDays&amp;"D")</f>
        <v>46324</v>
      </c>
      <c r="AB1027" s="92">
        <v>1.7863634409451459E-2</v>
      </c>
      <c r="AC1027" s="101">
        <v>1.7752556698429345E-2</v>
      </c>
    </row>
    <row r="1028" spans="25:29" x14ac:dyDescent="0.2">
      <c r="Y1028" s="105" t="str">
        <f t="shared" si="49"/>
        <v>1w</v>
      </c>
      <c r="Z1028" s="93">
        <f>_xll.qlCalendarAdvance(Calendar,Z1027,Y1028,"f",FALSE)</f>
        <v>46329</v>
      </c>
      <c r="AA1028" s="117">
        <f>_xll.qlCalendarAdvance(Calendar,Z1028,NDays&amp;"D")</f>
        <v>46331</v>
      </c>
      <c r="AB1028" s="92">
        <v>1.7864502379222612E-2</v>
      </c>
      <c r="AC1028" s="101">
        <v>1.775683177096532E-2</v>
      </c>
    </row>
    <row r="1029" spans="25:29" x14ac:dyDescent="0.2">
      <c r="Y1029" s="105" t="str">
        <f t="shared" si="49"/>
        <v>1w</v>
      </c>
      <c r="Z1029" s="93">
        <f>_xll.qlCalendarAdvance(Calendar,Z1028,Y1029,"f",FALSE)</f>
        <v>46336</v>
      </c>
      <c r="AA1029" s="117">
        <f>_xll.qlCalendarAdvance(Calendar,Z1029,NDays&amp;"D")</f>
        <v>46338</v>
      </c>
      <c r="AB1029" s="92">
        <v>1.7865608535096694E-2</v>
      </c>
      <c r="AC1029" s="101">
        <v>1.7760884111908126E-2</v>
      </c>
    </row>
    <row r="1030" spans="25:29" x14ac:dyDescent="0.2">
      <c r="Y1030" s="105" t="str">
        <f t="shared" si="49"/>
        <v>1w</v>
      </c>
      <c r="Z1030" s="93">
        <f>_xll.qlCalendarAdvance(Calendar,Z1029,Y1030,"f",FALSE)</f>
        <v>46343</v>
      </c>
      <c r="AA1030" s="117">
        <f>_xll.qlCalendarAdvance(Calendar,Z1030,NDays&amp;"D")</f>
        <v>46345</v>
      </c>
      <c r="AB1030" s="92">
        <v>1.7866479397223415E-2</v>
      </c>
      <c r="AC1030" s="101">
        <v>1.7764712932129001E-2</v>
      </c>
    </row>
    <row r="1031" spans="25:29" x14ac:dyDescent="0.2">
      <c r="Y1031" s="105" t="str">
        <f t="shared" si="49"/>
        <v>1w</v>
      </c>
      <c r="Z1031" s="93">
        <f>_xll.qlCalendarAdvance(Calendar,Z1030,Y1031,"f",FALSE)</f>
        <v>46350</v>
      </c>
      <c r="AA1031" s="117">
        <f>_xll.qlCalendarAdvance(Calendar,Z1031,NDays&amp;"D")</f>
        <v>46352</v>
      </c>
      <c r="AB1031" s="92">
        <v>1.7867119163409079E-2</v>
      </c>
      <c r="AC1031" s="101">
        <v>1.7768317442499182E-2</v>
      </c>
    </row>
    <row r="1032" spans="25:29" x14ac:dyDescent="0.2">
      <c r="Y1032" s="105" t="str">
        <f t="shared" si="49"/>
        <v>1w</v>
      </c>
      <c r="Z1032" s="93">
        <f>_xll.qlCalendarAdvance(Calendar,Z1031,Y1032,"f",FALSE)</f>
        <v>46357</v>
      </c>
      <c r="AA1032" s="117">
        <f>_xll.qlCalendarAdvance(Calendar,Z1032,NDays&amp;"D")</f>
        <v>46359</v>
      </c>
      <c r="AB1032" s="92">
        <v>1.786792647641923E-2</v>
      </c>
      <c r="AC1032" s="101">
        <v>1.7771696853650099E-2</v>
      </c>
    </row>
    <row r="1033" spans="25:29" x14ac:dyDescent="0.2">
      <c r="Y1033" s="105" t="str">
        <f t="shared" si="49"/>
        <v>1w</v>
      </c>
      <c r="Z1033" s="93">
        <f>_xll.qlCalendarAdvance(Calendar,Z1032,Y1033,"f",FALSE)</f>
        <v>46364</v>
      </c>
      <c r="AA1033" s="117">
        <f>_xll.qlCalendarAdvance(Calendar,Z1033,NDays&amp;"D")</f>
        <v>46366</v>
      </c>
      <c r="AB1033" s="92">
        <v>1.7868110621882063E-2</v>
      </c>
      <c r="AC1033" s="101">
        <v>1.7774850376532925E-2</v>
      </c>
    </row>
    <row r="1034" spans="25:29" x14ac:dyDescent="0.2">
      <c r="Y1034" s="105" t="str">
        <f t="shared" si="49"/>
        <v>1w</v>
      </c>
      <c r="Z1034" s="93">
        <f>_xll.qlCalendarAdvance(Calendar,Z1033,Y1034,"f",FALSE)</f>
        <v>46371</v>
      </c>
      <c r="AA1034" s="117">
        <f>_xll.qlCalendarAdvance(Calendar,Z1034,NDays&amp;"D")</f>
        <v>46373</v>
      </c>
      <c r="AB1034" s="92">
        <v>1.7868085170381375E-2</v>
      </c>
      <c r="AC1034" s="101">
        <v>1.7777777221938962E-2</v>
      </c>
    </row>
    <row r="1035" spans="25:29" x14ac:dyDescent="0.2">
      <c r="Y1035" s="105" t="str">
        <f t="shared" si="49"/>
        <v>1w</v>
      </c>
      <c r="Z1035" s="93">
        <f>_xll.qlCalendarAdvance(Calendar,Z1034,Y1035,"f",FALSE)</f>
        <v>46378</v>
      </c>
      <c r="AA1035" s="117">
        <f>_xll.qlCalendarAdvance(Calendar,Z1035,NDays&amp;"D")</f>
        <v>46380</v>
      </c>
      <c r="AB1035" s="92">
        <v>1.7867857066687639E-2</v>
      </c>
      <c r="AC1035" s="101">
        <v>1.7782339852172591E-2</v>
      </c>
    </row>
    <row r="1036" spans="25:29" x14ac:dyDescent="0.2">
      <c r="Y1036" s="105" t="str">
        <f t="shared" si="49"/>
        <v>1w</v>
      </c>
      <c r="Z1036" s="93">
        <f>_xll.qlCalendarAdvance(Calendar,Z1035,Y1036,"f",FALSE)</f>
        <v>46385</v>
      </c>
      <c r="AA1036" s="117">
        <f>_xll.qlCalendarAdvance(Calendar,Z1036,NDays&amp;"D")</f>
        <v>46387</v>
      </c>
      <c r="AB1036" s="92">
        <v>1.786709203214212E-2</v>
      </c>
      <c r="AC1036" s="101">
        <v>1.7784762309227542E-2</v>
      </c>
    </row>
    <row r="1037" spans="25:29" x14ac:dyDescent="0.2">
      <c r="Y1037" s="105" t="str">
        <f t="shared" si="49"/>
        <v>1w</v>
      </c>
      <c r="Z1037" s="93">
        <f>_xll.qlCalendarAdvance(Calendar,Z1036,Y1037,"f",FALSE)</f>
        <v>46392</v>
      </c>
      <c r="AA1037" s="117">
        <f>_xll.qlCalendarAdvance(Calendar,Z1037,NDays&amp;"D")</f>
        <v>46394</v>
      </c>
      <c r="AB1037" s="92">
        <v>1.7866490275364674E-2</v>
      </c>
      <c r="AC1037" s="101">
        <v>1.778518980112942E-2</v>
      </c>
    </row>
    <row r="1038" spans="25:29" x14ac:dyDescent="0.2">
      <c r="Y1038" s="105" t="str">
        <f t="shared" si="49"/>
        <v>1w</v>
      </c>
      <c r="Z1038" s="93">
        <f>_xll.qlCalendarAdvance(Calendar,Z1037,Y1038,"f",FALSE)</f>
        <v>46399</v>
      </c>
      <c r="AA1038" s="117">
        <f>_xll.qlCalendarAdvance(Calendar,Z1038,NDays&amp;"D")</f>
        <v>46401</v>
      </c>
      <c r="AB1038" s="92">
        <v>1.7865706255076427E-2</v>
      </c>
      <c r="AC1038" s="101">
        <v>1.7787202044621253E-2</v>
      </c>
    </row>
    <row r="1039" spans="25:29" x14ac:dyDescent="0.2">
      <c r="Y1039" s="105" t="str">
        <f t="shared" si="49"/>
        <v>1w</v>
      </c>
      <c r="Z1039" s="93">
        <f>_xll.qlCalendarAdvance(Calendar,Z1038,Y1039,"f",FALSE)</f>
        <v>46406</v>
      </c>
      <c r="AA1039" s="117">
        <f>_xll.qlCalendarAdvance(Calendar,Z1039,NDays&amp;"D")</f>
        <v>46408</v>
      </c>
      <c r="AB1039" s="92">
        <v>1.7864747145262535E-2</v>
      </c>
      <c r="AC1039" s="101">
        <v>1.7788983664752678E-2</v>
      </c>
    </row>
    <row r="1040" spans="25:29" x14ac:dyDescent="0.2">
      <c r="Y1040" s="105" t="str">
        <f t="shared" si="49"/>
        <v>1w</v>
      </c>
      <c r="Z1040" s="93">
        <f>_xll.qlCalendarAdvance(Calendar,Z1039,Y1040,"f",FALSE)</f>
        <v>46413</v>
      </c>
      <c r="AA1040" s="117">
        <f>_xll.qlCalendarAdvance(Calendar,Z1040,NDays&amp;"D")</f>
        <v>46415</v>
      </c>
      <c r="AB1040" s="92">
        <v>1.786362016831718E-2</v>
      </c>
      <c r="AC1040" s="101">
        <v>1.7790533872155123E-2</v>
      </c>
    </row>
    <row r="1041" spans="25:29" x14ac:dyDescent="0.2">
      <c r="Y1041" s="105" t="str">
        <f t="shared" si="49"/>
        <v>1w</v>
      </c>
      <c r="Z1041" s="93">
        <f>_xll.qlCalendarAdvance(Calendar,Z1040,Y1041,"f",FALSE)</f>
        <v>46420</v>
      </c>
      <c r="AA1041" s="117">
        <f>_xll.qlCalendarAdvance(Calendar,Z1041,NDays&amp;"D")</f>
        <v>46422</v>
      </c>
      <c r="AB1041" s="92">
        <v>1.7862332595038687E-2</v>
      </c>
      <c r="AC1041" s="101">
        <v>1.7791851877699827E-2</v>
      </c>
    </row>
    <row r="1042" spans="25:29" x14ac:dyDescent="0.2">
      <c r="Y1042" s="105" t="str">
        <f t="shared" si="49"/>
        <v>1w</v>
      </c>
      <c r="Z1042" s="93">
        <f>_xll.qlCalendarAdvance(Calendar,Z1041,Y1042,"f",FALSE)</f>
        <v>46427</v>
      </c>
      <c r="AA1042" s="117">
        <f>_xll.qlCalendarAdvance(Calendar,Z1042,NDays&amp;"D")</f>
        <v>46429</v>
      </c>
      <c r="AB1042" s="92">
        <v>1.7860891744622027E-2</v>
      </c>
      <c r="AC1042" s="101">
        <v>1.7792936892178091E-2</v>
      </c>
    </row>
    <row r="1043" spans="25:29" x14ac:dyDescent="0.2">
      <c r="Y1043" s="105" t="str">
        <f t="shared" si="49"/>
        <v>1w</v>
      </c>
      <c r="Z1043" s="93">
        <f>_xll.qlCalendarAdvance(Calendar,Z1042,Y1043,"f",FALSE)</f>
        <v>46434</v>
      </c>
      <c r="AA1043" s="117">
        <f>_xll.qlCalendarAdvance(Calendar,Z1043,NDays&amp;"D")</f>
        <v>46436</v>
      </c>
      <c r="AB1043" s="92">
        <v>1.785930498465485E-2</v>
      </c>
      <c r="AC1043" s="101">
        <v>1.7793788126541088E-2</v>
      </c>
    </row>
    <row r="1044" spans="25:29" x14ac:dyDescent="0.2">
      <c r="Y1044" s="105" t="str">
        <f t="shared" si="49"/>
        <v>1w</v>
      </c>
      <c r="Z1044" s="93">
        <f>_xll.qlCalendarAdvance(Calendar,Z1043,Y1044,"f",FALSE)</f>
        <v>46441</v>
      </c>
      <c r="AA1044" s="117">
        <f>_xll.qlCalendarAdvance(Calendar,Z1044,NDays&amp;"D")</f>
        <v>46443</v>
      </c>
      <c r="AB1044" s="92">
        <v>1.7857579731109522E-2</v>
      </c>
      <c r="AC1044" s="101">
        <v>1.7794404791500185E-2</v>
      </c>
    </row>
    <row r="1045" spans="25:29" x14ac:dyDescent="0.2">
      <c r="Y1045" s="105" t="str">
        <f t="shared" ref="Y1045:Y1108" si="50">Y1044</f>
        <v>1w</v>
      </c>
      <c r="Z1045" s="93">
        <f>_xll.qlCalendarAdvance(Calendar,Z1044,Y1045,"f",FALSE)</f>
        <v>46448</v>
      </c>
      <c r="AA1045" s="117">
        <f>_xll.qlCalendarAdvance(Calendar,Z1045,NDays&amp;"D")</f>
        <v>46450</v>
      </c>
      <c r="AB1045" s="92">
        <v>1.785706449373434E-2</v>
      </c>
      <c r="AC1045" s="101">
        <v>1.7794786097926618E-2</v>
      </c>
    </row>
    <row r="1046" spans="25:29" x14ac:dyDescent="0.2">
      <c r="Y1046" s="105" t="str">
        <f t="shared" si="50"/>
        <v>1w</v>
      </c>
      <c r="Z1046" s="93">
        <f>_xll.qlCalendarAdvance(Calendar,Z1045,Y1046,"f",FALSE)</f>
        <v>46455</v>
      </c>
      <c r="AA1046" s="117">
        <f>_xll.qlCalendarAdvance(Calendar,Z1046,NDays&amp;"D")</f>
        <v>46457</v>
      </c>
      <c r="AB1046" s="92">
        <v>1.7855058169398426E-2</v>
      </c>
      <c r="AC1046" s="101">
        <v>1.7794931256531754E-2</v>
      </c>
    </row>
    <row r="1047" spans="25:29" x14ac:dyDescent="0.2">
      <c r="Y1047" s="105" t="str">
        <f t="shared" si="50"/>
        <v>1w</v>
      </c>
      <c r="Z1047" s="93">
        <f>_xll.qlCalendarAdvance(Calendar,Z1046,Y1047,"f",FALSE)</f>
        <v>46462</v>
      </c>
      <c r="AA1047" s="117">
        <f>_xll.qlCalendarAdvance(Calendar,Z1047,NDays&amp;"D")</f>
        <v>46464</v>
      </c>
      <c r="AB1047" s="92">
        <v>1.7852937830751401E-2</v>
      </c>
      <c r="AC1047" s="101">
        <v>1.779483947818683E-2</v>
      </c>
    </row>
    <row r="1048" spans="25:29" x14ac:dyDescent="0.2">
      <c r="Y1048" s="105" t="str">
        <f t="shared" si="50"/>
        <v>1w</v>
      </c>
      <c r="Z1048" s="93">
        <f>_xll.qlCalendarAdvance(Calendar,Z1047,Y1048,"f",FALSE)</f>
        <v>46469</v>
      </c>
      <c r="AA1048" s="117">
        <f>_xll.qlCalendarAdvance(Calendar,Z1048,NDays&amp;"D")</f>
        <v>46471</v>
      </c>
      <c r="AB1048" s="92">
        <v>1.7850710896767517E-2</v>
      </c>
      <c r="AC1048" s="101">
        <v>1.779612637822936E-2</v>
      </c>
    </row>
    <row r="1049" spans="25:29" x14ac:dyDescent="0.2">
      <c r="Y1049" s="105" t="str">
        <f t="shared" si="50"/>
        <v>1w</v>
      </c>
      <c r="Z1049" s="93">
        <f>_xll.qlCalendarAdvance(Calendar,Z1048,Y1049,"f",FALSE)</f>
        <v>46476</v>
      </c>
      <c r="AA1049" s="117">
        <f>_xll.qlCalendarAdvance(Calendar,Z1049,NDays&amp;"D")</f>
        <v>46478</v>
      </c>
      <c r="AB1049" s="92">
        <v>1.7847638305545994E-2</v>
      </c>
      <c r="AC1049" s="101">
        <v>1.7793941953971881E-2</v>
      </c>
    </row>
    <row r="1050" spans="25:29" x14ac:dyDescent="0.2">
      <c r="Y1050" s="105" t="str">
        <f t="shared" si="50"/>
        <v>1w</v>
      </c>
      <c r="Z1050" s="93">
        <f>_xll.qlCalendarAdvance(Calendar,Z1049,Y1050,"f",FALSE)</f>
        <v>46483</v>
      </c>
      <c r="AA1050" s="117">
        <f>_xll.qlCalendarAdvance(Calendar,Z1050,NDays&amp;"D")</f>
        <v>46485</v>
      </c>
      <c r="AB1050" s="92">
        <v>1.784523254220052E-2</v>
      </c>
      <c r="AC1050" s="101">
        <v>1.7793134629604523E-2</v>
      </c>
    </row>
    <row r="1051" spans="25:29" x14ac:dyDescent="0.2">
      <c r="Y1051" s="105" t="str">
        <f t="shared" si="50"/>
        <v>1w</v>
      </c>
      <c r="Z1051" s="93">
        <f>_xll.qlCalendarAdvance(Calendar,Z1050,Y1051,"f",FALSE)</f>
        <v>46490</v>
      </c>
      <c r="AA1051" s="117">
        <f>_xll.qlCalendarAdvance(Calendar,Z1051,NDays&amp;"D")</f>
        <v>46492</v>
      </c>
      <c r="AB1051" s="92">
        <v>1.784274202670133E-2</v>
      </c>
      <c r="AC1051" s="101">
        <v>1.7792087211612184E-2</v>
      </c>
    </row>
    <row r="1052" spans="25:29" x14ac:dyDescent="0.2">
      <c r="Y1052" s="105" t="str">
        <f t="shared" si="50"/>
        <v>1w</v>
      </c>
      <c r="Z1052" s="93">
        <f>_xll.qlCalendarAdvance(Calendar,Z1051,Y1052,"f",FALSE)</f>
        <v>46497</v>
      </c>
      <c r="AA1052" s="117">
        <f>_xll.qlCalendarAdvance(Calendar,Z1052,NDays&amp;"D")</f>
        <v>46499</v>
      </c>
      <c r="AB1052" s="92">
        <v>1.7840174482387342E-2</v>
      </c>
      <c r="AC1052" s="101">
        <v>1.7790798910786165E-2</v>
      </c>
    </row>
    <row r="1053" spans="25:29" x14ac:dyDescent="0.2">
      <c r="Y1053" s="105" t="str">
        <f t="shared" si="50"/>
        <v>1w</v>
      </c>
      <c r="Z1053" s="93">
        <f>_xll.qlCalendarAdvance(Calendar,Z1052,Y1053,"f",FALSE)</f>
        <v>46504</v>
      </c>
      <c r="AA1053" s="117">
        <f>_xll.qlCalendarAdvance(Calendar,Z1053,NDays&amp;"D")</f>
        <v>46506</v>
      </c>
      <c r="AB1053" s="92">
        <v>1.7837537680421501E-2</v>
      </c>
      <c r="AC1053" s="101">
        <v>1.7789268937837832E-2</v>
      </c>
    </row>
    <row r="1054" spans="25:29" x14ac:dyDescent="0.2">
      <c r="Y1054" s="105" t="str">
        <f t="shared" si="50"/>
        <v>1w</v>
      </c>
      <c r="Z1054" s="93">
        <f>_xll.qlCalendarAdvance(Calendar,Z1053,Y1054,"f",FALSE)</f>
        <v>46511</v>
      </c>
      <c r="AA1054" s="117">
        <f>_xll.qlCalendarAdvance(Calendar,Z1054,NDays&amp;"D")</f>
        <v>46513</v>
      </c>
      <c r="AB1054" s="92">
        <v>1.7835532183880929E-2</v>
      </c>
      <c r="AC1054" s="101">
        <v>1.7787496503638422E-2</v>
      </c>
    </row>
    <row r="1055" spans="25:29" x14ac:dyDescent="0.2">
      <c r="Y1055" s="105" t="str">
        <f t="shared" si="50"/>
        <v>1w</v>
      </c>
      <c r="Z1055" s="93">
        <f>_xll.qlCalendarAdvance(Calendar,Z1054,Y1055,"f",FALSE)</f>
        <v>46518</v>
      </c>
      <c r="AA1055" s="117">
        <f>_xll.qlCalendarAdvance(Calendar,Z1055,NDays&amp;"D")</f>
        <v>46520</v>
      </c>
      <c r="AB1055" s="92">
        <v>1.7832770767345064E-2</v>
      </c>
      <c r="AC1055" s="101">
        <v>1.778548081913911E-2</v>
      </c>
    </row>
    <row r="1056" spans="25:29" x14ac:dyDescent="0.2">
      <c r="Y1056" s="105" t="str">
        <f t="shared" si="50"/>
        <v>1w</v>
      </c>
      <c r="Z1056" s="93">
        <f>_xll.qlCalendarAdvance(Calendar,Z1055,Y1056,"f",FALSE)</f>
        <v>46525</v>
      </c>
      <c r="AA1056" s="117">
        <f>_xll.qlCalendarAdvance(Calendar,Z1056,NDays&amp;"D")</f>
        <v>46527</v>
      </c>
      <c r="AB1056" s="92">
        <v>1.782996302686065E-2</v>
      </c>
      <c r="AC1056" s="101">
        <v>1.7783305095617763E-2</v>
      </c>
    </row>
    <row r="1057" spans="25:29" x14ac:dyDescent="0.2">
      <c r="Y1057" s="105" t="str">
        <f t="shared" si="50"/>
        <v>1w</v>
      </c>
      <c r="Z1057" s="93">
        <f>_xll.qlCalendarAdvance(Calendar,Z1056,Y1057,"f",FALSE)</f>
        <v>46532</v>
      </c>
      <c r="AA1057" s="117">
        <f>_xll.qlCalendarAdvance(Calendar,Z1057,NDays&amp;"D")</f>
        <v>46534</v>
      </c>
      <c r="AB1057" s="92">
        <v>1.7827111237011223E-2</v>
      </c>
      <c r="AC1057" s="101">
        <v>1.77810791076638E-2</v>
      </c>
    </row>
    <row r="1058" spans="25:29" x14ac:dyDescent="0.2">
      <c r="Y1058" s="105" t="str">
        <f t="shared" si="50"/>
        <v>1w</v>
      </c>
      <c r="Z1058" s="93">
        <f>_xll.qlCalendarAdvance(Calendar,Z1057,Y1058,"f",FALSE)</f>
        <v>46539</v>
      </c>
      <c r="AA1058" s="117">
        <f>_xll.qlCalendarAdvance(Calendar,Z1058,NDays&amp;"D")</f>
        <v>46541</v>
      </c>
      <c r="AB1058" s="92">
        <v>1.7823560893346468E-2</v>
      </c>
      <c r="AC1058" s="101">
        <v>1.7778803965908807E-2</v>
      </c>
    </row>
    <row r="1059" spans="25:29" x14ac:dyDescent="0.2">
      <c r="Y1059" s="105" t="str">
        <f t="shared" si="50"/>
        <v>1w</v>
      </c>
      <c r="Z1059" s="93">
        <f>_xll.qlCalendarAdvance(Calendar,Z1058,Y1059,"f",FALSE)</f>
        <v>46546</v>
      </c>
      <c r="AA1059" s="117">
        <f>_xll.qlCalendarAdvance(Calendar,Z1059,NDays&amp;"D")</f>
        <v>46548</v>
      </c>
      <c r="AB1059" s="92">
        <v>1.7820631586850301E-2</v>
      </c>
      <c r="AC1059" s="101">
        <v>1.7776480120792471E-2</v>
      </c>
    </row>
    <row r="1060" spans="25:29" x14ac:dyDescent="0.2">
      <c r="Y1060" s="105" t="str">
        <f t="shared" si="50"/>
        <v>1w</v>
      </c>
      <c r="Z1060" s="93">
        <f>_xll.qlCalendarAdvance(Calendar,Z1059,Y1060,"f",FALSE)</f>
        <v>46553</v>
      </c>
      <c r="AA1060" s="117">
        <f>_xll.qlCalendarAdvance(Calendar,Z1060,NDays&amp;"D")</f>
        <v>46555</v>
      </c>
      <c r="AB1060" s="92">
        <v>1.7817659508142132E-2</v>
      </c>
      <c r="AC1060" s="101">
        <v>1.777410802307422E-2</v>
      </c>
    </row>
    <row r="1061" spans="25:29" x14ac:dyDescent="0.2">
      <c r="Y1061" s="105" t="str">
        <f t="shared" si="50"/>
        <v>1w</v>
      </c>
      <c r="Z1061" s="93">
        <f>_xll.qlCalendarAdvance(Calendar,Z1060,Y1061,"f",FALSE)</f>
        <v>46560</v>
      </c>
      <c r="AA1061" s="117">
        <f>_xll.qlCalendarAdvance(Calendar,Z1061,NDays&amp;"D")</f>
        <v>46562</v>
      </c>
      <c r="AB1061" s="92">
        <v>1.7814645112086087E-2</v>
      </c>
      <c r="AC1061" s="101">
        <v>1.7771688123353613E-2</v>
      </c>
    </row>
    <row r="1062" spans="25:29" x14ac:dyDescent="0.2">
      <c r="Y1062" s="105" t="str">
        <f t="shared" si="50"/>
        <v>1w</v>
      </c>
      <c r="Z1062" s="93">
        <f>_xll.qlCalendarAdvance(Calendar,Z1061,Y1062,"f",FALSE)</f>
        <v>46567</v>
      </c>
      <c r="AA1062" s="117">
        <f>_xll.qlCalendarAdvance(Calendar,Z1062,NDays&amp;"D")</f>
        <v>46569</v>
      </c>
      <c r="AB1062" s="92">
        <v>1.7812207523730517E-2</v>
      </c>
      <c r="AC1062" s="101">
        <v>1.7769220872230207E-2</v>
      </c>
    </row>
    <row r="1063" spans="25:29" x14ac:dyDescent="0.2">
      <c r="Y1063" s="105" t="str">
        <f t="shared" si="50"/>
        <v>1w</v>
      </c>
      <c r="Z1063" s="93">
        <f>_xll.qlCalendarAdvance(Calendar,Z1062,Y1063,"f",FALSE)</f>
        <v>46574</v>
      </c>
      <c r="AA1063" s="117">
        <f>_xll.qlCalendarAdvance(Calendar,Z1063,NDays&amp;"D")</f>
        <v>46576</v>
      </c>
      <c r="AB1063" s="92">
        <v>1.7809101012814913E-2</v>
      </c>
      <c r="AC1063" s="101">
        <v>1.776670672030356E-2</v>
      </c>
    </row>
    <row r="1064" spans="25:29" x14ac:dyDescent="0.2">
      <c r="Y1064" s="105" t="str">
        <f t="shared" si="50"/>
        <v>1w</v>
      </c>
      <c r="Z1064" s="93">
        <f>_xll.qlCalendarAdvance(Calendar,Z1063,Y1064,"f",FALSE)</f>
        <v>46581</v>
      </c>
      <c r="AA1064" s="117">
        <f>_xll.qlCalendarAdvance(Calendar,Z1064,NDays&amp;"D")</f>
        <v>46583</v>
      </c>
      <c r="AB1064" s="92">
        <v>1.7805953640661905E-2</v>
      </c>
      <c r="AC1064" s="101">
        <v>1.776414611817323E-2</v>
      </c>
    </row>
    <row r="1065" spans="25:29" x14ac:dyDescent="0.2">
      <c r="Y1065" s="105" t="str">
        <f t="shared" si="50"/>
        <v>1w</v>
      </c>
      <c r="Z1065" s="93">
        <f>_xll.qlCalendarAdvance(Calendar,Z1064,Y1065,"f",FALSE)</f>
        <v>46588</v>
      </c>
      <c r="AA1065" s="117">
        <f>_xll.qlCalendarAdvance(Calendar,Z1065,NDays&amp;"D")</f>
        <v>46590</v>
      </c>
      <c r="AB1065" s="92">
        <v>1.7802765862206076E-2</v>
      </c>
      <c r="AC1065" s="101">
        <v>1.7761539516358837E-2</v>
      </c>
    </row>
    <row r="1066" spans="25:29" x14ac:dyDescent="0.2">
      <c r="Y1066" s="105" t="str">
        <f t="shared" si="50"/>
        <v>1w</v>
      </c>
      <c r="Z1066" s="93">
        <f>_xll.qlCalendarAdvance(Calendar,Z1065,Y1066,"f",FALSE)</f>
        <v>46595</v>
      </c>
      <c r="AA1066" s="117">
        <f>_xll.qlCalendarAdvance(Calendar,Z1066,NDays&amp;"D")</f>
        <v>46597</v>
      </c>
      <c r="AB1066" s="92">
        <v>1.7799538132381155E-2</v>
      </c>
      <c r="AC1066" s="101">
        <v>1.7758887365779685E-2</v>
      </c>
    </row>
    <row r="1067" spans="25:29" x14ac:dyDescent="0.2">
      <c r="Y1067" s="105" t="str">
        <f t="shared" si="50"/>
        <v>1w</v>
      </c>
      <c r="Z1067" s="93">
        <f>_xll.qlCalendarAdvance(Calendar,Z1066,Y1067,"f",FALSE)</f>
        <v>46602</v>
      </c>
      <c r="AA1067" s="117">
        <f>_xll.qlCalendarAdvance(Calendar,Z1067,NDays&amp;"D")</f>
        <v>46604</v>
      </c>
      <c r="AB1067" s="92">
        <v>1.7796270906121292E-2</v>
      </c>
      <c r="AC1067" s="101">
        <v>1.7756190116875459E-2</v>
      </c>
    </row>
    <row r="1068" spans="25:29" x14ac:dyDescent="0.2">
      <c r="Y1068" s="105" t="str">
        <f t="shared" si="50"/>
        <v>1w</v>
      </c>
      <c r="Z1068" s="93">
        <f>_xll.qlCalendarAdvance(Calendar,Z1067,Y1068,"f",FALSE)</f>
        <v>46609</v>
      </c>
      <c r="AA1068" s="117">
        <f>_xll.qlCalendarAdvance(Calendar,Z1068,NDays&amp;"D")</f>
        <v>46611</v>
      </c>
      <c r="AB1068" s="92">
        <v>1.7792964638359356E-2</v>
      </c>
      <c r="AC1068" s="101">
        <v>1.775344822016578E-2</v>
      </c>
    </row>
    <row r="1069" spans="25:29" x14ac:dyDescent="0.2">
      <c r="Y1069" s="105" t="str">
        <f t="shared" si="50"/>
        <v>1w</v>
      </c>
      <c r="Z1069" s="93">
        <f>_xll.qlCalendarAdvance(Calendar,Z1068,Y1069,"f",FALSE)</f>
        <v>46616</v>
      </c>
      <c r="AA1069" s="117">
        <f>_xll.qlCalendarAdvance(Calendar,Z1069,NDays&amp;"D")</f>
        <v>46618</v>
      </c>
      <c r="AB1069" s="92">
        <v>1.7789619784026919E-2</v>
      </c>
      <c r="AC1069" s="101">
        <v>1.7750662126410077E-2</v>
      </c>
    </row>
    <row r="1070" spans="25:29" x14ac:dyDescent="0.2">
      <c r="Y1070" s="105" t="str">
        <f t="shared" si="50"/>
        <v>1w</v>
      </c>
      <c r="Z1070" s="93">
        <f>_xll.qlCalendarAdvance(Calendar,Z1069,Y1070,"f",FALSE)</f>
        <v>46623</v>
      </c>
      <c r="AA1070" s="117">
        <f>_xll.qlCalendarAdvance(Calendar,Z1070,NDays&amp;"D")</f>
        <v>46625</v>
      </c>
      <c r="AB1070" s="92">
        <v>1.7786236798056423E-2</v>
      </c>
      <c r="AC1070" s="101">
        <v>1.7747832286127974E-2</v>
      </c>
    </row>
    <row r="1071" spans="25:29" x14ac:dyDescent="0.2">
      <c r="Y1071" s="105" t="str">
        <f t="shared" si="50"/>
        <v>1w</v>
      </c>
      <c r="Z1071" s="93">
        <f>_xll.qlCalendarAdvance(Calendar,Z1070,Y1071,"f",FALSE)</f>
        <v>46630</v>
      </c>
      <c r="AA1071" s="117">
        <f>_xll.qlCalendarAdvance(Calendar,Z1071,NDays&amp;"D")</f>
        <v>46632</v>
      </c>
      <c r="AB1071" s="92">
        <v>1.7782092489701425E-2</v>
      </c>
      <c r="AC1071" s="101">
        <v>1.7744959149998962E-2</v>
      </c>
    </row>
    <row r="1072" spans="25:29" x14ac:dyDescent="0.2">
      <c r="Y1072" s="105" t="str">
        <f t="shared" si="50"/>
        <v>1w</v>
      </c>
      <c r="Z1072" s="93">
        <f>_xll.qlCalendarAdvance(Calendar,Z1071,Y1072,"f",FALSE)</f>
        <v>46637</v>
      </c>
      <c r="AA1072" s="117">
        <f>_xll.qlCalendarAdvance(Calendar,Z1072,NDays&amp;"D")</f>
        <v>46639</v>
      </c>
      <c r="AB1072" s="92">
        <v>1.7778645302395712E-2</v>
      </c>
      <c r="AC1072" s="101">
        <v>1.7742043168542665E-2</v>
      </c>
    </row>
    <row r="1073" spans="25:29" x14ac:dyDescent="0.2">
      <c r="Y1073" s="105" t="str">
        <f t="shared" si="50"/>
        <v>1w</v>
      </c>
      <c r="Z1073" s="93">
        <f>_xll.qlCalendarAdvance(Calendar,Z1072,Y1073,"f",FALSE)</f>
        <v>46644</v>
      </c>
      <c r="AA1073" s="117">
        <f>_xll.qlCalendarAdvance(Calendar,Z1073,NDays&amp;"D")</f>
        <v>46646</v>
      </c>
      <c r="AB1073" s="92">
        <v>1.777516122538508E-2</v>
      </c>
      <c r="AC1073" s="101">
        <v>1.7739084792518511E-2</v>
      </c>
    </row>
    <row r="1074" spans="25:29" x14ac:dyDescent="0.2">
      <c r="Y1074" s="105" t="str">
        <f t="shared" si="50"/>
        <v>1w</v>
      </c>
      <c r="Z1074" s="93">
        <f>_xll.qlCalendarAdvance(Calendar,Z1073,Y1074,"f",FALSE)</f>
        <v>46651</v>
      </c>
      <c r="AA1074" s="117">
        <f>_xll.qlCalendarAdvance(Calendar,Z1074,NDays&amp;"D")</f>
        <v>46653</v>
      </c>
      <c r="AB1074" s="92">
        <v>1.7771640713503942E-2</v>
      </c>
      <c r="AC1074" s="101">
        <v>1.7736084472446123E-2</v>
      </c>
    </row>
    <row r="1075" spans="25:29" x14ac:dyDescent="0.2">
      <c r="Y1075" s="105" t="str">
        <f t="shared" si="50"/>
        <v>1w</v>
      </c>
      <c r="Z1075" s="93">
        <f>_xll.qlCalendarAdvance(Calendar,Z1074,Y1075,"f",FALSE)</f>
        <v>46658</v>
      </c>
      <c r="AA1075" s="117">
        <f>_xll.qlCalendarAdvance(Calendar,Z1075,NDays&amp;"D")</f>
        <v>46660</v>
      </c>
      <c r="AB1075" s="92">
        <v>1.7768254969602382E-2</v>
      </c>
      <c r="AC1075" s="101">
        <v>1.773304265908493E-2</v>
      </c>
    </row>
    <row r="1076" spans="25:29" x14ac:dyDescent="0.2">
      <c r="Y1076" s="105" t="str">
        <f t="shared" si="50"/>
        <v>1w</v>
      </c>
      <c r="Z1076" s="93">
        <f>_xll.qlCalendarAdvance(Calendar,Z1075,Y1076,"f",FALSE)</f>
        <v>46665</v>
      </c>
      <c r="AA1076" s="117">
        <f>_xll.qlCalendarAdvance(Calendar,Z1076,NDays&amp;"D")</f>
        <v>46667</v>
      </c>
      <c r="AB1076" s="92">
        <v>1.7764660396898627E-2</v>
      </c>
      <c r="AC1076" s="101">
        <v>1.7729959802874617E-2</v>
      </c>
    </row>
    <row r="1077" spans="25:29" x14ac:dyDescent="0.2">
      <c r="Y1077" s="105" t="str">
        <f t="shared" si="50"/>
        <v>1w</v>
      </c>
      <c r="Z1077" s="93">
        <f>_xll.qlCalendarAdvance(Calendar,Z1076,Y1077,"f",FALSE)</f>
        <v>46672</v>
      </c>
      <c r="AA1077" s="117">
        <f>_xll.qlCalendarAdvance(Calendar,Z1077,NDays&amp;"D")</f>
        <v>46674</v>
      </c>
      <c r="AB1077" s="92">
        <v>1.7761691184292664E-2</v>
      </c>
      <c r="AC1077" s="101">
        <v>1.7726836354414743E-2</v>
      </c>
    </row>
    <row r="1078" spans="25:29" x14ac:dyDescent="0.2">
      <c r="Y1078" s="105" t="str">
        <f t="shared" si="50"/>
        <v>1w</v>
      </c>
      <c r="Z1078" s="93">
        <f>_xll.qlCalendarAdvance(Calendar,Z1077,Y1078,"f",FALSE)</f>
        <v>46679</v>
      </c>
      <c r="AA1078" s="117">
        <f>_xll.qlCalendarAdvance(Calendar,Z1078,NDays&amp;"D")</f>
        <v>46681</v>
      </c>
      <c r="AB1078" s="92">
        <v>1.7757366587620983E-2</v>
      </c>
      <c r="AC1078" s="101">
        <v>1.7723672764384801E-2</v>
      </c>
    </row>
    <row r="1079" spans="25:29" x14ac:dyDescent="0.2">
      <c r="Y1079" s="105" t="str">
        <f t="shared" si="50"/>
        <v>1w</v>
      </c>
      <c r="Z1079" s="93">
        <f>_xll.qlCalendarAdvance(Calendar,Z1078,Y1079,"f",FALSE)</f>
        <v>46686</v>
      </c>
      <c r="AA1079" s="117">
        <f>_xll.qlCalendarAdvance(Calendar,Z1079,NDays&amp;"D")</f>
        <v>46688</v>
      </c>
      <c r="AB1079" s="92">
        <v>1.7753668260750005E-2</v>
      </c>
      <c r="AC1079" s="101">
        <v>1.7720469483464285E-2</v>
      </c>
    </row>
    <row r="1080" spans="25:29" x14ac:dyDescent="0.2">
      <c r="Y1080" s="105" t="str">
        <f t="shared" si="50"/>
        <v>1w</v>
      </c>
      <c r="Z1080" s="93">
        <f>_xll.qlCalendarAdvance(Calendar,Z1079,Y1080,"f",FALSE)</f>
        <v>46693</v>
      </c>
      <c r="AA1080" s="117">
        <f>_xll.qlCalendarAdvance(Calendar,Z1080,NDays&amp;"D")</f>
        <v>46695</v>
      </c>
      <c r="AB1080" s="92">
        <v>1.7749777980477787E-2</v>
      </c>
      <c r="AC1080" s="101">
        <v>1.7717226962252752E-2</v>
      </c>
    </row>
    <row r="1081" spans="25:29" x14ac:dyDescent="0.2">
      <c r="Y1081" s="105" t="str">
        <f t="shared" si="50"/>
        <v>1w</v>
      </c>
      <c r="Z1081" s="93">
        <f>_xll.qlCalendarAdvance(Calendar,Z1080,Y1081,"f",FALSE)</f>
        <v>46700</v>
      </c>
      <c r="AA1081" s="117">
        <f>_xll.qlCalendarAdvance(Calendar,Z1081,NDays&amp;"D")</f>
        <v>46702</v>
      </c>
      <c r="AB1081" s="92">
        <v>1.7746015159744985E-2</v>
      </c>
      <c r="AC1081" s="101">
        <v>1.7713945651269825E-2</v>
      </c>
    </row>
    <row r="1082" spans="25:29" x14ac:dyDescent="0.2">
      <c r="Y1082" s="105" t="str">
        <f t="shared" si="50"/>
        <v>1w</v>
      </c>
      <c r="Z1082" s="93">
        <f>_xll.qlCalendarAdvance(Calendar,Z1081,Y1082,"f",FALSE)</f>
        <v>46707</v>
      </c>
      <c r="AA1082" s="117">
        <f>_xll.qlCalendarAdvance(Calendar,Z1082,NDays&amp;"D")</f>
        <v>46709</v>
      </c>
      <c r="AB1082" s="92">
        <v>1.7742219542763827E-2</v>
      </c>
      <c r="AC1082" s="101">
        <v>1.7710626001194996E-2</v>
      </c>
    </row>
    <row r="1083" spans="25:29" x14ac:dyDescent="0.2">
      <c r="Y1083" s="105" t="str">
        <f t="shared" si="50"/>
        <v>1w</v>
      </c>
      <c r="Z1083" s="93">
        <f>_xll.qlCalendarAdvance(Calendar,Z1082,Y1083,"f",FALSE)</f>
        <v>46714</v>
      </c>
      <c r="AA1083" s="117">
        <f>_xll.qlCalendarAdvance(Calendar,Z1083,NDays&amp;"D")</f>
        <v>46716</v>
      </c>
      <c r="AB1083" s="92">
        <v>1.7738391584355553E-2</v>
      </c>
      <c r="AC1083" s="101">
        <v>1.7707268462707759E-2</v>
      </c>
    </row>
    <row r="1084" spans="25:29" x14ac:dyDescent="0.2">
      <c r="Y1084" s="105" t="str">
        <f t="shared" si="50"/>
        <v>1w</v>
      </c>
      <c r="Z1084" s="93">
        <f>_xll.qlCalendarAdvance(Calendar,Z1083,Y1084,"f",FALSE)</f>
        <v>46721</v>
      </c>
      <c r="AA1084" s="117">
        <f>_xll.qlCalendarAdvance(Calendar,Z1084,NDays&amp;"D")</f>
        <v>46723</v>
      </c>
      <c r="AB1084" s="92">
        <v>1.7734680597978957E-2</v>
      </c>
      <c r="AC1084" s="101">
        <v>1.7703873486327737E-2</v>
      </c>
    </row>
    <row r="1085" spans="25:29" x14ac:dyDescent="0.2">
      <c r="Y1085" s="105" t="str">
        <f t="shared" si="50"/>
        <v>1w</v>
      </c>
      <c r="Z1085" s="93">
        <f>_xll.qlCalendarAdvance(Calendar,Z1084,Y1085,"f",FALSE)</f>
        <v>46728</v>
      </c>
      <c r="AA1085" s="117">
        <f>_xll.qlCalendarAdvance(Calendar,Z1085,NDays&amp;"D")</f>
        <v>46730</v>
      </c>
      <c r="AB1085" s="92">
        <v>1.7730787043645804E-2</v>
      </c>
      <c r="AC1085" s="101">
        <v>1.770044152257455E-2</v>
      </c>
    </row>
    <row r="1086" spans="25:29" x14ac:dyDescent="0.2">
      <c r="Y1086" s="105" t="str">
        <f t="shared" si="50"/>
        <v>1w</v>
      </c>
      <c r="Z1086" s="93">
        <f>_xll.qlCalendarAdvance(Calendar,Z1085,Y1086,"f",FALSE)</f>
        <v>46735</v>
      </c>
      <c r="AA1086" s="117">
        <f>_xll.qlCalendarAdvance(Calendar,Z1086,NDays&amp;"D")</f>
        <v>46737</v>
      </c>
      <c r="AB1086" s="92">
        <v>1.7726862543346423E-2</v>
      </c>
      <c r="AC1086" s="101">
        <v>1.7696973022367501E-2</v>
      </c>
    </row>
    <row r="1087" spans="25:29" x14ac:dyDescent="0.2">
      <c r="Y1087" s="105" t="str">
        <f t="shared" si="50"/>
        <v>1w</v>
      </c>
      <c r="Z1087" s="93">
        <f>_xll.qlCalendarAdvance(Calendar,Z1086,Y1087,"f",FALSE)</f>
        <v>46742</v>
      </c>
      <c r="AA1087" s="117">
        <f>_xll.qlCalendarAdvance(Calendar,Z1087,NDays&amp;"D")</f>
        <v>46744</v>
      </c>
      <c r="AB1087" s="92">
        <v>1.7722907551915676E-2</v>
      </c>
      <c r="AC1087" s="101">
        <v>1.7693468435986404E-2</v>
      </c>
    </row>
    <row r="1088" spans="25:29" x14ac:dyDescent="0.2">
      <c r="Y1088" s="105" t="str">
        <f t="shared" si="50"/>
        <v>1w</v>
      </c>
      <c r="Z1088" s="93">
        <f>_xll.qlCalendarAdvance(Calendar,Z1087,Y1088,"f",FALSE)</f>
        <v>46749</v>
      </c>
      <c r="AA1088" s="117">
        <f>_xll.qlCalendarAdvance(Calendar,Z1088,NDays&amp;"D")</f>
        <v>46751</v>
      </c>
      <c r="AB1088" s="92">
        <v>1.7718922524187108E-2</v>
      </c>
      <c r="AC1088" s="101">
        <v>1.7689928214350559E-2</v>
      </c>
    </row>
    <row r="1089" spans="25:29" x14ac:dyDescent="0.2">
      <c r="Y1089" s="105" t="str">
        <f t="shared" si="50"/>
        <v>1w</v>
      </c>
      <c r="Z1089" s="93">
        <f>_xll.qlCalendarAdvance(Calendar,Z1088,Y1089,"f",FALSE)</f>
        <v>46756</v>
      </c>
      <c r="AA1089" s="117">
        <f>_xll.qlCalendarAdvance(Calendar,Z1089,NDays&amp;"D")</f>
        <v>46758</v>
      </c>
      <c r="AB1089" s="92">
        <v>1.7714770133622108E-2</v>
      </c>
      <c r="AC1089" s="101">
        <v>1.7686352807819716E-2</v>
      </c>
    </row>
    <row r="1090" spans="25:29" x14ac:dyDescent="0.2">
      <c r="Y1090" s="105" t="str">
        <f t="shared" si="50"/>
        <v>1w</v>
      </c>
      <c r="Z1090" s="93">
        <f>_xll.qlCalendarAdvance(Calendar,Z1089,Y1090,"f",FALSE)</f>
        <v>46763</v>
      </c>
      <c r="AA1090" s="117">
        <f>_xll.qlCalendarAdvance(Calendar,Z1090,NDays&amp;"D")</f>
        <v>46765</v>
      </c>
      <c r="AB1090" s="92">
        <v>1.7710728520024466E-2</v>
      </c>
      <c r="AC1090" s="101">
        <v>1.7682742667153306E-2</v>
      </c>
    </row>
    <row r="1091" spans="25:29" x14ac:dyDescent="0.2">
      <c r="Y1091" s="105" t="str">
        <f t="shared" si="50"/>
        <v>1w</v>
      </c>
      <c r="Z1091" s="93">
        <f>_xll.qlCalendarAdvance(Calendar,Z1090,Y1091,"f",FALSE)</f>
        <v>46770</v>
      </c>
      <c r="AA1091" s="117">
        <f>_xll.qlCalendarAdvance(Calendar,Z1091,NDays&amp;"D")</f>
        <v>46772</v>
      </c>
      <c r="AB1091" s="92">
        <v>1.7706658203489215E-2</v>
      </c>
      <c r="AC1091" s="101">
        <v>1.7679098243030822E-2</v>
      </c>
    </row>
    <row r="1092" spans="25:29" x14ac:dyDescent="0.2">
      <c r="Y1092" s="105" t="str">
        <f t="shared" si="50"/>
        <v>1w</v>
      </c>
      <c r="Z1092" s="93">
        <f>_xll.qlCalendarAdvance(Calendar,Z1091,Y1092,"f",FALSE)</f>
        <v>46777</v>
      </c>
      <c r="AA1092" s="117">
        <f>_xll.qlCalendarAdvance(Calendar,Z1092,NDays&amp;"D")</f>
        <v>46779</v>
      </c>
      <c r="AB1092" s="92">
        <v>1.7702559638815195E-2</v>
      </c>
      <c r="AC1092" s="101">
        <v>1.7675419985891949E-2</v>
      </c>
    </row>
    <row r="1093" spans="25:29" x14ac:dyDescent="0.2">
      <c r="Y1093" s="105" t="str">
        <f t="shared" si="50"/>
        <v>1w</v>
      </c>
      <c r="Z1093" s="93">
        <f>_xll.qlCalendarAdvance(Calendar,Z1092,Y1093,"f",FALSE)</f>
        <v>46784</v>
      </c>
      <c r="AA1093" s="117">
        <f>_xll.qlCalendarAdvance(Calendar,Z1093,NDays&amp;"D")</f>
        <v>46786</v>
      </c>
      <c r="AB1093" s="92">
        <v>1.7698433280802114E-2</v>
      </c>
      <c r="AC1093" s="101">
        <v>1.7671708346336246E-2</v>
      </c>
    </row>
    <row r="1094" spans="25:29" x14ac:dyDescent="0.2">
      <c r="Y1094" s="105" t="str">
        <f t="shared" si="50"/>
        <v>1w</v>
      </c>
      <c r="Z1094" s="93">
        <f>_xll.qlCalendarAdvance(Calendar,Z1093,Y1094,"f",FALSE)</f>
        <v>46791</v>
      </c>
      <c r="AA1094" s="117">
        <f>_xll.qlCalendarAdvance(Calendar,Z1094,NDays&amp;"D")</f>
        <v>46793</v>
      </c>
      <c r="AB1094" s="92">
        <v>1.7694279584245735E-2</v>
      </c>
      <c r="AC1094" s="101">
        <v>1.7667963775203077E-2</v>
      </c>
    </row>
    <row r="1095" spans="25:29" x14ac:dyDescent="0.2">
      <c r="Y1095" s="105" t="str">
        <f t="shared" si="50"/>
        <v>1w</v>
      </c>
      <c r="Z1095" s="93">
        <f>_xll.qlCalendarAdvance(Calendar,Z1094,Y1095,"f",FALSE)</f>
        <v>46798</v>
      </c>
      <c r="AA1095" s="117">
        <f>_xll.qlCalendarAdvance(Calendar,Z1095,NDays&amp;"D")</f>
        <v>46800</v>
      </c>
      <c r="AB1095" s="92">
        <v>1.7690099003937868E-2</v>
      </c>
      <c r="AC1095" s="101">
        <v>1.7664186722852193E-2</v>
      </c>
    </row>
    <row r="1096" spans="25:29" x14ac:dyDescent="0.2">
      <c r="Y1096" s="105" t="str">
        <f t="shared" si="50"/>
        <v>1w</v>
      </c>
      <c r="Z1096" s="93">
        <f>_xll.qlCalendarAdvance(Calendar,Z1095,Y1096,"f",FALSE)</f>
        <v>46805</v>
      </c>
      <c r="AA1096" s="117">
        <f>_xll.qlCalendarAdvance(Calendar,Z1096,NDays&amp;"D")</f>
        <v>46807</v>
      </c>
      <c r="AB1096" s="92">
        <v>1.7685891994670321E-2</v>
      </c>
      <c r="AC1096" s="101">
        <v>1.766037764012296E-2</v>
      </c>
    </row>
    <row r="1097" spans="25:29" x14ac:dyDescent="0.2">
      <c r="Y1097" s="105" t="str">
        <f t="shared" si="50"/>
        <v>1w</v>
      </c>
      <c r="Z1097" s="93">
        <f>_xll.qlCalendarAdvance(Calendar,Z1096,Y1097,"f",FALSE)</f>
        <v>46812</v>
      </c>
      <c r="AA1097" s="117">
        <f>_xll.qlCalendarAdvance(Calendar,Z1097,NDays&amp;"D")</f>
        <v>46814</v>
      </c>
      <c r="AB1097" s="92">
        <v>1.7682144700630984E-2</v>
      </c>
      <c r="AC1097" s="101">
        <v>1.7656536977534998E-2</v>
      </c>
    </row>
    <row r="1098" spans="25:29" x14ac:dyDescent="0.2">
      <c r="Y1098" s="105" t="str">
        <f t="shared" si="50"/>
        <v>1w</v>
      </c>
      <c r="Z1098" s="93">
        <f>_xll.qlCalendarAdvance(Calendar,Z1097,Y1098,"f",FALSE)</f>
        <v>46819</v>
      </c>
      <c r="AA1098" s="117">
        <f>_xll.qlCalendarAdvance(Calendar,Z1098,NDays&amp;"D")</f>
        <v>46821</v>
      </c>
      <c r="AB1098" s="92">
        <v>1.7677878725053036E-2</v>
      </c>
      <c r="AC1098" s="101">
        <v>1.765266518560793E-2</v>
      </c>
    </row>
    <row r="1099" spans="25:29" x14ac:dyDescent="0.2">
      <c r="Y1099" s="105" t="str">
        <f t="shared" si="50"/>
        <v>1w</v>
      </c>
      <c r="Z1099" s="93">
        <f>_xll.qlCalendarAdvance(Calendar,Z1098,Y1099,"f",FALSE)</f>
        <v>46826</v>
      </c>
      <c r="AA1099" s="117">
        <f>_xll.qlCalendarAdvance(Calendar,Z1099,NDays&amp;"D")</f>
        <v>46828</v>
      </c>
      <c r="AB1099" s="92">
        <v>1.7673587810129874E-2</v>
      </c>
      <c r="AC1099" s="101">
        <v>1.7648762715181121E-2</v>
      </c>
    </row>
    <row r="1100" spans="25:29" x14ac:dyDescent="0.2">
      <c r="Y1100" s="105" t="str">
        <f t="shared" si="50"/>
        <v>1w</v>
      </c>
      <c r="Z1100" s="93">
        <f>_xll.qlCalendarAdvance(Calendar,Z1099,Y1100,"f",FALSE)</f>
        <v>46833</v>
      </c>
      <c r="AA1100" s="117">
        <f>_xll.qlCalendarAdvance(Calendar,Z1100,NDays&amp;"D")</f>
        <v>46835</v>
      </c>
      <c r="AB1100" s="92">
        <v>1.7669272410731619E-2</v>
      </c>
      <c r="AC1100" s="101">
        <v>1.7644830016694257E-2</v>
      </c>
    </row>
    <row r="1101" spans="25:29" x14ac:dyDescent="0.2">
      <c r="Y1101" s="105" t="str">
        <f t="shared" si="50"/>
        <v>1w</v>
      </c>
      <c r="Z1101" s="93">
        <f>_xll.qlCalendarAdvance(Calendar,Z1100,Y1101,"f",FALSE)</f>
        <v>46840</v>
      </c>
      <c r="AA1101" s="117">
        <f>_xll.qlCalendarAdvance(Calendar,Z1101,NDays&amp;"D")</f>
        <v>46842</v>
      </c>
      <c r="AB1101" s="92">
        <v>1.7664590805333332E-2</v>
      </c>
      <c r="AC1101" s="101">
        <v>1.7640867540746896E-2</v>
      </c>
    </row>
    <row r="1102" spans="25:29" x14ac:dyDescent="0.2">
      <c r="Y1102" s="105" t="str">
        <f t="shared" si="50"/>
        <v>1w</v>
      </c>
      <c r="Z1102" s="93">
        <f>_xll.qlCalendarAdvance(Calendar,Z1101,Y1102,"f",FALSE)</f>
        <v>46847</v>
      </c>
      <c r="AA1102" s="117">
        <f>_xll.qlCalendarAdvance(Calendar,Z1102,NDays&amp;"D")</f>
        <v>46849</v>
      </c>
      <c r="AB1102" s="92">
        <v>1.7660233025539485E-2</v>
      </c>
      <c r="AC1102" s="101">
        <v>1.7636875738098468E-2</v>
      </c>
    </row>
    <row r="1103" spans="25:29" x14ac:dyDescent="0.2">
      <c r="Y1103" s="105" t="str">
        <f t="shared" si="50"/>
        <v>1w</v>
      </c>
      <c r="Z1103" s="93">
        <f>_xll.qlCalendarAdvance(Calendar,Z1102,Y1103,"f",FALSE)</f>
        <v>46854</v>
      </c>
      <c r="AA1103" s="117">
        <f>_xll.qlCalendarAdvance(Calendar,Z1103,NDays&amp;"D")</f>
        <v>46856</v>
      </c>
      <c r="AB1103" s="92">
        <v>1.7655852031638278E-2</v>
      </c>
      <c r="AC1103" s="101">
        <v>1.763342765392828E-2</v>
      </c>
    </row>
    <row r="1104" spans="25:29" x14ac:dyDescent="0.2">
      <c r="Y1104" s="105" t="str">
        <f t="shared" si="50"/>
        <v>1w</v>
      </c>
      <c r="Z1104" s="93">
        <f>_xll.qlCalendarAdvance(Calendar,Z1103,Y1104,"f",FALSE)</f>
        <v>46861</v>
      </c>
      <c r="AA1104" s="117">
        <f>_xll.qlCalendarAdvance(Calendar,Z1104,NDays&amp;"D")</f>
        <v>46863</v>
      </c>
      <c r="AB1104" s="92">
        <v>1.7651448278419579E-2</v>
      </c>
      <c r="AC1104" s="101">
        <v>1.762880595485683E-2</v>
      </c>
    </row>
    <row r="1105" spans="25:29" x14ac:dyDescent="0.2">
      <c r="Y1105" s="105" t="str">
        <f t="shared" si="50"/>
        <v>1w</v>
      </c>
      <c r="Z1105" s="93">
        <f>_xll.qlCalendarAdvance(Calendar,Z1104,Y1105,"f",FALSE)</f>
        <v>46868</v>
      </c>
      <c r="AA1105" s="117">
        <f>_xll.qlCalendarAdvance(Calendar,Z1105,NDays&amp;"D")</f>
        <v>46870</v>
      </c>
      <c r="AB1105" s="92">
        <v>1.7647022220668454E-2</v>
      </c>
      <c r="AC1105" s="101">
        <v>1.7624728875542672E-2</v>
      </c>
    </row>
    <row r="1106" spans="25:29" x14ac:dyDescent="0.2">
      <c r="Y1106" s="105" t="str">
        <f t="shared" si="50"/>
        <v>1w</v>
      </c>
      <c r="Z1106" s="93">
        <f>_xll.qlCalendarAdvance(Calendar,Z1105,Y1106,"f",FALSE)</f>
        <v>46875</v>
      </c>
      <c r="AA1106" s="117">
        <f>_xll.qlCalendarAdvance(Calendar,Z1106,NDays&amp;"D")</f>
        <v>46877</v>
      </c>
      <c r="AB1106" s="92">
        <v>1.7642891312710667E-2</v>
      </c>
      <c r="AC1106" s="101">
        <v>1.7620624271925678E-2</v>
      </c>
    </row>
    <row r="1107" spans="25:29" x14ac:dyDescent="0.2">
      <c r="Y1107" s="105" t="str">
        <f t="shared" si="50"/>
        <v>1w</v>
      </c>
      <c r="Z1107" s="93">
        <f>_xll.qlCalendarAdvance(Calendar,Z1106,Y1107,"f",FALSE)</f>
        <v>46882</v>
      </c>
      <c r="AA1107" s="117">
        <f>_xll.qlCalendarAdvance(Calendar,Z1107,NDays&amp;"D")</f>
        <v>46884</v>
      </c>
      <c r="AB1107" s="92">
        <v>1.763841725809184E-2</v>
      </c>
      <c r="AC1107" s="101">
        <v>1.7616492594525468E-2</v>
      </c>
    </row>
    <row r="1108" spans="25:29" x14ac:dyDescent="0.2">
      <c r="Y1108" s="105" t="str">
        <f t="shared" si="50"/>
        <v>1w</v>
      </c>
      <c r="Z1108" s="93">
        <f>_xll.qlCalendarAdvance(Calendar,Z1107,Y1108,"f",FALSE)</f>
        <v>46889</v>
      </c>
      <c r="AA1108" s="117">
        <f>_xll.qlCalendarAdvance(Calendar,Z1108,NDays&amp;"D")</f>
        <v>46891</v>
      </c>
      <c r="AB1108" s="92">
        <v>1.763392235784542E-2</v>
      </c>
      <c r="AC1108" s="101">
        <v>1.7612334294101473E-2</v>
      </c>
    </row>
    <row r="1109" spans="25:29" x14ac:dyDescent="0.2">
      <c r="Y1109" s="105" t="str">
        <f t="shared" ref="Y1109:Y1172" si="51">Y1108</f>
        <v>1w</v>
      </c>
      <c r="Z1109" s="93">
        <f>_xll.qlCalendarAdvance(Calendar,Z1108,Y1109,"f",FALSE)</f>
        <v>46896</v>
      </c>
      <c r="AA1109" s="117">
        <f>_xll.qlCalendarAdvance(Calendar,Z1109,NDays&amp;"D")</f>
        <v>46898</v>
      </c>
      <c r="AB1109" s="92">
        <v>1.7629407066812309E-2</v>
      </c>
      <c r="AC1109" s="101">
        <v>1.7608149821173313E-2</v>
      </c>
    </row>
    <row r="1110" spans="25:29" x14ac:dyDescent="0.2">
      <c r="Y1110" s="105" t="str">
        <f t="shared" si="51"/>
        <v>1w</v>
      </c>
      <c r="Z1110" s="93">
        <f>_xll.qlCalendarAdvance(Calendar,Z1109,Y1110,"f",FALSE)</f>
        <v>46903</v>
      </c>
      <c r="AA1110" s="117">
        <f>_xll.qlCalendarAdvance(Calendar,Z1110,NDays&amp;"D")</f>
        <v>46905</v>
      </c>
      <c r="AB1110" s="92">
        <v>1.7624573281217925E-2</v>
      </c>
      <c r="AC1110" s="101">
        <v>1.7603939626340548E-2</v>
      </c>
    </row>
    <row r="1111" spans="25:29" x14ac:dyDescent="0.2">
      <c r="Y1111" s="105" t="str">
        <f t="shared" si="51"/>
        <v>1w</v>
      </c>
      <c r="Z1111" s="93">
        <f>_xll.qlCalendarAdvance(Calendar,Z1110,Y1111,"f",FALSE)</f>
        <v>46910</v>
      </c>
      <c r="AA1111" s="117">
        <f>_xll.qlCalendarAdvance(Calendar,Z1111,NDays&amp;"D")</f>
        <v>46912</v>
      </c>
      <c r="AB1111" s="92">
        <v>1.7620022946596477E-2</v>
      </c>
      <c r="AC1111" s="101">
        <v>1.759970416028267E-2</v>
      </c>
    </row>
    <row r="1112" spans="25:29" x14ac:dyDescent="0.2">
      <c r="Y1112" s="105" t="str">
        <f t="shared" si="51"/>
        <v>1w</v>
      </c>
      <c r="Z1112" s="93">
        <f>_xll.qlCalendarAdvance(Calendar,Z1111,Y1112,"f",FALSE)</f>
        <v>46917</v>
      </c>
      <c r="AA1112" s="117">
        <f>_xll.qlCalendarAdvance(Calendar,Z1112,NDays&amp;"D")</f>
        <v>46919</v>
      </c>
      <c r="AB1112" s="92">
        <v>1.7615453490851106E-2</v>
      </c>
      <c r="AC1112" s="101">
        <v>1.7595443873679173E-2</v>
      </c>
    </row>
    <row r="1113" spans="25:29" x14ac:dyDescent="0.2">
      <c r="Y1113" s="105" t="str">
        <f t="shared" si="51"/>
        <v>1w</v>
      </c>
      <c r="Z1113" s="93">
        <f>_xll.qlCalendarAdvance(Calendar,Z1112,Y1113,"f",FALSE)</f>
        <v>46924</v>
      </c>
      <c r="AA1113" s="117">
        <f>_xll.qlCalendarAdvance(Calendar,Z1113,NDays&amp;"D")</f>
        <v>46926</v>
      </c>
      <c r="AB1113" s="92">
        <v>1.7610865368740236E-2</v>
      </c>
      <c r="AC1113" s="101">
        <v>1.7591159216969743E-2</v>
      </c>
    </row>
    <row r="1114" spans="25:29" x14ac:dyDescent="0.2">
      <c r="Y1114" s="105" t="str">
        <f t="shared" si="51"/>
        <v>1w</v>
      </c>
      <c r="Z1114" s="93">
        <f>_xll.qlCalendarAdvance(Calendar,Z1113,Y1114,"f",FALSE)</f>
        <v>46931</v>
      </c>
      <c r="AA1114" s="117">
        <f>_xll.qlCalendarAdvance(Calendar,Z1114,NDays&amp;"D")</f>
        <v>46933</v>
      </c>
      <c r="AB1114" s="92">
        <v>1.7606259035017911E-2</v>
      </c>
      <c r="AC1114" s="101">
        <v>1.7586850640913809E-2</v>
      </c>
    </row>
    <row r="1115" spans="25:29" x14ac:dyDescent="0.2">
      <c r="Y1115" s="105" t="str">
        <f t="shared" si="51"/>
        <v>1w</v>
      </c>
      <c r="Z1115" s="93">
        <f>_xll.qlCalendarAdvance(Calendar,Z1114,Y1115,"f",FALSE)</f>
        <v>46938</v>
      </c>
      <c r="AA1115" s="117">
        <f>_xll.qlCalendarAdvance(Calendar,Z1115,NDays&amp;"D")</f>
        <v>46940</v>
      </c>
      <c r="AB1115" s="92">
        <v>1.7601912584716099E-2</v>
      </c>
      <c r="AC1115" s="101">
        <v>1.758251859611093E-2</v>
      </c>
    </row>
    <row r="1116" spans="25:29" x14ac:dyDescent="0.2">
      <c r="Y1116" s="105" t="str">
        <f t="shared" si="51"/>
        <v>1w</v>
      </c>
      <c r="Z1116" s="93">
        <f>_xll.qlCalendarAdvance(Calendar,Z1115,Y1116,"f",FALSE)</f>
        <v>46945</v>
      </c>
      <c r="AA1116" s="117">
        <f>_xll.qlCalendarAdvance(Calendar,Z1116,NDays&amp;"D")</f>
        <v>46947</v>
      </c>
      <c r="AB1116" s="92">
        <v>1.7597267293410507E-2</v>
      </c>
      <c r="AC1116" s="101">
        <v>1.7578163533080726E-2</v>
      </c>
    </row>
    <row r="1117" spans="25:29" x14ac:dyDescent="0.2">
      <c r="Y1117" s="105" t="str">
        <f t="shared" si="51"/>
        <v>1w</v>
      </c>
      <c r="Z1117" s="93">
        <f>_xll.qlCalendarAdvance(Calendar,Z1116,Y1117,"f",FALSE)</f>
        <v>46952</v>
      </c>
      <c r="AA1117" s="117">
        <f>_xll.qlCalendarAdvance(Calendar,Z1117,NDays&amp;"D")</f>
        <v>46954</v>
      </c>
      <c r="AB1117" s="92">
        <v>1.7592605249911301E-2</v>
      </c>
      <c r="AC1117" s="101">
        <v>1.7573785902502692E-2</v>
      </c>
    </row>
    <row r="1118" spans="25:29" x14ac:dyDescent="0.2">
      <c r="Y1118" s="105" t="str">
        <f t="shared" si="51"/>
        <v>1w</v>
      </c>
      <c r="Z1118" s="93">
        <f>_xll.qlCalendarAdvance(Calendar,Z1117,Y1118,"f",FALSE)</f>
        <v>46959</v>
      </c>
      <c r="AA1118" s="117">
        <f>_xll.qlCalendarAdvance(Calendar,Z1118,NDays&amp;"D")</f>
        <v>46961</v>
      </c>
      <c r="AB1118" s="92">
        <v>1.7587926909027149E-2</v>
      </c>
      <c r="AC1118" s="101">
        <v>1.7569386154976385E-2</v>
      </c>
    </row>
    <row r="1119" spans="25:29" x14ac:dyDescent="0.2">
      <c r="Y1119" s="105" t="str">
        <f t="shared" si="51"/>
        <v>1w</v>
      </c>
      <c r="Z1119" s="93">
        <f>_xll.qlCalendarAdvance(Calendar,Z1118,Y1119,"f",FALSE)</f>
        <v>46966</v>
      </c>
      <c r="AA1119" s="117">
        <f>_xll.qlCalendarAdvance(Calendar,Z1119,NDays&amp;"D")</f>
        <v>46968</v>
      </c>
      <c r="AB1119" s="92">
        <v>1.7583232725559835E-2</v>
      </c>
      <c r="AC1119" s="101">
        <v>1.7564964741181299E-2</v>
      </c>
    </row>
    <row r="1120" spans="25:29" x14ac:dyDescent="0.2">
      <c r="Y1120" s="105" t="str">
        <f t="shared" si="51"/>
        <v>1w</v>
      </c>
      <c r="Z1120" s="93">
        <f>_xll.qlCalendarAdvance(Calendar,Z1119,Y1120,"f",FALSE)</f>
        <v>46973</v>
      </c>
      <c r="AA1120" s="117">
        <f>_xll.qlCalendarAdvance(Calendar,Z1120,NDays&amp;"D")</f>
        <v>46975</v>
      </c>
      <c r="AB1120" s="92">
        <v>1.7578523154309005E-2</v>
      </c>
      <c r="AC1120" s="101">
        <v>1.7560522111637056E-2</v>
      </c>
    </row>
    <row r="1121" spans="25:29" x14ac:dyDescent="0.2">
      <c r="Y1121" s="105" t="str">
        <f t="shared" si="51"/>
        <v>1w</v>
      </c>
      <c r="Z1121" s="93">
        <f>_xll.qlCalendarAdvance(Calendar,Z1120,Y1121,"f",FALSE)</f>
        <v>46980</v>
      </c>
      <c r="AA1121" s="117">
        <f>_xll.qlCalendarAdvance(Calendar,Z1121,NDays&amp;"D")</f>
        <v>46982</v>
      </c>
      <c r="AB1121" s="92">
        <v>1.7573798650069562E-2</v>
      </c>
      <c r="AC1121" s="101">
        <v>1.7556058717023149E-2</v>
      </c>
    </row>
    <row r="1122" spans="25:29" x14ac:dyDescent="0.2">
      <c r="Y1122" s="105" t="str">
        <f t="shared" si="51"/>
        <v>1w</v>
      </c>
      <c r="Z1122" s="93">
        <f>_xll.qlCalendarAdvance(Calendar,Z1121,Y1122,"f",FALSE)</f>
        <v>46987</v>
      </c>
      <c r="AA1122" s="117">
        <f>_xll.qlCalendarAdvance(Calendar,Z1122,NDays&amp;"D")</f>
        <v>46989</v>
      </c>
      <c r="AB1122" s="92">
        <v>1.7569059667632555E-2</v>
      </c>
      <c r="AC1122" s="101">
        <v>1.7551575007939135E-2</v>
      </c>
    </row>
    <row r="1123" spans="25:29" x14ac:dyDescent="0.2">
      <c r="Y1123" s="105" t="str">
        <f t="shared" si="51"/>
        <v>1w</v>
      </c>
      <c r="Z1123" s="93">
        <f>_xll.qlCalendarAdvance(Calendar,Z1122,Y1123,"f",FALSE)</f>
        <v>46994</v>
      </c>
      <c r="AA1123" s="117">
        <f>_xll.qlCalendarAdvance(Calendar,Z1123,NDays&amp;"D")</f>
        <v>46996</v>
      </c>
      <c r="AB1123" s="92">
        <v>1.7563891000479646E-2</v>
      </c>
      <c r="AC1123" s="101">
        <v>1.7547071434984574E-2</v>
      </c>
    </row>
    <row r="1124" spans="25:29" x14ac:dyDescent="0.2">
      <c r="Y1124" s="105" t="str">
        <f t="shared" si="51"/>
        <v>1w</v>
      </c>
      <c r="Z1124" s="93">
        <f>_xll.qlCalendarAdvance(Calendar,Z1123,Y1124,"f",FALSE)</f>
        <v>47001</v>
      </c>
      <c r="AA1124" s="117">
        <f>_xll.qlCalendarAdvance(Calendar,Z1124,NDays&amp;"D")</f>
        <v>47003</v>
      </c>
      <c r="AB1124" s="92">
        <v>1.7559129666591601E-2</v>
      </c>
      <c r="AC1124" s="101">
        <v>1.7542548448838957E-2</v>
      </c>
    </row>
    <row r="1125" spans="25:29" x14ac:dyDescent="0.2">
      <c r="Y1125" s="105" t="str">
        <f t="shared" si="51"/>
        <v>1w</v>
      </c>
      <c r="Z1125" s="93">
        <f>_xll.qlCalendarAdvance(Calendar,Z1124,Y1125,"f",FALSE)</f>
        <v>47008</v>
      </c>
      <c r="AA1125" s="117">
        <f>_xll.qlCalendarAdvance(Calendar,Z1125,NDays&amp;"D")</f>
        <v>47010</v>
      </c>
      <c r="AB1125" s="92">
        <v>1.7554355059348103E-2</v>
      </c>
      <c r="AC1125" s="101">
        <v>1.7538006499941972E-2</v>
      </c>
    </row>
    <row r="1126" spans="25:29" x14ac:dyDescent="0.2">
      <c r="Y1126" s="105" t="str">
        <f t="shared" si="51"/>
        <v>1w</v>
      </c>
      <c r="Z1126" s="93">
        <f>_xll.qlCalendarAdvance(Calendar,Z1125,Y1126,"f",FALSE)</f>
        <v>47015</v>
      </c>
      <c r="AA1126" s="117">
        <f>_xll.qlCalendarAdvance(Calendar,Z1126,NDays&amp;"D")</f>
        <v>47017</v>
      </c>
      <c r="AB1126" s="92">
        <v>1.7549567633411318E-2</v>
      </c>
      <c r="AC1126" s="101">
        <v>1.7533446039132983E-2</v>
      </c>
    </row>
    <row r="1127" spans="25:29" x14ac:dyDescent="0.2">
      <c r="Y1127" s="105" t="str">
        <f t="shared" si="51"/>
        <v>1w</v>
      </c>
      <c r="Z1127" s="93">
        <f>_xll.qlCalendarAdvance(Calendar,Z1126,Y1127,"f",FALSE)</f>
        <v>47022</v>
      </c>
      <c r="AA1127" s="117">
        <f>_xll.qlCalendarAdvance(Calendar,Z1127,NDays&amp;"D")</f>
        <v>47024</v>
      </c>
      <c r="AB1127" s="92">
        <v>1.7544767843442083E-2</v>
      </c>
      <c r="AC1127" s="101">
        <v>1.7528867516851676E-2</v>
      </c>
    </row>
    <row r="1128" spans="25:29" x14ac:dyDescent="0.2">
      <c r="Y1128" s="105" t="str">
        <f t="shared" si="51"/>
        <v>1w</v>
      </c>
      <c r="Z1128" s="93">
        <f>_xll.qlCalendarAdvance(Calendar,Z1127,Y1128,"f",FALSE)</f>
        <v>47029</v>
      </c>
      <c r="AA1128" s="117">
        <f>_xll.qlCalendarAdvance(Calendar,Z1128,NDays&amp;"D")</f>
        <v>47031</v>
      </c>
      <c r="AB1128" s="92">
        <v>1.7540034509499623E-2</v>
      </c>
      <c r="AC1128" s="101">
        <v>1.7524271383857482E-2</v>
      </c>
    </row>
    <row r="1129" spans="25:29" x14ac:dyDescent="0.2">
      <c r="Y1129" s="105" t="str">
        <f t="shared" si="51"/>
        <v>1w</v>
      </c>
      <c r="Z1129" s="93">
        <f>_xll.qlCalendarAdvance(Calendar,Z1128,Y1129,"f",FALSE)</f>
        <v>47036</v>
      </c>
      <c r="AA1129" s="117">
        <f>_xll.qlCalendarAdvance(Calendar,Z1129,NDays&amp;"D")</f>
        <v>47038</v>
      </c>
      <c r="AB1129" s="92">
        <v>1.753521046098161E-2</v>
      </c>
      <c r="AC1129" s="101">
        <v>1.7519658090670021E-2</v>
      </c>
    </row>
    <row r="1130" spans="25:29" x14ac:dyDescent="0.2">
      <c r="Y1130" s="105" t="str">
        <f t="shared" si="51"/>
        <v>1w</v>
      </c>
      <c r="Z1130" s="93">
        <f>_xll.qlCalendarAdvance(Calendar,Z1129,Y1130,"f",FALSE)</f>
        <v>47043</v>
      </c>
      <c r="AA1130" s="117">
        <f>_xll.qlCalendarAdvance(Calendar,Z1130,NDays&amp;"D")</f>
        <v>47045</v>
      </c>
      <c r="AB1130" s="92">
        <v>1.753037544438836E-2</v>
      </c>
      <c r="AC1130" s="101">
        <v>1.7515028087888851E-2</v>
      </c>
    </row>
    <row r="1131" spans="25:29" x14ac:dyDescent="0.2">
      <c r="Y1131" s="105" t="str">
        <f t="shared" si="51"/>
        <v>1w</v>
      </c>
      <c r="Z1131" s="93">
        <f>_xll.qlCalendarAdvance(Calendar,Z1130,Y1131,"f",FALSE)</f>
        <v>47050</v>
      </c>
      <c r="AA1131" s="117">
        <f>_xll.qlCalendarAdvance(Calendar,Z1131,NDays&amp;"D")</f>
        <v>47052</v>
      </c>
      <c r="AB1131" s="92">
        <v>1.7525529914384746E-2</v>
      </c>
      <c r="AC1131" s="101">
        <v>1.7510381826193466E-2</v>
      </c>
    </row>
    <row r="1132" spans="25:29" x14ac:dyDescent="0.2">
      <c r="Y1132" s="105" t="str">
        <f t="shared" si="51"/>
        <v>1w</v>
      </c>
      <c r="Z1132" s="93">
        <f>_xll.qlCalendarAdvance(Calendar,Z1131,Y1132,"f",FALSE)</f>
        <v>47057</v>
      </c>
      <c r="AA1132" s="117">
        <f>_xll.qlCalendarAdvance(Calendar,Z1132,NDays&amp;"D")</f>
        <v>47059</v>
      </c>
      <c r="AB1132" s="92">
        <v>1.7520599345868002E-2</v>
      </c>
      <c r="AC1132" s="101">
        <v>1.750571975626336E-2</v>
      </c>
    </row>
    <row r="1133" spans="25:29" x14ac:dyDescent="0.2">
      <c r="Y1133" s="105" t="str">
        <f t="shared" si="51"/>
        <v>1w</v>
      </c>
      <c r="Z1133" s="93">
        <f>_xll.qlCalendarAdvance(Calendar,Z1132,Y1133,"f",FALSE)</f>
        <v>47064</v>
      </c>
      <c r="AA1133" s="117">
        <f>_xll.qlCalendarAdvance(Calendar,Z1133,NDays&amp;"D")</f>
        <v>47066</v>
      </c>
      <c r="AB1133" s="92">
        <v>1.7515734919305231E-2</v>
      </c>
      <c r="AC1133" s="101">
        <v>1.7501042328538219E-2</v>
      </c>
    </row>
    <row r="1134" spans="25:29" x14ac:dyDescent="0.2">
      <c r="Y1134" s="105" t="str">
        <f t="shared" si="51"/>
        <v>1w</v>
      </c>
      <c r="Z1134" s="93">
        <f>_xll.qlCalendarAdvance(Calendar,Z1133,Y1134,"f",FALSE)</f>
        <v>47071</v>
      </c>
      <c r="AA1134" s="117">
        <f>_xll.qlCalendarAdvance(Calendar,Z1134,NDays&amp;"D")</f>
        <v>47073</v>
      </c>
      <c r="AB1134" s="92">
        <v>1.7510861311205161E-2</v>
      </c>
      <c r="AC1134" s="101">
        <v>1.7496349993697535E-2</v>
      </c>
    </row>
    <row r="1135" spans="25:29" x14ac:dyDescent="0.2">
      <c r="Y1135" s="105" t="str">
        <f t="shared" si="51"/>
        <v>1w</v>
      </c>
      <c r="Z1135" s="93">
        <f>_xll.qlCalendarAdvance(Calendar,Z1134,Y1135,"f",FALSE)</f>
        <v>47078</v>
      </c>
      <c r="AA1135" s="117">
        <f>_xll.qlCalendarAdvance(Calendar,Z1135,NDays&amp;"D")</f>
        <v>47080</v>
      </c>
      <c r="AB1135" s="92">
        <v>1.7505978976193302E-2</v>
      </c>
      <c r="AC1135" s="101">
        <v>1.7491643202420804E-2</v>
      </c>
    </row>
    <row r="1136" spans="25:29" x14ac:dyDescent="0.2">
      <c r="Y1136" s="105" t="str">
        <f t="shared" si="51"/>
        <v>1w</v>
      </c>
      <c r="Z1136" s="93">
        <f>_xll.qlCalendarAdvance(Calendar,Z1135,Y1136,"f",FALSE)</f>
        <v>47085</v>
      </c>
      <c r="AA1136" s="117">
        <f>_xll.qlCalendarAdvance(Calendar,Z1136,NDays&amp;"D")</f>
        <v>47087</v>
      </c>
      <c r="AB1136" s="92">
        <v>1.7501160476175389E-2</v>
      </c>
      <c r="AC1136" s="101">
        <v>1.7486922405227645E-2</v>
      </c>
    </row>
    <row r="1137" spans="25:29" x14ac:dyDescent="0.2">
      <c r="Y1137" s="105" t="str">
        <f t="shared" si="51"/>
        <v>1w</v>
      </c>
      <c r="Z1137" s="93">
        <f>_xll.qlCalendarAdvance(Calendar,Z1136,Y1137,"f",FALSE)</f>
        <v>47092</v>
      </c>
      <c r="AA1137" s="117">
        <f>_xll.qlCalendarAdvance(Calendar,Z1137,NDays&amp;"D")</f>
        <v>47094</v>
      </c>
      <c r="AB1137" s="92">
        <v>1.7496261413427822E-2</v>
      </c>
      <c r="AC1137" s="101">
        <v>1.748218805287749E-2</v>
      </c>
    </row>
    <row r="1138" spans="25:29" x14ac:dyDescent="0.2">
      <c r="Y1138" s="105" t="str">
        <f t="shared" si="51"/>
        <v>1w</v>
      </c>
      <c r="Z1138" s="93">
        <f>_xll.qlCalendarAdvance(Calendar,Z1137,Y1138,"f",FALSE)</f>
        <v>47099</v>
      </c>
      <c r="AA1138" s="117">
        <f>_xll.qlCalendarAdvance(Calendar,Z1138,NDays&amp;"D")</f>
        <v>47101</v>
      </c>
      <c r="AB1138" s="92">
        <v>1.749135501980106E-2</v>
      </c>
      <c r="AC1138" s="101">
        <v>1.7477440595810023E-2</v>
      </c>
    </row>
    <row r="1139" spans="25:29" x14ac:dyDescent="0.2">
      <c r="Y1139" s="105" t="str">
        <f t="shared" si="51"/>
        <v>1w</v>
      </c>
      <c r="Z1139" s="93">
        <f>_xll.qlCalendarAdvance(Calendar,Z1138,Y1139,"f",FALSE)</f>
        <v>47106</v>
      </c>
      <c r="AA1139" s="117">
        <f>_xll.qlCalendarAdvance(Calendar,Z1139,NDays&amp;"D")</f>
        <v>47108</v>
      </c>
      <c r="AB1139" s="92">
        <v>1.7486441749926591E-2</v>
      </c>
      <c r="AC1139" s="101">
        <v>1.7472680484784675E-2</v>
      </c>
    </row>
    <row r="1140" spans="25:29" x14ac:dyDescent="0.2">
      <c r="Y1140" s="105" t="str">
        <f t="shared" si="51"/>
        <v>1w</v>
      </c>
      <c r="Z1140" s="93">
        <f>_xll.qlCalendarAdvance(Calendar,Z1139,Y1140,"f",FALSE)</f>
        <v>47114</v>
      </c>
      <c r="AA1140" s="117">
        <f>_xll.qlCalendarAdvance(Calendar,Z1140,NDays&amp;"D")</f>
        <v>47116</v>
      </c>
      <c r="AB1140" s="92">
        <v>1.7480818747652241E-2</v>
      </c>
      <c r="AC1140" s="101">
        <v>1.7467471911252197E-2</v>
      </c>
    </row>
    <row r="1141" spans="25:29" x14ac:dyDescent="0.2">
      <c r="Y1141" s="105" t="str">
        <f t="shared" si="51"/>
        <v>1w</v>
      </c>
      <c r="Z1141" s="93">
        <f>_xll.qlCalendarAdvance(Calendar,Z1140,Y1141,"f",FALSE)</f>
        <v>47121</v>
      </c>
      <c r="AA1141" s="117">
        <f>_xll.qlCalendarAdvance(Calendar,Z1141,NDays&amp;"D")</f>
        <v>47123</v>
      </c>
      <c r="AB1141" s="92">
        <v>1.7475823103432639E-2</v>
      </c>
      <c r="AC1141" s="101">
        <v>1.7462602049018727E-2</v>
      </c>
    </row>
    <row r="1142" spans="25:29" x14ac:dyDescent="0.2">
      <c r="Y1142" s="105" t="str">
        <f t="shared" si="51"/>
        <v>1w</v>
      </c>
      <c r="Z1142" s="93">
        <f>_xll.qlCalendarAdvance(Calendar,Z1141,Y1142,"f",FALSE)</f>
        <v>47128</v>
      </c>
      <c r="AA1142" s="117">
        <f>_xll.qlCalendarAdvance(Calendar,Z1142,NDays&amp;"D")</f>
        <v>47130</v>
      </c>
      <c r="AB1142" s="92">
        <v>1.7470891654203555E-2</v>
      </c>
      <c r="AC1142" s="101">
        <v>1.7457803070763944E-2</v>
      </c>
    </row>
    <row r="1143" spans="25:29" x14ac:dyDescent="0.2">
      <c r="Y1143" s="105" t="str">
        <f t="shared" si="51"/>
        <v>1w</v>
      </c>
      <c r="Z1143" s="93">
        <f>_xll.qlCalendarAdvance(Calendar,Z1142,Y1143,"f",FALSE)</f>
        <v>47135</v>
      </c>
      <c r="AA1143" s="117">
        <f>_xll.qlCalendarAdvance(Calendar,Z1143,NDays&amp;"D")</f>
        <v>47137</v>
      </c>
      <c r="AB1143" s="92">
        <v>1.746595517985073E-2</v>
      </c>
      <c r="AC1143" s="101">
        <v>1.7452993368820557E-2</v>
      </c>
    </row>
    <row r="1144" spans="25:29" x14ac:dyDescent="0.2">
      <c r="Y1144" s="105" t="str">
        <f t="shared" si="51"/>
        <v>1w</v>
      </c>
      <c r="Z1144" s="93">
        <f>_xll.qlCalendarAdvance(Calendar,Z1143,Y1144,"f",FALSE)</f>
        <v>47142</v>
      </c>
      <c r="AA1144" s="117">
        <f>_xll.qlCalendarAdvance(Calendar,Z1144,NDays&amp;"D")</f>
        <v>47144</v>
      </c>
      <c r="AB1144" s="92">
        <v>1.7461014134959481E-2</v>
      </c>
      <c r="AC1144" s="101">
        <v>1.744817339381477E-2</v>
      </c>
    </row>
    <row r="1145" spans="25:29" x14ac:dyDescent="0.2">
      <c r="Y1145" s="105" t="str">
        <f t="shared" si="51"/>
        <v>1w</v>
      </c>
      <c r="Z1145" s="93">
        <f>_xll.qlCalendarAdvance(Calendar,Z1144,Y1145,"f",FALSE)</f>
        <v>47149</v>
      </c>
      <c r="AA1145" s="117">
        <f>_xll.qlCalendarAdvance(Calendar,Z1145,NDays&amp;"D")</f>
        <v>47151</v>
      </c>
      <c r="AB1145" s="92">
        <v>1.7456068974111155E-2</v>
      </c>
      <c r="AC1145" s="101">
        <v>1.7443343596372785E-2</v>
      </c>
    </row>
    <row r="1146" spans="25:29" x14ac:dyDescent="0.2">
      <c r="Y1146" s="105" t="str">
        <f t="shared" si="51"/>
        <v>1w</v>
      </c>
      <c r="Z1146" s="93">
        <f>_xll.qlCalendarAdvance(Calendar,Z1145,Y1146,"f",FALSE)</f>
        <v>47156</v>
      </c>
      <c r="AA1146" s="117">
        <f>_xll.qlCalendarAdvance(Calendar,Z1146,NDays&amp;"D")</f>
        <v>47158</v>
      </c>
      <c r="AB1146" s="92">
        <v>1.7451120151881792E-2</v>
      </c>
      <c r="AC1146" s="101">
        <v>1.7438504427200741E-2</v>
      </c>
    </row>
    <row r="1147" spans="25:29" x14ac:dyDescent="0.2">
      <c r="Y1147" s="105" t="str">
        <f t="shared" si="51"/>
        <v>1w</v>
      </c>
      <c r="Z1147" s="93">
        <f>_xll.qlCalendarAdvance(Calendar,Z1146,Y1147,"f",FALSE)</f>
        <v>47163</v>
      </c>
      <c r="AA1147" s="117">
        <f>_xll.qlCalendarAdvance(Calendar,Z1147,NDays&amp;"D")</f>
        <v>47165</v>
      </c>
      <c r="AB1147" s="92">
        <v>1.7446168122843473E-2</v>
      </c>
      <c r="AC1147" s="101">
        <v>1.7433656336924841E-2</v>
      </c>
    </row>
    <row r="1148" spans="25:29" x14ac:dyDescent="0.2">
      <c r="Y1148" s="105" t="str">
        <f t="shared" si="51"/>
        <v>1w</v>
      </c>
      <c r="Z1148" s="93">
        <f>_xll.qlCalendarAdvance(Calendar,Z1147,Y1148,"f",FALSE)</f>
        <v>47170</v>
      </c>
      <c r="AA1148" s="117">
        <f>_xll.qlCalendarAdvance(Calendar,Z1148,NDays&amp;"D")</f>
        <v>47172</v>
      </c>
      <c r="AB1148" s="92">
        <v>1.7441213341564725E-2</v>
      </c>
      <c r="AC1148" s="101">
        <v>1.7428799776251225E-2</v>
      </c>
    </row>
    <row r="1149" spans="25:29" x14ac:dyDescent="0.2">
      <c r="Y1149" s="105" t="str">
        <f t="shared" si="51"/>
        <v>1w</v>
      </c>
      <c r="Z1149" s="93">
        <f>_xll.qlCalendarAdvance(Calendar,Z1148,Y1149,"f",FALSE)</f>
        <v>47177</v>
      </c>
      <c r="AA1149" s="117">
        <f>_xll.qlCalendarAdvance(Calendar,Z1149,NDays&amp;"D")</f>
        <v>47179</v>
      </c>
      <c r="AB1149" s="92">
        <v>1.7436521385268567E-2</v>
      </c>
      <c r="AC1149" s="101">
        <v>1.7423935195806095E-2</v>
      </c>
    </row>
    <row r="1150" spans="25:29" x14ac:dyDescent="0.2">
      <c r="Y1150" s="105" t="str">
        <f t="shared" si="51"/>
        <v>1w</v>
      </c>
      <c r="Z1150" s="93">
        <f>_xll.qlCalendarAdvance(Calendar,Z1149,Y1150,"f",FALSE)</f>
        <v>47184</v>
      </c>
      <c r="AA1150" s="117">
        <f>_xll.qlCalendarAdvance(Calendar,Z1150,NDays&amp;"D")</f>
        <v>47186</v>
      </c>
      <c r="AB1150" s="92">
        <v>1.7431561629547631E-2</v>
      </c>
      <c r="AC1150" s="101">
        <v>1.74190630462423E-2</v>
      </c>
    </row>
    <row r="1151" spans="25:29" x14ac:dyDescent="0.2">
      <c r="Y1151" s="105" t="str">
        <f t="shared" si="51"/>
        <v>1w</v>
      </c>
      <c r="Z1151" s="93">
        <f>_xll.qlCalendarAdvance(Calendar,Z1150,Y1151,"f",FALSE)</f>
        <v>47191</v>
      </c>
      <c r="AA1151" s="117">
        <f>_xll.qlCalendarAdvance(Calendar,Z1151,NDays&amp;"D")</f>
        <v>47193</v>
      </c>
      <c r="AB1151" s="92">
        <v>1.7426600615157418E-2</v>
      </c>
      <c r="AC1151" s="101">
        <v>1.7414183778186043E-2</v>
      </c>
    </row>
    <row r="1152" spans="25:29" x14ac:dyDescent="0.2">
      <c r="Y1152" s="105" t="str">
        <f t="shared" si="51"/>
        <v>1w</v>
      </c>
      <c r="Z1152" s="93">
        <f>_xll.qlCalendarAdvance(Calendar,Z1151,Y1152,"f",FALSE)</f>
        <v>47198</v>
      </c>
      <c r="AA1152" s="117">
        <f>_xll.qlCalendarAdvance(Calendar,Z1152,NDays&amp;"D")</f>
        <v>47200</v>
      </c>
      <c r="AB1152" s="92">
        <v>1.7421638796736204E-2</v>
      </c>
      <c r="AC1152" s="101">
        <v>1.7409297842423399E-2</v>
      </c>
    </row>
    <row r="1153" spans="25:29" x14ac:dyDescent="0.2">
      <c r="Y1153" s="105" t="str">
        <f t="shared" si="51"/>
        <v>1w</v>
      </c>
      <c r="Z1153" s="93">
        <f>_xll.qlCalendarAdvance(Calendar,Z1152,Y1153,"f",FALSE)</f>
        <v>47205</v>
      </c>
      <c r="AA1153" s="117">
        <f>_xll.qlCalendarAdvance(Calendar,Z1153,NDays&amp;"D")</f>
        <v>47211</v>
      </c>
      <c r="AB1153" s="92">
        <v>1.7413709932989085E-2</v>
      </c>
      <c r="AC1153" s="101">
        <v>1.740146614356064E-2</v>
      </c>
    </row>
    <row r="1154" spans="25:29" x14ac:dyDescent="0.2">
      <c r="Y1154" s="105" t="str">
        <f t="shared" si="51"/>
        <v>1w</v>
      </c>
      <c r="Z1154" s="93">
        <f>_xll.qlCalendarAdvance(Calendar,Z1153,Y1154,"f",FALSE)</f>
        <v>47212</v>
      </c>
      <c r="AA1154" s="117">
        <f>_xll.qlCalendarAdvance(Calendar,Z1154,NDays&amp;"D")</f>
        <v>47214</v>
      </c>
      <c r="AB1154" s="92">
        <v>1.7411714566318424E-2</v>
      </c>
      <c r="AC1154" s="101">
        <v>1.7399507770043954E-2</v>
      </c>
    </row>
    <row r="1155" spans="25:29" x14ac:dyDescent="0.2">
      <c r="Y1155" s="105" t="str">
        <f t="shared" si="51"/>
        <v>1w</v>
      </c>
      <c r="Z1155" s="93">
        <f>_xll.qlCalendarAdvance(Calendar,Z1154,Y1155,"f",FALSE)</f>
        <v>47219</v>
      </c>
      <c r="AA1155" s="117">
        <f>_xll.qlCalendarAdvance(Calendar,Z1155,NDays&amp;"D")</f>
        <v>47221</v>
      </c>
      <c r="AB1155" s="92">
        <v>1.7406753063571614E-2</v>
      </c>
      <c r="AC1155" s="101">
        <v>1.739460453478614E-2</v>
      </c>
    </row>
    <row r="1156" spans="25:29" x14ac:dyDescent="0.2">
      <c r="Y1156" s="105" t="str">
        <f t="shared" si="51"/>
        <v>1w</v>
      </c>
      <c r="Z1156" s="93">
        <f>_xll.qlCalendarAdvance(Calendar,Z1155,Y1156,"f",FALSE)</f>
        <v>47226</v>
      </c>
      <c r="AA1156" s="117">
        <f>_xll.qlCalendarAdvance(Calendar,Z1156,NDays&amp;"D")</f>
        <v>47228</v>
      </c>
      <c r="AB1156" s="92">
        <v>1.7401792575291584E-2</v>
      </c>
      <c r="AC1156" s="101">
        <v>1.7389696434380042E-2</v>
      </c>
    </row>
    <row r="1157" spans="25:29" x14ac:dyDescent="0.2">
      <c r="Y1157" s="105" t="str">
        <f t="shared" si="51"/>
        <v>1w</v>
      </c>
      <c r="Z1157" s="93">
        <f>_xll.qlCalendarAdvance(Calendar,Z1156,Y1157,"f",FALSE)</f>
        <v>47233</v>
      </c>
      <c r="AA1157" s="117">
        <f>_xll.qlCalendarAdvance(Calendar,Z1157,NDays&amp;"D")</f>
        <v>47235</v>
      </c>
      <c r="AB1157" s="92">
        <v>1.7396833556091548E-2</v>
      </c>
      <c r="AC1157" s="101">
        <v>1.7384783919478508E-2</v>
      </c>
    </row>
    <row r="1158" spans="25:29" x14ac:dyDescent="0.2">
      <c r="Y1158" s="105" t="str">
        <f t="shared" si="51"/>
        <v>1w</v>
      </c>
      <c r="Z1158" s="93">
        <f>_xll.qlCalendarAdvance(Calendar,Z1157,Y1158,"f",FALSE)</f>
        <v>47240</v>
      </c>
      <c r="AA1158" s="117">
        <f>_xll.qlCalendarAdvance(Calendar,Z1158,NDays&amp;"D")</f>
        <v>47242</v>
      </c>
      <c r="AB1158" s="92">
        <v>1.7391876460579964E-2</v>
      </c>
      <c r="AC1158" s="101">
        <v>1.7379867440707741E-2</v>
      </c>
    </row>
    <row r="1159" spans="25:29" x14ac:dyDescent="0.2">
      <c r="Y1159" s="105" t="str">
        <f t="shared" si="51"/>
        <v>1w</v>
      </c>
      <c r="Z1159" s="93">
        <f>_xll.qlCalendarAdvance(Calendar,Z1158,Y1159,"f",FALSE)</f>
        <v>47247</v>
      </c>
      <c r="AA1159" s="117">
        <f>_xll.qlCalendarAdvance(Calendar,Z1159,NDays&amp;"D")</f>
        <v>47249</v>
      </c>
      <c r="AB1159" s="92">
        <v>1.738692174336097E-2</v>
      </c>
      <c r="AC1159" s="101">
        <v>1.7374947448827172E-2</v>
      </c>
    </row>
    <row r="1160" spans="25:29" x14ac:dyDescent="0.2">
      <c r="Y1160" s="105" t="str">
        <f t="shared" si="51"/>
        <v>1w</v>
      </c>
      <c r="Z1160" s="93">
        <f>_xll.qlCalendarAdvance(Calendar,Z1159,Y1160,"f",FALSE)</f>
        <v>47254</v>
      </c>
      <c r="AA1160" s="117">
        <f>_xll.qlCalendarAdvance(Calendar,Z1160,NDays&amp;"D")</f>
        <v>47256</v>
      </c>
      <c r="AB1160" s="92">
        <v>1.7381969859033952E-2</v>
      </c>
      <c r="AC1160" s="101">
        <v>1.737002439435642E-2</v>
      </c>
    </row>
    <row r="1161" spans="25:29" x14ac:dyDescent="0.2">
      <c r="Y1161" s="105" t="str">
        <f t="shared" si="51"/>
        <v>1w</v>
      </c>
      <c r="Z1161" s="93">
        <f>_xll.qlCalendarAdvance(Calendar,Z1160,Y1161,"f",FALSE)</f>
        <v>47261</v>
      </c>
      <c r="AA1161" s="117">
        <f>_xll.qlCalendarAdvance(Calendar,Z1161,NDays&amp;"D")</f>
        <v>47263</v>
      </c>
      <c r="AB1161" s="92">
        <v>1.7377021262193537E-2</v>
      </c>
      <c r="AC1161" s="101">
        <v>1.7365098728028272E-2</v>
      </c>
    </row>
    <row r="1162" spans="25:29" x14ac:dyDescent="0.2">
      <c r="Y1162" s="105" t="str">
        <f t="shared" si="51"/>
        <v>1w</v>
      </c>
      <c r="Z1162" s="93">
        <f>_xll.qlCalendarAdvance(Calendar,Z1161,Y1162,"f",FALSE)</f>
        <v>47268</v>
      </c>
      <c r="AA1162" s="117">
        <f>_xll.qlCalendarAdvance(Calendar,Z1162,NDays&amp;"D")</f>
        <v>47270</v>
      </c>
      <c r="AB1162" s="92">
        <v>1.7372076407430045E-2</v>
      </c>
      <c r="AC1162" s="101">
        <v>1.736017090052222E-2</v>
      </c>
    </row>
    <row r="1163" spans="25:29" x14ac:dyDescent="0.2">
      <c r="Y1163" s="105" t="str">
        <f t="shared" si="51"/>
        <v>1w</v>
      </c>
      <c r="Z1163" s="93">
        <f>_xll.qlCalendarAdvance(Calendar,Z1162,Y1163,"f",FALSE)</f>
        <v>47275</v>
      </c>
      <c r="AA1163" s="117">
        <f>_xll.qlCalendarAdvance(Calendar,Z1163,NDays&amp;"D")</f>
        <v>47277</v>
      </c>
      <c r="AB1163" s="92">
        <v>1.7367135749329462E-2</v>
      </c>
      <c r="AC1163" s="101">
        <v>1.7355241362411178E-2</v>
      </c>
    </row>
    <row r="1164" spans="25:29" x14ac:dyDescent="0.2">
      <c r="Y1164" s="105" t="str">
        <f t="shared" si="51"/>
        <v>1w</v>
      </c>
      <c r="Z1164" s="93">
        <f>_xll.qlCalendarAdvance(Calendar,Z1163,Y1164,"f",FALSE)</f>
        <v>47282</v>
      </c>
      <c r="AA1164" s="117">
        <f>_xll.qlCalendarAdvance(Calendar,Z1164,NDays&amp;"D")</f>
        <v>47284</v>
      </c>
      <c r="AB1164" s="92">
        <v>1.7362199742472592E-2</v>
      </c>
      <c r="AC1164" s="101">
        <v>1.7350310564427929E-2</v>
      </c>
    </row>
    <row r="1165" spans="25:29" x14ac:dyDescent="0.2">
      <c r="Y1165" s="105" t="str">
        <f t="shared" si="51"/>
        <v>1w</v>
      </c>
      <c r="Z1165" s="93">
        <f>_xll.qlCalendarAdvance(Calendar,Z1164,Y1165,"f",FALSE)</f>
        <v>47289</v>
      </c>
      <c r="AA1165" s="117">
        <f>_xll.qlCalendarAdvance(Calendar,Z1165,NDays&amp;"D")</f>
        <v>47291</v>
      </c>
      <c r="AB1165" s="92">
        <v>1.7357268841436783E-2</v>
      </c>
      <c r="AC1165" s="101">
        <v>1.7345378957251967E-2</v>
      </c>
    </row>
    <row r="1166" spans="25:29" x14ac:dyDescent="0.2">
      <c r="Y1166" s="105" t="str">
        <f t="shared" si="51"/>
        <v>1w</v>
      </c>
      <c r="Z1166" s="93">
        <f>_xll.qlCalendarAdvance(Calendar,Z1165,Y1166,"f",FALSE)</f>
        <v>47296</v>
      </c>
      <c r="AA1166" s="117">
        <f>_xll.qlCalendarAdvance(Calendar,Z1166,NDays&amp;"D")</f>
        <v>47298</v>
      </c>
      <c r="AB1166" s="92">
        <v>1.7352343500793774E-2</v>
      </c>
      <c r="AC1166" s="101">
        <v>1.7340446991456204E-2</v>
      </c>
    </row>
    <row r="1167" spans="25:29" x14ac:dyDescent="0.2">
      <c r="Y1167" s="105" t="str">
        <f t="shared" si="51"/>
        <v>1w</v>
      </c>
      <c r="Z1167" s="93">
        <f>_xll.qlCalendarAdvance(Calendar,Z1166,Y1167,"f",FALSE)</f>
        <v>47303</v>
      </c>
      <c r="AA1167" s="117">
        <f>_xll.qlCalendarAdvance(Calendar,Z1167,NDays&amp;"D")</f>
        <v>47305</v>
      </c>
      <c r="AB1167" s="92">
        <v>1.7347424175110534E-2</v>
      </c>
      <c r="AC1167" s="101">
        <v>1.733551511774678E-2</v>
      </c>
    </row>
    <row r="1168" spans="25:29" x14ac:dyDescent="0.2">
      <c r="Y1168" s="105" t="str">
        <f t="shared" si="51"/>
        <v>1w</v>
      </c>
      <c r="Z1168" s="93">
        <f>_xll.qlCalendarAdvance(Calendar,Z1167,Y1168,"f",FALSE)</f>
        <v>47310</v>
      </c>
      <c r="AA1168" s="117">
        <f>_xll.qlCalendarAdvance(Calendar,Z1168,NDays&amp;"D")</f>
        <v>47312</v>
      </c>
      <c r="AB1168" s="92">
        <v>1.7342511318951023E-2</v>
      </c>
      <c r="AC1168" s="101">
        <v>1.7330583786749898E-2</v>
      </c>
    </row>
    <row r="1169" spans="25:29" x14ac:dyDescent="0.2">
      <c r="Y1169" s="105" t="str">
        <f t="shared" si="51"/>
        <v>1w</v>
      </c>
      <c r="Z1169" s="93">
        <f>_xll.qlCalendarAdvance(Calendar,Z1168,Y1169,"f",FALSE)</f>
        <v>47317</v>
      </c>
      <c r="AA1169" s="117">
        <f>_xll.qlCalendarAdvance(Calendar,Z1169,NDays&amp;"D")</f>
        <v>47319</v>
      </c>
      <c r="AB1169" s="92">
        <v>1.7337605386873147E-2</v>
      </c>
      <c r="AC1169" s="101">
        <v>1.7325653449198342E-2</v>
      </c>
    </row>
    <row r="1170" spans="25:29" x14ac:dyDescent="0.2">
      <c r="Y1170" s="105" t="str">
        <f t="shared" si="51"/>
        <v>1w</v>
      </c>
      <c r="Z1170" s="93">
        <f>_xll.qlCalendarAdvance(Calendar,Z1169,Y1170,"f",FALSE)</f>
        <v>47324</v>
      </c>
      <c r="AA1170" s="117">
        <f>_xll.qlCalendarAdvance(Calendar,Z1170,NDays&amp;"D")</f>
        <v>47326</v>
      </c>
      <c r="AB1170" s="92">
        <v>1.7332706833431778E-2</v>
      </c>
      <c r="AC1170" s="101">
        <v>1.7320724555665024E-2</v>
      </c>
    </row>
    <row r="1171" spans="25:29" x14ac:dyDescent="0.2">
      <c r="Y1171" s="105" t="str">
        <f t="shared" si="51"/>
        <v>1w</v>
      </c>
      <c r="Z1171" s="93">
        <f>_xll.qlCalendarAdvance(Calendar,Z1170,Y1171,"f",FALSE)</f>
        <v>47331</v>
      </c>
      <c r="AA1171" s="117">
        <f>_xll.qlCalendarAdvance(Calendar,Z1171,NDays&amp;"D")</f>
        <v>47333</v>
      </c>
      <c r="AB1171" s="92">
        <v>1.732781611317619E-2</v>
      </c>
      <c r="AC1171" s="101">
        <v>1.7315797556856083E-2</v>
      </c>
    </row>
    <row r="1172" spans="25:29" x14ac:dyDescent="0.2">
      <c r="Y1172" s="105" t="str">
        <f t="shared" si="51"/>
        <v>1w</v>
      </c>
      <c r="Z1172" s="93">
        <f>_xll.qlCalendarAdvance(Calendar,Z1171,Y1172,"f",FALSE)</f>
        <v>47338</v>
      </c>
      <c r="AA1172" s="117">
        <f>_xll.qlCalendarAdvance(Calendar,Z1172,NDays&amp;"D")</f>
        <v>47340</v>
      </c>
      <c r="AB1172" s="92">
        <v>1.7322933680650885E-2</v>
      </c>
      <c r="AC1172" s="101">
        <v>1.7310872903397723E-2</v>
      </c>
    </row>
    <row r="1173" spans="25:29" x14ac:dyDescent="0.2">
      <c r="Y1173" s="105" t="str">
        <f t="shared" ref="Y1173:Y1236" si="52">Y1172</f>
        <v>1w</v>
      </c>
      <c r="Z1173" s="93">
        <f>_xll.qlCalendarAdvance(Calendar,Z1172,Y1173,"f",FALSE)</f>
        <v>47345</v>
      </c>
      <c r="AA1173" s="117">
        <f>_xll.qlCalendarAdvance(Calendar,Z1173,NDays&amp;"D")</f>
        <v>47347</v>
      </c>
      <c r="AB1173" s="92">
        <v>1.7318059990397785E-2</v>
      </c>
      <c r="AC1173" s="101">
        <v>1.7305951045942791E-2</v>
      </c>
    </row>
    <row r="1174" spans="25:29" x14ac:dyDescent="0.2">
      <c r="Y1174" s="105" t="str">
        <f t="shared" si="52"/>
        <v>1w</v>
      </c>
      <c r="Z1174" s="93">
        <f>_xll.qlCalendarAdvance(Calendar,Z1173,Y1174,"f",FALSE)</f>
        <v>47352</v>
      </c>
      <c r="AA1174" s="117">
        <f>_xll.qlCalendarAdvance(Calendar,Z1174,NDays&amp;"D")</f>
        <v>47354</v>
      </c>
      <c r="AB1174" s="92">
        <v>1.7313195496953187E-2</v>
      </c>
      <c r="AC1174" s="101">
        <v>1.7301032435197428E-2</v>
      </c>
    </row>
    <row r="1175" spans="25:29" x14ac:dyDescent="0.2">
      <c r="Y1175" s="105" t="str">
        <f t="shared" si="52"/>
        <v>1w</v>
      </c>
      <c r="Z1175" s="93">
        <f>_xll.qlCalendarAdvance(Calendar,Z1174,Y1175,"f",FALSE)</f>
        <v>47359</v>
      </c>
      <c r="AA1175" s="117">
        <f>_xll.qlCalendarAdvance(Calendar,Z1175,NDays&amp;"D")</f>
        <v>47361</v>
      </c>
      <c r="AB1175" s="92">
        <v>1.7308054766854444E-2</v>
      </c>
      <c r="AC1175" s="101">
        <v>1.7296117521787835E-2</v>
      </c>
    </row>
    <row r="1176" spans="25:29" x14ac:dyDescent="0.2">
      <c r="Y1176" s="105" t="str">
        <f t="shared" si="52"/>
        <v>1w</v>
      </c>
      <c r="Z1176" s="93">
        <f>_xll.qlCalendarAdvance(Calendar,Z1175,Y1176,"f",FALSE)</f>
        <v>47366</v>
      </c>
      <c r="AA1176" s="117">
        <f>_xll.qlCalendarAdvance(Calendar,Z1176,NDays&amp;"D")</f>
        <v>47368</v>
      </c>
      <c r="AB1176" s="92">
        <v>1.7303207459068347E-2</v>
      </c>
      <c r="AC1176" s="101">
        <v>1.7291206756393507E-2</v>
      </c>
    </row>
    <row r="1177" spans="25:29" x14ac:dyDescent="0.2">
      <c r="Y1177" s="105" t="str">
        <f t="shared" si="52"/>
        <v>1w</v>
      </c>
      <c r="Z1177" s="93">
        <f>_xll.qlCalendarAdvance(Calendar,Z1176,Y1177,"f",FALSE)</f>
        <v>47373</v>
      </c>
      <c r="AA1177" s="117">
        <f>_xll.qlCalendarAdvance(Calendar,Z1177,NDays&amp;"D")</f>
        <v>47375</v>
      </c>
      <c r="AB1177" s="92">
        <v>1.7298370579557947E-2</v>
      </c>
      <c r="AC1177" s="101">
        <v>1.7286300589614001E-2</v>
      </c>
    </row>
    <row r="1178" spans="25:29" x14ac:dyDescent="0.2">
      <c r="Y1178" s="105" t="str">
        <f t="shared" si="52"/>
        <v>1w</v>
      </c>
      <c r="Z1178" s="93">
        <f>_xll.qlCalendarAdvance(Calendar,Z1177,Y1178,"f",FALSE)</f>
        <v>47380</v>
      </c>
      <c r="AA1178" s="117">
        <f>_xll.qlCalendarAdvance(Calendar,Z1178,NDays&amp;"D")</f>
        <v>47382</v>
      </c>
      <c r="AB1178" s="92">
        <v>1.7293544582757975E-2</v>
      </c>
      <c r="AC1178" s="101">
        <v>1.7281399472155456E-2</v>
      </c>
    </row>
    <row r="1179" spans="25:29" x14ac:dyDescent="0.2">
      <c r="Y1179" s="105" t="str">
        <f t="shared" si="52"/>
        <v>1w</v>
      </c>
      <c r="Z1179" s="93">
        <f>_xll.qlCalendarAdvance(Calendar,Z1178,Y1179,"f",FALSE)</f>
        <v>47387</v>
      </c>
      <c r="AA1179" s="117">
        <f>_xll.qlCalendarAdvance(Calendar,Z1179,NDays&amp;"D")</f>
        <v>47389</v>
      </c>
      <c r="AB1179" s="92">
        <v>1.7288804042716991E-2</v>
      </c>
      <c r="AC1179" s="101">
        <v>1.7276503854670722E-2</v>
      </c>
    </row>
    <row r="1180" spans="25:29" x14ac:dyDescent="0.2">
      <c r="Y1180" s="105" t="str">
        <f t="shared" si="52"/>
        <v>1w</v>
      </c>
      <c r="Z1180" s="93">
        <f>_xll.qlCalendarAdvance(Calendar,Z1179,Y1180,"f",FALSE)</f>
        <v>47394</v>
      </c>
      <c r="AA1180" s="117">
        <f>_xll.qlCalendarAdvance(Calendar,Z1180,NDays&amp;"D")</f>
        <v>47396</v>
      </c>
      <c r="AB1180" s="92">
        <v>1.7284001944977315E-2</v>
      </c>
      <c r="AC1180" s="101">
        <v>1.7271614187812645E-2</v>
      </c>
    </row>
    <row r="1181" spans="25:29" x14ac:dyDescent="0.2">
      <c r="Y1181" s="105" t="str">
        <f t="shared" si="52"/>
        <v>1w</v>
      </c>
      <c r="Z1181" s="93">
        <f>_xll.qlCalendarAdvance(Calendar,Z1180,Y1181,"f",FALSE)</f>
        <v>47401</v>
      </c>
      <c r="AA1181" s="117">
        <f>_xll.qlCalendarAdvance(Calendar,Z1181,NDays&amp;"D")</f>
        <v>47403</v>
      </c>
      <c r="AB1181" s="92">
        <v>1.727921212633626E-2</v>
      </c>
      <c r="AC1181" s="101">
        <v>1.7266730922234075E-2</v>
      </c>
    </row>
    <row r="1182" spans="25:29" x14ac:dyDescent="0.2">
      <c r="Y1182" s="105" t="str">
        <f t="shared" si="52"/>
        <v>1w</v>
      </c>
      <c r="Z1182" s="93">
        <f>_xll.qlCalendarAdvance(Calendar,Z1181,Y1182,"f",FALSE)</f>
        <v>47408</v>
      </c>
      <c r="AA1182" s="117">
        <f>_xll.qlCalendarAdvance(Calendar,Z1182,NDays&amp;"D")</f>
        <v>47410</v>
      </c>
      <c r="AB1182" s="92">
        <v>1.7274742072683757E-2</v>
      </c>
      <c r="AC1182" s="101">
        <v>1.7261854508561214E-2</v>
      </c>
    </row>
    <row r="1183" spans="25:29" x14ac:dyDescent="0.2">
      <c r="Y1183" s="105" t="str">
        <f t="shared" si="52"/>
        <v>1w</v>
      </c>
      <c r="Z1183" s="93">
        <f>_xll.qlCalendarAdvance(Calendar,Z1182,Y1183,"f",FALSE)</f>
        <v>47415</v>
      </c>
      <c r="AA1183" s="117">
        <f>_xll.qlCalendarAdvance(Calendar,Z1183,NDays&amp;"D")</f>
        <v>47417</v>
      </c>
      <c r="AB1183" s="92">
        <v>1.7269671144102102E-2</v>
      </c>
      <c r="AC1183" s="101">
        <v>1.7256985397500202E-2</v>
      </c>
    </row>
    <row r="1184" spans="25:29" x14ac:dyDescent="0.2">
      <c r="Y1184" s="105" t="str">
        <f t="shared" si="52"/>
        <v>1w</v>
      </c>
      <c r="Z1184" s="93">
        <f>_xll.qlCalendarAdvance(Calendar,Z1183,Y1184,"f",FALSE)</f>
        <v>47422</v>
      </c>
      <c r="AA1184" s="117">
        <f>_xll.qlCalendarAdvance(Calendar,Z1184,NDays&amp;"D")</f>
        <v>47424</v>
      </c>
      <c r="AB1184" s="92">
        <v>1.7264842586714447E-2</v>
      </c>
      <c r="AC1184" s="101">
        <v>1.7252124039677241E-2</v>
      </c>
    </row>
    <row r="1185" spans="25:29" x14ac:dyDescent="0.2">
      <c r="Y1185" s="105" t="str">
        <f t="shared" si="52"/>
        <v>1w</v>
      </c>
      <c r="Z1185" s="93">
        <f>_xll.qlCalendarAdvance(Calendar,Z1184,Y1185,"f",FALSE)</f>
        <v>47429</v>
      </c>
      <c r="AA1185" s="117">
        <f>_xll.qlCalendarAdvance(Calendar,Z1185,NDays&amp;"D")</f>
        <v>47431</v>
      </c>
      <c r="AB1185" s="92">
        <v>1.7260105492718707E-2</v>
      </c>
      <c r="AC1185" s="101">
        <v>1.7247270885771826E-2</v>
      </c>
    </row>
    <row r="1186" spans="25:29" x14ac:dyDescent="0.2">
      <c r="Y1186" s="105" t="str">
        <f t="shared" si="52"/>
        <v>1w</v>
      </c>
      <c r="Z1186" s="93">
        <f>_xll.qlCalendarAdvance(Calendar,Z1185,Y1186,"f",FALSE)</f>
        <v>47436</v>
      </c>
      <c r="AA1186" s="117">
        <f>_xll.qlCalendarAdvance(Calendar,Z1186,NDays&amp;"D")</f>
        <v>47438</v>
      </c>
      <c r="AB1186" s="92">
        <v>1.725538290843397E-2</v>
      </c>
      <c r="AC1186" s="101">
        <v>1.7242426386436804E-2</v>
      </c>
    </row>
    <row r="1187" spans="25:29" x14ac:dyDescent="0.2">
      <c r="Y1187" s="105" t="str">
        <f t="shared" si="52"/>
        <v>1w</v>
      </c>
      <c r="Z1187" s="93">
        <f>_xll.qlCalendarAdvance(Calendar,Z1186,Y1187,"f",FALSE)</f>
        <v>47443</v>
      </c>
      <c r="AA1187" s="117">
        <f>_xll.qlCalendarAdvance(Calendar,Z1187,NDays&amp;"D")</f>
        <v>47445</v>
      </c>
      <c r="AB1187" s="92">
        <v>1.7250674553198109E-2</v>
      </c>
      <c r="AC1187" s="101">
        <v>1.7237590992298379E-2</v>
      </c>
    </row>
    <row r="1188" spans="25:29" x14ac:dyDescent="0.2">
      <c r="Y1188" s="105" t="str">
        <f t="shared" si="52"/>
        <v>1w</v>
      </c>
      <c r="Z1188" s="93">
        <f>_xll.qlCalendarAdvance(Calendar,Z1187,Y1188,"f",FALSE)</f>
        <v>47450</v>
      </c>
      <c r="AA1188" s="117">
        <f>_xll.qlCalendarAdvance(Calendar,Z1188,NDays&amp;"D")</f>
        <v>47452</v>
      </c>
      <c r="AB1188" s="92">
        <v>1.724606028121969E-2</v>
      </c>
      <c r="AC1188" s="101">
        <v>1.72327651540094E-2</v>
      </c>
    </row>
    <row r="1189" spans="25:29" x14ac:dyDescent="0.2">
      <c r="Y1189" s="105" t="str">
        <f t="shared" si="52"/>
        <v>1w</v>
      </c>
      <c r="Z1189" s="93">
        <f>_xll.qlCalendarAdvance(Calendar,Z1188,Y1189,"f",FALSE)</f>
        <v>47457</v>
      </c>
      <c r="AA1189" s="117">
        <f>_xll.qlCalendarAdvance(Calendar,Z1189,NDays&amp;"D")</f>
        <v>47459</v>
      </c>
      <c r="AB1189" s="92">
        <v>1.7241375783202943E-2</v>
      </c>
      <c r="AC1189" s="101">
        <v>1.7227949322276004E-2</v>
      </c>
    </row>
    <row r="1190" spans="25:29" x14ac:dyDescent="0.2">
      <c r="Y1190" s="105" t="str">
        <f t="shared" si="52"/>
        <v>1w</v>
      </c>
      <c r="Z1190" s="93">
        <f>_xll.qlCalendarAdvance(Calendar,Z1189,Y1190,"f",FALSE)</f>
        <v>47464</v>
      </c>
      <c r="AA1190" s="117">
        <f>_xll.qlCalendarAdvance(Calendar,Z1190,NDays&amp;"D")</f>
        <v>47466</v>
      </c>
      <c r="AB1190" s="92">
        <v>1.7236700284824154E-2</v>
      </c>
      <c r="AC1190" s="101">
        <v>1.7223143947724395E-2</v>
      </c>
    </row>
    <row r="1191" spans="25:29" x14ac:dyDescent="0.2">
      <c r="Y1191" s="105" t="str">
        <f t="shared" si="52"/>
        <v>1w</v>
      </c>
      <c r="Z1191" s="93">
        <f>_xll.qlCalendarAdvance(Calendar,Z1190,Y1191,"f",FALSE)</f>
        <v>47471</v>
      </c>
      <c r="AA1191" s="117">
        <f>_xll.qlCalendarAdvance(Calendar,Z1191,NDays&amp;"D")</f>
        <v>47473</v>
      </c>
      <c r="AB1191" s="92">
        <v>1.7232032067315342E-2</v>
      </c>
      <c r="AC1191" s="101">
        <v>1.7218349481007422E-2</v>
      </c>
    </row>
    <row r="1192" spans="25:29" x14ac:dyDescent="0.2">
      <c r="Y1192" s="105" t="str">
        <f t="shared" si="52"/>
        <v>1w</v>
      </c>
      <c r="Z1192" s="93">
        <f>_xll.qlCalendarAdvance(Calendar,Z1191,Y1192,"f",FALSE)</f>
        <v>47479</v>
      </c>
      <c r="AA1192" s="117">
        <f>_xll.qlCalendarAdvance(Calendar,Z1192,NDays&amp;"D")</f>
        <v>47483</v>
      </c>
      <c r="AB1192" s="92">
        <v>1.7225129854074896E-2</v>
      </c>
      <c r="AC1192" s="101">
        <v>1.7211449477958496E-2</v>
      </c>
    </row>
    <row r="1193" spans="25:29" x14ac:dyDescent="0.2">
      <c r="Y1193" s="105" t="str">
        <f t="shared" si="52"/>
        <v>1w</v>
      </c>
      <c r="Z1193" s="93">
        <f>_xll.qlCalendarAdvance(Calendar,Z1192,Y1193,"f",FALSE)</f>
        <v>47486</v>
      </c>
      <c r="AA1193" s="117">
        <f>_xll.qlCalendarAdvance(Calendar,Z1193,NDays&amp;"D")</f>
        <v>47490</v>
      </c>
      <c r="AB1193" s="92">
        <v>1.7220714626027474E-2</v>
      </c>
      <c r="AC1193" s="101">
        <v>1.7206611570523833E-2</v>
      </c>
    </row>
    <row r="1194" spans="25:29" x14ac:dyDescent="0.2">
      <c r="Y1194" s="105" t="str">
        <f t="shared" si="52"/>
        <v>1w</v>
      </c>
      <c r="Z1194" s="93">
        <f>_xll.qlCalendarAdvance(Calendar,Z1193,Y1194,"f",FALSE)</f>
        <v>47493</v>
      </c>
      <c r="AA1194" s="117">
        <f>_xll.qlCalendarAdvance(Calendar,Z1194,NDays&amp;"D")</f>
        <v>47497</v>
      </c>
      <c r="AB1194" s="92">
        <v>1.721605817356562E-2</v>
      </c>
      <c r="AC1194" s="101">
        <v>1.7201856568211937E-2</v>
      </c>
    </row>
    <row r="1195" spans="25:29" x14ac:dyDescent="0.2">
      <c r="Y1195" s="105" t="str">
        <f t="shared" si="52"/>
        <v>1w</v>
      </c>
      <c r="Z1195" s="93">
        <f>_xll.qlCalendarAdvance(Calendar,Z1194,Y1195,"f",FALSE)</f>
        <v>47500</v>
      </c>
      <c r="AA1195" s="117">
        <f>_xll.qlCalendarAdvance(Calendar,Z1195,NDays&amp;"D")</f>
        <v>47504</v>
      </c>
      <c r="AB1195" s="92">
        <v>1.7211401259619286E-2</v>
      </c>
      <c r="AC1195" s="101">
        <v>1.7197114403870728E-2</v>
      </c>
    </row>
    <row r="1196" spans="25:29" x14ac:dyDescent="0.2">
      <c r="Y1196" s="105" t="str">
        <f t="shared" si="52"/>
        <v>1w</v>
      </c>
      <c r="Z1196" s="93">
        <f>_xll.qlCalendarAdvance(Calendar,Z1195,Y1196,"f",FALSE)</f>
        <v>47507</v>
      </c>
      <c r="AA1196" s="117">
        <f>_xll.qlCalendarAdvance(Calendar,Z1196,NDays&amp;"D")</f>
        <v>47511</v>
      </c>
      <c r="AB1196" s="92">
        <v>1.7206742106406596E-2</v>
      </c>
      <c r="AC1196" s="101">
        <v>1.7192385528019827E-2</v>
      </c>
    </row>
    <row r="1197" spans="25:29" x14ac:dyDescent="0.2">
      <c r="Y1197" s="105" t="str">
        <f t="shared" si="52"/>
        <v>1w</v>
      </c>
      <c r="Z1197" s="93">
        <f>_xll.qlCalendarAdvance(Calendar,Z1196,Y1197,"f",FALSE)</f>
        <v>47514</v>
      </c>
      <c r="AA1197" s="117">
        <f>_xll.qlCalendarAdvance(Calendar,Z1197,NDays&amp;"D")</f>
        <v>47518</v>
      </c>
      <c r="AB1197" s="92">
        <v>1.7202078925275689E-2</v>
      </c>
      <c r="AC1197" s="101">
        <v>1.7187670391098919E-2</v>
      </c>
    </row>
    <row r="1198" spans="25:29" x14ac:dyDescent="0.2">
      <c r="Y1198" s="105" t="str">
        <f t="shared" si="52"/>
        <v>1w</v>
      </c>
      <c r="Z1198" s="93">
        <f>_xll.qlCalendarAdvance(Calendar,Z1197,Y1198,"f",FALSE)</f>
        <v>47521</v>
      </c>
      <c r="AA1198" s="117">
        <f>_xll.qlCalendarAdvance(Calendar,Z1198,NDays&amp;"D")</f>
        <v>47525</v>
      </c>
      <c r="AB1198" s="92">
        <v>1.719740991670559E-2</v>
      </c>
      <c r="AC1198" s="101">
        <v>1.7182969444107243E-2</v>
      </c>
    </row>
    <row r="1199" spans="25:29" x14ac:dyDescent="0.2">
      <c r="Y1199" s="105" t="str">
        <f t="shared" si="52"/>
        <v>1w</v>
      </c>
      <c r="Z1199" s="93">
        <f>_xll.qlCalendarAdvance(Calendar,Z1198,Y1199,"f",FALSE)</f>
        <v>47528</v>
      </c>
      <c r="AA1199" s="117">
        <f>_xll.qlCalendarAdvance(Calendar,Z1199,NDays&amp;"D")</f>
        <v>47532</v>
      </c>
      <c r="AB1199" s="92">
        <v>1.7192733270303146E-2</v>
      </c>
      <c r="AC1199" s="101">
        <v>1.7178283137324613E-2</v>
      </c>
    </row>
    <row r="1200" spans="25:29" x14ac:dyDescent="0.2">
      <c r="Y1200" s="105" t="str">
        <f t="shared" si="52"/>
        <v>1w</v>
      </c>
      <c r="Z1200" s="93">
        <f>_xll.qlCalendarAdvance(Calendar,Z1199,Y1200,"f",FALSE)</f>
        <v>47535</v>
      </c>
      <c r="AA1200" s="117">
        <f>_xll.qlCalendarAdvance(Calendar,Z1200,NDays&amp;"D")</f>
        <v>47539</v>
      </c>
      <c r="AB1200" s="92">
        <v>1.718804716480522E-2</v>
      </c>
      <c r="AC1200" s="101">
        <v>1.7173611921430521E-2</v>
      </c>
    </row>
    <row r="1201" spans="25:29" x14ac:dyDescent="0.2">
      <c r="Y1201" s="105" t="str">
        <f t="shared" si="52"/>
        <v>1w</v>
      </c>
      <c r="Z1201" s="93">
        <f>_xll.qlCalendarAdvance(Calendar,Z1200,Y1201,"f",FALSE)</f>
        <v>47542</v>
      </c>
      <c r="AA1201" s="117">
        <f>_xll.qlCalendarAdvance(Calendar,Z1201,NDays&amp;"D")</f>
        <v>47546</v>
      </c>
      <c r="AB1201" s="92">
        <v>1.7183485393942273E-2</v>
      </c>
      <c r="AC1201" s="101">
        <v>1.7168956247264333E-2</v>
      </c>
    </row>
    <row r="1202" spans="25:29" x14ac:dyDescent="0.2">
      <c r="Y1202" s="105" t="str">
        <f t="shared" si="52"/>
        <v>1w</v>
      </c>
      <c r="Z1202" s="93">
        <f>_xll.qlCalendarAdvance(Calendar,Z1201,Y1202,"f",FALSE)</f>
        <v>47549</v>
      </c>
      <c r="AA1202" s="117">
        <f>_xll.qlCalendarAdvance(Calendar,Z1202,NDays&amp;"D")</f>
        <v>47553</v>
      </c>
      <c r="AB1202" s="92">
        <v>1.7178770712440547E-2</v>
      </c>
      <c r="AC1202" s="101">
        <v>1.7164316565105864E-2</v>
      </c>
    </row>
    <row r="1203" spans="25:29" x14ac:dyDescent="0.2">
      <c r="Y1203" s="105" t="str">
        <f t="shared" si="52"/>
        <v>1w</v>
      </c>
      <c r="Z1203" s="93">
        <f>_xll.qlCalendarAdvance(Calendar,Z1202,Y1203,"f",FALSE)</f>
        <v>47556</v>
      </c>
      <c r="AA1203" s="117">
        <f>_xll.qlCalendarAdvance(Calendar,Z1203,NDays&amp;"D")</f>
        <v>47560</v>
      </c>
      <c r="AB1203" s="92">
        <v>1.717404085927229E-2</v>
      </c>
      <c r="AC1203" s="101">
        <v>1.7159693325714542E-2</v>
      </c>
    </row>
    <row r="1204" spans="25:29" x14ac:dyDescent="0.2">
      <c r="Y1204" s="105" t="str">
        <f t="shared" si="52"/>
        <v>1w</v>
      </c>
      <c r="Z1204" s="93">
        <f>_xll.qlCalendarAdvance(Calendar,Z1203,Y1204,"f",FALSE)</f>
        <v>47563</v>
      </c>
      <c r="AA1204" s="117">
        <f>_xll.qlCalendarAdvance(Calendar,Z1204,NDays&amp;"D")</f>
        <v>47567</v>
      </c>
      <c r="AB1204" s="92">
        <v>1.7169293991657657E-2</v>
      </c>
      <c r="AC1204" s="101">
        <v>1.7155086979769862E-2</v>
      </c>
    </row>
    <row r="1205" spans="25:29" x14ac:dyDescent="0.2">
      <c r="Y1205" s="105" t="str">
        <f t="shared" si="52"/>
        <v>1w</v>
      </c>
      <c r="Z1205" s="93">
        <f>_xll.qlCalendarAdvance(Calendar,Z1204,Y1205,"f",FALSE)</f>
        <v>47570</v>
      </c>
      <c r="AA1205" s="117">
        <f>_xll.qlCalendarAdvance(Calendar,Z1205,NDays&amp;"D")</f>
        <v>47574</v>
      </c>
      <c r="AB1205" s="92">
        <v>1.7164469368707767E-2</v>
      </c>
      <c r="AC1205" s="101">
        <v>1.7150497977791446E-2</v>
      </c>
    </row>
    <row r="1206" spans="25:29" x14ac:dyDescent="0.2">
      <c r="Y1206" s="105" t="str">
        <f t="shared" si="52"/>
        <v>1w</v>
      </c>
      <c r="Z1206" s="93">
        <f>_xll.qlCalendarAdvance(Calendar,Z1205,Y1206,"f",FALSE)</f>
        <v>47577</v>
      </c>
      <c r="AA1206" s="117">
        <f>_xll.qlCalendarAdvance(Calendar,Z1206,NDays&amp;"D")</f>
        <v>47581</v>
      </c>
      <c r="AB1206" s="92">
        <v>1.7159685277656149E-2</v>
      </c>
      <c r="AC1206" s="101">
        <v>1.7145926770458786E-2</v>
      </c>
    </row>
    <row r="1207" spans="25:29" x14ac:dyDescent="0.2">
      <c r="Y1207" s="105" t="str">
        <f t="shared" si="52"/>
        <v>1w</v>
      </c>
      <c r="Z1207" s="93">
        <f>_xll.qlCalendarAdvance(Calendar,Z1206,Y1207,"f",FALSE)</f>
        <v>47584</v>
      </c>
      <c r="AA1207" s="117">
        <f>_xll.qlCalendarAdvance(Calendar,Z1207,NDays&amp;"D")</f>
        <v>47588</v>
      </c>
      <c r="AB1207" s="92">
        <v>1.7154878626497304E-2</v>
      </c>
      <c r="AC1207" s="101">
        <v>1.7141373808371441E-2</v>
      </c>
    </row>
    <row r="1208" spans="25:29" x14ac:dyDescent="0.2">
      <c r="Y1208" s="105" t="str">
        <f t="shared" si="52"/>
        <v>1w</v>
      </c>
      <c r="Z1208" s="93">
        <f>_xll.qlCalendarAdvance(Calendar,Z1207,Y1208,"f",FALSE)</f>
        <v>47591</v>
      </c>
      <c r="AA1208" s="117">
        <f>_xll.qlCalendarAdvance(Calendar,Z1208,NDays&amp;"D")</f>
        <v>47597</v>
      </c>
      <c r="AB1208" s="92">
        <v>1.7148662442852104E-2</v>
      </c>
      <c r="AC1208" s="101">
        <v>1.7135547534508078E-2</v>
      </c>
    </row>
    <row r="1209" spans="25:29" x14ac:dyDescent="0.2">
      <c r="Y1209" s="105" t="str">
        <f t="shared" si="52"/>
        <v>1w</v>
      </c>
      <c r="Z1209" s="93">
        <f>_xll.qlCalendarAdvance(Calendar,Z1208,Y1209,"f",FALSE)</f>
        <v>47598</v>
      </c>
      <c r="AA1209" s="117">
        <f>_xll.qlCalendarAdvance(Calendar,Z1209,NDays&amp;"D")</f>
        <v>47602</v>
      </c>
      <c r="AB1209" s="92">
        <v>1.7145190045299658E-2</v>
      </c>
      <c r="AC1209" s="101">
        <v>1.7132324422330925E-2</v>
      </c>
    </row>
    <row r="1210" spans="25:29" x14ac:dyDescent="0.2">
      <c r="Y1210" s="105" t="str">
        <f t="shared" si="52"/>
        <v>1w</v>
      </c>
      <c r="Z1210" s="93">
        <f>_xll.qlCalendarAdvance(Calendar,Z1209,Y1210,"f",FALSE)</f>
        <v>47605</v>
      </c>
      <c r="AA1210" s="117">
        <f>_xll.qlCalendarAdvance(Calendar,Z1210,NDays&amp;"D")</f>
        <v>47609</v>
      </c>
      <c r="AB1210" s="92">
        <v>1.7140350932267189E-2</v>
      </c>
      <c r="AC1210" s="101">
        <v>1.7127828899576869E-2</v>
      </c>
    </row>
    <row r="1211" spans="25:29" x14ac:dyDescent="0.2">
      <c r="Y1211" s="105" t="str">
        <f t="shared" si="52"/>
        <v>1w</v>
      </c>
      <c r="Z1211" s="93">
        <f>_xll.qlCalendarAdvance(Calendar,Z1210,Y1211,"f",FALSE)</f>
        <v>47612</v>
      </c>
      <c r="AA1211" s="117">
        <f>_xll.qlCalendarAdvance(Calendar,Z1211,NDays&amp;"D")</f>
        <v>47616</v>
      </c>
      <c r="AB1211" s="92">
        <v>1.7135432462599989E-2</v>
      </c>
      <c r="AC1211" s="101">
        <v>1.7123353424706167E-2</v>
      </c>
    </row>
    <row r="1212" spans="25:29" x14ac:dyDescent="0.2">
      <c r="Y1212" s="105" t="str">
        <f t="shared" si="52"/>
        <v>1w</v>
      </c>
      <c r="Z1212" s="93">
        <f>_xll.qlCalendarAdvance(Calendar,Z1211,Y1212,"f",FALSE)</f>
        <v>47619</v>
      </c>
      <c r="AA1212" s="117">
        <f>_xll.qlCalendarAdvance(Calendar,Z1212,NDays&amp;"D")</f>
        <v>47623</v>
      </c>
      <c r="AB1212" s="92">
        <v>1.7130482070641457E-2</v>
      </c>
      <c r="AC1212" s="101">
        <v>1.7118874688044627E-2</v>
      </c>
    </row>
    <row r="1213" spans="25:29" x14ac:dyDescent="0.2">
      <c r="Y1213" s="105" t="str">
        <f t="shared" si="52"/>
        <v>1w</v>
      </c>
      <c r="Z1213" s="93">
        <f>_xll.qlCalendarAdvance(Calendar,Z1212,Y1213,"f",FALSE)</f>
        <v>47626</v>
      </c>
      <c r="AA1213" s="117">
        <f>_xll.qlCalendarAdvance(Calendar,Z1213,NDays&amp;"D")</f>
        <v>47630</v>
      </c>
      <c r="AB1213" s="92">
        <v>1.7125499407636222E-2</v>
      </c>
      <c r="AC1213" s="101">
        <v>1.7114361910692821E-2</v>
      </c>
    </row>
    <row r="1214" spans="25:29" x14ac:dyDescent="0.2">
      <c r="Y1214" s="105" t="str">
        <f t="shared" si="52"/>
        <v>1w</v>
      </c>
      <c r="Z1214" s="93">
        <f>_xll.qlCalendarAdvance(Calendar,Z1213,Y1214,"f",FALSE)</f>
        <v>47633</v>
      </c>
      <c r="AA1214" s="117">
        <f>_xll.qlCalendarAdvance(Calendar,Z1214,NDays&amp;"D")</f>
        <v>47637</v>
      </c>
      <c r="AB1214" s="92">
        <v>1.7120447947086795E-2</v>
      </c>
      <c r="AC1214" s="101">
        <v>1.7109815075624368E-2</v>
      </c>
    </row>
    <row r="1215" spans="25:29" x14ac:dyDescent="0.2">
      <c r="Y1215" s="105" t="str">
        <f t="shared" si="52"/>
        <v>1w</v>
      </c>
      <c r="Z1215" s="93">
        <f>_xll.qlCalendarAdvance(Calendar,Z1214,Y1215,"f",FALSE)</f>
        <v>47640</v>
      </c>
      <c r="AA1215" s="117">
        <f>_xll.qlCalendarAdvance(Calendar,Z1215,NDays&amp;"D")</f>
        <v>47644</v>
      </c>
      <c r="AB1215" s="92">
        <v>1.7115403715237093E-2</v>
      </c>
      <c r="AC1215" s="101">
        <v>1.7105234352943199E-2</v>
      </c>
    </row>
    <row r="1216" spans="25:29" x14ac:dyDescent="0.2">
      <c r="Y1216" s="105" t="str">
        <f t="shared" si="52"/>
        <v>1w</v>
      </c>
      <c r="Z1216" s="93">
        <f>_xll.qlCalendarAdvance(Calendar,Z1215,Y1216,"f",FALSE)</f>
        <v>47647</v>
      </c>
      <c r="AA1216" s="117">
        <f>_xll.qlCalendarAdvance(Calendar,Z1216,NDays&amp;"D")</f>
        <v>47651</v>
      </c>
      <c r="AB1216" s="92">
        <v>1.7110327715568852E-2</v>
      </c>
      <c r="AC1216" s="101">
        <v>1.7100619912673309E-2</v>
      </c>
    </row>
    <row r="1217" spans="25:29" x14ac:dyDescent="0.2">
      <c r="Y1217" s="105" t="str">
        <f t="shared" si="52"/>
        <v>1w</v>
      </c>
      <c r="Z1217" s="93">
        <f>_xll.qlCalendarAdvance(Calendar,Z1216,Y1217,"f",FALSE)</f>
        <v>47654</v>
      </c>
      <c r="AA1217" s="117">
        <f>_xll.qlCalendarAdvance(Calendar,Z1217,NDays&amp;"D")</f>
        <v>47658</v>
      </c>
      <c r="AB1217" s="92">
        <v>1.7105220119765067E-2</v>
      </c>
      <c r="AC1217" s="101">
        <v>1.7095971924678821E-2</v>
      </c>
    </row>
    <row r="1218" spans="25:29" x14ac:dyDescent="0.2">
      <c r="Y1218" s="105" t="str">
        <f t="shared" si="52"/>
        <v>1w</v>
      </c>
      <c r="Z1218" s="93">
        <f>_xll.qlCalendarAdvance(Calendar,Z1217,Y1218,"f",FALSE)</f>
        <v>47661</v>
      </c>
      <c r="AA1218" s="117">
        <f>_xll.qlCalendarAdvance(Calendar,Z1218,NDays&amp;"D")</f>
        <v>47665</v>
      </c>
      <c r="AB1218" s="92">
        <v>1.7100134714280714E-2</v>
      </c>
      <c r="AC1218" s="101">
        <v>1.7091290558903793E-2</v>
      </c>
    </row>
    <row r="1219" spans="25:29" x14ac:dyDescent="0.2">
      <c r="Y1219" s="105" t="str">
        <f t="shared" si="52"/>
        <v>1w</v>
      </c>
      <c r="Z1219" s="93">
        <f>_xll.qlCalendarAdvance(Calendar,Z1218,Y1219,"f",FALSE)</f>
        <v>47668</v>
      </c>
      <c r="AA1219" s="117">
        <f>_xll.qlCalendarAdvance(Calendar,Z1219,NDays&amp;"D")</f>
        <v>47672</v>
      </c>
      <c r="AB1219" s="92">
        <v>1.7094935330972734E-2</v>
      </c>
      <c r="AC1219" s="101">
        <v>1.7086575985532093E-2</v>
      </c>
    </row>
    <row r="1220" spans="25:29" x14ac:dyDescent="0.2">
      <c r="Y1220" s="105" t="str">
        <f t="shared" si="52"/>
        <v>1w</v>
      </c>
      <c r="Z1220" s="93">
        <f>_xll.qlCalendarAdvance(Calendar,Z1219,Y1220,"f",FALSE)</f>
        <v>47675</v>
      </c>
      <c r="AA1220" s="117">
        <f>_xll.qlCalendarAdvance(Calendar,Z1220,NDays&amp;"D")</f>
        <v>47679</v>
      </c>
      <c r="AB1220" s="92">
        <v>1.708973157089641E-2</v>
      </c>
      <c r="AC1220" s="101">
        <v>1.7081828374347907E-2</v>
      </c>
    </row>
    <row r="1221" spans="25:29" x14ac:dyDescent="0.2">
      <c r="Y1221" s="105" t="str">
        <f t="shared" si="52"/>
        <v>1w</v>
      </c>
      <c r="Z1221" s="93">
        <f>_xll.qlCalendarAdvance(Calendar,Z1220,Y1221,"f",FALSE)</f>
        <v>47682</v>
      </c>
      <c r="AA1221" s="117">
        <f>_xll.qlCalendarAdvance(Calendar,Z1221,NDays&amp;"D")</f>
        <v>47686</v>
      </c>
      <c r="AB1221" s="92">
        <v>1.708449691229548E-2</v>
      </c>
      <c r="AC1221" s="101">
        <v>1.7077047895215358E-2</v>
      </c>
    </row>
    <row r="1222" spans="25:29" x14ac:dyDescent="0.2">
      <c r="Y1222" s="105" t="str">
        <f t="shared" si="52"/>
        <v>1w</v>
      </c>
      <c r="Z1222" s="93">
        <f>_xll.qlCalendarAdvance(Calendar,Z1221,Y1222,"f",FALSE)</f>
        <v>47689</v>
      </c>
      <c r="AA1222" s="117">
        <f>_xll.qlCalendarAdvance(Calendar,Z1222,NDays&amp;"D")</f>
        <v>47693</v>
      </c>
      <c r="AB1222" s="92">
        <v>1.7079231526863903E-2</v>
      </c>
      <c r="AC1222" s="101">
        <v>1.7072234718398249E-2</v>
      </c>
    </row>
    <row r="1223" spans="25:29" x14ac:dyDescent="0.2">
      <c r="Y1223" s="105" t="str">
        <f t="shared" si="52"/>
        <v>1w</v>
      </c>
      <c r="Z1223" s="93">
        <f>_xll.qlCalendarAdvance(Calendar,Z1222,Y1223,"f",FALSE)</f>
        <v>47696</v>
      </c>
      <c r="AA1223" s="117">
        <f>_xll.qlCalendarAdvance(Calendar,Z1223,NDays&amp;"D")</f>
        <v>47700</v>
      </c>
      <c r="AB1223" s="92">
        <v>1.7073935586291736E-2</v>
      </c>
      <c r="AC1223" s="101">
        <v>1.7067389013680767E-2</v>
      </c>
    </row>
    <row r="1224" spans="25:29" x14ac:dyDescent="0.2">
      <c r="Y1224" s="105" t="str">
        <f t="shared" si="52"/>
        <v>1w</v>
      </c>
      <c r="Z1224" s="93">
        <f>_xll.qlCalendarAdvance(Calendar,Z1223,Y1224,"f",FALSE)</f>
        <v>47703</v>
      </c>
      <c r="AA1224" s="117">
        <f>_xll.qlCalendarAdvance(Calendar,Z1224,NDays&amp;"D")</f>
        <v>47707</v>
      </c>
      <c r="AB1224" s="92">
        <v>1.7068609262271637E-2</v>
      </c>
      <c r="AC1224" s="101">
        <v>1.7062510951166843E-2</v>
      </c>
    </row>
    <row r="1225" spans="25:29" x14ac:dyDescent="0.2">
      <c r="Y1225" s="105" t="str">
        <f t="shared" si="52"/>
        <v>1w</v>
      </c>
      <c r="Z1225" s="93">
        <f>_xll.qlCalendarAdvance(Calendar,Z1224,Y1225,"f",FALSE)</f>
        <v>47710</v>
      </c>
      <c r="AA1225" s="117">
        <f>_xll.qlCalendarAdvance(Calendar,Z1225,NDays&amp;"D")</f>
        <v>47714</v>
      </c>
      <c r="AB1225" s="92">
        <v>1.7063252726493224E-2</v>
      </c>
      <c r="AC1225" s="101">
        <v>1.7057600700560727E-2</v>
      </c>
    </row>
    <row r="1226" spans="25:29" x14ac:dyDescent="0.2">
      <c r="Y1226" s="105" t="str">
        <f t="shared" si="52"/>
        <v>1w</v>
      </c>
      <c r="Z1226" s="93">
        <f>_xll.qlCalendarAdvance(Calendar,Z1225,Y1226,"f",FALSE)</f>
        <v>47717</v>
      </c>
      <c r="AA1226" s="117">
        <f>_xll.qlCalendarAdvance(Calendar,Z1226,NDays&amp;"D")</f>
        <v>47721</v>
      </c>
      <c r="AB1226" s="92">
        <v>1.7057866150647857E-2</v>
      </c>
      <c r="AC1226" s="101">
        <v>1.7052658432046286E-2</v>
      </c>
    </row>
    <row r="1227" spans="25:29" x14ac:dyDescent="0.2">
      <c r="Y1227" s="105" t="str">
        <f t="shared" si="52"/>
        <v>1w</v>
      </c>
      <c r="Z1227" s="93">
        <f>_xll.qlCalendarAdvance(Calendar,Z1226,Y1227,"f",FALSE)</f>
        <v>47724</v>
      </c>
      <c r="AA1227" s="117">
        <f>_xll.qlCalendarAdvance(Calendar,Z1227,NDays&amp;"D")</f>
        <v>47728</v>
      </c>
      <c r="AB1227" s="92">
        <v>1.7052438363500483E-2</v>
      </c>
      <c r="AC1227" s="101">
        <v>1.7047684315647516E-2</v>
      </c>
    </row>
    <row r="1228" spans="25:29" x14ac:dyDescent="0.2">
      <c r="Y1228" s="105" t="str">
        <f t="shared" si="52"/>
        <v>1w</v>
      </c>
      <c r="Z1228" s="93">
        <f>_xll.qlCalendarAdvance(Calendar,Z1227,Y1228,"f",FALSE)</f>
        <v>47731</v>
      </c>
      <c r="AA1228" s="117">
        <f>_xll.qlCalendarAdvance(Calendar,Z1228,NDays&amp;"D")</f>
        <v>47735</v>
      </c>
      <c r="AB1228" s="92">
        <v>1.7046996860934142E-2</v>
      </c>
      <c r="AC1228" s="101">
        <v>1.7042678521228538E-2</v>
      </c>
    </row>
    <row r="1229" spans="25:29" x14ac:dyDescent="0.2">
      <c r="Y1229" s="105" t="str">
        <f t="shared" si="52"/>
        <v>1w</v>
      </c>
      <c r="Z1229" s="93">
        <f>_xll.qlCalendarAdvance(Calendar,Z1228,Y1229,"f",FALSE)</f>
        <v>47738</v>
      </c>
      <c r="AA1229" s="117">
        <f>_xll.qlCalendarAdvance(Calendar,Z1229,NDays&amp;"D")</f>
        <v>47742</v>
      </c>
      <c r="AB1229" s="92">
        <v>1.7041525811463974E-2</v>
      </c>
      <c r="AC1229" s="101">
        <v>1.7037641218733413E-2</v>
      </c>
    </row>
    <row r="1230" spans="25:29" x14ac:dyDescent="0.2">
      <c r="Y1230" s="105" t="str">
        <f t="shared" si="52"/>
        <v>1w</v>
      </c>
      <c r="Z1230" s="93">
        <f>_xll.qlCalendarAdvance(Calendar,Z1229,Y1230,"f",FALSE)</f>
        <v>47745</v>
      </c>
      <c r="AA1230" s="117">
        <f>_xll.qlCalendarAdvance(Calendar,Z1230,NDays&amp;"D")</f>
        <v>47749</v>
      </c>
      <c r="AB1230" s="92">
        <v>1.7036025386759697E-2</v>
      </c>
      <c r="AC1230" s="101">
        <v>1.7032572578186134E-2</v>
      </c>
    </row>
    <row r="1231" spans="25:29" x14ac:dyDescent="0.2">
      <c r="Y1231" s="105" t="str">
        <f t="shared" si="52"/>
        <v>1w</v>
      </c>
      <c r="Z1231" s="93">
        <f>_xll.qlCalendarAdvance(Calendar,Z1230,Y1231,"f",FALSE)</f>
        <v>47752</v>
      </c>
      <c r="AA1231" s="117">
        <f>_xll.qlCalendarAdvance(Calendar,Z1231,NDays&amp;"D")</f>
        <v>47756</v>
      </c>
      <c r="AB1231" s="92">
        <v>1.7030495758490576E-2</v>
      </c>
      <c r="AC1231" s="101">
        <v>1.7027472769690633E-2</v>
      </c>
    </row>
    <row r="1232" spans="25:29" x14ac:dyDescent="0.2">
      <c r="Y1232" s="105" t="str">
        <f t="shared" si="52"/>
        <v>1w</v>
      </c>
      <c r="Z1232" s="93">
        <f>_xll.qlCalendarAdvance(Calendar,Z1231,Y1232,"f",FALSE)</f>
        <v>47759</v>
      </c>
      <c r="AA1232" s="117">
        <f>_xll.qlCalendarAdvance(Calendar,Z1232,NDays&amp;"D")</f>
        <v>47763</v>
      </c>
      <c r="AB1232" s="92">
        <v>1.702493709832413E-2</v>
      </c>
      <c r="AC1232" s="101">
        <v>1.702234196295116E-2</v>
      </c>
    </row>
    <row r="1233" spans="25:29" x14ac:dyDescent="0.2">
      <c r="Y1233" s="105" t="str">
        <f t="shared" si="52"/>
        <v>1w</v>
      </c>
      <c r="Z1233" s="93">
        <f>_xll.qlCalendarAdvance(Calendar,Z1232,Y1233,"f",FALSE)</f>
        <v>47766</v>
      </c>
      <c r="AA1233" s="117">
        <f>_xll.qlCalendarAdvance(Calendar,Z1233,NDays&amp;"D")</f>
        <v>47770</v>
      </c>
      <c r="AB1233" s="92">
        <v>1.7019341605533346E-2</v>
      </c>
      <c r="AC1233" s="101">
        <v>1.7017180328071646E-2</v>
      </c>
    </row>
    <row r="1234" spans="25:29" x14ac:dyDescent="0.2">
      <c r="Y1234" s="105" t="str">
        <f t="shared" si="52"/>
        <v>1w</v>
      </c>
      <c r="Z1234" s="93">
        <f>_xll.qlCalendarAdvance(Calendar,Z1233,Y1234,"f",FALSE)</f>
        <v>47773</v>
      </c>
      <c r="AA1234" s="117">
        <f>_xll.qlCalendarAdvance(Calendar,Z1234,NDays&amp;"D")</f>
        <v>47777</v>
      </c>
      <c r="AB1234" s="92">
        <v>1.7013733368971079E-2</v>
      </c>
      <c r="AC1234" s="101">
        <v>1.7011988034996151E-2</v>
      </c>
    </row>
    <row r="1235" spans="25:29" x14ac:dyDescent="0.2">
      <c r="Y1235" s="105" t="str">
        <f t="shared" si="52"/>
        <v>1w</v>
      </c>
      <c r="Z1235" s="93">
        <f>_xll.qlCalendarAdvance(Calendar,Z1234,Y1235,"f",FALSE)</f>
        <v>47780</v>
      </c>
      <c r="AA1235" s="117">
        <f>_xll.qlCalendarAdvance(Calendar,Z1235,NDays&amp;"D")</f>
        <v>47784</v>
      </c>
      <c r="AB1235" s="92">
        <v>1.7008088643117307E-2</v>
      </c>
      <c r="AC1235" s="101">
        <v>1.700676525390854E-2</v>
      </c>
    </row>
    <row r="1236" spans="25:29" x14ac:dyDescent="0.2">
      <c r="Y1236" s="105" t="str">
        <f t="shared" si="52"/>
        <v>1w</v>
      </c>
      <c r="Z1236" s="93">
        <f>_xll.qlCalendarAdvance(Calendar,Z1235,Y1236,"f",FALSE)</f>
        <v>47787</v>
      </c>
      <c r="AA1236" s="117">
        <f>_xll.qlCalendarAdvance(Calendar,Z1236,NDays&amp;"D")</f>
        <v>47791</v>
      </c>
      <c r="AB1236" s="92">
        <v>1.7002415572033198E-2</v>
      </c>
      <c r="AC1236" s="101">
        <v>1.7001512154433129E-2</v>
      </c>
    </row>
    <row r="1237" spans="25:29" x14ac:dyDescent="0.2">
      <c r="Y1237" s="105" t="str">
        <f t="shared" ref="Y1237:Y1300" si="53">Y1236</f>
        <v>1w</v>
      </c>
      <c r="Z1237" s="93">
        <f>_xll.qlCalendarAdvance(Calendar,Z1236,Y1237,"f",FALSE)</f>
        <v>47794</v>
      </c>
      <c r="AA1237" s="117">
        <f>_xll.qlCalendarAdvance(Calendar,Z1237,NDays&amp;"D")</f>
        <v>47798</v>
      </c>
      <c r="AB1237" s="92">
        <v>1.6996714327383193E-2</v>
      </c>
      <c r="AC1237" s="101">
        <v>1.6996228906753785E-2</v>
      </c>
    </row>
    <row r="1238" spans="25:29" x14ac:dyDescent="0.2">
      <c r="Y1238" s="105" t="str">
        <f t="shared" si="53"/>
        <v>1w</v>
      </c>
      <c r="Z1238" s="93">
        <f>_xll.qlCalendarAdvance(Calendar,Z1237,Y1238,"f",FALSE)</f>
        <v>47801</v>
      </c>
      <c r="AA1238" s="117">
        <f>_xll.qlCalendarAdvance(Calendar,Z1238,NDays&amp;"D")</f>
        <v>47805</v>
      </c>
      <c r="AB1238" s="92">
        <v>1.6990985080832167E-2</v>
      </c>
      <c r="AC1238" s="101">
        <v>1.6990915680814567E-2</v>
      </c>
    </row>
    <row r="1239" spans="25:29" x14ac:dyDescent="0.2">
      <c r="Y1239" s="105" t="str">
        <f t="shared" si="53"/>
        <v>1w</v>
      </c>
      <c r="Z1239" s="93">
        <f>_xll.qlCalendarAdvance(Calendar,Z1238,Y1239,"f",FALSE)</f>
        <v>47808</v>
      </c>
      <c r="AA1239" s="117">
        <f>_xll.qlCalendarAdvance(Calendar,Z1239,NDays&amp;"D")</f>
        <v>47812</v>
      </c>
      <c r="AB1239" s="92">
        <v>1.6985228004042372E-2</v>
      </c>
      <c r="AC1239" s="101">
        <v>1.6985572646559532E-2</v>
      </c>
    </row>
    <row r="1240" spans="25:29" x14ac:dyDescent="0.2">
      <c r="Y1240" s="105" t="str">
        <f t="shared" si="53"/>
        <v>1w</v>
      </c>
      <c r="Z1240" s="93">
        <f>_xll.qlCalendarAdvance(Calendar,Z1239,Y1240,"f",FALSE)</f>
        <v>47815</v>
      </c>
      <c r="AA1240" s="117">
        <f>_xll.qlCalendarAdvance(Calendar,Z1240,NDays&amp;"D")</f>
        <v>47819</v>
      </c>
      <c r="AB1240" s="92">
        <v>1.6979443268677362E-2</v>
      </c>
      <c r="AC1240" s="101">
        <v>1.6980199973932741E-2</v>
      </c>
    </row>
    <row r="1241" spans="25:29" x14ac:dyDescent="0.2">
      <c r="Y1241" s="105" t="str">
        <f t="shared" si="53"/>
        <v>1w</v>
      </c>
      <c r="Z1241" s="93">
        <f>_xll.qlCalendarAdvance(Calendar,Z1240,Y1241,"f",FALSE)</f>
        <v>47822</v>
      </c>
      <c r="AA1241" s="117">
        <f>_xll.qlCalendarAdvance(Calendar,Z1241,NDays&amp;"D")</f>
        <v>47826</v>
      </c>
      <c r="AB1241" s="92">
        <v>1.6973631046397632E-2</v>
      </c>
      <c r="AC1241" s="101">
        <v>1.6974797832958188E-2</v>
      </c>
    </row>
    <row r="1242" spans="25:29" x14ac:dyDescent="0.2">
      <c r="Y1242" s="105" t="str">
        <f t="shared" si="53"/>
        <v>1w</v>
      </c>
      <c r="Z1242" s="93">
        <f>_xll.qlCalendarAdvance(Calendar,Z1241,Y1242,"f",FALSE)</f>
        <v>47829</v>
      </c>
      <c r="AA1242" s="117">
        <f>_xll.qlCalendarAdvance(Calendar,Z1242,NDays&amp;"D")</f>
        <v>47833</v>
      </c>
      <c r="AB1242" s="92">
        <v>1.6967791508864988E-2</v>
      </c>
      <c r="AC1242" s="101">
        <v>1.6969366393579932E-2</v>
      </c>
    </row>
    <row r="1243" spans="25:29" x14ac:dyDescent="0.2">
      <c r="Y1243" s="105" t="str">
        <f t="shared" si="53"/>
        <v>1w</v>
      </c>
      <c r="Z1243" s="93">
        <f>_xll.qlCalendarAdvance(Calendar,Z1242,Y1243,"f",FALSE)</f>
        <v>47836</v>
      </c>
      <c r="AA1243" s="117">
        <f>_xll.qlCalendarAdvance(Calendar,Z1243,NDays&amp;"D")</f>
        <v>47840</v>
      </c>
      <c r="AB1243" s="92">
        <v>1.6961924827739033E-2</v>
      </c>
      <c r="AC1243" s="101">
        <v>1.6963905825821968E-2</v>
      </c>
    </row>
    <row r="1244" spans="25:29" x14ac:dyDescent="0.2">
      <c r="Y1244" s="105" t="str">
        <f t="shared" si="53"/>
        <v>1w</v>
      </c>
      <c r="Z1244" s="93">
        <f>_xll.qlCalendarAdvance(Calendar,Z1243,Y1244,"f",FALSE)</f>
        <v>47844</v>
      </c>
      <c r="AA1244" s="117">
        <f>_xll.qlCalendarAdvance(Calendar,Z1244,NDays&amp;"D")</f>
        <v>47848</v>
      </c>
      <c r="AB1244" s="92">
        <v>1.6955219292561319E-2</v>
      </c>
      <c r="AC1244" s="101">
        <v>1.6957635519947445E-2</v>
      </c>
    </row>
    <row r="1245" spans="25:29" x14ac:dyDescent="0.2">
      <c r="Y1245" s="105" t="str">
        <f t="shared" si="53"/>
        <v>1w</v>
      </c>
      <c r="Z1245" s="93">
        <f>_xll.qlCalendarAdvance(Calendar,Z1244,Y1245,"f",FALSE)</f>
        <v>47851</v>
      </c>
      <c r="AA1245" s="117">
        <f>_xll.qlCalendarAdvance(Calendar,Z1245,NDays&amp;"D")</f>
        <v>47855</v>
      </c>
      <c r="AB1245" s="92">
        <v>1.694929715624716E-2</v>
      </c>
      <c r="AC1245" s="101">
        <v>1.6952107313974452E-2</v>
      </c>
    </row>
    <row r="1246" spans="25:29" x14ac:dyDescent="0.2">
      <c r="Y1246" s="105" t="str">
        <f t="shared" si="53"/>
        <v>1w</v>
      </c>
      <c r="Z1246" s="93">
        <f>_xll.qlCalendarAdvance(Calendar,Z1245,Y1246,"f",FALSE)</f>
        <v>47858</v>
      </c>
      <c r="AA1246" s="117">
        <f>_xll.qlCalendarAdvance(Calendar,Z1246,NDays&amp;"D")</f>
        <v>47862</v>
      </c>
      <c r="AB1246" s="92">
        <v>1.6943348404724844E-2</v>
      </c>
      <c r="AC1246" s="101">
        <v>1.6946556306240979E-2</v>
      </c>
    </row>
    <row r="1247" spans="25:29" x14ac:dyDescent="0.2">
      <c r="Y1247" s="105" t="str">
        <f t="shared" si="53"/>
        <v>1w</v>
      </c>
      <c r="Z1247" s="93">
        <f>_xll.qlCalendarAdvance(Calendar,Z1246,Y1247,"f",FALSE)</f>
        <v>47865</v>
      </c>
      <c r="AA1247" s="117">
        <f>_xll.qlCalendarAdvance(Calendar,Z1247,NDays&amp;"D")</f>
        <v>47869</v>
      </c>
      <c r="AB1247" s="92">
        <v>1.6937373209643142E-2</v>
      </c>
      <c r="AC1247" s="101">
        <v>1.694097687428453E-2</v>
      </c>
    </row>
    <row r="1248" spans="25:29" x14ac:dyDescent="0.2">
      <c r="Y1248" s="105" t="str">
        <f t="shared" si="53"/>
        <v>1w</v>
      </c>
      <c r="Z1248" s="93">
        <f>_xll.qlCalendarAdvance(Calendar,Z1247,Y1248,"f",FALSE)</f>
        <v>47872</v>
      </c>
      <c r="AA1248" s="117">
        <f>_xll.qlCalendarAdvance(Calendar,Z1248,NDays&amp;"D")</f>
        <v>47876</v>
      </c>
      <c r="AB1248" s="92">
        <v>1.6931371742646847E-2</v>
      </c>
      <c r="AC1248" s="101">
        <v>1.6935369188129101E-2</v>
      </c>
    </row>
    <row r="1249" spans="25:29" x14ac:dyDescent="0.2">
      <c r="Y1249" s="105" t="str">
        <f t="shared" si="53"/>
        <v>1w</v>
      </c>
      <c r="Z1249" s="93">
        <f>_xll.qlCalendarAdvance(Calendar,Z1248,Y1249,"f",FALSE)</f>
        <v>47879</v>
      </c>
      <c r="AA1249" s="117">
        <f>_xll.qlCalendarAdvance(Calendar,Z1249,NDays&amp;"D")</f>
        <v>47883</v>
      </c>
      <c r="AB1249" s="92">
        <v>1.6925344175380323E-2</v>
      </c>
      <c r="AC1249" s="101">
        <v>1.6929733417558879E-2</v>
      </c>
    </row>
    <row r="1250" spans="25:29" x14ac:dyDescent="0.2">
      <c r="Y1250" s="105" t="str">
        <f t="shared" si="53"/>
        <v>1w</v>
      </c>
      <c r="Z1250" s="93">
        <f>_xll.qlCalendarAdvance(Calendar,Z1249,Y1250,"f",FALSE)</f>
        <v>47886</v>
      </c>
      <c r="AA1250" s="117">
        <f>_xll.qlCalendarAdvance(Calendar,Z1250,NDays&amp;"D")</f>
        <v>47890</v>
      </c>
      <c r="AB1250" s="92">
        <v>1.6919290679487924E-2</v>
      </c>
      <c r="AC1250" s="101">
        <v>1.6924069732677793E-2</v>
      </c>
    </row>
    <row r="1251" spans="25:29" x14ac:dyDescent="0.2">
      <c r="Y1251" s="105" t="str">
        <f t="shared" si="53"/>
        <v>1w</v>
      </c>
      <c r="Z1251" s="93">
        <f>_xll.qlCalendarAdvance(Calendar,Z1250,Y1251,"f",FALSE)</f>
        <v>47893</v>
      </c>
      <c r="AA1251" s="117">
        <f>_xll.qlCalendarAdvance(Calendar,Z1251,NDays&amp;"D")</f>
        <v>47897</v>
      </c>
      <c r="AB1251" s="92">
        <v>1.6913211426612677E-2</v>
      </c>
      <c r="AC1251" s="101">
        <v>1.691837830350984E-2</v>
      </c>
    </row>
    <row r="1252" spans="25:29" x14ac:dyDescent="0.2">
      <c r="Y1252" s="105" t="str">
        <f t="shared" si="53"/>
        <v>1w</v>
      </c>
      <c r="Z1252" s="93">
        <f>_xll.qlCalendarAdvance(Calendar,Z1251,Y1252,"f",FALSE)</f>
        <v>47900</v>
      </c>
      <c r="AA1252" s="117">
        <f>_xll.qlCalendarAdvance(Calendar,Z1252,NDays&amp;"D")</f>
        <v>47904</v>
      </c>
      <c r="AB1252" s="92">
        <v>1.6907106588394529E-2</v>
      </c>
      <c r="AC1252" s="101">
        <v>1.6912659299839206E-2</v>
      </c>
    </row>
    <row r="1253" spans="25:29" x14ac:dyDescent="0.2">
      <c r="Y1253" s="105" t="str">
        <f t="shared" si="53"/>
        <v>1w</v>
      </c>
      <c r="Z1253" s="93">
        <f>_xll.qlCalendarAdvance(Calendar,Z1252,Y1253,"f",FALSE)</f>
        <v>47907</v>
      </c>
      <c r="AA1253" s="117">
        <f>_xll.qlCalendarAdvance(Calendar,Z1253,NDays&amp;"D")</f>
        <v>47911</v>
      </c>
      <c r="AB1253" s="92">
        <v>1.6900822624216508E-2</v>
      </c>
      <c r="AC1253" s="101">
        <v>1.6906912891769821E-2</v>
      </c>
    </row>
    <row r="1254" spans="25:29" x14ac:dyDescent="0.2">
      <c r="Y1254" s="105" t="str">
        <f t="shared" si="53"/>
        <v>1w</v>
      </c>
      <c r="Z1254" s="93">
        <f>_xll.qlCalendarAdvance(Calendar,Z1253,Y1254,"f",FALSE)</f>
        <v>47914</v>
      </c>
      <c r="AA1254" s="117">
        <f>_xll.qlCalendarAdvance(Calendar,Z1254,NDays&amp;"D")</f>
        <v>47918</v>
      </c>
      <c r="AB1254" s="92">
        <v>1.6894661039370686E-2</v>
      </c>
      <c r="AC1254" s="101">
        <v>1.6901139249325681E-2</v>
      </c>
    </row>
    <row r="1255" spans="25:29" x14ac:dyDescent="0.2">
      <c r="Y1255" s="105" t="str">
        <f t="shared" si="53"/>
        <v>1w</v>
      </c>
      <c r="Z1255" s="93">
        <f>_xll.qlCalendarAdvance(Calendar,Z1254,Y1255,"f",FALSE)</f>
        <v>47921</v>
      </c>
      <c r="AA1255" s="117">
        <f>_xll.qlCalendarAdvance(Calendar,Z1255,NDays&amp;"D")</f>
        <v>47925</v>
      </c>
      <c r="AB1255" s="92">
        <v>1.6888474417684003E-2</v>
      </c>
      <c r="AC1255" s="101">
        <v>1.6895338542211036E-2</v>
      </c>
    </row>
    <row r="1256" spans="25:29" x14ac:dyDescent="0.2">
      <c r="Y1256" s="105" t="str">
        <f t="shared" si="53"/>
        <v>1w</v>
      </c>
      <c r="Z1256" s="93">
        <f>_xll.qlCalendarAdvance(Calendar,Z1255,Y1256,"f",FALSE)</f>
        <v>47928</v>
      </c>
      <c r="AA1256" s="117">
        <f>_xll.qlCalendarAdvance(Calendar,Z1256,NDays&amp;"D")</f>
        <v>47932</v>
      </c>
      <c r="AB1256" s="92">
        <v>1.6882262930822619E-2</v>
      </c>
      <c r="AC1256" s="101">
        <v>1.6889510940769625E-2</v>
      </c>
    </row>
    <row r="1257" spans="25:29" x14ac:dyDescent="0.2">
      <c r="Y1257" s="105" t="str">
        <f t="shared" si="53"/>
        <v>1w</v>
      </c>
      <c r="Z1257" s="93">
        <f>_xll.qlCalendarAdvance(Calendar,Z1256,Y1257,"f",FALSE)</f>
        <v>47935</v>
      </c>
      <c r="AA1257" s="117">
        <f>_xll.qlCalendarAdvance(Calendar,Z1257,NDays&amp;"D")</f>
        <v>47939</v>
      </c>
      <c r="AB1257" s="92">
        <v>1.6876086231235873E-2</v>
      </c>
      <c r="AC1257" s="101">
        <v>1.6883656614785636E-2</v>
      </c>
    </row>
    <row r="1258" spans="25:29" x14ac:dyDescent="0.2">
      <c r="Y1258" s="105" t="str">
        <f t="shared" si="53"/>
        <v>1w</v>
      </c>
      <c r="Z1258" s="93">
        <f>_xll.qlCalendarAdvance(Calendar,Z1257,Y1258,"f",FALSE)</f>
        <v>47942</v>
      </c>
      <c r="AA1258" s="117">
        <f>_xll.qlCalendarAdvance(Calendar,Z1258,NDays&amp;"D")</f>
        <v>47946</v>
      </c>
      <c r="AB1258" s="92">
        <v>1.6869827513456205E-2</v>
      </c>
      <c r="AC1258" s="101">
        <v>1.6877775734203126E-2</v>
      </c>
    </row>
    <row r="1259" spans="25:29" x14ac:dyDescent="0.2">
      <c r="Y1259" s="105" t="str">
        <f t="shared" si="53"/>
        <v>1w</v>
      </c>
      <c r="Z1259" s="93">
        <f>_xll.qlCalendarAdvance(Calendar,Z1258,Y1259,"f",FALSE)</f>
        <v>47953</v>
      </c>
      <c r="AA1259" s="117">
        <f>_xll.qlCalendarAdvance(Calendar,Z1259,NDays&amp;"D")</f>
        <v>47955</v>
      </c>
      <c r="AB1259" s="92">
        <v>1.6861744818244057E-2</v>
      </c>
      <c r="AC1259" s="101">
        <v>1.6870175856595893E-2</v>
      </c>
    </row>
    <row r="1260" spans="25:29" x14ac:dyDescent="0.2">
      <c r="Y1260" s="105" t="str">
        <f t="shared" si="53"/>
        <v>1w</v>
      </c>
      <c r="Z1260" s="93">
        <f>_xll.qlCalendarAdvance(Calendar,Z1259,Y1260,"f",FALSE)</f>
        <v>47960</v>
      </c>
      <c r="AA1260" s="117">
        <f>_xll.qlCalendarAdvance(Calendar,Z1260,NDays&amp;"D")</f>
        <v>47962</v>
      </c>
      <c r="AB1260" s="92">
        <v>1.6855430669436754E-2</v>
      </c>
      <c r="AC1260" s="101">
        <v>1.6864234918134713E-2</v>
      </c>
    </row>
    <row r="1261" spans="25:29" x14ac:dyDescent="0.2">
      <c r="Y1261" s="105" t="str">
        <f t="shared" si="53"/>
        <v>1w</v>
      </c>
      <c r="Z1261" s="93">
        <f>_xll.qlCalendarAdvance(Calendar,Z1260,Y1261,"f",FALSE)</f>
        <v>47967</v>
      </c>
      <c r="AA1261" s="117">
        <f>_xll.qlCalendarAdvance(Calendar,Z1261,NDays&amp;"D")</f>
        <v>47970</v>
      </c>
      <c r="AB1261" s="92">
        <v>1.6848048607293865E-2</v>
      </c>
      <c r="AC1261" s="101">
        <v>1.6857347518763888E-2</v>
      </c>
    </row>
    <row r="1262" spans="25:29" x14ac:dyDescent="0.2">
      <c r="Y1262" s="105" t="str">
        <f t="shared" si="53"/>
        <v>1w</v>
      </c>
      <c r="Z1262" s="93">
        <f>_xll.qlCalendarAdvance(Calendar,Z1261,Y1262,"f",FALSE)</f>
        <v>47974</v>
      </c>
      <c r="AA1262" s="117">
        <f>_xll.qlCalendarAdvance(Calendar,Z1262,NDays&amp;"D")</f>
        <v>47976</v>
      </c>
      <c r="AB1262" s="92">
        <v>1.6842520556643877E-2</v>
      </c>
      <c r="AC1262" s="101">
        <v>1.6852275222900559E-2</v>
      </c>
    </row>
    <row r="1263" spans="25:29" x14ac:dyDescent="0.2">
      <c r="Y1263" s="105" t="str">
        <f t="shared" si="53"/>
        <v>1w</v>
      </c>
      <c r="Z1263" s="93">
        <f>_xll.qlCalendarAdvance(Calendar,Z1262,Y1263,"f",FALSE)</f>
        <v>47981</v>
      </c>
      <c r="AA1263" s="117">
        <f>_xll.qlCalendarAdvance(Calendar,Z1263,NDays&amp;"D")</f>
        <v>47983</v>
      </c>
      <c r="AB1263" s="92">
        <v>1.6836129243696606E-2</v>
      </c>
      <c r="AC1263" s="101">
        <v>1.6846256806095639E-2</v>
      </c>
    </row>
    <row r="1264" spans="25:29" x14ac:dyDescent="0.2">
      <c r="Y1264" s="105" t="str">
        <f t="shared" si="53"/>
        <v>1w</v>
      </c>
      <c r="Z1264" s="93">
        <f>_xll.qlCalendarAdvance(Calendar,Z1263,Y1264,"f",FALSE)</f>
        <v>47988</v>
      </c>
      <c r="AA1264" s="117">
        <f>_xll.qlCalendarAdvance(Calendar,Z1264,NDays&amp;"D")</f>
        <v>47990</v>
      </c>
      <c r="AB1264" s="92">
        <v>1.682971451045653E-2</v>
      </c>
      <c r="AC1264" s="101">
        <v>1.6840212903197482E-2</v>
      </c>
    </row>
    <row r="1265" spans="25:29" x14ac:dyDescent="0.2">
      <c r="Y1265" s="105" t="str">
        <f t="shared" si="53"/>
        <v>1w</v>
      </c>
      <c r="Z1265" s="93">
        <f>_xll.qlCalendarAdvance(Calendar,Z1264,Y1265,"f",FALSE)</f>
        <v>47995</v>
      </c>
      <c r="AA1265" s="117">
        <f>_xll.qlCalendarAdvance(Calendar,Z1265,NDays&amp;"D")</f>
        <v>47997</v>
      </c>
      <c r="AB1265" s="92">
        <v>1.6823503822139693E-2</v>
      </c>
      <c r="AC1265" s="101">
        <v>1.6834143683910341E-2</v>
      </c>
    </row>
    <row r="1266" spans="25:29" x14ac:dyDescent="0.2">
      <c r="Y1266" s="105" t="str">
        <f t="shared" si="53"/>
        <v>1w</v>
      </c>
      <c r="Z1266" s="93">
        <f>_xll.qlCalendarAdvance(Calendar,Z1265,Y1266,"f",FALSE)</f>
        <v>48002</v>
      </c>
      <c r="AA1266" s="117">
        <f>_xll.qlCalendarAdvance(Calendar,Z1266,NDays&amp;"D")</f>
        <v>48004</v>
      </c>
      <c r="AB1266" s="92">
        <v>1.6817048433542252E-2</v>
      </c>
      <c r="AC1266" s="101">
        <v>1.6828049318577953E-2</v>
      </c>
    </row>
    <row r="1267" spans="25:29" x14ac:dyDescent="0.2">
      <c r="Y1267" s="105" t="str">
        <f t="shared" si="53"/>
        <v>1w</v>
      </c>
      <c r="Z1267" s="93">
        <f>_xll.qlCalendarAdvance(Calendar,Z1266,Y1267,"f",FALSE)</f>
        <v>48009</v>
      </c>
      <c r="AA1267" s="117">
        <f>_xll.qlCalendarAdvance(Calendar,Z1267,NDays&amp;"D")</f>
        <v>48011</v>
      </c>
      <c r="AB1267" s="92">
        <v>1.6810570105729693E-2</v>
      </c>
      <c r="AC1267" s="101">
        <v>1.6821929976984507E-2</v>
      </c>
    </row>
    <row r="1268" spans="25:29" x14ac:dyDescent="0.2">
      <c r="Y1268" s="105" t="str">
        <f t="shared" si="53"/>
        <v>1w</v>
      </c>
      <c r="Z1268" s="93">
        <f>_xll.qlCalendarAdvance(Calendar,Z1267,Y1268,"f",FALSE)</f>
        <v>48016</v>
      </c>
      <c r="AA1268" s="117">
        <f>_xll.qlCalendarAdvance(Calendar,Z1268,NDays&amp;"D")</f>
        <v>48018</v>
      </c>
      <c r="AB1268" s="92">
        <v>1.680406901034133E-2</v>
      </c>
      <c r="AC1268" s="101">
        <v>1.6815785828994123E-2</v>
      </c>
    </row>
    <row r="1269" spans="25:29" x14ac:dyDescent="0.2">
      <c r="Y1269" s="105" t="str">
        <f t="shared" si="53"/>
        <v>1w</v>
      </c>
      <c r="Z1269" s="93">
        <f>_xll.qlCalendarAdvance(Calendar,Z1268,Y1269,"f",FALSE)</f>
        <v>48023</v>
      </c>
      <c r="AA1269" s="117">
        <f>_xll.qlCalendarAdvance(Calendar,Z1269,NDays&amp;"D")</f>
        <v>48025</v>
      </c>
      <c r="AB1269" s="92">
        <v>1.6797295548278544E-2</v>
      </c>
      <c r="AC1269" s="101">
        <v>1.6809617044710734E-2</v>
      </c>
    </row>
    <row r="1270" spans="25:29" x14ac:dyDescent="0.2">
      <c r="Y1270" s="105" t="str">
        <f t="shared" si="53"/>
        <v>1w</v>
      </c>
      <c r="Z1270" s="93">
        <f>_xll.qlCalendarAdvance(Calendar,Z1269,Y1270,"f",FALSE)</f>
        <v>48030</v>
      </c>
      <c r="AA1270" s="117">
        <f>_xll.qlCalendarAdvance(Calendar,Z1270,NDays&amp;"D")</f>
        <v>48032</v>
      </c>
      <c r="AB1270" s="92">
        <v>1.6790743898312772E-2</v>
      </c>
      <c r="AC1270" s="101">
        <v>1.680342379423827E-2</v>
      </c>
    </row>
    <row r="1271" spans="25:29" x14ac:dyDescent="0.2">
      <c r="Y1271" s="105" t="str">
        <f t="shared" si="53"/>
        <v>1w</v>
      </c>
      <c r="Z1271" s="93">
        <f>_xll.qlCalendarAdvance(Calendar,Z1270,Y1271,"f",FALSE)</f>
        <v>48037</v>
      </c>
      <c r="AA1271" s="117">
        <f>_xll.qlCalendarAdvance(Calendar,Z1271,NDays&amp;"D")</f>
        <v>48039</v>
      </c>
      <c r="AB1271" s="92">
        <v>1.6784170029718774E-2</v>
      </c>
      <c r="AC1271" s="101">
        <v>1.6797206247280982E-2</v>
      </c>
    </row>
    <row r="1272" spans="25:29" x14ac:dyDescent="0.2">
      <c r="Y1272" s="105" t="str">
        <f t="shared" si="53"/>
        <v>1w</v>
      </c>
      <c r="Z1272" s="93">
        <f>_xll.qlCalendarAdvance(Calendar,Z1271,Y1272,"f",FALSE)</f>
        <v>48044</v>
      </c>
      <c r="AA1272" s="117">
        <f>_xll.qlCalendarAdvance(Calendar,Z1272,NDays&amp;"D")</f>
        <v>48046</v>
      </c>
      <c r="AB1272" s="92">
        <v>1.6777574114156219E-2</v>
      </c>
      <c r="AC1272" s="101">
        <v>1.6790964573862865E-2</v>
      </c>
    </row>
    <row r="1273" spans="25:29" x14ac:dyDescent="0.2">
      <c r="Y1273" s="105" t="str">
        <f t="shared" si="53"/>
        <v>1w</v>
      </c>
      <c r="Z1273" s="93">
        <f>_xll.qlCalendarAdvance(Calendar,Z1272,Y1273,"f",FALSE)</f>
        <v>48051</v>
      </c>
      <c r="AA1273" s="117">
        <f>_xll.qlCalendarAdvance(Calendar,Z1273,NDays&amp;"D")</f>
        <v>48053</v>
      </c>
      <c r="AB1273" s="92">
        <v>1.6770956323283931E-2</v>
      </c>
      <c r="AC1273" s="101">
        <v>1.678469894408785E-2</v>
      </c>
    </row>
    <row r="1274" spans="25:29" x14ac:dyDescent="0.2">
      <c r="Y1274" s="105" t="str">
        <f t="shared" si="53"/>
        <v>1w</v>
      </c>
      <c r="Z1274" s="93">
        <f>_xll.qlCalendarAdvance(Calendar,Z1273,Y1274,"f",FALSE)</f>
        <v>48058</v>
      </c>
      <c r="AA1274" s="117">
        <f>_xll.qlCalendarAdvance(Calendar,Z1274,NDays&amp;"D")</f>
        <v>48060</v>
      </c>
      <c r="AB1274" s="92">
        <v>1.6764593930531792E-2</v>
      </c>
      <c r="AC1274" s="101">
        <v>1.6778409527899996E-2</v>
      </c>
    </row>
    <row r="1275" spans="25:29" x14ac:dyDescent="0.2">
      <c r="Y1275" s="105" t="str">
        <f t="shared" si="53"/>
        <v>1w</v>
      </c>
      <c r="Z1275" s="93">
        <f>_xll.qlCalendarAdvance(Calendar,Z1274,Y1275,"f",FALSE)</f>
        <v>48065</v>
      </c>
      <c r="AA1275" s="117">
        <f>_xll.qlCalendarAdvance(Calendar,Z1275,NDays&amp;"D")</f>
        <v>48067</v>
      </c>
      <c r="AB1275" s="92">
        <v>1.6757655802240257E-2</v>
      </c>
      <c r="AC1275" s="101">
        <v>1.6772096495323296E-2</v>
      </c>
    </row>
    <row r="1276" spans="25:29" x14ac:dyDescent="0.2">
      <c r="Y1276" s="105" t="str">
        <f t="shared" si="53"/>
        <v>1w</v>
      </c>
      <c r="Z1276" s="93">
        <f>_xll.qlCalendarAdvance(Calendar,Z1275,Y1276,"f",FALSE)</f>
        <v>48072</v>
      </c>
      <c r="AA1276" s="117">
        <f>_xll.qlCalendarAdvance(Calendar,Z1276,NDays&amp;"D")</f>
        <v>48074</v>
      </c>
      <c r="AB1276" s="92">
        <v>1.6750973415377048E-2</v>
      </c>
      <c r="AC1276" s="101">
        <v>1.6765760016062004E-2</v>
      </c>
    </row>
    <row r="1277" spans="25:29" x14ac:dyDescent="0.2">
      <c r="Y1277" s="105" t="str">
        <f t="shared" si="53"/>
        <v>1w</v>
      </c>
      <c r="Z1277" s="93">
        <f>_xll.qlCalendarAdvance(Calendar,Z1276,Y1277,"f",FALSE)</f>
        <v>48079</v>
      </c>
      <c r="AA1277" s="117">
        <f>_xll.qlCalendarAdvance(Calendar,Z1277,NDays&amp;"D")</f>
        <v>48081</v>
      </c>
      <c r="AB1277" s="92">
        <v>1.6744269839823894E-2</v>
      </c>
      <c r="AC1277" s="101">
        <v>1.6759400260220048E-2</v>
      </c>
    </row>
    <row r="1278" spans="25:29" x14ac:dyDescent="0.2">
      <c r="Y1278" s="105" t="str">
        <f t="shared" si="53"/>
        <v>1w</v>
      </c>
      <c r="Z1278" s="93">
        <f>_xll.qlCalendarAdvance(Calendar,Z1277,Y1278,"f",FALSE)</f>
        <v>48086</v>
      </c>
      <c r="AA1278" s="117">
        <f>_xll.qlCalendarAdvance(Calendar,Z1278,NDays&amp;"D")</f>
        <v>48088</v>
      </c>
      <c r="AB1278" s="92">
        <v>1.6737843599349721E-2</v>
      </c>
      <c r="AC1278" s="101">
        <v>1.6753017397981296E-2</v>
      </c>
    </row>
    <row r="1279" spans="25:29" x14ac:dyDescent="0.2">
      <c r="Y1279" s="105" t="str">
        <f t="shared" si="53"/>
        <v>1w</v>
      </c>
      <c r="Z1279" s="93">
        <f>_xll.qlCalendarAdvance(Calendar,Z1278,Y1279,"f",FALSE)</f>
        <v>48093</v>
      </c>
      <c r="AA1279" s="117">
        <f>_xll.qlCalendarAdvance(Calendar,Z1279,NDays&amp;"D")</f>
        <v>48095</v>
      </c>
      <c r="AB1279" s="92">
        <v>1.6731204248483632E-2</v>
      </c>
      <c r="AC1279" s="101">
        <v>1.6746611599129935E-2</v>
      </c>
    </row>
    <row r="1280" spans="25:29" x14ac:dyDescent="0.2">
      <c r="Y1280" s="105" t="str">
        <f t="shared" si="53"/>
        <v>1w</v>
      </c>
      <c r="Z1280" s="93">
        <f>_xll.qlCalendarAdvance(Calendar,Z1279,Y1280,"f",FALSE)</f>
        <v>48100</v>
      </c>
      <c r="AA1280" s="117">
        <f>_xll.qlCalendarAdvance(Calendar,Z1280,NDays&amp;"D")</f>
        <v>48102</v>
      </c>
      <c r="AB1280" s="92">
        <v>1.672444506248328E-2</v>
      </c>
      <c r="AC1280" s="101">
        <v>1.6740183033530087E-2</v>
      </c>
    </row>
    <row r="1281" spans="25:29" x14ac:dyDescent="0.2">
      <c r="Y1281" s="105" t="str">
        <f t="shared" si="53"/>
        <v>1w</v>
      </c>
      <c r="Z1281" s="93">
        <f>_xll.qlCalendarAdvance(Calendar,Z1280,Y1281,"f",FALSE)</f>
        <v>48107</v>
      </c>
      <c r="AA1281" s="117">
        <f>_xll.qlCalendarAdvance(Calendar,Z1281,NDays&amp;"D")</f>
        <v>48109</v>
      </c>
      <c r="AB1281" s="92">
        <v>1.6717665328643449E-2</v>
      </c>
      <c r="AC1281" s="101">
        <v>1.673373187136562E-2</v>
      </c>
    </row>
    <row r="1282" spans="25:29" x14ac:dyDescent="0.2">
      <c r="Y1282" s="105" t="str">
        <f t="shared" si="53"/>
        <v>1w</v>
      </c>
      <c r="Z1282" s="93">
        <f>_xll.qlCalendarAdvance(Calendar,Z1281,Y1282,"f",FALSE)</f>
        <v>48114</v>
      </c>
      <c r="AA1282" s="117">
        <f>_xll.qlCalendarAdvance(Calendar,Z1282,NDays&amp;"D")</f>
        <v>48116</v>
      </c>
      <c r="AB1282" s="92">
        <v>1.6710865218571052E-2</v>
      </c>
      <c r="AC1282" s="101">
        <v>1.6727258282580593E-2</v>
      </c>
    </row>
    <row r="1283" spans="25:29" x14ac:dyDescent="0.2">
      <c r="Y1283" s="105" t="str">
        <f t="shared" si="53"/>
        <v>1w</v>
      </c>
      <c r="Z1283" s="93">
        <f>_xll.qlCalendarAdvance(Calendar,Z1282,Y1283,"f",FALSE)</f>
        <v>48121</v>
      </c>
      <c r="AA1283" s="117">
        <f>_xll.qlCalendarAdvance(Calendar,Z1283,NDays&amp;"D")</f>
        <v>48123</v>
      </c>
      <c r="AB1283" s="92">
        <v>1.6703937180448318E-2</v>
      </c>
      <c r="AC1283" s="101">
        <v>1.6720762436959191E-2</v>
      </c>
    </row>
    <row r="1284" spans="25:29" x14ac:dyDescent="0.2">
      <c r="Y1284" s="105" t="str">
        <f t="shared" si="53"/>
        <v>1w</v>
      </c>
      <c r="Z1284" s="93">
        <f>_xll.qlCalendarAdvance(Calendar,Z1283,Y1284,"f",FALSE)</f>
        <v>48128</v>
      </c>
      <c r="AA1284" s="117">
        <f>_xll.qlCalendarAdvance(Calendar,Z1284,NDays&amp;"D")</f>
        <v>48130</v>
      </c>
      <c r="AB1284" s="92">
        <v>1.6697095145527613E-2</v>
      </c>
      <c r="AC1284" s="101">
        <v>1.6714244504685283E-2</v>
      </c>
    </row>
    <row r="1285" spans="25:29" x14ac:dyDescent="0.2">
      <c r="Y1285" s="105" t="str">
        <f t="shared" si="53"/>
        <v>1w</v>
      </c>
      <c r="Z1285" s="93">
        <f>_xll.qlCalendarAdvance(Calendar,Z1284,Y1285,"f",FALSE)</f>
        <v>48135</v>
      </c>
      <c r="AA1285" s="117">
        <f>_xll.qlCalendarAdvance(Calendar,Z1285,NDays&amp;"D")</f>
        <v>48137</v>
      </c>
      <c r="AB1285" s="92">
        <v>1.6690233260658337E-2</v>
      </c>
      <c r="AC1285" s="101">
        <v>1.6707704655702926E-2</v>
      </c>
    </row>
    <row r="1286" spans="25:29" x14ac:dyDescent="0.2">
      <c r="Y1286" s="105" t="str">
        <f t="shared" si="53"/>
        <v>1w</v>
      </c>
      <c r="Z1286" s="93">
        <f>_xll.qlCalendarAdvance(Calendar,Z1285,Y1286,"f",FALSE)</f>
        <v>48142</v>
      </c>
      <c r="AA1286" s="117">
        <f>_xll.qlCalendarAdvance(Calendar,Z1286,NDays&amp;"D")</f>
        <v>48144</v>
      </c>
      <c r="AB1286" s="92">
        <v>1.6683351697450541E-2</v>
      </c>
      <c r="AC1286" s="101">
        <v>1.6701143059796308E-2</v>
      </c>
    </row>
    <row r="1287" spans="25:29" x14ac:dyDescent="0.2">
      <c r="Y1287" s="105" t="str">
        <f t="shared" si="53"/>
        <v>1w</v>
      </c>
      <c r="Z1287" s="93">
        <f>_xll.qlCalendarAdvance(Calendar,Z1286,Y1287,"f",FALSE)</f>
        <v>48149</v>
      </c>
      <c r="AA1287" s="117">
        <f>_xll.qlCalendarAdvance(Calendar,Z1287,NDays&amp;"D")</f>
        <v>48151</v>
      </c>
      <c r="AB1287" s="92">
        <v>1.6676450627512523E-2</v>
      </c>
      <c r="AC1287" s="101">
        <v>1.6694559887229232E-2</v>
      </c>
    </row>
    <row r="1288" spans="25:29" x14ac:dyDescent="0.2">
      <c r="Y1288" s="105" t="str">
        <f t="shared" si="53"/>
        <v>1w</v>
      </c>
      <c r="Z1288" s="93">
        <f>_xll.qlCalendarAdvance(Calendar,Z1287,Y1288,"f",FALSE)</f>
        <v>48156</v>
      </c>
      <c r="AA1288" s="117">
        <f>_xll.qlCalendarAdvance(Calendar,Z1288,NDays&amp;"D")</f>
        <v>48158</v>
      </c>
      <c r="AB1288" s="92">
        <v>1.6669646267102323E-2</v>
      </c>
      <c r="AC1288" s="101">
        <v>1.6687955307626012E-2</v>
      </c>
    </row>
    <row r="1289" spans="25:29" x14ac:dyDescent="0.2">
      <c r="Y1289" s="105" t="str">
        <f t="shared" si="53"/>
        <v>1w</v>
      </c>
      <c r="Z1289" s="93">
        <f>_xll.qlCalendarAdvance(Calendar,Z1288,Y1289,"f",FALSE)</f>
        <v>48163</v>
      </c>
      <c r="AA1289" s="117">
        <f>_xll.qlCalendarAdvance(Calendar,Z1289,NDays&amp;"D")</f>
        <v>48165</v>
      </c>
      <c r="AB1289" s="92">
        <v>1.6662708328286341E-2</v>
      </c>
      <c r="AC1289" s="101">
        <v>1.6681329491250452E-2</v>
      </c>
    </row>
    <row r="1290" spans="25:29" x14ac:dyDescent="0.2">
      <c r="Y1290" s="105" t="str">
        <f t="shared" si="53"/>
        <v>1w</v>
      </c>
      <c r="Z1290" s="93">
        <f>_xll.qlCalendarAdvance(Calendar,Z1289,Y1290,"f",FALSE)</f>
        <v>48170</v>
      </c>
      <c r="AA1290" s="117">
        <f>_xll.qlCalendarAdvance(Calendar,Z1290,NDays&amp;"D")</f>
        <v>48172</v>
      </c>
      <c r="AB1290" s="92">
        <v>1.6655751386039884E-2</v>
      </c>
      <c r="AC1290" s="101">
        <v>1.6674682607966673E-2</v>
      </c>
    </row>
    <row r="1291" spans="25:29" x14ac:dyDescent="0.2">
      <c r="Y1291" s="105" t="str">
        <f t="shared" si="53"/>
        <v>1w</v>
      </c>
      <c r="Z1291" s="93">
        <f>_xll.qlCalendarAdvance(Calendar,Z1290,Y1291,"f",FALSE)</f>
        <v>48177</v>
      </c>
      <c r="AA1291" s="117">
        <f>_xll.qlCalendarAdvance(Calendar,Z1291,NDays&amp;"D")</f>
        <v>48179</v>
      </c>
      <c r="AB1291" s="92">
        <v>1.6648775611954918E-2</v>
      </c>
      <c r="AC1291" s="101">
        <v>1.6668014827718736E-2</v>
      </c>
    </row>
    <row r="1292" spans="25:29" x14ac:dyDescent="0.2">
      <c r="Y1292" s="105" t="str">
        <f t="shared" si="53"/>
        <v>1w</v>
      </c>
      <c r="Z1292" s="93">
        <f>_xll.qlCalendarAdvance(Calendar,Z1291,Y1292,"f",FALSE)</f>
        <v>48184</v>
      </c>
      <c r="AA1292" s="117">
        <f>_xll.qlCalendarAdvance(Calendar,Z1292,NDays&amp;"D")</f>
        <v>48186</v>
      </c>
      <c r="AB1292" s="92">
        <v>1.6641658683027766E-2</v>
      </c>
      <c r="AC1292" s="101">
        <v>1.6661326320530634E-2</v>
      </c>
    </row>
    <row r="1293" spans="25:29" x14ac:dyDescent="0.2">
      <c r="Y1293" s="105" t="str">
        <f t="shared" si="53"/>
        <v>1w</v>
      </c>
      <c r="Z1293" s="93">
        <f>_xll.qlCalendarAdvance(Calendar,Z1292,Y1293,"f",FALSE)</f>
        <v>48191</v>
      </c>
      <c r="AA1293" s="117">
        <f>_xll.qlCalendarAdvance(Calendar,Z1293,NDays&amp;"D")</f>
        <v>48193</v>
      </c>
      <c r="AB1293" s="92">
        <v>1.6634644176378357E-2</v>
      </c>
      <c r="AC1293" s="101">
        <v>1.6654617256346427E-2</v>
      </c>
    </row>
    <row r="1294" spans="25:29" x14ac:dyDescent="0.2">
      <c r="Y1294" s="105" t="str">
        <f t="shared" si="53"/>
        <v>1w</v>
      </c>
      <c r="Z1294" s="93">
        <f>_xll.qlCalendarAdvance(Calendar,Z1293,Y1294,"f",FALSE)</f>
        <v>48198</v>
      </c>
      <c r="AA1294" s="117">
        <f>_xll.qlCalendarAdvance(Calendar,Z1294,NDays&amp;"D")</f>
        <v>48200</v>
      </c>
      <c r="AB1294" s="92">
        <v>1.6627611364204861E-2</v>
      </c>
      <c r="AC1294" s="101">
        <v>1.6647887805110173E-2</v>
      </c>
    </row>
    <row r="1295" spans="25:29" x14ac:dyDescent="0.2">
      <c r="Y1295" s="105" t="str">
        <f t="shared" si="53"/>
        <v>1w</v>
      </c>
      <c r="Z1295" s="93">
        <f>_xll.qlCalendarAdvance(Calendar,Z1294,Y1295,"f",FALSE)</f>
        <v>48205</v>
      </c>
      <c r="AA1295" s="117">
        <f>_xll.qlCalendarAdvance(Calendar,Z1295,NDays&amp;"D")</f>
        <v>48211</v>
      </c>
      <c r="AB1295" s="92">
        <v>1.6616523230310525E-2</v>
      </c>
      <c r="AC1295" s="101">
        <v>1.6637272171937667E-2</v>
      </c>
    </row>
    <row r="1296" spans="25:29" x14ac:dyDescent="0.2">
      <c r="Y1296" s="105" t="str">
        <f t="shared" si="53"/>
        <v>1w</v>
      </c>
      <c r="Z1296" s="93">
        <f>_xll.qlCalendarAdvance(Calendar,Z1295,Y1296,"f",FALSE)</f>
        <v>48212</v>
      </c>
      <c r="AA1296" s="117">
        <f>_xll.qlCalendarAdvance(Calendar,Z1296,NDays&amp;"D")</f>
        <v>48215</v>
      </c>
      <c r="AB1296" s="92">
        <v>1.6612609189510803E-2</v>
      </c>
      <c r="AC1296" s="101">
        <v>1.6633198873972077E-2</v>
      </c>
    </row>
    <row r="1297" spans="25:29" x14ac:dyDescent="0.2">
      <c r="Y1297" s="105" t="str">
        <f t="shared" si="53"/>
        <v>1w</v>
      </c>
      <c r="Z1297" s="93">
        <f>_xll.qlCalendarAdvance(Calendar,Z1296,Y1297,"f",FALSE)</f>
        <v>48219</v>
      </c>
      <c r="AA1297" s="117">
        <f>_xll.qlCalendarAdvance(Calendar,Z1297,NDays&amp;"D")</f>
        <v>48221</v>
      </c>
      <c r="AB1297" s="92">
        <v>1.6606535107756309E-2</v>
      </c>
      <c r="AC1297" s="101">
        <v>1.6627578829169209E-2</v>
      </c>
    </row>
    <row r="1298" spans="25:29" x14ac:dyDescent="0.2">
      <c r="Y1298" s="105" t="str">
        <f t="shared" si="53"/>
        <v>1w</v>
      </c>
      <c r="Z1298" s="93">
        <f>_xll.qlCalendarAdvance(Calendar,Z1297,Y1298,"f",FALSE)</f>
        <v>48226</v>
      </c>
      <c r="AA1298" s="117">
        <f>_xll.qlCalendarAdvance(Calendar,Z1298,NDays&amp;"D")</f>
        <v>48228</v>
      </c>
      <c r="AB1298" s="92">
        <v>1.6599432315221083E-2</v>
      </c>
      <c r="AC1298" s="101">
        <v>1.6620769529565038E-2</v>
      </c>
    </row>
    <row r="1299" spans="25:29" x14ac:dyDescent="0.2">
      <c r="Y1299" s="105" t="str">
        <f t="shared" si="53"/>
        <v>1w</v>
      </c>
      <c r="Z1299" s="93">
        <f>_xll.qlCalendarAdvance(Calendar,Z1298,Y1299,"f",FALSE)</f>
        <v>48233</v>
      </c>
      <c r="AA1299" s="117">
        <f>_xll.qlCalendarAdvance(Calendar,Z1299,NDays&amp;"D")</f>
        <v>48235</v>
      </c>
      <c r="AB1299" s="92">
        <v>1.6592312063515042E-2</v>
      </c>
      <c r="AC1299" s="101">
        <v>1.6613940692788987E-2</v>
      </c>
    </row>
    <row r="1300" spans="25:29" x14ac:dyDescent="0.2">
      <c r="Y1300" s="105" t="str">
        <f t="shared" si="53"/>
        <v>1w</v>
      </c>
      <c r="Z1300" s="93">
        <f>_xll.qlCalendarAdvance(Calendar,Z1299,Y1300,"f",FALSE)</f>
        <v>48240</v>
      </c>
      <c r="AA1300" s="117">
        <f>_xll.qlCalendarAdvance(Calendar,Z1300,NDays&amp;"D")</f>
        <v>48242</v>
      </c>
      <c r="AB1300" s="92">
        <v>1.6585174524214347E-2</v>
      </c>
      <c r="AC1300" s="101">
        <v>1.660709248886505E-2</v>
      </c>
    </row>
    <row r="1301" spans="25:29" x14ac:dyDescent="0.2">
      <c r="Y1301" s="105" t="str">
        <f t="shared" ref="Y1301:Y1364" si="54">Y1300</f>
        <v>1w</v>
      </c>
      <c r="Z1301" s="93">
        <f>_xll.qlCalendarAdvance(Calendar,Z1300,Y1301,"f",FALSE)</f>
        <v>48247</v>
      </c>
      <c r="AA1301" s="117">
        <f>_xll.qlCalendarAdvance(Calendar,Z1301,NDays&amp;"D")</f>
        <v>48249</v>
      </c>
      <c r="AB1301" s="92">
        <v>1.657801986888989E-2</v>
      </c>
      <c r="AC1301" s="101">
        <v>1.6600225087737286E-2</v>
      </c>
    </row>
    <row r="1302" spans="25:29" x14ac:dyDescent="0.2">
      <c r="Y1302" s="105" t="str">
        <f t="shared" si="54"/>
        <v>1w</v>
      </c>
      <c r="Z1302" s="93">
        <f>_xll.qlCalendarAdvance(Calendar,Z1301,Y1302,"f",FALSE)</f>
        <v>48254</v>
      </c>
      <c r="AA1302" s="117">
        <f>_xll.qlCalendarAdvance(Calendar,Z1302,NDays&amp;"D")</f>
        <v>48256</v>
      </c>
      <c r="AB1302" s="92">
        <v>1.6570848269113439E-2</v>
      </c>
      <c r="AC1302" s="101">
        <v>1.6593338659349754E-2</v>
      </c>
    </row>
    <row r="1303" spans="25:29" x14ac:dyDescent="0.2">
      <c r="Y1303" s="105" t="str">
        <f t="shared" si="54"/>
        <v>1w</v>
      </c>
      <c r="Z1303" s="93">
        <f>_xll.qlCalendarAdvance(Calendar,Z1302,Y1303,"f",FALSE)</f>
        <v>48261</v>
      </c>
      <c r="AA1303" s="117">
        <f>_xll.qlCalendarAdvance(Calendar,Z1303,NDays&amp;"D")</f>
        <v>48263</v>
      </c>
      <c r="AB1303" s="92">
        <v>1.6563659896453684E-2</v>
      </c>
      <c r="AC1303" s="101">
        <v>1.6586433373646514E-2</v>
      </c>
    </row>
    <row r="1304" spans="25:29" x14ac:dyDescent="0.2">
      <c r="Y1304" s="105" t="str">
        <f t="shared" si="54"/>
        <v>1w</v>
      </c>
      <c r="Z1304" s="93">
        <f>_xll.qlCalendarAdvance(Calendar,Z1303,Y1304,"f",FALSE)</f>
        <v>48268</v>
      </c>
      <c r="AA1304" s="117">
        <f>_xll.qlCalendarAdvance(Calendar,Z1304,NDays&amp;"D")</f>
        <v>48270</v>
      </c>
      <c r="AB1304" s="92">
        <v>1.6556454922477128E-2</v>
      </c>
      <c r="AC1304" s="101">
        <v>1.6579509400731496E-2</v>
      </c>
    </row>
    <row r="1305" spans="25:29" x14ac:dyDescent="0.2">
      <c r="Y1305" s="105" t="str">
        <f t="shared" si="54"/>
        <v>1w</v>
      </c>
      <c r="Z1305" s="93">
        <f>_xll.qlCalendarAdvance(Calendar,Z1304,Y1305,"f",FALSE)</f>
        <v>48275</v>
      </c>
      <c r="AA1305" s="117">
        <f>_xll.qlCalendarAdvance(Calendar,Z1305,NDays&amp;"D")</f>
        <v>48277</v>
      </c>
      <c r="AB1305" s="92">
        <v>1.6548663969477562E-2</v>
      </c>
      <c r="AC1305" s="101">
        <v>1.6572566910388886E-2</v>
      </c>
    </row>
    <row r="1306" spans="25:29" x14ac:dyDescent="0.2">
      <c r="Y1306" s="105" t="str">
        <f t="shared" si="54"/>
        <v>1w</v>
      </c>
      <c r="Z1306" s="93">
        <f>_xll.qlCalendarAdvance(Calendar,Z1305,Y1306,"f",FALSE)</f>
        <v>48282</v>
      </c>
      <c r="AA1306" s="117">
        <f>_xll.qlCalendarAdvance(Calendar,Z1306,NDays&amp;"D")</f>
        <v>48284</v>
      </c>
      <c r="AB1306" s="92">
        <v>1.6541420582668501E-2</v>
      </c>
      <c r="AC1306" s="101">
        <v>1.6565606072722616E-2</v>
      </c>
    </row>
    <row r="1307" spans="25:29" x14ac:dyDescent="0.2">
      <c r="Y1307" s="105" t="str">
        <f t="shared" si="54"/>
        <v>1w</v>
      </c>
      <c r="Z1307" s="93">
        <f>_xll.qlCalendarAdvance(Calendar,Z1306,Y1307,"f",FALSE)</f>
        <v>48289</v>
      </c>
      <c r="AA1307" s="117">
        <f>_xll.qlCalendarAdvance(Calendar,Z1307,NDays&amp;"D")</f>
        <v>48291</v>
      </c>
      <c r="AB1307" s="92">
        <v>1.6534161155890514E-2</v>
      </c>
      <c r="AC1307" s="101">
        <v>1.6558627057676745E-2</v>
      </c>
    </row>
    <row r="1308" spans="25:29" x14ac:dyDescent="0.2">
      <c r="Y1308" s="105" t="str">
        <f t="shared" si="54"/>
        <v>1w</v>
      </c>
      <c r="Z1308" s="93">
        <f>_xll.qlCalendarAdvance(Calendar,Z1307,Y1308,"f",FALSE)</f>
        <v>48296</v>
      </c>
      <c r="AA1308" s="117">
        <f>_xll.qlCalendarAdvance(Calendar,Z1308,NDays&amp;"D")</f>
        <v>48298</v>
      </c>
      <c r="AB1308" s="92">
        <v>1.652688586073452E-2</v>
      </c>
      <c r="AC1308" s="101">
        <v>1.6551148921118752E-2</v>
      </c>
    </row>
    <row r="1309" spans="25:29" x14ac:dyDescent="0.2">
      <c r="Y1309" s="105" t="str">
        <f t="shared" si="54"/>
        <v>1w</v>
      </c>
      <c r="Z1309" s="93">
        <f>_xll.qlCalendarAdvance(Calendar,Z1308,Y1309,"f",FALSE)</f>
        <v>48303</v>
      </c>
      <c r="AA1309" s="117">
        <f>_xll.qlCalendarAdvance(Calendar,Z1309,NDays&amp;"D")</f>
        <v>48305</v>
      </c>
      <c r="AB1309" s="92">
        <v>1.6520039197456371E-2</v>
      </c>
      <c r="AC1309" s="101">
        <v>1.6544615175222432E-2</v>
      </c>
    </row>
    <row r="1310" spans="25:29" x14ac:dyDescent="0.2">
      <c r="Y1310" s="105" t="str">
        <f t="shared" si="54"/>
        <v>1w</v>
      </c>
      <c r="Z1310" s="93">
        <f>_xll.qlCalendarAdvance(Calendar,Z1309,Y1310,"f",FALSE)</f>
        <v>48310</v>
      </c>
      <c r="AA1310" s="117">
        <f>_xll.qlCalendarAdvance(Calendar,Z1310,NDays&amp;"D")</f>
        <v>48312</v>
      </c>
      <c r="AB1310" s="92">
        <v>1.6512736832235447E-2</v>
      </c>
      <c r="AC1310" s="101">
        <v>1.6537582647782045E-2</v>
      </c>
    </row>
    <row r="1311" spans="25:29" x14ac:dyDescent="0.2">
      <c r="Y1311" s="105" t="str">
        <f t="shared" si="54"/>
        <v>1w</v>
      </c>
      <c r="Z1311" s="93">
        <f>_xll.qlCalendarAdvance(Calendar,Z1310,Y1311,"f",FALSE)</f>
        <v>48317</v>
      </c>
      <c r="AA1311" s="117">
        <f>_xll.qlCalendarAdvance(Calendar,Z1311,NDays&amp;"D")</f>
        <v>48319</v>
      </c>
      <c r="AB1311" s="92">
        <v>1.650541907830258E-2</v>
      </c>
      <c r="AC1311" s="101">
        <v>1.6530532622898164E-2</v>
      </c>
    </row>
    <row r="1312" spans="25:29" x14ac:dyDescent="0.2">
      <c r="Y1312" s="105" t="str">
        <f t="shared" si="54"/>
        <v>1w</v>
      </c>
      <c r="Z1312" s="93">
        <f>_xll.qlCalendarAdvance(Calendar,Z1311,Y1312,"f",FALSE)</f>
        <v>48324</v>
      </c>
      <c r="AA1312" s="117">
        <f>_xll.qlCalendarAdvance(Calendar,Z1312,NDays&amp;"D")</f>
        <v>48326</v>
      </c>
      <c r="AB1312" s="92">
        <v>1.6498086107217588E-2</v>
      </c>
      <c r="AC1312" s="101">
        <v>1.6523465270434912E-2</v>
      </c>
    </row>
    <row r="1313" spans="25:29" x14ac:dyDescent="0.2">
      <c r="Y1313" s="105" t="str">
        <f t="shared" si="54"/>
        <v>1w</v>
      </c>
      <c r="Z1313" s="93">
        <f>_xll.qlCalendarAdvance(Calendar,Z1312,Y1313,"f",FALSE)</f>
        <v>48331</v>
      </c>
      <c r="AA1313" s="117">
        <f>_xll.qlCalendarAdvance(Calendar,Z1313,NDays&amp;"D")</f>
        <v>48333</v>
      </c>
      <c r="AB1313" s="92">
        <v>1.6490738090535036E-2</v>
      </c>
      <c r="AC1313" s="101">
        <v>1.6516380760416283E-2</v>
      </c>
    </row>
    <row r="1314" spans="25:29" x14ac:dyDescent="0.2">
      <c r="Y1314" s="105" t="str">
        <f t="shared" si="54"/>
        <v>1w</v>
      </c>
      <c r="Z1314" s="93">
        <f>_xll.qlCalendarAdvance(Calendar,Z1313,Y1314,"f",FALSE)</f>
        <v>48338</v>
      </c>
      <c r="AA1314" s="117">
        <f>_xll.qlCalendarAdvance(Calendar,Z1314,NDays&amp;"D")</f>
        <v>48340</v>
      </c>
      <c r="AB1314" s="92">
        <v>1.6482910462813125E-2</v>
      </c>
      <c r="AC1314" s="101">
        <v>1.6509279262866272E-2</v>
      </c>
    </row>
    <row r="1315" spans="25:29" x14ac:dyDescent="0.2">
      <c r="Y1315" s="105" t="str">
        <f t="shared" si="54"/>
        <v>1w</v>
      </c>
      <c r="Z1315" s="93">
        <f>_xll.qlCalendarAdvance(Calendar,Z1314,Y1315,"f",FALSE)</f>
        <v>48345</v>
      </c>
      <c r="AA1315" s="117">
        <f>_xll.qlCalendarAdvance(Calendar,Z1315,NDays&amp;"D")</f>
        <v>48347</v>
      </c>
      <c r="AB1315" s="92">
        <v>1.6475528893436741E-2</v>
      </c>
      <c r="AC1315" s="101">
        <v>1.6502160947649003E-2</v>
      </c>
    </row>
    <row r="1316" spans="25:29" x14ac:dyDescent="0.2">
      <c r="Y1316" s="105" t="str">
        <f t="shared" si="54"/>
        <v>1w</v>
      </c>
      <c r="Z1316" s="93">
        <f>_xll.qlCalendarAdvance(Calendar,Z1315,Y1316,"f",FALSE)</f>
        <v>48352</v>
      </c>
      <c r="AA1316" s="117">
        <f>_xll.qlCalendarAdvance(Calendar,Z1316,NDays&amp;"D")</f>
        <v>48354</v>
      </c>
      <c r="AB1316" s="92">
        <v>1.6468132828347765E-2</v>
      </c>
      <c r="AC1316" s="101">
        <v>1.6495025984708533E-2</v>
      </c>
    </row>
    <row r="1317" spans="25:29" x14ac:dyDescent="0.2">
      <c r="Y1317" s="105" t="str">
        <f t="shared" si="54"/>
        <v>1w</v>
      </c>
      <c r="Z1317" s="93">
        <f>_xll.qlCalendarAdvance(Calendar,Z1316,Y1317,"f",FALSE)</f>
        <v>48359</v>
      </c>
      <c r="AA1317" s="117">
        <f>_xll.qlCalendarAdvance(Calendar,Z1317,NDays&amp;"D")</f>
        <v>48361</v>
      </c>
      <c r="AB1317" s="92">
        <v>1.6460722439119498E-2</v>
      </c>
      <c r="AC1317" s="101">
        <v>1.6487874544148795E-2</v>
      </c>
    </row>
    <row r="1318" spans="25:29" x14ac:dyDescent="0.2">
      <c r="Y1318" s="105" t="str">
        <f t="shared" si="54"/>
        <v>1w</v>
      </c>
      <c r="Z1318" s="93">
        <f>_xll.qlCalendarAdvance(Calendar,Z1317,Y1318,"f",FALSE)</f>
        <v>48366</v>
      </c>
      <c r="AA1318" s="117">
        <f>_xll.qlCalendarAdvance(Calendar,Z1318,NDays&amp;"D")</f>
        <v>48368</v>
      </c>
      <c r="AB1318" s="92">
        <v>1.6453778327488244E-2</v>
      </c>
      <c r="AC1318" s="101">
        <v>1.6480706795913846E-2</v>
      </c>
    </row>
    <row r="1319" spans="25:29" x14ac:dyDescent="0.2">
      <c r="Y1319" s="105" t="str">
        <f t="shared" si="54"/>
        <v>1w</v>
      </c>
      <c r="Z1319" s="93">
        <f>_xll.qlCalendarAdvance(Calendar,Z1318,Y1319,"f",FALSE)</f>
        <v>48373</v>
      </c>
      <c r="AA1319" s="117">
        <f>_xll.qlCalendarAdvance(Calendar,Z1319,NDays&amp;"D")</f>
        <v>48375</v>
      </c>
      <c r="AB1319" s="92">
        <v>1.6446343639782986E-2</v>
      </c>
      <c r="AC1319" s="101">
        <v>1.6473522909947746E-2</v>
      </c>
    </row>
    <row r="1320" spans="25:29" x14ac:dyDescent="0.2">
      <c r="Y1320" s="105" t="str">
        <f t="shared" si="54"/>
        <v>1w</v>
      </c>
      <c r="Z1320" s="93">
        <f>_xll.qlCalendarAdvance(Calendar,Z1319,Y1320,"f",FALSE)</f>
        <v>48380</v>
      </c>
      <c r="AA1320" s="117">
        <f>_xll.qlCalendarAdvance(Calendar,Z1320,NDays&amp;"D")</f>
        <v>48382</v>
      </c>
      <c r="AB1320" s="92">
        <v>1.6438895107311956E-2</v>
      </c>
      <c r="AC1320" s="101">
        <v>1.646632305627449E-2</v>
      </c>
    </row>
    <row r="1321" spans="25:29" x14ac:dyDescent="0.2">
      <c r="Y1321" s="105" t="str">
        <f t="shared" si="54"/>
        <v>1w</v>
      </c>
      <c r="Z1321" s="93">
        <f>_xll.qlCalendarAdvance(Calendar,Z1320,Y1321,"f",FALSE)</f>
        <v>48387</v>
      </c>
      <c r="AA1321" s="117">
        <f>_xll.qlCalendarAdvance(Calendar,Z1321,NDays&amp;"D")</f>
        <v>48389</v>
      </c>
      <c r="AB1321" s="92">
        <v>1.6431432901614442E-2</v>
      </c>
      <c r="AC1321" s="101">
        <v>1.6459107404598328E-2</v>
      </c>
    </row>
    <row r="1322" spans="25:29" x14ac:dyDescent="0.2">
      <c r="Y1322" s="105" t="str">
        <f t="shared" si="54"/>
        <v>1w</v>
      </c>
      <c r="Z1322" s="93">
        <f>_xll.qlCalendarAdvance(Calendar,Z1321,Y1322,"f",FALSE)</f>
        <v>48394</v>
      </c>
      <c r="AA1322" s="117">
        <f>_xll.qlCalendarAdvance(Calendar,Z1322,NDays&amp;"D")</f>
        <v>48396</v>
      </c>
      <c r="AB1322" s="92">
        <v>1.6423461635775228E-2</v>
      </c>
      <c r="AC1322" s="101">
        <v>1.6451876125262999E-2</v>
      </c>
    </row>
    <row r="1323" spans="25:29" x14ac:dyDescent="0.2">
      <c r="Y1323" s="105" t="str">
        <f t="shared" si="54"/>
        <v>1w</v>
      </c>
      <c r="Z1323" s="93">
        <f>_xll.qlCalendarAdvance(Calendar,Z1322,Y1323,"f",FALSE)</f>
        <v>48401</v>
      </c>
      <c r="AA1323" s="117">
        <f>_xll.qlCalendarAdvance(Calendar,Z1323,NDays&amp;"D")</f>
        <v>48403</v>
      </c>
      <c r="AB1323" s="92">
        <v>1.6415968904611541E-2</v>
      </c>
      <c r="AC1323" s="101">
        <v>1.6444629388052689E-2</v>
      </c>
    </row>
    <row r="1324" spans="25:29" x14ac:dyDescent="0.2">
      <c r="Y1324" s="105" t="str">
        <f t="shared" si="54"/>
        <v>1w</v>
      </c>
      <c r="Z1324" s="93">
        <f>_xll.qlCalendarAdvance(Calendar,Z1323,Y1324,"f",FALSE)</f>
        <v>48408</v>
      </c>
      <c r="AA1324" s="117">
        <f>_xll.qlCalendarAdvance(Calendar,Z1324,NDays&amp;"D")</f>
        <v>48410</v>
      </c>
      <c r="AB1324" s="92">
        <v>1.6408463050254569E-2</v>
      </c>
      <c r="AC1324" s="101">
        <v>1.6437367362911459E-2</v>
      </c>
    </row>
    <row r="1325" spans="25:29" x14ac:dyDescent="0.2">
      <c r="Y1325" s="105" t="str">
        <f t="shared" si="54"/>
        <v>1w</v>
      </c>
      <c r="Z1325" s="93">
        <f>_xll.qlCalendarAdvance(Calendar,Z1324,Y1325,"f",FALSE)</f>
        <v>48415</v>
      </c>
      <c r="AA1325" s="117">
        <f>_xll.qlCalendarAdvance(Calendar,Z1325,NDays&amp;"D")</f>
        <v>48417</v>
      </c>
      <c r="AB1325" s="92">
        <v>1.6400944244259124E-2</v>
      </c>
      <c r="AC1325" s="101">
        <v>1.6430090219943239E-2</v>
      </c>
    </row>
    <row r="1326" spans="25:29" x14ac:dyDescent="0.2">
      <c r="Y1326" s="105" t="str">
        <f t="shared" si="54"/>
        <v>1w</v>
      </c>
      <c r="Z1326" s="93">
        <f>_xll.qlCalendarAdvance(Calendar,Z1325,Y1326,"f",FALSE)</f>
        <v>48422</v>
      </c>
      <c r="AA1326" s="117">
        <f>_xll.qlCalendarAdvance(Calendar,Z1326,NDays&amp;"D")</f>
        <v>48424</v>
      </c>
      <c r="AB1326" s="92">
        <v>1.6393412658175295E-2</v>
      </c>
      <c r="AC1326" s="101">
        <v>1.6422798128932214E-2</v>
      </c>
    </row>
    <row r="1327" spans="25:29" x14ac:dyDescent="0.2">
      <c r="Y1327" s="105" t="str">
        <f t="shared" si="54"/>
        <v>1w</v>
      </c>
      <c r="Z1327" s="93">
        <f>_xll.qlCalendarAdvance(Calendar,Z1326,Y1327,"f",FALSE)</f>
        <v>48429</v>
      </c>
      <c r="AA1327" s="117">
        <f>_xll.qlCalendarAdvance(Calendar,Z1327,NDays&amp;"D")</f>
        <v>48431</v>
      </c>
      <c r="AB1327" s="92">
        <v>1.6385868463554023E-2</v>
      </c>
      <c r="AC1327" s="101">
        <v>1.6415491259982318E-2</v>
      </c>
    </row>
    <row r="1328" spans="25:29" x14ac:dyDescent="0.2">
      <c r="Y1328" s="105" t="str">
        <f t="shared" si="54"/>
        <v>1w</v>
      </c>
      <c r="Z1328" s="93">
        <f>_xll.qlCalendarAdvance(Calendar,Z1327,Y1328,"f",FALSE)</f>
        <v>48436</v>
      </c>
      <c r="AA1328" s="117">
        <f>_xll.qlCalendarAdvance(Calendar,Z1328,NDays&amp;"D")</f>
        <v>48438</v>
      </c>
      <c r="AB1328" s="92">
        <v>1.6378311831942393E-2</v>
      </c>
      <c r="AC1328" s="101">
        <v>1.6408169783117543E-2</v>
      </c>
    </row>
    <row r="1329" spans="25:29" x14ac:dyDescent="0.2">
      <c r="Y1329" s="105" t="str">
        <f t="shared" si="54"/>
        <v>1w</v>
      </c>
      <c r="Z1329" s="93">
        <f>_xll.qlCalendarAdvance(Calendar,Z1328,Y1329,"f",FALSE)</f>
        <v>48443</v>
      </c>
      <c r="AA1329" s="117">
        <f>_xll.qlCalendarAdvance(Calendar,Z1329,NDays&amp;"D")</f>
        <v>48445</v>
      </c>
      <c r="AB1329" s="92">
        <v>1.6370742934884035E-2</v>
      </c>
      <c r="AC1329" s="101">
        <v>1.6400833868202014E-2</v>
      </c>
    </row>
    <row r="1330" spans="25:29" x14ac:dyDescent="0.2">
      <c r="Y1330" s="105" t="str">
        <f t="shared" si="54"/>
        <v>1w</v>
      </c>
      <c r="Z1330" s="93">
        <f>_xll.qlCalendarAdvance(Calendar,Z1329,Y1330,"f",FALSE)</f>
        <v>48450</v>
      </c>
      <c r="AA1330" s="117">
        <f>_xll.qlCalendarAdvance(Calendar,Z1330,NDays&amp;"D")</f>
        <v>48452</v>
      </c>
      <c r="AB1330" s="92">
        <v>1.6363161943923028E-2</v>
      </c>
      <c r="AC1330" s="101">
        <v>1.6393483685099852E-2</v>
      </c>
    </row>
    <row r="1331" spans="25:29" x14ac:dyDescent="0.2">
      <c r="Y1331" s="105" t="str">
        <f t="shared" si="54"/>
        <v>1w</v>
      </c>
      <c r="Z1331" s="93">
        <f>_xll.qlCalendarAdvance(Calendar,Z1330,Y1331,"f",FALSE)</f>
        <v>48457</v>
      </c>
      <c r="AA1331" s="117">
        <f>_xll.qlCalendarAdvance(Calendar,Z1331,NDays&amp;"D")</f>
        <v>48459</v>
      </c>
      <c r="AB1331" s="92">
        <v>1.6356447682062861E-2</v>
      </c>
      <c r="AC1331" s="101">
        <v>1.6386119404074861E-2</v>
      </c>
    </row>
    <row r="1332" spans="25:29" x14ac:dyDescent="0.2">
      <c r="Y1332" s="105" t="str">
        <f t="shared" si="54"/>
        <v>1w</v>
      </c>
      <c r="Z1332" s="93">
        <f>_xll.qlCalendarAdvance(Calendar,Z1331,Y1332,"f",FALSE)</f>
        <v>48464</v>
      </c>
      <c r="AA1332" s="117">
        <f>_xll.qlCalendarAdvance(Calendar,Z1332,NDays&amp;"D")</f>
        <v>48466</v>
      </c>
      <c r="AB1332" s="92">
        <v>1.6348848646458337E-2</v>
      </c>
      <c r="AC1332" s="101">
        <v>1.6378741194911228E-2</v>
      </c>
    </row>
    <row r="1333" spans="25:29" x14ac:dyDescent="0.2">
      <c r="Y1333" s="105" t="str">
        <f t="shared" si="54"/>
        <v>1w</v>
      </c>
      <c r="Z1333" s="93">
        <f>_xll.qlCalendarAdvance(Calendar,Z1332,Y1333,"f",FALSE)</f>
        <v>48471</v>
      </c>
      <c r="AA1333" s="117">
        <f>_xll.qlCalendarAdvance(Calendar,Z1333,NDays&amp;"D")</f>
        <v>48473</v>
      </c>
      <c r="AB1333" s="92">
        <v>1.6341237972136862E-2</v>
      </c>
      <c r="AC1333" s="101">
        <v>1.6371349227553011E-2</v>
      </c>
    </row>
    <row r="1334" spans="25:29" x14ac:dyDescent="0.2">
      <c r="Y1334" s="105" t="str">
        <f t="shared" si="54"/>
        <v>1w</v>
      </c>
      <c r="Z1334" s="93">
        <f>_xll.qlCalendarAdvance(Calendar,Z1333,Y1334,"f",FALSE)</f>
        <v>48478</v>
      </c>
      <c r="AA1334" s="117">
        <f>_xll.qlCalendarAdvance(Calendar,Z1334,NDays&amp;"D")</f>
        <v>48480</v>
      </c>
      <c r="AB1334" s="92">
        <v>1.6333615830591314E-2</v>
      </c>
      <c r="AC1334" s="101">
        <v>1.6363943672104142E-2</v>
      </c>
    </row>
    <row r="1335" spans="25:29" x14ac:dyDescent="0.2">
      <c r="Y1335" s="105" t="str">
        <f t="shared" si="54"/>
        <v>1w</v>
      </c>
      <c r="Z1335" s="93">
        <f>_xll.qlCalendarAdvance(Calendar,Z1334,Y1335,"f",FALSE)</f>
        <v>48485</v>
      </c>
      <c r="AA1335" s="117">
        <f>_xll.qlCalendarAdvance(Calendar,Z1335,NDays&amp;"D")</f>
        <v>48487</v>
      </c>
      <c r="AB1335" s="92">
        <v>1.6325802444384238E-2</v>
      </c>
      <c r="AC1335" s="101">
        <v>1.6356524698348807E-2</v>
      </c>
    </row>
    <row r="1336" spans="25:29" x14ac:dyDescent="0.2">
      <c r="Y1336" s="105" t="str">
        <f t="shared" si="54"/>
        <v>1w</v>
      </c>
      <c r="Z1336" s="93">
        <f>_xll.qlCalendarAdvance(Calendar,Z1335,Y1336,"f",FALSE)</f>
        <v>48492</v>
      </c>
      <c r="AA1336" s="117">
        <f>_xll.qlCalendarAdvance(Calendar,Z1336,NDays&amp;"D")</f>
        <v>48494</v>
      </c>
      <c r="AB1336" s="92">
        <v>1.6318156802516054E-2</v>
      </c>
      <c r="AC1336" s="101">
        <v>1.6349092476550808E-2</v>
      </c>
    </row>
    <row r="1337" spans="25:29" x14ac:dyDescent="0.2">
      <c r="Y1337" s="105" t="str">
        <f t="shared" si="54"/>
        <v>1w</v>
      </c>
      <c r="Z1337" s="93">
        <f>_xll.qlCalendarAdvance(Calendar,Z1336,Y1337,"f",FALSE)</f>
        <v>48499</v>
      </c>
      <c r="AA1337" s="117">
        <f>_xll.qlCalendarAdvance(Calendar,Z1337,NDays&amp;"D")</f>
        <v>48501</v>
      </c>
      <c r="AB1337" s="92">
        <v>1.6310500219797002E-2</v>
      </c>
      <c r="AC1337" s="101">
        <v>1.6341647176334462E-2</v>
      </c>
    </row>
    <row r="1338" spans="25:29" x14ac:dyDescent="0.2">
      <c r="Y1338" s="105" t="str">
        <f t="shared" si="54"/>
        <v>1w</v>
      </c>
      <c r="Z1338" s="93">
        <f>_xll.qlCalendarAdvance(Calendar,Z1337,Y1338,"f",FALSE)</f>
        <v>48506</v>
      </c>
      <c r="AA1338" s="117">
        <f>_xll.qlCalendarAdvance(Calendar,Z1338,NDays&amp;"D")</f>
        <v>48508</v>
      </c>
      <c r="AB1338" s="92">
        <v>1.6302832867716728E-2</v>
      </c>
      <c r="AC1338" s="101">
        <v>1.6334188967883634E-2</v>
      </c>
    </row>
    <row r="1339" spans="25:29" x14ac:dyDescent="0.2">
      <c r="Y1339" s="105" t="str">
        <f t="shared" si="54"/>
        <v>1w</v>
      </c>
      <c r="Z1339" s="93">
        <f>_xll.qlCalendarAdvance(Calendar,Z1338,Y1339,"f",FALSE)</f>
        <v>48513</v>
      </c>
      <c r="AA1339" s="117">
        <f>_xll.qlCalendarAdvance(Calendar,Z1339,NDays&amp;"D")</f>
        <v>48515</v>
      </c>
      <c r="AB1339" s="92">
        <v>1.6295154917762664E-2</v>
      </c>
      <c r="AC1339" s="101">
        <v>1.6326718021062447E-2</v>
      </c>
    </row>
    <row r="1340" spans="25:29" x14ac:dyDescent="0.2">
      <c r="Y1340" s="105" t="str">
        <f t="shared" si="54"/>
        <v>1w</v>
      </c>
      <c r="Z1340" s="93">
        <f>_xll.qlCalendarAdvance(Calendar,Z1339,Y1340,"f",FALSE)</f>
        <v>48520</v>
      </c>
      <c r="AA1340" s="117">
        <f>_xll.qlCalendarAdvance(Calendar,Z1340,NDays&amp;"D")</f>
        <v>48522</v>
      </c>
      <c r="AB1340" s="92">
        <v>1.6287651772779282E-2</v>
      </c>
      <c r="AC1340" s="101">
        <v>1.6319234505974833E-2</v>
      </c>
    </row>
    <row r="1341" spans="25:29" x14ac:dyDescent="0.2">
      <c r="Y1341" s="105" t="str">
        <f t="shared" si="54"/>
        <v>1w</v>
      </c>
      <c r="Z1341" s="93">
        <f>_xll.qlCalendarAdvance(Calendar,Z1340,Y1341,"f",FALSE)</f>
        <v>48527</v>
      </c>
      <c r="AA1341" s="117">
        <f>_xll.qlCalendarAdvance(Calendar,Z1341,NDays&amp;"D")</f>
        <v>48529</v>
      </c>
      <c r="AB1341" s="92">
        <v>1.6279954162201602E-2</v>
      </c>
      <c r="AC1341" s="101">
        <v>1.6311738592564851E-2</v>
      </c>
    </row>
    <row r="1342" spans="25:29" x14ac:dyDescent="0.2">
      <c r="Y1342" s="105" t="str">
        <f t="shared" si="54"/>
        <v>1w</v>
      </c>
      <c r="Z1342" s="93">
        <f>_xll.qlCalendarAdvance(Calendar,Z1341,Y1342,"f",FALSE)</f>
        <v>48534</v>
      </c>
      <c r="AA1342" s="117">
        <f>_xll.qlCalendarAdvance(Calendar,Z1342,NDays&amp;"D")</f>
        <v>48536</v>
      </c>
      <c r="AB1342" s="92">
        <v>1.6272246456239505E-2</v>
      </c>
      <c r="AC1342" s="101">
        <v>1.6304230450616686E-2</v>
      </c>
    </row>
    <row r="1343" spans="25:29" x14ac:dyDescent="0.2">
      <c r="Y1343" s="105" t="str">
        <f t="shared" si="54"/>
        <v>1w</v>
      </c>
      <c r="Z1343" s="93">
        <f>_xll.qlCalendarAdvance(Calendar,Z1342,Y1343,"f",FALSE)</f>
        <v>48541</v>
      </c>
      <c r="AA1343" s="117">
        <f>_xll.qlCalendarAdvance(Calendar,Z1343,NDays&amp;"D")</f>
        <v>48543</v>
      </c>
      <c r="AB1343" s="92">
        <v>1.6264528826362017E-2</v>
      </c>
      <c r="AC1343" s="101">
        <v>1.6296710250314206E-2</v>
      </c>
    </row>
    <row r="1344" spans="25:29" x14ac:dyDescent="0.2">
      <c r="Y1344" s="105" t="str">
        <f t="shared" si="54"/>
        <v>1w</v>
      </c>
      <c r="Z1344" s="93">
        <f>_xll.qlCalendarAdvance(Calendar,Z1343,Y1344,"f",FALSE)</f>
        <v>48548</v>
      </c>
      <c r="AA1344" s="117">
        <f>_xll.qlCalendarAdvance(Calendar,Z1344,NDays&amp;"D")</f>
        <v>48550</v>
      </c>
      <c r="AB1344" s="92">
        <v>1.6256612201751355E-2</v>
      </c>
      <c r="AC1344" s="101">
        <v>1.6289178161521534E-2</v>
      </c>
    </row>
    <row r="1345" spans="25:29" x14ac:dyDescent="0.2">
      <c r="Y1345" s="105" t="str">
        <f t="shared" si="54"/>
        <v>1w</v>
      </c>
      <c r="Z1345" s="93">
        <f>_xll.qlCalendarAdvance(Calendar,Z1344,Y1345,"f",FALSE)</f>
        <v>48555</v>
      </c>
      <c r="AA1345" s="117">
        <f>_xll.qlCalendarAdvance(Calendar,Z1345,NDays&amp;"D")</f>
        <v>48557</v>
      </c>
      <c r="AB1345" s="92">
        <v>1.6248874265641471E-2</v>
      </c>
      <c r="AC1345" s="101">
        <v>1.6281634354262664E-2</v>
      </c>
    </row>
    <row r="1346" spans="25:29" x14ac:dyDescent="0.2">
      <c r="Y1346" s="105" t="str">
        <f t="shared" si="54"/>
        <v>1w</v>
      </c>
      <c r="Z1346" s="93">
        <f>_xll.qlCalendarAdvance(Calendar,Z1345,Y1346,"f",FALSE)</f>
        <v>48562</v>
      </c>
      <c r="AA1346" s="117">
        <f>_xll.qlCalendarAdvance(Calendar,Z1346,NDays&amp;"D")</f>
        <v>48564</v>
      </c>
      <c r="AB1346" s="92">
        <v>1.6241126931997404E-2</v>
      </c>
      <c r="AC1346" s="101">
        <v>1.6274078998481656E-2</v>
      </c>
    </row>
    <row r="1347" spans="25:29" x14ac:dyDescent="0.2">
      <c r="Y1347" s="105" t="str">
        <f t="shared" si="54"/>
        <v>1w</v>
      </c>
      <c r="Z1347" s="93">
        <f>_xll.qlCalendarAdvance(Calendar,Z1346,Y1347,"f",FALSE)</f>
        <v>48569</v>
      </c>
      <c r="AA1347" s="117">
        <f>_xll.qlCalendarAdvance(Calendar,Z1347,NDays&amp;"D")</f>
        <v>48571</v>
      </c>
      <c r="AB1347" s="92">
        <v>1.6233370372286837E-2</v>
      </c>
      <c r="AC1347" s="101">
        <v>1.6266512264202504E-2</v>
      </c>
    </row>
    <row r="1348" spans="25:29" x14ac:dyDescent="0.2">
      <c r="Y1348" s="105" t="str">
        <f t="shared" si="54"/>
        <v>1w</v>
      </c>
      <c r="Z1348" s="93">
        <f>_xll.qlCalendarAdvance(Calendar,Z1347,Y1348,"f",FALSE)</f>
        <v>48576</v>
      </c>
      <c r="AA1348" s="117">
        <f>_xll.qlCalendarAdvance(Calendar,Z1348,NDays&amp;"D")</f>
        <v>48578</v>
      </c>
      <c r="AB1348" s="92">
        <v>1.6225604757973484E-2</v>
      </c>
      <c r="AC1348" s="101">
        <v>1.6258934321289331E-2</v>
      </c>
    </row>
    <row r="1349" spans="25:29" x14ac:dyDescent="0.2">
      <c r="Y1349" s="105" t="str">
        <f t="shared" si="54"/>
        <v>1w</v>
      </c>
      <c r="Z1349" s="93">
        <f>_xll.qlCalendarAdvance(Calendar,Z1348,Y1349,"f",FALSE)</f>
        <v>48583</v>
      </c>
      <c r="AA1349" s="117">
        <f>_xll.qlCalendarAdvance(Calendar,Z1349,NDays&amp;"D")</f>
        <v>48585</v>
      </c>
      <c r="AB1349" s="92">
        <v>1.6218024246815212E-2</v>
      </c>
      <c r="AC1349" s="101">
        <v>1.6251345339766132E-2</v>
      </c>
    </row>
    <row r="1350" spans="25:29" x14ac:dyDescent="0.2">
      <c r="Y1350" s="105" t="str">
        <f t="shared" si="54"/>
        <v>1w</v>
      </c>
      <c r="Z1350" s="93">
        <f>_xll.qlCalendarAdvance(Calendar,Z1349,Y1350,"f",FALSE)</f>
        <v>48590</v>
      </c>
      <c r="AA1350" s="117">
        <f>_xll.qlCalendarAdvance(Calendar,Z1350,NDays&amp;"D")</f>
        <v>48592</v>
      </c>
      <c r="AB1350" s="92">
        <v>1.6210241950449868E-2</v>
      </c>
      <c r="AC1350" s="101">
        <v>1.6243745489656902E-2</v>
      </c>
    </row>
    <row r="1351" spans="25:29" x14ac:dyDescent="0.2">
      <c r="Y1351" s="105" t="str">
        <f t="shared" si="54"/>
        <v>1w</v>
      </c>
      <c r="Z1351" s="93">
        <f>_xll.qlCalendarAdvance(Calendar,Z1350,Y1351,"f",FALSE)</f>
        <v>48597</v>
      </c>
      <c r="AA1351" s="117">
        <f>_xll.qlCalendarAdvance(Calendar,Z1351,NDays&amp;"D")</f>
        <v>48599</v>
      </c>
      <c r="AB1351" s="92">
        <v>1.620245110183037E-2</v>
      </c>
      <c r="AC1351" s="101">
        <v>1.62361349409057E-2</v>
      </c>
    </row>
    <row r="1352" spans="25:29" x14ac:dyDescent="0.2">
      <c r="Y1352" s="105" t="str">
        <f t="shared" si="54"/>
        <v>1w</v>
      </c>
      <c r="Z1352" s="93">
        <f>_xll.qlCalendarAdvance(Calendar,Z1351,Y1352,"f",FALSE)</f>
        <v>48604</v>
      </c>
      <c r="AA1352" s="117">
        <f>_xll.qlCalendarAdvance(Calendar,Z1352,NDays&amp;"D")</f>
        <v>48606</v>
      </c>
      <c r="AB1352" s="92">
        <v>1.6194651872402779E-2</v>
      </c>
      <c r="AC1352" s="101">
        <v>1.6228513863376648E-2</v>
      </c>
    </row>
    <row r="1353" spans="25:29" x14ac:dyDescent="0.2">
      <c r="Y1353" s="105" t="str">
        <f t="shared" si="54"/>
        <v>1w</v>
      </c>
      <c r="Z1353" s="93">
        <f>_xll.qlCalendarAdvance(Calendar,Z1352,Y1353,"f",FALSE)</f>
        <v>48611</v>
      </c>
      <c r="AA1353" s="117">
        <f>_xll.qlCalendarAdvance(Calendar,Z1353,NDays&amp;"D")</f>
        <v>48613</v>
      </c>
      <c r="AB1353" s="92">
        <v>1.6186844433611836E-2</v>
      </c>
      <c r="AC1353" s="101">
        <v>1.6220882427253613E-2</v>
      </c>
    </row>
    <row r="1354" spans="25:29" x14ac:dyDescent="0.2">
      <c r="Y1354" s="105" t="str">
        <f t="shared" si="54"/>
        <v>1w</v>
      </c>
      <c r="Z1354" s="93">
        <f>_xll.qlCalendarAdvance(Calendar,Z1353,Y1354,"f",FALSE)</f>
        <v>48618</v>
      </c>
      <c r="AA1354" s="117">
        <f>_xll.qlCalendarAdvance(Calendar,Z1354,NDays&amp;"D")</f>
        <v>48620</v>
      </c>
      <c r="AB1354" s="92">
        <v>1.6179028956897417E-2</v>
      </c>
      <c r="AC1354" s="101">
        <v>1.6213240802240847E-2</v>
      </c>
    </row>
    <row r="1355" spans="25:29" x14ac:dyDescent="0.2">
      <c r="Y1355" s="105" t="str">
        <f t="shared" si="54"/>
        <v>1w</v>
      </c>
      <c r="Z1355" s="93">
        <f>_xll.qlCalendarAdvance(Calendar,Z1354,Y1355,"f",FALSE)</f>
        <v>48625</v>
      </c>
      <c r="AA1355" s="117">
        <f>_xll.qlCalendarAdvance(Calendar,Z1355,NDays&amp;"D")</f>
        <v>48627</v>
      </c>
      <c r="AB1355" s="92">
        <v>1.6171205613698957E-2</v>
      </c>
      <c r="AC1355" s="101">
        <v>1.6205589158522216E-2</v>
      </c>
    </row>
    <row r="1356" spans="25:29" x14ac:dyDescent="0.2">
      <c r="Y1356" s="105" t="str">
        <f t="shared" si="54"/>
        <v>1w</v>
      </c>
      <c r="Z1356" s="93">
        <f>_xll.qlCalendarAdvance(Calendar,Z1355,Y1356,"f",FALSE)</f>
        <v>48632</v>
      </c>
      <c r="AA1356" s="117">
        <f>_xll.qlCalendarAdvance(Calendar,Z1356,NDays&amp;"D")</f>
        <v>48634</v>
      </c>
      <c r="AB1356" s="92">
        <v>1.6163374575451923E-2</v>
      </c>
      <c r="AC1356" s="101">
        <v>1.6197927665881906E-2</v>
      </c>
    </row>
    <row r="1357" spans="25:29" x14ac:dyDescent="0.2">
      <c r="Y1357" s="105" t="str">
        <f t="shared" si="54"/>
        <v>1w</v>
      </c>
      <c r="Z1357" s="93">
        <f>_xll.qlCalendarAdvance(Calendar,Z1356,Y1357,"f",FALSE)</f>
        <v>48639</v>
      </c>
      <c r="AA1357" s="117">
        <f>_xll.qlCalendarAdvance(Calendar,Z1357,NDays&amp;"D")</f>
        <v>48641</v>
      </c>
      <c r="AB1357" s="92">
        <v>1.615453043988805E-2</v>
      </c>
      <c r="AC1357" s="101">
        <v>1.6190256494583721E-2</v>
      </c>
    </row>
    <row r="1358" spans="25:29" x14ac:dyDescent="0.2">
      <c r="Y1358" s="105" t="str">
        <f t="shared" si="54"/>
        <v>1w</v>
      </c>
      <c r="Z1358" s="93">
        <f>_xll.qlCalendarAdvance(Calendar,Z1357,Y1358,"f",FALSE)</f>
        <v>48646</v>
      </c>
      <c r="AA1358" s="117">
        <f>_xll.qlCalendarAdvance(Calendar,Z1358,NDays&amp;"D")</f>
        <v>48648</v>
      </c>
      <c r="AB1358" s="92">
        <v>1.6146680455651645E-2</v>
      </c>
      <c r="AC1358" s="101">
        <v>1.6182575814251976E-2</v>
      </c>
    </row>
    <row r="1359" spans="25:29" x14ac:dyDescent="0.2">
      <c r="Y1359" s="105" t="str">
        <f t="shared" si="54"/>
        <v>1w</v>
      </c>
      <c r="Z1359" s="93">
        <f>_xll.qlCalendarAdvance(Calendar,Z1358,Y1359,"f",FALSE)</f>
        <v>48653</v>
      </c>
      <c r="AA1359" s="117">
        <f>_xll.qlCalendarAdvance(Calendar,Z1359,NDays&amp;"D")</f>
        <v>48655</v>
      </c>
      <c r="AB1359" s="92">
        <v>1.6138823351140547E-2</v>
      </c>
      <c r="AC1359" s="101">
        <v>1.6174885795150473E-2</v>
      </c>
    </row>
    <row r="1360" spans="25:29" x14ac:dyDescent="0.2">
      <c r="Y1360" s="105" t="str">
        <f t="shared" si="54"/>
        <v>1w</v>
      </c>
      <c r="Z1360" s="93">
        <f>_xll.qlCalendarAdvance(Calendar,Z1359,Y1360,"f",FALSE)</f>
        <v>48660</v>
      </c>
      <c r="AA1360" s="117">
        <f>_xll.qlCalendarAdvance(Calendar,Z1360,NDays&amp;"D")</f>
        <v>48662</v>
      </c>
      <c r="AB1360" s="92">
        <v>1.6130959297820182E-2</v>
      </c>
      <c r="AC1360" s="101">
        <v>1.6167186607143336E-2</v>
      </c>
    </row>
    <row r="1361" spans="25:29" x14ac:dyDescent="0.2">
      <c r="Y1361" s="105" t="str">
        <f t="shared" si="54"/>
        <v>1w</v>
      </c>
      <c r="Z1361" s="93">
        <f>_xll.qlCalendarAdvance(Calendar,Z1360,Y1361,"f",FALSE)</f>
        <v>48667</v>
      </c>
      <c r="AA1361" s="117">
        <f>_xll.qlCalendarAdvance(Calendar,Z1361,NDays&amp;"D")</f>
        <v>48669</v>
      </c>
      <c r="AB1361" s="92">
        <v>1.612370159363636E-2</v>
      </c>
      <c r="AC1361" s="101">
        <v>1.6159478420094686E-2</v>
      </c>
    </row>
    <row r="1362" spans="25:29" x14ac:dyDescent="0.2">
      <c r="Y1362" s="105" t="str">
        <f t="shared" si="54"/>
        <v>1w</v>
      </c>
      <c r="Z1362" s="93">
        <f>_xll.qlCalendarAdvance(Calendar,Z1361,Y1362,"f",FALSE)</f>
        <v>48674</v>
      </c>
      <c r="AA1362" s="117">
        <f>_xll.qlCalendarAdvance(Calendar,Z1362,NDays&amp;"D")</f>
        <v>48676</v>
      </c>
      <c r="AB1362" s="92">
        <v>1.6115826450485867E-2</v>
      </c>
      <c r="AC1362" s="101">
        <v>1.615176140402852E-2</v>
      </c>
    </row>
    <row r="1363" spans="25:29" x14ac:dyDescent="0.2">
      <c r="Y1363" s="105" t="str">
        <f t="shared" si="54"/>
        <v>1w</v>
      </c>
      <c r="Z1363" s="93">
        <f>_xll.qlCalendarAdvance(Calendar,Z1362,Y1363,"f",FALSE)</f>
        <v>48681</v>
      </c>
      <c r="AA1363" s="117">
        <f>_xll.qlCalendarAdvance(Calendar,Z1363,NDays&amp;"D")</f>
        <v>48683</v>
      </c>
      <c r="AB1363" s="92">
        <v>1.610794483651893E-2</v>
      </c>
      <c r="AC1363" s="101">
        <v>1.61432742669394E-2</v>
      </c>
    </row>
    <row r="1364" spans="25:29" x14ac:dyDescent="0.2">
      <c r="Y1364" s="105" t="str">
        <f t="shared" si="54"/>
        <v>1w</v>
      </c>
      <c r="Z1364" s="93">
        <f>_xll.qlCalendarAdvance(Calendar,Z1363,Y1364,"f",FALSE)</f>
        <v>48688</v>
      </c>
      <c r="AA1364" s="117">
        <f>_xll.qlCalendarAdvance(Calendar,Z1364,NDays&amp;"D")</f>
        <v>48690</v>
      </c>
      <c r="AB1364" s="92">
        <v>1.6100056923166059E-2</v>
      </c>
      <c r="AC1364" s="101">
        <v>1.6136301565019551E-2</v>
      </c>
    </row>
    <row r="1365" spans="25:29" x14ac:dyDescent="0.2">
      <c r="Y1365" s="105" t="str">
        <f t="shared" ref="Y1365:Y1428" si="55">Y1364</f>
        <v>1w</v>
      </c>
      <c r="Z1365" s="93">
        <f>_xll.qlCalendarAdvance(Calendar,Z1364,Y1365,"f",FALSE)</f>
        <v>48695</v>
      </c>
      <c r="AA1365" s="117">
        <f>_xll.qlCalendarAdvance(Calendar,Z1365,NDays&amp;"D")</f>
        <v>48697</v>
      </c>
      <c r="AB1365" s="92">
        <v>1.6092162881856466E-2</v>
      </c>
      <c r="AC1365" s="101">
        <v>1.6128559081804994E-2</v>
      </c>
    </row>
    <row r="1366" spans="25:29" x14ac:dyDescent="0.2">
      <c r="Y1366" s="105" t="str">
        <f t="shared" si="55"/>
        <v>1w</v>
      </c>
      <c r="Z1366" s="93">
        <f>_xll.qlCalendarAdvance(Calendar,Z1365,Y1366,"f",FALSE)</f>
        <v>48702</v>
      </c>
      <c r="AA1366" s="117">
        <f>_xll.qlCalendarAdvance(Calendar,Z1366,NDays&amp;"D")</f>
        <v>48704</v>
      </c>
      <c r="AB1366" s="92">
        <v>1.6083638654615855E-2</v>
      </c>
      <c r="AC1366" s="101">
        <v>1.61208084496689E-2</v>
      </c>
    </row>
    <row r="1367" spans="25:29" x14ac:dyDescent="0.2">
      <c r="Y1367" s="105" t="str">
        <f t="shared" si="55"/>
        <v>1w</v>
      </c>
      <c r="Z1367" s="93">
        <f>_xll.qlCalendarAdvance(Calendar,Z1366,Y1367,"f",FALSE)</f>
        <v>48709</v>
      </c>
      <c r="AA1367" s="117">
        <f>_xll.qlCalendarAdvance(Calendar,Z1367,NDays&amp;"D")</f>
        <v>48711</v>
      </c>
      <c r="AB1367" s="92">
        <v>1.6075730760430788E-2</v>
      </c>
      <c r="AC1367" s="101">
        <v>1.6113049838315519E-2</v>
      </c>
    </row>
    <row r="1368" spans="25:29" x14ac:dyDescent="0.2">
      <c r="Y1368" s="105" t="str">
        <f t="shared" si="55"/>
        <v>1w</v>
      </c>
      <c r="Z1368" s="93">
        <f>_xll.qlCalendarAdvance(Calendar,Z1367,Y1368,"f",FALSE)</f>
        <v>48716</v>
      </c>
      <c r="AA1368" s="117">
        <f>_xll.qlCalendarAdvance(Calendar,Z1368,NDays&amp;"D")</f>
        <v>48718</v>
      </c>
      <c r="AB1368" s="92">
        <v>1.6067817289061842E-2</v>
      </c>
      <c r="AC1368" s="101">
        <v>1.6105283417768845E-2</v>
      </c>
    </row>
    <row r="1369" spans="25:29" x14ac:dyDescent="0.2">
      <c r="Y1369" s="105" t="str">
        <f t="shared" si="55"/>
        <v>1w</v>
      </c>
      <c r="Z1369" s="93">
        <f>_xll.qlCalendarAdvance(Calendar,Z1368,Y1369,"f",FALSE)</f>
        <v>48723</v>
      </c>
      <c r="AA1369" s="117">
        <f>_xll.qlCalendarAdvance(Calendar,Z1369,NDays&amp;"D")</f>
        <v>48725</v>
      </c>
      <c r="AB1369" s="92">
        <v>1.6059898411948659E-2</v>
      </c>
      <c r="AC1369" s="101">
        <v>1.6097509357972939E-2</v>
      </c>
    </row>
    <row r="1370" spans="25:29" x14ac:dyDescent="0.2">
      <c r="Y1370" s="105" t="str">
        <f t="shared" si="55"/>
        <v>1w</v>
      </c>
      <c r="Z1370" s="93">
        <f>_xll.qlCalendarAdvance(Calendar,Z1369,Y1370,"f",FALSE)</f>
        <v>48730</v>
      </c>
      <c r="AA1370" s="117">
        <f>_xll.qlCalendarAdvance(Calendar,Z1370,NDays&amp;"D")</f>
        <v>48732</v>
      </c>
      <c r="AB1370" s="92">
        <v>1.6052606755744579E-2</v>
      </c>
      <c r="AC1370" s="101">
        <v>1.608972782903173E-2</v>
      </c>
    </row>
    <row r="1371" spans="25:29" x14ac:dyDescent="0.2">
      <c r="Y1371" s="105" t="str">
        <f t="shared" si="55"/>
        <v>1w</v>
      </c>
      <c r="Z1371" s="93">
        <f>_xll.qlCalendarAdvance(Calendar,Z1370,Y1371,"f",FALSE)</f>
        <v>48737</v>
      </c>
      <c r="AA1371" s="117">
        <f>_xll.qlCalendarAdvance(Calendar,Z1371,NDays&amp;"D")</f>
        <v>48739</v>
      </c>
      <c r="AB1371" s="92">
        <v>1.6044679546532901E-2</v>
      </c>
      <c r="AC1371" s="101">
        <v>1.6081939000889278E-2</v>
      </c>
    </row>
    <row r="1372" spans="25:29" x14ac:dyDescent="0.2">
      <c r="Y1372" s="105" t="str">
        <f t="shared" si="55"/>
        <v>1w</v>
      </c>
      <c r="Z1372" s="93">
        <f>_xll.qlCalendarAdvance(Calendar,Z1371,Y1372,"f",FALSE)</f>
        <v>48744</v>
      </c>
      <c r="AA1372" s="117">
        <f>_xll.qlCalendarAdvance(Calendar,Z1372,NDays&amp;"D")</f>
        <v>48746</v>
      </c>
      <c r="AB1372" s="92">
        <v>1.6036747409285977E-2</v>
      </c>
      <c r="AC1372" s="101">
        <v>1.6074143043409705E-2</v>
      </c>
    </row>
    <row r="1373" spans="25:29" x14ac:dyDescent="0.2">
      <c r="Y1373" s="105" t="str">
        <f t="shared" si="55"/>
        <v>1w</v>
      </c>
      <c r="Z1373" s="93">
        <f>_xll.qlCalendarAdvance(Calendar,Z1372,Y1373,"f",FALSE)</f>
        <v>48751</v>
      </c>
      <c r="AA1373" s="117">
        <f>_xll.qlCalendarAdvance(Calendar,Z1373,NDays&amp;"D")</f>
        <v>48753</v>
      </c>
      <c r="AB1373" s="92">
        <v>1.6028810515410732E-2</v>
      </c>
      <c r="AC1373" s="101">
        <v>1.6066340126617007E-2</v>
      </c>
    </row>
    <row r="1374" spans="25:29" x14ac:dyDescent="0.2">
      <c r="Y1374" s="105" t="str">
        <f t="shared" si="55"/>
        <v>1w</v>
      </c>
      <c r="Z1374" s="93">
        <f>_xll.qlCalendarAdvance(Calendar,Z1373,Y1374,"f",FALSE)</f>
        <v>48758</v>
      </c>
      <c r="AA1374" s="117">
        <f>_xll.qlCalendarAdvance(Calendar,Z1374,NDays&amp;"D")</f>
        <v>48760</v>
      </c>
      <c r="AB1374" s="92">
        <v>1.6020869036311051E-2</v>
      </c>
      <c r="AC1374" s="101">
        <v>1.6058530420535178E-2</v>
      </c>
    </row>
    <row r="1375" spans="25:29" x14ac:dyDescent="0.2">
      <c r="Y1375" s="105" t="str">
        <f t="shared" si="55"/>
        <v>1w</v>
      </c>
      <c r="Z1375" s="93">
        <f>_xll.qlCalendarAdvance(Calendar,Z1374,Y1375,"f",FALSE)</f>
        <v>48765</v>
      </c>
      <c r="AA1375" s="117">
        <f>_xll.qlCalendarAdvance(Calendar,Z1375,NDays&amp;"D")</f>
        <v>48767</v>
      </c>
      <c r="AB1375" s="92">
        <v>1.6012281228999743E-2</v>
      </c>
      <c r="AC1375" s="101">
        <v>1.605071409502834E-2</v>
      </c>
    </row>
    <row r="1376" spans="25:29" x14ac:dyDescent="0.2">
      <c r="Y1376" s="105" t="str">
        <f t="shared" si="55"/>
        <v>1w</v>
      </c>
      <c r="Z1376" s="93">
        <f>_xll.qlCalendarAdvance(Calendar,Z1375,Y1376,"f",FALSE)</f>
        <v>48772</v>
      </c>
      <c r="AA1376" s="117">
        <f>_xll.qlCalendarAdvance(Calendar,Z1376,NDays&amp;"D")</f>
        <v>48774</v>
      </c>
      <c r="AB1376" s="92">
        <v>1.6004329311795466E-2</v>
      </c>
      <c r="AC1376" s="101">
        <v>1.6042891320120489E-2</v>
      </c>
    </row>
    <row r="1377" spans="25:29" x14ac:dyDescent="0.2">
      <c r="Y1377" s="105" t="str">
        <f t="shared" si="55"/>
        <v>1w</v>
      </c>
      <c r="Z1377" s="93">
        <f>_xll.qlCalendarAdvance(Calendar,Z1376,Y1377,"f",FALSE)</f>
        <v>48779</v>
      </c>
      <c r="AA1377" s="117">
        <f>_xll.qlCalendarAdvance(Calendar,Z1377,NDays&amp;"D")</f>
        <v>48781</v>
      </c>
      <c r="AB1377" s="92">
        <v>1.5996373360276372E-2</v>
      </c>
      <c r="AC1377" s="101">
        <v>1.603506226583562E-2</v>
      </c>
    </row>
    <row r="1378" spans="25:29" x14ac:dyDescent="0.2">
      <c r="Y1378" s="105" t="str">
        <f t="shared" si="55"/>
        <v>1w</v>
      </c>
      <c r="Z1378" s="93">
        <f>_xll.qlCalendarAdvance(Calendar,Z1377,Y1378,"f",FALSE)</f>
        <v>48786</v>
      </c>
      <c r="AA1378" s="117">
        <f>_xll.qlCalendarAdvance(Calendar,Z1378,NDays&amp;"D")</f>
        <v>48788</v>
      </c>
      <c r="AB1378" s="92">
        <v>1.5988413545858459E-2</v>
      </c>
      <c r="AC1378" s="101">
        <v>1.6027227102197728E-2</v>
      </c>
    </row>
    <row r="1379" spans="25:29" x14ac:dyDescent="0.2">
      <c r="Y1379" s="105" t="str">
        <f t="shared" si="55"/>
        <v>1w</v>
      </c>
      <c r="Z1379" s="93">
        <f>_xll.qlCalendarAdvance(Calendar,Z1378,Y1379,"f",FALSE)</f>
        <v>48793</v>
      </c>
      <c r="AA1379" s="117">
        <f>_xll.qlCalendarAdvance(Calendar,Z1379,NDays&amp;"D")</f>
        <v>48795</v>
      </c>
      <c r="AB1379" s="92">
        <v>1.598045003995386E-2</v>
      </c>
      <c r="AC1379" s="101">
        <v>1.6019385998911062E-2</v>
      </c>
    </row>
    <row r="1380" spans="25:29" x14ac:dyDescent="0.2">
      <c r="Y1380" s="105" t="str">
        <f t="shared" si="55"/>
        <v>1w</v>
      </c>
      <c r="Z1380" s="93">
        <f>_xll.qlCalendarAdvance(Calendar,Z1379,Y1380,"f",FALSE)</f>
        <v>48800</v>
      </c>
      <c r="AA1380" s="117">
        <f>_xll.qlCalendarAdvance(Calendar,Z1380,NDays&amp;"D")</f>
        <v>48802</v>
      </c>
      <c r="AB1380" s="92">
        <v>1.5972483013974276E-2</v>
      </c>
      <c r="AC1380" s="101">
        <v>1.6011539126159491E-2</v>
      </c>
    </row>
    <row r="1381" spans="25:29" x14ac:dyDescent="0.2">
      <c r="Y1381" s="105" t="str">
        <f t="shared" si="55"/>
        <v>1w</v>
      </c>
      <c r="Z1381" s="93">
        <f>_xll.qlCalendarAdvance(Calendar,Z1380,Y1381,"f",FALSE)</f>
        <v>48807</v>
      </c>
      <c r="AA1381" s="117">
        <f>_xll.qlCalendarAdvance(Calendar,Z1381,NDays&amp;"D")</f>
        <v>48809</v>
      </c>
      <c r="AB1381" s="92">
        <v>1.5964512639327112E-2</v>
      </c>
      <c r="AC1381" s="101">
        <v>1.6003686653887073E-2</v>
      </c>
    </row>
    <row r="1382" spans="25:29" x14ac:dyDescent="0.2">
      <c r="Y1382" s="105" t="str">
        <f t="shared" si="55"/>
        <v>1w</v>
      </c>
      <c r="Z1382" s="93">
        <f>_xll.qlCalendarAdvance(Calendar,Z1381,Y1382,"f",FALSE)</f>
        <v>48814</v>
      </c>
      <c r="AA1382" s="117">
        <f>_xll.qlCalendarAdvance(Calendar,Z1382,NDays&amp;"D")</f>
        <v>48816</v>
      </c>
      <c r="AB1382" s="92">
        <v>1.5956539087416764E-2</v>
      </c>
      <c r="AC1382" s="101">
        <v>1.599582875195793E-2</v>
      </c>
    </row>
    <row r="1383" spans="25:29" x14ac:dyDescent="0.2">
      <c r="Y1383" s="105" t="str">
        <f t="shared" si="55"/>
        <v>1w</v>
      </c>
      <c r="Z1383" s="93">
        <f>_xll.qlCalendarAdvance(Calendar,Z1382,Y1383,"f",FALSE)</f>
        <v>48821</v>
      </c>
      <c r="AA1383" s="117">
        <f>_xll.qlCalendarAdvance(Calendar,Z1383,NDays&amp;"D")</f>
        <v>48823</v>
      </c>
      <c r="AB1383" s="92">
        <v>1.5949654170063755E-2</v>
      </c>
      <c r="AC1383" s="101">
        <v>1.598796559055593E-2</v>
      </c>
    </row>
    <row r="1384" spans="25:29" x14ac:dyDescent="0.2">
      <c r="Y1384" s="105" t="str">
        <f t="shared" si="55"/>
        <v>1w</v>
      </c>
      <c r="Z1384" s="93">
        <f>_xll.qlCalendarAdvance(Calendar,Z1383,Y1384,"f",FALSE)</f>
        <v>48828</v>
      </c>
      <c r="AA1384" s="117">
        <f>_xll.qlCalendarAdvance(Calendar,Z1384,NDays&amp;"D")</f>
        <v>48830</v>
      </c>
      <c r="AB1384" s="92">
        <v>1.5941677262831761E-2</v>
      </c>
      <c r="AC1384" s="101">
        <v>1.5980097339385324E-2</v>
      </c>
    </row>
    <row r="1385" spans="25:29" x14ac:dyDescent="0.2">
      <c r="Y1385" s="105" t="str">
        <f t="shared" si="55"/>
        <v>1w</v>
      </c>
      <c r="Z1385" s="93">
        <f>_xll.qlCalendarAdvance(Calendar,Z1384,Y1385,"f",FALSE)</f>
        <v>48835</v>
      </c>
      <c r="AA1385" s="117">
        <f>_xll.qlCalendarAdvance(Calendar,Z1385,NDays&amp;"D")</f>
        <v>48837</v>
      </c>
      <c r="AB1385" s="92">
        <v>1.5933697631048578E-2</v>
      </c>
      <c r="AC1385" s="101">
        <v>1.5972224168629978E-2</v>
      </c>
    </row>
    <row r="1386" spans="25:29" x14ac:dyDescent="0.2">
      <c r="Y1386" s="105" t="str">
        <f t="shared" si="55"/>
        <v>1w</v>
      </c>
      <c r="Z1386" s="93">
        <f>_xll.qlCalendarAdvance(Calendar,Z1385,Y1386,"f",FALSE)</f>
        <v>48842</v>
      </c>
      <c r="AA1386" s="117">
        <f>_xll.qlCalendarAdvance(Calendar,Z1386,NDays&amp;"D")</f>
        <v>48844</v>
      </c>
      <c r="AB1386" s="92">
        <v>1.5925715446071052E-2</v>
      </c>
      <c r="AC1386" s="101">
        <v>1.5964346248154015E-2</v>
      </c>
    </row>
    <row r="1387" spans="25:29" x14ac:dyDescent="0.2">
      <c r="Y1387" s="105" t="str">
        <f t="shared" si="55"/>
        <v>1w</v>
      </c>
      <c r="Z1387" s="93">
        <f>_xll.qlCalendarAdvance(Calendar,Z1386,Y1387,"f",FALSE)</f>
        <v>48849</v>
      </c>
      <c r="AA1387" s="117">
        <f>_xll.qlCalendarAdvance(Calendar,Z1387,NDays&amp;"D")</f>
        <v>48851</v>
      </c>
      <c r="AB1387" s="92">
        <v>1.591773087925118E-2</v>
      </c>
      <c r="AC1387" s="101">
        <v>1.5956463748061367E-2</v>
      </c>
    </row>
    <row r="1388" spans="25:29" x14ac:dyDescent="0.2">
      <c r="Y1388" s="105" t="str">
        <f t="shared" si="55"/>
        <v>1w</v>
      </c>
      <c r="Z1388" s="93">
        <f>_xll.qlCalendarAdvance(Calendar,Z1387,Y1388,"f",FALSE)</f>
        <v>48856</v>
      </c>
      <c r="AA1388" s="117">
        <f>_xll.qlCalendarAdvance(Calendar,Z1388,NDays&amp;"D")</f>
        <v>48858</v>
      </c>
      <c r="AB1388" s="92">
        <v>1.5909523504174791E-2</v>
      </c>
      <c r="AC1388" s="101">
        <v>1.5948576838136219E-2</v>
      </c>
    </row>
    <row r="1389" spans="25:29" x14ac:dyDescent="0.2">
      <c r="Y1389" s="105" t="str">
        <f t="shared" si="55"/>
        <v>1w</v>
      </c>
      <c r="Z1389" s="93">
        <f>_xll.qlCalendarAdvance(Calendar,Z1388,Y1389,"f",FALSE)</f>
        <v>48863</v>
      </c>
      <c r="AA1389" s="117">
        <f>_xll.qlCalendarAdvance(Calendar,Z1389,NDays&amp;"D")</f>
        <v>48865</v>
      </c>
      <c r="AB1389" s="92">
        <v>1.5901534249947381E-2</v>
      </c>
      <c r="AC1389" s="101">
        <v>1.5940685688402567E-2</v>
      </c>
    </row>
    <row r="1390" spans="25:29" x14ac:dyDescent="0.2">
      <c r="Y1390" s="105" t="str">
        <f t="shared" si="55"/>
        <v>1w</v>
      </c>
      <c r="Z1390" s="93">
        <f>_xll.qlCalendarAdvance(Calendar,Z1389,Y1390,"f",FALSE)</f>
        <v>48870</v>
      </c>
      <c r="AA1390" s="117">
        <f>_xll.qlCalendarAdvance(Calendar,Z1390,NDays&amp;"D")</f>
        <v>48872</v>
      </c>
      <c r="AB1390" s="92">
        <v>1.5893543140256053E-2</v>
      </c>
      <c r="AC1390" s="101">
        <v>1.5932790468884406E-2</v>
      </c>
    </row>
    <row r="1391" spans="25:29" x14ac:dyDescent="0.2">
      <c r="Y1391" s="105" t="str">
        <f t="shared" si="55"/>
        <v>1w</v>
      </c>
      <c r="Z1391" s="93">
        <f>_xll.qlCalendarAdvance(Calendar,Z1390,Y1391,"f",FALSE)</f>
        <v>48877</v>
      </c>
      <c r="AA1391" s="117">
        <f>_xll.qlCalendarAdvance(Calendar,Z1391,NDays&amp;"D")</f>
        <v>48879</v>
      </c>
      <c r="AB1391" s="92">
        <v>1.5885550346449024E-2</v>
      </c>
      <c r="AC1391" s="101">
        <v>1.5924891349525794E-2</v>
      </c>
    </row>
    <row r="1392" spans="25:29" x14ac:dyDescent="0.2">
      <c r="Y1392" s="105" t="str">
        <f t="shared" si="55"/>
        <v>1w</v>
      </c>
      <c r="Z1392" s="93">
        <f>_xll.qlCalendarAdvance(Calendar,Z1391,Y1392,"f",FALSE)</f>
        <v>48884</v>
      </c>
      <c r="AA1392" s="117">
        <f>_xll.qlCalendarAdvance(Calendar,Z1392,NDays&amp;"D")</f>
        <v>48886</v>
      </c>
      <c r="AB1392" s="92">
        <v>1.5877778314709618E-2</v>
      </c>
      <c r="AC1392" s="101">
        <v>1.5916988500350726E-2</v>
      </c>
    </row>
    <row r="1393" spans="25:29" x14ac:dyDescent="0.2">
      <c r="Y1393" s="105" t="str">
        <f t="shared" si="55"/>
        <v>1w</v>
      </c>
      <c r="Z1393" s="93">
        <f>_xll.qlCalendarAdvance(Calendar,Z1392,Y1393,"f",FALSE)</f>
        <v>48891</v>
      </c>
      <c r="AA1393" s="117">
        <f>_xll.qlCalendarAdvance(Calendar,Z1393,NDays&amp;"D")</f>
        <v>48893</v>
      </c>
      <c r="AB1393" s="92">
        <v>1.5869783055110484E-2</v>
      </c>
      <c r="AC1393" s="101">
        <v>1.5909082091223326E-2</v>
      </c>
    </row>
    <row r="1394" spans="25:29" x14ac:dyDescent="0.2">
      <c r="Y1394" s="105" t="str">
        <f t="shared" si="55"/>
        <v>1w</v>
      </c>
      <c r="Z1394" s="93">
        <f>_xll.qlCalendarAdvance(Calendar,Z1393,Y1394,"f",FALSE)</f>
        <v>48898</v>
      </c>
      <c r="AA1394" s="117">
        <f>_xll.qlCalendarAdvance(Calendar,Z1394,NDays&amp;"D")</f>
        <v>48900</v>
      </c>
      <c r="AB1394" s="92">
        <v>1.5861786613068037E-2</v>
      </c>
      <c r="AC1394" s="101">
        <v>1.5901172292167587E-2</v>
      </c>
    </row>
    <row r="1395" spans="25:29" x14ac:dyDescent="0.2">
      <c r="Y1395" s="105" t="str">
        <f t="shared" si="55"/>
        <v>1w</v>
      </c>
      <c r="Z1395" s="93">
        <f>_xll.qlCalendarAdvance(Calendar,Z1394,Y1395,"f",FALSE)</f>
        <v>48905</v>
      </c>
      <c r="AA1395" s="117">
        <f>_xll.qlCalendarAdvance(Calendar,Z1395,NDays&amp;"D")</f>
        <v>48907</v>
      </c>
      <c r="AB1395" s="92">
        <v>1.5853789159912628E-2</v>
      </c>
      <c r="AC1395" s="101">
        <v>1.5893259273127569E-2</v>
      </c>
    </row>
    <row r="1396" spans="25:29" x14ac:dyDescent="0.2">
      <c r="Y1396" s="105" t="str">
        <f t="shared" si="55"/>
        <v>1w</v>
      </c>
      <c r="Z1396" s="93">
        <f>_xll.qlCalendarAdvance(Calendar,Z1395,Y1396,"f",FALSE)</f>
        <v>48912</v>
      </c>
      <c r="AA1396" s="117">
        <f>_xll.qlCalendarAdvance(Calendar,Z1396,NDays&amp;"D")</f>
        <v>48914</v>
      </c>
      <c r="AB1396" s="92">
        <v>1.5845567112752361E-2</v>
      </c>
      <c r="AC1396" s="101">
        <v>1.5885343204127267E-2</v>
      </c>
    </row>
    <row r="1397" spans="25:29" x14ac:dyDescent="0.2">
      <c r="Y1397" s="105" t="str">
        <f t="shared" si="55"/>
        <v>1w</v>
      </c>
      <c r="Z1397" s="93">
        <f>_xll.qlCalendarAdvance(Calendar,Z1396,Y1397,"f",FALSE)</f>
        <v>48919</v>
      </c>
      <c r="AA1397" s="117">
        <f>_xll.qlCalendarAdvance(Calendar,Z1397,NDays&amp;"D")</f>
        <v>48921</v>
      </c>
      <c r="AB1397" s="92">
        <v>1.5837567812453723E-2</v>
      </c>
      <c r="AC1397" s="101">
        <v>1.5877424255030803E-2</v>
      </c>
    </row>
    <row r="1398" spans="25:29" x14ac:dyDescent="0.2">
      <c r="Y1398" s="105" t="str">
        <f t="shared" si="55"/>
        <v>1w</v>
      </c>
      <c r="Z1398" s="93">
        <f>_xll.qlCalendarAdvance(Calendar,Z1397,Y1398,"f",FALSE)</f>
        <v>48926</v>
      </c>
      <c r="AA1398" s="117">
        <f>_xll.qlCalendarAdvance(Calendar,Z1398,NDays&amp;"D")</f>
        <v>48928</v>
      </c>
      <c r="AB1398" s="92">
        <v>1.5829568027414045E-2</v>
      </c>
      <c r="AC1398" s="101">
        <v>1.5869502596101981E-2</v>
      </c>
    </row>
    <row r="1399" spans="25:29" x14ac:dyDescent="0.2">
      <c r="Y1399" s="105" t="str">
        <f t="shared" si="55"/>
        <v>1w</v>
      </c>
      <c r="Z1399" s="93">
        <f>_xll.qlCalendarAdvance(Calendar,Z1398,Y1399,"f",FALSE)</f>
        <v>48933</v>
      </c>
      <c r="AA1399" s="117">
        <f>_xll.qlCalendarAdvance(Calendar,Z1399,NDays&amp;"D")</f>
        <v>48935</v>
      </c>
      <c r="AB1399" s="92">
        <v>1.5821567928960455E-2</v>
      </c>
      <c r="AC1399" s="101">
        <v>1.5861578396885179E-2</v>
      </c>
    </row>
    <row r="1400" spans="25:29" x14ac:dyDescent="0.2">
      <c r="Y1400" s="105" t="str">
        <f t="shared" si="55"/>
        <v>1w</v>
      </c>
      <c r="Z1400" s="93">
        <f>_xll.qlCalendarAdvance(Calendar,Z1399,Y1400,"f",FALSE)</f>
        <v>48940</v>
      </c>
      <c r="AA1400" s="117">
        <f>_xll.qlCalendarAdvance(Calendar,Z1400,NDays&amp;"D")</f>
        <v>48942</v>
      </c>
      <c r="AB1400" s="92">
        <v>1.5813567688419208E-2</v>
      </c>
      <c r="AC1400" s="101">
        <v>1.5853651827564263E-2</v>
      </c>
    </row>
    <row r="1401" spans="25:29" x14ac:dyDescent="0.2">
      <c r="Y1401" s="105" t="str">
        <f t="shared" si="55"/>
        <v>1w</v>
      </c>
      <c r="Z1401" s="93">
        <f>_xll.qlCalendarAdvance(Calendar,Z1400,Y1401,"f",FALSE)</f>
        <v>48947</v>
      </c>
      <c r="AA1401" s="117">
        <f>_xll.qlCalendarAdvance(Calendar,Z1401,NDays&amp;"D")</f>
        <v>48949</v>
      </c>
      <c r="AB1401" s="92">
        <v>1.5805792801861344E-2</v>
      </c>
      <c r="AC1401" s="101">
        <v>1.5845723058243166E-2</v>
      </c>
    </row>
    <row r="1402" spans="25:29" x14ac:dyDescent="0.2">
      <c r="Y1402" s="105" t="str">
        <f t="shared" si="55"/>
        <v>1w</v>
      </c>
      <c r="Z1402" s="93">
        <f>_xll.qlCalendarAdvance(Calendar,Z1401,Y1402,"f",FALSE)</f>
        <v>48954</v>
      </c>
      <c r="AA1402" s="117">
        <f>_xll.qlCalendarAdvance(Calendar,Z1402,NDays&amp;"D")</f>
        <v>48956</v>
      </c>
      <c r="AB1402" s="92">
        <v>1.5797793067979168E-2</v>
      </c>
      <c r="AC1402" s="101">
        <v>1.5837792258706074E-2</v>
      </c>
    </row>
    <row r="1403" spans="25:29" x14ac:dyDescent="0.2">
      <c r="Y1403" s="105" t="str">
        <f t="shared" si="55"/>
        <v>1w</v>
      </c>
      <c r="Z1403" s="93">
        <f>_xll.qlCalendarAdvance(Calendar,Z1402,Y1403,"f",FALSE)</f>
        <v>48961</v>
      </c>
      <c r="AA1403" s="117">
        <f>_xll.qlCalendarAdvance(Calendar,Z1403,NDays&amp;"D")</f>
        <v>48963</v>
      </c>
      <c r="AB1403" s="92">
        <v>1.5789793693539854E-2</v>
      </c>
      <c r="AC1403" s="101">
        <v>1.5829859598897045E-2</v>
      </c>
    </row>
    <row r="1404" spans="25:29" x14ac:dyDescent="0.2">
      <c r="Y1404" s="105" t="str">
        <f t="shared" si="55"/>
        <v>1w</v>
      </c>
      <c r="Z1404" s="93">
        <f>_xll.qlCalendarAdvance(Calendar,Z1403,Y1404,"f",FALSE)</f>
        <v>48968</v>
      </c>
      <c r="AA1404" s="117">
        <f>_xll.qlCalendarAdvance(Calendar,Z1404,NDays&amp;"D")</f>
        <v>48970</v>
      </c>
      <c r="AB1404" s="92">
        <v>1.5781794849850792E-2</v>
      </c>
      <c r="AC1404" s="101">
        <v>1.582192524892001E-2</v>
      </c>
    </row>
    <row r="1405" spans="25:29" x14ac:dyDescent="0.2">
      <c r="Y1405" s="105" t="str">
        <f t="shared" si="55"/>
        <v>1w</v>
      </c>
      <c r="Z1405" s="93">
        <f>_xll.qlCalendarAdvance(Calendar,Z1404,Y1405,"f",FALSE)</f>
        <v>48975</v>
      </c>
      <c r="AA1405" s="117">
        <f>_xll.qlCalendarAdvance(Calendar,Z1405,NDays&amp;"D")</f>
        <v>48977</v>
      </c>
      <c r="AB1405" s="92">
        <v>1.5773796708215392E-2</v>
      </c>
      <c r="AC1405" s="101">
        <v>1.5813989378639093E-2</v>
      </c>
    </row>
    <row r="1406" spans="25:29" x14ac:dyDescent="0.2">
      <c r="Y1406" s="105" t="str">
        <f t="shared" si="55"/>
        <v>1w</v>
      </c>
      <c r="Z1406" s="93">
        <f>_xll.qlCalendarAdvance(Calendar,Z1405,Y1406,"f",FALSE)</f>
        <v>48982</v>
      </c>
      <c r="AA1406" s="117">
        <f>_xll.qlCalendarAdvance(Calendar,Z1406,NDays&amp;"D")</f>
        <v>48984</v>
      </c>
      <c r="AB1406" s="92">
        <v>1.5765799439936189E-2</v>
      </c>
      <c r="AC1406" s="101">
        <v>1.5806052158158224E-2</v>
      </c>
    </row>
    <row r="1407" spans="25:29" x14ac:dyDescent="0.2">
      <c r="Y1407" s="105" t="str">
        <f t="shared" si="55"/>
        <v>1w</v>
      </c>
      <c r="Z1407" s="93">
        <f>_xll.qlCalendarAdvance(Calendar,Z1406,Y1407,"f",FALSE)</f>
        <v>48989</v>
      </c>
      <c r="AA1407" s="117">
        <f>_xll.qlCalendarAdvance(Calendar,Z1407,NDays&amp;"D")</f>
        <v>48991</v>
      </c>
      <c r="AB1407" s="92">
        <v>1.5757803216311733E-2</v>
      </c>
      <c r="AC1407" s="101">
        <v>1.5798113757261589E-2</v>
      </c>
    </row>
    <row r="1408" spans="25:29" x14ac:dyDescent="0.2">
      <c r="Y1408" s="105" t="str">
        <f t="shared" si="55"/>
        <v>1w</v>
      </c>
      <c r="Z1408" s="93">
        <f>_xll.qlCalendarAdvance(Calendar,Z1407,Y1408,"f",FALSE)</f>
        <v>48996</v>
      </c>
      <c r="AA1408" s="117">
        <f>_xll.qlCalendarAdvance(Calendar,Z1408,NDays&amp;"D")</f>
        <v>48998</v>
      </c>
      <c r="AB1408" s="92">
        <v>1.574980820863793E-2</v>
      </c>
      <c r="AC1408" s="101">
        <v>1.5790174346133057E-2</v>
      </c>
    </row>
    <row r="1409" spans="25:29" x14ac:dyDescent="0.2">
      <c r="Y1409" s="105" t="str">
        <f t="shared" si="55"/>
        <v>1w</v>
      </c>
      <c r="Z1409" s="93">
        <f>_xll.qlCalendarAdvance(Calendar,Z1408,Y1409,"f",FALSE)</f>
        <v>49003</v>
      </c>
      <c r="AA1409" s="117">
        <f>_xll.qlCalendarAdvance(Calendar,Z1409,NDays&amp;"D")</f>
        <v>49005</v>
      </c>
      <c r="AB1409" s="92">
        <v>1.5740678417811533E-2</v>
      </c>
      <c r="AC1409" s="101">
        <v>1.5782234094476877E-2</v>
      </c>
    </row>
    <row r="1410" spans="25:29" x14ac:dyDescent="0.2">
      <c r="Y1410" s="105" t="str">
        <f t="shared" si="55"/>
        <v>1w</v>
      </c>
      <c r="Z1410" s="93">
        <f>_xll.qlCalendarAdvance(Calendar,Z1409,Y1410,"f",FALSE)</f>
        <v>49010</v>
      </c>
      <c r="AA1410" s="117">
        <f>_xll.qlCalendarAdvance(Calendar,Z1410,NDays&amp;"D")</f>
        <v>49012</v>
      </c>
      <c r="AB1410" s="92">
        <v>1.5732685481616902E-2</v>
      </c>
      <c r="AC1410" s="101">
        <v>1.5774293172556852E-2</v>
      </c>
    </row>
    <row r="1411" spans="25:29" x14ac:dyDescent="0.2">
      <c r="Y1411" s="105" t="str">
        <f t="shared" si="55"/>
        <v>1w</v>
      </c>
      <c r="Z1411" s="93">
        <f>_xll.qlCalendarAdvance(Calendar,Z1410,Y1411,"f",FALSE)</f>
        <v>49017</v>
      </c>
      <c r="AA1411" s="117">
        <f>_xll.qlCalendarAdvance(Calendar,Z1411,NDays&amp;"D")</f>
        <v>49019</v>
      </c>
      <c r="AB1411" s="92">
        <v>1.5724694337686241E-2</v>
      </c>
      <c r="AC1411" s="101">
        <v>1.5766351750077234E-2</v>
      </c>
    </row>
    <row r="1412" spans="25:29" x14ac:dyDescent="0.2">
      <c r="Y1412" s="105" t="str">
        <f t="shared" si="55"/>
        <v>1w</v>
      </c>
      <c r="Z1412" s="93">
        <f>_xll.qlCalendarAdvance(Calendar,Z1411,Y1412,"f",FALSE)</f>
        <v>49024</v>
      </c>
      <c r="AA1412" s="117">
        <f>_xll.qlCalendarAdvance(Calendar,Z1412,NDays&amp;"D")</f>
        <v>49026</v>
      </c>
      <c r="AB1412" s="92">
        <v>1.5716705157340572E-2</v>
      </c>
      <c r="AC1412" s="101">
        <v>1.5758409997221889E-2</v>
      </c>
    </row>
    <row r="1413" spans="25:29" x14ac:dyDescent="0.2">
      <c r="Y1413" s="105" t="str">
        <f t="shared" si="55"/>
        <v>1w</v>
      </c>
      <c r="Z1413" s="93">
        <f>_xll.qlCalendarAdvance(Calendar,Z1412,Y1413,"f",FALSE)</f>
        <v>49031</v>
      </c>
      <c r="AA1413" s="117">
        <f>_xll.qlCalendarAdvance(Calendar,Z1413,NDays&amp;"D")</f>
        <v>49033</v>
      </c>
      <c r="AB1413" s="92">
        <v>1.570940173729949E-2</v>
      </c>
      <c r="AC1413" s="101">
        <v>1.5750468083775004E-2</v>
      </c>
    </row>
    <row r="1414" spans="25:29" x14ac:dyDescent="0.2">
      <c r="Y1414" s="105" t="str">
        <f t="shared" si="55"/>
        <v>1w</v>
      </c>
      <c r="Z1414" s="93">
        <f>_xll.qlCalendarAdvance(Calendar,Z1413,Y1414,"f",FALSE)</f>
        <v>49038</v>
      </c>
      <c r="AA1414" s="117">
        <f>_xll.qlCalendarAdvance(Calendar,Z1414,NDays&amp;"D")</f>
        <v>49040</v>
      </c>
      <c r="AB1414" s="92">
        <v>1.5701417369083728E-2</v>
      </c>
      <c r="AC1414" s="101">
        <v>1.5741633575402147E-2</v>
      </c>
    </row>
    <row r="1415" spans="25:29" x14ac:dyDescent="0.2">
      <c r="Y1415" s="105" t="str">
        <f t="shared" si="55"/>
        <v>1w</v>
      </c>
      <c r="Z1415" s="93">
        <f>_xll.qlCalendarAdvance(Calendar,Z1414,Y1415,"f",FALSE)</f>
        <v>49045</v>
      </c>
      <c r="AA1415" s="117">
        <f>_xll.qlCalendarAdvance(Calendar,Z1415,NDays&amp;"D")</f>
        <v>49047</v>
      </c>
      <c r="AB1415" s="92">
        <v>1.5693435440845796E-2</v>
      </c>
      <c r="AC1415" s="101">
        <v>1.5734584455442402E-2</v>
      </c>
    </row>
    <row r="1416" spans="25:29" x14ac:dyDescent="0.2">
      <c r="Y1416" s="105" t="str">
        <f t="shared" si="55"/>
        <v>1w</v>
      </c>
      <c r="Z1416" s="93">
        <f>_xll.qlCalendarAdvance(Calendar,Z1415,Y1416,"f",FALSE)</f>
        <v>49052</v>
      </c>
      <c r="AA1416" s="117">
        <f>_xll.qlCalendarAdvance(Calendar,Z1416,NDays&amp;"D")</f>
        <v>49054</v>
      </c>
      <c r="AB1416" s="92">
        <v>1.5685456123873391E-2</v>
      </c>
      <c r="AC1416" s="101">
        <v>1.5726643080364866E-2</v>
      </c>
    </row>
    <row r="1417" spans="25:29" x14ac:dyDescent="0.2">
      <c r="Y1417" s="105" t="str">
        <f t="shared" si="55"/>
        <v>1w</v>
      </c>
      <c r="Z1417" s="93">
        <f>_xll.qlCalendarAdvance(Calendar,Z1416,Y1417,"f",FALSE)</f>
        <v>49059</v>
      </c>
      <c r="AA1417" s="117">
        <f>_xll.qlCalendarAdvance(Calendar,Z1417,NDays&amp;"D")</f>
        <v>49061</v>
      </c>
      <c r="AB1417" s="92">
        <v>1.5677479589452877E-2</v>
      </c>
      <c r="AC1417" s="101">
        <v>1.571870222479177E-2</v>
      </c>
    </row>
    <row r="1418" spans="25:29" x14ac:dyDescent="0.2">
      <c r="Y1418" s="105" t="str">
        <f t="shared" si="55"/>
        <v>1w</v>
      </c>
      <c r="Z1418" s="93">
        <f>_xll.qlCalendarAdvance(Calendar,Z1417,Y1418,"f",FALSE)</f>
        <v>49066</v>
      </c>
      <c r="AA1418" s="117">
        <f>_xll.qlCalendarAdvance(Calendar,Z1418,NDays&amp;"D")</f>
        <v>49068</v>
      </c>
      <c r="AB1418" s="92">
        <v>1.5668820904164223E-2</v>
      </c>
      <c r="AC1418" s="101">
        <v>1.5710762058347427E-2</v>
      </c>
    </row>
    <row r="1419" spans="25:29" x14ac:dyDescent="0.2">
      <c r="Y1419" s="105" t="str">
        <f t="shared" si="55"/>
        <v>1w</v>
      </c>
      <c r="Z1419" s="93">
        <f>_xll.qlCalendarAdvance(Calendar,Z1418,Y1419,"f",FALSE)</f>
        <v>49073</v>
      </c>
      <c r="AA1419" s="117">
        <f>_xll.qlCalendarAdvance(Calendar,Z1419,NDays&amp;"D")</f>
        <v>49075</v>
      </c>
      <c r="AB1419" s="92">
        <v>1.5660850265662312E-2</v>
      </c>
      <c r="AC1419" s="101">
        <v>1.5702822751375578E-2</v>
      </c>
    </row>
    <row r="1420" spans="25:29" x14ac:dyDescent="0.2">
      <c r="Y1420" s="105" t="str">
        <f t="shared" si="55"/>
        <v>1w</v>
      </c>
      <c r="Z1420" s="93">
        <f>_xll.qlCalendarAdvance(Calendar,Z1419,Y1420,"f",FALSE)</f>
        <v>49080</v>
      </c>
      <c r="AA1420" s="117">
        <f>_xll.qlCalendarAdvance(Calendar,Z1420,NDays&amp;"D")</f>
        <v>49082</v>
      </c>
      <c r="AB1420" s="92">
        <v>1.5652882961211721E-2</v>
      </c>
      <c r="AC1420" s="101">
        <v>1.5694884473660409E-2</v>
      </c>
    </row>
    <row r="1421" spans="25:29" x14ac:dyDescent="0.2">
      <c r="Y1421" s="105" t="str">
        <f t="shared" si="55"/>
        <v>1w</v>
      </c>
      <c r="Z1421" s="93">
        <f>_xll.qlCalendarAdvance(Calendar,Z1420,Y1421,"f",FALSE)</f>
        <v>49087</v>
      </c>
      <c r="AA1421" s="117">
        <f>_xll.qlCalendarAdvance(Calendar,Z1421,NDays&amp;"D")</f>
        <v>49089</v>
      </c>
      <c r="AB1421" s="92">
        <v>1.5644919162107678E-2</v>
      </c>
      <c r="AC1421" s="101">
        <v>1.5686947395145978E-2</v>
      </c>
    </row>
    <row r="1422" spans="25:29" x14ac:dyDescent="0.2">
      <c r="Y1422" s="105" t="str">
        <f t="shared" si="55"/>
        <v>1w</v>
      </c>
      <c r="Z1422" s="93">
        <f>_xll.qlCalendarAdvance(Calendar,Z1421,Y1422,"f",FALSE)</f>
        <v>49094</v>
      </c>
      <c r="AA1422" s="117">
        <f>_xll.qlCalendarAdvance(Calendar,Z1422,NDays&amp;"D")</f>
        <v>49096</v>
      </c>
      <c r="AB1422" s="92">
        <v>1.5637644650433803E-2</v>
      </c>
      <c r="AC1422" s="101">
        <v>1.5679011686016153E-2</v>
      </c>
    </row>
    <row r="1423" spans="25:29" x14ac:dyDescent="0.2">
      <c r="Y1423" s="105" t="str">
        <f t="shared" si="55"/>
        <v>1w</v>
      </c>
      <c r="Z1423" s="93">
        <f>_xll.qlCalendarAdvance(Calendar,Z1422,Y1423,"f",FALSE)</f>
        <v>49101</v>
      </c>
      <c r="AA1423" s="117">
        <f>_xll.qlCalendarAdvance(Calendar,Z1423,NDays&amp;"D")</f>
        <v>49103</v>
      </c>
      <c r="AB1423" s="92">
        <v>1.5629688408169879E-2</v>
      </c>
      <c r="AC1423" s="101">
        <v>1.5671077516055121E-2</v>
      </c>
    </row>
    <row r="1424" spans="25:29" x14ac:dyDescent="0.2">
      <c r="Y1424" s="105" t="str">
        <f t="shared" si="55"/>
        <v>1w</v>
      </c>
      <c r="Z1424" s="93">
        <f>_xll.qlCalendarAdvance(Calendar,Z1423,Y1424,"f",FALSE)</f>
        <v>49108</v>
      </c>
      <c r="AA1424" s="117">
        <f>_xll.qlCalendarAdvance(Calendar,Z1424,NDays&amp;"D")</f>
        <v>49110</v>
      </c>
      <c r="AB1424" s="92">
        <v>1.5621736147380775E-2</v>
      </c>
      <c r="AC1424" s="101">
        <v>1.5663145055127004E-2</v>
      </c>
    </row>
    <row r="1425" spans="25:29" x14ac:dyDescent="0.2">
      <c r="Y1425" s="105" t="str">
        <f t="shared" si="55"/>
        <v>1w</v>
      </c>
      <c r="Z1425" s="93">
        <f>_xll.qlCalendarAdvance(Calendar,Z1424,Y1425,"f",FALSE)</f>
        <v>49115</v>
      </c>
      <c r="AA1425" s="117">
        <f>_xll.qlCalendarAdvance(Calendar,Z1425,NDays&amp;"D")</f>
        <v>49117</v>
      </c>
      <c r="AB1425" s="92">
        <v>1.5613788039331026E-2</v>
      </c>
      <c r="AC1425" s="101">
        <v>1.5655214473415668E-2</v>
      </c>
    </row>
    <row r="1426" spans="25:29" x14ac:dyDescent="0.2">
      <c r="Y1426" s="105" t="str">
        <f t="shared" si="55"/>
        <v>1w</v>
      </c>
      <c r="Z1426" s="93">
        <f>_xll.qlCalendarAdvance(Calendar,Z1425,Y1426,"f",FALSE)</f>
        <v>49122</v>
      </c>
      <c r="AA1426" s="117">
        <f>_xll.qlCalendarAdvance(Calendar,Z1426,NDays&amp;"D")</f>
        <v>49124</v>
      </c>
      <c r="AB1426" s="92">
        <v>1.560584425528036E-2</v>
      </c>
      <c r="AC1426" s="101">
        <v>1.5647285940785238E-2</v>
      </c>
    </row>
    <row r="1427" spans="25:29" x14ac:dyDescent="0.2">
      <c r="Y1427" s="105" t="str">
        <f t="shared" si="55"/>
        <v>1w</v>
      </c>
      <c r="Z1427" s="93">
        <f>_xll.qlCalendarAdvance(Calendar,Z1426,Y1427,"f",FALSE)</f>
        <v>49129</v>
      </c>
      <c r="AA1427" s="117">
        <f>_xll.qlCalendarAdvance(Calendar,Z1427,NDays&amp;"D")</f>
        <v>49131</v>
      </c>
      <c r="AB1427" s="92">
        <v>1.5597219571985206E-2</v>
      </c>
      <c r="AC1427" s="101">
        <v>1.5639359627259708E-2</v>
      </c>
    </row>
    <row r="1428" spans="25:29" x14ac:dyDescent="0.2">
      <c r="Y1428" s="105" t="str">
        <f t="shared" si="55"/>
        <v>1w</v>
      </c>
      <c r="Z1428" s="93">
        <f>_xll.qlCalendarAdvance(Calendar,Z1427,Y1428,"f",FALSE)</f>
        <v>49136</v>
      </c>
      <c r="AA1428" s="117">
        <f>_xll.qlCalendarAdvance(Calendar,Z1428,NDays&amp;"D")</f>
        <v>49138</v>
      </c>
      <c r="AB1428" s="92">
        <v>1.5589285106359176E-2</v>
      </c>
      <c r="AC1428" s="101">
        <v>1.5631435702863072E-2</v>
      </c>
    </row>
    <row r="1429" spans="25:29" x14ac:dyDescent="0.2">
      <c r="Y1429" s="105" t="str">
        <f t="shared" ref="Y1429:Y1492" si="56">Y1428</f>
        <v>1w</v>
      </c>
      <c r="Z1429" s="93">
        <f>_xll.qlCalendarAdvance(Calendar,Z1428,Y1429,"f",FALSE)</f>
        <v>49143</v>
      </c>
      <c r="AA1429" s="117">
        <f>_xll.qlCalendarAdvance(Calendar,Z1429,NDays&amp;"D")</f>
        <v>49145</v>
      </c>
      <c r="AB1429" s="92">
        <v>1.5581355516346177E-2</v>
      </c>
      <c r="AC1429" s="101">
        <v>1.5623514337379518E-2</v>
      </c>
    </row>
    <row r="1430" spans="25:29" x14ac:dyDescent="0.2">
      <c r="Y1430" s="105" t="str">
        <f t="shared" si="56"/>
        <v>1w</v>
      </c>
      <c r="Z1430" s="93">
        <f>_xll.qlCalendarAdvance(Calendar,Z1429,Y1430,"f",FALSE)</f>
        <v>49150</v>
      </c>
      <c r="AA1430" s="117">
        <f>_xll.qlCalendarAdvance(Calendar,Z1430,NDays&amp;"D")</f>
        <v>49152</v>
      </c>
      <c r="AB1430" s="92">
        <v>1.5573430973216949E-2</v>
      </c>
      <c r="AC1430" s="101">
        <v>1.5615595700992912E-2</v>
      </c>
    </row>
    <row r="1431" spans="25:29" x14ac:dyDescent="0.2">
      <c r="Y1431" s="105" t="str">
        <f t="shared" si="56"/>
        <v>1w</v>
      </c>
      <c r="Z1431" s="93">
        <f>_xll.qlCalendarAdvance(Calendar,Z1430,Y1431,"f",FALSE)</f>
        <v>49157</v>
      </c>
      <c r="AA1431" s="117">
        <f>_xll.qlCalendarAdvance(Calendar,Z1431,NDays&amp;"D")</f>
        <v>49159</v>
      </c>
      <c r="AB1431" s="92">
        <v>1.5565511648240512E-2</v>
      </c>
      <c r="AC1431" s="101">
        <v>1.5607679963407506E-2</v>
      </c>
    </row>
    <row r="1432" spans="25:29" x14ac:dyDescent="0.2">
      <c r="Y1432" s="105" t="str">
        <f t="shared" si="56"/>
        <v>1w</v>
      </c>
      <c r="Z1432" s="93">
        <f>_xll.qlCalendarAdvance(Calendar,Z1431,Y1432,"f",FALSE)</f>
        <v>49164</v>
      </c>
      <c r="AA1432" s="117">
        <f>_xll.qlCalendarAdvance(Calendar,Z1432,NDays&amp;"D")</f>
        <v>49166</v>
      </c>
      <c r="AB1432" s="92">
        <v>1.5557597712681592E-2</v>
      </c>
      <c r="AC1432" s="101">
        <v>1.5599767294887101E-2</v>
      </c>
    </row>
    <row r="1433" spans="25:29" x14ac:dyDescent="0.2">
      <c r="Y1433" s="105" t="str">
        <f t="shared" si="56"/>
        <v>1w</v>
      </c>
      <c r="Z1433" s="93">
        <f>_xll.qlCalendarAdvance(Calendar,Z1432,Y1433,"f",FALSE)</f>
        <v>49171</v>
      </c>
      <c r="AA1433" s="117">
        <f>_xll.qlCalendarAdvance(Calendar,Z1433,NDays&amp;"D")</f>
        <v>49173</v>
      </c>
      <c r="AB1433" s="92">
        <v>1.5549689337803188E-2</v>
      </c>
      <c r="AC1433" s="101">
        <v>1.559185786513595E-2</v>
      </c>
    </row>
    <row r="1434" spans="25:29" x14ac:dyDescent="0.2">
      <c r="Y1434" s="105" t="str">
        <f t="shared" si="56"/>
        <v>1w</v>
      </c>
      <c r="Z1434" s="93">
        <f>_xll.qlCalendarAdvance(Calendar,Z1433,Y1434,"f",FALSE)</f>
        <v>49178</v>
      </c>
      <c r="AA1434" s="117">
        <f>_xll.qlCalendarAdvance(Calendar,Z1434,NDays&amp;"D")</f>
        <v>49180</v>
      </c>
      <c r="AB1434" s="92">
        <v>1.5541786694864869E-2</v>
      </c>
      <c r="AC1434" s="101">
        <v>1.5583951844337918E-2</v>
      </c>
    </row>
    <row r="1435" spans="25:29" x14ac:dyDescent="0.2">
      <c r="Y1435" s="105" t="str">
        <f t="shared" si="56"/>
        <v>1w</v>
      </c>
      <c r="Z1435" s="93">
        <f>_xll.qlCalendarAdvance(Calendar,Z1434,Y1435,"f",FALSE)</f>
        <v>49185</v>
      </c>
      <c r="AA1435" s="117">
        <f>_xll.qlCalendarAdvance(Calendar,Z1435,NDays&amp;"D")</f>
        <v>49187</v>
      </c>
      <c r="AB1435" s="92">
        <v>1.5535028472249827E-2</v>
      </c>
      <c r="AC1435" s="101">
        <v>1.5576049402437064E-2</v>
      </c>
    </row>
    <row r="1436" spans="25:29" x14ac:dyDescent="0.2">
      <c r="Y1436" s="105" t="str">
        <f t="shared" si="56"/>
        <v>1w</v>
      </c>
      <c r="Z1436" s="93">
        <f>_xll.qlCalendarAdvance(Calendar,Z1435,Y1436,"f",FALSE)</f>
        <v>49192</v>
      </c>
      <c r="AA1436" s="117">
        <f>_xll.qlCalendarAdvance(Calendar,Z1436,NDays&amp;"D")</f>
        <v>49194</v>
      </c>
      <c r="AB1436" s="92">
        <v>1.5527137046385234E-2</v>
      </c>
      <c r="AC1436" s="101">
        <v>1.5568150709217576E-2</v>
      </c>
    </row>
    <row r="1437" spans="25:29" x14ac:dyDescent="0.2">
      <c r="Y1437" s="105" t="str">
        <f t="shared" si="56"/>
        <v>1w</v>
      </c>
      <c r="Z1437" s="93">
        <f>_xll.qlCalendarAdvance(Calendar,Z1436,Y1437,"f",FALSE)</f>
        <v>49199</v>
      </c>
      <c r="AA1437" s="117">
        <f>_xll.qlCalendarAdvance(Calendar,Z1437,NDays&amp;"D")</f>
        <v>49201</v>
      </c>
      <c r="AB1437" s="92">
        <v>1.5519251802879575E-2</v>
      </c>
      <c r="AC1437" s="101">
        <v>1.5560255934863321E-2</v>
      </c>
    </row>
    <row r="1438" spans="25:29" x14ac:dyDescent="0.2">
      <c r="Y1438" s="105" t="str">
        <f t="shared" si="56"/>
        <v>1w</v>
      </c>
      <c r="Z1438" s="93">
        <f>_xll.qlCalendarAdvance(Calendar,Z1437,Y1438,"f",FALSE)</f>
        <v>49206</v>
      </c>
      <c r="AA1438" s="117">
        <f>_xll.qlCalendarAdvance(Calendar,Z1438,NDays&amp;"D")</f>
        <v>49208</v>
      </c>
      <c r="AB1438" s="92">
        <v>1.5511372912947935E-2</v>
      </c>
      <c r="AC1438" s="101">
        <v>1.555236524923842E-2</v>
      </c>
    </row>
    <row r="1439" spans="25:29" x14ac:dyDescent="0.2">
      <c r="Y1439" s="105" t="str">
        <f t="shared" si="56"/>
        <v>1w</v>
      </c>
      <c r="Z1439" s="93">
        <f>_xll.qlCalendarAdvance(Calendar,Z1438,Y1439,"f",FALSE)</f>
        <v>49213</v>
      </c>
      <c r="AA1439" s="117">
        <f>_xll.qlCalendarAdvance(Calendar,Z1439,NDays&amp;"D")</f>
        <v>49215</v>
      </c>
      <c r="AB1439" s="92">
        <v>1.5503500547803195E-2</v>
      </c>
      <c r="AC1439" s="101">
        <v>1.5544478822286933E-2</v>
      </c>
    </row>
    <row r="1440" spans="25:29" x14ac:dyDescent="0.2">
      <c r="Y1440" s="105" t="str">
        <f t="shared" si="56"/>
        <v>1w</v>
      </c>
      <c r="Z1440" s="93">
        <f>_xll.qlCalendarAdvance(Calendar,Z1439,Y1440,"f",FALSE)</f>
        <v>49220</v>
      </c>
      <c r="AA1440" s="117">
        <f>_xll.qlCalendarAdvance(Calendar,Z1440,NDays&amp;"D")</f>
        <v>49222</v>
      </c>
      <c r="AB1440" s="92">
        <v>1.5495408030574722E-2</v>
      </c>
      <c r="AC1440" s="101">
        <v>1.5536596824032856E-2</v>
      </c>
    </row>
    <row r="1441" spans="25:29" x14ac:dyDescent="0.2">
      <c r="Y1441" s="105" t="str">
        <f t="shared" si="56"/>
        <v>1w</v>
      </c>
      <c r="Z1441" s="93">
        <f>_xll.qlCalendarAdvance(Calendar,Z1440,Y1441,"f",FALSE)</f>
        <v>49227</v>
      </c>
      <c r="AA1441" s="117">
        <f>_xll.qlCalendarAdvance(Calendar,Z1441,NDays&amp;"D")</f>
        <v>49229</v>
      </c>
      <c r="AB1441" s="92">
        <v>1.5487549441714189E-2</v>
      </c>
      <c r="AC1441" s="101">
        <v>1.5528719424420245E-2</v>
      </c>
    </row>
    <row r="1442" spans="25:29" x14ac:dyDescent="0.2">
      <c r="Y1442" s="105" t="str">
        <f t="shared" si="56"/>
        <v>1w</v>
      </c>
      <c r="Z1442" s="93">
        <f>_xll.qlCalendarAdvance(Calendar,Z1441,Y1442,"f",FALSE)</f>
        <v>49234</v>
      </c>
      <c r="AA1442" s="117">
        <f>_xll.qlCalendarAdvance(Calendar,Z1442,NDays&amp;"D")</f>
        <v>49236</v>
      </c>
      <c r="AB1442" s="92">
        <v>1.5479697903963682E-2</v>
      </c>
      <c r="AC1442" s="101">
        <v>1.5520846793473098E-2</v>
      </c>
    </row>
    <row r="1443" spans="25:29" x14ac:dyDescent="0.2">
      <c r="Y1443" s="105" t="str">
        <f t="shared" si="56"/>
        <v>1w</v>
      </c>
      <c r="Z1443" s="93">
        <f>_xll.qlCalendarAdvance(Calendar,Z1442,Y1443,"f",FALSE)</f>
        <v>49241</v>
      </c>
      <c r="AA1443" s="117">
        <f>_xll.qlCalendarAdvance(Calendar,Z1443,NDays&amp;"D")</f>
        <v>49243</v>
      </c>
      <c r="AB1443" s="92">
        <v>1.5471853588531303E-2</v>
      </c>
      <c r="AC1443" s="101">
        <v>1.5512979101135471E-2</v>
      </c>
    </row>
    <row r="1444" spans="25:29" x14ac:dyDescent="0.2">
      <c r="Y1444" s="105" t="str">
        <f t="shared" si="56"/>
        <v>1w</v>
      </c>
      <c r="Z1444" s="93">
        <f>_xll.qlCalendarAdvance(Calendar,Z1443,Y1444,"f",FALSE)</f>
        <v>49248</v>
      </c>
      <c r="AA1444" s="117">
        <f>_xll.qlCalendarAdvance(Calendar,Z1444,NDays&amp;"D")</f>
        <v>49250</v>
      </c>
      <c r="AB1444" s="92">
        <v>1.5464242586138948E-2</v>
      </c>
      <c r="AC1444" s="101">
        <v>1.5505116517351425E-2</v>
      </c>
    </row>
    <row r="1445" spans="25:29" x14ac:dyDescent="0.2">
      <c r="Y1445" s="105" t="str">
        <f t="shared" si="56"/>
        <v>1w</v>
      </c>
      <c r="Z1445" s="93">
        <f>_xll.qlCalendarAdvance(Calendar,Z1444,Y1445,"f",FALSE)</f>
        <v>49255</v>
      </c>
      <c r="AA1445" s="117">
        <f>_xll.qlCalendarAdvance(Calendar,Z1445,NDays&amp;"D")</f>
        <v>49257</v>
      </c>
      <c r="AB1445" s="92">
        <v>1.5456412965032792E-2</v>
      </c>
      <c r="AC1445" s="101">
        <v>1.5497259212065018E-2</v>
      </c>
    </row>
    <row r="1446" spans="25:29" x14ac:dyDescent="0.2">
      <c r="Y1446" s="105" t="str">
        <f t="shared" si="56"/>
        <v>1w</v>
      </c>
      <c r="Z1446" s="93">
        <f>_xll.qlCalendarAdvance(Calendar,Z1445,Y1446,"f",FALSE)</f>
        <v>49262</v>
      </c>
      <c r="AA1446" s="117">
        <f>_xll.qlCalendarAdvance(Calendar,Z1446,NDays&amp;"D")</f>
        <v>49264</v>
      </c>
      <c r="AB1446" s="92">
        <v>1.5448591067818439E-2</v>
      </c>
      <c r="AC1446" s="101">
        <v>1.5489407355300244E-2</v>
      </c>
    </row>
    <row r="1447" spans="25:29" x14ac:dyDescent="0.2">
      <c r="Y1447" s="105" t="str">
        <f t="shared" si="56"/>
        <v>1w</v>
      </c>
      <c r="Z1447" s="93">
        <f>_xll.qlCalendarAdvance(Calendar,Z1446,Y1447,"f",FALSE)</f>
        <v>49269</v>
      </c>
      <c r="AA1447" s="117">
        <f>_xll.qlCalendarAdvance(Calendar,Z1447,NDays&amp;"D")</f>
        <v>49271</v>
      </c>
      <c r="AB1447" s="92">
        <v>1.5440777126469445E-2</v>
      </c>
      <c r="AC1447" s="101">
        <v>1.5481561117001164E-2</v>
      </c>
    </row>
    <row r="1448" spans="25:29" x14ac:dyDescent="0.2">
      <c r="Y1448" s="105" t="str">
        <f t="shared" si="56"/>
        <v>1w</v>
      </c>
      <c r="Z1448" s="93">
        <f>_xll.qlCalendarAdvance(Calendar,Z1447,Y1448,"f",FALSE)</f>
        <v>49276</v>
      </c>
      <c r="AA1448" s="117">
        <f>_xll.qlCalendarAdvance(Calendar,Z1448,NDays&amp;"D")</f>
        <v>49278</v>
      </c>
      <c r="AB1448" s="92">
        <v>1.5432746759990557E-2</v>
      </c>
      <c r="AC1448" s="101">
        <v>1.5473720667111834E-2</v>
      </c>
    </row>
    <row r="1449" spans="25:29" x14ac:dyDescent="0.2">
      <c r="Y1449" s="105" t="str">
        <f t="shared" si="56"/>
        <v>1w</v>
      </c>
      <c r="Z1449" s="93">
        <f>_xll.qlCalendarAdvance(Calendar,Z1448,Y1449,"f",FALSE)</f>
        <v>49283</v>
      </c>
      <c r="AA1449" s="117">
        <f>_xll.qlCalendarAdvance(Calendar,Z1449,NDays&amp;"D")</f>
        <v>49285</v>
      </c>
      <c r="AB1449" s="92">
        <v>1.5424950139735216E-2</v>
      </c>
      <c r="AC1449" s="101">
        <v>1.5465886175656252E-2</v>
      </c>
    </row>
    <row r="1450" spans="25:29" x14ac:dyDescent="0.2">
      <c r="Y1450" s="105" t="str">
        <f t="shared" si="56"/>
        <v>1w</v>
      </c>
      <c r="Z1450" s="93">
        <f>_xll.qlCalendarAdvance(Calendar,Z1449,Y1450,"f",FALSE)</f>
        <v>49290</v>
      </c>
      <c r="AA1450" s="117">
        <f>_xll.qlCalendarAdvance(Calendar,Z1450,NDays&amp;"D")</f>
        <v>49292</v>
      </c>
      <c r="AB1450" s="92">
        <v>1.5417162548466225E-2</v>
      </c>
      <c r="AC1450" s="101">
        <v>1.545805781265841E-2</v>
      </c>
    </row>
    <row r="1451" spans="25:29" x14ac:dyDescent="0.2">
      <c r="Y1451" s="105" t="str">
        <f t="shared" si="56"/>
        <v>1w</v>
      </c>
      <c r="Z1451" s="93">
        <f>_xll.qlCalendarAdvance(Calendar,Z1450,Y1451,"f",FALSE)</f>
        <v>49297</v>
      </c>
      <c r="AA1451" s="117">
        <f>_xll.qlCalendarAdvance(Calendar,Z1451,NDays&amp;"D")</f>
        <v>49299</v>
      </c>
      <c r="AB1451" s="92">
        <v>1.5409384336258717E-2</v>
      </c>
      <c r="AC1451" s="101">
        <v>1.5450235747902497E-2</v>
      </c>
    </row>
    <row r="1452" spans="25:29" x14ac:dyDescent="0.2">
      <c r="Y1452" s="105" t="str">
        <f t="shared" si="56"/>
        <v>1w</v>
      </c>
      <c r="Z1452" s="93">
        <f>_xll.qlCalendarAdvance(Calendar,Z1451,Y1452,"f",FALSE)</f>
        <v>49305</v>
      </c>
      <c r="AA1452" s="117">
        <f>_xll.qlCalendarAdvance(Calendar,Z1452,NDays&amp;"D")</f>
        <v>49307</v>
      </c>
      <c r="AB1452" s="92">
        <v>1.5400506885413074E-2</v>
      </c>
      <c r="AC1452" s="101">
        <v>1.5440623840032863E-2</v>
      </c>
    </row>
    <row r="1453" spans="25:29" x14ac:dyDescent="0.2">
      <c r="Y1453" s="105" t="str">
        <f t="shared" si="56"/>
        <v>1w</v>
      </c>
      <c r="Z1453" s="93">
        <f>_xll.qlCalendarAdvance(Calendar,Z1452,Y1453,"f",FALSE)</f>
        <v>49312</v>
      </c>
      <c r="AA1453" s="117">
        <f>_xll.qlCalendarAdvance(Calendar,Z1453,NDays&amp;"D")</f>
        <v>49314</v>
      </c>
      <c r="AB1453" s="92">
        <v>1.5392972336834097E-2</v>
      </c>
      <c r="AC1453" s="101">
        <v>1.5433042912773587E-2</v>
      </c>
    </row>
    <row r="1454" spans="25:29" x14ac:dyDescent="0.2">
      <c r="Y1454" s="105" t="str">
        <f t="shared" si="56"/>
        <v>1w</v>
      </c>
      <c r="Z1454" s="93">
        <f>_xll.qlCalendarAdvance(Calendar,Z1453,Y1454,"f",FALSE)</f>
        <v>49319</v>
      </c>
      <c r="AA1454" s="117">
        <f>_xll.qlCalendarAdvance(Calendar,Z1454,NDays&amp;"D")</f>
        <v>49321</v>
      </c>
      <c r="AB1454" s="92">
        <v>1.5385225333902342E-2</v>
      </c>
      <c r="AC1454" s="101">
        <v>1.5425242071946954E-2</v>
      </c>
    </row>
    <row r="1455" spans="25:29" x14ac:dyDescent="0.2">
      <c r="Y1455" s="105" t="str">
        <f t="shared" si="56"/>
        <v>1w</v>
      </c>
      <c r="Z1455" s="93">
        <f>_xll.qlCalendarAdvance(Calendar,Z1454,Y1455,"f",FALSE)</f>
        <v>49326</v>
      </c>
      <c r="AA1455" s="117">
        <f>_xll.qlCalendarAdvance(Calendar,Z1455,NDays&amp;"D")</f>
        <v>49328</v>
      </c>
      <c r="AB1455" s="92">
        <v>1.5377489136980376E-2</v>
      </c>
      <c r="AC1455" s="101">
        <v>1.5417448258778776E-2</v>
      </c>
    </row>
    <row r="1456" spans="25:29" x14ac:dyDescent="0.2">
      <c r="Y1456" s="105" t="str">
        <f t="shared" si="56"/>
        <v>1w</v>
      </c>
      <c r="Z1456" s="93">
        <f>_xll.qlCalendarAdvance(Calendar,Z1455,Y1456,"f",FALSE)</f>
        <v>49333</v>
      </c>
      <c r="AA1456" s="117">
        <f>_xll.qlCalendarAdvance(Calendar,Z1456,NDays&amp;"D")</f>
        <v>49335</v>
      </c>
      <c r="AB1456" s="92">
        <v>1.5369764100487456E-2</v>
      </c>
      <c r="AC1456" s="101">
        <v>1.5409661643372985E-2</v>
      </c>
    </row>
    <row r="1457" spans="25:29" x14ac:dyDescent="0.2">
      <c r="Y1457" s="105" t="str">
        <f t="shared" si="56"/>
        <v>1w</v>
      </c>
      <c r="Z1457" s="93">
        <f>_xll.qlCalendarAdvance(Calendar,Z1456,Y1457,"f",FALSE)</f>
        <v>49340</v>
      </c>
      <c r="AA1457" s="117">
        <f>_xll.qlCalendarAdvance(Calendar,Z1457,NDays&amp;"D")</f>
        <v>49342</v>
      </c>
      <c r="AB1457" s="92">
        <v>1.5362050579516333E-2</v>
      </c>
      <c r="AC1457" s="101">
        <v>1.5401882395646993E-2</v>
      </c>
    </row>
    <row r="1458" spans="25:29" x14ac:dyDescent="0.2">
      <c r="Y1458" s="105" t="str">
        <f t="shared" si="56"/>
        <v>1w</v>
      </c>
      <c r="Z1458" s="93">
        <f>_xll.qlCalendarAdvance(Calendar,Z1457,Y1458,"f",FALSE)</f>
        <v>49347</v>
      </c>
      <c r="AA1458" s="117">
        <f>_xll.qlCalendarAdvance(Calendar,Z1458,NDays&amp;"D")</f>
        <v>49349</v>
      </c>
      <c r="AB1458" s="92">
        <v>1.5354348929835457E-2</v>
      </c>
      <c r="AC1458" s="101">
        <v>1.539411068559815E-2</v>
      </c>
    </row>
    <row r="1459" spans="25:29" x14ac:dyDescent="0.2">
      <c r="Y1459" s="105" t="str">
        <f t="shared" si="56"/>
        <v>1w</v>
      </c>
      <c r="Z1459" s="93">
        <f>_xll.qlCalendarAdvance(Calendar,Z1458,Y1459,"f",FALSE)</f>
        <v>49354</v>
      </c>
      <c r="AA1459" s="117">
        <f>_xll.qlCalendarAdvance(Calendar,Z1459,NDays&amp;"D")</f>
        <v>49356</v>
      </c>
      <c r="AB1459" s="92">
        <v>1.534665950788457E-2</v>
      </c>
      <c r="AC1459" s="101">
        <v>1.5386346683223806E-2</v>
      </c>
    </row>
    <row r="1460" spans="25:29" x14ac:dyDescent="0.2">
      <c r="Y1460" s="105" t="str">
        <f t="shared" si="56"/>
        <v>1w</v>
      </c>
      <c r="Z1460" s="93">
        <f>_xll.qlCalendarAdvance(Calendar,Z1459,Y1460,"f",FALSE)</f>
        <v>49361</v>
      </c>
      <c r="AA1460" s="117">
        <f>_xll.qlCalendarAdvance(Calendar,Z1460,NDays&amp;"D")</f>
        <v>49363</v>
      </c>
      <c r="AB1460" s="92">
        <v>1.5338982670779999E-2</v>
      </c>
      <c r="AC1460" s="101">
        <v>1.537859055852131E-2</v>
      </c>
    </row>
    <row r="1461" spans="25:29" x14ac:dyDescent="0.2">
      <c r="Y1461" s="105" t="str">
        <f t="shared" si="56"/>
        <v>1w</v>
      </c>
      <c r="Z1461" s="93">
        <f>_xll.qlCalendarAdvance(Calendar,Z1460,Y1461,"f",FALSE)</f>
        <v>49368</v>
      </c>
      <c r="AA1461" s="117">
        <f>_xll.qlCalendarAdvance(Calendar,Z1461,NDays&amp;"D")</f>
        <v>49370</v>
      </c>
      <c r="AB1461" s="92">
        <v>1.5330450629823697E-2</v>
      </c>
      <c r="AC1461" s="101">
        <v>1.5370842481408076E-2</v>
      </c>
    </row>
    <row r="1462" spans="25:29" x14ac:dyDescent="0.2">
      <c r="Y1462" s="105" t="str">
        <f t="shared" si="56"/>
        <v>1w</v>
      </c>
      <c r="Z1462" s="93">
        <f>_xll.qlCalendarAdvance(Calendar,Z1461,Y1462,"f",FALSE)</f>
        <v>49375</v>
      </c>
      <c r="AA1462" s="117">
        <f>_xll.qlCalendarAdvance(Calendar,Z1462,NDays&amp;"D")</f>
        <v>49377</v>
      </c>
      <c r="AB1462" s="92">
        <v>1.5322803140128355E-2</v>
      </c>
      <c r="AC1462" s="101">
        <v>1.5363102621908098E-2</v>
      </c>
    </row>
    <row r="1463" spans="25:29" x14ac:dyDescent="0.2">
      <c r="Y1463" s="105" t="str">
        <f t="shared" si="56"/>
        <v>1w</v>
      </c>
      <c r="Z1463" s="93">
        <f>_xll.qlCalendarAdvance(Calendar,Z1462,Y1463,"f",FALSE)</f>
        <v>49382</v>
      </c>
      <c r="AA1463" s="117">
        <f>_xll.qlCalendarAdvance(Calendar,Z1463,NDays&amp;"D")</f>
        <v>49384</v>
      </c>
      <c r="AB1463" s="92">
        <v>1.5315169403016946E-2</v>
      </c>
      <c r="AC1463" s="101">
        <v>1.5355371149965436E-2</v>
      </c>
    </row>
    <row r="1464" spans="25:29" x14ac:dyDescent="0.2">
      <c r="Y1464" s="105" t="str">
        <f t="shared" si="56"/>
        <v>1w</v>
      </c>
      <c r="Z1464" s="93">
        <f>_xll.qlCalendarAdvance(Calendar,Z1463,Y1464,"f",FALSE)</f>
        <v>49389</v>
      </c>
      <c r="AA1464" s="117">
        <f>_xll.qlCalendarAdvance(Calendar,Z1464,NDays&amp;"D")</f>
        <v>49395</v>
      </c>
      <c r="AB1464" s="92">
        <v>1.5303416216348816E-2</v>
      </c>
      <c r="AC1464" s="101">
        <v>1.5343687039166554E-2</v>
      </c>
    </row>
    <row r="1465" spans="25:29" x14ac:dyDescent="0.2">
      <c r="Y1465" s="105" t="str">
        <f t="shared" si="56"/>
        <v>1w</v>
      </c>
      <c r="Z1465" s="93">
        <f>_xll.qlCalendarAdvance(Calendar,Z1464,Y1465,"f",FALSE)</f>
        <v>49396</v>
      </c>
      <c r="AA1465" s="117">
        <f>_xll.qlCalendarAdvance(Calendar,Z1465,NDays&amp;"D")</f>
        <v>49398</v>
      </c>
      <c r="AB1465" s="92">
        <v>1.5300585886744928E-2</v>
      </c>
      <c r="AC1465" s="101">
        <v>1.5339934048874682E-2</v>
      </c>
    </row>
    <row r="1466" spans="25:29" x14ac:dyDescent="0.2">
      <c r="Y1466" s="105" t="str">
        <f t="shared" si="56"/>
        <v>1w</v>
      </c>
      <c r="Z1466" s="93">
        <f>_xll.qlCalendarAdvance(Calendar,Z1465,Y1466,"f",FALSE)</f>
        <v>49403</v>
      </c>
      <c r="AA1466" s="117">
        <f>_xll.qlCalendarAdvance(Calendar,Z1466,NDays&amp;"D")</f>
        <v>49405</v>
      </c>
      <c r="AB1466" s="92">
        <v>1.5292354272153908E-2</v>
      </c>
      <c r="AC1466" s="101">
        <v>1.5332228759614708E-2</v>
      </c>
    </row>
    <row r="1467" spans="25:29" x14ac:dyDescent="0.2">
      <c r="Y1467" s="105" t="str">
        <f t="shared" si="56"/>
        <v>1w</v>
      </c>
      <c r="Z1467" s="93">
        <f>_xll.qlCalendarAdvance(Calendar,Z1466,Y1467,"f",FALSE)</f>
        <v>49410</v>
      </c>
      <c r="AA1467" s="117">
        <f>_xll.qlCalendarAdvance(Calendar,Z1467,NDays&amp;"D")</f>
        <v>49412</v>
      </c>
      <c r="AB1467" s="92">
        <v>1.5284779113640472E-2</v>
      </c>
      <c r="AC1467" s="101">
        <v>1.5324532537901447E-2</v>
      </c>
    </row>
    <row r="1468" spans="25:29" x14ac:dyDescent="0.2">
      <c r="Y1468" s="105" t="str">
        <f t="shared" si="56"/>
        <v>1w</v>
      </c>
      <c r="Z1468" s="93">
        <f>_xll.qlCalendarAdvance(Calendar,Z1467,Y1468,"f",FALSE)</f>
        <v>49417</v>
      </c>
      <c r="AA1468" s="117">
        <f>_xll.qlCalendarAdvance(Calendar,Z1468,NDays&amp;"D")</f>
        <v>49419</v>
      </c>
      <c r="AB1468" s="92">
        <v>1.527721949513783E-2</v>
      </c>
      <c r="AC1468" s="101">
        <v>1.5316845553678959E-2</v>
      </c>
    </row>
    <row r="1469" spans="25:29" x14ac:dyDescent="0.2">
      <c r="Y1469" s="105" t="str">
        <f t="shared" si="56"/>
        <v>1w</v>
      </c>
      <c r="Z1469" s="93">
        <f>_xll.qlCalendarAdvance(Calendar,Z1468,Y1469,"f",FALSE)</f>
        <v>49424</v>
      </c>
      <c r="AA1469" s="117">
        <f>_xll.qlCalendarAdvance(Calendar,Z1469,NDays&amp;"D")</f>
        <v>49426</v>
      </c>
      <c r="AB1469" s="92">
        <v>1.5269675776109356E-2</v>
      </c>
      <c r="AC1469" s="101">
        <v>1.5309167976971239E-2</v>
      </c>
    </row>
    <row r="1470" spans="25:29" x14ac:dyDescent="0.2">
      <c r="Y1470" s="105" t="str">
        <f t="shared" si="56"/>
        <v>1w</v>
      </c>
      <c r="Z1470" s="93">
        <f>_xll.qlCalendarAdvance(Calendar,Z1469,Y1470,"f",FALSE)</f>
        <v>49431</v>
      </c>
      <c r="AA1470" s="117">
        <f>_xll.qlCalendarAdvance(Calendar,Z1470,NDays&amp;"D")</f>
        <v>49433</v>
      </c>
      <c r="AB1470" s="92">
        <v>1.5262148316679091E-2</v>
      </c>
      <c r="AC1470" s="101">
        <v>1.5301499977695698E-2</v>
      </c>
    </row>
    <row r="1471" spans="25:29" x14ac:dyDescent="0.2">
      <c r="Y1471" s="105" t="str">
        <f t="shared" si="56"/>
        <v>1w</v>
      </c>
      <c r="Z1471" s="93">
        <f>_xll.qlCalendarAdvance(Calendar,Z1470,Y1471,"f",FALSE)</f>
        <v>49438</v>
      </c>
      <c r="AA1471" s="117">
        <f>_xll.qlCalendarAdvance(Calendar,Z1471,NDays&amp;"D")</f>
        <v>49440</v>
      </c>
      <c r="AB1471" s="92">
        <v>1.5254637477628277E-2</v>
      </c>
      <c r="AC1471" s="101">
        <v>1.5293841725902979E-2</v>
      </c>
    </row>
    <row r="1472" spans="25:29" x14ac:dyDescent="0.2">
      <c r="Y1472" s="105" t="str">
        <f t="shared" si="56"/>
        <v>1w</v>
      </c>
      <c r="Z1472" s="93">
        <f>_xll.qlCalendarAdvance(Calendar,Z1471,Y1472,"f",FALSE)</f>
        <v>49445</v>
      </c>
      <c r="AA1472" s="117">
        <f>_xll.qlCalendarAdvance(Calendar,Z1472,NDays&amp;"D")</f>
        <v>49447</v>
      </c>
      <c r="AB1472" s="92">
        <v>1.5247143615003782E-2</v>
      </c>
      <c r="AC1472" s="101">
        <v>1.528619483153193E-2</v>
      </c>
    </row>
    <row r="1473" spans="25:29" x14ac:dyDescent="0.2">
      <c r="Y1473" s="105" t="str">
        <f t="shared" si="56"/>
        <v>1w</v>
      </c>
      <c r="Z1473" s="93">
        <f>_xll.qlCalendarAdvance(Calendar,Z1472,Y1473,"f",FALSE)</f>
        <v>49452</v>
      </c>
      <c r="AA1473" s="117">
        <f>_xll.qlCalendarAdvance(Calendar,Z1473,NDays&amp;"D")</f>
        <v>49454</v>
      </c>
      <c r="AB1473" s="92">
        <v>1.5239666994785276E-2</v>
      </c>
      <c r="AC1473" s="101">
        <v>1.5278562446514599E-2</v>
      </c>
    </row>
    <row r="1474" spans="25:29" x14ac:dyDescent="0.2">
      <c r="Y1474" s="105" t="str">
        <f t="shared" si="56"/>
        <v>1w</v>
      </c>
      <c r="Z1474" s="93">
        <f>_xll.qlCalendarAdvance(Calendar,Z1473,Y1474,"f",FALSE)</f>
        <v>49459</v>
      </c>
      <c r="AA1474" s="117">
        <f>_xll.qlCalendarAdvance(Calendar,Z1474,NDays&amp;"D")</f>
        <v>49461</v>
      </c>
      <c r="AB1474" s="92">
        <v>1.5232207807906298E-2</v>
      </c>
      <c r="AC1474" s="101">
        <v>1.5270944897443073E-2</v>
      </c>
    </row>
    <row r="1475" spans="25:29" x14ac:dyDescent="0.2">
      <c r="Y1475" s="105" t="str">
        <f t="shared" si="56"/>
        <v>1w</v>
      </c>
      <c r="Z1475" s="93">
        <f>_xll.qlCalendarAdvance(Calendar,Z1474,Y1475,"f",FALSE)</f>
        <v>49466</v>
      </c>
      <c r="AA1475" s="117">
        <f>_xll.qlCalendarAdvance(Calendar,Z1475,NDays&amp;"D")</f>
        <v>49468</v>
      </c>
      <c r="AB1475" s="92">
        <v>1.5224766243024587E-2</v>
      </c>
      <c r="AC1475" s="101">
        <v>1.5263342371794053E-2</v>
      </c>
    </row>
    <row r="1476" spans="25:29" x14ac:dyDescent="0.2">
      <c r="Y1476" s="105" t="str">
        <f t="shared" si="56"/>
        <v>1w</v>
      </c>
      <c r="Z1476" s="93">
        <f>_xll.qlCalendarAdvance(Calendar,Z1475,Y1476,"f",FALSE)</f>
        <v>49473</v>
      </c>
      <c r="AA1476" s="117">
        <f>_xll.qlCalendarAdvance(Calendar,Z1476,NDays&amp;"D")</f>
        <v>49475</v>
      </c>
      <c r="AB1476" s="92">
        <v>1.5217342488796153E-2</v>
      </c>
      <c r="AC1476" s="101">
        <v>1.5255755056857723E-2</v>
      </c>
    </row>
    <row r="1477" spans="25:29" x14ac:dyDescent="0.2">
      <c r="Y1477" s="105" t="str">
        <f t="shared" si="56"/>
        <v>1w</v>
      </c>
      <c r="Z1477" s="93">
        <f>_xll.qlCalendarAdvance(Calendar,Z1476,Y1477,"f",FALSE)</f>
        <v>49480</v>
      </c>
      <c r="AA1477" s="117">
        <f>_xll.qlCalendarAdvance(Calendar,Z1477,NDays&amp;"D")</f>
        <v>49482</v>
      </c>
      <c r="AB1477" s="92">
        <v>1.5209936733874413E-2</v>
      </c>
      <c r="AC1477" s="101">
        <v>1.5248183140164073E-2</v>
      </c>
    </row>
    <row r="1478" spans="25:29" x14ac:dyDescent="0.2">
      <c r="Y1478" s="105" t="str">
        <f t="shared" si="56"/>
        <v>1w</v>
      </c>
      <c r="Z1478" s="93">
        <f>_xll.qlCalendarAdvance(Calendar,Z1477,Y1478,"f",FALSE)</f>
        <v>49487</v>
      </c>
      <c r="AA1478" s="117">
        <f>_xll.qlCalendarAdvance(Calendar,Z1478,NDays&amp;"D")</f>
        <v>49489</v>
      </c>
      <c r="AB1478" s="92">
        <v>1.5202549166909328E-2</v>
      </c>
      <c r="AC1478" s="101">
        <v>1.5240626809029933E-2</v>
      </c>
    </row>
    <row r="1479" spans="25:29" x14ac:dyDescent="0.2">
      <c r="Y1479" s="105" t="str">
        <f t="shared" si="56"/>
        <v>1w</v>
      </c>
      <c r="Z1479" s="93">
        <f>_xll.qlCalendarAdvance(Calendar,Z1478,Y1479,"f",FALSE)</f>
        <v>49494</v>
      </c>
      <c r="AA1479" s="117">
        <f>_xll.qlCalendarAdvance(Calendar,Z1479,NDays&amp;"D")</f>
        <v>49496</v>
      </c>
      <c r="AB1479" s="92">
        <v>1.5195179976549128E-2</v>
      </c>
      <c r="AC1479" s="101">
        <v>1.5233086250905359E-2</v>
      </c>
    </row>
    <row r="1480" spans="25:29" x14ac:dyDescent="0.2">
      <c r="Y1480" s="105" t="str">
        <f t="shared" si="56"/>
        <v>1w</v>
      </c>
      <c r="Z1480" s="93">
        <f>_xll.qlCalendarAdvance(Calendar,Z1479,Y1480,"f",FALSE)</f>
        <v>49501</v>
      </c>
      <c r="AA1480" s="117">
        <f>_xll.qlCalendarAdvance(Calendar,Z1480,NDays&amp;"D")</f>
        <v>49503</v>
      </c>
      <c r="AB1480" s="92">
        <v>1.5187829351441615E-2</v>
      </c>
      <c r="AC1480" s="101">
        <v>1.5225561653213759E-2</v>
      </c>
    </row>
    <row r="1481" spans="25:29" x14ac:dyDescent="0.2">
      <c r="Y1481" s="105" t="str">
        <f t="shared" si="56"/>
        <v>1w</v>
      </c>
      <c r="Z1481" s="93">
        <f>_xll.qlCalendarAdvance(Calendar,Z1480,Y1481,"f",FALSE)</f>
        <v>49508</v>
      </c>
      <c r="AA1481" s="117">
        <f>_xll.qlCalendarAdvance(Calendar,Z1481,NDays&amp;"D")</f>
        <v>49510</v>
      </c>
      <c r="AB1481" s="92">
        <v>1.5180497480229404E-2</v>
      </c>
      <c r="AC1481" s="101">
        <v>1.52180532033519E-2</v>
      </c>
    </row>
    <row r="1482" spans="25:29" x14ac:dyDescent="0.2">
      <c r="Y1482" s="105" t="str">
        <f t="shared" si="56"/>
        <v>1w</v>
      </c>
      <c r="Z1482" s="93">
        <f>_xll.qlCalendarAdvance(Calendar,Z1481,Y1482,"f",FALSE)</f>
        <v>49515</v>
      </c>
      <c r="AA1482" s="117">
        <f>_xll.qlCalendarAdvance(Calendar,Z1482,NDays&amp;"D")</f>
        <v>49517</v>
      </c>
      <c r="AB1482" s="92">
        <v>1.5173184551554246E-2</v>
      </c>
      <c r="AC1482" s="101">
        <v>1.5210561088716545E-2</v>
      </c>
    </row>
    <row r="1483" spans="25:29" x14ac:dyDescent="0.2">
      <c r="Y1483" s="105" t="str">
        <f t="shared" si="56"/>
        <v>1w</v>
      </c>
      <c r="Z1483" s="93">
        <f>_xll.qlCalendarAdvance(Calendar,Z1482,Y1483,"f",FALSE)</f>
        <v>49522</v>
      </c>
      <c r="AA1483" s="117">
        <f>_xll.qlCalendarAdvance(Calendar,Z1483,NDays&amp;"D")</f>
        <v>49524</v>
      </c>
      <c r="AB1483" s="92">
        <v>1.5165890754054865E-2</v>
      </c>
      <c r="AC1483" s="101">
        <v>1.5203085496784396E-2</v>
      </c>
    </row>
    <row r="1484" spans="25:29" x14ac:dyDescent="0.2">
      <c r="Y1484" s="105" t="str">
        <f t="shared" si="56"/>
        <v>1w</v>
      </c>
      <c r="Z1484" s="93">
        <f>_xll.qlCalendarAdvance(Calendar,Z1483,Y1484,"f",FALSE)</f>
        <v>49529</v>
      </c>
      <c r="AA1484" s="117">
        <f>_xll.qlCalendarAdvance(Calendar,Z1484,NDays&amp;"D")</f>
        <v>49531</v>
      </c>
      <c r="AB1484" s="92">
        <v>1.5158616276369125E-2</v>
      </c>
      <c r="AC1484" s="101">
        <v>1.5195626614845636E-2</v>
      </c>
    </row>
    <row r="1485" spans="25:29" x14ac:dyDescent="0.2">
      <c r="Y1485" s="105" t="str">
        <f t="shared" si="56"/>
        <v>1w</v>
      </c>
      <c r="Z1485" s="93">
        <f>_xll.qlCalendarAdvance(Calendar,Z1484,Y1485,"f",FALSE)</f>
        <v>49536</v>
      </c>
      <c r="AA1485" s="117">
        <f>_xll.qlCalendarAdvance(Calendar,Z1485,NDays&amp;"D")</f>
        <v>49538</v>
      </c>
      <c r="AB1485" s="92">
        <v>1.5151361307131433E-2</v>
      </c>
      <c r="AC1485" s="101">
        <v>1.5188184630456902E-2</v>
      </c>
    </row>
    <row r="1486" spans="25:29" x14ac:dyDescent="0.2">
      <c r="Y1486" s="105" t="str">
        <f t="shared" si="56"/>
        <v>1w</v>
      </c>
      <c r="Z1486" s="93">
        <f>_xll.qlCalendarAdvance(Calendar,Z1485,Y1486,"f",FALSE)</f>
        <v>49543</v>
      </c>
      <c r="AA1486" s="117">
        <f>_xll.qlCalendarAdvance(Calendar,Z1486,NDays&amp;"D")</f>
        <v>49545</v>
      </c>
      <c r="AB1486" s="92">
        <v>1.5144126034974895E-2</v>
      </c>
      <c r="AC1486" s="101">
        <v>1.5180759730908377E-2</v>
      </c>
    </row>
    <row r="1487" spans="25:29" x14ac:dyDescent="0.2">
      <c r="Y1487" s="105" t="str">
        <f t="shared" si="56"/>
        <v>1w</v>
      </c>
      <c r="Z1487" s="93">
        <f>_xll.qlCalendarAdvance(Calendar,Z1486,Y1487,"f",FALSE)</f>
        <v>49550</v>
      </c>
      <c r="AA1487" s="117">
        <f>_xll.qlCalendarAdvance(Calendar,Z1487,NDays&amp;"D")</f>
        <v>49552</v>
      </c>
      <c r="AB1487" s="92">
        <v>1.5137484009930365E-2</v>
      </c>
      <c r="AC1487" s="101">
        <v>1.5173352103676763E-2</v>
      </c>
    </row>
    <row r="1488" spans="25:29" x14ac:dyDescent="0.2">
      <c r="Y1488" s="105" t="str">
        <f t="shared" si="56"/>
        <v>1w</v>
      </c>
      <c r="Z1488" s="93">
        <f>_xll.qlCalendarAdvance(Calendar,Z1487,Y1488,"f",FALSE)</f>
        <v>49557</v>
      </c>
      <c r="AA1488" s="117">
        <f>_xll.qlCalendarAdvance(Calendar,Z1488,NDays&amp;"D")</f>
        <v>49559</v>
      </c>
      <c r="AB1488" s="92">
        <v>1.5130285108061458E-2</v>
      </c>
      <c r="AC1488" s="101">
        <v>1.5165961936158823E-2</v>
      </c>
    </row>
    <row r="1489" spans="25:29" x14ac:dyDescent="0.2">
      <c r="Y1489" s="105" t="str">
        <f t="shared" si="56"/>
        <v>1w</v>
      </c>
      <c r="Z1489" s="93">
        <f>_xll.qlCalendarAdvance(Calendar,Z1488,Y1489,"f",FALSE)</f>
        <v>49564</v>
      </c>
      <c r="AA1489" s="117">
        <f>_xll.qlCalendarAdvance(Calendar,Z1489,NDays&amp;"D")</f>
        <v>49566</v>
      </c>
      <c r="AB1489" s="92">
        <v>1.5123106425771091E-2</v>
      </c>
      <c r="AC1489" s="101">
        <v>1.5158589415751322E-2</v>
      </c>
    </row>
    <row r="1490" spans="25:29" x14ac:dyDescent="0.2">
      <c r="Y1490" s="105" t="str">
        <f t="shared" si="56"/>
        <v>1w</v>
      </c>
      <c r="Z1490" s="93">
        <f>_xll.qlCalendarAdvance(Calendar,Z1489,Y1490,"f",FALSE)</f>
        <v>49571</v>
      </c>
      <c r="AA1490" s="117">
        <f>_xll.qlCalendarAdvance(Calendar,Z1490,NDays&amp;"D")</f>
        <v>49573</v>
      </c>
      <c r="AB1490" s="92">
        <v>1.5115948151664876E-2</v>
      </c>
      <c r="AC1490" s="101">
        <v>1.5151234729851026E-2</v>
      </c>
    </row>
    <row r="1491" spans="25:29" x14ac:dyDescent="0.2">
      <c r="Y1491" s="105" t="str">
        <f t="shared" si="56"/>
        <v>1w</v>
      </c>
      <c r="Z1491" s="93">
        <f>_xll.qlCalendarAdvance(Calendar,Z1490,Y1491,"f",FALSE)</f>
        <v>49578</v>
      </c>
      <c r="AA1491" s="117">
        <f>_xll.qlCalendarAdvance(Calendar,Z1491,NDays&amp;"D")</f>
        <v>49580</v>
      </c>
      <c r="AB1491" s="92">
        <v>1.510825173238731E-2</v>
      </c>
      <c r="AC1491" s="101">
        <v>1.514389806590799E-2</v>
      </c>
    </row>
    <row r="1492" spans="25:29" x14ac:dyDescent="0.2">
      <c r="Y1492" s="105" t="str">
        <f t="shared" si="56"/>
        <v>1w</v>
      </c>
      <c r="Z1492" s="93">
        <f>_xll.qlCalendarAdvance(Calendar,Z1491,Y1492,"f",FALSE)</f>
        <v>49585</v>
      </c>
      <c r="AA1492" s="117">
        <f>_xll.qlCalendarAdvance(Calendar,Z1492,NDays&amp;"D")</f>
        <v>49587</v>
      </c>
      <c r="AB1492" s="92">
        <v>1.510113860387689E-2</v>
      </c>
      <c r="AC1492" s="101">
        <v>1.5136579611372269E-2</v>
      </c>
    </row>
    <row r="1493" spans="25:29" x14ac:dyDescent="0.2">
      <c r="Y1493" s="105" t="str">
        <f t="shared" ref="Y1493:Y1556" si="57">Y1492</f>
        <v>1w</v>
      </c>
      <c r="Z1493" s="93">
        <f>_xll.qlCalendarAdvance(Calendar,Z1492,Y1493,"f",FALSE)</f>
        <v>49592</v>
      </c>
      <c r="AA1493" s="117">
        <f>_xll.qlCalendarAdvance(Calendar,Z1493,NDays&amp;"D")</f>
        <v>49594</v>
      </c>
      <c r="AB1493" s="92">
        <v>1.5093863008319216E-2</v>
      </c>
      <c r="AC1493" s="101">
        <v>1.5129279553560693E-2</v>
      </c>
    </row>
    <row r="1494" spans="25:29" x14ac:dyDescent="0.2">
      <c r="Y1494" s="105" t="str">
        <f t="shared" si="57"/>
        <v>1w</v>
      </c>
      <c r="Z1494" s="93">
        <f>_xll.qlCalendarAdvance(Calendar,Z1493,Y1494,"f",FALSE)</f>
        <v>49599</v>
      </c>
      <c r="AA1494" s="117">
        <f>_xll.qlCalendarAdvance(Calendar,Z1494,NDays&amp;"D")</f>
        <v>49601</v>
      </c>
      <c r="AB1494" s="92">
        <v>1.5086975587815327E-2</v>
      </c>
      <c r="AC1494" s="101">
        <v>1.5121998079923316E-2</v>
      </c>
    </row>
    <row r="1495" spans="25:29" x14ac:dyDescent="0.2">
      <c r="Y1495" s="105" t="str">
        <f t="shared" si="57"/>
        <v>1w</v>
      </c>
      <c r="Z1495" s="93">
        <f>_xll.qlCalendarAdvance(Calendar,Z1494,Y1495,"f",FALSE)</f>
        <v>49606</v>
      </c>
      <c r="AA1495" s="117">
        <f>_xll.qlCalendarAdvance(Calendar,Z1495,NDays&amp;"D")</f>
        <v>49608</v>
      </c>
      <c r="AB1495" s="92">
        <v>1.5079926077493675E-2</v>
      </c>
      <c r="AC1495" s="101">
        <v>1.5114735377856903E-2</v>
      </c>
    </row>
    <row r="1496" spans="25:29" x14ac:dyDescent="0.2">
      <c r="Y1496" s="105" t="str">
        <f t="shared" si="57"/>
        <v>1w</v>
      </c>
      <c r="Z1496" s="93">
        <f>_xll.qlCalendarAdvance(Calendar,Z1495,Y1496,"f",FALSE)</f>
        <v>49613</v>
      </c>
      <c r="AA1496" s="117">
        <f>_xll.qlCalendarAdvance(Calendar,Z1496,NDays&amp;"D")</f>
        <v>49615</v>
      </c>
      <c r="AB1496" s="92">
        <v>1.5073437640463139E-2</v>
      </c>
      <c r="AC1496" s="101">
        <v>1.510749163481151E-2</v>
      </c>
    </row>
    <row r="1497" spans="25:29" x14ac:dyDescent="0.2">
      <c r="Y1497" s="105" t="str">
        <f t="shared" si="57"/>
        <v>1w</v>
      </c>
      <c r="Z1497" s="93">
        <f>_xll.qlCalendarAdvance(Calendar,Z1496,Y1497,"f",FALSE)</f>
        <v>49620</v>
      </c>
      <c r="AA1497" s="117">
        <f>_xll.qlCalendarAdvance(Calendar,Z1497,NDays&amp;"D")</f>
        <v>49622</v>
      </c>
      <c r="AB1497" s="92">
        <v>1.5066427504388876E-2</v>
      </c>
      <c r="AC1497" s="101">
        <v>1.5100267038157256E-2</v>
      </c>
    </row>
    <row r="1498" spans="25:29" x14ac:dyDescent="0.2">
      <c r="Y1498" s="105" t="str">
        <f t="shared" si="57"/>
        <v>1w</v>
      </c>
      <c r="Z1498" s="93">
        <f>_xll.qlCalendarAdvance(Calendar,Z1497,Y1498,"f",FALSE)</f>
        <v>49627</v>
      </c>
      <c r="AA1498" s="117">
        <f>_xll.qlCalendarAdvance(Calendar,Z1498,NDays&amp;"D")</f>
        <v>49629</v>
      </c>
      <c r="AB1498" s="92">
        <v>1.5059439285258916E-2</v>
      </c>
      <c r="AC1498" s="101">
        <v>1.5093061775317551E-2</v>
      </c>
    </row>
    <row r="1499" spans="25:29" x14ac:dyDescent="0.2">
      <c r="Y1499" s="105" t="str">
        <f t="shared" si="57"/>
        <v>1w</v>
      </c>
      <c r="Z1499" s="93">
        <f>_xll.qlCalendarAdvance(Calendar,Z1498,Y1499,"f",FALSE)</f>
        <v>49634</v>
      </c>
      <c r="AA1499" s="117">
        <f>_xll.qlCalendarAdvance(Calendar,Z1499,NDays&amp;"D")</f>
        <v>49636</v>
      </c>
      <c r="AB1499" s="92">
        <v>1.505247317165955E-2</v>
      </c>
      <c r="AC1499" s="101">
        <v>1.5085876033715806E-2</v>
      </c>
    </row>
    <row r="1500" spans="25:29" x14ac:dyDescent="0.2">
      <c r="Y1500" s="105" t="str">
        <f t="shared" si="57"/>
        <v>1w</v>
      </c>
      <c r="Z1500" s="93">
        <f>_xll.qlCalendarAdvance(Calendar,Z1499,Y1500,"f",FALSE)</f>
        <v>49641</v>
      </c>
      <c r="AA1500" s="117">
        <f>_xll.qlCalendarAdvance(Calendar,Z1500,NDays&amp;"D")</f>
        <v>49643</v>
      </c>
      <c r="AB1500" s="92">
        <v>1.5045529352175306E-2</v>
      </c>
      <c r="AC1500" s="101">
        <v>1.5078710000748785E-2</v>
      </c>
    </row>
    <row r="1501" spans="25:29" x14ac:dyDescent="0.2">
      <c r="Y1501" s="105" t="str">
        <f t="shared" si="57"/>
        <v>1w</v>
      </c>
      <c r="Z1501" s="93">
        <f>_xll.qlCalendarAdvance(Calendar,Z1500,Y1501,"f",FALSE)</f>
        <v>49648</v>
      </c>
      <c r="AA1501" s="117">
        <f>_xll.qlCalendarAdvance(Calendar,Z1501,NDays&amp;"D")</f>
        <v>49650</v>
      </c>
      <c r="AB1501" s="92">
        <v>1.5038088865889374E-2</v>
      </c>
      <c r="AC1501" s="101">
        <v>1.5071563863839899E-2</v>
      </c>
    </row>
    <row r="1502" spans="25:29" x14ac:dyDescent="0.2">
      <c r="Y1502" s="105" t="str">
        <f t="shared" si="57"/>
        <v>1w</v>
      </c>
      <c r="Z1502" s="93">
        <f>_xll.qlCalendarAdvance(Calendar,Z1501,Y1502,"f",FALSE)</f>
        <v>49655</v>
      </c>
      <c r="AA1502" s="117">
        <f>_xll.qlCalendarAdvance(Calendar,Z1502,NDays&amp;"D")</f>
        <v>49657</v>
      </c>
      <c r="AB1502" s="92">
        <v>1.5031194399318966E-2</v>
      </c>
      <c r="AC1502" s="101">
        <v>1.5064437810385911E-2</v>
      </c>
    </row>
    <row r="1503" spans="25:29" x14ac:dyDescent="0.2">
      <c r="Y1503" s="105" t="str">
        <f t="shared" si="57"/>
        <v>1w</v>
      </c>
      <c r="Z1503" s="93">
        <f>_xll.qlCalendarAdvance(Calendar,Z1502,Y1503,"f",FALSE)</f>
        <v>49662</v>
      </c>
      <c r="AA1503" s="117">
        <f>_xll.qlCalendarAdvance(Calendar,Z1503,NDays&amp;"D")</f>
        <v>49664</v>
      </c>
      <c r="AB1503" s="92">
        <v>1.5024322836262455E-2</v>
      </c>
      <c r="AC1503" s="101">
        <v>1.5057332027783588E-2</v>
      </c>
    </row>
    <row r="1504" spans="25:29" x14ac:dyDescent="0.2">
      <c r="Y1504" s="105" t="str">
        <f t="shared" si="57"/>
        <v>1w</v>
      </c>
      <c r="Z1504" s="93">
        <f>_xll.qlCalendarAdvance(Calendar,Z1503,Y1504,"f",FALSE)</f>
        <v>49670</v>
      </c>
      <c r="AA1504" s="117">
        <f>_xll.qlCalendarAdvance(Calendar,Z1504,NDays&amp;"D")</f>
        <v>49674</v>
      </c>
      <c r="AB1504" s="92">
        <v>1.5015050993425972E-2</v>
      </c>
      <c r="AC1504" s="101">
        <v>1.5047406662134222E-2</v>
      </c>
    </row>
    <row r="1505" spans="25:29" x14ac:dyDescent="0.2">
      <c r="Y1505" s="105" t="str">
        <f t="shared" si="57"/>
        <v>1w</v>
      </c>
      <c r="Z1505" s="93">
        <f>_xll.qlCalendarAdvance(Calendar,Z1504,Y1505,"f",FALSE)</f>
        <v>49677</v>
      </c>
      <c r="AA1505" s="117">
        <f>_xll.qlCalendarAdvance(Calendar,Z1505,NDays&amp;"D")</f>
        <v>49681</v>
      </c>
      <c r="AB1505" s="92">
        <v>1.5008231489658132E-2</v>
      </c>
      <c r="AC1505" s="101">
        <v>1.5040538829911299E-2</v>
      </c>
    </row>
    <row r="1506" spans="25:29" x14ac:dyDescent="0.2">
      <c r="Y1506" s="105" t="str">
        <f t="shared" si="57"/>
        <v>1w</v>
      </c>
      <c r="Z1506" s="93">
        <f>_xll.qlCalendarAdvance(Calendar,Z1505,Y1506,"f",FALSE)</f>
        <v>49684</v>
      </c>
      <c r="AA1506" s="117">
        <f>_xll.qlCalendarAdvance(Calendar,Z1506,NDays&amp;"D")</f>
        <v>49688</v>
      </c>
      <c r="AB1506" s="92">
        <v>1.5001435492288001E-2</v>
      </c>
      <c r="AC1506" s="101">
        <v>1.5033501557786266E-2</v>
      </c>
    </row>
    <row r="1507" spans="25:29" x14ac:dyDescent="0.2">
      <c r="Y1507" s="105" t="str">
        <f t="shared" si="57"/>
        <v>1w</v>
      </c>
      <c r="Z1507" s="93">
        <f>_xll.qlCalendarAdvance(Calendar,Z1506,Y1507,"f",FALSE)</f>
        <v>49691</v>
      </c>
      <c r="AA1507" s="117">
        <f>_xll.qlCalendarAdvance(Calendar,Z1507,NDays&amp;"D")</f>
        <v>49695</v>
      </c>
      <c r="AB1507" s="92">
        <v>1.4994663189886494E-2</v>
      </c>
      <c r="AC1507" s="101">
        <v>1.502648535768536E-2</v>
      </c>
    </row>
    <row r="1508" spans="25:29" x14ac:dyDescent="0.2">
      <c r="Y1508" s="105" t="str">
        <f t="shared" si="57"/>
        <v>1w</v>
      </c>
      <c r="Z1508" s="93">
        <f>_xll.qlCalendarAdvance(Calendar,Z1507,Y1508,"f",FALSE)</f>
        <v>49698</v>
      </c>
      <c r="AA1508" s="117">
        <f>_xll.qlCalendarAdvance(Calendar,Z1508,NDays&amp;"D")</f>
        <v>49702</v>
      </c>
      <c r="AB1508" s="92">
        <v>1.498791477102321E-2</v>
      </c>
      <c r="AC1508" s="101">
        <v>1.5019490416898762E-2</v>
      </c>
    </row>
    <row r="1509" spans="25:29" x14ac:dyDescent="0.2">
      <c r="Y1509" s="105" t="str">
        <f t="shared" si="57"/>
        <v>1w</v>
      </c>
      <c r="Z1509" s="93">
        <f>_xll.qlCalendarAdvance(Calendar,Z1508,Y1509,"f",FALSE)</f>
        <v>49705</v>
      </c>
      <c r="AA1509" s="117">
        <f>_xll.qlCalendarAdvance(Calendar,Z1509,NDays&amp;"D")</f>
        <v>49709</v>
      </c>
      <c r="AB1509" s="92">
        <v>1.4981190424265114E-2</v>
      </c>
      <c r="AC1509" s="101">
        <v>1.5012516923036401E-2</v>
      </c>
    </row>
    <row r="1510" spans="25:29" x14ac:dyDescent="0.2">
      <c r="Y1510" s="105" t="str">
        <f t="shared" si="57"/>
        <v>1w</v>
      </c>
      <c r="Z1510" s="93">
        <f>_xll.qlCalendarAdvance(Calendar,Z1509,Y1510,"f",FALSE)</f>
        <v>49712</v>
      </c>
      <c r="AA1510" s="117">
        <f>_xll.qlCalendarAdvance(Calendar,Z1510,NDays&amp;"D")</f>
        <v>49716</v>
      </c>
      <c r="AB1510" s="92">
        <v>1.4974490338177856E-2</v>
      </c>
      <c r="AC1510" s="101">
        <v>1.500556506338846E-2</v>
      </c>
    </row>
    <row r="1511" spans="25:29" x14ac:dyDescent="0.2">
      <c r="Y1511" s="105" t="str">
        <f t="shared" si="57"/>
        <v>1w</v>
      </c>
      <c r="Z1511" s="93">
        <f>_xll.qlCalendarAdvance(Calendar,Z1510,Y1511,"f",FALSE)</f>
        <v>49719</v>
      </c>
      <c r="AA1511" s="117">
        <f>_xll.qlCalendarAdvance(Calendar,Z1511,NDays&amp;"D")</f>
        <v>49723</v>
      </c>
      <c r="AB1511" s="92">
        <v>1.4967814701324881E-2</v>
      </c>
      <c r="AC1511" s="101">
        <v>1.4998635025325058E-2</v>
      </c>
    </row>
    <row r="1512" spans="25:29" x14ac:dyDescent="0.2">
      <c r="Y1512" s="105" t="str">
        <f t="shared" si="57"/>
        <v>1w</v>
      </c>
      <c r="Z1512" s="93">
        <f>_xll.qlCalendarAdvance(Calendar,Z1511,Y1512,"f",FALSE)</f>
        <v>49726</v>
      </c>
      <c r="AA1512" s="117">
        <f>_xll.qlCalendarAdvance(Calendar,Z1512,NDays&amp;"D")</f>
        <v>49730</v>
      </c>
      <c r="AB1512" s="92">
        <v>1.4961163702269202E-2</v>
      </c>
      <c r="AC1512" s="101">
        <v>1.4991726996216315E-2</v>
      </c>
    </row>
    <row r="1513" spans="25:29" x14ac:dyDescent="0.2">
      <c r="Y1513" s="105" t="str">
        <f t="shared" si="57"/>
        <v>1w</v>
      </c>
      <c r="Z1513" s="93">
        <f>_xll.qlCalendarAdvance(Calendar,Z1512,Y1513,"f",FALSE)</f>
        <v>49733</v>
      </c>
      <c r="AA1513" s="117">
        <f>_xll.qlCalendarAdvance(Calendar,Z1513,NDays&amp;"D")</f>
        <v>49737</v>
      </c>
      <c r="AB1513" s="92">
        <v>1.4954228142508045E-2</v>
      </c>
      <c r="AC1513" s="101">
        <v>1.4984841163672158E-2</v>
      </c>
    </row>
    <row r="1514" spans="25:29" x14ac:dyDescent="0.2">
      <c r="Y1514" s="105" t="str">
        <f t="shared" si="57"/>
        <v>1w</v>
      </c>
      <c r="Z1514" s="93">
        <f>_xll.qlCalendarAdvance(Calendar,Z1513,Y1514,"f",FALSE)</f>
        <v>49740</v>
      </c>
      <c r="AA1514" s="117">
        <f>_xll.qlCalendarAdvance(Calendar,Z1514,NDays&amp;"D")</f>
        <v>49744</v>
      </c>
      <c r="AB1514" s="92">
        <v>1.4947630145222124E-2</v>
      </c>
      <c r="AC1514" s="101">
        <v>1.4977977714742963E-2</v>
      </c>
    </row>
    <row r="1515" spans="25:29" x14ac:dyDescent="0.2">
      <c r="Y1515" s="105" t="str">
        <f t="shared" si="57"/>
        <v>1w</v>
      </c>
      <c r="Z1515" s="93">
        <f>_xll.qlCalendarAdvance(Calendar,Z1514,Y1515,"f",FALSE)</f>
        <v>49747</v>
      </c>
      <c r="AA1515" s="117">
        <f>_xll.qlCalendarAdvance(Calendar,Z1515,NDays&amp;"D")</f>
        <v>49751</v>
      </c>
      <c r="AB1515" s="92">
        <v>1.4941057380673408E-2</v>
      </c>
      <c r="AC1515" s="101">
        <v>1.4971136837198529E-2</v>
      </c>
    </row>
    <row r="1516" spans="25:29" x14ac:dyDescent="0.2">
      <c r="Y1516" s="105" t="str">
        <f t="shared" si="57"/>
        <v>1w</v>
      </c>
      <c r="Z1516" s="93">
        <f>_xll.qlCalendarAdvance(Calendar,Z1515,Y1516,"f",FALSE)</f>
        <v>49754</v>
      </c>
      <c r="AA1516" s="117">
        <f>_xll.qlCalendarAdvance(Calendar,Z1516,NDays&amp;"D")</f>
        <v>49758</v>
      </c>
      <c r="AB1516" s="92">
        <v>1.4934510037430623E-2</v>
      </c>
      <c r="AC1516" s="101">
        <v>1.4964318718009295E-2</v>
      </c>
    </row>
    <row r="1517" spans="25:29" x14ac:dyDescent="0.2">
      <c r="Y1517" s="105" t="str">
        <f t="shared" si="57"/>
        <v>1w</v>
      </c>
      <c r="Z1517" s="93">
        <f>_xll.qlCalendarAdvance(Calendar,Z1516,Y1517,"f",FALSE)</f>
        <v>49761</v>
      </c>
      <c r="AA1517" s="117">
        <f>_xll.qlCalendarAdvance(Calendar,Z1517,NDays&amp;"D")</f>
        <v>49765</v>
      </c>
      <c r="AB1517" s="92">
        <v>1.4928136511539441E-2</v>
      </c>
      <c r="AC1517" s="101">
        <v>1.4957523545104934E-2</v>
      </c>
    </row>
    <row r="1518" spans="25:29" x14ac:dyDescent="0.2">
      <c r="Y1518" s="105" t="str">
        <f t="shared" si="57"/>
        <v>1w</v>
      </c>
      <c r="Z1518" s="93">
        <f>_xll.qlCalendarAdvance(Calendar,Z1517,Y1518,"f",FALSE)</f>
        <v>49768</v>
      </c>
      <c r="AA1518" s="117">
        <f>_xll.qlCalendarAdvance(Calendar,Z1518,NDays&amp;"D")</f>
        <v>49772</v>
      </c>
      <c r="AB1518" s="92">
        <v>1.4921638937075397E-2</v>
      </c>
      <c r="AC1518" s="101">
        <v>1.4950751505375948E-2</v>
      </c>
    </row>
    <row r="1519" spans="25:29" x14ac:dyDescent="0.2">
      <c r="Y1519" s="105" t="str">
        <f t="shared" si="57"/>
        <v>1w</v>
      </c>
      <c r="Z1519" s="93">
        <f>_xll.qlCalendarAdvance(Calendar,Z1518,Y1519,"f",FALSE)</f>
        <v>49775</v>
      </c>
      <c r="AA1519" s="117">
        <f>_xll.qlCalendarAdvance(Calendar,Z1519,NDays&amp;"D")</f>
        <v>49781</v>
      </c>
      <c r="AB1519" s="92">
        <v>1.4913323102598417E-2</v>
      </c>
      <c r="AC1519" s="101">
        <v>1.4942078890749499E-2</v>
      </c>
    </row>
    <row r="1520" spans="25:29" x14ac:dyDescent="0.2">
      <c r="Y1520" s="105" t="str">
        <f t="shared" si="57"/>
        <v>1w</v>
      </c>
      <c r="Z1520" s="93">
        <f>_xll.qlCalendarAdvance(Calendar,Z1519,Y1520,"f",FALSE)</f>
        <v>49782</v>
      </c>
      <c r="AA1520" s="117">
        <f>_xll.qlCalendarAdvance(Calendar,Z1520,NDays&amp;"D")</f>
        <v>49786</v>
      </c>
      <c r="AB1520" s="92">
        <v>1.4908721893741431E-2</v>
      </c>
      <c r="AC1520" s="101">
        <v>1.4937277575803876E-2</v>
      </c>
    </row>
    <row r="1521" spans="25:29" x14ac:dyDescent="0.2">
      <c r="Y1521" s="105" t="str">
        <f t="shared" si="57"/>
        <v>1w</v>
      </c>
      <c r="Z1521" s="93">
        <f>_xll.qlCalendarAdvance(Calendar,Z1520,Y1521,"f",FALSE)</f>
        <v>49789</v>
      </c>
      <c r="AA1521" s="117">
        <f>_xll.qlCalendarAdvance(Calendar,Z1521,NDays&amp;"D")</f>
        <v>49793</v>
      </c>
      <c r="AB1521" s="92">
        <v>1.4902302801983186E-2</v>
      </c>
      <c r="AC1521" s="101">
        <v>1.4930576060780965E-2</v>
      </c>
    </row>
    <row r="1522" spans="25:29" x14ac:dyDescent="0.2">
      <c r="Y1522" s="105" t="str">
        <f t="shared" si="57"/>
        <v>1w</v>
      </c>
      <c r="Z1522" s="93">
        <f>_xll.qlCalendarAdvance(Calendar,Z1521,Y1522,"f",FALSE)</f>
        <v>49797</v>
      </c>
      <c r="AA1522" s="117">
        <f>_xll.qlCalendarAdvance(Calendar,Z1522,NDays&amp;"D")</f>
        <v>49801</v>
      </c>
      <c r="AB1522" s="92">
        <v>1.4894859584250719E-2</v>
      </c>
      <c r="AC1522" s="101">
        <v>1.4922946441604523E-2</v>
      </c>
    </row>
    <row r="1523" spans="25:29" x14ac:dyDescent="0.2">
      <c r="Y1523" s="105" t="str">
        <f t="shared" si="57"/>
        <v>1w</v>
      </c>
      <c r="Z1523" s="93">
        <f>_xll.qlCalendarAdvance(Calendar,Z1522,Y1523,"f",FALSE)</f>
        <v>49804</v>
      </c>
      <c r="AA1523" s="117">
        <f>_xll.qlCalendarAdvance(Calendar,Z1523,NDays&amp;"D")</f>
        <v>49808</v>
      </c>
      <c r="AB1523" s="92">
        <v>1.4888499305517902E-2</v>
      </c>
      <c r="AC1523" s="101">
        <v>1.4916296333860046E-2</v>
      </c>
    </row>
    <row r="1524" spans="25:29" x14ac:dyDescent="0.2">
      <c r="Y1524" s="105" t="str">
        <f t="shared" si="57"/>
        <v>1w</v>
      </c>
      <c r="Z1524" s="93">
        <f>_xll.qlCalendarAdvance(Calendar,Z1523,Y1524,"f",FALSE)</f>
        <v>49811</v>
      </c>
      <c r="AA1524" s="117">
        <f>_xll.qlCalendarAdvance(Calendar,Z1524,NDays&amp;"D")</f>
        <v>49815</v>
      </c>
      <c r="AB1524" s="92">
        <v>1.4882165983523231E-2</v>
      </c>
      <c r="AC1524" s="101">
        <v>1.4909670510609985E-2</v>
      </c>
    </row>
    <row r="1525" spans="25:29" x14ac:dyDescent="0.2">
      <c r="Y1525" s="105" t="str">
        <f t="shared" si="57"/>
        <v>1w</v>
      </c>
      <c r="Z1525" s="93">
        <f>_xll.qlCalendarAdvance(Calendar,Z1524,Y1525,"f",FALSE)</f>
        <v>49818</v>
      </c>
      <c r="AA1525" s="117">
        <f>_xll.qlCalendarAdvance(Calendar,Z1525,NDays&amp;"D")</f>
        <v>49822</v>
      </c>
      <c r="AB1525" s="92">
        <v>1.4875859806823702E-2</v>
      </c>
      <c r="AC1525" s="101">
        <v>1.4903069159224458E-2</v>
      </c>
    </row>
    <row r="1526" spans="25:29" x14ac:dyDescent="0.2">
      <c r="Y1526" s="105" t="str">
        <f t="shared" si="57"/>
        <v>1w</v>
      </c>
      <c r="Z1526" s="93">
        <f>_xll.qlCalendarAdvance(Calendar,Z1525,Y1526,"f",FALSE)</f>
        <v>49825</v>
      </c>
      <c r="AA1526" s="117">
        <f>_xll.qlCalendarAdvance(Calendar,Z1526,NDays&amp;"D")</f>
        <v>49829</v>
      </c>
      <c r="AB1526" s="92">
        <v>1.4869713635281121E-2</v>
      </c>
      <c r="AC1526" s="101">
        <v>1.4896492467233458E-2</v>
      </c>
    </row>
    <row r="1527" spans="25:29" x14ac:dyDescent="0.2">
      <c r="Y1527" s="105" t="str">
        <f t="shared" si="57"/>
        <v>1w</v>
      </c>
      <c r="Z1527" s="93">
        <f>_xll.qlCalendarAdvance(Calendar,Z1526,Y1527,"f",FALSE)</f>
        <v>49832</v>
      </c>
      <c r="AA1527" s="117">
        <f>_xll.qlCalendarAdvance(Calendar,Z1527,NDays&amp;"D")</f>
        <v>49836</v>
      </c>
      <c r="AB1527" s="92">
        <v>1.4863460541059465E-2</v>
      </c>
      <c r="AC1527" s="101">
        <v>1.4889940622007103E-2</v>
      </c>
    </row>
    <row r="1528" spans="25:29" x14ac:dyDescent="0.2">
      <c r="Y1528" s="105" t="str">
        <f t="shared" si="57"/>
        <v>1w</v>
      </c>
      <c r="Z1528" s="93">
        <f>_xll.qlCalendarAdvance(Calendar,Z1527,Y1528,"f",FALSE)</f>
        <v>49839</v>
      </c>
      <c r="AA1528" s="117">
        <f>_xll.qlCalendarAdvance(Calendar,Z1528,NDays&amp;"D")</f>
        <v>49843</v>
      </c>
      <c r="AB1528" s="92">
        <v>1.4857235143076993E-2</v>
      </c>
      <c r="AC1528" s="101">
        <v>1.4883413810755641E-2</v>
      </c>
    </row>
    <row r="1529" spans="25:29" x14ac:dyDescent="0.2">
      <c r="Y1529" s="105" t="str">
        <f t="shared" si="57"/>
        <v>1w</v>
      </c>
      <c r="Z1529" s="93">
        <f>_xll.qlCalendarAdvance(Calendar,Z1528,Y1529,"f",FALSE)</f>
        <v>49846</v>
      </c>
      <c r="AA1529" s="117">
        <f>_xll.qlCalendarAdvance(Calendar,Z1529,NDays&amp;"D")</f>
        <v>49850</v>
      </c>
      <c r="AB1529" s="92">
        <v>1.4851037629879275E-2</v>
      </c>
      <c r="AC1529" s="101">
        <v>1.4876912221248872E-2</v>
      </c>
    </row>
    <row r="1530" spans="25:29" x14ac:dyDescent="0.2">
      <c r="Y1530" s="105" t="str">
        <f t="shared" si="57"/>
        <v>1w</v>
      </c>
      <c r="Z1530" s="93">
        <f>_xll.qlCalendarAdvance(Calendar,Z1529,Y1530,"f",FALSE)</f>
        <v>49853</v>
      </c>
      <c r="AA1530" s="117">
        <f>_xll.qlCalendarAdvance(Calendar,Z1530,NDays&amp;"D")</f>
        <v>49857</v>
      </c>
      <c r="AB1530" s="92">
        <v>1.484461738794054E-2</v>
      </c>
      <c r="AC1530" s="101">
        <v>1.4870436040537172E-2</v>
      </c>
    </row>
    <row r="1531" spans="25:29" x14ac:dyDescent="0.2">
      <c r="Y1531" s="105" t="str">
        <f t="shared" si="57"/>
        <v>1w</v>
      </c>
      <c r="Z1531" s="93">
        <f>_xll.qlCalendarAdvance(Calendar,Z1530,Y1531,"f",FALSE)</f>
        <v>49860</v>
      </c>
      <c r="AA1531" s="117">
        <f>_xll.qlCalendarAdvance(Calendar,Z1531,NDays&amp;"D")</f>
        <v>49864</v>
      </c>
      <c r="AB1531" s="92">
        <v>1.4838603356768667E-2</v>
      </c>
      <c r="AC1531" s="101">
        <v>1.486398545615053E-2</v>
      </c>
    </row>
    <row r="1532" spans="25:29" x14ac:dyDescent="0.2">
      <c r="Y1532" s="105" t="str">
        <f t="shared" si="57"/>
        <v>1w</v>
      </c>
      <c r="Z1532" s="93">
        <f>_xll.qlCalendarAdvance(Calendar,Z1531,Y1532,"f",FALSE)</f>
        <v>49867</v>
      </c>
      <c r="AA1532" s="117">
        <f>_xll.qlCalendarAdvance(Calendar,Z1532,NDays&amp;"D")</f>
        <v>49871</v>
      </c>
      <c r="AB1532" s="92">
        <v>1.4832492476583751E-2</v>
      </c>
      <c r="AC1532" s="101">
        <v>1.4857560655539004E-2</v>
      </c>
    </row>
    <row r="1533" spans="25:29" x14ac:dyDescent="0.2">
      <c r="Y1533" s="105" t="str">
        <f t="shared" si="57"/>
        <v>1w</v>
      </c>
      <c r="Z1533" s="93">
        <f>_xll.qlCalendarAdvance(Calendar,Z1532,Y1533,"f",FALSE)</f>
        <v>49874</v>
      </c>
      <c r="AA1533" s="117">
        <f>_xll.qlCalendarAdvance(Calendar,Z1533,NDays&amp;"D")</f>
        <v>49878</v>
      </c>
      <c r="AB1533" s="92">
        <v>1.4826410250093468E-2</v>
      </c>
      <c r="AC1533" s="101">
        <v>1.4851161825992776E-2</v>
      </c>
    </row>
    <row r="1534" spans="25:29" x14ac:dyDescent="0.2">
      <c r="Y1534" s="105" t="str">
        <f t="shared" si="57"/>
        <v>1w</v>
      </c>
      <c r="Z1534" s="93">
        <f>_xll.qlCalendarAdvance(Calendar,Z1533,Y1534,"f",FALSE)</f>
        <v>49881</v>
      </c>
      <c r="AA1534" s="117">
        <f>_xll.qlCalendarAdvance(Calendar,Z1534,NDays&amp;"D")</f>
        <v>49885</v>
      </c>
      <c r="AB1534" s="92">
        <v>1.4820356865843088E-2</v>
      </c>
      <c r="AC1534" s="101">
        <v>1.4844789154961902E-2</v>
      </c>
    </row>
    <row r="1535" spans="25:29" x14ac:dyDescent="0.2">
      <c r="Y1535" s="105" t="str">
        <f t="shared" si="57"/>
        <v>1w</v>
      </c>
      <c r="Z1535" s="93">
        <f>_xll.qlCalendarAdvance(Calendar,Z1534,Y1535,"f",FALSE)</f>
        <v>49888</v>
      </c>
      <c r="AA1535" s="117">
        <f>_xll.qlCalendarAdvance(Calendar,Z1535,NDays&amp;"D")</f>
        <v>49892</v>
      </c>
      <c r="AB1535" s="92">
        <v>1.4814332512377005E-2</v>
      </c>
      <c r="AC1535" s="101">
        <v>1.4838442829816501E-2</v>
      </c>
    </row>
    <row r="1536" spans="25:29" x14ac:dyDescent="0.2">
      <c r="Y1536" s="105" t="str">
        <f t="shared" si="57"/>
        <v>1w</v>
      </c>
      <c r="Z1536" s="93">
        <f>_xll.qlCalendarAdvance(Calendar,Z1535,Y1536,"f",FALSE)</f>
        <v>49895</v>
      </c>
      <c r="AA1536" s="117">
        <f>_xll.qlCalendarAdvance(Calendar,Z1536,NDays&amp;"D")</f>
        <v>49899</v>
      </c>
      <c r="AB1536" s="92">
        <v>1.4808337378237011E-2</v>
      </c>
      <c r="AC1536" s="101">
        <v>1.4832123038006628E-2</v>
      </c>
    </row>
    <row r="1537" spans="25:29" x14ac:dyDescent="0.2">
      <c r="Y1537" s="105" t="str">
        <f t="shared" si="57"/>
        <v>1w</v>
      </c>
      <c r="Z1537" s="93">
        <f>_xll.qlCalendarAdvance(Calendar,Z1536,Y1537,"f",FALSE)</f>
        <v>49902</v>
      </c>
      <c r="AA1537" s="117">
        <f>_xll.qlCalendarAdvance(Calendar,Z1537,NDays&amp;"D")</f>
        <v>49906</v>
      </c>
      <c r="AB1537" s="92">
        <v>1.48023716519662E-2</v>
      </c>
      <c r="AC1537" s="101">
        <v>1.482582996698234E-2</v>
      </c>
    </row>
    <row r="1538" spans="25:29" x14ac:dyDescent="0.2">
      <c r="Y1538" s="105" t="str">
        <f t="shared" si="57"/>
        <v>1w</v>
      </c>
      <c r="Z1538" s="93">
        <f>_xll.qlCalendarAdvance(Calendar,Z1537,Y1538,"f",FALSE)</f>
        <v>49909</v>
      </c>
      <c r="AA1538" s="117">
        <f>_xll.qlCalendarAdvance(Calendar,Z1538,NDays&amp;"D")</f>
        <v>49913</v>
      </c>
      <c r="AB1538" s="92">
        <v>1.4796435522104192E-2</v>
      </c>
      <c r="AC1538" s="101">
        <v>1.481956380403382E-2</v>
      </c>
    </row>
    <row r="1539" spans="25:29" x14ac:dyDescent="0.2">
      <c r="Y1539" s="105" t="str">
        <f t="shared" si="57"/>
        <v>1w</v>
      </c>
      <c r="Z1539" s="93">
        <f>_xll.qlCalendarAdvance(Calendar,Z1538,Y1539,"f",FALSE)</f>
        <v>49916</v>
      </c>
      <c r="AA1539" s="117">
        <f>_xll.qlCalendarAdvance(Calendar,Z1539,NDays&amp;"D")</f>
        <v>49920</v>
      </c>
      <c r="AB1539" s="92">
        <v>1.4790855125537692E-2</v>
      </c>
      <c r="AC1539" s="101">
        <v>1.481332473645125E-2</v>
      </c>
    </row>
    <row r="1540" spans="25:29" x14ac:dyDescent="0.2">
      <c r="Y1540" s="105" t="str">
        <f t="shared" si="57"/>
        <v>1w</v>
      </c>
      <c r="Z1540" s="93">
        <f>_xll.qlCalendarAdvance(Calendar,Z1539,Y1540,"f",FALSE)</f>
        <v>49923</v>
      </c>
      <c r="AA1540" s="117">
        <f>_xll.qlCalendarAdvance(Calendar,Z1540,NDays&amp;"D")</f>
        <v>49927</v>
      </c>
      <c r="AB1540" s="92">
        <v>1.4784972861880755E-2</v>
      </c>
      <c r="AC1540" s="101">
        <v>1.4807112951924495E-2</v>
      </c>
    </row>
    <row r="1541" spans="25:29" x14ac:dyDescent="0.2">
      <c r="Y1541" s="105" t="str">
        <f t="shared" si="57"/>
        <v>1w</v>
      </c>
      <c r="Z1541" s="93">
        <f>_xll.qlCalendarAdvance(Calendar,Z1540,Y1541,"f",FALSE)</f>
        <v>49930</v>
      </c>
      <c r="AA1541" s="117">
        <f>_xll.qlCalendarAdvance(Calendar,Z1541,NDays&amp;"D")</f>
        <v>49934</v>
      </c>
      <c r="AB1541" s="92">
        <v>1.4779120715867886E-2</v>
      </c>
      <c r="AC1541" s="101">
        <v>1.480092863750393E-2</v>
      </c>
    </row>
    <row r="1542" spans="25:29" x14ac:dyDescent="0.2">
      <c r="Y1542" s="105" t="str">
        <f t="shared" si="57"/>
        <v>1w</v>
      </c>
      <c r="Z1542" s="93">
        <f>_xll.qlCalendarAdvance(Calendar,Z1541,Y1542,"f",FALSE)</f>
        <v>49937</v>
      </c>
      <c r="AA1542" s="117">
        <f>_xll.qlCalendarAdvance(Calendar,Z1542,NDays&amp;"D")</f>
        <v>49941</v>
      </c>
      <c r="AB1542" s="92">
        <v>1.4773298876017901E-2</v>
      </c>
      <c r="AC1542" s="101">
        <v>1.4794771980959354E-2</v>
      </c>
    </row>
    <row r="1543" spans="25:29" x14ac:dyDescent="0.2">
      <c r="Y1543" s="105" t="str">
        <f t="shared" si="57"/>
        <v>1w</v>
      </c>
      <c r="Z1543" s="93">
        <f>_xll.qlCalendarAdvance(Calendar,Z1542,Y1543,"f",FALSE)</f>
        <v>49944</v>
      </c>
      <c r="AA1543" s="117">
        <f>_xll.qlCalendarAdvance(Calendar,Z1543,NDays&amp;"D")</f>
        <v>49948</v>
      </c>
      <c r="AB1543" s="92">
        <v>1.4767406633994631E-2</v>
      </c>
      <c r="AC1543" s="101">
        <v>1.4788643169421078E-2</v>
      </c>
    </row>
    <row r="1544" spans="25:29" x14ac:dyDescent="0.2">
      <c r="Y1544" s="105" t="str">
        <f t="shared" si="57"/>
        <v>1w</v>
      </c>
      <c r="Z1544" s="93">
        <f>_xll.qlCalendarAdvance(Calendar,Z1543,Y1544,"f",FALSE)</f>
        <v>49951</v>
      </c>
      <c r="AA1544" s="117">
        <f>_xll.qlCalendarAdvance(Calendar,Z1544,NDays&amp;"D")</f>
        <v>49955</v>
      </c>
      <c r="AB1544" s="92">
        <v>1.4761647993841769E-2</v>
      </c>
      <c r="AC1544" s="101">
        <v>1.478254239033916E-2</v>
      </c>
    </row>
    <row r="1545" spans="25:29" x14ac:dyDescent="0.2">
      <c r="Y1545" s="105" t="str">
        <f t="shared" si="57"/>
        <v>1w</v>
      </c>
      <c r="Z1545" s="93">
        <f>_xll.qlCalendarAdvance(Calendar,Z1544,Y1545,"f",FALSE)</f>
        <v>49958</v>
      </c>
      <c r="AA1545" s="117">
        <f>_xll.qlCalendarAdvance(Calendar,Z1545,NDays&amp;"D")</f>
        <v>49962</v>
      </c>
      <c r="AB1545" s="92">
        <v>1.4755920240220481E-2</v>
      </c>
      <c r="AC1545" s="101">
        <v>1.4776469831163652E-2</v>
      </c>
    </row>
    <row r="1546" spans="25:29" x14ac:dyDescent="0.2">
      <c r="Y1546" s="105" t="str">
        <f t="shared" si="57"/>
        <v>1w</v>
      </c>
      <c r="Z1546" s="93">
        <f>_xll.qlCalendarAdvance(Calendar,Z1545,Y1546,"f",FALSE)</f>
        <v>49965</v>
      </c>
      <c r="AA1546" s="117">
        <f>_xll.qlCalendarAdvance(Calendar,Z1546,NDays&amp;"D")</f>
        <v>49969</v>
      </c>
      <c r="AB1546" s="92">
        <v>1.4750223561652053E-2</v>
      </c>
      <c r="AC1546" s="101">
        <v>1.4770425679344612E-2</v>
      </c>
    </row>
    <row r="1547" spans="25:29" x14ac:dyDescent="0.2">
      <c r="Y1547" s="105" t="str">
        <f t="shared" si="57"/>
        <v>1w</v>
      </c>
      <c r="Z1547" s="93">
        <f>_xll.qlCalendarAdvance(Calendar,Z1546,Y1547,"f",FALSE)</f>
        <v>49972</v>
      </c>
      <c r="AA1547" s="117">
        <f>_xll.qlCalendarAdvance(Calendar,Z1547,NDays&amp;"D")</f>
        <v>49976</v>
      </c>
      <c r="AB1547" s="92">
        <v>1.4744558146657332E-2</v>
      </c>
      <c r="AC1547" s="101">
        <v>1.4764410122092286E-2</v>
      </c>
    </row>
    <row r="1548" spans="25:29" x14ac:dyDescent="0.2">
      <c r="Y1548" s="105" t="str">
        <f t="shared" si="57"/>
        <v>1w</v>
      </c>
      <c r="Z1548" s="93">
        <f>_xll.qlCalendarAdvance(Calendar,Z1547,Y1548,"f",FALSE)</f>
        <v>49979</v>
      </c>
      <c r="AA1548" s="117">
        <f>_xll.qlCalendarAdvance(Calendar,Z1548,NDays&amp;"D")</f>
        <v>49983</v>
      </c>
      <c r="AB1548" s="92">
        <v>1.4739014823267565E-2</v>
      </c>
      <c r="AC1548" s="101">
        <v>1.4758423346936667E-2</v>
      </c>
    </row>
    <row r="1549" spans="25:29" x14ac:dyDescent="0.2">
      <c r="Y1549" s="105" t="str">
        <f t="shared" si="57"/>
        <v>1w</v>
      </c>
      <c r="Z1549" s="93">
        <f>_xll.qlCalendarAdvance(Calendar,Z1548,Y1549,"f",FALSE)</f>
        <v>49986</v>
      </c>
      <c r="AA1549" s="117">
        <f>_xll.qlCalendarAdvance(Calendar,Z1549,NDays&amp;"D")</f>
        <v>49990</v>
      </c>
      <c r="AB1549" s="92">
        <v>1.4733410405009912E-2</v>
      </c>
      <c r="AC1549" s="101">
        <v>1.4752465541167936E-2</v>
      </c>
    </row>
    <row r="1550" spans="25:29" x14ac:dyDescent="0.2">
      <c r="Y1550" s="105" t="str">
        <f t="shared" si="57"/>
        <v>1w</v>
      </c>
      <c r="Z1550" s="93">
        <f>_xll.qlCalendarAdvance(Calendar,Z1549,Y1550,"f",FALSE)</f>
        <v>49993</v>
      </c>
      <c r="AA1550" s="117">
        <f>_xll.qlCalendarAdvance(Calendar,Z1550,NDays&amp;"D")</f>
        <v>49997</v>
      </c>
      <c r="AB1550" s="92">
        <v>1.472783780103562E-2</v>
      </c>
      <c r="AC1550" s="101">
        <v>1.4746536892316087E-2</v>
      </c>
    </row>
    <row r="1551" spans="25:29" x14ac:dyDescent="0.2">
      <c r="Y1551" s="105" t="str">
        <f t="shared" si="57"/>
        <v>1w</v>
      </c>
      <c r="Z1551" s="93">
        <f>_xll.qlCalendarAdvance(Calendar,Z1550,Y1551,"f",FALSE)</f>
        <v>50000</v>
      </c>
      <c r="AA1551" s="117">
        <f>_xll.qlCalendarAdvance(Calendar,Z1551,NDays&amp;"D")</f>
        <v>50004</v>
      </c>
      <c r="AB1551" s="92">
        <v>1.4722297199858207E-2</v>
      </c>
      <c r="AC1551" s="101">
        <v>1.4740637587751237E-2</v>
      </c>
    </row>
    <row r="1552" spans="25:29" x14ac:dyDescent="0.2">
      <c r="Y1552" s="105" t="str">
        <f t="shared" si="57"/>
        <v>1w</v>
      </c>
      <c r="Z1552" s="93">
        <f>_xll.qlCalendarAdvance(Calendar,Z1551,Y1552,"f",FALSE)</f>
        <v>50007</v>
      </c>
      <c r="AA1552" s="117">
        <f>_xll.qlCalendarAdvance(Calendar,Z1552,NDays&amp;"D")</f>
        <v>50011</v>
      </c>
      <c r="AB1552" s="92">
        <v>1.4716706623483429E-2</v>
      </c>
      <c r="AC1552" s="101">
        <v>1.4734767814923444E-2</v>
      </c>
    </row>
    <row r="1553" spans="25:29" x14ac:dyDescent="0.2">
      <c r="Y1553" s="105" t="str">
        <f t="shared" si="57"/>
        <v>1w</v>
      </c>
      <c r="Z1553" s="93">
        <f>_xll.qlCalendarAdvance(Calendar,Z1552,Y1553,"f",FALSE)</f>
        <v>50014</v>
      </c>
      <c r="AA1553" s="117">
        <f>_xll.qlCalendarAdvance(Calendar,Z1553,NDays&amp;"D")</f>
        <v>50018</v>
      </c>
      <c r="AB1553" s="92">
        <v>1.4711232748836687E-2</v>
      </c>
      <c r="AC1553" s="101">
        <v>1.4728927760963018E-2</v>
      </c>
    </row>
    <row r="1554" spans="25:29" x14ac:dyDescent="0.2">
      <c r="Y1554" s="105" t="str">
        <f t="shared" si="57"/>
        <v>1w</v>
      </c>
      <c r="Z1554" s="93">
        <f>_xll.qlCalendarAdvance(Calendar,Z1553,Y1554,"f",FALSE)</f>
        <v>50021</v>
      </c>
      <c r="AA1554" s="117">
        <f>_xll.qlCalendarAdvance(Calendar,Z1554,NDays&amp;"D")</f>
        <v>50025</v>
      </c>
      <c r="AB1554" s="92">
        <v>1.4705791457394212E-2</v>
      </c>
      <c r="AC1554" s="101">
        <v>1.4723117613559822E-2</v>
      </c>
    </row>
    <row r="1555" spans="25:29" x14ac:dyDescent="0.2">
      <c r="Y1555" s="105" t="str">
        <f t="shared" si="57"/>
        <v>1w</v>
      </c>
      <c r="Z1555" s="93">
        <f>_xll.qlCalendarAdvance(Calendar,Z1554,Y1555,"f",FALSE)</f>
        <v>50028</v>
      </c>
      <c r="AA1555" s="117">
        <f>_xll.qlCalendarAdvance(Calendar,Z1555,NDays&amp;"D")</f>
        <v>50032</v>
      </c>
      <c r="AB1555" s="92">
        <v>1.470038293767114E-2</v>
      </c>
      <c r="AC1555" s="101">
        <v>1.471733756000404E-2</v>
      </c>
    </row>
    <row r="1556" spans="25:29" x14ac:dyDescent="0.2">
      <c r="Y1556" s="105" t="str">
        <f t="shared" si="57"/>
        <v>1w</v>
      </c>
      <c r="Z1556" s="93">
        <f>_xll.qlCalendarAdvance(Calendar,Z1555,Y1556,"f",FALSE)</f>
        <v>50038</v>
      </c>
      <c r="AA1556" s="117">
        <f>_xll.qlCalendarAdvance(Calendar,Z1556,NDays&amp;"D")</f>
        <v>50040</v>
      </c>
      <c r="AB1556" s="92">
        <v>1.4694315282852404E-2</v>
      </c>
      <c r="AC1556" s="101">
        <v>1.4710660277197363E-2</v>
      </c>
    </row>
    <row r="1557" spans="25:29" x14ac:dyDescent="0.2">
      <c r="Y1557" s="105" t="str">
        <f t="shared" ref="Y1557:Y1620" si="58">Y1556</f>
        <v>1w</v>
      </c>
      <c r="Z1557" s="93">
        <f>_xll.qlCalendarAdvance(Calendar,Z1556,Y1557,"f",FALSE)</f>
        <v>50045</v>
      </c>
      <c r="AA1557" s="117">
        <f>_xll.qlCalendarAdvance(Calendar,Z1557,NDays&amp;"D")</f>
        <v>50047</v>
      </c>
      <c r="AB1557" s="92">
        <v>1.4688975405977585E-2</v>
      </c>
      <c r="AC1557" s="101">
        <v>1.4705053938763868E-2</v>
      </c>
    </row>
    <row r="1558" spans="25:29" x14ac:dyDescent="0.2">
      <c r="Y1558" s="105" t="str">
        <f t="shared" si="58"/>
        <v>1w</v>
      </c>
      <c r="Z1558" s="93">
        <f>_xll.qlCalendarAdvance(Calendar,Z1557,Y1558,"f",FALSE)</f>
        <v>50052</v>
      </c>
      <c r="AA1558" s="117">
        <f>_xll.qlCalendarAdvance(Calendar,Z1558,NDays&amp;"D")</f>
        <v>50054</v>
      </c>
      <c r="AB1558" s="92">
        <v>1.4683668878400452E-2</v>
      </c>
      <c r="AC1558" s="101">
        <v>1.4699369685855501E-2</v>
      </c>
    </row>
    <row r="1559" spans="25:29" x14ac:dyDescent="0.2">
      <c r="Y1559" s="105" t="str">
        <f t="shared" si="58"/>
        <v>1w</v>
      </c>
      <c r="Z1559" s="93">
        <f>_xll.qlCalendarAdvance(Calendar,Z1558,Y1559,"f",FALSE)</f>
        <v>50059</v>
      </c>
      <c r="AA1559" s="117">
        <f>_xll.qlCalendarAdvance(Calendar,Z1559,NDays&amp;"D")</f>
        <v>50061</v>
      </c>
      <c r="AB1559" s="92">
        <v>1.4678395888629663E-2</v>
      </c>
      <c r="AC1559" s="101">
        <v>1.4693716303133542E-2</v>
      </c>
    </row>
    <row r="1560" spans="25:29" x14ac:dyDescent="0.2">
      <c r="Y1560" s="105" t="str">
        <f t="shared" si="58"/>
        <v>1w</v>
      </c>
      <c r="Z1560" s="93">
        <f>_xll.qlCalendarAdvance(Calendar,Z1559,Y1560,"f",FALSE)</f>
        <v>50066</v>
      </c>
      <c r="AA1560" s="117">
        <f>_xll.qlCalendarAdvance(Calendar,Z1560,NDays&amp;"D")</f>
        <v>50068</v>
      </c>
      <c r="AB1560" s="92">
        <v>1.4673156625173876E-2</v>
      </c>
      <c r="AC1560" s="101">
        <v>1.4688093977968109E-2</v>
      </c>
    </row>
    <row r="1561" spans="25:29" x14ac:dyDescent="0.2">
      <c r="Y1561" s="105" t="str">
        <f t="shared" si="58"/>
        <v>1w</v>
      </c>
      <c r="Z1561" s="93">
        <f>_xll.qlCalendarAdvance(Calendar,Z1560,Y1561,"f",FALSE)</f>
        <v>50073</v>
      </c>
      <c r="AA1561" s="117">
        <f>_xll.qlCalendarAdvance(Calendar,Z1561,NDays&amp;"D")</f>
        <v>50075</v>
      </c>
      <c r="AB1561" s="92">
        <v>1.4667951276540862E-2</v>
      </c>
      <c r="AC1561" s="101">
        <v>1.4682502897889194E-2</v>
      </c>
    </row>
    <row r="1562" spans="25:29" x14ac:dyDescent="0.2">
      <c r="Y1562" s="105" t="str">
        <f t="shared" si="58"/>
        <v>1w</v>
      </c>
      <c r="Z1562" s="93">
        <f>_xll.qlCalendarAdvance(Calendar,Z1561,Y1562,"f",FALSE)</f>
        <v>50080</v>
      </c>
      <c r="AA1562" s="117">
        <f>_xll.qlCalendarAdvance(Calendar,Z1562,NDays&amp;"D")</f>
        <v>50082</v>
      </c>
      <c r="AB1562" s="92">
        <v>1.4662780031237952E-2</v>
      </c>
      <c r="AC1562" s="101">
        <v>1.4676943250107044E-2</v>
      </c>
    </row>
    <row r="1563" spans="25:29" x14ac:dyDescent="0.2">
      <c r="Y1563" s="105" t="str">
        <f t="shared" si="58"/>
        <v>1w</v>
      </c>
      <c r="Z1563" s="93">
        <f>_xll.qlCalendarAdvance(Calendar,Z1562,Y1563,"f",FALSE)</f>
        <v>50087</v>
      </c>
      <c r="AA1563" s="117">
        <f>_xll.qlCalendarAdvance(Calendar,Z1563,NDays&amp;"D")</f>
        <v>50089</v>
      </c>
      <c r="AB1563" s="92">
        <v>1.4657643077772477E-2</v>
      </c>
      <c r="AC1563" s="101">
        <v>1.4671415222231587E-2</v>
      </c>
    </row>
    <row r="1564" spans="25:29" x14ac:dyDescent="0.2">
      <c r="Y1564" s="105" t="str">
        <f t="shared" si="58"/>
        <v>1w</v>
      </c>
      <c r="Z1564" s="93">
        <f>_xll.qlCalendarAdvance(Calendar,Z1563,Y1564,"f",FALSE)</f>
        <v>50094</v>
      </c>
      <c r="AA1564" s="117">
        <f>_xll.qlCalendarAdvance(Calendar,Z1564,NDays&amp;"D")</f>
        <v>50096</v>
      </c>
      <c r="AB1564" s="92">
        <v>1.4652540604653095E-2</v>
      </c>
      <c r="AC1564" s="101">
        <v>1.4665919001473071E-2</v>
      </c>
    </row>
    <row r="1565" spans="25:29" x14ac:dyDescent="0.2">
      <c r="Y1565" s="105" t="str">
        <f t="shared" si="58"/>
        <v>1w</v>
      </c>
      <c r="Z1565" s="93">
        <f>_xll.qlCalendarAdvance(Calendar,Z1564,Y1565,"f",FALSE)</f>
        <v>50101</v>
      </c>
      <c r="AA1565" s="117">
        <f>_xll.qlCalendarAdvance(Calendar,Z1565,NDays&amp;"D")</f>
        <v>50103</v>
      </c>
      <c r="AB1565" s="92">
        <v>1.4647315527264993E-2</v>
      </c>
      <c r="AC1565" s="101">
        <v>1.4660454775281551E-2</v>
      </c>
    </row>
    <row r="1566" spans="25:29" x14ac:dyDescent="0.2">
      <c r="Y1566" s="105" t="str">
        <f t="shared" si="58"/>
        <v>1w</v>
      </c>
      <c r="Z1566" s="93">
        <f>_xll.qlCalendarAdvance(Calendar,Z1565,Y1566,"f",FALSE)</f>
        <v>50108</v>
      </c>
      <c r="AA1566" s="117">
        <f>_xll.qlCalendarAdvance(Calendar,Z1566,NDays&amp;"D")</f>
        <v>50110</v>
      </c>
      <c r="AB1566" s="92">
        <v>1.4642289638964674E-2</v>
      </c>
      <c r="AC1566" s="101">
        <v>1.4655022731107081E-2</v>
      </c>
    </row>
    <row r="1567" spans="25:29" x14ac:dyDescent="0.2">
      <c r="Y1567" s="105" t="str">
        <f t="shared" si="58"/>
        <v>1w</v>
      </c>
      <c r="Z1567" s="93">
        <f>_xll.qlCalendarAdvance(Calendar,Z1566,Y1567,"f",FALSE)</f>
        <v>50115</v>
      </c>
      <c r="AA1567" s="117">
        <f>_xll.qlCalendarAdvance(Calendar,Z1567,NDays&amp;"D")</f>
        <v>50117</v>
      </c>
      <c r="AB1567" s="92">
        <v>1.4637298841398153E-2</v>
      </c>
      <c r="AC1567" s="101">
        <v>1.4649623056239847E-2</v>
      </c>
    </row>
    <row r="1568" spans="25:29" x14ac:dyDescent="0.2">
      <c r="Y1568" s="105" t="str">
        <f t="shared" si="58"/>
        <v>1w</v>
      </c>
      <c r="Z1568" s="93">
        <f>_xll.qlCalendarAdvance(Calendar,Z1567,Y1568,"f",FALSE)</f>
        <v>50122</v>
      </c>
      <c r="AA1568" s="117">
        <f>_xll.qlCalendarAdvance(Calendar,Z1568,NDays&amp;"D")</f>
        <v>50124</v>
      </c>
      <c r="AB1568" s="92">
        <v>1.4632343323090709E-2</v>
      </c>
      <c r="AC1568" s="101">
        <v>1.4644255938209838E-2</v>
      </c>
    </row>
    <row r="1569" spans="25:29" x14ac:dyDescent="0.2">
      <c r="Y1569" s="105" t="str">
        <f t="shared" si="58"/>
        <v>1w</v>
      </c>
      <c r="Z1569" s="93">
        <f>_xll.qlCalendarAdvance(Calendar,Z1568,Y1569,"f",FALSE)</f>
        <v>50129</v>
      </c>
      <c r="AA1569" s="117">
        <f>_xll.qlCalendarAdvance(Calendar,Z1569,NDays&amp;"D")</f>
        <v>50131</v>
      </c>
      <c r="AB1569" s="92">
        <v>1.4627465964396383E-2</v>
      </c>
      <c r="AC1569" s="101">
        <v>1.4638921564387175E-2</v>
      </c>
    </row>
    <row r="1570" spans="25:29" x14ac:dyDescent="0.2">
      <c r="Y1570" s="105" t="str">
        <f t="shared" si="58"/>
        <v>1w</v>
      </c>
      <c r="Z1570" s="93">
        <f>_xll.qlCalendarAdvance(Calendar,Z1569,Y1570,"f",FALSE)</f>
        <v>50137</v>
      </c>
      <c r="AA1570" s="117">
        <f>_xll.qlCalendarAdvance(Calendar,Z1570,NDays&amp;"D")</f>
        <v>50139</v>
      </c>
      <c r="AB1570" s="92">
        <v>1.4621883960956801E-2</v>
      </c>
      <c r="AC1570" s="101">
        <v>1.4632865472359313E-2</v>
      </c>
    </row>
    <row r="1571" spans="25:29" x14ac:dyDescent="0.2">
      <c r="Y1571" s="105" t="str">
        <f t="shared" si="58"/>
        <v>1w</v>
      </c>
      <c r="Z1571" s="93">
        <f>_xll.qlCalendarAdvance(Calendar,Z1570,Y1571,"f",FALSE)</f>
        <v>50144</v>
      </c>
      <c r="AA1571" s="117">
        <f>_xll.qlCalendarAdvance(Calendar,Z1571,NDays&amp;"D")</f>
        <v>50146</v>
      </c>
      <c r="AB1571" s="92">
        <v>1.4617038116314525E-2</v>
      </c>
      <c r="AC1571" s="101">
        <v>1.4627601895584874E-2</v>
      </c>
    </row>
    <row r="1572" spans="25:29" x14ac:dyDescent="0.2">
      <c r="Y1572" s="105" t="str">
        <f t="shared" si="58"/>
        <v>1w</v>
      </c>
      <c r="Z1572" s="93">
        <f>_xll.qlCalendarAdvance(Calendar,Z1571,Y1572,"f",FALSE)</f>
        <v>50151</v>
      </c>
      <c r="AA1572" s="117">
        <f>_xll.qlCalendarAdvance(Calendar,Z1572,NDays&amp;"D")</f>
        <v>50153</v>
      </c>
      <c r="AB1572" s="92">
        <v>1.4612228316976259E-2</v>
      </c>
      <c r="AC1572" s="101">
        <v>1.4622371651986654E-2</v>
      </c>
    </row>
    <row r="1573" spans="25:29" x14ac:dyDescent="0.2">
      <c r="Y1573" s="105" t="str">
        <f t="shared" si="58"/>
        <v>1w</v>
      </c>
      <c r="Z1573" s="93">
        <f>_xll.qlCalendarAdvance(Calendar,Z1572,Y1573,"f",FALSE)</f>
        <v>50158</v>
      </c>
      <c r="AA1573" s="117">
        <f>_xll.qlCalendarAdvance(Calendar,Z1573,NDays&amp;"D")</f>
        <v>50160</v>
      </c>
      <c r="AB1573" s="92">
        <v>1.460745475146355E-2</v>
      </c>
      <c r="AC1573" s="101">
        <v>1.4616956301478634E-2</v>
      </c>
    </row>
    <row r="1574" spans="25:29" x14ac:dyDescent="0.2">
      <c r="Y1574" s="105" t="str">
        <f t="shared" si="58"/>
        <v>1w</v>
      </c>
      <c r="Z1574" s="93">
        <f>_xll.qlCalendarAdvance(Calendar,Z1573,Y1574,"f",FALSE)</f>
        <v>50165</v>
      </c>
      <c r="AA1574" s="117">
        <f>_xll.qlCalendarAdvance(Calendar,Z1574,NDays&amp;"D")</f>
        <v>50167</v>
      </c>
      <c r="AB1574" s="92">
        <v>1.4602627977711813E-2</v>
      </c>
      <c r="AC1574" s="101">
        <v>1.4612011913719414E-2</v>
      </c>
    </row>
    <row r="1575" spans="25:29" x14ac:dyDescent="0.2">
      <c r="Y1575" s="105" t="str">
        <f t="shared" si="58"/>
        <v>1w</v>
      </c>
      <c r="Z1575" s="93">
        <f>_xll.qlCalendarAdvance(Calendar,Z1574,Y1575,"f",FALSE)</f>
        <v>50172</v>
      </c>
      <c r="AA1575" s="117">
        <f>_xll.qlCalendarAdvance(Calendar,Z1575,NDays&amp;"D")</f>
        <v>50174</v>
      </c>
      <c r="AB1575" s="92">
        <v>1.4597934923920638E-2</v>
      </c>
      <c r="AC1575" s="101">
        <v>1.4606882793950504E-2</v>
      </c>
    </row>
    <row r="1576" spans="25:29" x14ac:dyDescent="0.2">
      <c r="Y1576" s="105" t="str">
        <f t="shared" si="58"/>
        <v>1w</v>
      </c>
      <c r="Z1576" s="93">
        <f>_xll.qlCalendarAdvance(Calendar,Z1575,Y1576,"f",FALSE)</f>
        <v>50179</v>
      </c>
      <c r="AA1576" s="117">
        <f>_xll.qlCalendarAdvance(Calendar,Z1576,NDays&amp;"D")</f>
        <v>50181</v>
      </c>
      <c r="AB1576" s="92">
        <v>1.4593278714556328E-2</v>
      </c>
      <c r="AC1576" s="101">
        <v>1.4601787756758355E-2</v>
      </c>
    </row>
    <row r="1577" spans="25:29" x14ac:dyDescent="0.2">
      <c r="Y1577" s="105" t="str">
        <f t="shared" si="58"/>
        <v>1w</v>
      </c>
      <c r="Z1577" s="93">
        <f>_xll.qlCalendarAdvance(Calendar,Z1576,Y1577,"f",FALSE)</f>
        <v>50186</v>
      </c>
      <c r="AA1577" s="117">
        <f>_xll.qlCalendarAdvance(Calendar,Z1577,NDays&amp;"D")</f>
        <v>50188</v>
      </c>
      <c r="AB1577" s="92">
        <v>1.4588659538159679E-2</v>
      </c>
      <c r="AC1577" s="101">
        <v>1.4596726989752895E-2</v>
      </c>
    </row>
    <row r="1578" spans="25:29" x14ac:dyDescent="0.2">
      <c r="Y1578" s="105" t="str">
        <f t="shared" si="58"/>
        <v>1w</v>
      </c>
      <c r="Z1578" s="93">
        <f>_xll.qlCalendarAdvance(Calendar,Z1577,Y1578,"f",FALSE)</f>
        <v>50193</v>
      </c>
      <c r="AA1578" s="117">
        <f>_xll.qlCalendarAdvance(Calendar,Z1578,NDays&amp;"D")</f>
        <v>50195</v>
      </c>
      <c r="AB1578" s="92">
        <v>1.4584137029467663E-2</v>
      </c>
      <c r="AC1578" s="101">
        <v>1.4591700680224307E-2</v>
      </c>
    </row>
    <row r="1579" spans="25:29" x14ac:dyDescent="0.2">
      <c r="Y1579" s="105" t="str">
        <f t="shared" si="58"/>
        <v>1w</v>
      </c>
      <c r="Z1579" s="93">
        <f>_xll.qlCalendarAdvance(Calendar,Z1578,Y1579,"f",FALSE)</f>
        <v>50200</v>
      </c>
      <c r="AA1579" s="117">
        <f>_xll.qlCalendarAdvance(Calendar,Z1579,NDays&amp;"D")</f>
        <v>50202</v>
      </c>
      <c r="AB1579" s="92">
        <v>1.4579584825825866E-2</v>
      </c>
      <c r="AC1579" s="101">
        <v>1.4586709015702581E-2</v>
      </c>
    </row>
    <row r="1580" spans="25:29" x14ac:dyDescent="0.2">
      <c r="Y1580" s="105" t="str">
        <f t="shared" si="58"/>
        <v>1w</v>
      </c>
      <c r="Z1580" s="93">
        <f>_xll.qlCalendarAdvance(Calendar,Z1579,Y1580,"f",FALSE)</f>
        <v>50207</v>
      </c>
      <c r="AA1580" s="117">
        <f>_xll.qlCalendarAdvance(Calendar,Z1580,NDays&amp;"D")</f>
        <v>50209</v>
      </c>
      <c r="AB1580" s="92">
        <v>1.4575070175651725E-2</v>
      </c>
      <c r="AC1580" s="101">
        <v>1.4581752183318031E-2</v>
      </c>
    </row>
    <row r="1581" spans="25:29" x14ac:dyDescent="0.2">
      <c r="Y1581" s="105" t="str">
        <f t="shared" si="58"/>
        <v>1w</v>
      </c>
      <c r="Z1581" s="93">
        <f>_xll.qlCalendarAdvance(Calendar,Z1580,Y1581,"f",FALSE)</f>
        <v>50214</v>
      </c>
      <c r="AA1581" s="117">
        <f>_xll.qlCalendarAdvance(Calendar,Z1581,NDays&amp;"D")</f>
        <v>50216</v>
      </c>
      <c r="AB1581" s="92">
        <v>1.4570556933028641E-2</v>
      </c>
      <c r="AC1581" s="101">
        <v>1.4576830370760518E-2</v>
      </c>
    </row>
    <row r="1582" spans="25:29" x14ac:dyDescent="0.2">
      <c r="Y1582" s="105" t="str">
        <f t="shared" si="58"/>
        <v>1w</v>
      </c>
      <c r="Z1582" s="93">
        <f>_xll.qlCalendarAdvance(Calendar,Z1581,Y1582,"f",FALSE)</f>
        <v>50221</v>
      </c>
      <c r="AA1582" s="117">
        <f>_xll.qlCalendarAdvance(Calendar,Z1582,NDays&amp;"D")</f>
        <v>50223</v>
      </c>
      <c r="AB1582" s="92">
        <v>1.456612574956246E-2</v>
      </c>
      <c r="AC1582" s="101">
        <v>1.4571943765240292E-2</v>
      </c>
    </row>
    <row r="1583" spans="25:29" x14ac:dyDescent="0.2">
      <c r="Y1583" s="105" t="str">
        <f t="shared" si="58"/>
        <v>1w</v>
      </c>
      <c r="Z1583" s="93">
        <f>_xll.qlCalendarAdvance(Calendar,Z1582,Y1583,"f",FALSE)</f>
        <v>50228</v>
      </c>
      <c r="AA1583" s="117">
        <f>_xll.qlCalendarAdvance(Calendar,Z1583,NDays&amp;"D")</f>
        <v>50230</v>
      </c>
      <c r="AB1583" s="92">
        <v>1.4561732730306138E-2</v>
      </c>
      <c r="AC1583" s="101">
        <v>1.4567092554287342E-2</v>
      </c>
    </row>
    <row r="1584" spans="25:29" x14ac:dyDescent="0.2">
      <c r="Y1584" s="105" t="str">
        <f t="shared" si="58"/>
        <v>1w</v>
      </c>
      <c r="Z1584" s="93">
        <f>_xll.qlCalendarAdvance(Calendar,Z1583,Y1584,"f",FALSE)</f>
        <v>50235</v>
      </c>
      <c r="AA1584" s="117">
        <f>_xll.qlCalendarAdvance(Calendar,Z1584,NDays&amp;"D")</f>
        <v>50237</v>
      </c>
      <c r="AB1584" s="92">
        <v>1.4557378063800037E-2</v>
      </c>
      <c r="AC1584" s="101">
        <v>1.4562276925191853E-2</v>
      </c>
    </row>
    <row r="1585" spans="25:29" x14ac:dyDescent="0.2">
      <c r="Y1585" s="105" t="str">
        <f t="shared" si="58"/>
        <v>1w</v>
      </c>
      <c r="Z1585" s="93">
        <f>_xll.qlCalendarAdvance(Calendar,Z1584,Y1585,"f",FALSE)</f>
        <v>50242</v>
      </c>
      <c r="AA1585" s="117">
        <f>_xll.qlCalendarAdvance(Calendar,Z1585,NDays&amp;"D")</f>
        <v>50244</v>
      </c>
      <c r="AB1585" s="92">
        <v>1.4553061938587535E-2</v>
      </c>
      <c r="AC1585" s="101">
        <v>1.4557497065403879E-2</v>
      </c>
    </row>
    <row r="1586" spans="25:29" x14ac:dyDescent="0.2">
      <c r="Y1586" s="105" t="str">
        <f t="shared" si="58"/>
        <v>1w</v>
      </c>
      <c r="Z1586" s="93">
        <f>_xll.qlCalendarAdvance(Calendar,Z1585,Y1586,"f",FALSE)</f>
        <v>50249</v>
      </c>
      <c r="AA1586" s="117">
        <f>_xll.qlCalendarAdvance(Calendar,Z1586,NDays&amp;"D")</f>
        <v>50251</v>
      </c>
      <c r="AB1586" s="92">
        <v>1.4548781454705593E-2</v>
      </c>
      <c r="AC1586" s="101">
        <v>1.4552753162213605E-2</v>
      </c>
    </row>
    <row r="1587" spans="25:29" x14ac:dyDescent="0.2">
      <c r="Y1587" s="105" t="str">
        <f t="shared" si="58"/>
        <v>1w</v>
      </c>
      <c r="Z1587" s="93">
        <f>_xll.qlCalendarAdvance(Calendar,Z1586,Y1587,"f",FALSE)</f>
        <v>50256</v>
      </c>
      <c r="AA1587" s="117">
        <f>_xll.qlCalendarAdvance(Calendar,Z1587,NDays&amp;"D")</f>
        <v>50258</v>
      </c>
      <c r="AB1587" s="92">
        <v>1.4544546066217681E-2</v>
      </c>
      <c r="AC1587" s="101">
        <v>1.4548045403230958E-2</v>
      </c>
    </row>
    <row r="1588" spans="25:29" x14ac:dyDescent="0.2">
      <c r="Y1588" s="105" t="str">
        <f t="shared" si="58"/>
        <v>1w</v>
      </c>
      <c r="Z1588" s="93">
        <f>_xll.qlCalendarAdvance(Calendar,Z1587,Y1588,"f",FALSE)</f>
        <v>50263</v>
      </c>
      <c r="AA1588" s="117">
        <f>_xll.qlCalendarAdvance(Calendar,Z1588,NDays&amp;"D")</f>
        <v>50265</v>
      </c>
      <c r="AB1588" s="92">
        <v>1.4540346696148796E-2</v>
      </c>
      <c r="AC1588" s="101">
        <v>1.4543373975586249E-2</v>
      </c>
    </row>
    <row r="1589" spans="25:29" x14ac:dyDescent="0.2">
      <c r="Y1589" s="105" t="str">
        <f t="shared" si="58"/>
        <v>1w</v>
      </c>
      <c r="Z1589" s="93">
        <f>_xll.qlCalendarAdvance(Calendar,Z1588,Y1589,"f",FALSE)</f>
        <v>50270</v>
      </c>
      <c r="AA1589" s="117">
        <f>_xll.qlCalendarAdvance(Calendar,Z1589,NDays&amp;"D")</f>
        <v>50272</v>
      </c>
      <c r="AB1589" s="92">
        <v>1.4536186621550444E-2</v>
      </c>
      <c r="AC1589" s="101">
        <v>1.4538739066969342E-2</v>
      </c>
    </row>
    <row r="1590" spans="25:29" x14ac:dyDescent="0.2">
      <c r="Y1590" s="105" t="str">
        <f t="shared" si="58"/>
        <v>1w</v>
      </c>
      <c r="Z1590" s="93">
        <f>_xll.qlCalendarAdvance(Calendar,Z1589,Y1590,"f",FALSE)</f>
        <v>50277</v>
      </c>
      <c r="AA1590" s="117">
        <f>_xll.qlCalendarAdvance(Calendar,Z1590,NDays&amp;"D")</f>
        <v>50279</v>
      </c>
      <c r="AB1590" s="92">
        <v>1.4532030589739883E-2</v>
      </c>
      <c r="AC1590" s="101">
        <v>1.4534140864430611E-2</v>
      </c>
    </row>
    <row r="1591" spans="25:29" x14ac:dyDescent="0.2">
      <c r="Y1591" s="105" t="str">
        <f t="shared" si="58"/>
        <v>1w</v>
      </c>
      <c r="Z1591" s="93">
        <f>_xll.qlCalendarAdvance(Calendar,Z1590,Y1591,"f",FALSE)</f>
        <v>50284</v>
      </c>
      <c r="AA1591" s="117">
        <f>_xll.qlCalendarAdvance(Calendar,Z1591,NDays&amp;"D")</f>
        <v>50286</v>
      </c>
      <c r="AB1591" s="92">
        <v>1.452791369893178E-2</v>
      </c>
      <c r="AC1591" s="101">
        <v>1.4529579555739858E-2</v>
      </c>
    </row>
    <row r="1592" spans="25:29" x14ac:dyDescent="0.2">
      <c r="Y1592" s="105" t="str">
        <f t="shared" si="58"/>
        <v>1w</v>
      </c>
      <c r="Z1592" s="93">
        <f>_xll.qlCalendarAdvance(Calendar,Z1591,Y1592,"f",FALSE)</f>
        <v>50291</v>
      </c>
      <c r="AA1592" s="117">
        <f>_xll.qlCalendarAdvance(Calendar,Z1592,NDays&amp;"D")</f>
        <v>50293</v>
      </c>
      <c r="AB1592" s="92">
        <v>1.4523858904962021E-2</v>
      </c>
      <c r="AC1592" s="101">
        <v>1.4525055328027392E-2</v>
      </c>
    </row>
    <row r="1593" spans="25:29" x14ac:dyDescent="0.2">
      <c r="Y1593" s="105" t="str">
        <f t="shared" si="58"/>
        <v>1w</v>
      </c>
      <c r="Z1593" s="93">
        <f>_xll.qlCalendarAdvance(Calendar,Z1592,Y1593,"f",FALSE)</f>
        <v>50298</v>
      </c>
      <c r="AA1593" s="117">
        <f>_xll.qlCalendarAdvance(Calendar,Z1593,NDays&amp;"D")</f>
        <v>50300</v>
      </c>
      <c r="AB1593" s="92">
        <v>1.4519844085053451E-2</v>
      </c>
      <c r="AC1593" s="101">
        <v>1.4520568368903142E-2</v>
      </c>
    </row>
    <row r="1594" spans="25:29" x14ac:dyDescent="0.2">
      <c r="Y1594" s="105" t="str">
        <f t="shared" si="58"/>
        <v>1w</v>
      </c>
      <c r="Z1594" s="93">
        <f>_xll.qlCalendarAdvance(Calendar,Z1593,Y1594,"f",FALSE)</f>
        <v>50305</v>
      </c>
      <c r="AA1594" s="117">
        <f>_xll.qlCalendarAdvance(Calendar,Z1594,NDays&amp;"D")</f>
        <v>50307</v>
      </c>
      <c r="AB1594" s="92">
        <v>1.4515869427724882E-2</v>
      </c>
      <c r="AC1594" s="101">
        <v>1.4516118865497418E-2</v>
      </c>
    </row>
    <row r="1595" spans="25:29" x14ac:dyDescent="0.2">
      <c r="Y1595" s="105" t="str">
        <f t="shared" si="58"/>
        <v>1w</v>
      </c>
      <c r="Z1595" s="93">
        <f>_xll.qlCalendarAdvance(Calendar,Z1594,Y1595,"f",FALSE)</f>
        <v>50312</v>
      </c>
      <c r="AA1595" s="117">
        <f>_xll.qlCalendarAdvance(Calendar,Z1595,NDays&amp;"D")</f>
        <v>50314</v>
      </c>
      <c r="AB1595" s="92">
        <v>1.4511959943154204E-2</v>
      </c>
      <c r="AC1595" s="101">
        <v>1.4511707005420149E-2</v>
      </c>
    </row>
    <row r="1596" spans="25:29" x14ac:dyDescent="0.2">
      <c r="Y1596" s="105" t="str">
        <f t="shared" si="58"/>
        <v>1w</v>
      </c>
      <c r="Z1596" s="93">
        <f>_xll.qlCalendarAdvance(Calendar,Z1595,Y1596,"f",FALSE)</f>
        <v>50319</v>
      </c>
      <c r="AA1596" s="117">
        <f>_xll.qlCalendarAdvance(Calendar,Z1596,NDays&amp;"D")</f>
        <v>50321</v>
      </c>
      <c r="AB1596" s="92">
        <v>1.4508068981429518E-2</v>
      </c>
      <c r="AC1596" s="101">
        <v>1.4507332975881582E-2</v>
      </c>
    </row>
    <row r="1597" spans="25:29" x14ac:dyDescent="0.2">
      <c r="Y1597" s="105" t="str">
        <f t="shared" si="58"/>
        <v>1w</v>
      </c>
      <c r="Z1597" s="93">
        <f>_xll.qlCalendarAdvance(Calendar,Z1596,Y1597,"f",FALSE)</f>
        <v>50326</v>
      </c>
      <c r="AA1597" s="117">
        <f>_xll.qlCalendarAdvance(Calendar,Z1597,NDays&amp;"D")</f>
        <v>50328</v>
      </c>
      <c r="AB1597" s="92">
        <v>1.4504218762986109E-2</v>
      </c>
      <c r="AC1597" s="101">
        <v>1.4502996964491643E-2</v>
      </c>
    </row>
    <row r="1598" spans="25:29" x14ac:dyDescent="0.2">
      <c r="Y1598" s="105" t="str">
        <f t="shared" si="58"/>
        <v>1w</v>
      </c>
      <c r="Z1598" s="93">
        <f>_xll.qlCalendarAdvance(Calendar,Z1597,Y1598,"f",FALSE)</f>
        <v>50333</v>
      </c>
      <c r="AA1598" s="117">
        <f>_xll.qlCalendarAdvance(Calendar,Z1598,NDays&amp;"D")</f>
        <v>50335</v>
      </c>
      <c r="AB1598" s="92">
        <v>1.4500409476353169E-2</v>
      </c>
      <c r="AC1598" s="101">
        <v>1.4498699158620454E-2</v>
      </c>
    </row>
    <row r="1599" spans="25:29" x14ac:dyDescent="0.2">
      <c r="Y1599" s="105" t="str">
        <f t="shared" si="58"/>
        <v>1w</v>
      </c>
      <c r="Z1599" s="93">
        <f>_xll.qlCalendarAdvance(Calendar,Z1598,Y1599,"f",FALSE)</f>
        <v>50340</v>
      </c>
      <c r="AA1599" s="117">
        <f>_xll.qlCalendarAdvance(Calendar,Z1599,NDays&amp;"D")</f>
        <v>50342</v>
      </c>
      <c r="AB1599" s="92">
        <v>1.4496641310057254E-2</v>
      </c>
      <c r="AC1599" s="101">
        <v>1.4494439745318388E-2</v>
      </c>
    </row>
    <row r="1600" spans="25:29" x14ac:dyDescent="0.2">
      <c r="Y1600" s="105" t="str">
        <f t="shared" si="58"/>
        <v>1w</v>
      </c>
      <c r="Z1600" s="93">
        <f>_xll.qlCalendarAdvance(Calendar,Z1599,Y1600,"f",FALSE)</f>
        <v>50347</v>
      </c>
      <c r="AA1600" s="117">
        <f>_xll.qlCalendarAdvance(Calendar,Z1600,NDays&amp;"D")</f>
        <v>50349</v>
      </c>
      <c r="AB1600" s="92">
        <v>1.4492875455031251E-2</v>
      </c>
      <c r="AC1600" s="101">
        <v>1.4490218912515118E-2</v>
      </c>
    </row>
    <row r="1601" spans="25:29" x14ac:dyDescent="0.2">
      <c r="Y1601" s="105" t="str">
        <f t="shared" si="58"/>
        <v>1w</v>
      </c>
      <c r="Z1601" s="93">
        <f>_xll.qlCalendarAdvance(Calendar,Z1600,Y1601,"f",FALSE)</f>
        <v>50354</v>
      </c>
      <c r="AA1601" s="117">
        <f>_xll.qlCalendarAdvance(Calendar,Z1601,NDays&amp;"D")</f>
        <v>50356</v>
      </c>
      <c r="AB1601" s="92">
        <v>1.4489187214338064E-2</v>
      </c>
      <c r="AC1601" s="101">
        <v>1.4486036847261019E-2</v>
      </c>
    </row>
    <row r="1602" spans="25:29" x14ac:dyDescent="0.2">
      <c r="Y1602" s="105" t="str">
        <f t="shared" si="58"/>
        <v>1w</v>
      </c>
      <c r="Z1602" s="93">
        <f>_xll.qlCalendarAdvance(Calendar,Z1601,Y1602,"f",FALSE)</f>
        <v>50361</v>
      </c>
      <c r="AA1602" s="117">
        <f>_xll.qlCalendarAdvance(Calendar,Z1602,NDays&amp;"D")</f>
        <v>50363</v>
      </c>
      <c r="AB1602" s="92">
        <v>1.4485540644402328E-2</v>
      </c>
      <c r="AC1602" s="101">
        <v>1.4481893737086082E-2</v>
      </c>
    </row>
    <row r="1603" spans="25:29" x14ac:dyDescent="0.2">
      <c r="Y1603" s="105" t="str">
        <f t="shared" si="58"/>
        <v>1w</v>
      </c>
      <c r="Z1603" s="93">
        <f>_xll.qlCalendarAdvance(Calendar,Z1602,Y1603,"f",FALSE)</f>
        <v>50368</v>
      </c>
      <c r="AA1603" s="117">
        <f>_xll.qlCalendarAdvance(Calendar,Z1603,NDays&amp;"D")</f>
        <v>50370</v>
      </c>
      <c r="AB1603" s="92">
        <v>1.4481935933752134E-2</v>
      </c>
      <c r="AC1603" s="101">
        <v>1.4477789769200555E-2</v>
      </c>
    </row>
    <row r="1604" spans="25:29" x14ac:dyDescent="0.2">
      <c r="Y1604" s="105" t="str">
        <f t="shared" si="58"/>
        <v>1w</v>
      </c>
      <c r="Z1604" s="93">
        <f>_xll.qlCalendarAdvance(Calendar,Z1603,Y1604,"f",FALSE)</f>
        <v>50375</v>
      </c>
      <c r="AA1604" s="117">
        <f>_xll.qlCalendarAdvance(Calendar,Z1604,NDays&amp;"D")</f>
        <v>50377</v>
      </c>
      <c r="AB1604" s="92">
        <v>1.4478423882263274E-2</v>
      </c>
      <c r="AC1604" s="101">
        <v>1.4473725131294302E-2</v>
      </c>
    </row>
    <row r="1605" spans="25:29" x14ac:dyDescent="0.2">
      <c r="Y1605" s="105" t="str">
        <f t="shared" si="58"/>
        <v>1w</v>
      </c>
      <c r="Z1605" s="93">
        <f>_xll.qlCalendarAdvance(Calendar,Z1604,Y1605,"f",FALSE)</f>
        <v>50382</v>
      </c>
      <c r="AA1605" s="117">
        <f>_xll.qlCalendarAdvance(Calendar,Z1605,NDays&amp;"D")</f>
        <v>50384</v>
      </c>
      <c r="AB1605" s="92">
        <v>1.4474906397177655E-2</v>
      </c>
      <c r="AC1605" s="101">
        <v>1.4469700010657505E-2</v>
      </c>
    </row>
    <row r="1606" spans="25:29" x14ac:dyDescent="0.2">
      <c r="Y1606" s="105" t="str">
        <f t="shared" si="58"/>
        <v>1w</v>
      </c>
      <c r="Z1606" s="93">
        <f>_xll.qlCalendarAdvance(Calendar,Z1605,Y1606,"f",FALSE)</f>
        <v>50389</v>
      </c>
      <c r="AA1606" s="117">
        <f>_xll.qlCalendarAdvance(Calendar,Z1606,NDays&amp;"D")</f>
        <v>50391</v>
      </c>
      <c r="AB1606" s="92">
        <v>1.4471431352168104E-2</v>
      </c>
      <c r="AC1606" s="101">
        <v>1.4465714594500412E-2</v>
      </c>
    </row>
    <row r="1607" spans="25:29" x14ac:dyDescent="0.2">
      <c r="Y1607" s="105" t="str">
        <f t="shared" si="58"/>
        <v>1w</v>
      </c>
      <c r="Z1607" s="93">
        <f>_xll.qlCalendarAdvance(Calendar,Z1606,Y1607,"f",FALSE)</f>
        <v>50396</v>
      </c>
      <c r="AA1607" s="117">
        <f>_xll.qlCalendarAdvance(Calendar,Z1607,NDays&amp;"D")</f>
        <v>50398</v>
      </c>
      <c r="AB1607" s="92">
        <v>1.4467998935773475E-2</v>
      </c>
      <c r="AC1607" s="101">
        <v>1.4461800671015101E-2</v>
      </c>
    </row>
    <row r="1608" spans="25:29" x14ac:dyDescent="0.2">
      <c r="Y1608" s="105" t="str">
        <f t="shared" si="58"/>
        <v>1w</v>
      </c>
      <c r="Z1608" s="93">
        <f>_xll.qlCalendarAdvance(Calendar,Z1607,Y1608,"f",FALSE)</f>
        <v>50403</v>
      </c>
      <c r="AA1608" s="117">
        <f>_xll.qlCalendarAdvance(Calendar,Z1608,NDays&amp;"D")</f>
        <v>50405</v>
      </c>
      <c r="AB1608" s="92">
        <v>1.4464546868335808E-2</v>
      </c>
      <c r="AC1608" s="101">
        <v>1.4457903371991598E-2</v>
      </c>
    </row>
    <row r="1609" spans="25:29" x14ac:dyDescent="0.2">
      <c r="Y1609" s="105" t="str">
        <f t="shared" si="58"/>
        <v>1w</v>
      </c>
      <c r="Z1609" s="93">
        <f>_xll.qlCalendarAdvance(Calendar,Z1608,Y1609,"f",FALSE)</f>
        <v>50410</v>
      </c>
      <c r="AA1609" s="117">
        <f>_xll.qlCalendarAdvance(Calendar,Z1609,NDays&amp;"D")</f>
        <v>50412</v>
      </c>
      <c r="AB1609" s="92">
        <v>1.4461197272547887E-2</v>
      </c>
      <c r="AC1609" s="101">
        <v>1.4453998447807592E-2</v>
      </c>
    </row>
    <row r="1610" spans="25:29" x14ac:dyDescent="0.2">
      <c r="Y1610" s="105" t="str">
        <f t="shared" si="58"/>
        <v>1w</v>
      </c>
      <c r="Z1610" s="93">
        <f>_xll.qlCalendarAdvance(Calendar,Z1609,Y1610,"f",FALSE)</f>
        <v>50417</v>
      </c>
      <c r="AA1610" s="117">
        <f>_xll.qlCalendarAdvance(Calendar,Z1610,NDays&amp;"D")</f>
        <v>50419</v>
      </c>
      <c r="AB1610" s="92">
        <v>1.4457890855775689E-2</v>
      </c>
      <c r="AC1610" s="101">
        <v>1.4450173724149806E-2</v>
      </c>
    </row>
    <row r="1611" spans="25:29" x14ac:dyDescent="0.2">
      <c r="Y1611" s="105" t="str">
        <f t="shared" si="58"/>
        <v>1w</v>
      </c>
      <c r="Z1611" s="93">
        <f>_xll.qlCalendarAdvance(Calendar,Z1610,Y1611,"f",FALSE)</f>
        <v>50424</v>
      </c>
      <c r="AA1611" s="117">
        <f>_xll.qlCalendarAdvance(Calendar,Z1611,NDays&amp;"D")</f>
        <v>50426</v>
      </c>
      <c r="AB1611" s="92">
        <v>1.4454627806556576E-2</v>
      </c>
      <c r="AC1611" s="101">
        <v>1.444638964206213E-2</v>
      </c>
    </row>
    <row r="1612" spans="25:29" x14ac:dyDescent="0.2">
      <c r="Y1612" s="105" t="str">
        <f t="shared" si="58"/>
        <v>1w</v>
      </c>
      <c r="Z1612" s="93">
        <f>_xll.qlCalendarAdvance(Calendar,Z1611,Y1612,"f",FALSE)</f>
        <v>50431</v>
      </c>
      <c r="AA1612" s="117">
        <f>_xll.qlCalendarAdvance(Calendar,Z1612,NDays&amp;"D")</f>
        <v>50433</v>
      </c>
      <c r="AB1612" s="92">
        <v>1.4451408313431443E-2</v>
      </c>
      <c r="AC1612" s="101">
        <v>1.4442646388994618E-2</v>
      </c>
    </row>
    <row r="1613" spans="25:29" x14ac:dyDescent="0.2">
      <c r="Y1613" s="105" t="str">
        <f t="shared" si="58"/>
        <v>1w</v>
      </c>
      <c r="Z1613" s="93">
        <f>_xll.qlCalendarAdvance(Calendar,Z1612,Y1613,"f",FALSE)</f>
        <v>50438</v>
      </c>
      <c r="AA1613" s="117">
        <f>_xll.qlCalendarAdvance(Calendar,Z1613,NDays&amp;"D")</f>
        <v>50440</v>
      </c>
      <c r="AB1613" s="92">
        <v>1.4448232564942067E-2</v>
      </c>
      <c r="AC1613" s="101">
        <v>1.4438944152397326E-2</v>
      </c>
    </row>
    <row r="1614" spans="25:29" x14ac:dyDescent="0.2">
      <c r="Y1614" s="105" t="str">
        <f t="shared" si="58"/>
        <v>1w</v>
      </c>
      <c r="Z1614" s="93">
        <f>_xll.qlCalendarAdvance(Calendar,Z1613,Y1614,"f",FALSE)</f>
        <v>50445</v>
      </c>
      <c r="AA1614" s="117">
        <f>_xll.qlCalendarAdvance(Calendar,Z1614,NDays&amp;"D")</f>
        <v>50447</v>
      </c>
      <c r="AB1614" s="92">
        <v>1.4445100749631555E-2</v>
      </c>
      <c r="AC1614" s="101">
        <v>1.4435283119480502E-2</v>
      </c>
    </row>
    <row r="1615" spans="25:29" x14ac:dyDescent="0.2">
      <c r="Y1615" s="105" t="str">
        <f t="shared" si="58"/>
        <v>1w</v>
      </c>
      <c r="Z1615" s="93">
        <f>_xll.qlCalendarAdvance(Calendar,Z1614,Y1615,"f",FALSE)</f>
        <v>50452</v>
      </c>
      <c r="AA1615" s="117">
        <f>_xll.qlCalendarAdvance(Calendar,Z1615,NDays&amp;"D")</f>
        <v>50454</v>
      </c>
      <c r="AB1615" s="92">
        <v>1.4442013056045219E-2</v>
      </c>
      <c r="AC1615" s="101">
        <v>1.4431663477774137E-2</v>
      </c>
    </row>
    <row r="1616" spans="25:29" x14ac:dyDescent="0.2">
      <c r="Y1616" s="105" t="str">
        <f t="shared" si="58"/>
        <v>1w</v>
      </c>
      <c r="Z1616" s="93">
        <f>_xll.qlCalendarAdvance(Calendar,Z1615,Y1616,"f",FALSE)</f>
        <v>50459</v>
      </c>
      <c r="AA1616" s="117">
        <f>_xll.qlCalendarAdvance(Calendar,Z1616,NDays&amp;"D")</f>
        <v>50461</v>
      </c>
      <c r="AB1616" s="92">
        <v>1.4438969672730135E-2</v>
      </c>
      <c r="AC1616" s="101">
        <v>1.4428085414728287E-2</v>
      </c>
    </row>
    <row r="1617" spans="25:29" x14ac:dyDescent="0.2">
      <c r="Y1617" s="105" t="str">
        <f t="shared" si="58"/>
        <v>1w</v>
      </c>
      <c r="Z1617" s="93">
        <f>_xll.qlCalendarAdvance(Calendar,Z1616,Y1617,"f",FALSE)</f>
        <v>50466</v>
      </c>
      <c r="AA1617" s="117">
        <f>_xll.qlCalendarAdvance(Calendar,Z1617,NDays&amp;"D")</f>
        <v>50468</v>
      </c>
      <c r="AB1617" s="92">
        <v>1.4436424018203093E-2</v>
      </c>
      <c r="AC1617" s="101">
        <v>1.4424549117553198E-2</v>
      </c>
    </row>
    <row r="1618" spans="25:29" x14ac:dyDescent="0.2">
      <c r="Y1618" s="105" t="str">
        <f t="shared" si="58"/>
        <v>1w</v>
      </c>
      <c r="Z1618" s="93">
        <f>_xll.qlCalendarAdvance(Calendar,Z1617,Y1618,"f",FALSE)</f>
        <v>50473</v>
      </c>
      <c r="AA1618" s="117">
        <f>_xll.qlCalendarAdvance(Calendar,Z1618,NDays&amp;"D")</f>
        <v>50475</v>
      </c>
      <c r="AB1618" s="92">
        <v>1.4433485534088134E-2</v>
      </c>
      <c r="AC1618" s="101">
        <v>1.4421054773778863E-2</v>
      </c>
    </row>
    <row r="1619" spans="25:29" x14ac:dyDescent="0.2">
      <c r="Y1619" s="105" t="str">
        <f t="shared" si="58"/>
        <v>1w</v>
      </c>
      <c r="Z1619" s="93">
        <f>_xll.qlCalendarAdvance(Calendar,Z1618,Y1619,"f",FALSE)</f>
        <v>50480</v>
      </c>
      <c r="AA1619" s="117">
        <f>_xll.qlCalendarAdvance(Calendar,Z1619,NDays&amp;"D")</f>
        <v>50482</v>
      </c>
      <c r="AB1619" s="92">
        <v>1.4430592002331571E-2</v>
      </c>
      <c r="AC1619" s="101">
        <v>1.4417602570855337E-2</v>
      </c>
    </row>
    <row r="1620" spans="25:29" x14ac:dyDescent="0.2">
      <c r="Y1620" s="105" t="str">
        <f t="shared" si="58"/>
        <v>1w</v>
      </c>
      <c r="Z1620" s="93">
        <f>_xll.qlCalendarAdvance(Calendar,Z1619,Y1620,"f",FALSE)</f>
        <v>50487</v>
      </c>
      <c r="AA1620" s="117">
        <f>_xll.qlCalendarAdvance(Calendar,Z1620,NDays&amp;"D")</f>
        <v>50489</v>
      </c>
      <c r="AB1620" s="92">
        <v>1.4427743611521042E-2</v>
      </c>
      <c r="AC1620" s="101">
        <v>1.4414192696072803E-2</v>
      </c>
    </row>
    <row r="1621" spans="25:29" x14ac:dyDescent="0.2">
      <c r="Y1621" s="105" t="str">
        <f t="shared" ref="Y1621:Y1684" si="59">Y1620</f>
        <v>1w</v>
      </c>
      <c r="Z1621" s="93">
        <f>_xll.qlCalendarAdvance(Calendar,Z1620,Y1621,"f",FALSE)</f>
        <v>50494</v>
      </c>
      <c r="AA1621" s="117">
        <f>_xll.qlCalendarAdvance(Calendar,Z1621,NDays&amp;"D")</f>
        <v>50496</v>
      </c>
      <c r="AB1621" s="92">
        <v>1.4424629693778236E-2</v>
      </c>
      <c r="AC1621" s="101">
        <v>1.4410825336801381E-2</v>
      </c>
    </row>
    <row r="1622" spans="25:29" x14ac:dyDescent="0.2">
      <c r="Y1622" s="105" t="str">
        <f t="shared" si="59"/>
        <v>1w</v>
      </c>
      <c r="Z1622" s="93">
        <f>_xll.qlCalendarAdvance(Calendar,Z1621,Y1622,"f",FALSE)</f>
        <v>50501</v>
      </c>
      <c r="AA1622" s="117">
        <f>_xll.qlCalendarAdvance(Calendar,Z1622,NDays&amp;"D")</f>
        <v>50503</v>
      </c>
      <c r="AB1622" s="92">
        <v>1.4421862534620248E-2</v>
      </c>
      <c r="AC1622" s="101">
        <v>1.4407500680650998E-2</v>
      </c>
    </row>
    <row r="1623" spans="25:29" x14ac:dyDescent="0.2">
      <c r="Y1623" s="105" t="str">
        <f t="shared" si="59"/>
        <v>1w</v>
      </c>
      <c r="Z1623" s="93">
        <f>_xll.qlCalendarAdvance(Calendar,Z1622,Y1623,"f",FALSE)</f>
        <v>50508</v>
      </c>
      <c r="AA1623" s="117">
        <f>_xll.qlCalendarAdvance(Calendar,Z1623,NDays&amp;"D")</f>
        <v>50510</v>
      </c>
      <c r="AB1623" s="92">
        <v>1.4419141036238842E-2</v>
      </c>
      <c r="AC1623" s="101">
        <v>1.4404218914751965E-2</v>
      </c>
    </row>
    <row r="1624" spans="25:29" x14ac:dyDescent="0.2">
      <c r="Y1624" s="105" t="str">
        <f t="shared" si="59"/>
        <v>1w</v>
      </c>
      <c r="Z1624" s="93">
        <f>_xll.qlCalendarAdvance(Calendar,Z1623,Y1624,"f",FALSE)</f>
        <v>50515</v>
      </c>
      <c r="AA1624" s="117">
        <f>_xll.qlCalendarAdvance(Calendar,Z1624,NDays&amp;"D")</f>
        <v>50517</v>
      </c>
      <c r="AB1624" s="92">
        <v>1.4416465387208853E-2</v>
      </c>
      <c r="AC1624" s="101">
        <v>1.4401215765918352E-2</v>
      </c>
    </row>
    <row r="1625" spans="25:29" x14ac:dyDescent="0.2">
      <c r="Y1625" s="105" t="str">
        <f t="shared" si="59"/>
        <v>1w</v>
      </c>
      <c r="Z1625" s="93">
        <f>_xll.qlCalendarAdvance(Calendar,Z1624,Y1625,"f",FALSE)</f>
        <v>50522</v>
      </c>
      <c r="AA1625" s="117">
        <f>_xll.qlCalendarAdvance(Calendar,Z1625,NDays&amp;"D")</f>
        <v>50524</v>
      </c>
      <c r="AB1625" s="92">
        <v>1.4413835776108181E-2</v>
      </c>
      <c r="AC1625" s="101">
        <v>1.439778480358811E-2</v>
      </c>
    </row>
    <row r="1626" spans="25:29" x14ac:dyDescent="0.2">
      <c r="Y1626" s="105" t="str">
        <f t="shared" si="59"/>
        <v>1w</v>
      </c>
      <c r="Z1626" s="93">
        <f>_xll.qlCalendarAdvance(Calendar,Z1625,Y1626,"f",FALSE)</f>
        <v>50529</v>
      </c>
      <c r="AA1626" s="117">
        <f>_xll.qlCalendarAdvance(Calendar,Z1626,NDays&amp;"D")</f>
        <v>50531</v>
      </c>
      <c r="AB1626" s="92">
        <v>1.441161178766538E-2</v>
      </c>
      <c r="AC1626" s="101">
        <v>1.4394632833223397E-2</v>
      </c>
    </row>
    <row r="1627" spans="25:29" x14ac:dyDescent="0.2">
      <c r="Y1627" s="105" t="str">
        <f t="shared" si="59"/>
        <v>1w</v>
      </c>
      <c r="Z1627" s="93">
        <f>_xll.qlCalendarAdvance(Calendar,Z1626,Y1627,"f",FALSE)</f>
        <v>50536</v>
      </c>
      <c r="AA1627" s="117">
        <f>_xll.qlCalendarAdvance(Calendar,Z1627,NDays&amp;"D")</f>
        <v>50538</v>
      </c>
      <c r="AB1627" s="92">
        <v>1.4409084664094331E-2</v>
      </c>
      <c r="AC1627" s="101">
        <v>1.4391524502750386E-2</v>
      </c>
    </row>
    <row r="1628" spans="25:29" x14ac:dyDescent="0.2">
      <c r="Y1628" s="105" t="str">
        <f t="shared" si="59"/>
        <v>1w</v>
      </c>
      <c r="Z1628" s="93">
        <f>_xll.qlCalendarAdvance(Calendar,Z1627,Y1628,"f",FALSE)</f>
        <v>50543</v>
      </c>
      <c r="AA1628" s="117">
        <f>_xll.qlCalendarAdvance(Calendar,Z1628,NDays&amp;"D")</f>
        <v>50545</v>
      </c>
      <c r="AB1628" s="92">
        <v>1.4406604190243496E-2</v>
      </c>
      <c r="AC1628" s="101">
        <v>1.4388459999699066E-2</v>
      </c>
    </row>
    <row r="1629" spans="25:29" x14ac:dyDescent="0.2">
      <c r="Y1629" s="105" t="str">
        <f t="shared" si="59"/>
        <v>1w</v>
      </c>
      <c r="Z1629" s="93">
        <f>_xll.qlCalendarAdvance(Calendar,Z1628,Y1629,"f",FALSE)</f>
        <v>50550</v>
      </c>
      <c r="AA1629" s="117">
        <f>_xll.qlCalendarAdvance(Calendar,Z1629,NDays&amp;"D")</f>
        <v>50552</v>
      </c>
      <c r="AB1629" s="92">
        <v>1.4404170554720286E-2</v>
      </c>
      <c r="AC1629" s="101">
        <v>1.4385439511279685E-2</v>
      </c>
    </row>
    <row r="1630" spans="25:29" x14ac:dyDescent="0.2">
      <c r="Y1630" s="105" t="str">
        <f t="shared" si="59"/>
        <v>1w</v>
      </c>
      <c r="Z1630" s="93">
        <f>_xll.qlCalendarAdvance(Calendar,Z1629,Y1630,"f",FALSE)</f>
        <v>50557</v>
      </c>
      <c r="AA1630" s="117">
        <f>_xll.qlCalendarAdvance(Calendar,Z1630,NDays&amp;"D")</f>
        <v>50559</v>
      </c>
      <c r="AB1630" s="92">
        <v>1.4401384889931245E-2</v>
      </c>
      <c r="AC1630" s="101">
        <v>1.4382463225022235E-2</v>
      </c>
    </row>
    <row r="1631" spans="25:29" x14ac:dyDescent="0.2">
      <c r="Y1631" s="105" t="str">
        <f t="shared" si="59"/>
        <v>1w</v>
      </c>
      <c r="Z1631" s="93">
        <f>_xll.qlCalendarAdvance(Calendar,Z1630,Y1631,"f",FALSE)</f>
        <v>50564</v>
      </c>
      <c r="AA1631" s="117">
        <f>_xll.qlCalendarAdvance(Calendar,Z1631,NDays&amp;"D")</f>
        <v>50566</v>
      </c>
      <c r="AB1631" s="92">
        <v>1.4399035466669406E-2</v>
      </c>
      <c r="AC1631" s="101">
        <v>1.4379531328376771E-2</v>
      </c>
    </row>
    <row r="1632" spans="25:29" x14ac:dyDescent="0.2">
      <c r="Y1632" s="105" t="str">
        <f t="shared" si="59"/>
        <v>1w</v>
      </c>
      <c r="Z1632" s="93">
        <f>_xll.qlCalendarAdvance(Calendar,Z1631,Y1632,"f",FALSE)</f>
        <v>50571</v>
      </c>
      <c r="AA1632" s="117">
        <f>_xll.qlCalendarAdvance(Calendar,Z1632,NDays&amp;"D")</f>
        <v>50573</v>
      </c>
      <c r="AB1632" s="92">
        <v>1.4396733401445493E-2</v>
      </c>
      <c r="AC1632" s="101">
        <v>1.4376644008633477E-2</v>
      </c>
    </row>
    <row r="1633" spans="25:29" x14ac:dyDescent="0.2">
      <c r="Y1633" s="105" t="str">
        <f t="shared" si="59"/>
        <v>1w</v>
      </c>
      <c r="Z1633" s="93">
        <f>_xll.qlCalendarAdvance(Calendar,Z1632,Y1633,"f",FALSE)</f>
        <v>50578</v>
      </c>
      <c r="AA1633" s="117">
        <f>_xll.qlCalendarAdvance(Calendar,Z1633,NDays&amp;"D")</f>
        <v>50580</v>
      </c>
      <c r="AB1633" s="92">
        <v>1.4394478882857064E-2</v>
      </c>
      <c r="AC1633" s="101">
        <v>1.4373801453162471E-2</v>
      </c>
    </row>
    <row r="1634" spans="25:29" x14ac:dyDescent="0.2">
      <c r="Y1634" s="105" t="str">
        <f t="shared" si="59"/>
        <v>1w</v>
      </c>
      <c r="Z1634" s="93">
        <f>_xll.qlCalendarAdvance(Calendar,Z1633,Y1634,"f",FALSE)</f>
        <v>50585</v>
      </c>
      <c r="AA1634" s="117">
        <f>_xll.qlCalendarAdvance(Calendar,Z1634,NDays&amp;"D")</f>
        <v>50587</v>
      </c>
      <c r="AB1634" s="92">
        <v>1.4392711553442105E-2</v>
      </c>
      <c r="AC1634" s="101">
        <v>1.4371003849573682E-2</v>
      </c>
    </row>
    <row r="1635" spans="25:29" x14ac:dyDescent="0.2">
      <c r="Y1635" s="105" t="str">
        <f t="shared" si="59"/>
        <v>1w</v>
      </c>
      <c r="Z1635" s="93">
        <f>_xll.qlCalendarAdvance(Calendar,Z1634,Y1635,"f",FALSE)</f>
        <v>50592</v>
      </c>
      <c r="AA1635" s="117">
        <f>_xll.qlCalendarAdvance(Calendar,Z1635,NDays&amp;"D")</f>
        <v>50594</v>
      </c>
      <c r="AB1635" s="92">
        <v>1.4390562908773037E-2</v>
      </c>
      <c r="AC1635" s="101">
        <v>1.4368251384997421E-2</v>
      </c>
    </row>
    <row r="1636" spans="25:29" x14ac:dyDescent="0.2">
      <c r="Y1636" s="105" t="str">
        <f t="shared" si="59"/>
        <v>1w</v>
      </c>
      <c r="Z1636" s="93">
        <f>_xll.qlCalendarAdvance(Calendar,Z1635,Y1636,"f",FALSE)</f>
        <v>50599</v>
      </c>
      <c r="AA1636" s="117">
        <f>_xll.qlCalendarAdvance(Calendar,Z1636,NDays&amp;"D")</f>
        <v>50601</v>
      </c>
      <c r="AB1636" s="92">
        <v>1.4388462422751361E-2</v>
      </c>
      <c r="AC1636" s="101">
        <v>1.4365544246883744E-2</v>
      </c>
    </row>
    <row r="1637" spans="25:29" x14ac:dyDescent="0.2">
      <c r="Y1637" s="105" t="str">
        <f t="shared" si="59"/>
        <v>1w</v>
      </c>
      <c r="Z1637" s="93">
        <f>_xll.qlCalendarAdvance(Calendar,Z1636,Y1637,"f",FALSE)</f>
        <v>50606</v>
      </c>
      <c r="AA1637" s="117">
        <f>_xll.qlCalendarAdvance(Calendar,Z1637,NDays&amp;"D")</f>
        <v>50608</v>
      </c>
      <c r="AB1637" s="92">
        <v>1.4386410284005976E-2</v>
      </c>
      <c r="AC1637" s="101">
        <v>1.4362882622842577E-2</v>
      </c>
    </row>
    <row r="1638" spans="25:29" x14ac:dyDescent="0.2">
      <c r="Y1638" s="105" t="str">
        <f t="shared" si="59"/>
        <v>1w</v>
      </c>
      <c r="Z1638" s="93">
        <f>_xll.qlCalendarAdvance(Calendar,Z1637,Y1638,"f",FALSE)</f>
        <v>50613</v>
      </c>
      <c r="AA1638" s="117">
        <f>_xll.qlCalendarAdvance(Calendar,Z1638,NDays&amp;"D")</f>
        <v>50615</v>
      </c>
      <c r="AB1638" s="92">
        <v>1.4384406681166206E-2</v>
      </c>
      <c r="AC1638" s="101">
        <v>1.4360266700084168E-2</v>
      </c>
    </row>
    <row r="1639" spans="25:29" x14ac:dyDescent="0.2">
      <c r="Y1639" s="105" t="str">
        <f t="shared" si="59"/>
        <v>1w</v>
      </c>
      <c r="Z1639" s="93">
        <f>_xll.qlCalendarAdvance(Calendar,Z1638,Y1639,"f",FALSE)</f>
        <v>50620</v>
      </c>
      <c r="AA1639" s="117">
        <f>_xll.qlCalendarAdvance(Calendar,Z1639,NDays&amp;"D")</f>
        <v>50622</v>
      </c>
      <c r="AB1639" s="92">
        <v>1.438245180286654E-2</v>
      </c>
      <c r="AC1639" s="101">
        <v>1.4357696665978636E-2</v>
      </c>
    </row>
    <row r="1640" spans="25:29" x14ac:dyDescent="0.2">
      <c r="Y1640" s="105" t="str">
        <f t="shared" si="59"/>
        <v>1w</v>
      </c>
      <c r="Z1640" s="93">
        <f>_xll.qlCalendarAdvance(Calendar,Z1639,Y1640,"f",FALSE)</f>
        <v>50627</v>
      </c>
      <c r="AA1640" s="117">
        <f>_xll.qlCalendarAdvance(Calendar,Z1640,NDays&amp;"D")</f>
        <v>50629</v>
      </c>
      <c r="AB1640" s="92">
        <v>1.4380545837742318E-2</v>
      </c>
      <c r="AC1640" s="101">
        <v>1.4355172708055974E-2</v>
      </c>
    </row>
    <row r="1641" spans="25:29" x14ac:dyDescent="0.2">
      <c r="Y1641" s="105" t="str">
        <f t="shared" si="59"/>
        <v>1w</v>
      </c>
      <c r="Z1641" s="93">
        <f>_xll.qlCalendarAdvance(Calendar,Z1640,Y1641,"f",FALSE)</f>
        <v>50634</v>
      </c>
      <c r="AA1641" s="117">
        <f>_xll.qlCalendarAdvance(Calendar,Z1641,NDays&amp;"D")</f>
        <v>50636</v>
      </c>
      <c r="AB1641" s="92">
        <v>1.4378688974432754E-2</v>
      </c>
      <c r="AC1641" s="101">
        <v>1.4352695013606365E-2</v>
      </c>
    </row>
    <row r="1642" spans="25:29" x14ac:dyDescent="0.2">
      <c r="Y1642" s="105" t="str">
        <f t="shared" si="59"/>
        <v>1w</v>
      </c>
      <c r="Z1642" s="93">
        <f>_xll.qlCalendarAdvance(Calendar,Z1641,Y1642,"f",FALSE)</f>
        <v>50641</v>
      </c>
      <c r="AA1642" s="117">
        <f>_xll.qlCalendarAdvance(Calendar,Z1642,NDays&amp;"D")</f>
        <v>50643</v>
      </c>
      <c r="AB1642" s="92">
        <v>1.4376881401580926E-2</v>
      </c>
      <c r="AC1642" s="101">
        <v>1.4350263770079863E-2</v>
      </c>
    </row>
    <row r="1643" spans="25:29" x14ac:dyDescent="0.2">
      <c r="Y1643" s="105" t="str">
        <f t="shared" si="59"/>
        <v>1w</v>
      </c>
      <c r="Z1643" s="93">
        <f>_xll.qlCalendarAdvance(Calendar,Z1642,Y1643,"f",FALSE)</f>
        <v>50648</v>
      </c>
      <c r="AA1643" s="117">
        <f>_xll.qlCalendarAdvance(Calendar,Z1643,NDays&amp;"D")</f>
        <v>50650</v>
      </c>
      <c r="AB1643" s="92">
        <v>1.4374236611145931E-2</v>
      </c>
      <c r="AC1643" s="101">
        <v>1.4347879164846589E-2</v>
      </c>
    </row>
    <row r="1644" spans="25:29" x14ac:dyDescent="0.2">
      <c r="Y1644" s="105" t="str">
        <f t="shared" si="59"/>
        <v>1w</v>
      </c>
      <c r="Z1644" s="93">
        <f>_xll.qlCalendarAdvance(Calendar,Z1643,Y1644,"f",FALSE)</f>
        <v>50655</v>
      </c>
      <c r="AA1644" s="117">
        <f>_xll.qlCalendarAdvance(Calendar,Z1644,NDays&amp;"D")</f>
        <v>50657</v>
      </c>
      <c r="AB1644" s="92">
        <v>1.4372510473890258E-2</v>
      </c>
      <c r="AC1644" s="101">
        <v>1.4345541385276661E-2</v>
      </c>
    </row>
    <row r="1645" spans="25:29" x14ac:dyDescent="0.2">
      <c r="Y1645" s="105" t="str">
        <f t="shared" si="59"/>
        <v>1w</v>
      </c>
      <c r="Z1645" s="93">
        <f>_xll.qlCalendarAdvance(Calendar,Z1644,Y1645,"f",FALSE)</f>
        <v>50662</v>
      </c>
      <c r="AA1645" s="117">
        <f>_xll.qlCalendarAdvance(Calendar,Z1645,NDays&amp;"D")</f>
        <v>50664</v>
      </c>
      <c r="AB1645" s="92">
        <v>1.43708341157171E-2</v>
      </c>
      <c r="AC1645" s="101">
        <v>1.4343250618820136E-2</v>
      </c>
    </row>
    <row r="1646" spans="25:29" x14ac:dyDescent="0.2">
      <c r="Y1646" s="105" t="str">
        <f t="shared" si="59"/>
        <v>1w</v>
      </c>
      <c r="Z1646" s="93">
        <f>_xll.qlCalendarAdvance(Calendar,Z1645,Y1646,"f",FALSE)</f>
        <v>50669</v>
      </c>
      <c r="AA1646" s="117">
        <f>_xll.qlCalendarAdvance(Calendar,Z1646,NDays&amp;"D")</f>
        <v>50671</v>
      </c>
      <c r="AB1646" s="92">
        <v>1.4369207725246403E-2</v>
      </c>
      <c r="AC1646" s="101">
        <v>1.4341007052847132E-2</v>
      </c>
    </row>
    <row r="1647" spans="25:29" x14ac:dyDescent="0.2">
      <c r="Y1647" s="105" t="str">
        <f t="shared" si="59"/>
        <v>1w</v>
      </c>
      <c r="Z1647" s="93">
        <f>_xll.qlCalendarAdvance(Calendar,Z1646,Y1647,"f",FALSE)</f>
        <v>50676</v>
      </c>
      <c r="AA1647" s="117">
        <f>_xll.qlCalendarAdvance(Calendar,Z1647,NDays&amp;"D")</f>
        <v>50678</v>
      </c>
      <c r="AB1647" s="92">
        <v>1.4367822389962761E-2</v>
      </c>
      <c r="AC1647" s="101">
        <v>1.4338810874807706E-2</v>
      </c>
    </row>
    <row r="1648" spans="25:29" x14ac:dyDescent="0.2">
      <c r="Y1648" s="105" t="str">
        <f t="shared" si="59"/>
        <v>1w</v>
      </c>
      <c r="Z1648" s="93">
        <f>_xll.qlCalendarAdvance(Calendar,Z1647,Y1648,"f",FALSE)</f>
        <v>50683</v>
      </c>
      <c r="AA1648" s="117">
        <f>_xll.qlCalendarAdvance(Calendar,Z1648,NDays&amp;"D")</f>
        <v>50685</v>
      </c>
      <c r="AB1648" s="92">
        <v>1.4366300101769678E-2</v>
      </c>
      <c r="AC1648" s="101">
        <v>1.433666227199204E-2</v>
      </c>
    </row>
    <row r="1649" spans="25:29" x14ac:dyDescent="0.2">
      <c r="Y1649" s="105" t="str">
        <f t="shared" si="59"/>
        <v>1w</v>
      </c>
      <c r="Z1649" s="93">
        <f>_xll.qlCalendarAdvance(Calendar,Z1648,Y1649,"f",FALSE)</f>
        <v>50690</v>
      </c>
      <c r="AA1649" s="117">
        <f>_xll.qlCalendarAdvance(Calendar,Z1649,NDays&amp;"D")</f>
        <v>50692</v>
      </c>
      <c r="AB1649" s="92">
        <v>1.436482836264614E-2</v>
      </c>
      <c r="AC1649" s="101">
        <v>1.4334561432010062E-2</v>
      </c>
    </row>
    <row r="1650" spans="25:29" x14ac:dyDescent="0.2">
      <c r="Y1650" s="105" t="str">
        <f t="shared" si="59"/>
        <v>1w</v>
      </c>
      <c r="Z1650" s="93">
        <f>_xll.qlCalendarAdvance(Calendar,Z1649,Y1650,"f",FALSE)</f>
        <v>50697</v>
      </c>
      <c r="AA1650" s="117">
        <f>_xll.qlCalendarAdvance(Calendar,Z1650,NDays&amp;"D")</f>
        <v>50699</v>
      </c>
      <c r="AB1650" s="92">
        <v>1.4363407361230703E-2</v>
      </c>
      <c r="AC1650" s="101">
        <v>1.433250854207202E-2</v>
      </c>
    </row>
    <row r="1651" spans="25:29" x14ac:dyDescent="0.2">
      <c r="Y1651" s="105" t="str">
        <f t="shared" si="59"/>
        <v>1w</v>
      </c>
      <c r="Z1651" s="93">
        <f>_xll.qlCalendarAdvance(Calendar,Z1650,Y1651,"f",FALSE)</f>
        <v>50704</v>
      </c>
      <c r="AA1651" s="117">
        <f>_xll.qlCalendarAdvance(Calendar,Z1651,NDays&amp;"D")</f>
        <v>50706</v>
      </c>
      <c r="AB1651" s="92">
        <v>1.4362037286166314E-2</v>
      </c>
      <c r="AC1651" s="101">
        <v>1.433050378938816E-2</v>
      </c>
    </row>
    <row r="1652" spans="25:29" x14ac:dyDescent="0.2">
      <c r="Y1652" s="105" t="str">
        <f t="shared" si="59"/>
        <v>1w</v>
      </c>
      <c r="Z1652" s="93">
        <f>_xll.qlCalendarAdvance(Calendar,Z1651,Y1652,"f",FALSE)</f>
        <v>50711</v>
      </c>
      <c r="AA1652" s="117">
        <f>_xll.qlCalendarAdvance(Calendar,Z1652,NDays&amp;"D")</f>
        <v>50713</v>
      </c>
      <c r="AB1652" s="92">
        <v>1.4360509267250963E-2</v>
      </c>
      <c r="AC1652" s="101">
        <v>1.4328547361808219E-2</v>
      </c>
    </row>
    <row r="1653" spans="25:29" x14ac:dyDescent="0.2">
      <c r="Y1653" s="105" t="str">
        <f t="shared" si="59"/>
        <v>1w</v>
      </c>
      <c r="Z1653" s="93">
        <f>_xll.qlCalendarAdvance(Calendar,Z1652,Y1653,"f",FALSE)</f>
        <v>50718</v>
      </c>
      <c r="AA1653" s="117">
        <f>_xll.qlCalendarAdvance(Calendar,Z1653,NDays&amp;"D")</f>
        <v>50720</v>
      </c>
      <c r="AB1653" s="92">
        <v>1.4359237932306019E-2</v>
      </c>
      <c r="AC1653" s="101">
        <v>1.4326639446542444E-2</v>
      </c>
    </row>
    <row r="1654" spans="25:29" x14ac:dyDescent="0.2">
      <c r="Y1654" s="105" t="str">
        <f t="shared" si="59"/>
        <v>1w</v>
      </c>
      <c r="Z1654" s="93">
        <f>_xll.qlCalendarAdvance(Calendar,Z1653,Y1654,"f",FALSE)</f>
        <v>50725</v>
      </c>
      <c r="AA1654" s="117">
        <f>_xll.qlCalendarAdvance(Calendar,Z1654,NDays&amp;"D")</f>
        <v>50727</v>
      </c>
      <c r="AB1654" s="92">
        <v>1.4358018074133535E-2</v>
      </c>
      <c r="AC1654" s="101">
        <v>1.4324780230801082E-2</v>
      </c>
    </row>
    <row r="1655" spans="25:29" x14ac:dyDescent="0.2">
      <c r="Y1655" s="105" t="str">
        <f t="shared" si="59"/>
        <v>1w</v>
      </c>
      <c r="Z1655" s="93">
        <f>_xll.qlCalendarAdvance(Calendar,Z1654,Y1655,"f",FALSE)</f>
        <v>50732</v>
      </c>
      <c r="AA1655" s="117">
        <f>_xll.qlCalendarAdvance(Calendar,Z1655,NDays&amp;"D")</f>
        <v>50734</v>
      </c>
      <c r="AB1655" s="92">
        <v>1.435684988138437E-2</v>
      </c>
      <c r="AC1655" s="101">
        <v>1.432296990219406E-2</v>
      </c>
    </row>
    <row r="1656" spans="25:29" x14ac:dyDescent="0.2">
      <c r="Y1656" s="105" t="str">
        <f t="shared" si="59"/>
        <v>1w</v>
      </c>
      <c r="Z1656" s="93">
        <f>_xll.qlCalendarAdvance(Calendar,Z1655,Y1656,"f",FALSE)</f>
        <v>50739</v>
      </c>
      <c r="AA1656" s="117">
        <f>_xll.qlCalendarAdvance(Calendar,Z1656,NDays&amp;"D")</f>
        <v>50741</v>
      </c>
      <c r="AB1656" s="92">
        <v>1.4355957408839447E-2</v>
      </c>
      <c r="AC1656" s="101">
        <v>1.4321208648011563E-2</v>
      </c>
    </row>
    <row r="1657" spans="25:29" x14ac:dyDescent="0.2">
      <c r="Y1657" s="105" t="str">
        <f t="shared" si="59"/>
        <v>1w</v>
      </c>
      <c r="Z1657" s="93">
        <f>_xll.qlCalendarAdvance(Calendar,Z1656,Y1657,"f",FALSE)</f>
        <v>50746</v>
      </c>
      <c r="AA1657" s="117">
        <f>_xll.qlCalendarAdvance(Calendar,Z1657,NDays&amp;"D")</f>
        <v>50748</v>
      </c>
      <c r="AB1657" s="92">
        <v>1.4354896853567712E-2</v>
      </c>
      <c r="AC1657" s="101">
        <v>1.4319496655703645E-2</v>
      </c>
    </row>
    <row r="1658" spans="25:29" x14ac:dyDescent="0.2">
      <c r="Y1658" s="105" t="str">
        <f t="shared" si="59"/>
        <v>1w</v>
      </c>
      <c r="Z1658" s="93">
        <f>_xll.qlCalendarAdvance(Calendar,Z1657,Y1658,"f",FALSE)</f>
        <v>50753</v>
      </c>
      <c r="AA1658" s="117">
        <f>_xll.qlCalendarAdvance(Calendar,Z1658,NDays&amp;"D")</f>
        <v>50755</v>
      </c>
      <c r="AB1658" s="92">
        <v>1.4353888545242086E-2</v>
      </c>
      <c r="AC1658" s="101">
        <v>1.4317834112640426E-2</v>
      </c>
    </row>
    <row r="1659" spans="25:29" x14ac:dyDescent="0.2">
      <c r="Y1659" s="105" t="str">
        <f t="shared" si="59"/>
        <v>1w</v>
      </c>
      <c r="Z1659" s="93">
        <f>_xll.qlCalendarAdvance(Calendar,Z1658,Y1659,"f",FALSE)</f>
        <v>50760</v>
      </c>
      <c r="AA1659" s="117">
        <f>_xll.qlCalendarAdvance(Calendar,Z1659,NDays&amp;"D")</f>
        <v>50762</v>
      </c>
      <c r="AB1659" s="92">
        <v>1.4352932672534067E-2</v>
      </c>
      <c r="AC1659" s="101">
        <v>1.4316221206271962E-2</v>
      </c>
    </row>
    <row r="1660" spans="25:29" x14ac:dyDescent="0.2">
      <c r="Y1660" s="105" t="str">
        <f t="shared" si="59"/>
        <v>1w</v>
      </c>
      <c r="Z1660" s="93">
        <f>_xll.qlCalendarAdvance(Calendar,Z1659,Y1660,"f",FALSE)</f>
        <v>50767</v>
      </c>
      <c r="AA1660" s="117">
        <f>_xll.qlCalendarAdvance(Calendar,Z1660,NDays&amp;"D")</f>
        <v>50769</v>
      </c>
      <c r="AB1660" s="92">
        <v>1.4352029424118225E-2</v>
      </c>
      <c r="AC1660" s="101">
        <v>1.4314658123968371E-2</v>
      </c>
    </row>
    <row r="1661" spans="25:29" x14ac:dyDescent="0.2">
      <c r="Y1661" s="105" t="str">
        <f t="shared" si="59"/>
        <v>1w</v>
      </c>
      <c r="Z1661" s="93">
        <f>_xll.qlCalendarAdvance(Calendar,Z1660,Y1661,"f",FALSE)</f>
        <v>50774</v>
      </c>
      <c r="AA1661" s="117">
        <f>_xll.qlCalendarAdvance(Calendar,Z1661,NDays&amp;"D")</f>
        <v>50776</v>
      </c>
      <c r="AB1661" s="92">
        <v>1.435093626356485E-2</v>
      </c>
      <c r="AC1661" s="101">
        <v>1.4313145053099774E-2</v>
      </c>
    </row>
    <row r="1662" spans="25:29" x14ac:dyDescent="0.2">
      <c r="Y1662" s="105" t="str">
        <f t="shared" si="59"/>
        <v>1w</v>
      </c>
      <c r="Z1662" s="93">
        <f>_xll.qlCalendarAdvance(Calendar,Z1661,Y1662,"f",FALSE)</f>
        <v>50781</v>
      </c>
      <c r="AA1662" s="117">
        <f>_xll.qlCalendarAdvance(Calendar,Z1662,NDays&amp;"D")</f>
        <v>50783</v>
      </c>
      <c r="AB1662" s="92">
        <v>1.4350135011253057E-2</v>
      </c>
      <c r="AC1662" s="101">
        <v>1.4311682181116225E-2</v>
      </c>
    </row>
    <row r="1663" spans="25:29" x14ac:dyDescent="0.2">
      <c r="Y1663" s="105" t="str">
        <f t="shared" si="59"/>
        <v>1w</v>
      </c>
      <c r="Z1663" s="93">
        <f>_xll.qlCalendarAdvance(Calendar,Z1662,Y1663,"f",FALSE)</f>
        <v>50788</v>
      </c>
      <c r="AA1663" s="117">
        <f>_xll.qlCalendarAdvance(Calendar,Z1663,NDays&amp;"D")</f>
        <v>50790</v>
      </c>
      <c r="AB1663" s="92">
        <v>1.4349386933688523E-2</v>
      </c>
      <c r="AC1663" s="101">
        <v>1.4310269695387845E-2</v>
      </c>
    </row>
    <row r="1664" spans="25:29" x14ac:dyDescent="0.2">
      <c r="Y1664" s="105" t="str">
        <f t="shared" si="59"/>
        <v>1w</v>
      </c>
      <c r="Z1664" s="93">
        <f>_xll.qlCalendarAdvance(Calendar,Z1663,Y1664,"f",FALSE)</f>
        <v>50795</v>
      </c>
      <c r="AA1664" s="117">
        <f>_xll.qlCalendarAdvance(Calendar,Z1664,NDays&amp;"D")</f>
        <v>50797</v>
      </c>
      <c r="AB1664" s="92">
        <v>1.4348692219553906E-2</v>
      </c>
      <c r="AC1664" s="101">
        <v>1.4308907783284752E-2</v>
      </c>
    </row>
    <row r="1665" spans="25:29" x14ac:dyDescent="0.2">
      <c r="Y1665" s="105" t="str">
        <f t="shared" si="59"/>
        <v>1w</v>
      </c>
      <c r="Z1665" s="93">
        <f>_xll.qlCalendarAdvance(Calendar,Z1664,Y1665,"f",FALSE)</f>
        <v>50802</v>
      </c>
      <c r="AA1665" s="117">
        <f>_xll.qlCalendarAdvance(Calendar,Z1665,NDays&amp;"D")</f>
        <v>50804</v>
      </c>
      <c r="AB1665" s="92">
        <v>1.4348051057536284E-2</v>
      </c>
      <c r="AC1665" s="101">
        <v>1.430759663209713E-2</v>
      </c>
    </row>
    <row r="1666" spans="25:29" x14ac:dyDescent="0.2">
      <c r="Y1666" s="105" t="str">
        <f t="shared" si="59"/>
        <v>1w</v>
      </c>
      <c r="Z1666" s="93">
        <f>_xll.qlCalendarAdvance(Calendar,Z1665,Y1666,"f",FALSE)</f>
        <v>50809</v>
      </c>
      <c r="AA1666" s="117">
        <f>_xll.qlCalendarAdvance(Calendar,Z1666,NDays&amp;"D")</f>
        <v>50811</v>
      </c>
      <c r="AB1666" s="92">
        <v>1.434746363632715E-2</v>
      </c>
      <c r="AC1666" s="101">
        <v>1.4306336429514843E-2</v>
      </c>
    </row>
    <row r="1667" spans="25:29" x14ac:dyDescent="0.2">
      <c r="Y1667" s="105" t="str">
        <f t="shared" si="59"/>
        <v>1w</v>
      </c>
      <c r="Z1667" s="93">
        <f>_xll.qlCalendarAdvance(Calendar,Z1666,Y1667,"f",FALSE)</f>
        <v>50816</v>
      </c>
      <c r="AA1667" s="117">
        <f>_xll.qlCalendarAdvance(Calendar,Z1667,NDays&amp;"D")</f>
        <v>50818</v>
      </c>
      <c r="AB1667" s="92">
        <v>1.4346930144620648E-2</v>
      </c>
      <c r="AC1667" s="101">
        <v>1.4305127362748138E-2</v>
      </c>
    </row>
    <row r="1668" spans="25:29" x14ac:dyDescent="0.2">
      <c r="Y1668" s="105" t="str">
        <f t="shared" si="59"/>
        <v>1w</v>
      </c>
      <c r="Z1668" s="93">
        <f>_xll.qlCalendarAdvance(Calendar,Z1667,Y1668,"f",FALSE)</f>
        <v>50823</v>
      </c>
      <c r="AA1668" s="117">
        <f>_xll.qlCalendarAdvance(Calendar,Z1668,NDays&amp;"D")</f>
        <v>50825</v>
      </c>
      <c r="AB1668" s="92">
        <v>1.4346450771115779E-2</v>
      </c>
      <c r="AC1668" s="101">
        <v>1.4303969619087198E-2</v>
      </c>
    </row>
    <row r="1669" spans="25:29" x14ac:dyDescent="0.2">
      <c r="Y1669" s="105" t="str">
        <f t="shared" si="59"/>
        <v>1w</v>
      </c>
      <c r="Z1669" s="93">
        <f>_xll.qlCalendarAdvance(Calendar,Z1668,Y1669,"f",FALSE)</f>
        <v>50830</v>
      </c>
      <c r="AA1669" s="117">
        <f>_xll.qlCalendarAdvance(Calendar,Z1669,NDays&amp;"D")</f>
        <v>50832</v>
      </c>
      <c r="AB1669" s="92">
        <v>1.4347398115904401E-2</v>
      </c>
      <c r="AC1669" s="101">
        <v>1.4302863386221887E-2</v>
      </c>
    </row>
    <row r="1670" spans="25:29" x14ac:dyDescent="0.2">
      <c r="Y1670" s="105" t="str">
        <f t="shared" si="59"/>
        <v>1w</v>
      </c>
      <c r="Z1670" s="93">
        <f>_xll.qlCalendarAdvance(Calendar,Z1669,Y1670,"f",FALSE)</f>
        <v>50837</v>
      </c>
      <c r="AA1670" s="117">
        <f>_xll.qlCalendarAdvance(Calendar,Z1670,NDays&amp;"D")</f>
        <v>50839</v>
      </c>
      <c r="AB1670" s="92">
        <v>1.4347047278218186E-2</v>
      </c>
      <c r="AC1670" s="101">
        <v>1.4301808851282516E-2</v>
      </c>
    </row>
    <row r="1671" spans="25:29" x14ac:dyDescent="0.2">
      <c r="Y1671" s="105" t="str">
        <f t="shared" si="59"/>
        <v>1w</v>
      </c>
      <c r="Z1671" s="93">
        <f>_xll.qlCalendarAdvance(Calendar,Z1670,Y1671,"f",FALSE)</f>
        <v>50844</v>
      </c>
      <c r="AA1671" s="117">
        <f>_xll.qlCalendarAdvance(Calendar,Z1671,NDays&amp;"D")</f>
        <v>50846</v>
      </c>
      <c r="AB1671" s="92">
        <v>1.434675120312944E-2</v>
      </c>
      <c r="AC1671" s="101">
        <v>1.4300806201879013E-2</v>
      </c>
    </row>
    <row r="1672" spans="25:29" x14ac:dyDescent="0.2">
      <c r="Y1672" s="105" t="str">
        <f t="shared" si="59"/>
        <v>1w</v>
      </c>
      <c r="Z1672" s="93">
        <f>_xll.qlCalendarAdvance(Calendar,Z1671,Y1672,"f",FALSE)</f>
        <v>50851</v>
      </c>
      <c r="AA1672" s="117">
        <f>_xll.qlCalendarAdvance(Calendar,Z1672,NDays&amp;"D")</f>
        <v>50853</v>
      </c>
      <c r="AB1672" s="92">
        <v>1.4346510079392119E-2</v>
      </c>
      <c r="AC1672" s="101">
        <v>1.4299855625141689E-2</v>
      </c>
    </row>
    <row r="1673" spans="25:29" x14ac:dyDescent="0.2">
      <c r="Y1673" s="105" t="str">
        <f t="shared" si="59"/>
        <v>1w</v>
      </c>
      <c r="Z1673" s="93">
        <f>_xll.qlCalendarAdvance(Calendar,Z1672,Y1673,"f",FALSE)</f>
        <v>50858</v>
      </c>
      <c r="AA1673" s="117">
        <f>_xll.qlCalendarAdvance(Calendar,Z1673,NDays&amp;"D")</f>
        <v>50860</v>
      </c>
      <c r="AB1673" s="92">
        <v>1.4345451829723743E-2</v>
      </c>
      <c r="AC1673" s="101">
        <v>1.4298957308840343E-2</v>
      </c>
    </row>
    <row r="1674" spans="25:29" x14ac:dyDescent="0.2">
      <c r="Y1674" s="105" t="str">
        <f t="shared" si="59"/>
        <v>1w</v>
      </c>
      <c r="Z1674" s="93">
        <f>_xll.qlCalendarAdvance(Calendar,Z1673,Y1674,"f",FALSE)</f>
        <v>50865</v>
      </c>
      <c r="AA1674" s="117">
        <f>_xll.qlCalendarAdvance(Calendar,Z1674,NDays&amp;"D")</f>
        <v>50867</v>
      </c>
      <c r="AB1674" s="92">
        <v>1.4345309142192007E-2</v>
      </c>
      <c r="AC1674" s="101">
        <v>1.4299016261810849E-2</v>
      </c>
    </row>
    <row r="1675" spans="25:29" x14ac:dyDescent="0.2">
      <c r="Y1675" s="105" t="str">
        <f t="shared" si="59"/>
        <v>1w</v>
      </c>
      <c r="Z1675" s="93">
        <f>_xll.qlCalendarAdvance(Calendar,Z1674,Y1675,"f",FALSE)</f>
        <v>50872</v>
      </c>
      <c r="AA1675" s="117">
        <f>_xll.qlCalendarAdvance(Calendar,Z1675,NDays&amp;"D")</f>
        <v>50874</v>
      </c>
      <c r="AB1675" s="92">
        <v>1.434522192524359E-2</v>
      </c>
      <c r="AC1675" s="101">
        <v>1.429731820614677E-2</v>
      </c>
    </row>
    <row r="1676" spans="25:29" x14ac:dyDescent="0.2">
      <c r="Y1676" s="105" t="str">
        <f t="shared" si="59"/>
        <v>1w</v>
      </c>
      <c r="Z1676" s="93">
        <f>_xll.qlCalendarAdvance(Calendar,Z1675,Y1676,"f",FALSE)</f>
        <v>50879</v>
      </c>
      <c r="AA1676" s="117">
        <f>_xll.qlCalendarAdvance(Calendar,Z1676,NDays&amp;"D")</f>
        <v>50881</v>
      </c>
      <c r="AB1676" s="92">
        <v>1.4345190367628054E-2</v>
      </c>
      <c r="AC1676" s="101">
        <v>1.4296577794814525E-2</v>
      </c>
    </row>
    <row r="1677" spans="25:29" x14ac:dyDescent="0.2">
      <c r="Y1677" s="105" t="str">
        <f t="shared" si="59"/>
        <v>1w</v>
      </c>
      <c r="Z1677" s="93">
        <f>_xll.qlCalendarAdvance(Calendar,Z1676,Y1677,"f",FALSE)</f>
        <v>50886</v>
      </c>
      <c r="AA1677" s="117">
        <f>_xll.qlCalendarAdvance(Calendar,Z1677,NDays&amp;"D")</f>
        <v>50888</v>
      </c>
      <c r="AB1677" s="92">
        <v>1.4345214658099327E-2</v>
      </c>
      <c r="AC1677" s="101">
        <v>1.4295890393238864E-2</v>
      </c>
    </row>
    <row r="1678" spans="25:29" x14ac:dyDescent="0.2">
      <c r="Y1678" s="105" t="str">
        <f t="shared" si="59"/>
        <v>1w</v>
      </c>
      <c r="Z1678" s="93">
        <f>_xll.qlCalendarAdvance(Calendar,Z1677,Y1678,"f",FALSE)</f>
        <v>50893</v>
      </c>
      <c r="AA1678" s="117">
        <f>_xll.qlCalendarAdvance(Calendar,Z1678,NDays&amp;"D")</f>
        <v>50895</v>
      </c>
      <c r="AB1678" s="92">
        <v>1.4346227886200295E-2</v>
      </c>
      <c r="AC1678" s="101">
        <v>1.4295256188869843E-2</v>
      </c>
    </row>
    <row r="1679" spans="25:29" x14ac:dyDescent="0.2">
      <c r="Y1679" s="105" t="str">
        <f t="shared" si="59"/>
        <v>1w</v>
      </c>
      <c r="Z1679" s="93">
        <f>_xll.qlCalendarAdvance(Calendar,Z1678,Y1679,"f",FALSE)</f>
        <v>50900</v>
      </c>
      <c r="AA1679" s="117">
        <f>_xll.qlCalendarAdvance(Calendar,Z1679,NDays&amp;"D")</f>
        <v>50902</v>
      </c>
      <c r="AB1679" s="92">
        <v>1.4346376707444224E-2</v>
      </c>
      <c r="AC1679" s="101">
        <v>1.4294675369157517E-2</v>
      </c>
    </row>
    <row r="1680" spans="25:29" x14ac:dyDescent="0.2">
      <c r="Y1680" s="105" t="str">
        <f t="shared" si="59"/>
        <v>1w</v>
      </c>
      <c r="Z1680" s="93">
        <f>_xll.qlCalendarAdvance(Calendar,Z1679,Y1680,"f",FALSE)</f>
        <v>50907</v>
      </c>
      <c r="AA1680" s="117">
        <f>_xll.qlCalendarAdvance(Calendar,Z1680,NDays&amp;"D")</f>
        <v>50909</v>
      </c>
      <c r="AB1680" s="92">
        <v>1.4346581990245305E-2</v>
      </c>
      <c r="AC1680" s="101">
        <v>1.4294148121472006E-2</v>
      </c>
    </row>
    <row r="1681" spans="25:29" x14ac:dyDescent="0.2">
      <c r="Y1681" s="105" t="str">
        <f t="shared" si="59"/>
        <v>1w</v>
      </c>
      <c r="Z1681" s="93">
        <f>_xll.qlCalendarAdvance(Calendar,Z1680,Y1681,"f",FALSE)</f>
        <v>50914</v>
      </c>
      <c r="AA1681" s="117">
        <f>_xll.qlCalendarAdvance(Calendar,Z1681,NDays&amp;"D")</f>
        <v>50916</v>
      </c>
      <c r="AB1681" s="92">
        <v>1.4346843923400042E-2</v>
      </c>
      <c r="AC1681" s="101">
        <v>1.4293674633023556E-2</v>
      </c>
    </row>
    <row r="1682" spans="25:29" x14ac:dyDescent="0.2">
      <c r="Y1682" s="105" t="str">
        <f t="shared" si="59"/>
        <v>1w</v>
      </c>
      <c r="Z1682" s="93">
        <f>_xll.qlCalendarAdvance(Calendar,Z1681,Y1682,"f",FALSE)</f>
        <v>50921</v>
      </c>
      <c r="AA1682" s="117">
        <f>_xll.qlCalendarAdvance(Calendar,Z1682,NDays&amp;"D")</f>
        <v>50923</v>
      </c>
      <c r="AB1682" s="92">
        <v>1.4346180438506231E-2</v>
      </c>
      <c r="AC1682" s="101">
        <v>1.4293255091581969E-2</v>
      </c>
    </row>
    <row r="1683" spans="25:29" x14ac:dyDescent="0.2">
      <c r="Y1683" s="105" t="str">
        <f t="shared" si="59"/>
        <v>1w</v>
      </c>
      <c r="Z1683" s="93">
        <f>_xll.qlCalendarAdvance(Calendar,Z1682,Y1683,"f",FALSE)</f>
        <v>50928</v>
      </c>
      <c r="AA1683" s="117">
        <f>_xll.qlCalendarAdvance(Calendar,Z1683,NDays&amp;"D")</f>
        <v>50930</v>
      </c>
      <c r="AB1683" s="92">
        <v>1.4346543781611779E-2</v>
      </c>
      <c r="AC1683" s="101">
        <v>1.4292889684117682E-2</v>
      </c>
    </row>
    <row r="1684" spans="25:29" x14ac:dyDescent="0.2">
      <c r="Y1684" s="105" t="str">
        <f t="shared" si="59"/>
        <v>1w</v>
      </c>
      <c r="Z1684" s="93">
        <f>_xll.qlCalendarAdvance(Calendar,Z1683,Y1684,"f",FALSE)</f>
        <v>50935</v>
      </c>
      <c r="AA1684" s="117">
        <f>_xll.qlCalendarAdvance(Calendar,Z1684,NDays&amp;"D")</f>
        <v>50937</v>
      </c>
      <c r="AB1684" s="92">
        <v>1.4346964294220558E-2</v>
      </c>
      <c r="AC1684" s="101">
        <v>1.4292578598400496E-2</v>
      </c>
    </row>
    <row r="1685" spans="25:29" x14ac:dyDescent="0.2">
      <c r="Y1685" s="105" t="str">
        <f t="shared" ref="Y1685:Y1748" si="60">Y1684</f>
        <v>1w</v>
      </c>
      <c r="Z1685" s="93">
        <f>_xll.qlCalendarAdvance(Calendar,Z1684,Y1685,"f",FALSE)</f>
        <v>50942</v>
      </c>
      <c r="AA1685" s="117">
        <f>_xll.qlCalendarAdvance(Calendar,Z1685,NDays&amp;"D")</f>
        <v>50944</v>
      </c>
      <c r="AB1685" s="92">
        <v>1.4347442165126682E-2</v>
      </c>
      <c r="AC1685" s="101">
        <v>1.4292322021720594E-2</v>
      </c>
    </row>
    <row r="1686" spans="25:29" x14ac:dyDescent="0.2">
      <c r="Y1686" s="105" t="str">
        <f t="shared" si="60"/>
        <v>1w</v>
      </c>
      <c r="Z1686" s="93">
        <f>_xll.qlCalendarAdvance(Calendar,Z1685,Y1686,"f",FALSE)</f>
        <v>50949</v>
      </c>
      <c r="AA1686" s="117">
        <f>_xll.qlCalendarAdvance(Calendar,Z1686,NDays&amp;"D")</f>
        <v>50951</v>
      </c>
      <c r="AB1686" s="92">
        <v>1.4347977583127327E-2</v>
      </c>
      <c r="AC1686" s="101">
        <v>1.4292120141368159E-2</v>
      </c>
    </row>
    <row r="1687" spans="25:29" x14ac:dyDescent="0.2">
      <c r="Y1687" s="105" t="str">
        <f t="shared" si="60"/>
        <v>1w</v>
      </c>
      <c r="Z1687" s="93">
        <f>_xll.qlCalendarAdvance(Calendar,Z1686,Y1687,"f",FALSE)</f>
        <v>50956</v>
      </c>
      <c r="AA1687" s="117">
        <f>_xll.qlCalendarAdvance(Calendar,Z1687,NDays&amp;"D")</f>
        <v>50958</v>
      </c>
      <c r="AB1687" s="92">
        <v>1.4349615753061751E-2</v>
      </c>
      <c r="AC1687" s="101">
        <v>1.4291973144873182E-2</v>
      </c>
    </row>
    <row r="1688" spans="25:29" x14ac:dyDescent="0.2">
      <c r="Y1688" s="105" t="str">
        <f t="shared" si="60"/>
        <v>1w</v>
      </c>
      <c r="Z1688" s="93">
        <f>_xll.qlCalendarAdvance(Calendar,Z1687,Y1688,"f",FALSE)</f>
        <v>50963</v>
      </c>
      <c r="AA1688" s="117">
        <f>_xll.qlCalendarAdvance(Calendar,Z1688,NDays&amp;"D")</f>
        <v>50965</v>
      </c>
      <c r="AB1688" s="92">
        <v>1.4350279525451922E-2</v>
      </c>
      <c r="AC1688" s="101">
        <v>1.4291881219445912E-2</v>
      </c>
    </row>
    <row r="1689" spans="25:29" x14ac:dyDescent="0.2">
      <c r="Y1689" s="105" t="str">
        <f t="shared" si="60"/>
        <v>1w</v>
      </c>
      <c r="Z1689" s="93">
        <f>_xll.qlCalendarAdvance(Calendar,Z1688,Y1689,"f",FALSE)</f>
        <v>50970</v>
      </c>
      <c r="AA1689" s="117">
        <f>_xll.qlCalendarAdvance(Calendar,Z1689,NDays&amp;"D")</f>
        <v>50972</v>
      </c>
      <c r="AB1689" s="92">
        <v>1.4351001458761614E-2</v>
      </c>
      <c r="AC1689" s="101">
        <v>1.4291844552696276E-2</v>
      </c>
    </row>
    <row r="1690" spans="25:29" x14ac:dyDescent="0.2">
      <c r="Y1690" s="105" t="str">
        <f t="shared" si="60"/>
        <v>1w</v>
      </c>
      <c r="Z1690" s="93">
        <f>_xll.qlCalendarAdvance(Calendar,Z1689,Y1690,"f",FALSE)</f>
        <v>50977</v>
      </c>
      <c r="AA1690" s="117">
        <f>_xll.qlCalendarAdvance(Calendar,Z1690,NDays&amp;"D")</f>
        <v>50979</v>
      </c>
      <c r="AB1690" s="92">
        <v>1.4351781741834607E-2</v>
      </c>
      <c r="AC1690" s="101">
        <v>1.4291863331914456E-2</v>
      </c>
    </row>
    <row r="1691" spans="25:29" x14ac:dyDescent="0.2">
      <c r="Y1691" s="105" t="str">
        <f t="shared" si="60"/>
        <v>1w</v>
      </c>
      <c r="Z1691" s="93">
        <f>_xll.qlCalendarAdvance(Calendar,Z1690,Y1691,"f",FALSE)</f>
        <v>50984</v>
      </c>
      <c r="AA1691" s="117">
        <f>_xll.qlCalendarAdvance(Calendar,Z1691,NDays&amp;"D")</f>
        <v>50986</v>
      </c>
      <c r="AB1691" s="92">
        <v>1.4352620563521556E-2</v>
      </c>
      <c r="AC1691" s="101">
        <v>1.4291937744390637E-2</v>
      </c>
    </row>
    <row r="1692" spans="25:29" x14ac:dyDescent="0.2">
      <c r="Y1692" s="105" t="str">
        <f t="shared" si="60"/>
        <v>1w</v>
      </c>
      <c r="Z1692" s="93">
        <f>_xll.qlCalendarAdvance(Calendar,Z1691,Y1692,"f",FALSE)</f>
        <v>50991</v>
      </c>
      <c r="AA1692" s="117">
        <f>_xll.qlCalendarAdvance(Calendar,Z1692,NDays&amp;"D")</f>
        <v>50993</v>
      </c>
      <c r="AB1692" s="92">
        <v>1.4353518112678274E-2</v>
      </c>
      <c r="AC1692" s="101">
        <v>1.4292067977814682E-2</v>
      </c>
    </row>
    <row r="1693" spans="25:29" x14ac:dyDescent="0.2">
      <c r="Y1693" s="105" t="str">
        <f t="shared" si="60"/>
        <v>1w</v>
      </c>
      <c r="Z1693" s="93">
        <f>_xll.qlCalendarAdvance(Calendar,Z1692,Y1693,"f",FALSE)</f>
        <v>50998</v>
      </c>
      <c r="AA1693" s="117">
        <f>_xll.qlCalendarAdvance(Calendar,Z1693,NDays&amp;"D")</f>
        <v>51000</v>
      </c>
      <c r="AB1693" s="92">
        <v>1.4354474578166162E-2</v>
      </c>
      <c r="AC1693" s="101">
        <v>1.4292254219396838E-2</v>
      </c>
    </row>
    <row r="1694" spans="25:29" x14ac:dyDescent="0.2">
      <c r="Y1694" s="105" t="str">
        <f t="shared" si="60"/>
        <v>1w</v>
      </c>
      <c r="Z1694" s="93">
        <f>_xll.qlCalendarAdvance(Calendar,Z1693,Y1694,"f",FALSE)</f>
        <v>51005</v>
      </c>
      <c r="AA1694" s="117">
        <f>_xll.qlCalendarAdvance(Calendar,Z1694,NDays&amp;"D")</f>
        <v>51007</v>
      </c>
      <c r="AB1694" s="92">
        <v>1.4355490148851343E-2</v>
      </c>
      <c r="AC1694" s="101">
        <v>1.4292496656587161E-2</v>
      </c>
    </row>
    <row r="1695" spans="25:29" x14ac:dyDescent="0.2">
      <c r="Y1695" s="105" t="str">
        <f t="shared" si="60"/>
        <v>1w</v>
      </c>
      <c r="Z1695" s="93">
        <f>_xll.qlCalendarAdvance(Calendar,Z1694,Y1695,"f",FALSE)</f>
        <v>51012</v>
      </c>
      <c r="AA1695" s="117">
        <f>_xll.qlCalendarAdvance(Calendar,Z1695,NDays&amp;"D")</f>
        <v>51014</v>
      </c>
      <c r="AB1695" s="92">
        <v>1.4355035343407528E-2</v>
      </c>
      <c r="AC1695" s="101">
        <v>1.4292795476595899E-2</v>
      </c>
    </row>
    <row r="1696" spans="25:29" x14ac:dyDescent="0.2">
      <c r="Y1696" s="105" t="str">
        <f t="shared" si="60"/>
        <v>1w</v>
      </c>
      <c r="Z1696" s="93">
        <f>_xll.qlCalendarAdvance(Calendar,Z1695,Y1696,"f",FALSE)</f>
        <v>51019</v>
      </c>
      <c r="AA1696" s="117">
        <f>_xll.qlCalendarAdvance(Calendar,Z1696,NDays&amp;"D")</f>
        <v>51021</v>
      </c>
      <c r="AB1696" s="92">
        <v>1.4356152262845345E-2</v>
      </c>
      <c r="AC1696" s="101">
        <v>1.4293150867112914E-2</v>
      </c>
    </row>
    <row r="1697" spans="25:29" x14ac:dyDescent="0.2">
      <c r="Y1697" s="105" t="str">
        <f t="shared" si="60"/>
        <v>1w</v>
      </c>
      <c r="Z1697" s="93">
        <f>_xll.qlCalendarAdvance(Calendar,Z1696,Y1697,"f",FALSE)</f>
        <v>51026</v>
      </c>
      <c r="AA1697" s="117">
        <f>_xll.qlCalendarAdvance(Calendar,Z1697,NDays&amp;"D")</f>
        <v>51028</v>
      </c>
      <c r="AB1697" s="92">
        <v>1.4357328790657662E-2</v>
      </c>
      <c r="AC1697" s="101">
        <v>1.4293563015268518E-2</v>
      </c>
    </row>
    <row r="1698" spans="25:29" x14ac:dyDescent="0.2">
      <c r="Y1698" s="105" t="str">
        <f t="shared" si="60"/>
        <v>1w</v>
      </c>
      <c r="Z1698" s="93">
        <f>_xll.qlCalendarAdvance(Calendar,Z1697,Y1698,"f",FALSE)</f>
        <v>51033</v>
      </c>
      <c r="AA1698" s="117">
        <f>_xll.qlCalendarAdvance(Calendar,Z1698,NDays&amp;"D")</f>
        <v>51035</v>
      </c>
      <c r="AB1698" s="92">
        <v>1.43585651157022E-2</v>
      </c>
      <c r="AC1698" s="101">
        <v>1.4294032108672639E-2</v>
      </c>
    </row>
    <row r="1699" spans="25:29" x14ac:dyDescent="0.2">
      <c r="Y1699" s="105" t="str">
        <f t="shared" si="60"/>
        <v>1w</v>
      </c>
      <c r="Z1699" s="93">
        <f>_xll.qlCalendarAdvance(Calendar,Z1698,Y1699,"f",FALSE)</f>
        <v>51040</v>
      </c>
      <c r="AA1699" s="117">
        <f>_xll.qlCalendarAdvance(Calendar,Z1699,NDays&amp;"D")</f>
        <v>51042</v>
      </c>
      <c r="AB1699" s="92">
        <v>1.4359861426838875E-2</v>
      </c>
      <c r="AC1699" s="101">
        <v>1.4294558334615459E-2</v>
      </c>
    </row>
    <row r="1700" spans="25:29" x14ac:dyDescent="0.2">
      <c r="Y1700" s="105" t="str">
        <f t="shared" si="60"/>
        <v>1w</v>
      </c>
      <c r="Z1700" s="93">
        <f>_xll.qlCalendarAdvance(Calendar,Z1699,Y1700,"f",FALSE)</f>
        <v>51047</v>
      </c>
      <c r="AA1700" s="117">
        <f>_xll.qlCalendarAdvance(Calendar,Z1700,NDays&amp;"D")</f>
        <v>51049</v>
      </c>
      <c r="AB1700" s="92">
        <v>1.4361621620204748E-2</v>
      </c>
      <c r="AC1700" s="101">
        <v>1.4295141880626971E-2</v>
      </c>
    </row>
    <row r="1701" spans="25:29" x14ac:dyDescent="0.2">
      <c r="Y1701" s="105" t="str">
        <f t="shared" si="60"/>
        <v>1w</v>
      </c>
      <c r="Z1701" s="93">
        <f>_xll.qlCalendarAdvance(Calendar,Z1700,Y1701,"f",FALSE)</f>
        <v>51054</v>
      </c>
      <c r="AA1701" s="117">
        <f>_xll.qlCalendarAdvance(Calendar,Z1701,NDays&amp;"D")</f>
        <v>51056</v>
      </c>
      <c r="AB1701" s="92">
        <v>1.436304290416216E-2</v>
      </c>
      <c r="AC1701" s="101">
        <v>1.4295782933917422E-2</v>
      </c>
    </row>
    <row r="1702" spans="25:29" x14ac:dyDescent="0.2">
      <c r="Y1702" s="105" t="str">
        <f t="shared" si="60"/>
        <v>1w</v>
      </c>
      <c r="Z1702" s="93">
        <f>_xll.qlCalendarAdvance(Calendar,Z1701,Y1702,"f",FALSE)</f>
        <v>51061</v>
      </c>
      <c r="AA1702" s="117">
        <f>_xll.qlCalendarAdvance(Calendar,Z1702,NDays&amp;"D")</f>
        <v>51063</v>
      </c>
      <c r="AB1702" s="92">
        <v>1.4364524756740727E-2</v>
      </c>
      <c r="AC1702" s="101">
        <v>1.4296481681936868E-2</v>
      </c>
    </row>
    <row r="1703" spans="25:29" x14ac:dyDescent="0.2">
      <c r="Y1703" s="105" t="str">
        <f t="shared" si="60"/>
        <v>1w</v>
      </c>
      <c r="Z1703" s="93">
        <f>_xll.qlCalendarAdvance(Calendar,Z1702,Y1703,"f",FALSE)</f>
        <v>51068</v>
      </c>
      <c r="AA1703" s="117">
        <f>_xll.qlCalendarAdvance(Calendar,Z1703,NDays&amp;"D")</f>
        <v>51070</v>
      </c>
      <c r="AB1703" s="92">
        <v>1.4366067366835473E-2</v>
      </c>
      <c r="AC1703" s="101">
        <v>1.4297238312135363E-2</v>
      </c>
    </row>
    <row r="1704" spans="25:29" x14ac:dyDescent="0.2">
      <c r="Y1704" s="105" t="str">
        <f t="shared" si="60"/>
        <v>1w</v>
      </c>
      <c r="Z1704" s="93">
        <f>_xll.qlCalendarAdvance(Calendar,Z1703,Y1704,"f",FALSE)</f>
        <v>51075</v>
      </c>
      <c r="AA1704" s="117">
        <f>_xll.qlCalendarAdvance(Calendar,Z1704,NDays&amp;"D")</f>
        <v>51077</v>
      </c>
      <c r="AB1704" s="92">
        <v>1.4367249384521863E-2</v>
      </c>
      <c r="AC1704" s="101">
        <v>1.4298053011962963E-2</v>
      </c>
    </row>
    <row r="1705" spans="25:29" x14ac:dyDescent="0.2">
      <c r="Y1705" s="105" t="str">
        <f t="shared" si="60"/>
        <v>1w</v>
      </c>
      <c r="Z1705" s="93">
        <f>_xll.qlCalendarAdvance(Calendar,Z1704,Y1705,"f",FALSE)</f>
        <v>51082</v>
      </c>
      <c r="AA1705" s="117">
        <f>_xll.qlCalendarAdvance(Calendar,Z1705,NDays&amp;"D")</f>
        <v>51084</v>
      </c>
      <c r="AB1705" s="92">
        <v>1.436890957866095E-2</v>
      </c>
      <c r="AC1705" s="101">
        <v>1.4298925968709852E-2</v>
      </c>
    </row>
    <row r="1706" spans="25:29" x14ac:dyDescent="0.2">
      <c r="Y1706" s="105" t="str">
        <f t="shared" si="60"/>
        <v>1w</v>
      </c>
      <c r="Z1706" s="93">
        <f>_xll.qlCalendarAdvance(Calendar,Z1705,Y1706,"f",FALSE)</f>
        <v>51089</v>
      </c>
      <c r="AA1706" s="117">
        <f>_xll.qlCalendarAdvance(Calendar,Z1706,NDays&amp;"D")</f>
        <v>51091</v>
      </c>
      <c r="AB1706" s="92">
        <v>1.4370631041617747E-2</v>
      </c>
      <c r="AC1706" s="101">
        <v>1.4299857369826086E-2</v>
      </c>
    </row>
    <row r="1707" spans="25:29" x14ac:dyDescent="0.2">
      <c r="Y1707" s="105" t="str">
        <f t="shared" si="60"/>
        <v>1w</v>
      </c>
      <c r="Z1707" s="93">
        <f>_xll.qlCalendarAdvance(Calendar,Z1706,Y1707,"f",FALSE)</f>
        <v>51096</v>
      </c>
      <c r="AA1707" s="117">
        <f>_xll.qlCalendarAdvance(Calendar,Z1707,NDays&amp;"D")</f>
        <v>51098</v>
      </c>
      <c r="AB1707" s="92">
        <v>1.4372412617395641E-2</v>
      </c>
      <c r="AC1707" s="101">
        <v>1.4300847402601846E-2</v>
      </c>
    </row>
    <row r="1708" spans="25:29" x14ac:dyDescent="0.2">
      <c r="Y1708" s="105" t="str">
        <f t="shared" si="60"/>
        <v>1w</v>
      </c>
      <c r="Z1708" s="93">
        <f>_xll.qlCalendarAdvance(Calendar,Z1707,Y1708,"f",FALSE)</f>
        <v>51103</v>
      </c>
      <c r="AA1708" s="117">
        <f>_xll.qlCalendarAdvance(Calendar,Z1708,NDays&amp;"D")</f>
        <v>51105</v>
      </c>
      <c r="AB1708" s="92">
        <v>1.4374689896434648E-2</v>
      </c>
      <c r="AC1708" s="101">
        <v>1.4301896254726998E-2</v>
      </c>
    </row>
    <row r="1709" spans="25:29" x14ac:dyDescent="0.2">
      <c r="Y1709" s="105" t="str">
        <f t="shared" si="60"/>
        <v>1w</v>
      </c>
      <c r="Z1709" s="93">
        <f>_xll.qlCalendarAdvance(Calendar,Z1708,Y1709,"f",FALSE)</f>
        <v>51110</v>
      </c>
      <c r="AA1709" s="117">
        <f>_xll.qlCalendarAdvance(Calendar,Z1709,NDays&amp;"D")</f>
        <v>51112</v>
      </c>
      <c r="AB1709" s="92">
        <v>1.4376586736032827E-2</v>
      </c>
      <c r="AC1709" s="101">
        <v>1.430300411317198E-2</v>
      </c>
    </row>
    <row r="1710" spans="25:29" x14ac:dyDescent="0.2">
      <c r="Y1710" s="105" t="str">
        <f t="shared" si="60"/>
        <v>1w</v>
      </c>
      <c r="Z1710" s="93">
        <f>_xll.qlCalendarAdvance(Calendar,Z1709,Y1710,"f",FALSE)</f>
        <v>51117</v>
      </c>
      <c r="AA1710" s="117">
        <f>_xll.qlCalendarAdvance(Calendar,Z1710,NDays&amp;"D")</f>
        <v>51119</v>
      </c>
      <c r="AB1710" s="92">
        <v>1.4378534910704465E-2</v>
      </c>
      <c r="AC1710" s="101">
        <v>1.4304171165706592E-2</v>
      </c>
    </row>
    <row r="1711" spans="25:29" x14ac:dyDescent="0.2">
      <c r="Y1711" s="105" t="str">
        <f t="shared" si="60"/>
        <v>1w</v>
      </c>
      <c r="Z1711" s="93">
        <f>_xll.qlCalendarAdvance(Calendar,Z1710,Y1711,"f",FALSE)</f>
        <v>51124</v>
      </c>
      <c r="AA1711" s="117">
        <f>_xll.qlCalendarAdvance(Calendar,Z1711,NDays&amp;"D")</f>
        <v>51126</v>
      </c>
      <c r="AB1711" s="92">
        <v>1.4380531580044931E-2</v>
      </c>
      <c r="AC1711" s="101">
        <v>1.4305397599621017E-2</v>
      </c>
    </row>
    <row r="1712" spans="25:29" x14ac:dyDescent="0.2">
      <c r="Y1712" s="105" t="str">
        <f t="shared" si="60"/>
        <v>1w</v>
      </c>
      <c r="Z1712" s="93">
        <f>_xll.qlCalendarAdvance(Calendar,Z1711,Y1712,"f",FALSE)</f>
        <v>51131</v>
      </c>
      <c r="AA1712" s="117">
        <f>_xll.qlCalendarAdvance(Calendar,Z1712,NDays&amp;"D")</f>
        <v>51133</v>
      </c>
      <c r="AB1712" s="92">
        <v>1.4382573894467865E-2</v>
      </c>
      <c r="AC1712" s="101">
        <v>1.4306683602125503E-2</v>
      </c>
    </row>
    <row r="1713" spans="25:29" x14ac:dyDescent="0.2">
      <c r="Y1713" s="105" t="str">
        <f t="shared" si="60"/>
        <v>1w</v>
      </c>
      <c r="Z1713" s="93">
        <f>_xll.qlCalendarAdvance(Calendar,Z1712,Y1713,"f",FALSE)</f>
        <v>51138</v>
      </c>
      <c r="AA1713" s="117">
        <f>_xll.qlCalendarAdvance(Calendar,Z1713,NDays&amp;"D")</f>
        <v>51140</v>
      </c>
      <c r="AB1713" s="92">
        <v>1.4384207394981027E-2</v>
      </c>
      <c r="AC1713" s="101">
        <v>1.4308029360909913E-2</v>
      </c>
    </row>
    <row r="1714" spans="25:29" x14ac:dyDescent="0.2">
      <c r="Y1714" s="105" t="str">
        <f t="shared" si="60"/>
        <v>1w</v>
      </c>
      <c r="Z1714" s="93">
        <f>_xll.qlCalendarAdvance(Calendar,Z1713,Y1714,"f",FALSE)</f>
        <v>51145</v>
      </c>
      <c r="AA1714" s="117">
        <f>_xll.qlCalendarAdvance(Calendar,Z1714,NDays&amp;"D")</f>
        <v>51147</v>
      </c>
      <c r="AB1714" s="92">
        <v>1.4386330716208881E-2</v>
      </c>
      <c r="AC1714" s="101">
        <v>1.4309435063184495E-2</v>
      </c>
    </row>
    <row r="1715" spans="25:29" x14ac:dyDescent="0.2">
      <c r="Y1715" s="105" t="str">
        <f t="shared" si="60"/>
        <v>1w</v>
      </c>
      <c r="Z1715" s="93">
        <f>_xll.qlCalendarAdvance(Calendar,Z1714,Y1715,"f",FALSE)</f>
        <v>51152</v>
      </c>
      <c r="AA1715" s="117">
        <f>_xll.qlCalendarAdvance(Calendar,Z1715,NDays&amp;"D")</f>
        <v>51154</v>
      </c>
      <c r="AB1715" s="92">
        <v>1.4388491361883565E-2</v>
      </c>
      <c r="AC1715" s="101">
        <v>1.4310900896399303E-2</v>
      </c>
    </row>
    <row r="1716" spans="25:29" x14ac:dyDescent="0.2">
      <c r="Y1716" s="105" t="str">
        <f t="shared" si="60"/>
        <v>1w</v>
      </c>
      <c r="Z1716" s="93">
        <f>_xll.qlCalendarAdvance(Calendar,Z1715,Y1716,"f",FALSE)</f>
        <v>51159</v>
      </c>
      <c r="AA1716" s="117">
        <f>_xll.qlCalendarAdvance(Calendar,Z1716,NDays&amp;"D")</f>
        <v>51161</v>
      </c>
      <c r="AB1716" s="92">
        <v>1.4390686430223844E-2</v>
      </c>
      <c r="AC1716" s="101">
        <v>1.4312427048004395E-2</v>
      </c>
    </row>
    <row r="1717" spans="25:29" x14ac:dyDescent="0.2">
      <c r="Y1717" s="105" t="str">
        <f t="shared" si="60"/>
        <v>1w</v>
      </c>
      <c r="Z1717" s="93">
        <f>_xll.qlCalendarAdvance(Calendar,Z1716,Y1717,"f",FALSE)</f>
        <v>51166</v>
      </c>
      <c r="AA1717" s="117">
        <f>_xll.qlCalendarAdvance(Calendar,Z1717,NDays&amp;"D")</f>
        <v>51168</v>
      </c>
      <c r="AB1717" s="92">
        <v>1.4392913010209726E-2</v>
      </c>
      <c r="AC1717" s="101">
        <v>1.4314013705210016E-2</v>
      </c>
    </row>
    <row r="1718" spans="25:29" x14ac:dyDescent="0.2">
      <c r="Y1718" s="105" t="str">
        <f t="shared" si="60"/>
        <v>1w</v>
      </c>
      <c r="Z1718" s="93">
        <f>_xll.qlCalendarAdvance(Calendar,Z1717,Y1718,"f",FALSE)</f>
        <v>51173</v>
      </c>
      <c r="AA1718" s="117">
        <f>_xll.qlCalendarAdvance(Calendar,Z1718,NDays&amp;"D")</f>
        <v>51175</v>
      </c>
      <c r="AB1718" s="92">
        <v>1.439516818159167E-2</v>
      </c>
      <c r="AC1718" s="101">
        <v>1.431566105570603E-2</v>
      </c>
    </row>
    <row r="1719" spans="25:29" x14ac:dyDescent="0.2">
      <c r="Y1719" s="105" t="str">
        <f t="shared" si="60"/>
        <v>1w</v>
      </c>
      <c r="Z1719" s="93">
        <f>_xll.qlCalendarAdvance(Calendar,Z1718,Y1719,"f",FALSE)</f>
        <v>51180</v>
      </c>
      <c r="AA1719" s="117">
        <f>_xll.qlCalendarAdvance(Calendar,Z1719,NDays&amp;"D")</f>
        <v>51182</v>
      </c>
      <c r="AB1719" s="92">
        <v>1.4397449014878744E-2</v>
      </c>
      <c r="AC1719" s="101">
        <v>1.4317369286702686E-2</v>
      </c>
    </row>
    <row r="1720" spans="25:29" x14ac:dyDescent="0.2">
      <c r="Y1720" s="105" t="str">
        <f t="shared" si="60"/>
        <v>1w</v>
      </c>
      <c r="Z1720" s="93">
        <f>_xll.qlCalendarAdvance(Calendar,Z1719,Y1720,"f",FALSE)</f>
        <v>51187</v>
      </c>
      <c r="AA1720" s="117">
        <f>_xll.qlCalendarAdvance(Calendar,Z1720,NDays&amp;"D")</f>
        <v>51189</v>
      </c>
      <c r="AB1720" s="92">
        <v>1.4399752571347397E-2</v>
      </c>
      <c r="AC1720" s="101">
        <v>1.4319138585570101E-2</v>
      </c>
    </row>
    <row r="1721" spans="25:29" x14ac:dyDescent="0.2">
      <c r="Y1721" s="105" t="str">
        <f t="shared" si="60"/>
        <v>1w</v>
      </c>
      <c r="Z1721" s="93">
        <f>_xll.qlCalendarAdvance(Calendar,Z1720,Y1721,"f",FALSE)</f>
        <v>51194</v>
      </c>
      <c r="AA1721" s="117">
        <f>_xll.qlCalendarAdvance(Calendar,Z1721,NDays&amp;"D")</f>
        <v>51196</v>
      </c>
      <c r="AB1721" s="92">
        <v>1.4403908122795493E-2</v>
      </c>
      <c r="AC1721" s="101">
        <v>1.4320969139838269E-2</v>
      </c>
    </row>
    <row r="1722" spans="25:29" x14ac:dyDescent="0.2">
      <c r="Y1722" s="105" t="str">
        <f t="shared" si="60"/>
        <v>1w</v>
      </c>
      <c r="Z1722" s="93">
        <f>_xll.qlCalendarAdvance(Calendar,Z1721,Y1722,"f",FALSE)</f>
        <v>51201</v>
      </c>
      <c r="AA1722" s="117">
        <f>_xll.qlCalendarAdvance(Calendar,Z1722,NDays&amp;"D")</f>
        <v>51203</v>
      </c>
      <c r="AB1722" s="92">
        <v>1.4406247688514713E-2</v>
      </c>
      <c r="AC1722" s="101">
        <v>1.4322861136877307E-2</v>
      </c>
    </row>
    <row r="1723" spans="25:29" x14ac:dyDescent="0.2">
      <c r="Y1723" s="105" t="str">
        <f t="shared" si="60"/>
        <v>1w</v>
      </c>
      <c r="Z1723" s="93">
        <f>_xll.qlCalendarAdvance(Calendar,Z1722,Y1723,"f",FALSE)</f>
        <v>51208</v>
      </c>
      <c r="AA1723" s="117">
        <f>_xll.qlCalendarAdvance(Calendar,Z1723,NDays&amp;"D")</f>
        <v>51210</v>
      </c>
      <c r="AB1723" s="92">
        <v>1.440860048327889E-2</v>
      </c>
      <c r="AC1723" s="101">
        <v>1.43248147639774E-2</v>
      </c>
    </row>
    <row r="1724" spans="25:29" x14ac:dyDescent="0.2">
      <c r="Y1724" s="105" t="str">
        <f t="shared" si="60"/>
        <v>1w</v>
      </c>
      <c r="Z1724" s="93">
        <f>_xll.qlCalendarAdvance(Calendar,Z1723,Y1724,"f",FALSE)</f>
        <v>51215</v>
      </c>
      <c r="AA1724" s="117">
        <f>_xll.qlCalendarAdvance(Calendar,Z1724,NDays&amp;"D")</f>
        <v>51217</v>
      </c>
      <c r="AB1724" s="92">
        <v>1.4410963593842894E-2</v>
      </c>
      <c r="AC1724" s="101">
        <v>1.4326830208588603E-2</v>
      </c>
    </row>
    <row r="1725" spans="25:29" x14ac:dyDescent="0.2">
      <c r="Y1725" s="105" t="str">
        <f t="shared" si="60"/>
        <v>1w</v>
      </c>
      <c r="Z1725" s="93">
        <f>_xll.qlCalendarAdvance(Calendar,Z1724,Y1725,"f",FALSE)</f>
        <v>51222</v>
      </c>
      <c r="AA1725" s="117">
        <f>_xll.qlCalendarAdvance(Calendar,Z1725,NDays&amp;"D")</f>
        <v>51224</v>
      </c>
      <c r="AB1725" s="92">
        <v>1.4411964408120398E-2</v>
      </c>
      <c r="AC1725" s="101">
        <v>1.4330654695667633E-2</v>
      </c>
    </row>
    <row r="1726" spans="25:29" x14ac:dyDescent="0.2">
      <c r="Y1726" s="105" t="str">
        <f t="shared" si="60"/>
        <v>1w</v>
      </c>
      <c r="Z1726" s="93">
        <f>_xll.qlCalendarAdvance(Calendar,Z1725,Y1726,"f",FALSE)</f>
        <v>51229</v>
      </c>
      <c r="AA1726" s="117">
        <f>_xll.qlCalendarAdvance(Calendar,Z1726,NDays&amp;"D")</f>
        <v>51231</v>
      </c>
      <c r="AB1726" s="92">
        <v>1.4414341403954223E-2</v>
      </c>
      <c r="AC1726" s="101">
        <v>1.4331047300064625E-2</v>
      </c>
    </row>
    <row r="1727" spans="25:29" x14ac:dyDescent="0.2">
      <c r="Y1727" s="105" t="str">
        <f t="shared" si="60"/>
        <v>1w</v>
      </c>
      <c r="Z1727" s="93">
        <f>_xll.qlCalendarAdvance(Calendar,Z1726,Y1727,"f",FALSE)</f>
        <v>51236</v>
      </c>
      <c r="AA1727" s="117">
        <f>_xll.qlCalendarAdvance(Calendar,Z1727,NDays&amp;"D")</f>
        <v>51238</v>
      </c>
      <c r="AB1727" s="92">
        <v>1.4416720198887059E-2</v>
      </c>
      <c r="AC1727" s="101">
        <v>1.4333249321749619E-2</v>
      </c>
    </row>
    <row r="1728" spans="25:29" x14ac:dyDescent="0.2">
      <c r="Y1728" s="105" t="str">
        <f t="shared" si="60"/>
        <v>1w</v>
      </c>
      <c r="Z1728" s="93">
        <f>_xll.qlCalendarAdvance(Calendar,Z1727,Y1728,"f",FALSE)</f>
        <v>51243</v>
      </c>
      <c r="AA1728" s="117">
        <f>_xll.qlCalendarAdvance(Calendar,Z1728,NDays&amp;"D")</f>
        <v>51245</v>
      </c>
      <c r="AB1728" s="92">
        <v>1.441909779635722E-2</v>
      </c>
      <c r="AC1728" s="101">
        <v>1.4335513910586073E-2</v>
      </c>
    </row>
    <row r="1729" spans="25:29" x14ac:dyDescent="0.2">
      <c r="Y1729" s="105" t="str">
        <f t="shared" si="60"/>
        <v>1w</v>
      </c>
      <c r="Z1729" s="93">
        <f>_xll.qlCalendarAdvance(Calendar,Z1728,Y1729,"f",FALSE)</f>
        <v>51250</v>
      </c>
      <c r="AA1729" s="117">
        <f>_xll.qlCalendarAdvance(Calendar,Z1729,NDays&amp;"D")</f>
        <v>51252</v>
      </c>
      <c r="AB1729" s="92">
        <v>1.442147119061212E-2</v>
      </c>
      <c r="AC1729" s="101">
        <v>1.4337841253784234E-2</v>
      </c>
    </row>
    <row r="1730" spans="25:29" x14ac:dyDescent="0.2">
      <c r="Y1730" s="105" t="str">
        <f t="shared" si="60"/>
        <v>1w</v>
      </c>
      <c r="Z1730" s="93">
        <f>_xll.qlCalendarAdvance(Calendar,Z1729,Y1730,"f",FALSE)</f>
        <v>51258</v>
      </c>
      <c r="AA1730" s="117">
        <f>_xll.qlCalendarAdvance(Calendar,Z1730,NDays&amp;"D")</f>
        <v>51260</v>
      </c>
      <c r="AB1730" s="92">
        <v>1.4425079259722067E-2</v>
      </c>
      <c r="AC1730" s="101">
        <v>1.4341497785874679E-2</v>
      </c>
    </row>
    <row r="1731" spans="25:29" x14ac:dyDescent="0.2">
      <c r="Y1731" s="105" t="str">
        <f t="shared" si="60"/>
        <v>1w</v>
      </c>
      <c r="Z1731" s="93">
        <f>_xll.qlCalendarAdvance(Calendar,Z1730,Y1731,"f",FALSE)</f>
        <v>51265</v>
      </c>
      <c r="AA1731" s="117">
        <f>_xll.qlCalendarAdvance(Calendar,Z1731,NDays&amp;"D")</f>
        <v>51267</v>
      </c>
      <c r="AB1731" s="92">
        <v>1.4427431515726315E-2</v>
      </c>
      <c r="AC1731" s="101">
        <v>1.4343969470012041E-2</v>
      </c>
    </row>
    <row r="1732" spans="25:29" x14ac:dyDescent="0.2">
      <c r="Y1732" s="105" t="str">
        <f t="shared" si="60"/>
        <v>1w</v>
      </c>
      <c r="Z1732" s="93">
        <f>_xll.qlCalendarAdvance(Calendar,Z1731,Y1732,"f",FALSE)</f>
        <v>51272</v>
      </c>
      <c r="AA1732" s="117">
        <f>_xll.qlCalendarAdvance(Calendar,Z1732,NDays&amp;"D")</f>
        <v>51274</v>
      </c>
      <c r="AB1732" s="92">
        <v>1.4429770131925604E-2</v>
      </c>
      <c r="AC1732" s="101">
        <v>1.4346479942828338E-2</v>
      </c>
    </row>
    <row r="1733" spans="25:29" x14ac:dyDescent="0.2">
      <c r="Y1733" s="105" t="str">
        <f t="shared" si="60"/>
        <v>1w</v>
      </c>
      <c r="Z1733" s="93">
        <f>_xll.qlCalendarAdvance(Calendar,Z1732,Y1733,"f",FALSE)</f>
        <v>51279</v>
      </c>
      <c r="AA1733" s="117">
        <f>_xll.qlCalendarAdvance(Calendar,Z1733,NDays&amp;"D")</f>
        <v>51281</v>
      </c>
      <c r="AB1733" s="92">
        <v>1.443209373697581E-2</v>
      </c>
      <c r="AC1733" s="101">
        <v>1.4348978507676691E-2</v>
      </c>
    </row>
    <row r="1734" spans="25:29" x14ac:dyDescent="0.2">
      <c r="Y1734" s="105" t="str">
        <f t="shared" si="60"/>
        <v>1w</v>
      </c>
      <c r="Z1734" s="93">
        <f>_xll.qlCalendarAdvance(Calendar,Z1733,Y1734,"f",FALSE)</f>
        <v>51286</v>
      </c>
      <c r="AA1734" s="117">
        <f>_xll.qlCalendarAdvance(Calendar,Z1734,NDays&amp;"D")</f>
        <v>51288</v>
      </c>
      <c r="AB1734" s="92">
        <v>1.4434402240928996E-2</v>
      </c>
      <c r="AC1734" s="101">
        <v>1.4351462737298704E-2</v>
      </c>
    </row>
    <row r="1735" spans="25:29" x14ac:dyDescent="0.2">
      <c r="Y1735" s="105" t="str">
        <f t="shared" si="60"/>
        <v>1w</v>
      </c>
      <c r="Z1735" s="93">
        <f>_xll.qlCalendarAdvance(Calendar,Z1734,Y1735,"f",FALSE)</f>
        <v>51293</v>
      </c>
      <c r="AA1735" s="117">
        <f>_xll.qlCalendarAdvance(Calendar,Z1735,NDays&amp;"D")</f>
        <v>51295</v>
      </c>
      <c r="AB1735" s="92">
        <v>1.4436695592657194E-2</v>
      </c>
      <c r="AC1735" s="101">
        <v>1.4353932581014917E-2</v>
      </c>
    </row>
    <row r="1736" spans="25:29" x14ac:dyDescent="0.2">
      <c r="Y1736" s="105" t="str">
        <f t="shared" si="60"/>
        <v>1w</v>
      </c>
      <c r="Z1736" s="93">
        <f>_xll.qlCalendarAdvance(Calendar,Z1735,Y1736,"f",FALSE)</f>
        <v>51300</v>
      </c>
      <c r="AA1736" s="117">
        <f>_xll.qlCalendarAdvance(Calendar,Z1736,NDays&amp;"D")</f>
        <v>51302</v>
      </c>
      <c r="AB1736" s="92">
        <v>1.443897374103287E-2</v>
      </c>
      <c r="AC1736" s="101">
        <v>1.4356387988092578E-2</v>
      </c>
    </row>
    <row r="1737" spans="25:29" x14ac:dyDescent="0.2">
      <c r="Y1737" s="105" t="str">
        <f t="shared" si="60"/>
        <v>1w</v>
      </c>
      <c r="Z1737" s="93">
        <f>_xll.qlCalendarAdvance(Calendar,Z1736,Y1737,"f",FALSE)</f>
        <v>51307</v>
      </c>
      <c r="AA1737" s="117">
        <f>_xll.qlCalendarAdvance(Calendar,Z1737,NDays&amp;"D")</f>
        <v>51309</v>
      </c>
      <c r="AB1737" s="92">
        <v>1.444123663492935E-2</v>
      </c>
      <c r="AC1737" s="101">
        <v>1.4358828907798937E-2</v>
      </c>
    </row>
    <row r="1738" spans="25:29" x14ac:dyDescent="0.2">
      <c r="Y1738" s="105" t="str">
        <f t="shared" si="60"/>
        <v>1w</v>
      </c>
      <c r="Z1738" s="93">
        <f>_xll.qlCalendarAdvance(Calendar,Z1737,Y1738,"f",FALSE)</f>
        <v>51314</v>
      </c>
      <c r="AA1738" s="117">
        <f>_xll.qlCalendarAdvance(Calendar,Z1738,NDays&amp;"D")</f>
        <v>51316</v>
      </c>
      <c r="AB1738" s="92">
        <v>1.444348422321824E-2</v>
      </c>
      <c r="AC1738" s="101">
        <v>1.4361255289454533E-2</v>
      </c>
    </row>
    <row r="1739" spans="25:29" x14ac:dyDescent="0.2">
      <c r="Y1739" s="105" t="str">
        <f t="shared" si="60"/>
        <v>1w</v>
      </c>
      <c r="Z1739" s="93">
        <f>_xll.qlCalendarAdvance(Calendar,Z1738,Y1739,"f",FALSE)</f>
        <v>51321</v>
      </c>
      <c r="AA1739" s="117">
        <f>_xll.qlCalendarAdvance(Calendar,Z1739,NDays&amp;"D")</f>
        <v>51323</v>
      </c>
      <c r="AB1739" s="92">
        <v>1.4445716454773732E-2</v>
      </c>
      <c r="AC1739" s="101">
        <v>1.436366708240655E-2</v>
      </c>
    </row>
    <row r="1740" spans="25:29" x14ac:dyDescent="0.2">
      <c r="Y1740" s="105" t="str">
        <f t="shared" si="60"/>
        <v>1w</v>
      </c>
      <c r="Z1740" s="93">
        <f>_xll.qlCalendarAdvance(Calendar,Z1739,Y1740,"f",FALSE)</f>
        <v>51328</v>
      </c>
      <c r="AA1740" s="117">
        <f>_xll.qlCalendarAdvance(Calendar,Z1740,NDays&amp;"D")</f>
        <v>51330</v>
      </c>
      <c r="AB1740" s="92">
        <v>1.4447933278467424E-2</v>
      </c>
      <c r="AC1740" s="101">
        <v>1.4366064235868947E-2</v>
      </c>
    </row>
    <row r="1741" spans="25:29" x14ac:dyDescent="0.2">
      <c r="Y1741" s="105" t="str">
        <f t="shared" si="60"/>
        <v>1w</v>
      </c>
      <c r="Z1741" s="93">
        <f>_xll.qlCalendarAdvance(Calendar,Z1740,Y1741,"f",FALSE)</f>
        <v>51335</v>
      </c>
      <c r="AA1741" s="117">
        <f>_xll.qlCalendarAdvance(Calendar,Z1741,NDays&amp;"D")</f>
        <v>51337</v>
      </c>
      <c r="AB1741" s="92">
        <v>1.4450134643173514E-2</v>
      </c>
      <c r="AC1741" s="101">
        <v>1.4368446699162263E-2</v>
      </c>
    </row>
    <row r="1742" spans="25:29" x14ac:dyDescent="0.2">
      <c r="Y1742" s="105" t="str">
        <f t="shared" si="60"/>
        <v>1w</v>
      </c>
      <c r="Z1742" s="93">
        <f>_xll.qlCalendarAdvance(Calendar,Z1741,Y1742,"f",FALSE)</f>
        <v>51342</v>
      </c>
      <c r="AA1742" s="117">
        <f>_xll.qlCalendarAdvance(Calendar,Z1742,NDays&amp;"D")</f>
        <v>51344</v>
      </c>
      <c r="AB1742" s="92">
        <v>1.4452320497764898E-2</v>
      </c>
      <c r="AC1742" s="101">
        <v>1.4370814421607037E-2</v>
      </c>
    </row>
    <row r="1743" spans="25:29" x14ac:dyDescent="0.2">
      <c r="Y1743" s="105" t="str">
        <f t="shared" si="60"/>
        <v>1w</v>
      </c>
      <c r="Z1743" s="93">
        <f>_xll.qlCalendarAdvance(Calendar,Z1742,Y1743,"f",FALSE)</f>
        <v>51349</v>
      </c>
      <c r="AA1743" s="117">
        <f>_xll.qlCalendarAdvance(Calendar,Z1743,NDays&amp;"D")</f>
        <v>51351</v>
      </c>
      <c r="AB1743" s="92">
        <v>1.4454490791114907E-2</v>
      </c>
      <c r="AC1743" s="101">
        <v>1.4373167352470517E-2</v>
      </c>
    </row>
    <row r="1744" spans="25:29" x14ac:dyDescent="0.2">
      <c r="Y1744" s="105" t="str">
        <f t="shared" si="60"/>
        <v>1w</v>
      </c>
      <c r="Z1744" s="93">
        <f>_xll.qlCalendarAdvance(Calendar,Z1743,Y1744,"f",FALSE)</f>
        <v>51356</v>
      </c>
      <c r="AA1744" s="117">
        <f>_xll.qlCalendarAdvance(Calendar,Z1744,NDays&amp;"D")</f>
        <v>51358</v>
      </c>
      <c r="AB1744" s="92">
        <v>1.4456645472097299E-2</v>
      </c>
      <c r="AC1744" s="101">
        <v>1.4375505441046599E-2</v>
      </c>
    </row>
    <row r="1745" spans="25:29" x14ac:dyDescent="0.2">
      <c r="Y1745" s="105" t="str">
        <f t="shared" si="60"/>
        <v>1w</v>
      </c>
      <c r="Z1745" s="93">
        <f>_xll.qlCalendarAdvance(Calendar,Z1744,Y1745,"f",FALSE)</f>
        <v>51363</v>
      </c>
      <c r="AA1745" s="117">
        <f>_xll.qlCalendarAdvance(Calendar,Z1745,NDays&amp;"D")</f>
        <v>51365</v>
      </c>
      <c r="AB1745" s="92">
        <v>1.4458784489585406E-2</v>
      </c>
      <c r="AC1745" s="101">
        <v>1.4377828636655821E-2</v>
      </c>
    </row>
    <row r="1746" spans="25:29" x14ac:dyDescent="0.2">
      <c r="Y1746" s="105" t="str">
        <f t="shared" si="60"/>
        <v>1w</v>
      </c>
      <c r="Z1746" s="93">
        <f>_xll.qlCalendarAdvance(Calendar,Z1745,Y1746,"f",FALSE)</f>
        <v>51370</v>
      </c>
      <c r="AA1746" s="117">
        <f>_xll.qlCalendarAdvance(Calendar,Z1746,NDays&amp;"D")</f>
        <v>51372</v>
      </c>
      <c r="AB1746" s="92">
        <v>1.4460907792454285E-2</v>
      </c>
      <c r="AC1746" s="101">
        <v>1.4380136888565431E-2</v>
      </c>
    </row>
    <row r="1747" spans="25:29" x14ac:dyDescent="0.2">
      <c r="Y1747" s="105" t="str">
        <f t="shared" si="60"/>
        <v>1w</v>
      </c>
      <c r="Z1747" s="93">
        <f>_xll.qlCalendarAdvance(Calendar,Z1746,Y1747,"f",FALSE)</f>
        <v>51377</v>
      </c>
      <c r="AA1747" s="117">
        <f>_xll.qlCalendarAdvance(Calendar,Z1747,NDays&amp;"D")</f>
        <v>51379</v>
      </c>
      <c r="AB1747" s="92">
        <v>1.4461275381658669E-2</v>
      </c>
      <c r="AC1747" s="101">
        <v>1.4382430146069325E-2</v>
      </c>
    </row>
    <row r="1748" spans="25:29" x14ac:dyDescent="0.2">
      <c r="Y1748" s="105" t="str">
        <f t="shared" si="60"/>
        <v>1w</v>
      </c>
      <c r="Z1748" s="93">
        <f>_xll.qlCalendarAdvance(Calendar,Z1747,Y1748,"f",FALSE)</f>
        <v>51384</v>
      </c>
      <c r="AA1748" s="117">
        <f>_xll.qlCalendarAdvance(Calendar,Z1748,NDays&amp;"D")</f>
        <v>51386</v>
      </c>
      <c r="AB1748" s="92">
        <v>1.446337135422059E-2</v>
      </c>
      <c r="AC1748" s="101">
        <v>1.4384708358488041E-2</v>
      </c>
    </row>
    <row r="1749" spans="25:29" x14ac:dyDescent="0.2">
      <c r="Y1749" s="105" t="str">
        <f t="shared" ref="Y1749:Y1812" si="61">Y1748</f>
        <v>1w</v>
      </c>
      <c r="Z1749" s="93">
        <f>_xll.qlCalendarAdvance(Calendar,Z1748,Y1749,"f",FALSE)</f>
        <v>51391</v>
      </c>
      <c r="AA1749" s="117">
        <f>_xll.qlCalendarAdvance(Calendar,Z1749,NDays&amp;"D")</f>
        <v>51393</v>
      </c>
      <c r="AB1749" s="92">
        <v>1.446545147588269E-2</v>
      </c>
      <c r="AC1749" s="101">
        <v>1.4386971475115473E-2</v>
      </c>
    </row>
    <row r="1750" spans="25:29" x14ac:dyDescent="0.2">
      <c r="Y1750" s="105" t="str">
        <f t="shared" si="61"/>
        <v>1w</v>
      </c>
      <c r="Z1750" s="93">
        <f>_xll.qlCalendarAdvance(Calendar,Z1749,Y1750,"f",FALSE)</f>
        <v>51398</v>
      </c>
      <c r="AA1750" s="117">
        <f>_xll.qlCalendarAdvance(Calendar,Z1750,NDays&amp;"D")</f>
        <v>51400</v>
      </c>
      <c r="AB1750" s="92">
        <v>1.4467515695527849E-2</v>
      </c>
      <c r="AC1750" s="101">
        <v>1.438921944521887E-2</v>
      </c>
    </row>
    <row r="1751" spans="25:29" x14ac:dyDescent="0.2">
      <c r="Y1751" s="105" t="str">
        <f t="shared" si="61"/>
        <v>1w</v>
      </c>
      <c r="Z1751" s="93">
        <f>_xll.qlCalendarAdvance(Calendar,Z1750,Y1751,"f",FALSE)</f>
        <v>51405</v>
      </c>
      <c r="AA1751" s="117">
        <f>_xll.qlCalendarAdvance(Calendar,Z1751,NDays&amp;"D")</f>
        <v>51407</v>
      </c>
      <c r="AB1751" s="92">
        <v>1.4469994809318152E-2</v>
      </c>
      <c r="AC1751" s="101">
        <v>1.4391452218145417E-2</v>
      </c>
    </row>
    <row r="1752" spans="25:29" x14ac:dyDescent="0.2">
      <c r="Y1752" s="105" t="str">
        <f t="shared" si="61"/>
        <v>1w</v>
      </c>
      <c r="Z1752" s="93">
        <f>_xll.qlCalendarAdvance(Calendar,Z1751,Y1752,"f",FALSE)</f>
        <v>51412</v>
      </c>
      <c r="AA1752" s="117">
        <f>_xll.qlCalendarAdvance(Calendar,Z1752,NDays&amp;"D")</f>
        <v>51414</v>
      </c>
      <c r="AB1752" s="92">
        <v>1.4472025992046099E-2</v>
      </c>
      <c r="AC1752" s="101">
        <v>1.4393669743082427E-2</v>
      </c>
    </row>
    <row r="1753" spans="25:29" x14ac:dyDescent="0.2">
      <c r="Y1753" s="105" t="str">
        <f t="shared" si="61"/>
        <v>1w</v>
      </c>
      <c r="Z1753" s="93">
        <f>_xll.qlCalendarAdvance(Calendar,Z1752,Y1753,"f",FALSE)</f>
        <v>51419</v>
      </c>
      <c r="AA1753" s="117">
        <f>_xll.qlCalendarAdvance(Calendar,Z1753,NDays&amp;"D")</f>
        <v>51421</v>
      </c>
      <c r="AB1753" s="92">
        <v>1.4474041115128126E-2</v>
      </c>
      <c r="AC1753" s="101">
        <v>1.4395871969457019E-2</v>
      </c>
    </row>
    <row r="1754" spans="25:29" x14ac:dyDescent="0.2">
      <c r="Y1754" s="105" t="str">
        <f t="shared" si="61"/>
        <v>1w</v>
      </c>
      <c r="Z1754" s="93">
        <f>_xll.qlCalendarAdvance(Calendar,Z1753,Y1754,"f",FALSE)</f>
        <v>51426</v>
      </c>
      <c r="AA1754" s="117">
        <f>_xll.qlCalendarAdvance(Calendar,Z1754,NDays&amp;"D")</f>
        <v>51428</v>
      </c>
      <c r="AB1754" s="92">
        <v>1.4477749575696116E-2</v>
      </c>
      <c r="AC1754" s="101">
        <v>1.4398058846456507E-2</v>
      </c>
    </row>
    <row r="1755" spans="25:29" x14ac:dyDescent="0.2">
      <c r="Y1755" s="105" t="str">
        <f t="shared" si="61"/>
        <v>1w</v>
      </c>
      <c r="Z1755" s="93">
        <f>_xll.qlCalendarAdvance(Calendar,Z1754,Y1755,"f",FALSE)</f>
        <v>51433</v>
      </c>
      <c r="AA1755" s="117">
        <f>_xll.qlCalendarAdvance(Calendar,Z1755,NDays&amp;"D")</f>
        <v>51435</v>
      </c>
      <c r="AB1755" s="92">
        <v>1.4478022977876662E-2</v>
      </c>
      <c r="AC1755" s="101">
        <v>1.4400230323454721E-2</v>
      </c>
    </row>
    <row r="1756" spans="25:29" x14ac:dyDescent="0.2">
      <c r="Y1756" s="105" t="str">
        <f t="shared" si="61"/>
        <v>1w</v>
      </c>
      <c r="Z1756" s="93">
        <f>_xll.qlCalendarAdvance(Calendar,Z1755,Y1756,"f",FALSE)</f>
        <v>51440</v>
      </c>
      <c r="AA1756" s="117">
        <f>_xll.qlCalendarAdvance(Calendar,Z1756,NDays&amp;"D")</f>
        <v>51442</v>
      </c>
      <c r="AB1756" s="92">
        <v>1.4479564208561968E-2</v>
      </c>
      <c r="AC1756" s="101">
        <v>1.440238634971891E-2</v>
      </c>
    </row>
    <row r="1757" spans="25:29" x14ac:dyDescent="0.2">
      <c r="Y1757" s="105" t="str">
        <f t="shared" si="61"/>
        <v>1w</v>
      </c>
      <c r="Z1757" s="93">
        <f>_xll.qlCalendarAdvance(Calendar,Z1756,Y1757,"f",FALSE)</f>
        <v>51447</v>
      </c>
      <c r="AA1757" s="117">
        <f>_xll.qlCalendarAdvance(Calendar,Z1757,NDays&amp;"D")</f>
        <v>51449</v>
      </c>
      <c r="AB1757" s="92">
        <v>1.4481515682850651E-2</v>
      </c>
      <c r="AC1757" s="101">
        <v>1.4404526874516321E-2</v>
      </c>
    </row>
    <row r="1758" spans="25:29" x14ac:dyDescent="0.2">
      <c r="Y1758" s="105" t="str">
        <f t="shared" si="61"/>
        <v>1w</v>
      </c>
      <c r="Z1758" s="93">
        <f>_xll.qlCalendarAdvance(Calendar,Z1757,Y1758,"f",FALSE)</f>
        <v>51454</v>
      </c>
      <c r="AA1758" s="117">
        <f>_xll.qlCalendarAdvance(Calendar,Z1758,NDays&amp;"D")</f>
        <v>51456</v>
      </c>
      <c r="AB1758" s="92">
        <v>1.448345084619867E-2</v>
      </c>
      <c r="AC1758" s="101">
        <v>1.4406651847167495E-2</v>
      </c>
    </row>
    <row r="1759" spans="25:29" x14ac:dyDescent="0.2">
      <c r="Y1759" s="105" t="str">
        <f t="shared" si="61"/>
        <v>1w</v>
      </c>
      <c r="Z1759" s="93">
        <f>_xll.qlCalendarAdvance(Calendar,Z1758,Y1759,"f",FALSE)</f>
        <v>51461</v>
      </c>
      <c r="AA1759" s="117">
        <f>_xll.qlCalendarAdvance(Calendar,Z1759,NDays&amp;"D")</f>
        <v>51463</v>
      </c>
      <c r="AB1759" s="92">
        <v>1.4485369647492436E-2</v>
      </c>
      <c r="AC1759" s="101">
        <v>1.4408761216966326E-2</v>
      </c>
    </row>
    <row r="1760" spans="25:29" x14ac:dyDescent="0.2">
      <c r="Y1760" s="105" t="str">
        <f t="shared" si="61"/>
        <v>1w</v>
      </c>
      <c r="Z1760" s="93">
        <f>_xll.qlCalendarAdvance(Calendar,Z1759,Y1760,"f",FALSE)</f>
        <v>51468</v>
      </c>
      <c r="AA1760" s="117">
        <f>_xll.qlCalendarAdvance(Calendar,Z1760,NDays&amp;"D")</f>
        <v>51470</v>
      </c>
      <c r="AB1760" s="92">
        <v>1.4487693012690433E-2</v>
      </c>
      <c r="AC1760" s="101">
        <v>1.4410854933233352E-2</v>
      </c>
    </row>
    <row r="1761" spans="25:29" x14ac:dyDescent="0.2">
      <c r="Y1761" s="105" t="str">
        <f t="shared" si="61"/>
        <v>1w</v>
      </c>
      <c r="Z1761" s="93">
        <f>_xll.qlCalendarAdvance(Calendar,Z1760,Y1761,"f",FALSE)</f>
        <v>51475</v>
      </c>
      <c r="AA1761" s="117">
        <f>_xll.qlCalendarAdvance(Calendar,Z1761,NDays&amp;"D")</f>
        <v>51477</v>
      </c>
      <c r="AB1761" s="92">
        <v>1.4489577818365044E-2</v>
      </c>
      <c r="AC1761" s="101">
        <v>1.4412932945209178E-2</v>
      </c>
    </row>
    <row r="1762" spans="25:29" x14ac:dyDescent="0.2">
      <c r="Y1762" s="105" t="str">
        <f t="shared" si="61"/>
        <v>1w</v>
      </c>
      <c r="Z1762" s="93">
        <f>_xll.qlCalendarAdvance(Calendar,Z1761,Y1762,"f",FALSE)</f>
        <v>51482</v>
      </c>
      <c r="AA1762" s="117">
        <f>_xll.qlCalendarAdvance(Calendar,Z1762,NDays&amp;"D")</f>
        <v>51484</v>
      </c>
      <c r="AB1762" s="92">
        <v>1.4491446104337566E-2</v>
      </c>
      <c r="AC1762" s="101">
        <v>1.4414995202214342E-2</v>
      </c>
    </row>
    <row r="1763" spans="25:29" x14ac:dyDescent="0.2">
      <c r="Y1763" s="105" t="str">
        <f t="shared" si="61"/>
        <v>1w</v>
      </c>
      <c r="Z1763" s="93">
        <f>_xll.qlCalendarAdvance(Calendar,Z1762,Y1763,"f",FALSE)</f>
        <v>51489</v>
      </c>
      <c r="AA1763" s="117">
        <f>_xll.qlCalendarAdvance(Calendar,Z1763,NDays&amp;"D")</f>
        <v>51491</v>
      </c>
      <c r="AB1763" s="92">
        <v>1.4493297819493281E-2</v>
      </c>
      <c r="AC1763" s="101">
        <v>1.4417041653569385E-2</v>
      </c>
    </row>
    <row r="1764" spans="25:29" x14ac:dyDescent="0.2">
      <c r="Y1764" s="105" t="str">
        <f t="shared" si="61"/>
        <v>1w</v>
      </c>
      <c r="Z1764" s="93">
        <f>_xll.qlCalendarAdvance(Calendar,Z1763,Y1764,"f",FALSE)</f>
        <v>51497</v>
      </c>
      <c r="AA1764" s="117">
        <f>_xll.qlCalendarAdvance(Calendar,Z1764,NDays&amp;"D")</f>
        <v>51501</v>
      </c>
      <c r="AB1764" s="92">
        <v>1.4494666008813479E-2</v>
      </c>
      <c r="AC1764" s="101">
        <v>1.4419504899430002E-2</v>
      </c>
    </row>
    <row r="1765" spans="25:29" x14ac:dyDescent="0.2">
      <c r="Y1765" s="105" t="str">
        <f t="shared" si="61"/>
        <v>1w</v>
      </c>
      <c r="Z1765" s="93">
        <f>_xll.qlCalendarAdvance(Calendar,Z1764,Y1765,"f",FALSE)</f>
        <v>51504</v>
      </c>
      <c r="AA1765" s="117">
        <f>_xll.qlCalendarAdvance(Calendar,Z1765,NDays&amp;"D")</f>
        <v>51508</v>
      </c>
      <c r="AB1765" s="92">
        <v>1.449772553915848E-2</v>
      </c>
      <c r="AC1765" s="101">
        <v>1.4421082045803502E-2</v>
      </c>
    </row>
    <row r="1766" spans="25:29" x14ac:dyDescent="0.2">
      <c r="Y1766" s="105" t="str">
        <f t="shared" si="61"/>
        <v>1w</v>
      </c>
      <c r="Z1766" s="93">
        <f>_xll.qlCalendarAdvance(Calendar,Z1765,Y1766,"f",FALSE)</f>
        <v>51511</v>
      </c>
      <c r="AA1766" s="117">
        <f>_xll.qlCalendarAdvance(Calendar,Z1766,NDays&amp;"D")</f>
        <v>51515</v>
      </c>
      <c r="AB1766" s="92">
        <v>1.4499520052020742E-2</v>
      </c>
      <c r="AC1766" s="101">
        <v>1.4423076047807015E-2</v>
      </c>
    </row>
    <row r="1767" spans="25:29" x14ac:dyDescent="0.2">
      <c r="Y1767" s="105" t="str">
        <f t="shared" si="61"/>
        <v>1w</v>
      </c>
      <c r="Z1767" s="93">
        <f>_xll.qlCalendarAdvance(Calendar,Z1766,Y1767,"f",FALSE)</f>
        <v>51518</v>
      </c>
      <c r="AA1767" s="117">
        <f>_xll.qlCalendarAdvance(Calendar,Z1767,NDays&amp;"D")</f>
        <v>51522</v>
      </c>
      <c r="AB1767" s="92">
        <v>1.4501297767697825E-2</v>
      </c>
      <c r="AC1767" s="101">
        <v>1.4425054028066597E-2</v>
      </c>
    </row>
    <row r="1768" spans="25:29" x14ac:dyDescent="0.2">
      <c r="Y1768" s="105" t="str">
        <f t="shared" si="61"/>
        <v>1w</v>
      </c>
      <c r="Z1768" s="93">
        <f>_xll.qlCalendarAdvance(Calendar,Z1767,Y1768,"f",FALSE)</f>
        <v>51525</v>
      </c>
      <c r="AA1768" s="117">
        <f>_xll.qlCalendarAdvance(Calendar,Z1768,NDays&amp;"D")</f>
        <v>51529</v>
      </c>
      <c r="AB1768" s="92">
        <v>1.4503058635073693E-2</v>
      </c>
      <c r="AC1768" s="101">
        <v>1.4427015935982723E-2</v>
      </c>
    </row>
    <row r="1769" spans="25:29" x14ac:dyDescent="0.2">
      <c r="Y1769" s="105" t="str">
        <f t="shared" si="61"/>
        <v>1w</v>
      </c>
      <c r="Z1769" s="93">
        <f>_xll.qlCalendarAdvance(Calendar,Z1768,Y1769,"f",FALSE)</f>
        <v>51532</v>
      </c>
      <c r="AA1769" s="117">
        <f>_xll.qlCalendarAdvance(Calendar,Z1769,NDays&amp;"D")</f>
        <v>51536</v>
      </c>
      <c r="AB1769" s="92">
        <v>1.4504802603034505E-2</v>
      </c>
      <c r="AC1769" s="101">
        <v>1.442896172071606E-2</v>
      </c>
    </row>
    <row r="1770" spans="25:29" x14ac:dyDescent="0.2">
      <c r="Y1770" s="105" t="str">
        <f t="shared" si="61"/>
        <v>1w</v>
      </c>
      <c r="Z1770" s="93">
        <f>_xll.qlCalendarAdvance(Calendar,Z1769,Y1770,"f",FALSE)</f>
        <v>51539</v>
      </c>
      <c r="AA1770" s="117">
        <f>_xll.qlCalendarAdvance(Calendar,Z1770,NDays&amp;"D")</f>
        <v>51543</v>
      </c>
      <c r="AB1770" s="92">
        <v>1.4506529620466424E-2</v>
      </c>
      <c r="AC1770" s="101">
        <v>1.4430891331587148E-2</v>
      </c>
    </row>
    <row r="1771" spans="25:29" x14ac:dyDescent="0.2">
      <c r="Y1771" s="105" t="str">
        <f t="shared" si="61"/>
        <v>1w</v>
      </c>
      <c r="Z1771" s="93">
        <f>_xll.qlCalendarAdvance(Calendar,Z1770,Y1771,"f",FALSE)</f>
        <v>51546</v>
      </c>
      <c r="AA1771" s="117">
        <f>_xll.qlCalendarAdvance(Calendar,Z1771,NDays&amp;"D")</f>
        <v>51550</v>
      </c>
      <c r="AB1771" s="92">
        <v>1.4508239636254295E-2</v>
      </c>
      <c r="AC1771" s="101">
        <v>1.4432804717996461E-2</v>
      </c>
    </row>
    <row r="1772" spans="25:29" x14ac:dyDescent="0.2">
      <c r="Y1772" s="105" t="str">
        <f t="shared" si="61"/>
        <v>1w</v>
      </c>
      <c r="Z1772" s="93">
        <f>_xll.qlCalendarAdvance(Calendar,Z1771,Y1772,"f",FALSE)</f>
        <v>51553</v>
      </c>
      <c r="AA1772" s="117">
        <f>_xll.qlCalendarAdvance(Calendar,Z1772,NDays&amp;"D")</f>
        <v>51557</v>
      </c>
      <c r="AB1772" s="92">
        <v>1.450993259928428E-2</v>
      </c>
      <c r="AC1772" s="101">
        <v>1.4434701829104668E-2</v>
      </c>
    </row>
    <row r="1773" spans="25:29" x14ac:dyDescent="0.2">
      <c r="Y1773" s="105" t="str">
        <f t="shared" si="61"/>
        <v>1w</v>
      </c>
      <c r="Z1773" s="93">
        <f>_xll.qlCalendarAdvance(Calendar,Z1772,Y1773,"f",FALSE)</f>
        <v>51560</v>
      </c>
      <c r="AA1773" s="117">
        <f>_xll.qlCalendarAdvance(Calendar,Z1773,NDays&amp;"D")</f>
        <v>51564</v>
      </c>
      <c r="AB1773" s="92">
        <v>1.4512419356051241E-2</v>
      </c>
      <c r="AC1773" s="101">
        <v>1.4436582614312243E-2</v>
      </c>
    </row>
    <row r="1774" spans="25:29" x14ac:dyDescent="0.2">
      <c r="Y1774" s="105" t="str">
        <f t="shared" si="61"/>
        <v>1w</v>
      </c>
      <c r="Z1774" s="93">
        <f>_xll.qlCalendarAdvance(Calendar,Z1773,Y1774,"f",FALSE)</f>
        <v>51567</v>
      </c>
      <c r="AA1774" s="117">
        <f>_xll.qlCalendarAdvance(Calendar,Z1774,NDays&amp;"D")</f>
        <v>51571</v>
      </c>
      <c r="AB1774" s="92">
        <v>1.4514075706596657E-2</v>
      </c>
      <c r="AC1774" s="101">
        <v>1.4438447023019663E-2</v>
      </c>
    </row>
    <row r="1775" spans="25:29" x14ac:dyDescent="0.2">
      <c r="Y1775" s="105" t="str">
        <f t="shared" si="61"/>
        <v>1w</v>
      </c>
      <c r="Z1775" s="93">
        <f>_xll.qlCalendarAdvance(Calendar,Z1774,Y1775,"f",FALSE)</f>
        <v>51574</v>
      </c>
      <c r="AA1775" s="117">
        <f>_xll.qlCalendarAdvance(Calendar,Z1775,NDays&amp;"D")</f>
        <v>51578</v>
      </c>
      <c r="AB1775" s="92">
        <v>1.451571484237507E-2</v>
      </c>
      <c r="AC1775" s="101">
        <v>1.4440295004227721E-2</v>
      </c>
    </row>
    <row r="1776" spans="25:29" x14ac:dyDescent="0.2">
      <c r="Y1776" s="105" t="str">
        <f t="shared" si="61"/>
        <v>1w</v>
      </c>
      <c r="Z1776" s="93">
        <f>_xll.qlCalendarAdvance(Calendar,Z1775,Y1776,"f",FALSE)</f>
        <v>51581</v>
      </c>
      <c r="AA1776" s="117">
        <f>_xll.qlCalendarAdvance(Calendar,Z1776,NDays&amp;"D")</f>
        <v>51585</v>
      </c>
      <c r="AB1776" s="92">
        <v>1.4517336712269109E-2</v>
      </c>
      <c r="AC1776" s="101">
        <v>1.4442126507576702E-2</v>
      </c>
    </row>
    <row r="1777" spans="25:29" x14ac:dyDescent="0.2">
      <c r="Y1777" s="105" t="str">
        <f t="shared" si="61"/>
        <v>1w</v>
      </c>
      <c r="Z1777" s="93">
        <f>_xll.qlCalendarAdvance(Calendar,Z1776,Y1777,"f",FALSE)</f>
        <v>51588</v>
      </c>
      <c r="AA1777" s="117">
        <f>_xll.qlCalendarAdvance(Calendar,Z1777,NDays&amp;"D")</f>
        <v>51592</v>
      </c>
      <c r="AB1777" s="92">
        <v>1.4518540601552827E-2</v>
      </c>
      <c r="AC1777" s="101">
        <v>1.4443941482067402E-2</v>
      </c>
    </row>
    <row r="1778" spans="25:29" x14ac:dyDescent="0.2">
      <c r="Y1778" s="105" t="str">
        <f t="shared" si="61"/>
        <v>1w</v>
      </c>
      <c r="Z1778" s="93">
        <f>_xll.qlCalendarAdvance(Calendar,Z1777,Y1778,"f",FALSE)</f>
        <v>51595</v>
      </c>
      <c r="AA1778" s="117">
        <f>_xll.qlCalendarAdvance(Calendar,Z1778,NDays&amp;"D")</f>
        <v>51599</v>
      </c>
      <c r="AB1778" s="92">
        <v>1.452012898071829E-2</v>
      </c>
      <c r="AC1778" s="101">
        <v>1.4445739877260166E-2</v>
      </c>
    </row>
    <row r="1779" spans="25:29" x14ac:dyDescent="0.2">
      <c r="Y1779" s="105" t="str">
        <f t="shared" si="61"/>
        <v>1w</v>
      </c>
      <c r="Z1779" s="93">
        <f>_xll.qlCalendarAdvance(Calendar,Z1778,Y1779,"f",FALSE)</f>
        <v>51602</v>
      </c>
      <c r="AA1779" s="117">
        <f>_xll.qlCalendarAdvance(Calendar,Z1779,NDays&amp;"D")</f>
        <v>51606</v>
      </c>
      <c r="AB1779" s="92">
        <v>1.4521699944993678E-2</v>
      </c>
      <c r="AC1779" s="101">
        <v>1.4447521642155792E-2</v>
      </c>
    </row>
    <row r="1780" spans="25:29" x14ac:dyDescent="0.2">
      <c r="Y1780" s="105" t="str">
        <f t="shared" si="61"/>
        <v>1w</v>
      </c>
      <c r="Z1780" s="93">
        <f>_xll.qlCalendarAdvance(Calendar,Z1779,Y1780,"f",FALSE)</f>
        <v>51609</v>
      </c>
      <c r="AA1780" s="117">
        <f>_xll.qlCalendarAdvance(Calendar,Z1780,NDays&amp;"D")</f>
        <v>51615</v>
      </c>
      <c r="AB1780" s="92">
        <v>1.452369408472003E-2</v>
      </c>
      <c r="AC1780" s="101">
        <v>1.4449787965284955E-2</v>
      </c>
    </row>
    <row r="1781" spans="25:29" x14ac:dyDescent="0.2">
      <c r="Y1781" s="105" t="str">
        <f t="shared" si="61"/>
        <v>1w</v>
      </c>
      <c r="Z1781" s="93">
        <f>_xll.qlCalendarAdvance(Calendar,Z1780,Y1781,"f",FALSE)</f>
        <v>51616</v>
      </c>
      <c r="AA1781" s="117">
        <f>_xll.qlCalendarAdvance(Calendar,Z1781,NDays&amp;"D")</f>
        <v>51620</v>
      </c>
      <c r="AB1781" s="92">
        <v>1.4524789424420063E-2</v>
      </c>
      <c r="AC1781" s="101">
        <v>1.4451035079057206E-2</v>
      </c>
    </row>
    <row r="1782" spans="25:29" x14ac:dyDescent="0.2">
      <c r="Y1782" s="105" t="str">
        <f t="shared" si="61"/>
        <v>1w</v>
      </c>
      <c r="Z1782" s="93">
        <f>_xll.qlCalendarAdvance(Calendar,Z1781,Y1782,"f",FALSE)</f>
        <v>51623</v>
      </c>
      <c r="AA1782" s="117">
        <f>_xll.qlCalendarAdvance(Calendar,Z1782,NDays&amp;"D")</f>
        <v>51627</v>
      </c>
      <c r="AB1782" s="92">
        <v>1.4526702485535174E-2</v>
      </c>
      <c r="AC1782" s="101">
        <v>1.4452766649544202E-2</v>
      </c>
    </row>
    <row r="1783" spans="25:29" x14ac:dyDescent="0.2">
      <c r="Y1783" s="105" t="str">
        <f t="shared" si="61"/>
        <v>1w</v>
      </c>
      <c r="Z1783" s="93">
        <f>_xll.qlCalendarAdvance(Calendar,Z1782,Y1783,"f",FALSE)</f>
        <v>51630</v>
      </c>
      <c r="AA1783" s="117">
        <f>_xll.qlCalendarAdvance(Calendar,Z1783,NDays&amp;"D")</f>
        <v>51634</v>
      </c>
      <c r="AB1783" s="92">
        <v>1.4528202062981305E-2</v>
      </c>
      <c r="AC1783" s="101">
        <v>1.445448138693628E-2</v>
      </c>
    </row>
    <row r="1784" spans="25:29" x14ac:dyDescent="0.2">
      <c r="Y1784" s="105" t="str">
        <f t="shared" si="61"/>
        <v>1w</v>
      </c>
      <c r="Z1784" s="93">
        <f>_xll.qlCalendarAdvance(Calendar,Z1783,Y1784,"f",FALSE)</f>
        <v>51637</v>
      </c>
      <c r="AA1784" s="117">
        <f>_xll.qlCalendarAdvance(Calendar,Z1784,NDays&amp;"D")</f>
        <v>51641</v>
      </c>
      <c r="AB1784" s="92">
        <v>1.4529683965615822E-2</v>
      </c>
      <c r="AC1784" s="101">
        <v>1.4456179240793787E-2</v>
      </c>
    </row>
    <row r="1785" spans="25:29" x14ac:dyDescent="0.2">
      <c r="Y1785" s="105" t="str">
        <f t="shared" si="61"/>
        <v>1w</v>
      </c>
      <c r="Z1785" s="93">
        <f>_xll.qlCalendarAdvance(Calendar,Z1784,Y1785,"f",FALSE)</f>
        <v>51644</v>
      </c>
      <c r="AA1785" s="117">
        <f>_xll.qlCalendarAdvance(Calendar,Z1785,NDays&amp;"D")</f>
        <v>51648</v>
      </c>
      <c r="AB1785" s="92">
        <v>1.4531148142323525E-2</v>
      </c>
      <c r="AC1785" s="101">
        <v>1.4457860160437264E-2</v>
      </c>
    </row>
    <row r="1786" spans="25:29" x14ac:dyDescent="0.2">
      <c r="Y1786" s="105" t="str">
        <f t="shared" si="61"/>
        <v>1w</v>
      </c>
      <c r="Z1786" s="93">
        <f>_xll.qlCalendarAdvance(Calendar,Z1785,Y1786,"f",FALSE)</f>
        <v>51651</v>
      </c>
      <c r="AA1786" s="117">
        <f>_xll.qlCalendarAdvance(Calendar,Z1786,NDays&amp;"D")</f>
        <v>51655</v>
      </c>
      <c r="AB1786" s="92">
        <v>1.4532204784476333E-2</v>
      </c>
      <c r="AC1786" s="101">
        <v>1.4459524094867504E-2</v>
      </c>
    </row>
    <row r="1787" spans="25:29" x14ac:dyDescent="0.2">
      <c r="Y1787" s="105" t="str">
        <f t="shared" si="61"/>
        <v>1w</v>
      </c>
      <c r="Z1787" s="93">
        <f>_xll.qlCalendarAdvance(Calendar,Z1786,Y1787,"f",FALSE)</f>
        <v>51658</v>
      </c>
      <c r="AA1787" s="117">
        <f>_xll.qlCalendarAdvance(Calendar,Z1787,NDays&amp;"D")</f>
        <v>51662</v>
      </c>
      <c r="AB1787" s="92">
        <v>1.4533634589558532E-2</v>
      </c>
      <c r="AC1787" s="101">
        <v>1.4461170993644856E-2</v>
      </c>
    </row>
    <row r="1788" spans="25:29" x14ac:dyDescent="0.2">
      <c r="Y1788" s="105" t="str">
        <f t="shared" si="61"/>
        <v>1w</v>
      </c>
      <c r="Z1788" s="93">
        <f>_xll.qlCalendarAdvance(Calendar,Z1787,Y1788,"f",FALSE)</f>
        <v>51665</v>
      </c>
      <c r="AA1788" s="117">
        <f>_xll.qlCalendarAdvance(Calendar,Z1788,NDays&amp;"D")</f>
        <v>51669</v>
      </c>
      <c r="AB1788" s="92">
        <v>1.45350465197383E-2</v>
      </c>
      <c r="AC1788" s="101">
        <v>1.4462800806009923E-2</v>
      </c>
    </row>
    <row r="1789" spans="25:29" x14ac:dyDescent="0.2">
      <c r="Y1789" s="105" t="str">
        <f t="shared" si="61"/>
        <v>1w</v>
      </c>
      <c r="Z1789" s="93">
        <f>_xll.qlCalendarAdvance(Calendar,Z1788,Y1789,"f",FALSE)</f>
        <v>51672</v>
      </c>
      <c r="AA1789" s="117">
        <f>_xll.qlCalendarAdvance(Calendar,Z1789,NDays&amp;"D")</f>
        <v>51676</v>
      </c>
      <c r="AB1789" s="92">
        <v>1.4536440523902423E-2</v>
      </c>
      <c r="AC1789" s="101">
        <v>1.4464413481203309E-2</v>
      </c>
    </row>
    <row r="1790" spans="25:29" x14ac:dyDescent="0.2">
      <c r="Y1790" s="105" t="str">
        <f t="shared" si="61"/>
        <v>1w</v>
      </c>
      <c r="Z1790" s="93">
        <f>_xll.qlCalendarAdvance(Calendar,Z1789,Y1790,"f",FALSE)</f>
        <v>51679</v>
      </c>
      <c r="AA1790" s="117">
        <f>_xll.qlCalendarAdvance(Calendar,Z1790,NDays&amp;"D")</f>
        <v>51683</v>
      </c>
      <c r="AB1790" s="92">
        <v>1.4538586035333116E-2</v>
      </c>
      <c r="AC1790" s="101">
        <v>1.4466008968705424E-2</v>
      </c>
    </row>
    <row r="1791" spans="25:29" x14ac:dyDescent="0.2">
      <c r="Y1791" s="105" t="str">
        <f t="shared" si="61"/>
        <v>1w</v>
      </c>
      <c r="Z1791" s="93">
        <f>_xll.qlCalendarAdvance(Calendar,Z1790,Y1791,"f",FALSE)</f>
        <v>51686</v>
      </c>
      <c r="AA1791" s="117">
        <f>_xll.qlCalendarAdvance(Calendar,Z1791,NDays&amp;"D")</f>
        <v>51690</v>
      </c>
      <c r="AB1791" s="92">
        <v>1.4539558095753701E-2</v>
      </c>
      <c r="AC1791" s="101">
        <v>1.4467587217676936E-2</v>
      </c>
    </row>
    <row r="1792" spans="25:29" x14ac:dyDescent="0.2">
      <c r="Y1792" s="105" t="str">
        <f t="shared" si="61"/>
        <v>1w</v>
      </c>
      <c r="Z1792" s="93">
        <f>_xll.qlCalendarAdvance(Calendar,Z1791,Y1792,"f",FALSE)</f>
        <v>51693</v>
      </c>
      <c r="AA1792" s="117">
        <f>_xll.qlCalendarAdvance(Calendar,Z1792,NDays&amp;"D")</f>
        <v>51697</v>
      </c>
      <c r="AB1792" s="92">
        <v>1.4540896759800271E-2</v>
      </c>
      <c r="AC1792" s="101">
        <v>1.4469148177278512E-2</v>
      </c>
    </row>
    <row r="1793" spans="25:29" x14ac:dyDescent="0.2">
      <c r="Y1793" s="105" t="str">
        <f t="shared" si="61"/>
        <v>1w</v>
      </c>
      <c r="Z1793" s="93">
        <f>_xll.qlCalendarAdvance(Calendar,Z1792,Y1793,"f",FALSE)</f>
        <v>51700</v>
      </c>
      <c r="AA1793" s="117">
        <f>_xll.qlCalendarAdvance(Calendar,Z1793,NDays&amp;"D")</f>
        <v>51704</v>
      </c>
      <c r="AB1793" s="92">
        <v>1.4542217289016246E-2</v>
      </c>
      <c r="AC1793" s="101">
        <v>1.4470691796910629E-2</v>
      </c>
    </row>
    <row r="1794" spans="25:29" x14ac:dyDescent="0.2">
      <c r="Y1794" s="105" t="str">
        <f t="shared" si="61"/>
        <v>1w</v>
      </c>
      <c r="Z1794" s="93">
        <f>_xll.qlCalendarAdvance(Calendar,Z1793,Y1794,"f",FALSE)</f>
        <v>51707</v>
      </c>
      <c r="AA1794" s="117">
        <f>_xll.qlCalendarAdvance(Calendar,Z1794,NDays&amp;"D")</f>
        <v>51711</v>
      </c>
      <c r="AB1794" s="92">
        <v>1.4543519632290773E-2</v>
      </c>
      <c r="AC1794" s="101">
        <v>1.4472218026053696E-2</v>
      </c>
    </row>
    <row r="1795" spans="25:29" x14ac:dyDescent="0.2">
      <c r="Y1795" s="105" t="str">
        <f t="shared" si="61"/>
        <v>1w</v>
      </c>
      <c r="Z1795" s="93">
        <f>_xll.qlCalendarAdvance(Calendar,Z1794,Y1795,"f",FALSE)</f>
        <v>51714</v>
      </c>
      <c r="AA1795" s="117">
        <f>_xll.qlCalendarAdvance(Calendar,Z1795,NDays&amp;"D")</f>
        <v>51718</v>
      </c>
      <c r="AB1795" s="92">
        <v>1.4544803738513867E-2</v>
      </c>
      <c r="AC1795" s="101">
        <v>1.4473726813788446E-2</v>
      </c>
    </row>
    <row r="1796" spans="25:29" x14ac:dyDescent="0.2">
      <c r="Y1796" s="105" t="str">
        <f t="shared" si="61"/>
        <v>1w</v>
      </c>
      <c r="Z1796" s="93">
        <f>_xll.qlCalendarAdvance(Calendar,Z1795,Y1796,"f",FALSE)</f>
        <v>51721</v>
      </c>
      <c r="AA1796" s="117">
        <f>_xll.qlCalendarAdvance(Calendar,Z1796,NDays&amp;"D")</f>
        <v>51725</v>
      </c>
      <c r="AB1796" s="92">
        <v>1.4546069556572064E-2</v>
      </c>
      <c r="AC1796" s="101">
        <v>1.4475218109515353E-2</v>
      </c>
    </row>
    <row r="1797" spans="25:29" x14ac:dyDescent="0.2">
      <c r="Y1797" s="105" t="str">
        <f t="shared" si="61"/>
        <v>1w</v>
      </c>
      <c r="Z1797" s="93">
        <f>_xll.qlCalendarAdvance(Calendar,Z1796,Y1797,"f",FALSE)</f>
        <v>51728</v>
      </c>
      <c r="AA1797" s="117">
        <f>_xll.qlCalendarAdvance(Calendar,Z1797,NDays&amp;"D")</f>
        <v>51732</v>
      </c>
      <c r="AB1797" s="92">
        <v>1.4547317035356683E-2</v>
      </c>
      <c r="AC1797" s="101">
        <v>1.4476691862475022E-2</v>
      </c>
    </row>
    <row r="1798" spans="25:29" x14ac:dyDescent="0.2">
      <c r="Y1798" s="105" t="str">
        <f t="shared" si="61"/>
        <v>1w</v>
      </c>
      <c r="Z1798" s="93">
        <f>_xll.qlCalendarAdvance(Calendar,Z1797,Y1798,"f",FALSE)</f>
        <v>51735</v>
      </c>
      <c r="AA1798" s="117">
        <f>_xll.qlCalendarAdvance(Calendar,Z1798,NDays&amp;"D")</f>
        <v>51739</v>
      </c>
      <c r="AB1798" s="92">
        <v>1.4548546123757739E-2</v>
      </c>
      <c r="AC1798" s="101">
        <v>1.4478148022067927E-2</v>
      </c>
    </row>
    <row r="1799" spans="25:29" x14ac:dyDescent="0.2">
      <c r="Y1799" s="105" t="str">
        <f t="shared" si="61"/>
        <v>1w</v>
      </c>
      <c r="Z1799" s="93">
        <f>_xll.qlCalendarAdvance(Calendar,Z1798,Y1799,"f",FALSE)</f>
        <v>51742</v>
      </c>
      <c r="AA1799" s="117">
        <f>_xll.qlCalendarAdvance(Calendar,Z1799,NDays&amp;"D")</f>
        <v>51746</v>
      </c>
      <c r="AB1799" s="92">
        <v>1.4549009896829354E-2</v>
      </c>
      <c r="AC1799" s="101">
        <v>1.4479586537534672E-2</v>
      </c>
    </row>
    <row r="1800" spans="25:29" x14ac:dyDescent="0.2">
      <c r="Y1800" s="105" t="str">
        <f t="shared" si="61"/>
        <v>1w</v>
      </c>
      <c r="Z1800" s="93">
        <f>_xll.qlCalendarAdvance(Calendar,Z1799,Y1800,"f",FALSE)</f>
        <v>51749</v>
      </c>
      <c r="AA1800" s="117">
        <f>_xll.qlCalendarAdvance(Calendar,Z1800,NDays&amp;"D")</f>
        <v>51753</v>
      </c>
      <c r="AB1800" s="92">
        <v>1.4550204631641094E-2</v>
      </c>
      <c r="AC1800" s="101">
        <v>1.4481007358035924E-2</v>
      </c>
    </row>
    <row r="1801" spans="25:29" x14ac:dyDescent="0.2">
      <c r="Y1801" s="105" t="str">
        <f t="shared" si="61"/>
        <v>1w</v>
      </c>
      <c r="Z1801" s="93">
        <f>_xll.qlCalendarAdvance(Calendar,Z1800,Y1801,"f",FALSE)</f>
        <v>51756</v>
      </c>
      <c r="AA1801" s="117">
        <f>_xll.qlCalendarAdvance(Calendar,Z1801,NDays&amp;"D")</f>
        <v>51760</v>
      </c>
      <c r="AB1801" s="92">
        <v>1.4551380831527594E-2</v>
      </c>
      <c r="AC1801" s="101">
        <v>1.4482410433132031E-2</v>
      </c>
    </row>
    <row r="1802" spans="25:29" x14ac:dyDescent="0.2">
      <c r="Y1802" s="105" t="str">
        <f t="shared" si="61"/>
        <v>1w</v>
      </c>
      <c r="Z1802" s="93">
        <f>_xll.qlCalendarAdvance(Calendar,Z1801,Y1802,"f",FALSE)</f>
        <v>51763</v>
      </c>
      <c r="AA1802" s="117">
        <f>_xll.qlCalendarAdvance(Calendar,Z1802,NDays&amp;"D")</f>
        <v>51767</v>
      </c>
      <c r="AB1802" s="92">
        <v>1.4552538445385113E-2</v>
      </c>
      <c r="AC1802" s="101">
        <v>1.448379571198366E-2</v>
      </c>
    </row>
    <row r="1803" spans="25:29" x14ac:dyDescent="0.2">
      <c r="Y1803" s="105" t="str">
        <f t="shared" si="61"/>
        <v>1w</v>
      </c>
      <c r="Z1803" s="93">
        <f>_xll.qlCalendarAdvance(Calendar,Z1802,Y1803,"f",FALSE)</f>
        <v>51770</v>
      </c>
      <c r="AA1803" s="117">
        <f>_xll.qlCalendarAdvance(Calendar,Z1803,NDays&amp;"D")</f>
        <v>51774</v>
      </c>
      <c r="AB1803" s="92">
        <v>1.4553677422110793E-2</v>
      </c>
      <c r="AC1803" s="101">
        <v>1.448516314391135E-2</v>
      </c>
    </row>
    <row r="1804" spans="25:29" x14ac:dyDescent="0.2">
      <c r="Y1804" s="105" t="str">
        <f t="shared" si="61"/>
        <v>1w</v>
      </c>
      <c r="Z1804" s="93">
        <f>_xll.qlCalendarAdvance(Calendar,Z1803,Y1804,"f",FALSE)</f>
        <v>51777</v>
      </c>
      <c r="AA1804" s="117">
        <f>_xll.qlCalendarAdvance(Calendar,Z1804,NDays&amp;"D")</f>
        <v>51781</v>
      </c>
      <c r="AB1804" s="92">
        <v>1.4555164710289592E-2</v>
      </c>
      <c r="AC1804" s="101">
        <v>1.4486512678155705E-2</v>
      </c>
    </row>
    <row r="1805" spans="25:29" x14ac:dyDescent="0.2">
      <c r="Y1805" s="105" t="str">
        <f t="shared" si="61"/>
        <v>1w</v>
      </c>
      <c r="Z1805" s="93">
        <f>_xll.qlCalendarAdvance(Calendar,Z1804,Y1805,"f",FALSE)</f>
        <v>51784</v>
      </c>
      <c r="AA1805" s="117">
        <f>_xll.qlCalendarAdvance(Calendar,Z1805,NDays&amp;"D")</f>
        <v>51788</v>
      </c>
      <c r="AB1805" s="92">
        <v>1.4555899259752137E-2</v>
      </c>
      <c r="AC1805" s="101">
        <v>1.4487844264037264E-2</v>
      </c>
    </row>
    <row r="1806" spans="25:29" x14ac:dyDescent="0.2">
      <c r="Y1806" s="105" t="str">
        <f t="shared" si="61"/>
        <v>1w</v>
      </c>
      <c r="Z1806" s="93">
        <f>_xll.qlCalendarAdvance(Calendar,Z1805,Y1806,"f",FALSE)</f>
        <v>51791</v>
      </c>
      <c r="AA1806" s="117">
        <f>_xll.qlCalendarAdvance(Calendar,Z1806,NDays&amp;"D")</f>
        <v>51795</v>
      </c>
      <c r="AB1806" s="92">
        <v>1.4556982018463399E-2</v>
      </c>
      <c r="AC1806" s="101">
        <v>1.4489157850956502E-2</v>
      </c>
    </row>
    <row r="1807" spans="25:29" x14ac:dyDescent="0.2">
      <c r="Y1807" s="105" t="str">
        <f t="shared" si="61"/>
        <v>1w</v>
      </c>
      <c r="Z1807" s="93">
        <f>_xll.qlCalendarAdvance(Calendar,Z1806,Y1807,"f",FALSE)</f>
        <v>51798</v>
      </c>
      <c r="AA1807" s="117">
        <f>_xll.qlCalendarAdvance(Calendar,Z1807,NDays&amp;"D")</f>
        <v>51802</v>
      </c>
      <c r="AB1807" s="92">
        <v>1.4558045935631829E-2</v>
      </c>
      <c r="AC1807" s="101">
        <v>1.4490453388154023E-2</v>
      </c>
    </row>
    <row r="1808" spans="25:29" x14ac:dyDescent="0.2">
      <c r="Y1808" s="105" t="str">
        <f t="shared" si="61"/>
        <v>1w</v>
      </c>
      <c r="Z1808" s="93">
        <f>_xll.qlCalendarAdvance(Calendar,Z1807,Y1808,"f",FALSE)</f>
        <v>51805</v>
      </c>
      <c r="AA1808" s="117">
        <f>_xll.qlCalendarAdvance(Calendar,Z1808,NDays&amp;"D")</f>
        <v>51809</v>
      </c>
      <c r="AB1808" s="92">
        <v>1.4559090960156765E-2</v>
      </c>
      <c r="AC1808" s="101">
        <v>1.449173082487043E-2</v>
      </c>
    </row>
    <row r="1809" spans="25:29" x14ac:dyDescent="0.2">
      <c r="Y1809" s="105" t="str">
        <f t="shared" si="61"/>
        <v>1w</v>
      </c>
      <c r="Z1809" s="93">
        <f>_xll.qlCalendarAdvance(Calendar,Z1808,Y1809,"f",FALSE)</f>
        <v>51812</v>
      </c>
      <c r="AA1809" s="117">
        <f>_xll.qlCalendarAdvance(Calendar,Z1809,NDays&amp;"D")</f>
        <v>51816</v>
      </c>
      <c r="AB1809" s="92">
        <v>1.4560117040936229E-2</v>
      </c>
      <c r="AC1809" s="101">
        <v>1.4492990110506199E-2</v>
      </c>
    </row>
    <row r="1810" spans="25:29" x14ac:dyDescent="0.2">
      <c r="Y1810" s="105" t="str">
        <f t="shared" si="61"/>
        <v>1w</v>
      </c>
      <c r="Z1810" s="93">
        <f>_xll.qlCalendarAdvance(Calendar,Z1809,Y1810,"f",FALSE)</f>
        <v>51819</v>
      </c>
      <c r="AA1810" s="117">
        <f>_xll.qlCalendarAdvance(Calendar,Z1810,NDays&amp;"D")</f>
        <v>51823</v>
      </c>
      <c r="AB1810" s="92">
        <v>1.4561124126870875E-2</v>
      </c>
      <c r="AC1810" s="101">
        <v>1.4494231194221996E-2</v>
      </c>
    </row>
    <row r="1811" spans="25:29" x14ac:dyDescent="0.2">
      <c r="Y1811" s="105" t="str">
        <f t="shared" si="61"/>
        <v>1w</v>
      </c>
      <c r="Z1811" s="93">
        <f>_xll.qlCalendarAdvance(Calendar,Z1810,Y1811,"f",FALSE)</f>
        <v>51826</v>
      </c>
      <c r="AA1811" s="117">
        <f>_xll.qlCalendarAdvance(Calendar,Z1811,NDays&amp;"D")</f>
        <v>51830</v>
      </c>
      <c r="AB1811" s="92">
        <v>1.4562112166858723E-2</v>
      </c>
      <c r="AC1811" s="101">
        <v>1.4495454025418297E-2</v>
      </c>
    </row>
    <row r="1812" spans="25:29" x14ac:dyDescent="0.2">
      <c r="Y1812" s="105" t="str">
        <f t="shared" si="61"/>
        <v>1w</v>
      </c>
      <c r="Z1812" s="93">
        <f>_xll.qlCalendarAdvance(Calendar,Z1811,Y1812,"f",FALSE)</f>
        <v>51833</v>
      </c>
      <c r="AA1812" s="117">
        <f>_xll.qlCalendarAdvance(Calendar,Z1812,NDays&amp;"D")</f>
        <v>51837</v>
      </c>
      <c r="AB1812" s="92">
        <v>1.4563081109802624E-2</v>
      </c>
      <c r="AC1812" s="101">
        <v>1.4496658553495578E-2</v>
      </c>
    </row>
    <row r="1813" spans="25:29" x14ac:dyDescent="0.2">
      <c r="Y1813" s="105" t="str">
        <f t="shared" ref="Y1813:Y1876" si="62">Y1812</f>
        <v>1w</v>
      </c>
      <c r="Z1813" s="93">
        <f>_xll.qlCalendarAdvance(Calendar,Z1812,Y1813,"f",FALSE)</f>
        <v>51840</v>
      </c>
      <c r="AA1813" s="117">
        <f>_xll.qlCalendarAdvance(Calendar,Z1813,NDays&amp;"D")</f>
        <v>51844</v>
      </c>
      <c r="AB1813" s="92">
        <v>1.456403090460104E-2</v>
      </c>
      <c r="AC1813" s="101">
        <v>1.4497844727454634E-2</v>
      </c>
    </row>
    <row r="1814" spans="25:29" x14ac:dyDescent="0.2">
      <c r="Y1814" s="105" t="str">
        <f t="shared" si="62"/>
        <v>1w</v>
      </c>
      <c r="Z1814" s="93">
        <f>_xll.qlCalendarAdvance(Calendar,Z1813,Y1814,"f",FALSE)</f>
        <v>51847</v>
      </c>
      <c r="AA1814" s="117">
        <f>_xll.qlCalendarAdvance(Calendar,Z1814,NDays&amp;"D")</f>
        <v>51851</v>
      </c>
      <c r="AB1814" s="92">
        <v>1.4564961500155941E-2</v>
      </c>
      <c r="AC1814" s="101">
        <v>1.4499012496855812E-2</v>
      </c>
    </row>
    <row r="1815" spans="25:29" x14ac:dyDescent="0.2">
      <c r="Y1815" s="105" t="str">
        <f t="shared" si="62"/>
        <v>1w</v>
      </c>
      <c r="Z1815" s="93">
        <f>_xll.qlCalendarAdvance(Calendar,Z1814,Y1815,"f",FALSE)</f>
        <v>51854</v>
      </c>
      <c r="AA1815" s="117">
        <f>_xll.qlCalendarAdvance(Calendar,Z1815,NDays&amp;"D")</f>
        <v>51858</v>
      </c>
      <c r="AB1815" s="92">
        <v>1.4565872845368862E-2</v>
      </c>
      <c r="AC1815" s="101">
        <v>1.4500161810939716E-2</v>
      </c>
    </row>
    <row r="1816" spans="25:29" x14ac:dyDescent="0.2">
      <c r="Y1816" s="105" t="str">
        <f t="shared" si="62"/>
        <v>1w</v>
      </c>
      <c r="Z1816" s="93">
        <f>_xll.qlCalendarAdvance(Calendar,Z1815,Y1816,"f",FALSE)</f>
        <v>51862</v>
      </c>
      <c r="AA1816" s="117">
        <f>_xll.qlCalendarAdvance(Calendar,Z1816,NDays&amp;"D")</f>
        <v>51866</v>
      </c>
      <c r="AB1816" s="92">
        <v>1.4566539854233663E-2</v>
      </c>
      <c r="AC1816" s="101">
        <v>1.4501824550685605E-2</v>
      </c>
    </row>
    <row r="1817" spans="25:29" x14ac:dyDescent="0.2">
      <c r="Y1817" s="105" t="str">
        <f t="shared" si="62"/>
        <v>1w</v>
      </c>
      <c r="Z1817" s="93">
        <f>_xll.qlCalendarAdvance(Calendar,Z1816,Y1817,"f",FALSE)</f>
        <v>51869</v>
      </c>
      <c r="AA1817" s="117">
        <f>_xll.qlCalendarAdvance(Calendar,Z1817,NDays&amp;"D")</f>
        <v>51873</v>
      </c>
      <c r="AB1817" s="92">
        <v>1.4567411141829545E-2</v>
      </c>
      <c r="AC1817" s="101">
        <v>1.4502562245590767E-2</v>
      </c>
    </row>
    <row r="1818" spans="25:29" x14ac:dyDescent="0.2">
      <c r="Y1818" s="105" t="str">
        <f t="shared" si="62"/>
        <v>1w</v>
      </c>
      <c r="Z1818" s="93">
        <f>_xll.qlCalendarAdvance(Calendar,Z1817,Y1818,"f",FALSE)</f>
        <v>51876</v>
      </c>
      <c r="AA1818" s="117">
        <f>_xll.qlCalendarAdvance(Calendar,Z1818,NDays&amp;"D")</f>
        <v>51880</v>
      </c>
      <c r="AB1818" s="92">
        <v>1.4568263022922065E-2</v>
      </c>
      <c r="AC1818" s="101">
        <v>1.4503653227055935E-2</v>
      </c>
    </row>
    <row r="1819" spans="25:29" x14ac:dyDescent="0.2">
      <c r="Y1819" s="105" t="str">
        <f t="shared" si="62"/>
        <v>1w</v>
      </c>
      <c r="Z1819" s="93">
        <f>_xll.qlCalendarAdvance(Calendar,Z1818,Y1819,"f",FALSE)</f>
        <v>51883</v>
      </c>
      <c r="AA1819" s="117">
        <f>_xll.qlCalendarAdvance(Calendar,Z1819,NDays&amp;"D")</f>
        <v>51887</v>
      </c>
      <c r="AB1819" s="92">
        <v>1.456909544641706E-2</v>
      </c>
      <c r="AC1819" s="101">
        <v>1.4504725543131869E-2</v>
      </c>
    </row>
    <row r="1820" spans="25:29" x14ac:dyDescent="0.2">
      <c r="Y1820" s="105" t="str">
        <f t="shared" si="62"/>
        <v>1w</v>
      </c>
      <c r="Z1820" s="93">
        <f>_xll.qlCalendarAdvance(Calendar,Z1819,Y1820,"f",FALSE)</f>
        <v>51890</v>
      </c>
      <c r="AA1820" s="117">
        <f>_xll.qlCalendarAdvance(Calendar,Z1820,NDays&amp;"D")</f>
        <v>51894</v>
      </c>
      <c r="AB1820" s="92">
        <v>1.4569908361219935E-2</v>
      </c>
      <c r="AC1820" s="101">
        <v>1.4505779143139108E-2</v>
      </c>
    </row>
    <row r="1821" spans="25:29" x14ac:dyDescent="0.2">
      <c r="Y1821" s="105" t="str">
        <f t="shared" si="62"/>
        <v>1w</v>
      </c>
      <c r="Z1821" s="93">
        <f>_xll.qlCalendarAdvance(Calendar,Z1820,Y1821,"f",FALSE)</f>
        <v>51897</v>
      </c>
      <c r="AA1821" s="117">
        <f>_xll.qlCalendarAdvance(Calendar,Z1821,NDays&amp;"D")</f>
        <v>51901</v>
      </c>
      <c r="AB1821" s="92">
        <v>1.4570701716238301E-2</v>
      </c>
      <c r="AC1821" s="101">
        <v>1.4506813976478128E-2</v>
      </c>
    </row>
    <row r="1822" spans="25:29" x14ac:dyDescent="0.2">
      <c r="Y1822" s="105" t="str">
        <f t="shared" si="62"/>
        <v>1w</v>
      </c>
      <c r="Z1822" s="93">
        <f>_xll.qlCalendarAdvance(Calendar,Z1821,Y1822,"f",FALSE)</f>
        <v>51904</v>
      </c>
      <c r="AA1822" s="117">
        <f>_xll.qlCalendarAdvance(Calendar,Z1822,NDays&amp;"D")</f>
        <v>51908</v>
      </c>
      <c r="AB1822" s="92">
        <v>1.4571475460378441E-2</v>
      </c>
      <c r="AC1822" s="101">
        <v>1.4507829992229659E-2</v>
      </c>
    </row>
    <row r="1823" spans="25:29" x14ac:dyDescent="0.2">
      <c r="Y1823" s="105" t="str">
        <f t="shared" si="62"/>
        <v>1w</v>
      </c>
      <c r="Z1823" s="93">
        <f>_xll.qlCalendarAdvance(Calendar,Z1822,Y1823,"f",FALSE)</f>
        <v>51911</v>
      </c>
      <c r="AA1823" s="117">
        <f>_xll.qlCalendarAdvance(Calendar,Z1823,NDays&amp;"D")</f>
        <v>51915</v>
      </c>
      <c r="AB1823" s="92">
        <v>1.457222954254885E-2</v>
      </c>
      <c r="AC1823" s="101">
        <v>1.4508827139794178E-2</v>
      </c>
    </row>
    <row r="1824" spans="25:29" x14ac:dyDescent="0.2">
      <c r="Y1824" s="105" t="str">
        <f t="shared" si="62"/>
        <v>1w</v>
      </c>
      <c r="Z1824" s="93">
        <f>_xll.qlCalendarAdvance(Calendar,Z1823,Y1824,"f",FALSE)</f>
        <v>51918</v>
      </c>
      <c r="AA1824" s="117">
        <f>_xll.qlCalendarAdvance(Calendar,Z1824,NDays&amp;"D")</f>
        <v>51922</v>
      </c>
      <c r="AB1824" s="92">
        <v>1.4572963911658019E-2</v>
      </c>
      <c r="AC1824" s="101">
        <v>1.450980536857216E-2</v>
      </c>
    </row>
    <row r="1825" spans="25:29" x14ac:dyDescent="0.2">
      <c r="Y1825" s="105" t="str">
        <f t="shared" si="62"/>
        <v>1w</v>
      </c>
      <c r="Z1825" s="93">
        <f>_xll.qlCalendarAdvance(Calendar,Z1824,Y1825,"f",FALSE)</f>
        <v>51925</v>
      </c>
      <c r="AA1825" s="117">
        <f>_xll.qlCalendarAdvance(Calendar,Z1825,NDays&amp;"D")</f>
        <v>51929</v>
      </c>
      <c r="AB1825" s="92">
        <v>1.4574693474270763E-2</v>
      </c>
      <c r="AC1825" s="101">
        <v>1.4510764627644335E-2</v>
      </c>
    </row>
    <row r="1826" spans="25:29" x14ac:dyDescent="0.2">
      <c r="Y1826" s="105" t="str">
        <f t="shared" si="62"/>
        <v>1w</v>
      </c>
      <c r="Z1826" s="93">
        <f>_xll.qlCalendarAdvance(Calendar,Z1825,Y1826,"f",FALSE)</f>
        <v>51932</v>
      </c>
      <c r="AA1826" s="117">
        <f>_xll.qlCalendarAdvance(Calendar,Z1826,NDays&amp;"D")</f>
        <v>51936</v>
      </c>
      <c r="AB1826" s="92">
        <v>1.4575384047214373E-2</v>
      </c>
      <c r="AC1826" s="101">
        <v>1.4511704866491115E-2</v>
      </c>
    </row>
    <row r="1827" spans="25:29" x14ac:dyDescent="0.2">
      <c r="Y1827" s="105" t="str">
        <f t="shared" si="62"/>
        <v>1w</v>
      </c>
      <c r="Z1827" s="93">
        <f>_xll.qlCalendarAdvance(Calendar,Z1826,Y1827,"f",FALSE)</f>
        <v>51939</v>
      </c>
      <c r="AA1827" s="117">
        <f>_xll.qlCalendarAdvance(Calendar,Z1827,NDays&amp;"D")</f>
        <v>51943</v>
      </c>
      <c r="AB1827" s="92">
        <v>1.4576054740474435E-2</v>
      </c>
      <c r="AC1827" s="101">
        <v>1.4512626034353104E-2</v>
      </c>
    </row>
    <row r="1828" spans="25:29" x14ac:dyDescent="0.2">
      <c r="Y1828" s="105" t="str">
        <f t="shared" si="62"/>
        <v>1w</v>
      </c>
      <c r="Z1828" s="93">
        <f>_xll.qlCalendarAdvance(Calendar,Z1827,Y1828,"f",FALSE)</f>
        <v>51946</v>
      </c>
      <c r="AA1828" s="117">
        <f>_xll.qlCalendarAdvance(Calendar,Z1828,NDays&amp;"D")</f>
        <v>51950</v>
      </c>
      <c r="AB1828" s="92">
        <v>1.4576705502954425E-2</v>
      </c>
      <c r="AC1828" s="101">
        <v>1.4513528080470905E-2</v>
      </c>
    </row>
    <row r="1829" spans="25:29" x14ac:dyDescent="0.2">
      <c r="Y1829" s="105" t="str">
        <f t="shared" si="62"/>
        <v>1w</v>
      </c>
      <c r="Z1829" s="93">
        <f>_xll.qlCalendarAdvance(Calendar,Z1828,Y1829,"f",FALSE)</f>
        <v>51953</v>
      </c>
      <c r="AA1829" s="117">
        <f>_xll.qlCalendarAdvance(Calendar,Z1829,NDays&amp;"D")</f>
        <v>51957</v>
      </c>
      <c r="AB1829" s="92">
        <v>1.4577003740902806E-2</v>
      </c>
      <c r="AC1829" s="101">
        <v>1.451441095432493E-2</v>
      </c>
    </row>
    <row r="1830" spans="25:29" x14ac:dyDescent="0.2">
      <c r="Y1830" s="105" t="str">
        <f t="shared" si="62"/>
        <v>1w</v>
      </c>
      <c r="Z1830" s="93">
        <f>_xll.qlCalendarAdvance(Calendar,Z1829,Y1830,"f",FALSE)</f>
        <v>51964</v>
      </c>
      <c r="AA1830" s="117">
        <f>_xll.qlCalendarAdvance(Calendar,Z1830,NDays&amp;"D")</f>
        <v>51966</v>
      </c>
      <c r="AB1830" s="92">
        <v>1.4577787132688782E-2</v>
      </c>
      <c r="AC1830" s="101">
        <v>1.451551782452043E-2</v>
      </c>
    </row>
    <row r="1831" spans="25:29" x14ac:dyDescent="0.2">
      <c r="Y1831" s="105" t="str">
        <f t="shared" si="62"/>
        <v>1w</v>
      </c>
      <c r="Z1831" s="93">
        <f>_xll.qlCalendarAdvance(Calendar,Z1830,Y1831,"f",FALSE)</f>
        <v>51971</v>
      </c>
      <c r="AA1831" s="117">
        <f>_xll.qlCalendarAdvance(Calendar,Z1831,NDays&amp;"D")</f>
        <v>51973</v>
      </c>
      <c r="AB1831" s="92">
        <v>1.4578373478168056E-2</v>
      </c>
      <c r="AC1831" s="101">
        <v>1.45163566852613E-2</v>
      </c>
    </row>
    <row r="1832" spans="25:29" x14ac:dyDescent="0.2">
      <c r="Y1832" s="105" t="str">
        <f t="shared" si="62"/>
        <v>1w</v>
      </c>
      <c r="Z1832" s="93">
        <f>_xll.qlCalendarAdvance(Calendar,Z1831,Y1832,"f",FALSE)</f>
        <v>51978</v>
      </c>
      <c r="AA1832" s="117">
        <f>_xll.qlCalendarAdvance(Calendar,Z1832,NDays&amp;"D")</f>
        <v>51980</v>
      </c>
      <c r="AB1832" s="92">
        <v>1.4578939678351624E-2</v>
      </c>
      <c r="AC1832" s="101">
        <v>1.451717620715165E-2</v>
      </c>
    </row>
    <row r="1833" spans="25:29" x14ac:dyDescent="0.2">
      <c r="Y1833" s="105" t="str">
        <f t="shared" si="62"/>
        <v>1w</v>
      </c>
      <c r="Z1833" s="93">
        <f>_xll.qlCalendarAdvance(Calendar,Z1832,Y1833,"f",FALSE)</f>
        <v>51985</v>
      </c>
      <c r="AA1833" s="117">
        <f>_xll.qlCalendarAdvance(Calendar,Z1833,NDays&amp;"D")</f>
        <v>51988</v>
      </c>
      <c r="AB1833" s="92">
        <v>1.4580214307620109E-2</v>
      </c>
      <c r="AC1833" s="101">
        <v>1.4518786750450374E-2</v>
      </c>
    </row>
    <row r="1834" spans="25:29" x14ac:dyDescent="0.2">
      <c r="Y1834" s="105" t="str">
        <f t="shared" si="62"/>
        <v>1w</v>
      </c>
      <c r="Z1834" s="93">
        <f>_xll.qlCalendarAdvance(Calendar,Z1833,Y1834,"f",FALSE)</f>
        <v>51992</v>
      </c>
      <c r="AA1834" s="117">
        <f>_xll.qlCalendarAdvance(Calendar,Z1834,NDays&amp;"D")</f>
        <v>51994</v>
      </c>
      <c r="AB1834" s="92">
        <v>1.4580985946313432E-2</v>
      </c>
      <c r="AC1834" s="101">
        <v>1.4518757031103391E-2</v>
      </c>
    </row>
    <row r="1835" spans="25:29" x14ac:dyDescent="0.2">
      <c r="Y1835" s="105" t="str">
        <f t="shared" si="62"/>
        <v>1w</v>
      </c>
      <c r="Z1835" s="93">
        <f>_xll.qlCalendarAdvance(Calendar,Z1834,Y1835,"f",FALSE)</f>
        <v>51999</v>
      </c>
      <c r="AA1835" s="117">
        <f>_xll.qlCalendarAdvance(Calendar,Z1835,NDays&amp;"D")</f>
        <v>52001</v>
      </c>
      <c r="AB1835" s="92">
        <v>1.4581487060303305E-2</v>
      </c>
      <c r="AC1835" s="101">
        <v>1.4519518231805861E-2</v>
      </c>
    </row>
    <row r="1836" spans="25:29" x14ac:dyDescent="0.2">
      <c r="Y1836" s="105" t="str">
        <f t="shared" si="62"/>
        <v>1w</v>
      </c>
      <c r="Z1836" s="93">
        <f>_xll.qlCalendarAdvance(Calendar,Z1835,Y1836,"f",FALSE)</f>
        <v>52006</v>
      </c>
      <c r="AA1836" s="117">
        <f>_xll.qlCalendarAdvance(Calendar,Z1836,NDays&amp;"D")</f>
        <v>52008</v>
      </c>
      <c r="AB1836" s="92">
        <v>1.4581967811226247E-2</v>
      </c>
      <c r="AC1836" s="101">
        <v>1.452025989070016E-2</v>
      </c>
    </row>
    <row r="1837" spans="25:29" x14ac:dyDescent="0.2">
      <c r="Y1837" s="105" t="str">
        <f t="shared" si="62"/>
        <v>1w</v>
      </c>
      <c r="Z1837" s="93">
        <f>_xll.qlCalendarAdvance(Calendar,Z1836,Y1837,"f",FALSE)</f>
        <v>52013</v>
      </c>
      <c r="AA1837" s="117">
        <f>_xll.qlCalendarAdvance(Calendar,Z1837,NDays&amp;"D")</f>
        <v>52015</v>
      </c>
      <c r="AB1837" s="92">
        <v>1.458146671166909E-2</v>
      </c>
      <c r="AC1837" s="101">
        <v>1.4520981957266699E-2</v>
      </c>
    </row>
    <row r="1838" spans="25:29" x14ac:dyDescent="0.2">
      <c r="Y1838" s="105" t="str">
        <f t="shared" si="62"/>
        <v>1w</v>
      </c>
      <c r="Z1838" s="93">
        <f>_xll.qlCalendarAdvance(Calendar,Z1837,Y1838,"f",FALSE)</f>
        <v>52020</v>
      </c>
      <c r="AA1838" s="117">
        <f>_xll.qlCalendarAdvance(Calendar,Z1838,NDays&amp;"D")</f>
        <v>52022</v>
      </c>
      <c r="AB1838" s="92">
        <v>1.4581910967185835E-2</v>
      </c>
      <c r="AC1838" s="101">
        <v>1.4521684380506272E-2</v>
      </c>
    </row>
    <row r="1839" spans="25:29" x14ac:dyDescent="0.2">
      <c r="Y1839" s="105" t="str">
        <f t="shared" si="62"/>
        <v>1w</v>
      </c>
      <c r="Z1839" s="93">
        <f>_xll.qlCalendarAdvance(Calendar,Z1838,Y1839,"f",FALSE)</f>
        <v>52027</v>
      </c>
      <c r="AA1839" s="117">
        <f>_xll.qlCalendarAdvance(Calendar,Z1839,NDays&amp;"D")</f>
        <v>52029</v>
      </c>
      <c r="AB1839" s="92">
        <v>1.4582334719781688E-2</v>
      </c>
      <c r="AC1839" s="101">
        <v>1.4522367109899292E-2</v>
      </c>
    </row>
    <row r="1840" spans="25:29" x14ac:dyDescent="0.2">
      <c r="Y1840" s="105" t="str">
        <f t="shared" si="62"/>
        <v>1w</v>
      </c>
      <c r="Z1840" s="93">
        <f>_xll.qlCalendarAdvance(Calendar,Z1839,Y1840,"f",FALSE)</f>
        <v>52034</v>
      </c>
      <c r="AA1840" s="117">
        <f>_xll.qlCalendarAdvance(Calendar,Z1840,NDays&amp;"D")</f>
        <v>52036</v>
      </c>
      <c r="AB1840" s="92">
        <v>1.4582737918368775E-2</v>
      </c>
      <c r="AC1840" s="101">
        <v>1.4523030094766298E-2</v>
      </c>
    </row>
    <row r="1841" spans="25:29" x14ac:dyDescent="0.2">
      <c r="Y1841" s="105" t="str">
        <f t="shared" si="62"/>
        <v>1w</v>
      </c>
      <c r="Z1841" s="93">
        <f>_xll.qlCalendarAdvance(Calendar,Z1840,Y1841,"f",FALSE)</f>
        <v>52041</v>
      </c>
      <c r="AA1841" s="117">
        <f>_xll.qlCalendarAdvance(Calendar,Z1841,NDays&amp;"D")</f>
        <v>52043</v>
      </c>
      <c r="AB1841" s="92">
        <v>1.45840643315234E-2</v>
      </c>
      <c r="AC1841" s="101">
        <v>1.4523673284347893E-2</v>
      </c>
    </row>
    <row r="1842" spans="25:29" x14ac:dyDescent="0.2">
      <c r="Y1842" s="105" t="str">
        <f t="shared" si="62"/>
        <v>1w</v>
      </c>
      <c r="Z1842" s="93">
        <f>_xll.qlCalendarAdvance(Calendar,Z1841,Y1842,"f",FALSE)</f>
        <v>52048</v>
      </c>
      <c r="AA1842" s="117">
        <f>_xll.qlCalendarAdvance(Calendar,Z1842,NDays&amp;"D")</f>
        <v>52050</v>
      </c>
      <c r="AB1842" s="92">
        <v>1.4584421831066917E-2</v>
      </c>
      <c r="AC1842" s="101">
        <v>1.4524296627964617E-2</v>
      </c>
    </row>
    <row r="1843" spans="25:29" x14ac:dyDescent="0.2">
      <c r="Y1843" s="105" t="str">
        <f t="shared" si="62"/>
        <v>1w</v>
      </c>
      <c r="Z1843" s="93">
        <f>_xll.qlCalendarAdvance(Calendar,Z1842,Y1843,"f",FALSE)</f>
        <v>52055</v>
      </c>
      <c r="AA1843" s="117">
        <f>_xll.qlCalendarAdvance(Calendar,Z1843,NDays&amp;"D")</f>
        <v>52057</v>
      </c>
      <c r="AB1843" s="92">
        <v>1.458475860988938E-2</v>
      </c>
      <c r="AC1843" s="101">
        <v>1.4524900074857072E-2</v>
      </c>
    </row>
    <row r="1844" spans="25:29" x14ac:dyDescent="0.2">
      <c r="Y1844" s="105" t="str">
        <f t="shared" si="62"/>
        <v>1w</v>
      </c>
      <c r="Z1844" s="93">
        <f>_xll.qlCalendarAdvance(Calendar,Z1843,Y1844,"f",FALSE)</f>
        <v>52062</v>
      </c>
      <c r="AA1844" s="117">
        <f>_xll.qlCalendarAdvance(Calendar,Z1844,NDays&amp;"D")</f>
        <v>52064</v>
      </c>
      <c r="AB1844" s="92">
        <v>1.4585074616900047E-2</v>
      </c>
      <c r="AC1844" s="101">
        <v>1.4525483574345799E-2</v>
      </c>
    </row>
    <row r="1845" spans="25:29" x14ac:dyDescent="0.2">
      <c r="Y1845" s="105" t="str">
        <f t="shared" si="62"/>
        <v>1w</v>
      </c>
      <c r="Z1845" s="93">
        <f>_xll.qlCalendarAdvance(Calendar,Z1844,Y1845,"f",FALSE)</f>
        <v>52069</v>
      </c>
      <c r="AA1845" s="117">
        <f>_xll.qlCalendarAdvance(Calendar,Z1845,NDays&amp;"D")</f>
        <v>52071</v>
      </c>
      <c r="AB1845" s="92">
        <v>1.4585369801009461E-2</v>
      </c>
      <c r="AC1845" s="101">
        <v>1.4526047075911208E-2</v>
      </c>
    </row>
    <row r="1846" spans="25:29" x14ac:dyDescent="0.2">
      <c r="Y1846" s="105" t="str">
        <f t="shared" si="62"/>
        <v>1w</v>
      </c>
      <c r="Z1846" s="93">
        <f>_xll.qlCalendarAdvance(Calendar,Z1845,Y1846,"f",FALSE)</f>
        <v>52076</v>
      </c>
      <c r="AA1846" s="117">
        <f>_xll.qlCalendarAdvance(Calendar,Z1846,NDays&amp;"D")</f>
        <v>52078</v>
      </c>
      <c r="AB1846" s="92">
        <v>1.4584722614911843E-2</v>
      </c>
      <c r="AC1846" s="101">
        <v>1.4526590528554095E-2</v>
      </c>
    </row>
    <row r="1847" spans="25:29" x14ac:dyDescent="0.2">
      <c r="Y1847" s="105" t="str">
        <f t="shared" si="62"/>
        <v>1w</v>
      </c>
      <c r="Z1847" s="93">
        <f>_xll.qlCalendarAdvance(Calendar,Z1846,Y1847,"f",FALSE)</f>
        <v>52083</v>
      </c>
      <c r="AA1847" s="117">
        <f>_xll.qlCalendarAdvance(Calendar,Z1847,NDays&amp;"D")</f>
        <v>52085</v>
      </c>
      <c r="AB1847" s="92">
        <v>1.458589749616542E-2</v>
      </c>
      <c r="AC1847" s="101">
        <v>1.4527113881754872E-2</v>
      </c>
    </row>
    <row r="1848" spans="25:29" x14ac:dyDescent="0.2">
      <c r="Y1848" s="105" t="str">
        <f t="shared" si="62"/>
        <v>1w</v>
      </c>
      <c r="Z1848" s="93">
        <f>_xll.qlCalendarAdvance(Calendar,Z1847,Y1848,"f",FALSE)</f>
        <v>52090</v>
      </c>
      <c r="AA1848" s="117">
        <f>_xll.qlCalendarAdvance(Calendar,Z1848,NDays&amp;"D")</f>
        <v>52092</v>
      </c>
      <c r="AB1848" s="92">
        <v>1.4586129905034342E-2</v>
      </c>
      <c r="AC1848" s="101">
        <v>1.4527617084754141E-2</v>
      </c>
    </row>
    <row r="1849" spans="25:29" x14ac:dyDescent="0.2">
      <c r="Y1849" s="105" t="str">
        <f t="shared" si="62"/>
        <v>1w</v>
      </c>
      <c r="Z1849" s="93">
        <f>_xll.qlCalendarAdvance(Calendar,Z1848,Y1849,"f",FALSE)</f>
        <v>52097</v>
      </c>
      <c r="AA1849" s="117">
        <f>_xll.qlCalendarAdvance(Calendar,Z1849,NDays&amp;"D")</f>
        <v>52099</v>
      </c>
      <c r="AB1849" s="92">
        <v>1.4586341286647202E-2</v>
      </c>
      <c r="AC1849" s="101">
        <v>1.4528100087032314E-2</v>
      </c>
    </row>
    <row r="1850" spans="25:29" x14ac:dyDescent="0.2">
      <c r="Y1850" s="105" t="str">
        <f t="shared" si="62"/>
        <v>1w</v>
      </c>
      <c r="Z1850" s="93">
        <f>_xll.qlCalendarAdvance(Calendar,Z1849,Y1850,"f",FALSE)</f>
        <v>52104</v>
      </c>
      <c r="AA1850" s="117">
        <f>_xll.qlCalendarAdvance(Calendar,Z1850,NDays&amp;"D")</f>
        <v>52106</v>
      </c>
      <c r="AB1850" s="92">
        <v>1.4585628195046002E-2</v>
      </c>
      <c r="AC1850" s="101">
        <v>1.4528562837590187E-2</v>
      </c>
    </row>
    <row r="1851" spans="25:29" x14ac:dyDescent="0.2">
      <c r="Y1851" s="105" t="str">
        <f t="shared" si="62"/>
        <v>1w</v>
      </c>
      <c r="Z1851" s="93">
        <f>_xll.qlCalendarAdvance(Calendar,Z1850,Y1851,"f",FALSE)</f>
        <v>52111</v>
      </c>
      <c r="AA1851" s="117">
        <f>_xll.qlCalendarAdvance(Calendar,Z1851,NDays&amp;"D")</f>
        <v>52113</v>
      </c>
      <c r="AB1851" s="92">
        <v>1.4585202014423015E-2</v>
      </c>
      <c r="AC1851" s="101">
        <v>1.4529005285828234E-2</v>
      </c>
    </row>
    <row r="1852" spans="25:29" x14ac:dyDescent="0.2">
      <c r="Y1852" s="105" t="str">
        <f t="shared" si="62"/>
        <v>1w</v>
      </c>
      <c r="Z1852" s="93">
        <f>_xll.qlCalendarAdvance(Calendar,Z1851,Y1852,"f",FALSE)</f>
        <v>52118</v>
      </c>
      <c r="AA1852" s="117">
        <f>_xll.qlCalendarAdvance(Calendar,Z1852,NDays&amp;"D")</f>
        <v>52120</v>
      </c>
      <c r="AB1852" s="92">
        <v>1.4585357626377277E-2</v>
      </c>
      <c r="AC1852" s="101">
        <v>1.4529427381146931E-2</v>
      </c>
    </row>
    <row r="1853" spans="25:29" x14ac:dyDescent="0.2">
      <c r="Y1853" s="105" t="str">
        <f t="shared" si="62"/>
        <v>1w</v>
      </c>
      <c r="Z1853" s="93">
        <f>_xll.qlCalendarAdvance(Calendar,Z1852,Y1853,"f",FALSE)</f>
        <v>52125</v>
      </c>
      <c r="AA1853" s="117">
        <f>_xll.qlCalendarAdvance(Calendar,Z1853,NDays&amp;"D")</f>
        <v>52127</v>
      </c>
      <c r="AB1853" s="92">
        <v>1.4585492029255496E-2</v>
      </c>
      <c r="AC1853" s="101">
        <v>1.4529829072866818E-2</v>
      </c>
    </row>
    <row r="1854" spans="25:29" x14ac:dyDescent="0.2">
      <c r="Y1854" s="105" t="str">
        <f t="shared" si="62"/>
        <v>1w</v>
      </c>
      <c r="Z1854" s="93">
        <f>_xll.qlCalendarAdvance(Calendar,Z1853,Y1854,"f",FALSE)</f>
        <v>52132</v>
      </c>
      <c r="AA1854" s="117">
        <f>_xll.qlCalendarAdvance(Calendar,Z1854,NDays&amp;"D")</f>
        <v>52134</v>
      </c>
      <c r="AB1854" s="92">
        <v>1.4585605171984714E-2</v>
      </c>
      <c r="AC1854" s="101">
        <v>1.4530210310148561E-2</v>
      </c>
    </row>
    <row r="1855" spans="25:29" x14ac:dyDescent="0.2">
      <c r="Y1855" s="105" t="str">
        <f t="shared" si="62"/>
        <v>1w</v>
      </c>
      <c r="Z1855" s="93">
        <f>_xll.qlCalendarAdvance(Calendar,Z1854,Y1855,"f",FALSE)</f>
        <v>52139</v>
      </c>
      <c r="AA1855" s="117">
        <f>_xll.qlCalendarAdvance(Calendar,Z1855,NDays&amp;"D")</f>
        <v>52141</v>
      </c>
      <c r="AB1855" s="92">
        <v>1.4585990911020929E-2</v>
      </c>
      <c r="AC1855" s="101">
        <v>1.4530571042392637E-2</v>
      </c>
    </row>
    <row r="1856" spans="25:29" x14ac:dyDescent="0.2">
      <c r="Y1856" s="105" t="str">
        <f t="shared" si="62"/>
        <v>1w</v>
      </c>
      <c r="Z1856" s="93">
        <f>_xll.qlCalendarAdvance(Calendar,Z1855,Y1856,"f",FALSE)</f>
        <v>52146</v>
      </c>
      <c r="AA1856" s="117">
        <f>_xll.qlCalendarAdvance(Calendar,Z1856,NDays&amp;"D")</f>
        <v>52148</v>
      </c>
      <c r="AB1856" s="92">
        <v>1.4586059839416668E-2</v>
      </c>
      <c r="AC1856" s="101">
        <v>1.4530911218839648E-2</v>
      </c>
    </row>
    <row r="1857" spans="25:29" x14ac:dyDescent="0.2">
      <c r="Y1857" s="105" t="str">
        <f t="shared" si="62"/>
        <v>1w</v>
      </c>
      <c r="Z1857" s="93">
        <f>_xll.qlCalendarAdvance(Calendar,Z1856,Y1857,"f",FALSE)</f>
        <v>52153</v>
      </c>
      <c r="AA1857" s="117">
        <f>_xll.qlCalendarAdvance(Calendar,Z1857,NDays&amp;"D")</f>
        <v>52155</v>
      </c>
      <c r="AB1857" s="92">
        <v>1.4586107349931311E-2</v>
      </c>
      <c r="AC1857" s="101">
        <v>1.4531230788730198E-2</v>
      </c>
    </row>
    <row r="1858" spans="25:29" x14ac:dyDescent="0.2">
      <c r="Y1858" s="105" t="str">
        <f t="shared" si="62"/>
        <v>1w</v>
      </c>
      <c r="Z1858" s="93">
        <f>_xll.qlCalendarAdvance(Calendar,Z1857,Y1858,"f",FALSE)</f>
        <v>52160</v>
      </c>
      <c r="AA1858" s="117">
        <f>_xll.qlCalendarAdvance(Calendar,Z1858,NDays&amp;"D")</f>
        <v>52162</v>
      </c>
      <c r="AB1858" s="92">
        <v>1.4586133391492746E-2</v>
      </c>
      <c r="AC1858" s="101">
        <v>1.4531529701464763E-2</v>
      </c>
    </row>
    <row r="1859" spans="25:29" x14ac:dyDescent="0.2">
      <c r="Y1859" s="105" t="str">
        <f t="shared" si="62"/>
        <v>1w</v>
      </c>
      <c r="Z1859" s="93">
        <f>_xll.qlCalendarAdvance(Calendar,Z1858,Y1859,"f",FALSE)</f>
        <v>52167</v>
      </c>
      <c r="AA1859" s="117">
        <f>_xll.qlCalendarAdvance(Calendar,Z1859,NDays&amp;"D")</f>
        <v>52169</v>
      </c>
      <c r="AB1859" s="92">
        <v>1.4586137913026223E-2</v>
      </c>
      <c r="AC1859" s="101">
        <v>1.4531807906283944E-2</v>
      </c>
    </row>
    <row r="1860" spans="25:29" x14ac:dyDescent="0.2">
      <c r="Y1860" s="105" t="str">
        <f t="shared" si="62"/>
        <v>1w</v>
      </c>
      <c r="Z1860" s="93">
        <f>_xll.qlCalendarAdvance(Calendar,Z1859,Y1860,"f",FALSE)</f>
        <v>52174</v>
      </c>
      <c r="AA1860" s="117">
        <f>_xll.qlCalendarAdvance(Calendar,Z1860,NDays&amp;"D")</f>
        <v>52176</v>
      </c>
      <c r="AB1860" s="92">
        <v>1.4585834705148019E-2</v>
      </c>
      <c r="AC1860" s="101">
        <v>1.4532065352668155E-2</v>
      </c>
    </row>
    <row r="1861" spans="25:29" x14ac:dyDescent="0.2">
      <c r="Y1861" s="105" t="str">
        <f t="shared" si="62"/>
        <v>1w</v>
      </c>
      <c r="Z1861" s="93">
        <f>_xll.qlCalendarAdvance(Calendar,Z1860,Y1861,"f",FALSE)</f>
        <v>52181</v>
      </c>
      <c r="AA1861" s="117">
        <f>_xll.qlCalendarAdvance(Calendar,Z1861,NDays&amp;"D")</f>
        <v>52183</v>
      </c>
      <c r="AB1861" s="92">
        <v>1.4585797596809075E-2</v>
      </c>
      <c r="AC1861" s="101">
        <v>1.453230198961819E-2</v>
      </c>
    </row>
    <row r="1862" spans="25:29" x14ac:dyDescent="0.2">
      <c r="Y1862" s="105" t="str">
        <f t="shared" si="62"/>
        <v>1w</v>
      </c>
      <c r="Z1862" s="93">
        <f>_xll.qlCalendarAdvance(Calendar,Z1861,Y1862,"f",FALSE)</f>
        <v>52188</v>
      </c>
      <c r="AA1862" s="117">
        <f>_xll.qlCalendarAdvance(Calendar,Z1862,NDays&amp;"D")</f>
        <v>52190</v>
      </c>
      <c r="AB1862" s="92">
        <v>1.4585738819752041E-2</v>
      </c>
      <c r="AC1862" s="101">
        <v>1.4532517766774333E-2</v>
      </c>
    </row>
    <row r="1863" spans="25:29" x14ac:dyDescent="0.2">
      <c r="Y1863" s="105" t="str">
        <f t="shared" si="62"/>
        <v>1w</v>
      </c>
      <c r="Z1863" s="93">
        <f>_xll.qlCalendarAdvance(Calendar,Z1862,Y1863,"f",FALSE)</f>
        <v>52195</v>
      </c>
      <c r="AA1863" s="117">
        <f>_xll.qlCalendarAdvance(Calendar,Z1863,NDays&amp;"D")</f>
        <v>52197</v>
      </c>
      <c r="AB1863" s="92">
        <v>1.4585658322907494E-2</v>
      </c>
      <c r="AC1863" s="101">
        <v>1.4532712633137379E-2</v>
      </c>
    </row>
    <row r="1864" spans="25:29" x14ac:dyDescent="0.2">
      <c r="Y1864" s="105" t="str">
        <f t="shared" si="62"/>
        <v>1w</v>
      </c>
      <c r="Z1864" s="93">
        <f>_xll.qlCalendarAdvance(Calendar,Z1863,Y1864,"f",FALSE)</f>
        <v>52202</v>
      </c>
      <c r="AA1864" s="117">
        <f>_xll.qlCalendarAdvance(Calendar,Z1864,NDays&amp;"D")</f>
        <v>52204</v>
      </c>
      <c r="AB1864" s="92">
        <v>1.4585835932791998E-2</v>
      </c>
      <c r="AC1864" s="101">
        <v>1.4532886538107803E-2</v>
      </c>
    </row>
    <row r="1865" spans="25:29" x14ac:dyDescent="0.2">
      <c r="Y1865" s="105" t="str">
        <f t="shared" si="62"/>
        <v>1w</v>
      </c>
      <c r="Z1865" s="93">
        <f>_xll.qlCalendarAdvance(Calendar,Z1864,Y1865,"f",FALSE)</f>
        <v>52209</v>
      </c>
      <c r="AA1865" s="117">
        <f>_xll.qlCalendarAdvance(Calendar,Z1865,NDays&amp;"D")</f>
        <v>52211</v>
      </c>
      <c r="AB1865" s="92">
        <v>1.4585710261674529E-2</v>
      </c>
      <c r="AC1865" s="101">
        <v>1.4533039431006145E-2</v>
      </c>
    </row>
    <row r="1866" spans="25:29" x14ac:dyDescent="0.2">
      <c r="Y1866" s="105" t="str">
        <f t="shared" si="62"/>
        <v>1w</v>
      </c>
      <c r="Z1866" s="93">
        <f>_xll.qlCalendarAdvance(Calendar,Z1865,Y1866,"f",FALSE)</f>
        <v>52216</v>
      </c>
      <c r="AA1866" s="117">
        <f>_xll.qlCalendarAdvance(Calendar,Z1866,NDays&amp;"D")</f>
        <v>52218</v>
      </c>
      <c r="AB1866" s="92">
        <v>1.4585562713039681E-2</v>
      </c>
      <c r="AC1866" s="101">
        <v>1.4533171261073008E-2</v>
      </c>
    </row>
    <row r="1867" spans="25:29" x14ac:dyDescent="0.2">
      <c r="Y1867" s="105" t="str">
        <f t="shared" si="62"/>
        <v>1w</v>
      </c>
      <c r="Z1867" s="93">
        <f>_xll.qlCalendarAdvance(Calendar,Z1866,Y1867,"f",FALSE)</f>
        <v>52223</v>
      </c>
      <c r="AA1867" s="117">
        <f>_xll.qlCalendarAdvance(Calendar,Z1867,NDays&amp;"D")</f>
        <v>52229</v>
      </c>
      <c r="AB1867" s="92">
        <v>1.4585286526557644E-2</v>
      </c>
      <c r="AC1867" s="101">
        <v>1.4533335745419151E-2</v>
      </c>
    </row>
    <row r="1868" spans="25:29" x14ac:dyDescent="0.2">
      <c r="Y1868" s="105" t="str">
        <f t="shared" si="62"/>
        <v>1w</v>
      </c>
      <c r="Z1868" s="93">
        <f>_xll.qlCalendarAdvance(Calendar,Z1867,Y1868,"f",FALSE)</f>
        <v>52230</v>
      </c>
      <c r="AA1868" s="117">
        <f>_xll.qlCalendarAdvance(Calendar,Z1868,NDays&amp;"D")</f>
        <v>52233</v>
      </c>
      <c r="AB1868" s="92">
        <v>1.4584899334582044E-2</v>
      </c>
      <c r="AC1868" s="101">
        <v>1.453397980657023E-2</v>
      </c>
    </row>
    <row r="1869" spans="25:29" x14ac:dyDescent="0.2">
      <c r="Y1869" s="105" t="str">
        <f t="shared" si="62"/>
        <v>1w</v>
      </c>
      <c r="Z1869" s="93">
        <f>_xll.qlCalendarAdvance(Calendar,Z1868,Y1869,"f",FALSE)</f>
        <v>52237</v>
      </c>
      <c r="AA1869" s="117">
        <f>_xll.qlCalendarAdvance(Calendar,Z1869,NDays&amp;"D")</f>
        <v>52239</v>
      </c>
      <c r="AB1869" s="92">
        <v>1.4584716366605363E-2</v>
      </c>
      <c r="AC1869" s="101">
        <v>1.4533439867809861E-2</v>
      </c>
    </row>
    <row r="1870" spans="25:29" x14ac:dyDescent="0.2">
      <c r="Y1870" s="105" t="str">
        <f t="shared" si="62"/>
        <v>1w</v>
      </c>
      <c r="Z1870" s="93">
        <f>_xll.qlCalendarAdvance(Calendar,Z1869,Y1870,"f",FALSE)</f>
        <v>52244</v>
      </c>
      <c r="AA1870" s="117">
        <f>_xll.qlCalendarAdvance(Calendar,Z1870,NDays&amp;"D")</f>
        <v>52246</v>
      </c>
      <c r="AB1870" s="92">
        <v>1.4584482401410742E-2</v>
      </c>
      <c r="AC1870" s="101">
        <v>1.4533486939756202E-2</v>
      </c>
    </row>
    <row r="1871" spans="25:29" x14ac:dyDescent="0.2">
      <c r="Y1871" s="105" t="str">
        <f t="shared" si="62"/>
        <v>1w</v>
      </c>
      <c r="Z1871" s="93">
        <f>_xll.qlCalendarAdvance(Calendar,Z1870,Y1871,"f",FALSE)</f>
        <v>52251</v>
      </c>
      <c r="AA1871" s="117">
        <f>_xll.qlCalendarAdvance(Calendar,Z1871,NDays&amp;"D")</f>
        <v>52253</v>
      </c>
      <c r="AB1871" s="92">
        <v>1.458422630791207E-2</v>
      </c>
      <c r="AC1871" s="101">
        <v>1.453351269547376E-2</v>
      </c>
    </row>
    <row r="1872" spans="25:29" x14ac:dyDescent="0.2">
      <c r="Y1872" s="105" t="str">
        <f t="shared" si="62"/>
        <v>1w</v>
      </c>
      <c r="Z1872" s="93">
        <f>_xll.qlCalendarAdvance(Calendar,Z1871,Y1872,"f",FALSE)</f>
        <v>52258</v>
      </c>
      <c r="AA1872" s="117">
        <f>_xll.qlCalendarAdvance(Calendar,Z1872,NDays&amp;"D")</f>
        <v>52260</v>
      </c>
      <c r="AB1872" s="92">
        <v>1.4583948035046545E-2</v>
      </c>
      <c r="AC1872" s="101">
        <v>1.453351708420314E-2</v>
      </c>
    </row>
    <row r="1873" spans="25:29" x14ac:dyDescent="0.2">
      <c r="Y1873" s="105" t="str">
        <f t="shared" si="62"/>
        <v>1w</v>
      </c>
      <c r="Z1873" s="93">
        <f>_xll.qlCalendarAdvance(Calendar,Z1872,Y1873,"f",FALSE)</f>
        <v>52265</v>
      </c>
      <c r="AA1873" s="117">
        <f>_xll.qlCalendarAdvance(Calendar,Z1873,NDays&amp;"D")</f>
        <v>52267</v>
      </c>
      <c r="AB1873" s="92">
        <v>1.4583647531755787E-2</v>
      </c>
      <c r="AC1873" s="101">
        <v>1.4533500055184945E-2</v>
      </c>
    </row>
    <row r="1874" spans="25:29" x14ac:dyDescent="0.2">
      <c r="Y1874" s="105" t="str">
        <f t="shared" si="62"/>
        <v>1w</v>
      </c>
      <c r="Z1874" s="93">
        <f>_xll.qlCalendarAdvance(Calendar,Z1873,Y1874,"f",FALSE)</f>
        <v>52272</v>
      </c>
      <c r="AA1874" s="117">
        <f>_xll.qlCalendarAdvance(Calendar,Z1874,NDays&amp;"D")</f>
        <v>52274</v>
      </c>
      <c r="AB1874" s="92">
        <v>1.4583324746977874E-2</v>
      </c>
      <c r="AC1874" s="101">
        <v>1.4533461557979521E-2</v>
      </c>
    </row>
    <row r="1875" spans="25:29" x14ac:dyDescent="0.2">
      <c r="Y1875" s="105" t="str">
        <f t="shared" si="62"/>
        <v>1w</v>
      </c>
      <c r="Z1875" s="93">
        <f>_xll.qlCalendarAdvance(Calendar,Z1874,Y1875,"f",FALSE)</f>
        <v>52279</v>
      </c>
      <c r="AA1875" s="117">
        <f>_xll.qlCalendarAdvance(Calendar,Z1875,NDays&amp;"D")</f>
        <v>52281</v>
      </c>
      <c r="AB1875" s="92">
        <v>1.4582979629654425E-2</v>
      </c>
      <c r="AC1875" s="101">
        <v>1.4533401541507729E-2</v>
      </c>
    </row>
    <row r="1876" spans="25:29" x14ac:dyDescent="0.2">
      <c r="Y1876" s="105" t="str">
        <f t="shared" si="62"/>
        <v>1w</v>
      </c>
      <c r="Z1876" s="93">
        <f>_xll.qlCalendarAdvance(Calendar,Z1875,Y1876,"f",FALSE)</f>
        <v>52286</v>
      </c>
      <c r="AA1876" s="117">
        <f>_xll.qlCalendarAdvance(Calendar,Z1876,NDays&amp;"D")</f>
        <v>52288</v>
      </c>
      <c r="AB1876" s="92">
        <v>1.458261212872794E-2</v>
      </c>
      <c r="AC1876" s="101">
        <v>1.4533319955409851E-2</v>
      </c>
    </row>
    <row r="1877" spans="25:29" x14ac:dyDescent="0.2">
      <c r="Y1877" s="105" t="str">
        <f t="shared" ref="Y1877:Y1940" si="63">Y1876</f>
        <v>1w</v>
      </c>
      <c r="Z1877" s="93">
        <f>_xll.qlCalendarAdvance(Calendar,Z1876,Y1877,"f",FALSE)</f>
        <v>52293</v>
      </c>
      <c r="AA1877" s="117">
        <f>_xll.qlCalendarAdvance(Calendar,Z1877,NDays&amp;"D")</f>
        <v>52295</v>
      </c>
      <c r="AB1877" s="92">
        <v>1.4583515511273938E-2</v>
      </c>
      <c r="AC1877" s="101">
        <v>1.4533216748606748E-2</v>
      </c>
    </row>
    <row r="1878" spans="25:29" x14ac:dyDescent="0.2">
      <c r="Y1878" s="105" t="str">
        <f t="shared" si="63"/>
        <v>1w</v>
      </c>
      <c r="Z1878" s="93">
        <f>_xll.qlCalendarAdvance(Calendar,Z1877,Y1878,"f",FALSE)</f>
        <v>52300</v>
      </c>
      <c r="AA1878" s="117">
        <f>_xll.qlCalendarAdvance(Calendar,Z1878,NDays&amp;"D")</f>
        <v>52302</v>
      </c>
      <c r="AB1878" s="92">
        <v>1.4583094882431643E-2</v>
      </c>
      <c r="AC1878" s="101">
        <v>1.4533091870818637E-2</v>
      </c>
    </row>
    <row r="1879" spans="25:29" x14ac:dyDescent="0.2">
      <c r="Y1879" s="105" t="str">
        <f t="shared" si="63"/>
        <v>1w</v>
      </c>
      <c r="Z1879" s="93">
        <f>_xll.qlCalendarAdvance(Calendar,Z1878,Y1879,"f",FALSE)</f>
        <v>52307</v>
      </c>
      <c r="AA1879" s="117">
        <f>_xll.qlCalendarAdvance(Calendar,Z1879,NDays&amp;"D")</f>
        <v>52309</v>
      </c>
      <c r="AB1879" s="92">
        <v>1.4582651694032975E-2</v>
      </c>
      <c r="AC1879" s="101">
        <v>1.4532945271126252E-2</v>
      </c>
    </row>
    <row r="1880" spans="25:29" x14ac:dyDescent="0.2">
      <c r="Y1880" s="105" t="str">
        <f t="shared" si="63"/>
        <v>1w</v>
      </c>
      <c r="Z1880" s="93">
        <f>_xll.qlCalendarAdvance(Calendar,Z1879,Y1880,"f",FALSE)</f>
        <v>52314</v>
      </c>
      <c r="AA1880" s="117">
        <f>_xll.qlCalendarAdvance(Calendar,Z1880,NDays&amp;"D")</f>
        <v>52316</v>
      </c>
      <c r="AB1880" s="92">
        <v>1.4582185895012116E-2</v>
      </c>
      <c r="AC1880" s="101">
        <v>1.4533897721676681E-2</v>
      </c>
    </row>
    <row r="1881" spans="25:29" x14ac:dyDescent="0.2">
      <c r="Y1881" s="105" t="str">
        <f t="shared" si="63"/>
        <v>1w</v>
      </c>
      <c r="Z1881" s="93">
        <f>_xll.qlCalendarAdvance(Calendar,Z1880,Y1881,"f",FALSE)</f>
        <v>52321</v>
      </c>
      <c r="AA1881" s="117">
        <f>_xll.qlCalendarAdvance(Calendar,Z1881,NDays&amp;"D")</f>
        <v>52323</v>
      </c>
      <c r="AB1881" s="92">
        <v>1.4580941680148316E-2</v>
      </c>
      <c r="AC1881" s="101">
        <v>1.453258670315094E-2</v>
      </c>
    </row>
    <row r="1882" spans="25:29" x14ac:dyDescent="0.2">
      <c r="Y1882" s="105" t="str">
        <f t="shared" si="63"/>
        <v>1w</v>
      </c>
      <c r="Z1882" s="93">
        <f>_xll.qlCalendarAdvance(Calendar,Z1881,Y1882,"f",FALSE)</f>
        <v>52328</v>
      </c>
      <c r="AA1882" s="117">
        <f>_xll.qlCalendarAdvance(Calendar,Z1882,NDays&amp;"D")</f>
        <v>52330</v>
      </c>
      <c r="AB1882" s="92">
        <v>1.4580435487370131E-2</v>
      </c>
      <c r="AC1882" s="101">
        <v>1.4532374633509093E-2</v>
      </c>
    </row>
    <row r="1883" spans="25:29" x14ac:dyDescent="0.2">
      <c r="Y1883" s="105" t="str">
        <f t="shared" si="63"/>
        <v>1w</v>
      </c>
      <c r="Z1883" s="93">
        <f>_xll.qlCalendarAdvance(Calendar,Z1882,Y1883,"f",FALSE)</f>
        <v>52335</v>
      </c>
      <c r="AA1883" s="117">
        <f>_xll.qlCalendarAdvance(Calendar,Z1883,NDays&amp;"D")</f>
        <v>52337</v>
      </c>
      <c r="AB1883" s="92">
        <v>1.4579906544474963E-2</v>
      </c>
      <c r="AC1883" s="101">
        <v>1.4532140639245128E-2</v>
      </c>
    </row>
    <row r="1884" spans="25:29" x14ac:dyDescent="0.2">
      <c r="Y1884" s="105" t="str">
        <f t="shared" si="63"/>
        <v>1w</v>
      </c>
      <c r="Z1884" s="93">
        <f>_xll.qlCalendarAdvance(Calendar,Z1883,Y1884,"f",FALSE)</f>
        <v>52342</v>
      </c>
      <c r="AA1884" s="117">
        <f>_xll.qlCalendarAdvance(Calendar,Z1884,NDays&amp;"D")</f>
        <v>52344</v>
      </c>
      <c r="AB1884" s="92">
        <v>1.4579354800406825E-2</v>
      </c>
      <c r="AC1884" s="101">
        <v>1.4531884669599648E-2</v>
      </c>
    </row>
    <row r="1885" spans="25:29" x14ac:dyDescent="0.2">
      <c r="Y1885" s="105" t="str">
        <f t="shared" si="63"/>
        <v>1w</v>
      </c>
      <c r="Z1885" s="93">
        <f>_xll.qlCalendarAdvance(Calendar,Z1884,Y1885,"f",FALSE)</f>
        <v>52349</v>
      </c>
      <c r="AA1885" s="117">
        <f>_xll.qlCalendarAdvance(Calendar,Z1885,NDays&amp;"D")</f>
        <v>52351</v>
      </c>
      <c r="AB1885" s="92">
        <v>1.4578780204111472E-2</v>
      </c>
      <c r="AC1885" s="101">
        <v>1.4532423832154251E-2</v>
      </c>
    </row>
    <row r="1886" spans="25:29" x14ac:dyDescent="0.2">
      <c r="Y1886" s="105" t="str">
        <f t="shared" si="63"/>
        <v>1w</v>
      </c>
      <c r="Z1886" s="93">
        <f>_xll.qlCalendarAdvance(Calendar,Z1885,Y1886,"f",FALSE)</f>
        <v>52356</v>
      </c>
      <c r="AA1886" s="117">
        <f>_xll.qlCalendarAdvance(Calendar,Z1886,NDays&amp;"D")</f>
        <v>52358</v>
      </c>
      <c r="AB1886" s="92">
        <v>1.4578913418321625E-2</v>
      </c>
      <c r="AC1886" s="101">
        <v>1.4531306601286431E-2</v>
      </c>
    </row>
    <row r="1887" spans="25:29" x14ac:dyDescent="0.2">
      <c r="Y1887" s="105" t="str">
        <f t="shared" si="63"/>
        <v>1w</v>
      </c>
      <c r="Z1887" s="93">
        <f>_xll.qlCalendarAdvance(Calendar,Z1886,Y1887,"f",FALSE)</f>
        <v>52363</v>
      </c>
      <c r="AA1887" s="117">
        <f>_xll.qlCalendarAdvance(Calendar,Z1887,NDays&amp;"D")</f>
        <v>52365</v>
      </c>
      <c r="AB1887" s="92">
        <v>1.4578287915210382E-2</v>
      </c>
      <c r="AC1887" s="101">
        <v>1.4530984401259772E-2</v>
      </c>
    </row>
    <row r="1888" spans="25:29" x14ac:dyDescent="0.2">
      <c r="Y1888" s="105" t="str">
        <f t="shared" si="63"/>
        <v>1w</v>
      </c>
      <c r="Z1888" s="93">
        <f>_xll.qlCalendarAdvance(Calendar,Z1887,Y1888,"f",FALSE)</f>
        <v>52370</v>
      </c>
      <c r="AA1888" s="117">
        <f>_xll.qlCalendarAdvance(Calendar,Z1888,NDays&amp;"D")</f>
        <v>52372</v>
      </c>
      <c r="AB1888" s="92">
        <v>1.4577639392990801E-2</v>
      </c>
      <c r="AC1888" s="101">
        <v>1.4530640023133756E-2</v>
      </c>
    </row>
    <row r="1889" spans="25:29" x14ac:dyDescent="0.2">
      <c r="Y1889" s="105" t="str">
        <f t="shared" si="63"/>
        <v>1w</v>
      </c>
      <c r="Z1889" s="93">
        <f>_xll.qlCalendarAdvance(Calendar,Z1888,Y1889,"f",FALSE)</f>
        <v>52377</v>
      </c>
      <c r="AA1889" s="117">
        <f>_xll.qlCalendarAdvance(Calendar,Z1889,NDays&amp;"D")</f>
        <v>52379</v>
      </c>
      <c r="AB1889" s="92">
        <v>1.4576967800605226E-2</v>
      </c>
      <c r="AC1889" s="101">
        <v>1.4530273415989114E-2</v>
      </c>
    </row>
    <row r="1890" spans="25:29" x14ac:dyDescent="0.2">
      <c r="Y1890" s="105" t="str">
        <f t="shared" si="63"/>
        <v>1w</v>
      </c>
      <c r="Z1890" s="93">
        <f>_xll.qlCalendarAdvance(Calendar,Z1889,Y1890,"f",FALSE)</f>
        <v>52384</v>
      </c>
      <c r="AA1890" s="117">
        <f>_xll.qlCalendarAdvance(Calendar,Z1890,NDays&amp;"D")</f>
        <v>52386</v>
      </c>
      <c r="AB1890" s="92">
        <v>1.4575562652366871E-2</v>
      </c>
      <c r="AC1890" s="101">
        <v>1.4529884529386194E-2</v>
      </c>
    </row>
    <row r="1891" spans="25:29" x14ac:dyDescent="0.2">
      <c r="Y1891" s="105" t="str">
        <f t="shared" si="63"/>
        <v>1w</v>
      </c>
      <c r="Z1891" s="93">
        <f>_xll.qlCalendarAdvance(Calendar,Z1890,Y1891,"f",FALSE)</f>
        <v>52391</v>
      </c>
      <c r="AA1891" s="117">
        <f>_xll.qlCalendarAdvance(Calendar,Z1891,NDays&amp;"D")</f>
        <v>52393</v>
      </c>
      <c r="AB1891" s="92">
        <v>1.4574849870604515E-2</v>
      </c>
      <c r="AC1891" s="101">
        <v>1.4529473312485663E-2</v>
      </c>
    </row>
    <row r="1892" spans="25:29" x14ac:dyDescent="0.2">
      <c r="Y1892" s="105" t="str">
        <f t="shared" si="63"/>
        <v>1w</v>
      </c>
      <c r="Z1892" s="93">
        <f>_xll.qlCalendarAdvance(Calendar,Z1891,Y1892,"f",FALSE)</f>
        <v>52398</v>
      </c>
      <c r="AA1892" s="117">
        <f>_xll.qlCalendarAdvance(Calendar,Z1892,NDays&amp;"D")</f>
        <v>52400</v>
      </c>
      <c r="AB1892" s="92">
        <v>1.4574113879255338E-2</v>
      </c>
      <c r="AC1892" s="101">
        <v>1.4529039714528125E-2</v>
      </c>
    </row>
    <row r="1893" spans="25:29" x14ac:dyDescent="0.2">
      <c r="Y1893" s="105" t="str">
        <f t="shared" si="63"/>
        <v>1w</v>
      </c>
      <c r="Z1893" s="93">
        <f>_xll.qlCalendarAdvance(Calendar,Z1892,Y1893,"f",FALSE)</f>
        <v>52405</v>
      </c>
      <c r="AA1893" s="117">
        <f>_xll.qlCalendarAdvance(Calendar,Z1893,NDays&amp;"D")</f>
        <v>52407</v>
      </c>
      <c r="AB1893" s="92">
        <v>1.4574049708300658E-2</v>
      </c>
      <c r="AC1893" s="101">
        <v>1.4528583684914054E-2</v>
      </c>
    </row>
    <row r="1894" spans="25:29" x14ac:dyDescent="0.2">
      <c r="Y1894" s="105" t="str">
        <f t="shared" si="63"/>
        <v>1w</v>
      </c>
      <c r="Z1894" s="93">
        <f>_xll.qlCalendarAdvance(Calendar,Z1893,Y1894,"f",FALSE)</f>
        <v>52412</v>
      </c>
      <c r="AA1894" s="117">
        <f>_xll.qlCalendarAdvance(Calendar,Z1894,NDays&amp;"D")</f>
        <v>52414</v>
      </c>
      <c r="AB1894" s="92">
        <v>1.4573261999264595E-2</v>
      </c>
      <c r="AC1894" s="101">
        <v>1.4528105172804118E-2</v>
      </c>
    </row>
    <row r="1895" spans="25:29" x14ac:dyDescent="0.2">
      <c r="Y1895" s="105" t="str">
        <f t="shared" si="63"/>
        <v>1w</v>
      </c>
      <c r="Z1895" s="93">
        <f>_xll.qlCalendarAdvance(Calendar,Z1894,Y1895,"f",FALSE)</f>
        <v>52419</v>
      </c>
      <c r="AA1895" s="117">
        <f>_xll.qlCalendarAdvance(Calendar,Z1895,NDays&amp;"D")</f>
        <v>52421</v>
      </c>
      <c r="AB1895" s="92">
        <v>1.4572450913739401E-2</v>
      </c>
      <c r="AC1895" s="101">
        <v>1.4527604127758664E-2</v>
      </c>
    </row>
    <row r="1896" spans="25:29" x14ac:dyDescent="0.2">
      <c r="Y1896" s="105" t="str">
        <f t="shared" si="63"/>
        <v>1w</v>
      </c>
      <c r="Z1896" s="93">
        <f>_xll.qlCalendarAdvance(Calendar,Z1895,Y1896,"f",FALSE)</f>
        <v>52426</v>
      </c>
      <c r="AA1896" s="117">
        <f>_xll.qlCalendarAdvance(Calendar,Z1896,NDays&amp;"D")</f>
        <v>52428</v>
      </c>
      <c r="AB1896" s="92">
        <v>1.4571616400675157E-2</v>
      </c>
      <c r="AC1896" s="101">
        <v>1.4527080498938361E-2</v>
      </c>
    </row>
    <row r="1897" spans="25:29" x14ac:dyDescent="0.2">
      <c r="Y1897" s="105" t="str">
        <f t="shared" si="63"/>
        <v>1w</v>
      </c>
      <c r="Z1897" s="93">
        <f>_xll.qlCalendarAdvance(Calendar,Z1896,Y1897,"f",FALSE)</f>
        <v>52433</v>
      </c>
      <c r="AA1897" s="117">
        <f>_xll.qlCalendarAdvance(Calendar,Z1897,NDays&amp;"D")</f>
        <v>52435</v>
      </c>
      <c r="AB1897" s="92">
        <v>1.4570758409022378E-2</v>
      </c>
      <c r="AC1897" s="101">
        <v>1.4526534235503874E-2</v>
      </c>
    </row>
    <row r="1898" spans="25:29" x14ac:dyDescent="0.2">
      <c r="Y1898" s="105" t="str">
        <f t="shared" si="63"/>
        <v>1w</v>
      </c>
      <c r="Z1898" s="93">
        <f>_xll.qlCalendarAdvance(Calendar,Z1897,Y1898,"f",FALSE)</f>
        <v>52440</v>
      </c>
      <c r="AA1898" s="117">
        <f>_xll.qlCalendarAdvance(Calendar,Z1898,NDays&amp;"D")</f>
        <v>52442</v>
      </c>
      <c r="AB1898" s="92">
        <v>1.4569207671219653E-2</v>
      </c>
      <c r="AC1898" s="101">
        <v>1.4525965287015552E-2</v>
      </c>
    </row>
    <row r="1899" spans="25:29" x14ac:dyDescent="0.2">
      <c r="Y1899" s="105" t="str">
        <f t="shared" si="63"/>
        <v>1w</v>
      </c>
      <c r="Z1899" s="93">
        <f>_xll.qlCalendarAdvance(Calendar,Z1898,Y1899,"f",FALSE)</f>
        <v>52447</v>
      </c>
      <c r="AA1899" s="117">
        <f>_xll.qlCalendarAdvance(Calendar,Z1899,NDays&amp;"D")</f>
        <v>52449</v>
      </c>
      <c r="AB1899" s="92">
        <v>1.4568971785755842E-2</v>
      </c>
      <c r="AC1899" s="101">
        <v>1.4525373602634062E-2</v>
      </c>
    </row>
    <row r="1900" spans="25:29" x14ac:dyDescent="0.2">
      <c r="Y1900" s="105" t="str">
        <f t="shared" si="63"/>
        <v>1w</v>
      </c>
      <c r="Z1900" s="93">
        <f>_xll.qlCalendarAdvance(Calendar,Z1899,Y1900,"f",FALSE)</f>
        <v>52454</v>
      </c>
      <c r="AA1900" s="117">
        <f>_xll.qlCalendarAdvance(Calendar,Z1900,NDays&amp;"D")</f>
        <v>52456</v>
      </c>
      <c r="AB1900" s="92">
        <v>1.456804305204655E-2</v>
      </c>
      <c r="AC1900" s="101">
        <v>1.4524759131600007E-2</v>
      </c>
    </row>
    <row r="1901" spans="25:29" x14ac:dyDescent="0.2">
      <c r="Y1901" s="105" t="str">
        <f t="shared" si="63"/>
        <v>1w</v>
      </c>
      <c r="Z1901" s="93">
        <f>_xll.qlCalendarAdvance(Calendar,Z1900,Y1901,"f",FALSE)</f>
        <v>52461</v>
      </c>
      <c r="AA1901" s="117">
        <f>_xll.qlCalendarAdvance(Calendar,Z1901,NDays&amp;"D")</f>
        <v>52463</v>
      </c>
      <c r="AB1901" s="92">
        <v>1.4567090635559369E-2</v>
      </c>
      <c r="AC1901" s="101">
        <v>1.4524121823313862E-2</v>
      </c>
    </row>
    <row r="1902" spans="25:29" x14ac:dyDescent="0.2">
      <c r="Y1902" s="105" t="str">
        <f t="shared" si="63"/>
        <v>1w</v>
      </c>
      <c r="Z1902" s="93">
        <f>_xll.qlCalendarAdvance(Calendar,Z1901,Y1902,"f",FALSE)</f>
        <v>52468</v>
      </c>
      <c r="AA1902" s="117">
        <f>_xll.qlCalendarAdvance(Calendar,Z1902,NDays&amp;"D")</f>
        <v>52470</v>
      </c>
      <c r="AB1902" s="92">
        <v>1.4566114485248678E-2</v>
      </c>
      <c r="AC1902" s="101">
        <v>1.4523461627016232E-2</v>
      </c>
    </row>
    <row r="1903" spans="25:29" x14ac:dyDescent="0.2">
      <c r="Y1903" s="105" t="str">
        <f t="shared" si="63"/>
        <v>1w</v>
      </c>
      <c r="Z1903" s="93">
        <f>_xll.qlCalendarAdvance(Calendar,Z1902,Y1903,"f",FALSE)</f>
        <v>52475</v>
      </c>
      <c r="AA1903" s="117">
        <f>_xll.qlCalendarAdvance(Calendar,Z1903,NDays&amp;"D")</f>
        <v>52477</v>
      </c>
      <c r="AB1903" s="92">
        <v>1.4564256881125125E-2</v>
      </c>
      <c r="AC1903" s="101">
        <v>1.4522778492027655E-2</v>
      </c>
    </row>
    <row r="1904" spans="25:29" x14ac:dyDescent="0.2">
      <c r="Y1904" s="105" t="str">
        <f t="shared" si="63"/>
        <v>1w</v>
      </c>
      <c r="Z1904" s="93">
        <f>_xll.qlCalendarAdvance(Calendar,Z1903,Y1904,"f",FALSE)</f>
        <v>52482</v>
      </c>
      <c r="AA1904" s="117">
        <f>_xll.qlCalendarAdvance(Calendar,Z1904,NDays&amp;"D")</f>
        <v>52484</v>
      </c>
      <c r="AB1904" s="92">
        <v>1.4563240153362925E-2</v>
      </c>
      <c r="AC1904" s="101">
        <v>1.452207236766867E-2</v>
      </c>
    </row>
    <row r="1905" spans="25:29" x14ac:dyDescent="0.2">
      <c r="Y1905" s="105" t="str">
        <f t="shared" si="63"/>
        <v>1w</v>
      </c>
      <c r="Z1905" s="93">
        <f>_xll.qlCalendarAdvance(Calendar,Z1904,Y1905,"f",FALSE)</f>
        <v>52489</v>
      </c>
      <c r="AA1905" s="117">
        <f>_xll.qlCalendarAdvance(Calendar,Z1905,NDays&amp;"D")</f>
        <v>52491</v>
      </c>
      <c r="AB1905" s="92">
        <v>1.4562199557068077E-2</v>
      </c>
      <c r="AC1905" s="101">
        <v>1.4521343203179882E-2</v>
      </c>
    </row>
    <row r="1906" spans="25:29" x14ac:dyDescent="0.2">
      <c r="Y1906" s="105" t="str">
        <f t="shared" si="63"/>
        <v>1w</v>
      </c>
      <c r="Z1906" s="93">
        <f>_xll.qlCalendarAdvance(Calendar,Z1905,Y1906,"f",FALSE)</f>
        <v>52496</v>
      </c>
      <c r="AA1906" s="117">
        <f>_xll.qlCalendarAdvance(Calendar,Z1906,NDays&amp;"D")</f>
        <v>52498</v>
      </c>
      <c r="AB1906" s="92">
        <v>1.4561135041206683E-2</v>
      </c>
      <c r="AC1906" s="101">
        <v>1.4520590947961765E-2</v>
      </c>
    </row>
    <row r="1907" spans="25:29" x14ac:dyDescent="0.2">
      <c r="Y1907" s="105" t="str">
        <f t="shared" si="63"/>
        <v>1w</v>
      </c>
      <c r="Z1907" s="93">
        <f>_xll.qlCalendarAdvance(Calendar,Z1906,Y1907,"f",FALSE)</f>
        <v>52503</v>
      </c>
      <c r="AA1907" s="117">
        <f>_xll.qlCalendarAdvance(Calendar,Z1907,NDays&amp;"D")</f>
        <v>52505</v>
      </c>
      <c r="AB1907" s="92">
        <v>1.456025414822822E-2</v>
      </c>
      <c r="AC1907" s="101">
        <v>1.4519815551334858E-2</v>
      </c>
    </row>
    <row r="1908" spans="25:29" x14ac:dyDescent="0.2">
      <c r="Y1908" s="105" t="str">
        <f t="shared" si="63"/>
        <v>1w</v>
      </c>
      <c r="Z1908" s="93">
        <f>_xll.qlCalendarAdvance(Calendar,Z1907,Y1908,"f",FALSE)</f>
        <v>52510</v>
      </c>
      <c r="AA1908" s="117">
        <f>_xll.qlCalendarAdvance(Calendar,Z1908,NDays&amp;"D")</f>
        <v>52512</v>
      </c>
      <c r="AB1908" s="92">
        <v>1.4559139861605903E-2</v>
      </c>
      <c r="AC1908" s="101">
        <v>1.451901696245983E-2</v>
      </c>
    </row>
    <row r="1909" spans="25:29" x14ac:dyDescent="0.2">
      <c r="Y1909" s="105" t="str">
        <f t="shared" si="63"/>
        <v>1w</v>
      </c>
      <c r="Z1909" s="93">
        <f>_xll.qlCalendarAdvance(Calendar,Z1908,Y1909,"f",FALSE)</f>
        <v>52517</v>
      </c>
      <c r="AA1909" s="117">
        <f>_xll.qlCalendarAdvance(Calendar,Z1909,NDays&amp;"D")</f>
        <v>52519</v>
      </c>
      <c r="AB1909" s="92">
        <v>1.4558815966939885E-2</v>
      </c>
      <c r="AC1909" s="101">
        <v>1.4518195130657219E-2</v>
      </c>
    </row>
    <row r="1910" spans="25:29" x14ac:dyDescent="0.2">
      <c r="Y1910" s="105" t="str">
        <f t="shared" si="63"/>
        <v>1w</v>
      </c>
      <c r="Z1910" s="93">
        <f>_xll.qlCalendarAdvance(Calendar,Z1909,Y1910,"f",FALSE)</f>
        <v>52524</v>
      </c>
      <c r="AA1910" s="117">
        <f>_xll.qlCalendarAdvance(Calendar,Z1910,NDays&amp;"D")</f>
        <v>52526</v>
      </c>
      <c r="AB1910" s="92">
        <v>1.4556839005507033E-2</v>
      </c>
      <c r="AC1910" s="101">
        <v>1.4517350005247565E-2</v>
      </c>
    </row>
    <row r="1911" spans="25:29" x14ac:dyDescent="0.2">
      <c r="Y1911" s="105" t="str">
        <f t="shared" si="63"/>
        <v>1w</v>
      </c>
      <c r="Z1911" s="93">
        <f>_xll.qlCalendarAdvance(Calendar,Z1910,Y1911,"f",FALSE)</f>
        <v>52531</v>
      </c>
      <c r="AA1911" s="117">
        <f>_xll.qlCalendarAdvance(Calendar,Z1911,NDays&amp;"D")</f>
        <v>52533</v>
      </c>
      <c r="AB1911" s="92">
        <v>1.455565233396742E-2</v>
      </c>
      <c r="AC1911" s="101">
        <v>1.4516481535631343E-2</v>
      </c>
    </row>
    <row r="1912" spans="25:29" x14ac:dyDescent="0.2">
      <c r="Y1912" s="105" t="str">
        <f t="shared" si="63"/>
        <v>1w</v>
      </c>
      <c r="Z1912" s="93">
        <f>_xll.qlCalendarAdvance(Calendar,Z1911,Y1912,"f",FALSE)</f>
        <v>52538</v>
      </c>
      <c r="AA1912" s="117">
        <f>_xll.qlCalendarAdvance(Calendar,Z1912,NDays&amp;"D")</f>
        <v>52540</v>
      </c>
      <c r="AB1912" s="92">
        <v>1.4554242777360003E-2</v>
      </c>
      <c r="AC1912" s="101">
        <v>1.451558967096922E-2</v>
      </c>
    </row>
    <row r="1913" spans="25:29" x14ac:dyDescent="0.2">
      <c r="Y1913" s="105" t="str">
        <f t="shared" si="63"/>
        <v>1w</v>
      </c>
      <c r="Z1913" s="93">
        <f>_xll.qlCalendarAdvance(Calendar,Z1912,Y1913,"f",FALSE)</f>
        <v>52545</v>
      </c>
      <c r="AA1913" s="117">
        <f>_xll.qlCalendarAdvance(Calendar,Z1913,NDays&amp;"D")</f>
        <v>52547</v>
      </c>
      <c r="AB1913" s="92">
        <v>1.4553009395663449E-2</v>
      </c>
      <c r="AC1913" s="101">
        <v>1.4514674360741608E-2</v>
      </c>
    </row>
    <row r="1914" spans="25:29" x14ac:dyDescent="0.2">
      <c r="Y1914" s="105" t="str">
        <f t="shared" si="63"/>
        <v>1w</v>
      </c>
      <c r="Z1914" s="93">
        <f>_xll.qlCalendarAdvance(Calendar,Z1913,Y1914,"f",FALSE)</f>
        <v>52552</v>
      </c>
      <c r="AA1914" s="117">
        <f>_xll.qlCalendarAdvance(Calendar,Z1914,NDays&amp;"D")</f>
        <v>52554</v>
      </c>
      <c r="AB1914" s="92">
        <v>1.4551751686164264E-2</v>
      </c>
      <c r="AC1914" s="101">
        <v>1.4513735554029239E-2</v>
      </c>
    </row>
    <row r="1915" spans="25:29" x14ac:dyDescent="0.2">
      <c r="Y1915" s="105" t="str">
        <f t="shared" si="63"/>
        <v>1w</v>
      </c>
      <c r="Z1915" s="93">
        <f>_xll.qlCalendarAdvance(Calendar,Z1914,Y1915,"f",FALSE)</f>
        <v>52559</v>
      </c>
      <c r="AA1915" s="117">
        <f>_xll.qlCalendarAdvance(Calendar,Z1915,NDays&amp;"D")</f>
        <v>52561</v>
      </c>
      <c r="AB1915" s="92">
        <v>1.4550469597836893E-2</v>
      </c>
      <c r="AC1915" s="101">
        <v>1.4512773200152651E-2</v>
      </c>
    </row>
    <row r="1916" spans="25:29" x14ac:dyDescent="0.2">
      <c r="Y1916" s="105" t="str">
        <f t="shared" si="63"/>
        <v>1w</v>
      </c>
      <c r="Z1916" s="93">
        <f>_xll.qlCalendarAdvance(Calendar,Z1915,Y1916,"f",FALSE)</f>
        <v>52566</v>
      </c>
      <c r="AA1916" s="117">
        <f>_xll.qlCalendarAdvance(Calendar,Z1916,NDays&amp;"D")</f>
        <v>52568</v>
      </c>
      <c r="AB1916" s="92">
        <v>1.4549354500212159E-2</v>
      </c>
      <c r="AC1916" s="101">
        <v>1.4511787248672192E-2</v>
      </c>
    </row>
    <row r="1917" spans="25:29" x14ac:dyDescent="0.2">
      <c r="Y1917" s="105" t="str">
        <f t="shared" si="63"/>
        <v>1w</v>
      </c>
      <c r="Z1917" s="93">
        <f>_xll.qlCalendarAdvance(Calendar,Z1916,Y1917,"f",FALSE)</f>
        <v>52573</v>
      </c>
      <c r="AA1917" s="117">
        <f>_xll.qlCalendarAdvance(Calendar,Z1917,NDays&amp;"D")</f>
        <v>52575</v>
      </c>
      <c r="AB1917" s="92">
        <v>1.4548021681061812E-2</v>
      </c>
      <c r="AC1917" s="101">
        <v>1.4510777648508721E-2</v>
      </c>
    </row>
    <row r="1918" spans="25:29" x14ac:dyDescent="0.2">
      <c r="Y1918" s="105" t="str">
        <f t="shared" si="63"/>
        <v>1w</v>
      </c>
      <c r="Z1918" s="93">
        <f>_xll.qlCalendarAdvance(Calendar,Z1917,Y1918,"f",FALSE)</f>
        <v>52580</v>
      </c>
      <c r="AA1918" s="117">
        <f>_xll.qlCalendarAdvance(Calendar,Z1918,NDays&amp;"D")</f>
        <v>52582</v>
      </c>
      <c r="AB1918" s="92">
        <v>1.4546664325388269E-2</v>
      </c>
      <c r="AC1918" s="101">
        <v>1.4509744349222586E-2</v>
      </c>
    </row>
    <row r="1919" spans="25:29" x14ac:dyDescent="0.2">
      <c r="Y1919" s="105" t="str">
        <f t="shared" si="63"/>
        <v>1w</v>
      </c>
      <c r="Z1919" s="93">
        <f>_xll.qlCalendarAdvance(Calendar,Z1918,Y1919,"f",FALSE)</f>
        <v>52587</v>
      </c>
      <c r="AA1919" s="117">
        <f>_xll.qlCalendarAdvance(Calendar,Z1919,NDays&amp;"D")</f>
        <v>52589</v>
      </c>
      <c r="AB1919" s="92">
        <v>1.4545282382168302E-2</v>
      </c>
      <c r="AC1919" s="101">
        <v>1.4509334478625124E-2</v>
      </c>
    </row>
    <row r="1920" spans="25:29" x14ac:dyDescent="0.2">
      <c r="Y1920" s="105" t="str">
        <f t="shared" si="63"/>
        <v>1w</v>
      </c>
      <c r="Z1920" s="93">
        <f>_xll.qlCalendarAdvance(Calendar,Z1919,Y1920,"f",FALSE)</f>
        <v>52594</v>
      </c>
      <c r="AA1920" s="117">
        <f>_xll.qlCalendarAdvance(Calendar,Z1920,NDays&amp;"D")</f>
        <v>52596</v>
      </c>
      <c r="AB1920" s="92">
        <v>1.4543691687981983E-2</v>
      </c>
      <c r="AC1920" s="101">
        <v>1.4508248390265877E-2</v>
      </c>
    </row>
    <row r="1921" spans="25:29" x14ac:dyDescent="0.2">
      <c r="Y1921" s="105" t="str">
        <f t="shared" si="63"/>
        <v>1w</v>
      </c>
      <c r="Z1921" s="93">
        <f>_xll.qlCalendarAdvance(Calendar,Z1920,Y1921,"f",FALSE)</f>
        <v>52601</v>
      </c>
      <c r="AA1921" s="117">
        <f>_xll.qlCalendarAdvance(Calendar,Z1921,NDays&amp;"D")</f>
        <v>52603</v>
      </c>
      <c r="AB1921" s="92">
        <v>1.4542262255220813E-2</v>
      </c>
      <c r="AC1921" s="101">
        <v>1.4506501749433909E-2</v>
      </c>
    </row>
    <row r="1922" spans="25:29" x14ac:dyDescent="0.2">
      <c r="Y1922" s="105" t="str">
        <f t="shared" si="63"/>
        <v>1w</v>
      </c>
      <c r="Z1922" s="93">
        <f>_xll.qlCalendarAdvance(Calendar,Z1921,Y1922,"f",FALSE)</f>
        <v>52608</v>
      </c>
      <c r="AA1922" s="117">
        <f>_xll.qlCalendarAdvance(Calendar,Z1922,NDays&amp;"D")</f>
        <v>52610</v>
      </c>
      <c r="AB1922" s="92">
        <v>1.4540808086485937E-2</v>
      </c>
      <c r="AC1922" s="101">
        <v>1.4505373146382894E-2</v>
      </c>
    </row>
    <row r="1923" spans="25:29" x14ac:dyDescent="0.2">
      <c r="Y1923" s="105" t="str">
        <f t="shared" si="63"/>
        <v>1w</v>
      </c>
      <c r="Z1923" s="93">
        <f>_xll.qlCalendarAdvance(Calendar,Z1922,Y1923,"f",FALSE)</f>
        <v>52615</v>
      </c>
      <c r="AA1923" s="117">
        <f>_xll.qlCalendarAdvance(Calendar,Z1923,NDays&amp;"D")</f>
        <v>52617</v>
      </c>
      <c r="AB1923" s="92">
        <v>1.4539329130761017E-2</v>
      </c>
      <c r="AC1923" s="101">
        <v>1.4504220590811912E-2</v>
      </c>
    </row>
    <row r="1924" spans="25:29" x14ac:dyDescent="0.2">
      <c r="Y1924" s="105" t="str">
        <f t="shared" si="63"/>
        <v>1w</v>
      </c>
      <c r="Z1924" s="93">
        <f>_xll.qlCalendarAdvance(Calendar,Z1923,Y1924,"f",FALSE)</f>
        <v>52622</v>
      </c>
      <c r="AA1924" s="117">
        <f>_xll.qlCalendarAdvance(Calendar,Z1924,NDays&amp;"D")</f>
        <v>52624</v>
      </c>
      <c r="AB1924" s="92">
        <v>1.4537825337029719E-2</v>
      </c>
      <c r="AC1924" s="101">
        <v>1.4503044031721757E-2</v>
      </c>
    </row>
    <row r="1925" spans="25:29" x14ac:dyDescent="0.2">
      <c r="Y1925" s="105" t="str">
        <f t="shared" si="63"/>
        <v>1w</v>
      </c>
      <c r="Z1925" s="93">
        <f>_xll.qlCalendarAdvance(Calendar,Z1924,Y1925,"f",FALSE)</f>
        <v>52629</v>
      </c>
      <c r="AA1925" s="117">
        <f>_xll.qlCalendarAdvance(Calendar,Z1925,NDays&amp;"D")</f>
        <v>52631</v>
      </c>
      <c r="AB1925" s="92">
        <v>1.4536296654278346E-2</v>
      </c>
      <c r="AC1925" s="101">
        <v>1.4501843418592841E-2</v>
      </c>
    </row>
    <row r="1926" spans="25:29" x14ac:dyDescent="0.2">
      <c r="Y1926" s="105" t="str">
        <f t="shared" si="63"/>
        <v>1w</v>
      </c>
      <c r="Z1926" s="93">
        <f>_xll.qlCalendarAdvance(Calendar,Z1925,Y1926,"f",FALSE)</f>
        <v>52636</v>
      </c>
      <c r="AA1926" s="117">
        <f>_xll.qlCalendarAdvance(Calendar,Z1926,NDays&amp;"D")</f>
        <v>52638</v>
      </c>
      <c r="AB1926" s="92">
        <v>1.4534743031493639E-2</v>
      </c>
      <c r="AC1926" s="101">
        <v>1.4500618700665768E-2</v>
      </c>
    </row>
    <row r="1927" spans="25:29" x14ac:dyDescent="0.2">
      <c r="Y1927" s="105" t="str">
        <f t="shared" si="63"/>
        <v>1w</v>
      </c>
      <c r="Z1927" s="93">
        <f>_xll.qlCalendarAdvance(Calendar,Z1926,Y1927,"f",FALSE)</f>
        <v>52643</v>
      </c>
      <c r="AA1927" s="117">
        <f>_xll.qlCalendarAdvance(Calendar,Z1927,NDays&amp;"D")</f>
        <v>52645</v>
      </c>
      <c r="AB1927" s="92">
        <v>1.4533164417662335E-2</v>
      </c>
      <c r="AC1927" s="101">
        <v>1.4499369827181141E-2</v>
      </c>
    </row>
    <row r="1928" spans="25:29" x14ac:dyDescent="0.2">
      <c r="Y1928" s="105" t="str">
        <f t="shared" si="63"/>
        <v>1w</v>
      </c>
      <c r="Z1928" s="93">
        <f>_xll.qlCalendarAdvance(Calendar,Z1927,Y1928,"f",FALSE)</f>
        <v>52650</v>
      </c>
      <c r="AA1928" s="117">
        <f>_xll.qlCalendarAdvance(Calendar,Z1928,NDays&amp;"D")</f>
        <v>52652</v>
      </c>
      <c r="AB1928" s="92">
        <v>1.4531560761774252E-2</v>
      </c>
      <c r="AC1928" s="101">
        <v>1.4498096747699307E-2</v>
      </c>
    </row>
    <row r="1929" spans="25:29" x14ac:dyDescent="0.2">
      <c r="Y1929" s="105" t="str">
        <f t="shared" si="63"/>
        <v>1w</v>
      </c>
      <c r="Z1929" s="93">
        <f>_xll.qlCalendarAdvance(Calendar,Z1928,Y1929,"f",FALSE)</f>
        <v>52657</v>
      </c>
      <c r="AA1929" s="117">
        <f>_xll.qlCalendarAdvance(Calendar,Z1929,NDays&amp;"D")</f>
        <v>52659</v>
      </c>
      <c r="AB1929" s="92">
        <v>1.4530600550742808E-2</v>
      </c>
      <c r="AC1929" s="101">
        <v>1.4496799411141126E-2</v>
      </c>
    </row>
    <row r="1930" spans="25:29" x14ac:dyDescent="0.2">
      <c r="Y1930" s="105" t="str">
        <f t="shared" si="63"/>
        <v>1w</v>
      </c>
      <c r="Z1930" s="93">
        <f>_xll.qlCalendarAdvance(Calendar,Z1929,Y1930,"f",FALSE)</f>
        <v>52664</v>
      </c>
      <c r="AA1930" s="117">
        <f>_xll.qlCalendarAdvance(Calendar,Z1930,NDays&amp;"D")</f>
        <v>52666</v>
      </c>
      <c r="AB1930" s="92">
        <v>1.4528939133223118E-2</v>
      </c>
      <c r="AC1930" s="101">
        <v>1.449547776714688E-2</v>
      </c>
    </row>
    <row r="1931" spans="25:29" x14ac:dyDescent="0.2">
      <c r="Y1931" s="105" t="str">
        <f t="shared" si="63"/>
        <v>1w</v>
      </c>
      <c r="Z1931" s="93">
        <f>_xll.qlCalendarAdvance(Calendar,Z1930,Y1931,"f",FALSE)</f>
        <v>52671</v>
      </c>
      <c r="AA1931" s="117">
        <f>_xll.qlCalendarAdvance(Calendar,Z1931,NDays&amp;"D")</f>
        <v>52673</v>
      </c>
      <c r="AB1931" s="92">
        <v>1.4527252502021533E-2</v>
      </c>
      <c r="AC1931" s="101">
        <v>1.4494131764797302E-2</v>
      </c>
    </row>
    <row r="1932" spans="25:29" x14ac:dyDescent="0.2">
      <c r="Y1932" s="105" t="str">
        <f t="shared" si="63"/>
        <v>1w</v>
      </c>
      <c r="Z1932" s="93">
        <f>_xll.qlCalendarAdvance(Calendar,Z1931,Y1932,"f",FALSE)</f>
        <v>52678</v>
      </c>
      <c r="AA1932" s="117">
        <f>_xll.qlCalendarAdvance(Calendar,Z1932,NDays&amp;"D")</f>
        <v>52680</v>
      </c>
      <c r="AB1932" s="92">
        <v>1.4525540606126385E-2</v>
      </c>
      <c r="AC1932" s="101">
        <v>1.4492761353412931E-2</v>
      </c>
    </row>
    <row r="1933" spans="25:29" x14ac:dyDescent="0.2">
      <c r="Y1933" s="105" t="str">
        <f t="shared" si="63"/>
        <v>1w</v>
      </c>
      <c r="Z1933" s="93">
        <f>_xll.qlCalendarAdvance(Calendar,Z1932,Y1933,"f",FALSE)</f>
        <v>52685</v>
      </c>
      <c r="AA1933" s="117">
        <f>_xll.qlCalendarAdvance(Calendar,Z1933,NDays&amp;"D")</f>
        <v>52687</v>
      </c>
      <c r="AB1933" s="92">
        <v>1.4523324914641915E-2</v>
      </c>
      <c r="AC1933" s="101">
        <v>1.4491366482474177E-2</v>
      </c>
    </row>
    <row r="1934" spans="25:29" x14ac:dyDescent="0.2">
      <c r="Y1934" s="105" t="str">
        <f t="shared" si="63"/>
        <v>1w</v>
      </c>
      <c r="Z1934" s="93">
        <f>_xll.qlCalendarAdvance(Calendar,Z1933,Y1934,"f",FALSE)</f>
        <v>52692</v>
      </c>
      <c r="AA1934" s="117">
        <f>_xll.qlCalendarAdvance(Calendar,Z1934,NDays&amp;"D")</f>
        <v>52694</v>
      </c>
      <c r="AB1934" s="92">
        <v>1.4521568036252697E-2</v>
      </c>
      <c r="AC1934" s="101">
        <v>1.4489947100981837E-2</v>
      </c>
    </row>
    <row r="1935" spans="25:29" x14ac:dyDescent="0.2">
      <c r="Y1935" s="105" t="str">
        <f t="shared" si="63"/>
        <v>1w</v>
      </c>
      <c r="Z1935" s="93">
        <f>_xll.qlCalendarAdvance(Calendar,Z1934,Y1935,"f",FALSE)</f>
        <v>52699</v>
      </c>
      <c r="AA1935" s="117">
        <f>_xll.qlCalendarAdvance(Calendar,Z1935,NDays&amp;"D")</f>
        <v>52701</v>
      </c>
      <c r="AB1935" s="92">
        <v>1.4519785754104383E-2</v>
      </c>
      <c r="AC1935" s="101">
        <v>1.4489251766375943E-2</v>
      </c>
    </row>
    <row r="1936" spans="25:29" x14ac:dyDescent="0.2">
      <c r="Y1936" s="105" t="str">
        <f t="shared" si="63"/>
        <v>1w</v>
      </c>
      <c r="Z1936" s="93">
        <f>_xll.qlCalendarAdvance(Calendar,Z1935,Y1936,"f",FALSE)</f>
        <v>52706</v>
      </c>
      <c r="AA1936" s="117">
        <f>_xll.qlCalendarAdvance(Calendar,Z1936,NDays&amp;"D")</f>
        <v>52708</v>
      </c>
      <c r="AB1936" s="92">
        <v>1.45179780171934E-2</v>
      </c>
      <c r="AC1936" s="101">
        <v>1.4487034604258042E-2</v>
      </c>
    </row>
    <row r="1937" spans="25:29" x14ac:dyDescent="0.2">
      <c r="Y1937" s="105" t="str">
        <f t="shared" si="63"/>
        <v>1w</v>
      </c>
      <c r="Z1937" s="93">
        <f>_xll.qlCalendarAdvance(Calendar,Z1936,Y1937,"f",FALSE)</f>
        <v>52713</v>
      </c>
      <c r="AA1937" s="117">
        <f>_xll.qlCalendarAdvance(Calendar,Z1937,NDays&amp;"D")</f>
        <v>52715</v>
      </c>
      <c r="AB1937" s="92">
        <v>1.4516144774516612E-2</v>
      </c>
      <c r="AC1937" s="101">
        <v>1.4485541387507794E-2</v>
      </c>
    </row>
    <row r="1938" spans="25:29" x14ac:dyDescent="0.2">
      <c r="Y1938" s="105" t="str">
        <f t="shared" si="63"/>
        <v>1w</v>
      </c>
      <c r="Z1938" s="93">
        <f>_xll.qlCalendarAdvance(Calendar,Z1937,Y1938,"f",FALSE)</f>
        <v>52720</v>
      </c>
      <c r="AA1938" s="117">
        <f>_xll.qlCalendarAdvance(Calendar,Z1938,NDays&amp;"D")</f>
        <v>52722</v>
      </c>
      <c r="AB1938" s="92">
        <v>1.451473581558884E-2</v>
      </c>
      <c r="AC1938" s="101">
        <v>1.4484023457566053E-2</v>
      </c>
    </row>
    <row r="1939" spans="25:29" x14ac:dyDescent="0.2">
      <c r="Y1939" s="105" t="str">
        <f t="shared" si="63"/>
        <v>1w</v>
      </c>
      <c r="Z1939" s="93">
        <f>_xll.qlCalendarAdvance(Calendar,Z1938,Y1939,"f",FALSE)</f>
        <v>52727</v>
      </c>
      <c r="AA1939" s="117">
        <f>_xll.qlCalendarAdvance(Calendar,Z1939,NDays&amp;"D")</f>
        <v>52729</v>
      </c>
      <c r="AB1939" s="92">
        <v>1.4512845638564907E-2</v>
      </c>
      <c r="AC1939" s="101">
        <v>1.4482480763753358E-2</v>
      </c>
    </row>
    <row r="1940" spans="25:29" x14ac:dyDescent="0.2">
      <c r="Y1940" s="105" t="str">
        <f t="shared" si="63"/>
        <v>1w</v>
      </c>
      <c r="Z1940" s="93">
        <f>_xll.qlCalendarAdvance(Calendar,Z1939,Y1940,"f",FALSE)</f>
        <v>52734</v>
      </c>
      <c r="AA1940" s="117">
        <f>_xll.qlCalendarAdvance(Calendar,Z1940,NDays&amp;"D")</f>
        <v>52736</v>
      </c>
      <c r="AB1940" s="92">
        <v>1.4510929788782862E-2</v>
      </c>
      <c r="AC1940" s="101">
        <v>1.4480913255390249E-2</v>
      </c>
    </row>
    <row r="1941" spans="25:29" x14ac:dyDescent="0.2">
      <c r="Y1941" s="105" t="str">
        <f t="shared" ref="Y1941:Y2004" si="64">Y1940</f>
        <v>1w</v>
      </c>
      <c r="Z1941" s="93">
        <f>_xll.qlCalendarAdvance(Calendar,Z1940,Y1941,"f",FALSE)</f>
        <v>52741</v>
      </c>
      <c r="AA1941" s="117">
        <f>_xll.qlCalendarAdvance(Calendar,Z1941,NDays&amp;"D")</f>
        <v>52743</v>
      </c>
      <c r="AB1941" s="92">
        <v>1.450898821524178E-2</v>
      </c>
      <c r="AC1941" s="101">
        <v>1.4479320881717328E-2</v>
      </c>
    </row>
    <row r="1942" spans="25:29" x14ac:dyDescent="0.2">
      <c r="Y1942" s="105" t="str">
        <f t="shared" si="64"/>
        <v>1w</v>
      </c>
      <c r="Z1942" s="93">
        <f>_xll.qlCalendarAdvance(Calendar,Z1941,Y1942,"f",FALSE)</f>
        <v>52748</v>
      </c>
      <c r="AA1942" s="117">
        <f>_xll.qlCalendarAdvance(Calendar,Z1942,NDays&amp;"D")</f>
        <v>52750</v>
      </c>
      <c r="AB1942" s="92">
        <v>1.450659418964022E-2</v>
      </c>
      <c r="AC1942" s="101">
        <v>1.44777035919752E-2</v>
      </c>
    </row>
    <row r="1943" spans="25:29" x14ac:dyDescent="0.2">
      <c r="Y1943" s="105" t="str">
        <f t="shared" si="64"/>
        <v>1w</v>
      </c>
      <c r="Z1943" s="93">
        <f>_xll.qlCalendarAdvance(Calendar,Z1942,Y1943,"f",FALSE)</f>
        <v>52755</v>
      </c>
      <c r="AA1943" s="117">
        <f>_xll.qlCalendarAdvance(Calendar,Z1943,NDays&amp;"D")</f>
        <v>52757</v>
      </c>
      <c r="AB1943" s="92">
        <v>1.4504606841382238E-2</v>
      </c>
      <c r="AC1943" s="101">
        <v>1.4476061335644275E-2</v>
      </c>
    </row>
    <row r="1944" spans="25:29" x14ac:dyDescent="0.2">
      <c r="Y1944" s="105" t="str">
        <f t="shared" si="64"/>
        <v>1w</v>
      </c>
      <c r="Z1944" s="93">
        <f>_xll.qlCalendarAdvance(Calendar,Z1943,Y1944,"f",FALSE)</f>
        <v>52762</v>
      </c>
      <c r="AA1944" s="117">
        <f>_xll.qlCalendarAdvance(Calendar,Z1944,NDays&amp;"D")</f>
        <v>52764</v>
      </c>
      <c r="AB1944" s="92">
        <v>1.4502593630373628E-2</v>
      </c>
      <c r="AC1944" s="101">
        <v>1.4474394061965157E-2</v>
      </c>
    </row>
    <row r="1945" spans="25:29" x14ac:dyDescent="0.2">
      <c r="Y1945" s="105" t="str">
        <f t="shared" si="64"/>
        <v>1w</v>
      </c>
      <c r="Z1945" s="93">
        <f>_xll.qlCalendarAdvance(Calendar,Z1944,Y1945,"f",FALSE)</f>
        <v>52769</v>
      </c>
      <c r="AA1945" s="117">
        <f>_xll.qlCalendarAdvance(Calendar,Z1945,NDays&amp;"D")</f>
        <v>52771</v>
      </c>
      <c r="AB1945" s="92">
        <v>1.4500554505621734E-2</v>
      </c>
      <c r="AC1945" s="101">
        <v>1.4472701720098513E-2</v>
      </c>
    </row>
    <row r="1946" spans="25:29" x14ac:dyDescent="0.2">
      <c r="Y1946" s="105" t="str">
        <f t="shared" si="64"/>
        <v>1w</v>
      </c>
      <c r="Z1946" s="93">
        <f>_xll.qlCalendarAdvance(Calendar,Z1945,Y1946,"f",FALSE)</f>
        <v>52776</v>
      </c>
      <c r="AA1946" s="117">
        <f>_xll.qlCalendarAdvance(Calendar,Z1946,NDays&amp;"D")</f>
        <v>52778</v>
      </c>
      <c r="AB1946" s="92">
        <v>1.4498489416134344E-2</v>
      </c>
      <c r="AC1946" s="101">
        <v>1.4470984259444819E-2</v>
      </c>
    </row>
    <row r="1947" spans="25:29" x14ac:dyDescent="0.2">
      <c r="Y1947" s="105" t="str">
        <f t="shared" si="64"/>
        <v>1w</v>
      </c>
      <c r="Z1947" s="93">
        <f>_xll.qlCalendarAdvance(Calendar,Z1946,Y1947,"f",FALSE)</f>
        <v>52783</v>
      </c>
      <c r="AA1947" s="117">
        <f>_xll.qlCalendarAdvance(Calendar,Z1947,NDays&amp;"D")</f>
        <v>52785</v>
      </c>
      <c r="AB1947" s="92">
        <v>1.4496795719054918E-2</v>
      </c>
      <c r="AC1947" s="101">
        <v>1.4469241629484486E-2</v>
      </c>
    </row>
    <row r="1948" spans="25:29" x14ac:dyDescent="0.2">
      <c r="Y1948" s="105" t="str">
        <f t="shared" si="64"/>
        <v>1w</v>
      </c>
      <c r="Z1948" s="93">
        <f>_xll.qlCalendarAdvance(Calendar,Z1947,Y1948,"f",FALSE)</f>
        <v>52790</v>
      </c>
      <c r="AA1948" s="117">
        <f>_xll.qlCalendarAdvance(Calendar,Z1948,NDays&amp;"D")</f>
        <v>52792</v>
      </c>
      <c r="AB1948" s="92">
        <v>1.4494672651228859E-2</v>
      </c>
      <c r="AC1948" s="101">
        <v>1.4467473779218309E-2</v>
      </c>
    </row>
    <row r="1949" spans="25:29" x14ac:dyDescent="0.2">
      <c r="Y1949" s="105" t="str">
        <f t="shared" si="64"/>
        <v>1w</v>
      </c>
      <c r="Z1949" s="93">
        <f>_xll.qlCalendarAdvance(Calendar,Z1948,Y1949,"f",FALSE)</f>
        <v>52797</v>
      </c>
      <c r="AA1949" s="117">
        <f>_xll.qlCalendarAdvance(Calendar,Z1949,NDays&amp;"D")</f>
        <v>52799</v>
      </c>
      <c r="AB1949" s="92">
        <v>1.4492523451667743E-2</v>
      </c>
      <c r="AC1949" s="101">
        <v>1.4465680658046765E-2</v>
      </c>
    </row>
    <row r="1950" spans="25:29" x14ac:dyDescent="0.2">
      <c r="Y1950" s="105" t="str">
        <f t="shared" si="64"/>
        <v>1w</v>
      </c>
      <c r="Z1950" s="93">
        <f>_xll.qlCalendarAdvance(Calendar,Z1949,Y1950,"f",FALSE)</f>
        <v>52804</v>
      </c>
      <c r="AA1950" s="117">
        <f>_xll.qlCalendarAdvance(Calendar,Z1950,NDays&amp;"D")</f>
        <v>52806</v>
      </c>
      <c r="AB1950" s="92">
        <v>1.4490348069380104E-2</v>
      </c>
      <c r="AC1950" s="101">
        <v>1.4463862215290391E-2</v>
      </c>
    </row>
    <row r="1951" spans="25:29" x14ac:dyDescent="0.2">
      <c r="Y1951" s="105" t="str">
        <f t="shared" si="64"/>
        <v>1w</v>
      </c>
      <c r="Z1951" s="93">
        <f>_xll.qlCalendarAdvance(Calendar,Z1950,Y1951,"f",FALSE)</f>
        <v>52811</v>
      </c>
      <c r="AA1951" s="117">
        <f>_xll.qlCalendarAdvance(Calendar,Z1951,NDays&amp;"D")</f>
        <v>52813</v>
      </c>
      <c r="AB1951" s="92">
        <v>1.4488146453376191E-2</v>
      </c>
      <c r="AC1951" s="101">
        <v>1.4462018400269727E-2</v>
      </c>
    </row>
    <row r="1952" spans="25:29" x14ac:dyDescent="0.2">
      <c r="Y1952" s="105" t="str">
        <f t="shared" si="64"/>
        <v>1w</v>
      </c>
      <c r="Z1952" s="93">
        <f>_xll.qlCalendarAdvance(Calendar,Z1951,Y1952,"f",FALSE)</f>
        <v>52818</v>
      </c>
      <c r="AA1952" s="117">
        <f>_xll.qlCalendarAdvance(Calendar,Z1952,NDays&amp;"D")</f>
        <v>52820</v>
      </c>
      <c r="AB1952" s="92">
        <v>1.4485918552667112E-2</v>
      </c>
      <c r="AC1952" s="101">
        <v>1.4460149162305314E-2</v>
      </c>
    </row>
    <row r="1953" spans="25:29" x14ac:dyDescent="0.2">
      <c r="Y1953" s="105" t="str">
        <f t="shared" si="64"/>
        <v>1w</v>
      </c>
      <c r="Z1953" s="93">
        <f>_xll.qlCalendarAdvance(Calendar,Z1952,Y1953,"f",FALSE)</f>
        <v>52825</v>
      </c>
      <c r="AA1953" s="117">
        <f>_xll.qlCalendarAdvance(Calendar,Z1953,NDays&amp;"D")</f>
        <v>52827</v>
      </c>
      <c r="AB1953" s="92">
        <v>1.4483664316264837E-2</v>
      </c>
      <c r="AC1953" s="101">
        <v>1.4458254450557817E-2</v>
      </c>
    </row>
    <row r="1954" spans="25:29" x14ac:dyDescent="0.2">
      <c r="Y1954" s="105" t="str">
        <f t="shared" si="64"/>
        <v>1w</v>
      </c>
      <c r="Z1954" s="93">
        <f>_xll.qlCalendarAdvance(Calendar,Z1953,Y1954,"f",FALSE)</f>
        <v>52832</v>
      </c>
      <c r="AA1954" s="117">
        <f>_xll.qlCalendarAdvance(Calendar,Z1954,NDays&amp;"D")</f>
        <v>52834</v>
      </c>
      <c r="AB1954" s="92">
        <v>1.4481383693184774E-2</v>
      </c>
      <c r="AC1954" s="101">
        <v>1.4456334214507649E-2</v>
      </c>
    </row>
    <row r="1955" spans="25:29" x14ac:dyDescent="0.2">
      <c r="Y1955" s="105" t="str">
        <f t="shared" si="64"/>
        <v>1w</v>
      </c>
      <c r="Z1955" s="93">
        <f>_xll.qlCalendarAdvance(Calendar,Z1954,Y1955,"f",FALSE)</f>
        <v>52839</v>
      </c>
      <c r="AA1955" s="117">
        <f>_xll.qlCalendarAdvance(Calendar,Z1955,NDays&amp;"D")</f>
        <v>52841</v>
      </c>
      <c r="AB1955" s="92">
        <v>1.4478492610087041E-2</v>
      </c>
      <c r="AC1955" s="101">
        <v>1.4454388403475349E-2</v>
      </c>
    </row>
    <row r="1956" spans="25:29" x14ac:dyDescent="0.2">
      <c r="Y1956" s="105" t="str">
        <f t="shared" si="64"/>
        <v>1w</v>
      </c>
      <c r="Z1956" s="93">
        <f>_xll.qlCalendarAdvance(Calendar,Z1955,Y1956,"f",FALSE)</f>
        <v>52846</v>
      </c>
      <c r="AA1956" s="117">
        <f>_xll.qlCalendarAdvance(Calendar,Z1956,NDays&amp;"D")</f>
        <v>52848</v>
      </c>
      <c r="AB1956" s="92">
        <v>1.4476169071987437E-2</v>
      </c>
      <c r="AC1956" s="101">
        <v>1.4452416966541648E-2</v>
      </c>
    </row>
    <row r="1957" spans="25:29" x14ac:dyDescent="0.2">
      <c r="Y1957" s="105" t="str">
        <f t="shared" si="64"/>
        <v>1w</v>
      </c>
      <c r="Z1957" s="93">
        <f>_xll.qlCalendarAdvance(Calendar,Z1956,Y1957,"f",FALSE)</f>
        <v>52853</v>
      </c>
      <c r="AA1957" s="117">
        <f>_xll.qlCalendarAdvance(Calendar,Z1957,NDays&amp;"D")</f>
        <v>52855</v>
      </c>
      <c r="AB1957" s="92">
        <v>1.4473819017703667E-2</v>
      </c>
      <c r="AC1957" s="101">
        <v>1.4450419853186958E-2</v>
      </c>
    </row>
    <row r="1958" spans="25:29" x14ac:dyDescent="0.2">
      <c r="Y1958" s="105" t="str">
        <f t="shared" si="64"/>
        <v>1w</v>
      </c>
      <c r="Z1958" s="93">
        <f>_xll.qlCalendarAdvance(Calendar,Z1957,Y1958,"f",FALSE)</f>
        <v>52860</v>
      </c>
      <c r="AA1958" s="117">
        <f>_xll.qlCalendarAdvance(Calendar,Z1958,NDays&amp;"D")</f>
        <v>52862</v>
      </c>
      <c r="AB1958" s="92">
        <v>1.4471442396260817E-2</v>
      </c>
      <c r="AC1958" s="101">
        <v>1.4448397012571945E-2</v>
      </c>
    </row>
    <row r="1959" spans="25:29" x14ac:dyDescent="0.2">
      <c r="Y1959" s="105" t="str">
        <f t="shared" si="64"/>
        <v>1w</v>
      </c>
      <c r="Z1959" s="93">
        <f>_xll.qlCalendarAdvance(Calendar,Z1958,Y1959,"f",FALSE)</f>
        <v>52867</v>
      </c>
      <c r="AA1959" s="117">
        <f>_xll.qlCalendarAdvance(Calendar,Z1959,NDays&amp;"D")</f>
        <v>52869</v>
      </c>
      <c r="AB1959" s="92">
        <v>1.4469039156687504E-2</v>
      </c>
      <c r="AC1959" s="101">
        <v>1.4446348394097086E-2</v>
      </c>
    </row>
    <row r="1960" spans="25:29" x14ac:dyDescent="0.2">
      <c r="Y1960" s="105" t="str">
        <f t="shared" si="64"/>
        <v>1w</v>
      </c>
      <c r="Z1960" s="93">
        <f>_xll.qlCalendarAdvance(Calendar,Z1959,Y1960,"f",FALSE)</f>
        <v>52874</v>
      </c>
      <c r="AA1960" s="117">
        <f>_xll.qlCalendarAdvance(Calendar,Z1960,NDays&amp;"D")</f>
        <v>52876</v>
      </c>
      <c r="AB1960" s="92">
        <v>1.4466716376341629E-2</v>
      </c>
      <c r="AC1960" s="101">
        <v>1.444427394708292E-2</v>
      </c>
    </row>
    <row r="1961" spans="25:29" x14ac:dyDescent="0.2">
      <c r="Y1961" s="105" t="str">
        <f t="shared" si="64"/>
        <v>1w</v>
      </c>
      <c r="Z1961" s="93">
        <f>_xll.qlCalendarAdvance(Calendar,Z1960,Y1961,"f",FALSE)</f>
        <v>52881</v>
      </c>
      <c r="AA1961" s="117">
        <f>_xll.qlCalendarAdvance(Calendar,Z1961,NDays&amp;"D")</f>
        <v>52883</v>
      </c>
      <c r="AB1961" s="92">
        <v>1.4464257722882344E-2</v>
      </c>
      <c r="AC1961" s="101">
        <v>1.4442173620770049E-2</v>
      </c>
    </row>
    <row r="1962" spans="25:29" x14ac:dyDescent="0.2">
      <c r="Y1962" s="105" t="str">
        <f t="shared" si="64"/>
        <v>1w</v>
      </c>
      <c r="Z1962" s="93">
        <f>_xll.qlCalendarAdvance(Calendar,Z1961,Y1962,"f",FALSE)</f>
        <v>52888</v>
      </c>
      <c r="AA1962" s="117">
        <f>_xll.qlCalendarAdvance(Calendar,Z1962,NDays&amp;"D")</f>
        <v>52890</v>
      </c>
      <c r="AB1962" s="92">
        <v>1.4461772293687581E-2</v>
      </c>
      <c r="AC1962" s="101">
        <v>1.4440047364479014E-2</v>
      </c>
    </row>
    <row r="1963" spans="25:29" x14ac:dyDescent="0.2">
      <c r="Y1963" s="105" t="str">
        <f t="shared" si="64"/>
        <v>1w</v>
      </c>
      <c r="Z1963" s="93">
        <f>_xll.qlCalendarAdvance(Calendar,Z1962,Y1963,"f",FALSE)</f>
        <v>52895</v>
      </c>
      <c r="AA1963" s="117">
        <f>_xll.qlCalendarAdvance(Calendar,Z1963,NDays&amp;"D")</f>
        <v>52897</v>
      </c>
      <c r="AB1963" s="92">
        <v>1.4459260037788005E-2</v>
      </c>
      <c r="AC1963" s="101">
        <v>1.4437895127530354E-2</v>
      </c>
    </row>
    <row r="1964" spans="25:29" x14ac:dyDescent="0.2">
      <c r="Y1964" s="105" t="str">
        <f t="shared" si="64"/>
        <v>1w</v>
      </c>
      <c r="Z1964" s="93">
        <f>_xll.qlCalendarAdvance(Calendar,Z1963,Y1964,"f",FALSE)</f>
        <v>52902</v>
      </c>
      <c r="AA1964" s="117">
        <f>_xll.qlCalendarAdvance(Calendar,Z1964,NDays&amp;"D")</f>
        <v>52904</v>
      </c>
      <c r="AB1964" s="92">
        <v>1.4456621902912461E-2</v>
      </c>
      <c r="AC1964" s="101">
        <v>1.4435716859244607E-2</v>
      </c>
    </row>
    <row r="1965" spans="25:29" x14ac:dyDescent="0.2">
      <c r="Y1965" s="105" t="str">
        <f t="shared" si="64"/>
        <v>1w</v>
      </c>
      <c r="Z1965" s="93">
        <f>_xll.qlCalendarAdvance(Calendar,Z1964,Y1965,"f",FALSE)</f>
        <v>52909</v>
      </c>
      <c r="AA1965" s="117">
        <f>_xll.qlCalendarAdvance(Calendar,Z1965,NDays&amp;"D")</f>
        <v>52911</v>
      </c>
      <c r="AB1965" s="92">
        <v>1.445405788420682E-2</v>
      </c>
      <c r="AC1965" s="101">
        <v>1.4433512508862378E-2</v>
      </c>
    </row>
    <row r="1966" spans="25:29" x14ac:dyDescent="0.2">
      <c r="Y1966" s="105" t="str">
        <f t="shared" si="64"/>
        <v>1w</v>
      </c>
      <c r="Z1966" s="93">
        <f>_xll.qlCalendarAdvance(Calendar,Z1965,Y1966,"f",FALSE)</f>
        <v>52916</v>
      </c>
      <c r="AA1966" s="117">
        <f>_xll.qlCalendarAdvance(Calendar,Z1966,NDays&amp;"D")</f>
        <v>52918</v>
      </c>
      <c r="AB1966" s="92">
        <v>1.4451466895046582E-2</v>
      </c>
      <c r="AC1966" s="101">
        <v>1.443128202562427E-2</v>
      </c>
    </row>
    <row r="1967" spans="25:29" x14ac:dyDescent="0.2">
      <c r="Y1967" s="105" t="str">
        <f t="shared" si="64"/>
        <v>1w</v>
      </c>
      <c r="Z1967" s="93">
        <f>_xll.qlCalendarAdvance(Calendar,Z1966,Y1967,"f",FALSE)</f>
        <v>52923</v>
      </c>
      <c r="AA1967" s="117">
        <f>_xll.qlCalendarAdvance(Calendar,Z1967,NDays&amp;"D")</f>
        <v>52925</v>
      </c>
      <c r="AB1967" s="92">
        <v>1.444884927664521E-2</v>
      </c>
      <c r="AC1967" s="101">
        <v>1.4429025359010694E-2</v>
      </c>
    </row>
    <row r="1968" spans="25:29" x14ac:dyDescent="0.2">
      <c r="Y1968" s="105" t="str">
        <f t="shared" si="64"/>
        <v>1w</v>
      </c>
      <c r="Z1968" s="93">
        <f>_xll.qlCalendarAdvance(Calendar,Z1967,Y1968,"f",FALSE)</f>
        <v>52930</v>
      </c>
      <c r="AA1968" s="117">
        <f>_xll.qlCalendarAdvance(Calendar,Z1968,NDays&amp;"D")</f>
        <v>52932</v>
      </c>
      <c r="AB1968" s="92">
        <v>1.4446297293911026E-2</v>
      </c>
      <c r="AC1968" s="101">
        <v>1.4426742458102382E-2</v>
      </c>
    </row>
    <row r="1969" spans="25:29" x14ac:dyDescent="0.2">
      <c r="Y1969" s="105" t="str">
        <f t="shared" si="64"/>
        <v>1w</v>
      </c>
      <c r="Z1969" s="93">
        <f>_xll.qlCalendarAdvance(Calendar,Z1968,Y1969,"f",FALSE)</f>
        <v>52937</v>
      </c>
      <c r="AA1969" s="117">
        <f>_xll.qlCalendarAdvance(Calendar,Z1969,NDays&amp;"D")</f>
        <v>52939</v>
      </c>
      <c r="AB1969" s="92">
        <v>1.4443627945793095E-2</v>
      </c>
      <c r="AC1969" s="101">
        <v>1.4424433272379744E-2</v>
      </c>
    </row>
    <row r="1970" spans="25:29" x14ac:dyDescent="0.2">
      <c r="Y1970" s="105" t="str">
        <f t="shared" si="64"/>
        <v>1w</v>
      </c>
      <c r="Z1970" s="93">
        <f>_xll.qlCalendarAdvance(Calendar,Z1969,Y1970,"f",FALSE)</f>
        <v>52944</v>
      </c>
      <c r="AA1970" s="117">
        <f>_xll.qlCalendarAdvance(Calendar,Z1970,NDays&amp;"D")</f>
        <v>52946</v>
      </c>
      <c r="AB1970" s="92">
        <v>1.4440935331896412E-2</v>
      </c>
      <c r="AC1970" s="101">
        <v>1.4422097751083385E-2</v>
      </c>
    </row>
    <row r="1971" spans="25:29" x14ac:dyDescent="0.2">
      <c r="Y1971" s="105" t="str">
        <f t="shared" si="64"/>
        <v>1w</v>
      </c>
      <c r="Z1971" s="93">
        <f>_xll.qlCalendarAdvance(Calendar,Z1970,Y1971,"f",FALSE)</f>
        <v>52951</v>
      </c>
      <c r="AA1971" s="117">
        <f>_xll.qlCalendarAdvance(Calendar,Z1971,NDays&amp;"D")</f>
        <v>52953</v>
      </c>
      <c r="AB1971" s="92">
        <v>1.4438220550267463E-2</v>
      </c>
      <c r="AC1971" s="101">
        <v>1.4419735843613779E-2</v>
      </c>
    </row>
    <row r="1972" spans="25:29" x14ac:dyDescent="0.2">
      <c r="Y1972" s="105" t="str">
        <f t="shared" si="64"/>
        <v>1w</v>
      </c>
      <c r="Z1972" s="93">
        <f>_xll.qlCalendarAdvance(Calendar,Z1971,Y1972,"f",FALSE)</f>
        <v>52958</v>
      </c>
      <c r="AA1972" s="117">
        <f>_xll.qlCalendarAdvance(Calendar,Z1972,NDays&amp;"D")</f>
        <v>52960</v>
      </c>
      <c r="AB1972" s="92">
        <v>1.4435484701853714E-2</v>
      </c>
      <c r="AC1972" s="101">
        <v>1.4417347498971722E-2</v>
      </c>
    </row>
    <row r="1973" spans="25:29" x14ac:dyDescent="0.2">
      <c r="Y1973" s="105" t="str">
        <f t="shared" si="64"/>
        <v>1w</v>
      </c>
      <c r="Z1973" s="93">
        <f>_xll.qlCalendarAdvance(Calendar,Z1972,Y1973,"f",FALSE)</f>
        <v>52965</v>
      </c>
      <c r="AA1973" s="117">
        <f>_xll.qlCalendarAdvance(Calendar,Z1973,NDays&amp;"D")</f>
        <v>52967</v>
      </c>
      <c r="AB1973" s="92">
        <v>1.4432644428164667E-2</v>
      </c>
      <c r="AC1973" s="101">
        <v>1.4414932666797498E-2</v>
      </c>
    </row>
    <row r="1974" spans="25:29" x14ac:dyDescent="0.2">
      <c r="Y1974" s="105" t="str">
        <f t="shared" si="64"/>
        <v>1w</v>
      </c>
      <c r="Z1974" s="93">
        <f>_xll.qlCalendarAdvance(Calendar,Z1973,Y1974,"f",FALSE)</f>
        <v>52972</v>
      </c>
      <c r="AA1974" s="117">
        <f>_xll.qlCalendarAdvance(Calendar,Z1974,NDays&amp;"D")</f>
        <v>52974</v>
      </c>
      <c r="AB1974" s="92">
        <v>1.4429870747395846E-2</v>
      </c>
      <c r="AC1974" s="101">
        <v>1.44124912960919E-2</v>
      </c>
    </row>
    <row r="1975" spans="25:29" x14ac:dyDescent="0.2">
      <c r="Y1975" s="105" t="str">
        <f t="shared" si="64"/>
        <v>1w</v>
      </c>
      <c r="Z1975" s="93">
        <f>_xll.qlCalendarAdvance(Calendar,Z1974,Y1975,"f",FALSE)</f>
        <v>52979</v>
      </c>
      <c r="AA1975" s="117">
        <f>_xll.qlCalendarAdvance(Calendar,Z1975,NDays&amp;"D")</f>
        <v>52981</v>
      </c>
      <c r="AB1975" s="92">
        <v>1.4427079211073968E-2</v>
      </c>
      <c r="AC1975" s="101">
        <v>1.4410023336495215E-2</v>
      </c>
    </row>
    <row r="1976" spans="25:29" x14ac:dyDescent="0.2">
      <c r="Y1976" s="105" t="str">
        <f t="shared" si="64"/>
        <v>1w</v>
      </c>
      <c r="Z1976" s="93">
        <f>_xll.qlCalendarAdvance(Calendar,Z1975,Y1976,"f",FALSE)</f>
        <v>52986</v>
      </c>
      <c r="AA1976" s="117">
        <f>_xll.qlCalendarAdvance(Calendar,Z1976,NDays&amp;"D")</f>
        <v>52988</v>
      </c>
      <c r="AB1976" s="92">
        <v>1.442427093771558E-2</v>
      </c>
      <c r="AC1976" s="101">
        <v>1.4407528737008235E-2</v>
      </c>
    </row>
    <row r="1977" spans="25:29" x14ac:dyDescent="0.2">
      <c r="Y1977" s="105" t="str">
        <f t="shared" si="64"/>
        <v>1w</v>
      </c>
      <c r="Z1977" s="93">
        <f>_xll.qlCalendarAdvance(Calendar,Z1976,Y1977,"f",FALSE)</f>
        <v>52993</v>
      </c>
      <c r="AA1977" s="117">
        <f>_xll.qlCalendarAdvance(Calendar,Z1977,NDays&amp;"D")</f>
        <v>52995</v>
      </c>
      <c r="AB1977" s="92">
        <v>1.442144704875733E-2</v>
      </c>
      <c r="AC1977" s="101">
        <v>1.4405007447191309E-2</v>
      </c>
    </row>
    <row r="1978" spans="25:29" x14ac:dyDescent="0.2">
      <c r="Y1978" s="105" t="str">
        <f t="shared" si="64"/>
        <v>1w</v>
      </c>
      <c r="Z1978" s="93">
        <f>_xll.qlCalendarAdvance(Calendar,Z1977,Y1978,"f",FALSE)</f>
        <v>53000</v>
      </c>
      <c r="AA1978" s="117">
        <f>_xll.qlCalendarAdvance(Calendar,Z1978,NDays&amp;"D")</f>
        <v>53002</v>
      </c>
      <c r="AB1978" s="92">
        <v>1.4418608668549774E-2</v>
      </c>
      <c r="AC1978" s="101">
        <v>1.4402459416045232E-2</v>
      </c>
    </row>
    <row r="1979" spans="25:29" x14ac:dyDescent="0.2">
      <c r="Y1979" s="105" t="str">
        <f t="shared" si="64"/>
        <v>1w</v>
      </c>
      <c r="Z1979" s="93">
        <f>_xll.qlCalendarAdvance(Calendar,Z1978,Y1979,"f",FALSE)</f>
        <v>53007</v>
      </c>
      <c r="AA1979" s="117">
        <f>_xll.qlCalendarAdvance(Calendar,Z1979,NDays&amp;"D")</f>
        <v>53009</v>
      </c>
      <c r="AB1979" s="92">
        <v>1.4415756924360916E-2</v>
      </c>
      <c r="AC1979" s="101">
        <v>1.4399884593050416E-2</v>
      </c>
    </row>
    <row r="1980" spans="25:29" x14ac:dyDescent="0.2">
      <c r="Y1980" s="105" t="str">
        <f t="shared" si="64"/>
        <v>1w</v>
      </c>
      <c r="Z1980" s="93">
        <f>_xll.qlCalendarAdvance(Calendar,Z1979,Y1980,"f",FALSE)</f>
        <v>53014</v>
      </c>
      <c r="AA1980" s="117">
        <f>_xll.qlCalendarAdvance(Calendar,Z1980,NDays&amp;"D")</f>
        <v>53016</v>
      </c>
      <c r="AB1980" s="92">
        <v>1.4412892946374878E-2</v>
      </c>
      <c r="AC1980" s="101">
        <v>1.4397282927527399E-2</v>
      </c>
    </row>
    <row r="1981" spans="25:29" x14ac:dyDescent="0.2">
      <c r="Y1981" s="105" t="str">
        <f t="shared" si="64"/>
        <v>1w</v>
      </c>
      <c r="Z1981" s="93">
        <f>_xll.qlCalendarAdvance(Calendar,Z1980,Y1981,"f",FALSE)</f>
        <v>53021</v>
      </c>
      <c r="AA1981" s="117">
        <f>_xll.qlCalendarAdvance(Calendar,Z1981,NDays&amp;"D")</f>
        <v>53023</v>
      </c>
      <c r="AB1981" s="92">
        <v>1.4410414218122494E-2</v>
      </c>
      <c r="AC1981" s="101">
        <v>1.4394654368796722E-2</v>
      </c>
    </row>
    <row r="1982" spans="25:29" x14ac:dyDescent="0.2">
      <c r="Y1982" s="105" t="str">
        <f t="shared" si="64"/>
        <v>1w</v>
      </c>
      <c r="Z1982" s="93">
        <f>_xll.qlCalendarAdvance(Calendar,Z1981,Y1982,"f",FALSE)</f>
        <v>53028</v>
      </c>
      <c r="AA1982" s="117">
        <f>_xll.qlCalendarAdvance(Calendar,Z1982,NDays&amp;"D")</f>
        <v>53030</v>
      </c>
      <c r="AB1982" s="92">
        <v>1.4407527797493531E-2</v>
      </c>
      <c r="AC1982" s="101">
        <v>1.4391998866019051E-2</v>
      </c>
    </row>
    <row r="1983" spans="25:29" x14ac:dyDescent="0.2">
      <c r="Y1983" s="105" t="str">
        <f t="shared" si="64"/>
        <v>1w</v>
      </c>
      <c r="Z1983" s="93">
        <f>_xll.qlCalendarAdvance(Calendar,Z1982,Y1983,"f",FALSE)</f>
        <v>53035</v>
      </c>
      <c r="AA1983" s="117">
        <f>_xll.qlCalendarAdvance(Calendar,Z1983,NDays&amp;"D")</f>
        <v>53037</v>
      </c>
      <c r="AB1983" s="92">
        <v>1.4404632848984661E-2</v>
      </c>
      <c r="AC1983" s="101">
        <v>1.4389316368514926E-2</v>
      </c>
    </row>
    <row r="1984" spans="25:29" x14ac:dyDescent="0.2">
      <c r="Y1984" s="105" t="str">
        <f t="shared" si="64"/>
        <v>1w</v>
      </c>
      <c r="Z1984" s="93">
        <f>_xll.qlCalendarAdvance(Calendar,Z1983,Y1984,"f",FALSE)</f>
        <v>53042</v>
      </c>
      <c r="AA1984" s="117">
        <f>_xll.qlCalendarAdvance(Calendar,Z1984,NDays&amp;"D")</f>
        <v>53044</v>
      </c>
      <c r="AB1984" s="92">
        <v>1.4401730484631937E-2</v>
      </c>
      <c r="AC1984" s="101">
        <v>1.4386606825764758E-2</v>
      </c>
    </row>
    <row r="1985" spans="25:29" x14ac:dyDescent="0.2">
      <c r="Y1985" s="105" t="str">
        <f t="shared" si="64"/>
        <v>1w</v>
      </c>
      <c r="Z1985" s="93">
        <f>_xll.qlCalendarAdvance(Calendar,Z1984,Y1985,"f",FALSE)</f>
        <v>53049</v>
      </c>
      <c r="AA1985" s="117">
        <f>_xll.qlCalendarAdvance(Calendar,Z1985,NDays&amp;"D")</f>
        <v>53051</v>
      </c>
      <c r="AB1985" s="92">
        <v>1.4398586304845168E-2</v>
      </c>
      <c r="AC1985" s="101">
        <v>1.4383870186769343E-2</v>
      </c>
    </row>
    <row r="1986" spans="25:29" x14ac:dyDescent="0.2">
      <c r="Y1986" s="105" t="str">
        <f t="shared" si="64"/>
        <v>1w</v>
      </c>
      <c r="Z1986" s="93">
        <f>_xll.qlCalendarAdvance(Calendar,Z1985,Y1986,"f",FALSE)</f>
        <v>53056</v>
      </c>
      <c r="AA1986" s="117">
        <f>_xll.qlCalendarAdvance(Calendar,Z1986,NDays&amp;"D")</f>
        <v>53058</v>
      </c>
      <c r="AB1986" s="92">
        <v>1.439567267103925E-2</v>
      </c>
      <c r="AC1986" s="101">
        <v>1.4381460097393273E-2</v>
      </c>
    </row>
    <row r="1987" spans="25:29" x14ac:dyDescent="0.2">
      <c r="Y1987" s="105" t="str">
        <f t="shared" si="64"/>
        <v>1w</v>
      </c>
      <c r="Z1987" s="93">
        <f>_xll.qlCalendarAdvance(Calendar,Z1986,Y1987,"f",FALSE)</f>
        <v>53063</v>
      </c>
      <c r="AA1987" s="117">
        <f>_xll.qlCalendarAdvance(Calendar,Z1987,NDays&amp;"D")</f>
        <v>53065</v>
      </c>
      <c r="AB1987" s="92">
        <v>1.4392754868739151E-2</v>
      </c>
      <c r="AC1987" s="101">
        <v>1.4378315418124288E-2</v>
      </c>
    </row>
    <row r="1988" spans="25:29" x14ac:dyDescent="0.2">
      <c r="Y1988" s="105" t="str">
        <f t="shared" si="64"/>
        <v>1w</v>
      </c>
      <c r="Z1988" s="93">
        <f>_xll.qlCalendarAdvance(Calendar,Z1987,Y1988,"f",FALSE)</f>
        <v>53070</v>
      </c>
      <c r="AA1988" s="117">
        <f>_xll.qlCalendarAdvance(Calendar,Z1988,NDays&amp;"D")</f>
        <v>53072</v>
      </c>
      <c r="AB1988" s="92">
        <v>1.4389834039208561E-2</v>
      </c>
      <c r="AC1988" s="101">
        <v>1.4375497186716046E-2</v>
      </c>
    </row>
    <row r="1989" spans="25:29" x14ac:dyDescent="0.2">
      <c r="Y1989" s="105" t="str">
        <f t="shared" si="64"/>
        <v>1w</v>
      </c>
      <c r="Z1989" s="93">
        <f>_xll.qlCalendarAdvance(Calendar,Z1988,Y1989,"f",FALSE)</f>
        <v>53077</v>
      </c>
      <c r="AA1989" s="117">
        <f>_xll.qlCalendarAdvance(Calendar,Z1989,NDays&amp;"D")</f>
        <v>53079</v>
      </c>
      <c r="AB1989" s="92">
        <v>1.4386911326596303E-2</v>
      </c>
      <c r="AC1989" s="101">
        <v>1.4372651656584523E-2</v>
      </c>
    </row>
    <row r="1990" spans="25:29" x14ac:dyDescent="0.2">
      <c r="Y1990" s="105" t="str">
        <f t="shared" si="64"/>
        <v>1w</v>
      </c>
      <c r="Z1990" s="93">
        <f>_xll.qlCalendarAdvance(Calendar,Z1989,Y1990,"f",FALSE)</f>
        <v>53084</v>
      </c>
      <c r="AA1990" s="117">
        <f>_xll.qlCalendarAdvance(Calendar,Z1990,NDays&amp;"D")</f>
        <v>53086</v>
      </c>
      <c r="AB1990" s="92">
        <v>1.4384223197249973E-2</v>
      </c>
      <c r="AC1990" s="101">
        <v>1.4369778776890385E-2</v>
      </c>
    </row>
    <row r="1991" spans="25:29" x14ac:dyDescent="0.2">
      <c r="Y1991" s="105" t="str">
        <f t="shared" si="64"/>
        <v>1w</v>
      </c>
      <c r="Z1991" s="93">
        <f>_xll.qlCalendarAdvance(Calendar,Z1990,Y1991,"f",FALSE)</f>
        <v>53091</v>
      </c>
      <c r="AA1991" s="117">
        <f>_xll.qlCalendarAdvance(Calendar,Z1991,NDays&amp;"D")</f>
        <v>53093</v>
      </c>
      <c r="AB1991" s="92">
        <v>1.4381300297315843E-2</v>
      </c>
      <c r="AC1991" s="101">
        <v>1.4366878496954172E-2</v>
      </c>
    </row>
    <row r="1992" spans="25:29" x14ac:dyDescent="0.2">
      <c r="Y1992" s="105" t="str">
        <f t="shared" si="64"/>
        <v>1w</v>
      </c>
      <c r="Z1992" s="93">
        <f>_xll.qlCalendarAdvance(Calendar,Z1991,Y1992,"f",FALSE)</f>
        <v>53098</v>
      </c>
      <c r="AA1992" s="117">
        <f>_xll.qlCalendarAdvance(Calendar,Z1992,NDays&amp;"D")</f>
        <v>53100</v>
      </c>
      <c r="AB1992" s="92">
        <v>1.4378378965359716E-2</v>
      </c>
      <c r="AC1992" s="101">
        <v>1.4363954463059159E-2</v>
      </c>
    </row>
    <row r="1993" spans="25:29" x14ac:dyDescent="0.2">
      <c r="Y1993" s="105" t="str">
        <f t="shared" si="64"/>
        <v>1w</v>
      </c>
      <c r="Z1993" s="93">
        <f>_xll.qlCalendarAdvance(Calendar,Z1992,Y1993,"f",FALSE)</f>
        <v>53105</v>
      </c>
      <c r="AA1993" s="117">
        <f>_xll.qlCalendarAdvance(Calendar,Z1993,NDays&amp;"D")</f>
        <v>53107</v>
      </c>
      <c r="AB1993" s="92">
        <v>1.4375459841341511E-2</v>
      </c>
      <c r="AC1993" s="101">
        <v>1.4361028635638817E-2</v>
      </c>
    </row>
    <row r="1994" spans="25:29" x14ac:dyDescent="0.2">
      <c r="Y1994" s="105" t="str">
        <f t="shared" si="64"/>
        <v>1w</v>
      </c>
      <c r="Z1994" s="93">
        <f>_xll.qlCalendarAdvance(Calendar,Z1993,Y1994,"f",FALSE)</f>
        <v>53112</v>
      </c>
      <c r="AA1994" s="117">
        <f>_xll.qlCalendarAdvance(Calendar,Z1994,NDays&amp;"D")</f>
        <v>53114</v>
      </c>
      <c r="AB1994" s="92">
        <v>1.4372307059212247E-2</v>
      </c>
      <c r="AC1994" s="101">
        <v>1.4358104732838939E-2</v>
      </c>
    </row>
    <row r="1995" spans="25:29" x14ac:dyDescent="0.2">
      <c r="Y1995" s="105" t="str">
        <f t="shared" si="64"/>
        <v>1w</v>
      </c>
      <c r="Z1995" s="93">
        <f>_xll.qlCalendarAdvance(Calendar,Z1994,Y1995,"f",FALSE)</f>
        <v>53119</v>
      </c>
      <c r="AA1995" s="117">
        <f>_xll.qlCalendarAdvance(Calendar,Z1995,NDays&amp;"D")</f>
        <v>53121</v>
      </c>
      <c r="AB1995" s="92">
        <v>1.4369392325410171E-2</v>
      </c>
      <c r="AC1995" s="101">
        <v>1.4355182779119957E-2</v>
      </c>
    </row>
    <row r="1996" spans="25:29" x14ac:dyDescent="0.2">
      <c r="Y1996" s="105" t="str">
        <f t="shared" si="64"/>
        <v>1w</v>
      </c>
      <c r="Z1996" s="93">
        <f>_xll.qlCalendarAdvance(Calendar,Z1995,Y1996,"f",FALSE)</f>
        <v>53126</v>
      </c>
      <c r="AA1996" s="117">
        <f>_xll.qlCalendarAdvance(Calendar,Z1996,NDays&amp;"D")</f>
        <v>53128</v>
      </c>
      <c r="AB1996" s="92">
        <v>1.4366479902042779E-2</v>
      </c>
      <c r="AC1996" s="101">
        <v>1.4352262798622561E-2</v>
      </c>
    </row>
    <row r="1997" spans="25:29" x14ac:dyDescent="0.2">
      <c r="Y1997" s="105" t="str">
        <f t="shared" si="64"/>
        <v>1w</v>
      </c>
      <c r="Z1997" s="93">
        <f>_xll.qlCalendarAdvance(Calendar,Z1996,Y1997,"f",FALSE)</f>
        <v>53133</v>
      </c>
      <c r="AA1997" s="117">
        <f>_xll.qlCalendarAdvance(Calendar,Z1997,NDays&amp;"D")</f>
        <v>53135</v>
      </c>
      <c r="AB1997" s="92">
        <v>1.4363569813602392E-2</v>
      </c>
      <c r="AC1997" s="101">
        <v>1.4349344815807186E-2</v>
      </c>
    </row>
    <row r="1998" spans="25:29" x14ac:dyDescent="0.2">
      <c r="Y1998" s="105" t="str">
        <f t="shared" si="64"/>
        <v>1w</v>
      </c>
      <c r="Z1998" s="93">
        <f>_xll.qlCalendarAdvance(Calendar,Z1997,Y1998,"f",FALSE)</f>
        <v>53140</v>
      </c>
      <c r="AA1998" s="117">
        <f>_xll.qlCalendarAdvance(Calendar,Z1998,NDays&amp;"D")</f>
        <v>53142</v>
      </c>
      <c r="AB1998" s="92">
        <v>1.4360662084580023E-2</v>
      </c>
      <c r="AC1998" s="101">
        <v>1.4346428854894455E-2</v>
      </c>
    </row>
    <row r="1999" spans="25:29" x14ac:dyDescent="0.2">
      <c r="Y1999" s="105" t="str">
        <f t="shared" si="64"/>
        <v>1w</v>
      </c>
      <c r="Z1999" s="93">
        <f>_xll.qlCalendarAdvance(Calendar,Z1998,Y1999,"f",FALSE)</f>
        <v>53147</v>
      </c>
      <c r="AA1999" s="117">
        <f>_xll.qlCalendarAdvance(Calendar,Z1999,NDays&amp;"D")</f>
        <v>53149</v>
      </c>
      <c r="AB1999" s="92">
        <v>1.4357993562378574E-2</v>
      </c>
      <c r="AC1999" s="101">
        <v>1.4343514940344804E-2</v>
      </c>
    </row>
    <row r="2000" spans="25:29" x14ac:dyDescent="0.2">
      <c r="Y2000" s="105" t="str">
        <f t="shared" si="64"/>
        <v>1w</v>
      </c>
      <c r="Z2000" s="93">
        <f>_xll.qlCalendarAdvance(Calendar,Z1999,Y2000,"f",FALSE)</f>
        <v>53154</v>
      </c>
      <c r="AA2000" s="117">
        <f>_xll.qlCalendarAdvance(Calendar,Z2000,NDays&amp;"D")</f>
        <v>53156</v>
      </c>
      <c r="AB2000" s="92">
        <v>1.4355090822026403E-2</v>
      </c>
      <c r="AC2000" s="101">
        <v>1.4340603096298921E-2</v>
      </c>
    </row>
    <row r="2001" spans="25:29" x14ac:dyDescent="0.2">
      <c r="Y2001" s="105" t="str">
        <f t="shared" si="64"/>
        <v>1w</v>
      </c>
      <c r="Z2001" s="93">
        <f>_xll.qlCalendarAdvance(Calendar,Z2000,Y2001,"f",FALSE)</f>
        <v>53161</v>
      </c>
      <c r="AA2001" s="117">
        <f>_xll.qlCalendarAdvance(Calendar,Z2001,NDays&amp;"D")</f>
        <v>53163</v>
      </c>
      <c r="AB2001" s="92">
        <v>1.4352190520176106E-2</v>
      </c>
      <c r="AC2001" s="101">
        <v>1.4337693347377112E-2</v>
      </c>
    </row>
    <row r="2002" spans="25:29" x14ac:dyDescent="0.2">
      <c r="Y2002" s="105" t="str">
        <f t="shared" si="64"/>
        <v>1w</v>
      </c>
      <c r="Z2002" s="93">
        <f>_xll.qlCalendarAdvance(Calendar,Z2001,Y2002,"f",FALSE)</f>
        <v>53168</v>
      </c>
      <c r="AA2002" s="117">
        <f>_xll.qlCalendarAdvance(Calendar,Z2002,NDays&amp;"D")</f>
        <v>53170</v>
      </c>
      <c r="AB2002" s="92">
        <v>1.4349292681320349E-2</v>
      </c>
      <c r="AC2002" s="101">
        <v>1.4334785717640131E-2</v>
      </c>
    </row>
    <row r="2003" spans="25:29" x14ac:dyDescent="0.2">
      <c r="Y2003" s="105" t="str">
        <f t="shared" si="64"/>
        <v>1w</v>
      </c>
      <c r="Z2003" s="93">
        <f>_xll.qlCalendarAdvance(Calendar,Z2002,Y2003,"f",FALSE)</f>
        <v>53175</v>
      </c>
      <c r="AA2003" s="117">
        <f>_xll.qlCalendarAdvance(Calendar,Z2003,NDays&amp;"D")</f>
        <v>53177</v>
      </c>
      <c r="AB2003" s="92">
        <v>1.4346397329953946E-2</v>
      </c>
      <c r="AC2003" s="101">
        <v>1.4331880231388539E-2</v>
      </c>
    </row>
    <row r="2004" spans="25:29" x14ac:dyDescent="0.2">
      <c r="Y2004" s="105" t="str">
        <f t="shared" si="64"/>
        <v>1w</v>
      </c>
      <c r="Z2004" s="93">
        <f>_xll.qlCalendarAdvance(Calendar,Z2003,Y2004,"f",FALSE)</f>
        <v>53182</v>
      </c>
      <c r="AA2004" s="117">
        <f>_xll.qlCalendarAdvance(Calendar,Z2004,NDays&amp;"D")</f>
        <v>53184</v>
      </c>
      <c r="AB2004" s="92">
        <v>1.4343504490569993E-2</v>
      </c>
      <c r="AC2004" s="101">
        <v>1.4328976913162705E-2</v>
      </c>
    </row>
    <row r="2005" spans="25:29" x14ac:dyDescent="0.2">
      <c r="Y2005" s="105" t="str">
        <f t="shared" ref="Y2005:Y2068" si="65">Y2004</f>
        <v>1w</v>
      </c>
      <c r="Z2005" s="93">
        <f>_xll.qlCalendarAdvance(Calendar,Z2004,Y2005,"f",FALSE)</f>
        <v>53189</v>
      </c>
      <c r="AA2005" s="117">
        <f>_xll.qlCalendarAdvance(Calendar,Z2005,NDays&amp;"D")</f>
        <v>53191</v>
      </c>
      <c r="AB2005" s="92">
        <v>1.4340614187662875E-2</v>
      </c>
      <c r="AC2005" s="101">
        <v>1.4326075787103321E-2</v>
      </c>
    </row>
    <row r="2006" spans="25:29" x14ac:dyDescent="0.2">
      <c r="Y2006" s="105" t="str">
        <f t="shared" si="65"/>
        <v>1w</v>
      </c>
      <c r="Z2006" s="93">
        <f>_xll.qlCalendarAdvance(Calendar,Z2005,Y2006,"f",FALSE)</f>
        <v>53196</v>
      </c>
      <c r="AA2006" s="117">
        <f>_xll.qlCalendarAdvance(Calendar,Z2006,NDays&amp;"D")</f>
        <v>53198</v>
      </c>
      <c r="AB2006" s="92">
        <v>1.4337726445725688E-2</v>
      </c>
      <c r="AC2006" s="101">
        <v>1.4323176877670818E-2</v>
      </c>
    </row>
    <row r="2007" spans="25:29" x14ac:dyDescent="0.2">
      <c r="Y2007" s="105" t="str">
        <f t="shared" si="65"/>
        <v>1w</v>
      </c>
      <c r="Z2007" s="93">
        <f>_xll.qlCalendarAdvance(Calendar,Z2006,Y2007,"f",FALSE)</f>
        <v>53203</v>
      </c>
      <c r="AA2007" s="117">
        <f>_xll.qlCalendarAdvance(Calendar,Z2007,NDays&amp;"D")</f>
        <v>53205</v>
      </c>
      <c r="AB2007" s="92">
        <v>1.4334443754605887E-2</v>
      </c>
      <c r="AC2007" s="101">
        <v>1.4320280209085823E-2</v>
      </c>
    </row>
    <row r="2008" spans="25:29" x14ac:dyDescent="0.2">
      <c r="Y2008" s="105" t="str">
        <f t="shared" si="65"/>
        <v>1w</v>
      </c>
      <c r="Z2008" s="93">
        <f>_xll.qlCalendarAdvance(Calendar,Z2007,Y2008,"f",FALSE)</f>
        <v>53210</v>
      </c>
      <c r="AA2008" s="117">
        <f>_xll.qlCalendarAdvance(Calendar,Z2008,NDays&amp;"D")</f>
        <v>53212</v>
      </c>
      <c r="AB2008" s="92">
        <v>1.4331560806823509E-2</v>
      </c>
      <c r="AC2008" s="101">
        <v>1.4317385805728833E-2</v>
      </c>
    </row>
    <row r="2009" spans="25:29" x14ac:dyDescent="0.2">
      <c r="Y2009" s="105" t="str">
        <f t="shared" si="65"/>
        <v>1w</v>
      </c>
      <c r="Z2009" s="93">
        <f>_xll.qlCalendarAdvance(Calendar,Z2008,Y2009,"f",FALSE)</f>
        <v>53217</v>
      </c>
      <c r="AA2009" s="117">
        <f>_xll.qlCalendarAdvance(Calendar,Z2009,NDays&amp;"D")</f>
        <v>53219</v>
      </c>
      <c r="AB2009" s="92">
        <v>1.4328680484109027E-2</v>
      </c>
      <c r="AC2009" s="101">
        <v>1.4314493691980346E-2</v>
      </c>
    </row>
    <row r="2010" spans="25:29" x14ac:dyDescent="0.2">
      <c r="Y2010" s="105" t="str">
        <f t="shared" si="65"/>
        <v>1w</v>
      </c>
      <c r="Z2010" s="93">
        <f>_xll.qlCalendarAdvance(Calendar,Z2009,Y2010,"f",FALSE)</f>
        <v>53224</v>
      </c>
      <c r="AA2010" s="117">
        <f>_xll.qlCalendarAdvance(Calendar,Z2010,NDays&amp;"D")</f>
        <v>53226</v>
      </c>
      <c r="AB2010" s="92">
        <v>1.4325802810948491E-2</v>
      </c>
      <c r="AC2010" s="101">
        <v>1.4311603891981051E-2</v>
      </c>
    </row>
    <row r="2011" spans="25:29" x14ac:dyDescent="0.2">
      <c r="Y2011" s="105" t="str">
        <f t="shared" si="65"/>
        <v>1w</v>
      </c>
      <c r="Z2011" s="93">
        <f>_xll.qlCalendarAdvance(Calendar,Z2010,Y2011,"f",FALSE)</f>
        <v>53231</v>
      </c>
      <c r="AA2011" s="117">
        <f>_xll.qlCalendarAdvance(Calendar,Z2011,NDays&amp;"D")</f>
        <v>53233</v>
      </c>
      <c r="AB2011" s="92">
        <v>1.4322927811831485E-2</v>
      </c>
      <c r="AC2011" s="101">
        <v>1.4308716430191382E-2</v>
      </c>
    </row>
    <row r="2012" spans="25:29" x14ac:dyDescent="0.2">
      <c r="Y2012" s="105" t="str">
        <f t="shared" si="65"/>
        <v>1w</v>
      </c>
      <c r="Z2012" s="93">
        <f>_xll.qlCalendarAdvance(Calendar,Z2011,Y2012,"f",FALSE)</f>
        <v>53238</v>
      </c>
      <c r="AA2012" s="117">
        <f>_xll.qlCalendarAdvance(Calendar,Z2012,NDays&amp;"D")</f>
        <v>53240</v>
      </c>
      <c r="AB2012" s="92">
        <v>1.4320135416299272E-2</v>
      </c>
      <c r="AC2012" s="101">
        <v>1.43058313309119E-2</v>
      </c>
    </row>
    <row r="2013" spans="25:29" x14ac:dyDescent="0.2">
      <c r="Y2013" s="105" t="str">
        <f t="shared" si="65"/>
        <v>1w</v>
      </c>
      <c r="Z2013" s="93">
        <f>_xll.qlCalendarAdvance(Calendar,Z2012,Y2013,"f",FALSE)</f>
        <v>53245</v>
      </c>
      <c r="AA2013" s="117">
        <f>_xll.qlCalendarAdvance(Calendar,Z2013,NDays&amp;"D")</f>
        <v>53247</v>
      </c>
      <c r="AB2013" s="92">
        <v>1.4317265928014924E-2</v>
      </c>
      <c r="AC2013" s="101">
        <v>1.4302948618682976E-2</v>
      </c>
    </row>
    <row r="2014" spans="25:29" x14ac:dyDescent="0.2">
      <c r="Y2014" s="105" t="str">
        <f t="shared" si="65"/>
        <v>1w</v>
      </c>
      <c r="Z2014" s="93">
        <f>_xll.qlCalendarAdvance(Calendar,Z2013,Y2014,"f",FALSE)</f>
        <v>53252</v>
      </c>
      <c r="AA2014" s="117">
        <f>_xll.qlCalendarAdvance(Calendar,Z2014,NDays&amp;"D")</f>
        <v>53254</v>
      </c>
      <c r="AB2014" s="92">
        <v>1.4314399189118107E-2</v>
      </c>
      <c r="AC2014" s="101">
        <v>1.430006831740549E-2</v>
      </c>
    </row>
    <row r="2015" spans="25:29" x14ac:dyDescent="0.2">
      <c r="Y2015" s="105" t="str">
        <f t="shared" si="65"/>
        <v>1w</v>
      </c>
      <c r="Z2015" s="93">
        <f>_xll.qlCalendarAdvance(Calendar,Z2014,Y2015,"f",FALSE)</f>
        <v>53259</v>
      </c>
      <c r="AA2015" s="117">
        <f>_xll.qlCalendarAdvance(Calendar,Z2015,NDays&amp;"D")</f>
        <v>53261</v>
      </c>
      <c r="AB2015" s="92">
        <v>1.4311535224098683E-2</v>
      </c>
      <c r="AC2015" s="101">
        <v>1.4297190451699748E-2</v>
      </c>
    </row>
    <row r="2016" spans="25:29" x14ac:dyDescent="0.2">
      <c r="Y2016" s="105" t="str">
        <f t="shared" si="65"/>
        <v>1w</v>
      </c>
      <c r="Z2016" s="93">
        <f>_xll.qlCalendarAdvance(Calendar,Z2015,Y2016,"f",FALSE)</f>
        <v>53266</v>
      </c>
      <c r="AA2016" s="117">
        <f>_xll.qlCalendarAdvance(Calendar,Z2016,NDays&amp;"D")</f>
        <v>53268</v>
      </c>
      <c r="AB2016" s="92">
        <v>1.4308593783975105E-2</v>
      </c>
      <c r="AC2016" s="101">
        <v>1.4294315045706441E-2</v>
      </c>
    </row>
    <row r="2017" spans="25:29" x14ac:dyDescent="0.2">
      <c r="Y2017" s="105" t="str">
        <f t="shared" si="65"/>
        <v>1w</v>
      </c>
      <c r="Z2017" s="93">
        <f>_xll.qlCalendarAdvance(Calendar,Z2016,Y2017,"f",FALSE)</f>
        <v>53273</v>
      </c>
      <c r="AA2017" s="117">
        <f>_xll.qlCalendarAdvance(Calendar,Z2017,NDays&amp;"D")</f>
        <v>53275</v>
      </c>
      <c r="AB2017" s="92">
        <v>1.4305735343363825E-2</v>
      </c>
      <c r="AC2017" s="101">
        <v>1.4291442124045872E-2</v>
      </c>
    </row>
    <row r="2018" spans="25:29" x14ac:dyDescent="0.2">
      <c r="Y2018" s="105" t="str">
        <f t="shared" si="65"/>
        <v>1w</v>
      </c>
      <c r="Z2018" s="93">
        <f>_xll.qlCalendarAdvance(Calendar,Z2017,Y2018,"f",FALSE)</f>
        <v>53280</v>
      </c>
      <c r="AA2018" s="117">
        <f>_xll.qlCalendarAdvance(Calendar,Z2018,NDays&amp;"D")</f>
        <v>53282</v>
      </c>
      <c r="AB2018" s="92">
        <v>1.4302879748209894E-2</v>
      </c>
      <c r="AC2018" s="101">
        <v>1.4288571710698861E-2</v>
      </c>
    </row>
    <row r="2019" spans="25:29" x14ac:dyDescent="0.2">
      <c r="Y2019" s="105" t="str">
        <f t="shared" si="65"/>
        <v>1w</v>
      </c>
      <c r="Z2019" s="93">
        <f>_xll.qlCalendarAdvance(Calendar,Z2018,Y2019,"f",FALSE)</f>
        <v>53287</v>
      </c>
      <c r="AA2019" s="117">
        <f>_xll.qlCalendarAdvance(Calendar,Z2019,NDays&amp;"D")</f>
        <v>53289</v>
      </c>
      <c r="AB2019" s="92">
        <v>1.430002702300113E-2</v>
      </c>
      <c r="AC2019" s="101">
        <v>1.4285703830285712E-2</v>
      </c>
    </row>
    <row r="2020" spans="25:29" x14ac:dyDescent="0.2">
      <c r="Y2020" s="105" t="str">
        <f t="shared" si="65"/>
        <v>1w</v>
      </c>
      <c r="Z2020" s="93">
        <f>_xll.qlCalendarAdvance(Calendar,Z2019,Y2020,"f",FALSE)</f>
        <v>53294</v>
      </c>
      <c r="AA2020" s="117">
        <f>_xll.qlCalendarAdvance(Calendar,Z2020,NDays&amp;"D")</f>
        <v>53296</v>
      </c>
      <c r="AB2020" s="92">
        <v>1.4297257864239476E-2</v>
      </c>
      <c r="AC2020" s="101">
        <v>1.4282838506947115E-2</v>
      </c>
    </row>
    <row r="2021" spans="25:29" x14ac:dyDescent="0.2">
      <c r="Y2021" s="105" t="str">
        <f t="shared" si="65"/>
        <v>1w</v>
      </c>
      <c r="Z2021" s="93">
        <f>_xll.qlCalendarAdvance(Calendar,Z2020,Y2021,"f",FALSE)</f>
        <v>53301</v>
      </c>
      <c r="AA2021" s="117">
        <f>_xll.qlCalendarAdvance(Calendar,Z2021,NDays&amp;"D")</f>
        <v>53303</v>
      </c>
      <c r="AB2021" s="92">
        <v>1.4294411056733262E-2</v>
      </c>
      <c r="AC2021" s="101">
        <v>1.4279975764983632E-2</v>
      </c>
    </row>
    <row r="2022" spans="25:29" x14ac:dyDescent="0.2">
      <c r="Y2022" s="105" t="str">
        <f t="shared" si="65"/>
        <v>1w</v>
      </c>
      <c r="Z2022" s="93">
        <f>_xll.qlCalendarAdvance(Calendar,Z2021,Y2022,"f",FALSE)</f>
        <v>53308</v>
      </c>
      <c r="AA2022" s="117">
        <f>_xll.qlCalendarAdvance(Calendar,Z2022,NDays&amp;"D")</f>
        <v>53310</v>
      </c>
      <c r="AB2022" s="92">
        <v>1.429156719452029E-2</v>
      </c>
      <c r="AC2022" s="101">
        <v>1.4277115628855697E-2</v>
      </c>
    </row>
    <row r="2023" spans="25:29" x14ac:dyDescent="0.2">
      <c r="Y2023" s="105" t="str">
        <f t="shared" si="65"/>
        <v>1w</v>
      </c>
      <c r="Z2023" s="93">
        <f>_xll.qlCalendarAdvance(Calendar,Z2022,Y2023,"f",FALSE)</f>
        <v>53315</v>
      </c>
      <c r="AA2023" s="117">
        <f>_xll.qlCalendarAdvance(Calendar,Z2023,NDays&amp;"D")</f>
        <v>53317</v>
      </c>
      <c r="AB2023" s="92">
        <v>1.4288726302088221E-2</v>
      </c>
      <c r="AC2023" s="101">
        <v>1.4274258122703998E-2</v>
      </c>
    </row>
    <row r="2024" spans="25:29" x14ac:dyDescent="0.2">
      <c r="Y2024" s="105" t="str">
        <f t="shared" si="65"/>
        <v>1w</v>
      </c>
      <c r="Z2024" s="93">
        <f>_xll.qlCalendarAdvance(Calendar,Z2023,Y2024,"f",FALSE)</f>
        <v>53323</v>
      </c>
      <c r="AA2024" s="117">
        <f>_xll.qlCalendarAdvance(Calendar,Z2024,NDays&amp;"D")</f>
        <v>53325</v>
      </c>
      <c r="AB2024" s="92">
        <v>1.428548323576021E-2</v>
      </c>
      <c r="AC2024" s="101">
        <v>1.4271232902050013E-2</v>
      </c>
    </row>
    <row r="2025" spans="25:29" x14ac:dyDescent="0.2">
      <c r="Y2025" s="105" t="str">
        <f t="shared" si="65"/>
        <v>1w</v>
      </c>
      <c r="Z2025" s="93">
        <f>_xll.qlCalendarAdvance(Calendar,Z2024,Y2025,"f",FALSE)</f>
        <v>53330</v>
      </c>
      <c r="AA2025" s="117">
        <f>_xll.qlCalendarAdvance(Calendar,Z2025,NDays&amp;"D")</f>
        <v>53332</v>
      </c>
      <c r="AB2025" s="92">
        <v>1.428256756079453E-2</v>
      </c>
      <c r="AC2025" s="101">
        <v>1.4268302180617809E-2</v>
      </c>
    </row>
    <row r="2026" spans="25:29" x14ac:dyDescent="0.2">
      <c r="Y2026" s="105" t="str">
        <f t="shared" si="65"/>
        <v>1w</v>
      </c>
      <c r="Z2026" s="93">
        <f>_xll.qlCalendarAdvance(Calendar,Z2025,Y2026,"f",FALSE)</f>
        <v>53337</v>
      </c>
      <c r="AA2026" s="117">
        <f>_xll.qlCalendarAdvance(Calendar,Z2026,NDays&amp;"D")</f>
        <v>53339</v>
      </c>
      <c r="AB2026" s="92">
        <v>1.4279736047306764E-2</v>
      </c>
      <c r="AC2026" s="101">
        <v>1.4265453261943506E-2</v>
      </c>
    </row>
    <row r="2027" spans="25:29" x14ac:dyDescent="0.2">
      <c r="Y2027" s="105" t="str">
        <f t="shared" si="65"/>
        <v>1w</v>
      </c>
      <c r="Z2027" s="93">
        <f>_xll.qlCalendarAdvance(Calendar,Z2026,Y2027,"f",FALSE)</f>
        <v>53344</v>
      </c>
      <c r="AA2027" s="117">
        <f>_xll.qlCalendarAdvance(Calendar,Z2027,NDays&amp;"D")</f>
        <v>53346</v>
      </c>
      <c r="AB2027" s="92">
        <v>1.4276907603155165E-2</v>
      </c>
      <c r="AC2027" s="101">
        <v>1.4262607077908385E-2</v>
      </c>
    </row>
    <row r="2028" spans="25:29" x14ac:dyDescent="0.2">
      <c r="Y2028" s="105" t="str">
        <f t="shared" si="65"/>
        <v>1w</v>
      </c>
      <c r="Z2028" s="93">
        <f>_xll.qlCalendarAdvance(Calendar,Z2027,Y2028,"f",FALSE)</f>
        <v>53351</v>
      </c>
      <c r="AA2028" s="117">
        <f>_xll.qlCalendarAdvance(Calendar,Z2028,NDays&amp;"D")</f>
        <v>53353</v>
      </c>
      <c r="AB2028" s="92">
        <v>1.427408225282578E-2</v>
      </c>
      <c r="AC2028" s="101">
        <v>1.4259763652813007E-2</v>
      </c>
    </row>
    <row r="2029" spans="25:29" x14ac:dyDescent="0.2">
      <c r="Y2029" s="105" t="str">
        <f t="shared" si="65"/>
        <v>1w</v>
      </c>
      <c r="Z2029" s="93">
        <f>_xll.qlCalendarAdvance(Calendar,Z2028,Y2029,"f",FALSE)</f>
        <v>53358</v>
      </c>
      <c r="AA2029" s="117">
        <f>_xll.qlCalendarAdvance(Calendar,Z2029,NDays&amp;"D")</f>
        <v>53360</v>
      </c>
      <c r="AB2029" s="92">
        <v>1.4271260020804657E-2</v>
      </c>
      <c r="AC2029" s="101">
        <v>1.425692301103787E-2</v>
      </c>
    </row>
    <row r="2030" spans="25:29" x14ac:dyDescent="0.2">
      <c r="Y2030" s="105" t="str">
        <f t="shared" si="65"/>
        <v>1w</v>
      </c>
      <c r="Z2030" s="93">
        <f>_xll.qlCalendarAdvance(Calendar,Z2029,Y2030,"f",FALSE)</f>
        <v>53365</v>
      </c>
      <c r="AA2030" s="117">
        <f>_xll.qlCalendarAdvance(Calendar,Z2030,NDays&amp;"D")</f>
        <v>53367</v>
      </c>
      <c r="AB2030" s="92">
        <v>1.4268440931576525E-2</v>
      </c>
      <c r="AC2030" s="101">
        <v>1.4254085176750309E-2</v>
      </c>
    </row>
    <row r="2031" spans="25:29" x14ac:dyDescent="0.2">
      <c r="Y2031" s="105" t="str">
        <f t="shared" si="65"/>
        <v>1w</v>
      </c>
      <c r="Z2031" s="93">
        <f>_xll.qlCalendarAdvance(Calendar,Z2030,Y2031,"f",FALSE)</f>
        <v>53372</v>
      </c>
      <c r="AA2031" s="117">
        <f>_xll.qlCalendarAdvance(Calendar,Z2031,NDays&amp;"D")</f>
        <v>53374</v>
      </c>
      <c r="AB2031" s="92">
        <v>1.4265625009627868E-2</v>
      </c>
      <c r="AC2031" s="101">
        <v>1.4251250174437402E-2</v>
      </c>
    </row>
    <row r="2032" spans="25:29" x14ac:dyDescent="0.2">
      <c r="Y2032" s="105" t="str">
        <f t="shared" si="65"/>
        <v>1w</v>
      </c>
      <c r="Z2032" s="93">
        <f>_xll.qlCalendarAdvance(Calendar,Z2031,Y2032,"f",FALSE)</f>
        <v>53379</v>
      </c>
      <c r="AA2032" s="117">
        <f>_xll.qlCalendarAdvance(Calendar,Z2032,NDays&amp;"D")</f>
        <v>53381</v>
      </c>
      <c r="AB2032" s="92">
        <v>1.4262812279444296E-2</v>
      </c>
      <c r="AC2032" s="101">
        <v>1.4248418028346421E-2</v>
      </c>
    </row>
    <row r="2033" spans="25:29" x14ac:dyDescent="0.2">
      <c r="Y2033" s="105" t="str">
        <f t="shared" si="65"/>
        <v>1w</v>
      </c>
      <c r="Z2033" s="93">
        <f>_xll.qlCalendarAdvance(Calendar,Z2032,Y2033,"f",FALSE)</f>
        <v>53386</v>
      </c>
      <c r="AA2033" s="117">
        <f>_xll.qlCalendarAdvance(Calendar,Z2033,NDays&amp;"D")</f>
        <v>53388</v>
      </c>
      <c r="AB2033" s="92">
        <v>1.4260331632055314E-2</v>
      </c>
      <c r="AC2033" s="101">
        <v>1.4245588762857864E-2</v>
      </c>
    </row>
    <row r="2034" spans="25:29" x14ac:dyDescent="0.2">
      <c r="Y2034" s="105" t="str">
        <f t="shared" si="65"/>
        <v>1w</v>
      </c>
      <c r="Z2034" s="93">
        <f>_xll.qlCalendarAdvance(Calendar,Z2033,Y2034,"f",FALSE)</f>
        <v>53393</v>
      </c>
      <c r="AA2034" s="117">
        <f>_xll.qlCalendarAdvance(Calendar,Z2034,NDays&amp;"D")</f>
        <v>53395</v>
      </c>
      <c r="AB2034" s="92">
        <v>1.4257525876905368E-2</v>
      </c>
      <c r="AC2034" s="101">
        <v>1.4242762402272291E-2</v>
      </c>
    </row>
    <row r="2035" spans="25:29" x14ac:dyDescent="0.2">
      <c r="Y2035" s="105" t="str">
        <f t="shared" si="65"/>
        <v>1w</v>
      </c>
      <c r="Z2035" s="93">
        <f>_xll.qlCalendarAdvance(Calendar,Z2034,Y2035,"f",FALSE)</f>
        <v>53400</v>
      </c>
      <c r="AA2035" s="117">
        <f>_xll.qlCalendarAdvance(Calendar,Z2035,NDays&amp;"D")</f>
        <v>53402</v>
      </c>
      <c r="AB2035" s="92">
        <v>1.4254723394576141E-2</v>
      </c>
      <c r="AC2035" s="101">
        <v>1.423993897091691E-2</v>
      </c>
    </row>
    <row r="2036" spans="25:29" x14ac:dyDescent="0.2">
      <c r="Y2036" s="105" t="str">
        <f t="shared" si="65"/>
        <v>1w</v>
      </c>
      <c r="Z2036" s="93">
        <f>_xll.qlCalendarAdvance(Calendar,Z2035,Y2036,"f",FALSE)</f>
        <v>53407</v>
      </c>
      <c r="AA2036" s="117">
        <f>_xll.qlCalendarAdvance(Calendar,Z2036,NDays&amp;"D")</f>
        <v>53413</v>
      </c>
      <c r="AB2036" s="92">
        <v>1.4250243453972151E-2</v>
      </c>
      <c r="AC2036" s="101">
        <v>1.4235347696223144E-2</v>
      </c>
    </row>
    <row r="2037" spans="25:29" x14ac:dyDescent="0.2">
      <c r="Y2037" s="105" t="str">
        <f t="shared" si="65"/>
        <v>1w</v>
      </c>
      <c r="Z2037" s="93">
        <f>_xll.qlCalendarAdvance(Calendar,Z2036,Y2037,"f",FALSE)</f>
        <v>53414</v>
      </c>
      <c r="AA2037" s="117">
        <f>_xll.qlCalendarAdvance(Calendar,Z2037,NDays&amp;"D")</f>
        <v>53416</v>
      </c>
      <c r="AB2037" s="92">
        <v>1.4248880084746743E-2</v>
      </c>
      <c r="AC2037" s="101">
        <v>1.423430099315226E-2</v>
      </c>
    </row>
    <row r="2038" spans="25:29" x14ac:dyDescent="0.2">
      <c r="Y2038" s="105" t="str">
        <f t="shared" si="65"/>
        <v>1w</v>
      </c>
      <c r="Z2038" s="93">
        <f>_xll.qlCalendarAdvance(Calendar,Z2037,Y2038,"f",FALSE)</f>
        <v>53421</v>
      </c>
      <c r="AA2038" s="117">
        <f>_xll.qlCalendarAdvance(Calendar,Z2038,NDays&amp;"D")</f>
        <v>53423</v>
      </c>
      <c r="AB2038" s="92">
        <v>1.4246335829392769E-2</v>
      </c>
      <c r="AC2038" s="101">
        <v>1.4231486495477341E-2</v>
      </c>
    </row>
    <row r="2039" spans="25:29" x14ac:dyDescent="0.2">
      <c r="Y2039" s="105" t="str">
        <f t="shared" si="65"/>
        <v>1w</v>
      </c>
      <c r="Z2039" s="93">
        <f>_xll.qlCalendarAdvance(Calendar,Z2038,Y2039,"f",FALSE)</f>
        <v>53428</v>
      </c>
      <c r="AA2039" s="117">
        <f>_xll.qlCalendarAdvance(Calendar,Z2039,NDays&amp;"D")</f>
        <v>53430</v>
      </c>
      <c r="AB2039" s="92">
        <v>1.4243546683227283E-2</v>
      </c>
      <c r="AC2039" s="101">
        <v>1.4228675024261506E-2</v>
      </c>
    </row>
    <row r="2040" spans="25:29" x14ac:dyDescent="0.2">
      <c r="Y2040" s="105" t="str">
        <f t="shared" si="65"/>
        <v>1w</v>
      </c>
      <c r="Z2040" s="93">
        <f>_xll.qlCalendarAdvance(Calendar,Z2039,Y2040,"f",FALSE)</f>
        <v>53435</v>
      </c>
      <c r="AA2040" s="117">
        <f>_xll.qlCalendarAdvance(Calendar,Z2040,NDays&amp;"D")</f>
        <v>53437</v>
      </c>
      <c r="AB2040" s="92">
        <v>1.4240760932324677E-2</v>
      </c>
      <c r="AC2040" s="101">
        <v>1.4225866603965187E-2</v>
      </c>
    </row>
    <row r="2041" spans="25:29" x14ac:dyDescent="0.2">
      <c r="Y2041" s="105" t="str">
        <f t="shared" si="65"/>
        <v>1w</v>
      </c>
      <c r="Z2041" s="93">
        <f>_xll.qlCalendarAdvance(Calendar,Z2040,Y2041,"f",FALSE)</f>
        <v>53442</v>
      </c>
      <c r="AA2041" s="117">
        <f>_xll.qlCalendarAdvance(Calendar,Z2041,NDays&amp;"D")</f>
        <v>53444</v>
      </c>
      <c r="AB2041" s="92">
        <v>1.4237978601171312E-2</v>
      </c>
      <c r="AC2041" s="101">
        <v>1.4223061258809011E-2</v>
      </c>
    </row>
    <row r="2042" spans="25:29" x14ac:dyDescent="0.2">
      <c r="Y2042" s="105" t="str">
        <f t="shared" si="65"/>
        <v>1w</v>
      </c>
      <c r="Z2042" s="93">
        <f>_xll.qlCalendarAdvance(Calendar,Z2041,Y2042,"f",FALSE)</f>
        <v>53449</v>
      </c>
      <c r="AA2042" s="117">
        <f>_xll.qlCalendarAdvance(Calendar,Z2042,NDays&amp;"D")</f>
        <v>53451</v>
      </c>
      <c r="AB2042" s="92">
        <v>1.4235199714256141E-2</v>
      </c>
      <c r="AC2042" s="101">
        <v>1.4220259013226766E-2</v>
      </c>
    </row>
    <row r="2043" spans="25:29" x14ac:dyDescent="0.2">
      <c r="Y2043" s="105" t="str">
        <f t="shared" si="65"/>
        <v>1w</v>
      </c>
      <c r="Z2043" s="93">
        <f>_xll.qlCalendarAdvance(Calendar,Z2042,Y2043,"f",FALSE)</f>
        <v>53456</v>
      </c>
      <c r="AA2043" s="117">
        <f>_xll.qlCalendarAdvance(Calendar,Z2043,NDays&amp;"D")</f>
        <v>53458</v>
      </c>
      <c r="AB2043" s="92">
        <v>1.4232424296066384E-2</v>
      </c>
      <c r="AC2043" s="101">
        <v>1.4217459891439077E-2</v>
      </c>
    </row>
    <row r="2044" spans="25:29" x14ac:dyDescent="0.2">
      <c r="Y2044" s="105" t="str">
        <f t="shared" si="65"/>
        <v>1w</v>
      </c>
      <c r="Z2044" s="93">
        <f>_xll.qlCalendarAdvance(Calendar,Z2043,Y2044,"f",FALSE)</f>
        <v>53463</v>
      </c>
      <c r="AA2044" s="117">
        <f>_xll.qlCalendarAdvance(Calendar,Z2044,NDays&amp;"D")</f>
        <v>53465</v>
      </c>
      <c r="AB2044" s="92">
        <v>1.4229652371089696E-2</v>
      </c>
      <c r="AC2044" s="101">
        <v>1.4214663917853088E-2</v>
      </c>
    </row>
    <row r="2045" spans="25:29" x14ac:dyDescent="0.2">
      <c r="Y2045" s="105" t="str">
        <f t="shared" si="65"/>
        <v>1w</v>
      </c>
      <c r="Z2045" s="93">
        <f>_xll.qlCalendarAdvance(Calendar,Z2044,Y2045,"f",FALSE)</f>
        <v>53470</v>
      </c>
      <c r="AA2045" s="117">
        <f>_xll.qlCalendarAdvance(Calendar,Z2045,NDays&amp;"D")</f>
        <v>53472</v>
      </c>
      <c r="AB2045" s="92">
        <v>1.4226883963813301E-2</v>
      </c>
      <c r="AC2045" s="101">
        <v>1.4211871116769359E-2</v>
      </c>
    </row>
    <row r="2046" spans="25:29" x14ac:dyDescent="0.2">
      <c r="Y2046" s="105" t="str">
        <f t="shared" si="65"/>
        <v>1w</v>
      </c>
      <c r="Z2046" s="93">
        <f>_xll.qlCalendarAdvance(Calendar,Z2045,Y2046,"f",FALSE)</f>
        <v>53477</v>
      </c>
      <c r="AA2046" s="117">
        <f>_xll.qlCalendarAdvance(Calendar,Z2046,NDays&amp;"D")</f>
        <v>53479</v>
      </c>
      <c r="AB2046" s="92">
        <v>1.4224119098725289E-2</v>
      </c>
      <c r="AC2046" s="101">
        <v>1.4209081512541744E-2</v>
      </c>
    </row>
    <row r="2047" spans="25:29" x14ac:dyDescent="0.2">
      <c r="Y2047" s="105" t="str">
        <f t="shared" si="65"/>
        <v>1w</v>
      </c>
      <c r="Z2047" s="93">
        <f>_xll.qlCalendarAdvance(Calendar,Z2046,Y2047,"f",FALSE)</f>
        <v>53484</v>
      </c>
      <c r="AA2047" s="117">
        <f>_xll.qlCalendarAdvance(Calendar,Z2047,NDays&amp;"D")</f>
        <v>53486</v>
      </c>
      <c r="AB2047" s="92">
        <v>1.4221357800312445E-2</v>
      </c>
      <c r="AC2047" s="101">
        <v>1.4206295129417512E-2</v>
      </c>
    </row>
    <row r="2048" spans="25:29" x14ac:dyDescent="0.2">
      <c r="Y2048" s="105" t="str">
        <f t="shared" si="65"/>
        <v>1w</v>
      </c>
      <c r="Z2048" s="93">
        <f>_xll.qlCalendarAdvance(Calendar,Z2047,Y2048,"f",FALSE)</f>
        <v>53491</v>
      </c>
      <c r="AA2048" s="117">
        <f>_xll.qlCalendarAdvance(Calendar,Z2048,NDays&amp;"D")</f>
        <v>53493</v>
      </c>
      <c r="AB2048" s="92">
        <v>1.4218600093061999E-2</v>
      </c>
      <c r="AC2048" s="101">
        <v>1.4203511991777162E-2</v>
      </c>
    </row>
    <row r="2049" spans="25:29" x14ac:dyDescent="0.2">
      <c r="Y2049" s="105" t="str">
        <f t="shared" si="65"/>
        <v>1w</v>
      </c>
      <c r="Z2049" s="93">
        <f>_xll.qlCalendarAdvance(Calendar,Z2048,Y2049,"f",FALSE)</f>
        <v>53498</v>
      </c>
      <c r="AA2049" s="117">
        <f>_xll.qlCalendarAdvance(Calendar,Z2049,NDays&amp;"D")</f>
        <v>53500</v>
      </c>
      <c r="AB2049" s="92">
        <v>1.4215846001461601E-2</v>
      </c>
      <c r="AC2049" s="101">
        <v>1.4200732123974547E-2</v>
      </c>
    </row>
    <row r="2050" spans="25:29" x14ac:dyDescent="0.2">
      <c r="Y2050" s="105" t="str">
        <f t="shared" si="65"/>
        <v>1w</v>
      </c>
      <c r="Z2050" s="93">
        <f>_xll.qlCalendarAdvance(Calendar,Z2049,Y2050,"f",FALSE)</f>
        <v>53505</v>
      </c>
      <c r="AA2050" s="117">
        <f>_xll.qlCalendarAdvance(Calendar,Z2050,NDays&amp;"D")</f>
        <v>53507</v>
      </c>
      <c r="AB2050" s="92">
        <v>1.4213095549997178E-2</v>
      </c>
      <c r="AC2050" s="101">
        <v>1.4197955550283581E-2</v>
      </c>
    </row>
    <row r="2051" spans="25:29" x14ac:dyDescent="0.2">
      <c r="Y2051" s="105" t="str">
        <f t="shared" si="65"/>
        <v>1w</v>
      </c>
      <c r="Z2051" s="93">
        <f>_xll.qlCalendarAdvance(Calendar,Z2050,Y2051,"f",FALSE)</f>
        <v>53512</v>
      </c>
      <c r="AA2051" s="117">
        <f>_xll.qlCalendarAdvance(Calendar,Z2051,NDays&amp;"D")</f>
        <v>53514</v>
      </c>
      <c r="AB2051" s="92">
        <v>1.421034876315682E-2</v>
      </c>
      <c r="AC2051" s="101">
        <v>1.4195182295084763E-2</v>
      </c>
    </row>
    <row r="2052" spans="25:29" x14ac:dyDescent="0.2">
      <c r="Y2052" s="105" t="str">
        <f t="shared" si="65"/>
        <v>1w</v>
      </c>
      <c r="Z2052" s="93">
        <f>_xll.qlCalendarAdvance(Calendar,Z2051,Y2052,"f",FALSE)</f>
        <v>53519</v>
      </c>
      <c r="AA2052" s="117">
        <f>_xll.qlCalendarAdvance(Calendar,Z2052,NDays&amp;"D")</f>
        <v>53521</v>
      </c>
      <c r="AB2052" s="92">
        <v>1.4207605665425156E-2</v>
      </c>
      <c r="AC2052" s="101">
        <v>1.4192412382652009E-2</v>
      </c>
    </row>
    <row r="2053" spans="25:29" x14ac:dyDescent="0.2">
      <c r="Y2053" s="105" t="str">
        <f t="shared" si="65"/>
        <v>1w</v>
      </c>
      <c r="Z2053" s="93">
        <f>_xll.qlCalendarAdvance(Calendar,Z2052,Y2053,"f",FALSE)</f>
        <v>53526</v>
      </c>
      <c r="AA2053" s="117">
        <f>_xll.qlCalendarAdvance(Calendar,Z2053,NDays&amp;"D")</f>
        <v>53528</v>
      </c>
      <c r="AB2053" s="92">
        <v>1.4204866281291138E-2</v>
      </c>
      <c r="AC2053" s="101">
        <v>1.4189645837339171E-2</v>
      </c>
    </row>
    <row r="2054" spans="25:29" x14ac:dyDescent="0.2">
      <c r="Y2054" s="105" t="str">
        <f t="shared" si="65"/>
        <v>1w</v>
      </c>
      <c r="Z2054" s="93">
        <f>_xll.qlCalendarAdvance(Calendar,Z2053,Y2054,"f",FALSE)</f>
        <v>53533</v>
      </c>
      <c r="AA2054" s="117">
        <f>_xll.qlCalendarAdvance(Calendar,Z2054,NDays&amp;"D")</f>
        <v>53535</v>
      </c>
      <c r="AB2054" s="92">
        <v>1.4202130635239828E-2</v>
      </c>
      <c r="AC2054" s="101">
        <v>1.4186882683473456E-2</v>
      </c>
    </row>
    <row r="2055" spans="25:29" x14ac:dyDescent="0.2">
      <c r="Y2055" s="105" t="str">
        <f t="shared" si="65"/>
        <v>1w</v>
      </c>
      <c r="Z2055" s="93">
        <f>_xll.qlCalendarAdvance(Calendar,Z2054,Y2055,"f",FALSE)</f>
        <v>53540</v>
      </c>
      <c r="AA2055" s="117">
        <f>_xll.qlCalendarAdvance(Calendar,Z2055,NDays&amp;"D")</f>
        <v>53542</v>
      </c>
      <c r="AB2055" s="92">
        <v>1.4199398751758017E-2</v>
      </c>
      <c r="AC2055" s="101">
        <v>1.4184122945408717E-2</v>
      </c>
    </row>
    <row r="2056" spans="25:29" x14ac:dyDescent="0.2">
      <c r="Y2056" s="105" t="str">
        <f t="shared" si="65"/>
        <v>1w</v>
      </c>
      <c r="Z2056" s="93">
        <f>_xll.qlCalendarAdvance(Calendar,Z2055,Y2056,"f",FALSE)</f>
        <v>53547</v>
      </c>
      <c r="AA2056" s="117">
        <f>_xll.qlCalendarAdvance(Calendar,Z2056,NDays&amp;"D")</f>
        <v>53549</v>
      </c>
      <c r="AB2056" s="92">
        <v>1.4196670655332064E-2</v>
      </c>
      <c r="AC2056" s="101">
        <v>1.4181366647418869E-2</v>
      </c>
    </row>
    <row r="2057" spans="25:29" x14ac:dyDescent="0.2">
      <c r="Y2057" s="105" t="str">
        <f t="shared" si="65"/>
        <v>1w</v>
      </c>
      <c r="Z2057" s="93">
        <f>_xll.qlCalendarAdvance(Calendar,Z2056,Y2057,"f",FALSE)</f>
        <v>53554</v>
      </c>
      <c r="AA2057" s="117">
        <f>_xll.qlCalendarAdvance(Calendar,Z2057,NDays&amp;"D")</f>
        <v>53556</v>
      </c>
      <c r="AB2057" s="92">
        <v>1.4193946370447033E-2</v>
      </c>
      <c r="AC2057" s="101">
        <v>1.417861381383112E-2</v>
      </c>
    </row>
    <row r="2058" spans="25:29" x14ac:dyDescent="0.2">
      <c r="Y2058" s="105" t="str">
        <f t="shared" si="65"/>
        <v>1w</v>
      </c>
      <c r="Z2058" s="93">
        <f>_xll.qlCalendarAdvance(Calendar,Z2057,Y2058,"f",FALSE)</f>
        <v>53561</v>
      </c>
      <c r="AA2058" s="117">
        <f>_xll.qlCalendarAdvance(Calendar,Z2058,NDays&amp;"D")</f>
        <v>53563</v>
      </c>
      <c r="AB2058" s="92">
        <v>1.4191225921589713E-2</v>
      </c>
      <c r="AC2058" s="101">
        <v>1.4175864469025967E-2</v>
      </c>
    </row>
    <row r="2059" spans="25:29" x14ac:dyDescent="0.2">
      <c r="Y2059" s="105" t="str">
        <f t="shared" si="65"/>
        <v>1w</v>
      </c>
      <c r="Z2059" s="93">
        <f>_xll.qlCalendarAdvance(Calendar,Z2058,Y2059,"f",FALSE)</f>
        <v>53568</v>
      </c>
      <c r="AA2059" s="117">
        <f>_xll.qlCalendarAdvance(Calendar,Z2059,NDays&amp;"D")</f>
        <v>53570</v>
      </c>
      <c r="AB2059" s="92">
        <v>1.4188164518687048E-2</v>
      </c>
      <c r="AC2059" s="101">
        <v>1.4173118637303972E-2</v>
      </c>
    </row>
    <row r="2060" spans="25:29" x14ac:dyDescent="0.2">
      <c r="Y2060" s="105" t="str">
        <f t="shared" si="65"/>
        <v>1w</v>
      </c>
      <c r="Z2060" s="93">
        <f>_xll.qlCalendarAdvance(Calendar,Z2059,Y2060,"f",FALSE)</f>
        <v>53575</v>
      </c>
      <c r="AA2060" s="117">
        <f>_xll.qlCalendarAdvance(Calendar,Z2060,NDays&amp;"D")</f>
        <v>53577</v>
      </c>
      <c r="AB2060" s="92">
        <v>1.4185451098584075E-2</v>
      </c>
      <c r="AC2060" s="101">
        <v>1.4170376342965696E-2</v>
      </c>
    </row>
    <row r="2061" spans="25:29" x14ac:dyDescent="0.2">
      <c r="Y2061" s="105" t="str">
        <f t="shared" si="65"/>
        <v>1w</v>
      </c>
      <c r="Z2061" s="93">
        <f>_xll.qlCalendarAdvance(Calendar,Z2060,Y2061,"f",FALSE)</f>
        <v>53582</v>
      </c>
      <c r="AA2061" s="117">
        <f>_xll.qlCalendarAdvance(Calendar,Z2061,NDays&amp;"D")</f>
        <v>53584</v>
      </c>
      <c r="AB2061" s="92">
        <v>1.4182741580276676E-2</v>
      </c>
      <c r="AC2061" s="101">
        <v>1.4167637610391637E-2</v>
      </c>
    </row>
    <row r="2062" spans="25:29" x14ac:dyDescent="0.2">
      <c r="Y2062" s="105" t="str">
        <f t="shared" si="65"/>
        <v>1w</v>
      </c>
      <c r="Z2062" s="93">
        <f>_xll.qlCalendarAdvance(Calendar,Z2061,Y2062,"f",FALSE)</f>
        <v>53589</v>
      </c>
      <c r="AA2062" s="117">
        <f>_xll.qlCalendarAdvance(Calendar,Z2062,NDays&amp;"D")</f>
        <v>53591</v>
      </c>
      <c r="AB2062" s="92">
        <v>1.4180035988246039E-2</v>
      </c>
      <c r="AC2062" s="101">
        <v>1.4164902463829065E-2</v>
      </c>
    </row>
    <row r="2063" spans="25:29" x14ac:dyDescent="0.2">
      <c r="Y2063" s="105" t="str">
        <f t="shared" si="65"/>
        <v>1w</v>
      </c>
      <c r="Z2063" s="93">
        <f>_xll.qlCalendarAdvance(Calendar,Z2062,Y2063,"f",FALSE)</f>
        <v>53596</v>
      </c>
      <c r="AA2063" s="117">
        <f>_xll.qlCalendarAdvance(Calendar,Z2063,NDays&amp;"D")</f>
        <v>53598</v>
      </c>
      <c r="AB2063" s="92">
        <v>1.4177421248312255E-2</v>
      </c>
      <c r="AC2063" s="101">
        <v>1.416217092771177E-2</v>
      </c>
    </row>
    <row r="2064" spans="25:29" x14ac:dyDescent="0.2">
      <c r="Y2064" s="105" t="str">
        <f t="shared" si="65"/>
        <v>1w</v>
      </c>
      <c r="Z2064" s="93">
        <f>_xll.qlCalendarAdvance(Calendar,Z2063,Y2064,"f",FALSE)</f>
        <v>53603</v>
      </c>
      <c r="AA2064" s="117">
        <f>_xll.qlCalendarAdvance(Calendar,Z2064,NDays&amp;"D")</f>
        <v>53605</v>
      </c>
      <c r="AB2064" s="92">
        <v>1.4174723768885176E-2</v>
      </c>
      <c r="AC2064" s="101">
        <v>1.4159443026287022E-2</v>
      </c>
    </row>
    <row r="2065" spans="25:29" x14ac:dyDescent="0.2">
      <c r="Y2065" s="105" t="str">
        <f t="shared" si="65"/>
        <v>1w</v>
      </c>
      <c r="Z2065" s="93">
        <f>_xll.qlCalendarAdvance(Calendar,Z2064,Y2065,"f",FALSE)</f>
        <v>53610</v>
      </c>
      <c r="AA2065" s="117">
        <f>_xll.qlCalendarAdvance(Calendar,Z2065,NDays&amp;"D")</f>
        <v>53612</v>
      </c>
      <c r="AB2065" s="92">
        <v>1.4172379604812423E-2</v>
      </c>
      <c r="AC2065" s="101">
        <v>1.4156718783908673E-2</v>
      </c>
    </row>
    <row r="2066" spans="25:29" x14ac:dyDescent="0.2">
      <c r="Y2066" s="105" t="str">
        <f t="shared" si="65"/>
        <v>1w</v>
      </c>
      <c r="Z2066" s="93">
        <f>_xll.qlCalendarAdvance(Calendar,Z2065,Y2066,"f",FALSE)</f>
        <v>53617</v>
      </c>
      <c r="AA2066" s="117">
        <f>_xll.qlCalendarAdvance(Calendar,Z2066,NDays&amp;"D")</f>
        <v>53619</v>
      </c>
      <c r="AB2066" s="92">
        <v>1.4169340839459019E-2</v>
      </c>
      <c r="AC2066" s="101">
        <v>1.415399822490393E-2</v>
      </c>
    </row>
    <row r="2067" spans="25:29" x14ac:dyDescent="0.2">
      <c r="Y2067" s="105" t="str">
        <f t="shared" si="65"/>
        <v>1w</v>
      </c>
      <c r="Z2067" s="93">
        <f>_xll.qlCalendarAdvance(Calendar,Z2066,Y2067,"f",FALSE)</f>
        <v>53624</v>
      </c>
      <c r="AA2067" s="117">
        <f>_xll.qlCalendarAdvance(Calendar,Z2067,NDays&amp;"D")</f>
        <v>53626</v>
      </c>
      <c r="AB2067" s="92">
        <v>1.4166655438425609E-2</v>
      </c>
      <c r="AC2067" s="101">
        <v>1.41512813736E-2</v>
      </c>
    </row>
    <row r="2068" spans="25:29" x14ac:dyDescent="0.2">
      <c r="Y2068" s="105" t="str">
        <f t="shared" si="65"/>
        <v>1w</v>
      </c>
      <c r="Z2068" s="93">
        <f>_xll.qlCalendarAdvance(Calendar,Z2067,Y2068,"f",FALSE)</f>
        <v>53631</v>
      </c>
      <c r="AA2068" s="117">
        <f>_xll.qlCalendarAdvance(Calendar,Z2068,NDays&amp;"D")</f>
        <v>53633</v>
      </c>
      <c r="AB2068" s="92">
        <v>1.4163886258872124E-2</v>
      </c>
      <c r="AC2068" s="101">
        <v>1.414856825432409E-2</v>
      </c>
    </row>
    <row r="2069" spans="25:29" x14ac:dyDescent="0.2">
      <c r="Y2069" s="105" t="str">
        <f t="shared" ref="Y2069:Y2132" si="66">Y2068</f>
        <v>1w</v>
      </c>
      <c r="Z2069" s="93">
        <f>_xll.qlCalendarAdvance(Calendar,Z2068,Y2069,"f",FALSE)</f>
        <v>53638</v>
      </c>
      <c r="AA2069" s="117">
        <f>_xll.qlCalendarAdvance(Calendar,Z2069,NDays&amp;"D")</f>
        <v>53640</v>
      </c>
      <c r="AB2069" s="92">
        <v>1.4161208836272915E-2</v>
      </c>
      <c r="AC2069" s="101">
        <v>1.4145858891350116E-2</v>
      </c>
    </row>
    <row r="2070" spans="25:29" x14ac:dyDescent="0.2">
      <c r="Y2070" s="105" t="str">
        <f t="shared" si="66"/>
        <v>1w</v>
      </c>
      <c r="Z2070" s="93">
        <f>_xll.qlCalendarAdvance(Calendar,Z2069,Y2070,"f",FALSE)</f>
        <v>53645</v>
      </c>
      <c r="AA2070" s="117">
        <f>_xll.qlCalendarAdvance(Calendar,Z2070,NDays&amp;"D")</f>
        <v>53647</v>
      </c>
      <c r="AB2070" s="92">
        <v>1.4158535535803526E-2</v>
      </c>
      <c r="AC2070" s="101">
        <v>1.4143153309085221E-2</v>
      </c>
    </row>
    <row r="2071" spans="25:29" x14ac:dyDescent="0.2">
      <c r="Y2071" s="105" t="str">
        <f t="shared" si="66"/>
        <v>1w</v>
      </c>
      <c r="Z2071" s="93">
        <f>_xll.qlCalendarAdvance(Calendar,Z2070,Y2071,"f",FALSE)</f>
        <v>53652</v>
      </c>
      <c r="AA2071" s="117">
        <f>_xll.qlCalendarAdvance(Calendar,Z2071,NDays&amp;"D")</f>
        <v>53654</v>
      </c>
      <c r="AB2071" s="92">
        <v>1.4155866381945589E-2</v>
      </c>
      <c r="AC2071" s="101">
        <v>1.4140451531829967E-2</v>
      </c>
    </row>
    <row r="2072" spans="25:29" x14ac:dyDescent="0.2">
      <c r="Y2072" s="105" t="str">
        <f t="shared" si="66"/>
        <v>1w</v>
      </c>
      <c r="Z2072" s="93">
        <f>_xll.qlCalendarAdvance(Calendar,Z2071,Y2072,"f",FALSE)</f>
        <v>53659</v>
      </c>
      <c r="AA2072" s="117">
        <f>_xll.qlCalendarAdvance(Calendar,Z2072,NDays&amp;"D")</f>
        <v>53661</v>
      </c>
      <c r="AB2072" s="92">
        <v>1.4153290049336952E-2</v>
      </c>
      <c r="AC2072" s="101">
        <v>1.4137753583884916E-2</v>
      </c>
    </row>
    <row r="2073" spans="25:29" x14ac:dyDescent="0.2">
      <c r="Y2073" s="105" t="str">
        <f t="shared" si="66"/>
        <v>1w</v>
      </c>
      <c r="Z2073" s="93">
        <f>_xll.qlCalendarAdvance(Calendar,Z2072,Y2073,"f",FALSE)</f>
        <v>53666</v>
      </c>
      <c r="AA2073" s="117">
        <f>_xll.qlCalendarAdvance(Calendar,Z2073,NDays&amp;"D")</f>
        <v>53668</v>
      </c>
      <c r="AB2073" s="92">
        <v>1.4150629466109373E-2</v>
      </c>
      <c r="AC2073" s="101">
        <v>1.4135059489657209E-2</v>
      </c>
    </row>
    <row r="2074" spans="25:29" x14ac:dyDescent="0.2">
      <c r="Y2074" s="105" t="str">
        <f t="shared" si="66"/>
        <v>1w</v>
      </c>
      <c r="Z2074" s="93">
        <f>_xll.qlCalendarAdvance(Calendar,Z2073,Y2074,"f",FALSE)</f>
        <v>53673</v>
      </c>
      <c r="AA2074" s="117">
        <f>_xll.qlCalendarAdvance(Calendar,Z2074,NDays&amp;"D")</f>
        <v>53675</v>
      </c>
      <c r="AB2074" s="92">
        <v>1.414797310486939E-2</v>
      </c>
      <c r="AC2074" s="101">
        <v>1.4132369273367473E-2</v>
      </c>
    </row>
    <row r="2075" spans="25:29" x14ac:dyDescent="0.2">
      <c r="Y2075" s="105" t="str">
        <f t="shared" si="66"/>
        <v>1w</v>
      </c>
      <c r="Z2075" s="93">
        <f>_xll.qlCalendarAdvance(Calendar,Z2074,Y2075,"f",FALSE)</f>
        <v>53680</v>
      </c>
      <c r="AA2075" s="117">
        <f>_xll.qlCalendarAdvance(Calendar,Z2075,NDays&amp;"D")</f>
        <v>53682</v>
      </c>
      <c r="AB2075" s="92">
        <v>1.4145320990098518E-2</v>
      </c>
      <c r="AC2075" s="101">
        <v>1.4129682959422851E-2</v>
      </c>
    </row>
    <row r="2076" spans="25:29" x14ac:dyDescent="0.2">
      <c r="Y2076" s="105" t="str">
        <f t="shared" si="66"/>
        <v>1w</v>
      </c>
      <c r="Z2076" s="93">
        <f>_xll.qlCalendarAdvance(Calendar,Z2075,Y2076,"f",FALSE)</f>
        <v>53688</v>
      </c>
      <c r="AA2076" s="117">
        <f>_xll.qlCalendarAdvance(Calendar,Z2076,NDays&amp;"D")</f>
        <v>53692</v>
      </c>
      <c r="AB2076" s="92">
        <v>1.4141271033919246E-2</v>
      </c>
      <c r="AC2076" s="101">
        <v>1.4125766384558425E-2</v>
      </c>
    </row>
    <row r="2077" spans="25:29" x14ac:dyDescent="0.2">
      <c r="Y2077" s="105" t="str">
        <f t="shared" si="66"/>
        <v>1w</v>
      </c>
      <c r="Z2077" s="93">
        <f>_xll.qlCalendarAdvance(Calendar,Z2076,Y2077,"f",FALSE)</f>
        <v>53695</v>
      </c>
      <c r="AA2077" s="117">
        <f>_xll.qlCalendarAdvance(Calendar,Z2077,NDays&amp;"D")</f>
        <v>53699</v>
      </c>
      <c r="AB2077" s="92">
        <v>1.4138897969574278E-2</v>
      </c>
      <c r="AC2077" s="101">
        <v>1.4123003509469712E-2</v>
      </c>
    </row>
    <row r="2078" spans="25:29" x14ac:dyDescent="0.2">
      <c r="Y2078" s="105" t="str">
        <f t="shared" si="66"/>
        <v>1w</v>
      </c>
      <c r="Z2078" s="93">
        <f>_xll.qlCalendarAdvance(Calendar,Z2077,Y2078,"f",FALSE)</f>
        <v>53702</v>
      </c>
      <c r="AA2078" s="117">
        <f>_xll.qlCalendarAdvance(Calendar,Z2078,NDays&amp;"D")</f>
        <v>53706</v>
      </c>
      <c r="AB2078" s="92">
        <v>1.4136260599985623E-2</v>
      </c>
      <c r="AC2078" s="101">
        <v>1.4120330398377234E-2</v>
      </c>
    </row>
    <row r="2079" spans="25:29" x14ac:dyDescent="0.2">
      <c r="Y2079" s="105" t="str">
        <f t="shared" si="66"/>
        <v>1w</v>
      </c>
      <c r="Z2079" s="93">
        <f>_xll.qlCalendarAdvance(Calendar,Z2078,Y2079,"f",FALSE)</f>
        <v>53709</v>
      </c>
      <c r="AA2079" s="117">
        <f>_xll.qlCalendarAdvance(Calendar,Z2079,NDays&amp;"D")</f>
        <v>53713</v>
      </c>
      <c r="AB2079" s="92">
        <v>1.4133627585281333E-2</v>
      </c>
      <c r="AC2079" s="101">
        <v>1.4117661293360229E-2</v>
      </c>
    </row>
    <row r="2080" spans="25:29" x14ac:dyDescent="0.2">
      <c r="Y2080" s="105" t="str">
        <f t="shared" si="66"/>
        <v>1w</v>
      </c>
      <c r="Z2080" s="93">
        <f>_xll.qlCalendarAdvance(Calendar,Z2079,Y2080,"f",FALSE)</f>
        <v>53716</v>
      </c>
      <c r="AA2080" s="117">
        <f>_xll.qlCalendarAdvance(Calendar,Z2080,NDays&amp;"D")</f>
        <v>53720</v>
      </c>
      <c r="AB2080" s="92">
        <v>1.4130998949945121E-2</v>
      </c>
      <c r="AC2080" s="101">
        <v>1.4114996218879128E-2</v>
      </c>
    </row>
    <row r="2081" spans="25:29" x14ac:dyDescent="0.2">
      <c r="Y2081" s="105" t="str">
        <f t="shared" si="66"/>
        <v>1w</v>
      </c>
      <c r="Z2081" s="93">
        <f>_xll.qlCalendarAdvance(Calendar,Z2080,Y2081,"f",FALSE)</f>
        <v>53723</v>
      </c>
      <c r="AA2081" s="117">
        <f>_xll.qlCalendarAdvance(Calendar,Z2081,NDays&amp;"D")</f>
        <v>53727</v>
      </c>
      <c r="AB2081" s="92">
        <v>1.4128374718456745E-2</v>
      </c>
      <c r="AC2081" s="101">
        <v>1.4112335199234494E-2</v>
      </c>
    </row>
    <row r="2082" spans="25:29" x14ac:dyDescent="0.2">
      <c r="Y2082" s="105" t="str">
        <f t="shared" si="66"/>
        <v>1w</v>
      </c>
      <c r="Z2082" s="93">
        <f>_xll.qlCalendarAdvance(Calendar,Z2081,Y2082,"f",FALSE)</f>
        <v>53730</v>
      </c>
      <c r="AA2082" s="117">
        <f>_xll.qlCalendarAdvance(Calendar,Z2082,NDays&amp;"D")</f>
        <v>53734</v>
      </c>
      <c r="AB2082" s="92">
        <v>1.4125754915297719E-2</v>
      </c>
      <c r="AC2082" s="101">
        <v>1.410967825888676E-2</v>
      </c>
    </row>
    <row r="2083" spans="25:29" x14ac:dyDescent="0.2">
      <c r="Y2083" s="105" t="str">
        <f t="shared" si="66"/>
        <v>1w</v>
      </c>
      <c r="Z2083" s="93">
        <f>_xll.qlCalendarAdvance(Calendar,Z2082,Y2083,"f",FALSE)</f>
        <v>53737</v>
      </c>
      <c r="AA2083" s="117">
        <f>_xll.qlCalendarAdvance(Calendar,Z2083,NDays&amp;"D")</f>
        <v>53741</v>
      </c>
      <c r="AB2083" s="92">
        <v>1.4123139564947805E-2</v>
      </c>
      <c r="AC2083" s="101">
        <v>1.4107025421976616E-2</v>
      </c>
    </row>
    <row r="2084" spans="25:29" x14ac:dyDescent="0.2">
      <c r="Y2084" s="105" t="str">
        <f t="shared" si="66"/>
        <v>1w</v>
      </c>
      <c r="Z2084" s="93">
        <f>_xll.qlCalendarAdvance(Calendar,Z2083,Y2084,"f",FALSE)</f>
        <v>53744</v>
      </c>
      <c r="AA2084" s="117">
        <f>_xll.qlCalendarAdvance(Calendar,Z2084,NDays&amp;"D")</f>
        <v>53748</v>
      </c>
      <c r="AB2084" s="92">
        <v>1.4120528691888077E-2</v>
      </c>
      <c r="AC2084" s="101">
        <v>1.4104376712964495E-2</v>
      </c>
    </row>
    <row r="2085" spans="25:29" x14ac:dyDescent="0.2">
      <c r="Y2085" s="105" t="str">
        <f t="shared" si="66"/>
        <v>1w</v>
      </c>
      <c r="Z2085" s="93">
        <f>_xll.qlCalendarAdvance(Calendar,Z2084,Y2085,"f",FALSE)</f>
        <v>53751</v>
      </c>
      <c r="AA2085" s="117">
        <f>_xll.qlCalendarAdvance(Calendar,Z2085,NDays&amp;"D")</f>
        <v>53755</v>
      </c>
      <c r="AB2085" s="92">
        <v>1.4118105495999249E-2</v>
      </c>
      <c r="AC2085" s="101">
        <v>1.4101732155991087E-2</v>
      </c>
    </row>
    <row r="2086" spans="25:29" x14ac:dyDescent="0.2">
      <c r="Y2086" s="105" t="str">
        <f t="shared" si="66"/>
        <v>1w</v>
      </c>
      <c r="Z2086" s="93">
        <f>_xll.qlCalendarAdvance(Calendar,Z2085,Y2086,"f",FALSE)</f>
        <v>53758</v>
      </c>
      <c r="AA2086" s="117">
        <f>_xll.qlCalendarAdvance(Calendar,Z2086,NDays&amp;"D")</f>
        <v>53762</v>
      </c>
      <c r="AB2086" s="92">
        <v>1.4115504111534886E-2</v>
      </c>
      <c r="AC2086" s="101">
        <v>1.4099091775596762E-2</v>
      </c>
    </row>
    <row r="2087" spans="25:29" x14ac:dyDescent="0.2">
      <c r="Y2087" s="105" t="str">
        <f t="shared" si="66"/>
        <v>1w</v>
      </c>
      <c r="Z2087" s="93">
        <f>_xll.qlCalendarAdvance(Calendar,Z2086,Y2087,"f",FALSE)</f>
        <v>53765</v>
      </c>
      <c r="AA2087" s="117">
        <f>_xll.qlCalendarAdvance(Calendar,Z2087,NDays&amp;"D")</f>
        <v>53769</v>
      </c>
      <c r="AB2087" s="92">
        <v>1.4112907281692422E-2</v>
      </c>
      <c r="AC2087" s="101">
        <v>1.4096455596162016E-2</v>
      </c>
    </row>
    <row r="2088" spans="25:29" x14ac:dyDescent="0.2">
      <c r="Y2088" s="105" t="str">
        <f t="shared" si="66"/>
        <v>1w</v>
      </c>
      <c r="Z2088" s="93">
        <f>_xll.qlCalendarAdvance(Calendar,Z2087,Y2088,"f",FALSE)</f>
        <v>53772</v>
      </c>
      <c r="AA2088" s="117">
        <f>_xll.qlCalendarAdvance(Calendar,Z2088,NDays&amp;"D")</f>
        <v>53776</v>
      </c>
      <c r="AB2088" s="92">
        <v>1.4110315030953575E-2</v>
      </c>
      <c r="AC2088" s="101">
        <v>1.4093823641667669E-2</v>
      </c>
    </row>
    <row r="2089" spans="25:29" x14ac:dyDescent="0.2">
      <c r="Y2089" s="105" t="str">
        <f t="shared" si="66"/>
        <v>1w</v>
      </c>
      <c r="Z2089" s="93">
        <f>_xll.qlCalendarAdvance(Calendar,Z2088,Y2089,"f",FALSE)</f>
        <v>53779</v>
      </c>
      <c r="AA2089" s="117">
        <f>_xll.qlCalendarAdvance(Calendar,Z2089,NDays&amp;"D")</f>
        <v>53783</v>
      </c>
      <c r="AB2089" s="92">
        <v>1.4107634850566394E-2</v>
      </c>
      <c r="AC2089" s="101">
        <v>1.4091195936813961E-2</v>
      </c>
    </row>
    <row r="2090" spans="25:29" x14ac:dyDescent="0.2">
      <c r="Y2090" s="105" t="str">
        <f t="shared" si="66"/>
        <v>1w</v>
      </c>
      <c r="Z2090" s="93">
        <f>_xll.qlCalendarAdvance(Calendar,Z2089,Y2090,"f",FALSE)</f>
        <v>53786</v>
      </c>
      <c r="AA2090" s="117">
        <f>_xll.qlCalendarAdvance(Calendar,Z2090,NDays&amp;"D")</f>
        <v>53790</v>
      </c>
      <c r="AB2090" s="92">
        <v>1.4105051593312386E-2</v>
      </c>
      <c r="AC2090" s="101">
        <v>1.4088572505661645E-2</v>
      </c>
    </row>
    <row r="2091" spans="25:29" x14ac:dyDescent="0.2">
      <c r="Y2091" s="105" t="str">
        <f t="shared" si="66"/>
        <v>1w</v>
      </c>
      <c r="Z2091" s="93">
        <f>_xll.qlCalendarAdvance(Calendar,Z2090,Y2091,"f",FALSE)</f>
        <v>53793</v>
      </c>
      <c r="AA2091" s="117">
        <f>_xll.qlCalendarAdvance(Calendar,Z2091,NDays&amp;"D")</f>
        <v>53799</v>
      </c>
      <c r="AB2091" s="92">
        <v>1.4101737099517769E-2</v>
      </c>
      <c r="AC2091" s="101">
        <v>1.4085205841753989E-2</v>
      </c>
    </row>
    <row r="2092" spans="25:29" x14ac:dyDescent="0.2">
      <c r="Y2092" s="105" t="str">
        <f t="shared" si="66"/>
        <v>1w</v>
      </c>
      <c r="Z2092" s="93">
        <f>_xll.qlCalendarAdvance(Calendar,Z2091,Y2092,"f",FALSE)</f>
        <v>53800</v>
      </c>
      <c r="AA2092" s="117">
        <f>_xll.qlCalendarAdvance(Calendar,Z2092,NDays&amp;"D")</f>
        <v>53804</v>
      </c>
      <c r="AB2092" s="92">
        <v>1.4099899055085047E-2</v>
      </c>
      <c r="AC2092" s="101">
        <v>1.4083338562143055E-2</v>
      </c>
    </row>
    <row r="2093" spans="25:29" x14ac:dyDescent="0.2">
      <c r="Y2093" s="105" t="str">
        <f t="shared" si="66"/>
        <v>1w</v>
      </c>
      <c r="Z2093" s="93">
        <f>_xll.qlCalendarAdvance(Calendar,Z2092,Y2093,"f",FALSE)</f>
        <v>53807</v>
      </c>
      <c r="AA2093" s="117">
        <f>_xll.qlCalendarAdvance(Calendar,Z2093,NDays&amp;"D")</f>
        <v>53811</v>
      </c>
      <c r="AB2093" s="92">
        <v>1.4097329823074082E-2</v>
      </c>
      <c r="AC2093" s="101">
        <v>1.4080728098297968E-2</v>
      </c>
    </row>
    <row r="2094" spans="25:29" x14ac:dyDescent="0.2">
      <c r="Y2094" s="105" t="str">
        <f t="shared" si="66"/>
        <v>1w</v>
      </c>
      <c r="Z2094" s="93">
        <f>_xll.qlCalendarAdvance(Calendar,Z2093,Y2094,"f",FALSE)</f>
        <v>53814</v>
      </c>
      <c r="AA2094" s="117">
        <f>_xll.qlCalendarAdvance(Calendar,Z2094,NDays&amp;"D")</f>
        <v>53818</v>
      </c>
      <c r="AB2094" s="92">
        <v>1.4094859058673283E-2</v>
      </c>
      <c r="AC2094" s="101">
        <v>1.4078122005596327E-2</v>
      </c>
    </row>
    <row r="2095" spans="25:29" x14ac:dyDescent="0.2">
      <c r="Y2095" s="105" t="str">
        <f t="shared" si="66"/>
        <v>1w</v>
      </c>
      <c r="Z2095" s="93">
        <f>_xll.qlCalendarAdvance(Calendar,Z2094,Y2095,"f",FALSE)</f>
        <v>53821</v>
      </c>
      <c r="AA2095" s="117">
        <f>_xll.qlCalendarAdvance(Calendar,Z2095,NDays&amp;"D")</f>
        <v>53825</v>
      </c>
      <c r="AB2095" s="92">
        <v>1.4092299547146213E-2</v>
      </c>
      <c r="AC2095" s="101">
        <v>1.4075520308338696E-2</v>
      </c>
    </row>
    <row r="2096" spans="25:29" x14ac:dyDescent="0.2">
      <c r="Y2096" s="105" t="str">
        <f t="shared" si="66"/>
        <v>1w</v>
      </c>
      <c r="Z2096" s="93">
        <f>_xll.qlCalendarAdvance(Calendar,Z2095,Y2096,"f",FALSE)</f>
        <v>53828</v>
      </c>
      <c r="AA2096" s="117">
        <f>_xll.qlCalendarAdvance(Calendar,Z2096,NDays&amp;"D")</f>
        <v>53832</v>
      </c>
      <c r="AB2096" s="92">
        <v>1.4089744810574355E-2</v>
      </c>
      <c r="AC2096" s="101">
        <v>1.4072923030745699E-2</v>
      </c>
    </row>
    <row r="2097" spans="25:29" x14ac:dyDescent="0.2">
      <c r="Y2097" s="105" t="str">
        <f t="shared" si="66"/>
        <v>1w</v>
      </c>
      <c r="Z2097" s="93">
        <f>_xll.qlCalendarAdvance(Calendar,Z2096,Y2097,"f",FALSE)</f>
        <v>53835</v>
      </c>
      <c r="AA2097" s="117">
        <f>_xll.qlCalendarAdvance(Calendar,Z2097,NDays&amp;"D")</f>
        <v>53839</v>
      </c>
      <c r="AB2097" s="92">
        <v>1.4087194873439434E-2</v>
      </c>
      <c r="AC2097" s="101">
        <v>1.4070330197357706E-2</v>
      </c>
    </row>
    <row r="2098" spans="25:29" x14ac:dyDescent="0.2">
      <c r="Y2098" s="105" t="str">
        <f t="shared" si="66"/>
        <v>1w</v>
      </c>
      <c r="Z2098" s="93">
        <f>_xll.qlCalendarAdvance(Calendar,Z2097,Y2098,"f",FALSE)</f>
        <v>53842</v>
      </c>
      <c r="AA2098" s="117">
        <f>_xll.qlCalendarAdvance(Calendar,Z2098,NDays&amp;"D")</f>
        <v>53846</v>
      </c>
      <c r="AB2098" s="92">
        <v>1.4084555013254263E-2</v>
      </c>
      <c r="AC2098" s="101">
        <v>1.4067741832315406E-2</v>
      </c>
    </row>
    <row r="2099" spans="25:29" x14ac:dyDescent="0.2">
      <c r="Y2099" s="105" t="str">
        <f t="shared" si="66"/>
        <v>1w</v>
      </c>
      <c r="Z2099" s="93">
        <f>_xll.qlCalendarAdvance(Calendar,Z2098,Y2099,"f",FALSE)</f>
        <v>53849</v>
      </c>
      <c r="AA2099" s="117">
        <f>_xll.qlCalendarAdvance(Calendar,Z2099,NDays&amp;"D")</f>
        <v>53853</v>
      </c>
      <c r="AB2099" s="92">
        <v>1.4082014492699243E-2</v>
      </c>
      <c r="AC2099" s="101">
        <v>1.4065157959999297E-2</v>
      </c>
    </row>
    <row r="2100" spans="25:29" x14ac:dyDescent="0.2">
      <c r="Y2100" s="105" t="str">
        <f t="shared" si="66"/>
        <v>1w</v>
      </c>
      <c r="Z2100" s="93">
        <f>_xll.qlCalendarAdvance(Calendar,Z2099,Y2100,"f",FALSE)</f>
        <v>53856</v>
      </c>
      <c r="AA2100" s="117">
        <f>_xll.qlCalendarAdvance(Calendar,Z2100,NDays&amp;"D")</f>
        <v>53860</v>
      </c>
      <c r="AB2100" s="92">
        <v>1.4079478843067122E-2</v>
      </c>
      <c r="AC2100" s="101">
        <v>1.4062578604709941E-2</v>
      </c>
    </row>
    <row r="2101" spans="25:29" x14ac:dyDescent="0.2">
      <c r="Y2101" s="105" t="str">
        <f t="shared" si="66"/>
        <v>1w</v>
      </c>
      <c r="Z2101" s="93">
        <f>_xll.qlCalendarAdvance(Calendar,Z2100,Y2101,"f",FALSE)</f>
        <v>53863</v>
      </c>
      <c r="AA2101" s="117">
        <f>_xll.qlCalendarAdvance(Calendar,Z2101,NDays&amp;"D")</f>
        <v>53867</v>
      </c>
      <c r="AB2101" s="92">
        <v>1.4076948088839301E-2</v>
      </c>
      <c r="AC2101" s="101">
        <v>1.4060003790907771E-2</v>
      </c>
    </row>
    <row r="2102" spans="25:29" x14ac:dyDescent="0.2">
      <c r="Y2102" s="105" t="str">
        <f t="shared" si="66"/>
        <v>1w</v>
      </c>
      <c r="Z2102" s="93">
        <f>_xll.qlCalendarAdvance(Calendar,Z2101,Y2102,"f",FALSE)</f>
        <v>53870</v>
      </c>
      <c r="AA2102" s="117">
        <f>_xll.qlCalendarAdvance(Calendar,Z2102,NDays&amp;"D")</f>
        <v>53874</v>
      </c>
      <c r="AB2102" s="92">
        <v>1.4074613845750247E-2</v>
      </c>
      <c r="AC2102" s="101">
        <v>1.4057433542733477E-2</v>
      </c>
    </row>
    <row r="2103" spans="25:29" x14ac:dyDescent="0.2">
      <c r="Y2103" s="105" t="str">
        <f t="shared" si="66"/>
        <v>1w</v>
      </c>
      <c r="Z2103" s="93">
        <f>_xll.qlCalendarAdvance(Calendar,Z2102,Y2103,"f",FALSE)</f>
        <v>53877</v>
      </c>
      <c r="AA2103" s="117">
        <f>_xll.qlCalendarAdvance(Calendar,Z2103,NDays&amp;"D")</f>
        <v>53881</v>
      </c>
      <c r="AB2103" s="92">
        <v>1.4071997409730213E-2</v>
      </c>
      <c r="AC2103" s="101">
        <v>1.4054867884567557E-2</v>
      </c>
    </row>
    <row r="2104" spans="25:29" x14ac:dyDescent="0.2">
      <c r="Y2104" s="105" t="str">
        <f t="shared" si="66"/>
        <v>1w</v>
      </c>
      <c r="Z2104" s="93">
        <f>_xll.qlCalendarAdvance(Calendar,Z2103,Y2104,"f",FALSE)</f>
        <v>53884</v>
      </c>
      <c r="AA2104" s="117">
        <f>_xll.qlCalendarAdvance(Calendar,Z2104,NDays&amp;"D")</f>
        <v>53888</v>
      </c>
      <c r="AB2104" s="92">
        <v>1.406948175411335E-2</v>
      </c>
      <c r="AC2104" s="101">
        <v>1.4052306840710571E-2</v>
      </c>
    </row>
    <row r="2105" spans="25:29" x14ac:dyDescent="0.2">
      <c r="Y2105" s="105" t="str">
        <f t="shared" si="66"/>
        <v>1w</v>
      </c>
      <c r="Z2105" s="93">
        <f>_xll.qlCalendarAdvance(Calendar,Z2104,Y2105,"f",FALSE)</f>
        <v>53891</v>
      </c>
      <c r="AA2105" s="117">
        <f>_xll.qlCalendarAdvance(Calendar,Z2105,NDays&amp;"D")</f>
        <v>53895</v>
      </c>
      <c r="AB2105" s="92">
        <v>1.4066971093780238E-2</v>
      </c>
      <c r="AC2105" s="101">
        <v>1.4049750435622954E-2</v>
      </c>
    </row>
    <row r="2106" spans="25:29" x14ac:dyDescent="0.2">
      <c r="Y2106" s="105" t="str">
        <f t="shared" si="66"/>
        <v>1w</v>
      </c>
      <c r="Z2106" s="93">
        <f>_xll.qlCalendarAdvance(Calendar,Z2105,Y2106,"f",FALSE)</f>
        <v>53898</v>
      </c>
      <c r="AA2106" s="117">
        <f>_xll.qlCalendarAdvance(Calendar,Z2106,NDays&amp;"D")</f>
        <v>53902</v>
      </c>
      <c r="AB2106" s="92">
        <v>1.4064465453209125E-2</v>
      </c>
      <c r="AC2106" s="101">
        <v>1.4047198693525331E-2</v>
      </c>
    </row>
    <row r="2107" spans="25:29" x14ac:dyDescent="0.2">
      <c r="Y2107" s="105" t="str">
        <f t="shared" si="66"/>
        <v>1w</v>
      </c>
      <c r="Z2107" s="93">
        <f>_xll.qlCalendarAdvance(Calendar,Z2106,Y2107,"f",FALSE)</f>
        <v>53905</v>
      </c>
      <c r="AA2107" s="117">
        <f>_xll.qlCalendarAdvance(Calendar,Z2107,NDays&amp;"D")</f>
        <v>53909</v>
      </c>
      <c r="AB2107" s="92">
        <v>1.4061964856879992E-2</v>
      </c>
      <c r="AC2107" s="101">
        <v>1.4044651638718264E-2</v>
      </c>
    </row>
    <row r="2108" spans="25:29" x14ac:dyDescent="0.2">
      <c r="Y2108" s="105" t="str">
        <f t="shared" si="66"/>
        <v>1w</v>
      </c>
      <c r="Z2108" s="93">
        <f>_xll.qlCalendarAdvance(Calendar,Z2107,Y2108,"f",FALSE)</f>
        <v>53912</v>
      </c>
      <c r="AA2108" s="117">
        <f>_xll.qlCalendarAdvance(Calendar,Z2108,NDays&amp;"D")</f>
        <v>53916</v>
      </c>
      <c r="AB2108" s="92">
        <v>1.4059469329273691E-2</v>
      </c>
      <c r="AC2108" s="101">
        <v>1.4042109295502314E-2</v>
      </c>
    </row>
    <row r="2109" spans="25:29" x14ac:dyDescent="0.2">
      <c r="Y2109" s="105" t="str">
        <f t="shared" si="66"/>
        <v>1w</v>
      </c>
      <c r="Z2109" s="93">
        <f>_xll.qlCalendarAdvance(Calendar,Z2108,Y2109,"f",FALSE)</f>
        <v>53919</v>
      </c>
      <c r="AA2109" s="117">
        <f>_xll.qlCalendarAdvance(Calendar,Z2109,NDays&amp;"D")</f>
        <v>53923</v>
      </c>
      <c r="AB2109" s="92">
        <v>1.4056978894869773E-2</v>
      </c>
      <c r="AC2109" s="101">
        <v>1.4039571688417851E-2</v>
      </c>
    </row>
    <row r="2110" spans="25:29" x14ac:dyDescent="0.2">
      <c r="Y2110" s="105" t="str">
        <f t="shared" si="66"/>
        <v>1w</v>
      </c>
      <c r="Z2110" s="93">
        <f>_xll.qlCalendarAdvance(Calendar,Z2109,Y2110,"f",FALSE)</f>
        <v>53926</v>
      </c>
      <c r="AA2110" s="117">
        <f>_xll.qlCalendarAdvance(Calendar,Z2110,NDays&amp;"D")</f>
        <v>53930</v>
      </c>
      <c r="AB2110" s="92">
        <v>1.4054493578149523E-2</v>
      </c>
      <c r="AC2110" s="101">
        <v>1.4037038841685501E-2</v>
      </c>
    </row>
    <row r="2111" spans="25:29" x14ac:dyDescent="0.2">
      <c r="Y2111" s="105" t="str">
        <f t="shared" si="66"/>
        <v>1w</v>
      </c>
      <c r="Z2111" s="93">
        <f>_xll.qlCalendarAdvance(Calendar,Z2110,Y2111,"f",FALSE)</f>
        <v>53933</v>
      </c>
      <c r="AA2111" s="117">
        <f>_xll.qlCalendarAdvance(Calendar,Z2111,NDays&amp;"D")</f>
        <v>53937</v>
      </c>
      <c r="AB2111" s="92">
        <v>1.4051816984530337E-2</v>
      </c>
      <c r="AC2111" s="101">
        <v>1.403451077928608E-2</v>
      </c>
    </row>
    <row r="2112" spans="25:29" x14ac:dyDescent="0.2">
      <c r="Y2112" s="105" t="str">
        <f t="shared" si="66"/>
        <v>1w</v>
      </c>
      <c r="Z2112" s="93">
        <f>_xll.qlCalendarAdvance(Calendar,Z2111,Y2112,"f",FALSE)</f>
        <v>53940</v>
      </c>
      <c r="AA2112" s="117">
        <f>_xll.qlCalendarAdvance(Calendar,Z2112,NDays&amp;"D")</f>
        <v>53944</v>
      </c>
      <c r="AB2112" s="92">
        <v>1.4049341414341934E-2</v>
      </c>
      <c r="AC2112" s="101">
        <v>1.4031987526159639E-2</v>
      </c>
    </row>
    <row r="2113" spans="25:29" x14ac:dyDescent="0.2">
      <c r="Y2113" s="105" t="str">
        <f t="shared" si="66"/>
        <v>1w</v>
      </c>
      <c r="Z2113" s="93">
        <f>_xll.qlCalendarAdvance(Calendar,Z2112,Y2113,"f",FALSE)</f>
        <v>53947</v>
      </c>
      <c r="AA2113" s="117">
        <f>_xll.qlCalendarAdvance(Calendar,Z2113,NDays&amp;"D")</f>
        <v>53951</v>
      </c>
      <c r="AB2113" s="92">
        <v>1.4046871031340913E-2</v>
      </c>
      <c r="AC2113" s="101">
        <v>1.4029469106127124E-2</v>
      </c>
    </row>
    <row r="2114" spans="25:29" x14ac:dyDescent="0.2">
      <c r="Y2114" s="105" t="str">
        <f t="shared" si="66"/>
        <v>1w</v>
      </c>
      <c r="Z2114" s="93">
        <f>_xll.qlCalendarAdvance(Calendar,Z2113,Y2114,"f",FALSE)</f>
        <v>53954</v>
      </c>
      <c r="AA2114" s="117">
        <f>_xll.qlCalendarAdvance(Calendar,Z2114,NDays&amp;"D")</f>
        <v>53958</v>
      </c>
      <c r="AB2114" s="92">
        <v>1.4044405860005278E-2</v>
      </c>
      <c r="AC2114" s="101">
        <v>1.4026955543808839E-2</v>
      </c>
    </row>
    <row r="2115" spans="25:29" x14ac:dyDescent="0.2">
      <c r="Y2115" s="105" t="str">
        <f t="shared" si="66"/>
        <v>1w</v>
      </c>
      <c r="Z2115" s="93">
        <f>_xll.qlCalendarAdvance(Calendar,Z2114,Y2115,"f",FALSE)</f>
        <v>53961</v>
      </c>
      <c r="AA2115" s="117">
        <f>_xll.qlCalendarAdvance(Calendar,Z2115,NDays&amp;"D")</f>
        <v>53965</v>
      </c>
      <c r="AB2115" s="92">
        <v>1.4042045255466091E-2</v>
      </c>
      <c r="AC2115" s="101">
        <v>1.4024446863265538E-2</v>
      </c>
    </row>
    <row r="2116" spans="25:29" x14ac:dyDescent="0.2">
      <c r="Y2116" s="105" t="str">
        <f t="shared" si="66"/>
        <v>1w</v>
      </c>
      <c r="Z2116" s="93">
        <f>_xll.qlCalendarAdvance(Calendar,Z2115,Y2116,"f",FALSE)</f>
        <v>53968</v>
      </c>
      <c r="AA2116" s="117">
        <f>_xll.qlCalendarAdvance(Calendar,Z2116,NDays&amp;"D")</f>
        <v>53972</v>
      </c>
      <c r="AB2116" s="92">
        <v>1.403959086980657E-2</v>
      </c>
      <c r="AC2116" s="101">
        <v>1.4021943089197464E-2</v>
      </c>
    </row>
    <row r="2117" spans="25:29" x14ac:dyDescent="0.2">
      <c r="Y2117" s="105" t="str">
        <f t="shared" si="66"/>
        <v>1w</v>
      </c>
      <c r="Z2117" s="93">
        <f>_xll.qlCalendarAdvance(Calendar,Z2116,Y2117,"f",FALSE)</f>
        <v>53975</v>
      </c>
      <c r="AA2117" s="117">
        <f>_xll.qlCalendarAdvance(Calendar,Z2117,NDays&amp;"D")</f>
        <v>53979</v>
      </c>
      <c r="AB2117" s="92">
        <v>1.4037141771216193E-2</v>
      </c>
      <c r="AC2117" s="101">
        <v>1.4019444245505497E-2</v>
      </c>
    </row>
    <row r="2118" spans="25:29" x14ac:dyDescent="0.2">
      <c r="Y2118" s="105" t="str">
        <f t="shared" si="66"/>
        <v>1w</v>
      </c>
      <c r="Z2118" s="93">
        <f>_xll.qlCalendarAdvance(Calendar,Z2117,Y2118,"f",FALSE)</f>
        <v>53982</v>
      </c>
      <c r="AA2118" s="117">
        <f>_xll.qlCalendarAdvance(Calendar,Z2118,NDays&amp;"D")</f>
        <v>53986</v>
      </c>
      <c r="AB2118" s="92">
        <v>1.4034697984173738E-2</v>
      </c>
      <c r="AC2118" s="101">
        <v>1.4016950356809943E-2</v>
      </c>
    </row>
    <row r="2119" spans="25:29" x14ac:dyDescent="0.2">
      <c r="Y2119" s="105" t="str">
        <f t="shared" si="66"/>
        <v>1w</v>
      </c>
      <c r="Z2119" s="93">
        <f>_xll.qlCalendarAdvance(Calendar,Z2118,Y2119,"f",FALSE)</f>
        <v>53989</v>
      </c>
      <c r="AA2119" s="117">
        <f>_xll.qlCalendarAdvance(Calendar,Z2119,NDays&amp;"D")</f>
        <v>53993</v>
      </c>
      <c r="AB2119" s="92">
        <v>1.4032259533156675E-2</v>
      </c>
      <c r="AC2119" s="101">
        <v>1.4014461447331428E-2</v>
      </c>
    </row>
    <row r="2120" spans="25:29" x14ac:dyDescent="0.2">
      <c r="Y2120" s="105" t="str">
        <f t="shared" si="66"/>
        <v>1w</v>
      </c>
      <c r="Z2120" s="93">
        <f>_xll.qlCalendarAdvance(Calendar,Z2119,Y2120,"f",FALSE)</f>
        <v>53996</v>
      </c>
      <c r="AA2120" s="117">
        <f>_xll.qlCalendarAdvance(Calendar,Z2120,NDays&amp;"D")</f>
        <v>54000</v>
      </c>
      <c r="AB2120" s="92">
        <v>1.402972564771905E-2</v>
      </c>
      <c r="AC2120" s="101">
        <v>1.4011977541450449E-2</v>
      </c>
    </row>
    <row r="2121" spans="25:29" x14ac:dyDescent="0.2">
      <c r="Y2121" s="105" t="str">
        <f t="shared" si="66"/>
        <v>1w</v>
      </c>
      <c r="Z2121" s="93">
        <f>_xll.qlCalendarAdvance(Calendar,Z2120,Y2121,"f",FALSE)</f>
        <v>54003</v>
      </c>
      <c r="AA2121" s="117">
        <f>_xll.qlCalendarAdvance(Calendar,Z2121,NDays&amp;"D")</f>
        <v>54007</v>
      </c>
      <c r="AB2121" s="92">
        <v>1.4027297643415943E-2</v>
      </c>
      <c r="AC2121" s="101">
        <v>1.4009498663467568E-2</v>
      </c>
    </row>
    <row r="2122" spans="25:29" x14ac:dyDescent="0.2">
      <c r="Y2122" s="105" t="str">
        <f t="shared" si="66"/>
        <v>1w</v>
      </c>
      <c r="Z2122" s="93">
        <f>_xll.qlCalendarAdvance(Calendar,Z2121,Y2122,"f",FALSE)</f>
        <v>54010</v>
      </c>
      <c r="AA2122" s="117">
        <f>_xll.qlCalendarAdvance(Calendar,Z2122,NDays&amp;"D")</f>
        <v>54014</v>
      </c>
      <c r="AB2122" s="92">
        <v>1.4024875046599604E-2</v>
      </c>
      <c r="AC2122" s="101">
        <v>1.4007024837523474E-2</v>
      </c>
    </row>
    <row r="2123" spans="25:29" x14ac:dyDescent="0.2">
      <c r="Y2123" s="105" t="str">
        <f t="shared" si="66"/>
        <v>1w</v>
      </c>
      <c r="Z2123" s="93">
        <f>_xll.qlCalendarAdvance(Calendar,Z2122,Y2123,"f",FALSE)</f>
        <v>54017</v>
      </c>
      <c r="AA2123" s="117">
        <f>_xll.qlCalendarAdvance(Calendar,Z2123,NDays&amp;"D")</f>
        <v>54021</v>
      </c>
      <c r="AB2123" s="92">
        <v>1.4022457881745835E-2</v>
      </c>
      <c r="AC2123" s="101">
        <v>1.4004556088318409E-2</v>
      </c>
    </row>
    <row r="2124" spans="25:29" x14ac:dyDescent="0.2">
      <c r="Y2124" s="105" t="str">
        <f t="shared" si="66"/>
        <v>1w</v>
      </c>
      <c r="Z2124" s="93">
        <f>_xll.qlCalendarAdvance(Calendar,Z2123,Y2124,"f",FALSE)</f>
        <v>54024</v>
      </c>
      <c r="AA2124" s="117">
        <f>_xll.qlCalendarAdvance(Calendar,Z2124,NDays&amp;"D")</f>
        <v>54028</v>
      </c>
      <c r="AB2124" s="92">
        <v>1.4020148175196865E-2</v>
      </c>
      <c r="AC2124" s="101">
        <v>1.4002092439913127E-2</v>
      </c>
    </row>
    <row r="2125" spans="25:29" x14ac:dyDescent="0.2">
      <c r="Y2125" s="105" t="str">
        <f t="shared" si="66"/>
        <v>1w</v>
      </c>
      <c r="Z2125" s="93">
        <f>_xll.qlCalendarAdvance(Calendar,Z2124,Y2125,"f",FALSE)</f>
        <v>54031</v>
      </c>
      <c r="AA2125" s="117">
        <f>_xll.qlCalendarAdvance(Calendar,Z2125,NDays&amp;"D")</f>
        <v>54035</v>
      </c>
      <c r="AB2125" s="92">
        <v>1.4017742254376044E-2</v>
      </c>
      <c r="AC2125" s="101">
        <v>1.399963391660819E-2</v>
      </c>
    </row>
    <row r="2126" spans="25:29" x14ac:dyDescent="0.2">
      <c r="Y2126" s="105" t="str">
        <f t="shared" si="66"/>
        <v>1w</v>
      </c>
      <c r="Z2126" s="93">
        <f>_xll.qlCalendarAdvance(Calendar,Z2125,Y2126,"f",FALSE)</f>
        <v>54038</v>
      </c>
      <c r="AA2126" s="117">
        <f>_xll.qlCalendarAdvance(Calendar,Z2126,NDays&amp;"D")</f>
        <v>54042</v>
      </c>
      <c r="AB2126" s="92">
        <v>1.4015341840928579E-2</v>
      </c>
      <c r="AC2126" s="101">
        <v>1.3997180542943966E-2</v>
      </c>
    </row>
    <row r="2127" spans="25:29" x14ac:dyDescent="0.2">
      <c r="Y2127" s="105" t="str">
        <f t="shared" si="66"/>
        <v>1w</v>
      </c>
      <c r="Z2127" s="93">
        <f>_xll.qlCalendarAdvance(Calendar,Z2126,Y2127,"f",FALSE)</f>
        <v>54045</v>
      </c>
      <c r="AA2127" s="117">
        <f>_xll.qlCalendarAdvance(Calendar,Z2127,NDays&amp;"D")</f>
        <v>54049</v>
      </c>
      <c r="AB2127" s="92">
        <v>1.4012946959329317E-2</v>
      </c>
      <c r="AC2127" s="101">
        <v>1.3994732343061145E-2</v>
      </c>
    </row>
    <row r="2128" spans="25:29" x14ac:dyDescent="0.2">
      <c r="Y2128" s="105" t="str">
        <f t="shared" si="66"/>
        <v>1w</v>
      </c>
      <c r="Z2128" s="93">
        <f>_xll.qlCalendarAdvance(Calendar,Z2127,Y2128,"f",FALSE)</f>
        <v>54053</v>
      </c>
      <c r="AA2128" s="117">
        <f>_xll.qlCalendarAdvance(Calendar,Z2128,NDays&amp;"D")</f>
        <v>54057</v>
      </c>
      <c r="AB2128" s="92">
        <v>1.4010113471622723E-2</v>
      </c>
      <c r="AC2128" s="101">
        <v>1.3992038435044485E-2</v>
      </c>
    </row>
    <row r="2129" spans="25:29" x14ac:dyDescent="0.2">
      <c r="Y2129" s="105" t="str">
        <f t="shared" si="66"/>
        <v>1w</v>
      </c>
      <c r="Z2129" s="93">
        <f>_xll.qlCalendarAdvance(Calendar,Z2128,Y2129,"f",FALSE)</f>
        <v>54060</v>
      </c>
      <c r="AA2129" s="117">
        <f>_xll.qlCalendarAdvance(Calendar,Z2129,NDays&amp;"D")</f>
        <v>54064</v>
      </c>
      <c r="AB2129" s="92">
        <v>1.4007730211538496E-2</v>
      </c>
      <c r="AC2129" s="101">
        <v>1.3989503735674091E-2</v>
      </c>
    </row>
    <row r="2130" spans="25:29" x14ac:dyDescent="0.2">
      <c r="Y2130" s="105" t="str">
        <f t="shared" si="66"/>
        <v>1w</v>
      </c>
      <c r="Z2130" s="93">
        <f>_xll.qlCalendarAdvance(Calendar,Z2129,Y2130,"f",FALSE)</f>
        <v>54067</v>
      </c>
      <c r="AA2130" s="117">
        <f>_xll.qlCalendarAdvance(Calendar,Z2130,NDays&amp;"D")</f>
        <v>54071</v>
      </c>
      <c r="AB2130" s="92">
        <v>1.4005352558251494E-2</v>
      </c>
      <c r="AC2130" s="101">
        <v>1.3987071954657537E-2</v>
      </c>
    </row>
    <row r="2131" spans="25:29" x14ac:dyDescent="0.2">
      <c r="Y2131" s="105" t="str">
        <f t="shared" si="66"/>
        <v>1w</v>
      </c>
      <c r="Z2131" s="93">
        <f>_xll.qlCalendarAdvance(Calendar,Z2130,Y2131,"f",FALSE)</f>
        <v>54074</v>
      </c>
      <c r="AA2131" s="117">
        <f>_xll.qlCalendarAdvance(Calendar,Z2131,NDays&amp;"D")</f>
        <v>54078</v>
      </c>
      <c r="AB2131" s="92">
        <v>1.4002980536240156E-2</v>
      </c>
      <c r="AC2131" s="101">
        <v>1.3984645448461563E-2</v>
      </c>
    </row>
    <row r="2132" spans="25:29" x14ac:dyDescent="0.2">
      <c r="Y2132" s="105" t="str">
        <f t="shared" si="66"/>
        <v>1w</v>
      </c>
      <c r="Z2132" s="93">
        <f>_xll.qlCalendarAdvance(Calendar,Z2131,Y2132,"f",FALSE)</f>
        <v>54081</v>
      </c>
      <c r="AA2132" s="117">
        <f>_xll.qlCalendarAdvance(Calendar,Z2132,NDays&amp;"D")</f>
        <v>54085</v>
      </c>
      <c r="AB2132" s="92">
        <v>1.4000614169978973E-2</v>
      </c>
      <c r="AC2132" s="101">
        <v>1.3982224241066987E-2</v>
      </c>
    </row>
    <row r="2133" spans="25:29" x14ac:dyDescent="0.2">
      <c r="Y2133" s="105" t="str">
        <f t="shared" ref="Y2133:Y2196" si="67">Y2132</f>
        <v>1w</v>
      </c>
      <c r="Z2133" s="93">
        <f>_xll.qlCalendarAdvance(Calendar,Z2132,Y2133,"f",FALSE)</f>
        <v>54088</v>
      </c>
      <c r="AA2133" s="117">
        <f>_xll.qlCalendarAdvance(Calendar,Z2133,NDays&amp;"D")</f>
        <v>54092</v>
      </c>
      <c r="AB2133" s="92">
        <v>1.3998253483946824E-2</v>
      </c>
      <c r="AC2133" s="101">
        <v>1.3979808357014178E-2</v>
      </c>
    </row>
    <row r="2134" spans="25:29" x14ac:dyDescent="0.2">
      <c r="Y2134" s="105" t="str">
        <f t="shared" si="67"/>
        <v>1w</v>
      </c>
      <c r="Z2134" s="93">
        <f>_xll.qlCalendarAdvance(Calendar,Z2133,Y2134,"f",FALSE)</f>
        <v>54095</v>
      </c>
      <c r="AA2134" s="117">
        <f>_xll.qlCalendarAdvance(Calendar,Z2134,NDays&amp;"D")</f>
        <v>54099</v>
      </c>
      <c r="AB2134" s="92">
        <v>1.3995898502618636E-2</v>
      </c>
      <c r="AC2134" s="101">
        <v>1.3977397820523763E-2</v>
      </c>
    </row>
    <row r="2135" spans="25:29" x14ac:dyDescent="0.2">
      <c r="Y2135" s="105" t="str">
        <f t="shared" si="67"/>
        <v>1w</v>
      </c>
      <c r="Z2135" s="93">
        <f>_xll.qlCalendarAdvance(Calendar,Z2134,Y2135,"f",FALSE)</f>
        <v>54102</v>
      </c>
      <c r="AA2135" s="117">
        <f>_xll.qlCalendarAdvance(Calendar,Z2135,NDays&amp;"D")</f>
        <v>54106</v>
      </c>
      <c r="AB2135" s="92">
        <v>1.3993549250470217E-2</v>
      </c>
      <c r="AC2135" s="101">
        <v>1.3974992655896301E-2</v>
      </c>
    </row>
    <row r="2136" spans="25:29" x14ac:dyDescent="0.2">
      <c r="Y2136" s="105" t="str">
        <f t="shared" si="67"/>
        <v>1w</v>
      </c>
      <c r="Z2136" s="93">
        <f>_xll.qlCalendarAdvance(Calendar,Z2135,Y2136,"f",FALSE)</f>
        <v>54109</v>
      </c>
      <c r="AA2136" s="117">
        <f>_xll.qlCalendarAdvance(Calendar,Z2136,NDays&amp;"D")</f>
        <v>54113</v>
      </c>
      <c r="AB2136" s="92">
        <v>1.3991205751979569E-2</v>
      </c>
      <c r="AC2136" s="101">
        <v>1.3972592887672164E-2</v>
      </c>
    </row>
    <row r="2137" spans="25:29" x14ac:dyDescent="0.2">
      <c r="Y2137" s="105" t="str">
        <f t="shared" si="67"/>
        <v>1w</v>
      </c>
      <c r="Z2137" s="93">
        <f>_xll.qlCalendarAdvance(Calendar,Z2136,Y2137,"f",FALSE)</f>
        <v>54116</v>
      </c>
      <c r="AA2137" s="117">
        <f>_xll.qlCalendarAdvance(Calendar,Z2137,NDays&amp;"D")</f>
        <v>54120</v>
      </c>
      <c r="AB2137" s="92">
        <v>1.3989080447502187E-2</v>
      </c>
      <c r="AC2137" s="101">
        <v>1.3970198539752232E-2</v>
      </c>
    </row>
    <row r="2138" spans="25:29" x14ac:dyDescent="0.2">
      <c r="Y2138" s="105" t="str">
        <f t="shared" si="67"/>
        <v>1w</v>
      </c>
      <c r="Z2138" s="93">
        <f>_xll.qlCalendarAdvance(Calendar,Z2137,Y2138,"f",FALSE)</f>
        <v>54123</v>
      </c>
      <c r="AA2138" s="117">
        <f>_xll.qlCalendarAdvance(Calendar,Z2138,NDays&amp;"D")</f>
        <v>54127</v>
      </c>
      <c r="AB2138" s="92">
        <v>1.3986749195428196E-2</v>
      </c>
      <c r="AC2138" s="101">
        <v>1.3967809636836748E-2</v>
      </c>
    </row>
    <row r="2139" spans="25:29" x14ac:dyDescent="0.2">
      <c r="Y2139" s="105" t="str">
        <f t="shared" si="67"/>
        <v>1w</v>
      </c>
      <c r="Z2139" s="93">
        <f>_xll.qlCalendarAdvance(Calendar,Z2138,Y2139,"f",FALSE)</f>
        <v>54130</v>
      </c>
      <c r="AA2139" s="117">
        <f>_xll.qlCalendarAdvance(Calendar,Z2139,NDays&amp;"D")</f>
        <v>54134</v>
      </c>
      <c r="AB2139" s="92">
        <v>1.3984423774417226E-2</v>
      </c>
      <c r="AC2139" s="101">
        <v>1.3965426203306208E-2</v>
      </c>
    </row>
    <row r="2140" spans="25:29" x14ac:dyDescent="0.2">
      <c r="Y2140" s="105" t="str">
        <f t="shared" si="67"/>
        <v>1w</v>
      </c>
      <c r="Z2140" s="93">
        <f>_xll.qlCalendarAdvance(Calendar,Z2139,Y2140,"f",FALSE)</f>
        <v>54137</v>
      </c>
      <c r="AA2140" s="117">
        <f>_xll.qlCalendarAdvance(Calendar,Z2140,NDays&amp;"D")</f>
        <v>54141</v>
      </c>
      <c r="AB2140" s="92">
        <v>1.3982104208947093E-2</v>
      </c>
      <c r="AC2140" s="101">
        <v>1.3963048263061495E-2</v>
      </c>
    </row>
    <row r="2141" spans="25:29" x14ac:dyDescent="0.2">
      <c r="Y2141" s="105" t="str">
        <f t="shared" si="67"/>
        <v>1w</v>
      </c>
      <c r="Z2141" s="93">
        <f>_xll.qlCalendarAdvance(Calendar,Z2140,Y2141,"f",FALSE)</f>
        <v>54144</v>
      </c>
      <c r="AA2141" s="117">
        <f>_xll.qlCalendarAdvance(Calendar,Z2141,NDays&amp;"D")</f>
        <v>54148</v>
      </c>
      <c r="AB2141" s="92">
        <v>1.3979682954472931E-2</v>
      </c>
      <c r="AC2141" s="101">
        <v>1.3960675840722914E-2</v>
      </c>
    </row>
    <row r="2142" spans="25:29" x14ac:dyDescent="0.2">
      <c r="Y2142" s="105" t="str">
        <f t="shared" si="67"/>
        <v>1w</v>
      </c>
      <c r="Z2142" s="93">
        <f>_xll.qlCalendarAdvance(Calendar,Z2141,Y2142,"f",FALSE)</f>
        <v>54155</v>
      </c>
      <c r="AA2142" s="117">
        <f>_xll.qlCalendarAdvance(Calendar,Z2142,NDays&amp;"D")</f>
        <v>54157</v>
      </c>
      <c r="AB2142" s="92">
        <v>1.3976716456792862E-2</v>
      </c>
      <c r="AC2142" s="101">
        <v>1.3957633730639074E-2</v>
      </c>
    </row>
    <row r="2143" spans="25:29" x14ac:dyDescent="0.2">
      <c r="Y2143" s="105" t="str">
        <f t="shared" si="67"/>
        <v>1w</v>
      </c>
      <c r="Z2143" s="93">
        <f>_xll.qlCalendarAdvance(Calendar,Z2142,Y2143,"f",FALSE)</f>
        <v>54162</v>
      </c>
      <c r="AA2143" s="117">
        <f>_xll.qlCalendarAdvance(Calendar,Z2143,NDays&amp;"D")</f>
        <v>54164</v>
      </c>
      <c r="AB2143" s="92">
        <v>1.3974415959841457E-2</v>
      </c>
      <c r="AC2143" s="101">
        <v>1.3955274011978602E-2</v>
      </c>
    </row>
    <row r="2144" spans="25:29" x14ac:dyDescent="0.2">
      <c r="Y2144" s="105" t="str">
        <f t="shared" si="67"/>
        <v>1w</v>
      </c>
      <c r="Z2144" s="93">
        <f>_xll.qlCalendarAdvance(Calendar,Z2143,Y2144,"f",FALSE)</f>
        <v>54169</v>
      </c>
      <c r="AA2144" s="117">
        <f>_xll.qlCalendarAdvance(Calendar,Z2144,NDays&amp;"D")</f>
        <v>54171</v>
      </c>
      <c r="AB2144" s="92">
        <v>1.3972121421340397E-2</v>
      </c>
      <c r="AC2144" s="101">
        <v>1.3952919891000448E-2</v>
      </c>
    </row>
    <row r="2145" spans="25:29" x14ac:dyDescent="0.2">
      <c r="Y2145" s="105" t="str">
        <f t="shared" si="67"/>
        <v>1w</v>
      </c>
      <c r="Z2145" s="93">
        <f>_xll.qlCalendarAdvance(Calendar,Z2144,Y2145,"f",FALSE)</f>
        <v>54176</v>
      </c>
      <c r="AA2145" s="117">
        <f>_xll.qlCalendarAdvance(Calendar,Z2145,NDays&amp;"D")</f>
        <v>54178</v>
      </c>
      <c r="AB2145" s="92">
        <v>1.3969832865767589E-2</v>
      </c>
      <c r="AC2145" s="101">
        <v>1.3950879821167383E-2</v>
      </c>
    </row>
    <row r="2146" spans="25:29" x14ac:dyDescent="0.2">
      <c r="Y2146" s="105" t="str">
        <f t="shared" si="67"/>
        <v>1w</v>
      </c>
      <c r="Z2146" s="93">
        <f>_xll.qlCalendarAdvance(Calendar,Z2145,Y2146,"f",FALSE)</f>
        <v>54183</v>
      </c>
      <c r="AA2146" s="117">
        <f>_xll.qlCalendarAdvance(Calendar,Z2146,NDays&amp;"D")</f>
        <v>54185</v>
      </c>
      <c r="AB2146" s="92">
        <v>1.39678786080745E-2</v>
      </c>
      <c r="AC2146" s="101">
        <v>1.3948228540012764E-2</v>
      </c>
    </row>
    <row r="2147" spans="25:29" x14ac:dyDescent="0.2">
      <c r="Y2147" s="105" t="str">
        <f t="shared" si="67"/>
        <v>1w</v>
      </c>
      <c r="Z2147" s="93">
        <f>_xll.qlCalendarAdvance(Calendar,Z2146,Y2147,"f",FALSE)</f>
        <v>54190</v>
      </c>
      <c r="AA2147" s="117">
        <f>_xll.qlCalendarAdvance(Calendar,Z2147,NDays&amp;"D")</f>
        <v>54192</v>
      </c>
      <c r="AB2147" s="92">
        <v>1.3965603146696469E-2</v>
      </c>
      <c r="AC2147" s="101">
        <v>1.394589135852442E-2</v>
      </c>
    </row>
    <row r="2148" spans="25:29" x14ac:dyDescent="0.2">
      <c r="Y2148" s="105" t="str">
        <f t="shared" si="67"/>
        <v>1w</v>
      </c>
      <c r="Z2148" s="93">
        <f>_xll.qlCalendarAdvance(Calendar,Z2147,Y2148,"f",FALSE)</f>
        <v>54197</v>
      </c>
      <c r="AA2148" s="117">
        <f>_xll.qlCalendarAdvance(Calendar,Z2148,NDays&amp;"D")</f>
        <v>54199</v>
      </c>
      <c r="AB2148" s="92">
        <v>1.3963333747666052E-2</v>
      </c>
      <c r="AC2148" s="101">
        <v>1.3943559872000577E-2</v>
      </c>
    </row>
    <row r="2149" spans="25:29" x14ac:dyDescent="0.2">
      <c r="Y2149" s="105" t="str">
        <f t="shared" si="67"/>
        <v>1w</v>
      </c>
      <c r="Z2149" s="93">
        <f>_xll.qlCalendarAdvance(Calendar,Z2148,Y2149,"f",FALSE)</f>
        <v>54204</v>
      </c>
      <c r="AA2149" s="117">
        <f>_xll.qlCalendarAdvance(Calendar,Z2149,NDays&amp;"D")</f>
        <v>54206</v>
      </c>
      <c r="AB2149" s="92">
        <v>1.3961070435461732E-2</v>
      </c>
      <c r="AC2149" s="101">
        <v>1.3941234104901667E-2</v>
      </c>
    </row>
    <row r="2150" spans="25:29" x14ac:dyDescent="0.2">
      <c r="Y2150" s="105" t="str">
        <f t="shared" si="67"/>
        <v>1w</v>
      </c>
      <c r="Z2150" s="93">
        <f>_xll.qlCalendarAdvance(Calendar,Z2149,Y2150,"f",FALSE)</f>
        <v>54211</v>
      </c>
      <c r="AA2150" s="117">
        <f>_xll.qlCalendarAdvance(Calendar,Z2150,NDays&amp;"D")</f>
        <v>54213</v>
      </c>
      <c r="AB2150" s="92">
        <v>1.3958480688493745E-2</v>
      </c>
      <c r="AC2150" s="101">
        <v>1.3938914081608189E-2</v>
      </c>
    </row>
    <row r="2151" spans="25:29" x14ac:dyDescent="0.2">
      <c r="Y2151" s="105" t="str">
        <f t="shared" si="67"/>
        <v>1w</v>
      </c>
      <c r="Z2151" s="93">
        <f>_xll.qlCalendarAdvance(Calendar,Z2150,Y2151,"f",FALSE)</f>
        <v>54218</v>
      </c>
      <c r="AA2151" s="117">
        <f>_xll.qlCalendarAdvance(Calendar,Z2151,NDays&amp;"D")</f>
        <v>54220</v>
      </c>
      <c r="AB2151" s="92">
        <v>1.3956228544490652E-2</v>
      </c>
      <c r="AC2151" s="101">
        <v>1.3936599826420704E-2</v>
      </c>
    </row>
    <row r="2152" spans="25:29" x14ac:dyDescent="0.2">
      <c r="Y2152" s="105" t="str">
        <f t="shared" si="67"/>
        <v>1w</v>
      </c>
      <c r="Z2152" s="93">
        <f>_xll.qlCalendarAdvance(Calendar,Z2151,Y2152,"f",FALSE)</f>
        <v>54225</v>
      </c>
      <c r="AA2152" s="117">
        <f>_xll.qlCalendarAdvance(Calendar,Z2152,NDays&amp;"D")</f>
        <v>54227</v>
      </c>
      <c r="AB2152" s="92">
        <v>1.3953982554751105E-2</v>
      </c>
      <c r="AC2152" s="101">
        <v>1.3934291363559836E-2</v>
      </c>
    </row>
    <row r="2153" spans="25:29" x14ac:dyDescent="0.2">
      <c r="Y2153" s="105" t="str">
        <f t="shared" si="67"/>
        <v>1w</v>
      </c>
      <c r="Z2153" s="93">
        <f>_xll.qlCalendarAdvance(Calendar,Z2152,Y2153,"f",FALSE)</f>
        <v>54232</v>
      </c>
      <c r="AA2153" s="117">
        <f>_xll.qlCalendarAdvance(Calendar,Z2153,NDays&amp;"D")</f>
        <v>54234</v>
      </c>
      <c r="AB2153" s="92">
        <v>1.395207854448369E-2</v>
      </c>
      <c r="AC2153" s="101">
        <v>1.3931988717565957E-2</v>
      </c>
    </row>
    <row r="2154" spans="25:29" x14ac:dyDescent="0.2">
      <c r="Y2154" s="105" t="str">
        <f t="shared" si="67"/>
        <v>1w</v>
      </c>
      <c r="Z2154" s="93">
        <f>_xll.qlCalendarAdvance(Calendar,Z2153,Y2154,"f",FALSE)</f>
        <v>54239</v>
      </c>
      <c r="AA2154" s="117">
        <f>_xll.qlCalendarAdvance(Calendar,Z2154,NDays&amp;"D")</f>
        <v>54241</v>
      </c>
      <c r="AB2154" s="92">
        <v>1.3949846033590549E-2</v>
      </c>
      <c r="AC2154" s="101">
        <v>1.3929691912339948E-2</v>
      </c>
    </row>
    <row r="2155" spans="25:29" x14ac:dyDescent="0.2">
      <c r="Y2155" s="105" t="str">
        <f t="shared" si="67"/>
        <v>1w</v>
      </c>
      <c r="Z2155" s="93">
        <f>_xll.qlCalendarAdvance(Calendar,Z2154,Y2155,"f",FALSE)</f>
        <v>54246</v>
      </c>
      <c r="AA2155" s="117">
        <f>_xll.qlCalendarAdvance(Calendar,Z2155,NDays&amp;"D")</f>
        <v>54248</v>
      </c>
      <c r="AB2155" s="92">
        <v>1.3947619756396556E-2</v>
      </c>
      <c r="AC2155" s="101">
        <v>1.3927400972741921E-2</v>
      </c>
    </row>
    <row r="2156" spans="25:29" x14ac:dyDescent="0.2">
      <c r="Y2156" s="105" t="str">
        <f t="shared" si="67"/>
        <v>1w</v>
      </c>
      <c r="Z2156" s="93">
        <f>_xll.qlCalendarAdvance(Calendar,Z2155,Y2156,"f",FALSE)</f>
        <v>54253</v>
      </c>
      <c r="AA2156" s="117">
        <f>_xll.qlCalendarAdvance(Calendar,Z2156,NDays&amp;"D")</f>
        <v>54255</v>
      </c>
      <c r="AB2156" s="92">
        <v>1.3945399737378475E-2</v>
      </c>
      <c r="AC2156" s="101">
        <v>1.3925115922752695E-2</v>
      </c>
    </row>
    <row r="2157" spans="25:29" x14ac:dyDescent="0.2">
      <c r="Y2157" s="105" t="str">
        <f t="shared" si="67"/>
        <v>1w</v>
      </c>
      <c r="Z2157" s="93">
        <f>_xll.qlCalendarAdvance(Calendar,Z2156,Y2157,"f",FALSE)</f>
        <v>54260</v>
      </c>
      <c r="AA2157" s="117">
        <f>_xll.qlCalendarAdvance(Calendar,Z2157,NDays&amp;"D")</f>
        <v>54262</v>
      </c>
      <c r="AB2157" s="92">
        <v>1.3943186001015222E-2</v>
      </c>
      <c r="AC2157" s="101">
        <v>1.3922836786752768E-2</v>
      </c>
    </row>
    <row r="2158" spans="25:29" x14ac:dyDescent="0.2">
      <c r="Y2158" s="105" t="str">
        <f t="shared" si="67"/>
        <v>1w</v>
      </c>
      <c r="Z2158" s="93">
        <f>_xll.qlCalendarAdvance(Calendar,Z2157,Y2158,"f",FALSE)</f>
        <v>54267</v>
      </c>
      <c r="AA2158" s="117">
        <f>_xll.qlCalendarAdvance(Calendar,Z2158,NDays&amp;"D")</f>
        <v>54269</v>
      </c>
      <c r="AB2158" s="92">
        <v>1.3940637226464282E-2</v>
      </c>
      <c r="AC2158" s="101">
        <v>1.39205635890427E-2</v>
      </c>
    </row>
    <row r="2159" spans="25:29" x14ac:dyDescent="0.2">
      <c r="Y2159" s="105" t="str">
        <f t="shared" si="67"/>
        <v>1w</v>
      </c>
      <c r="Z2159" s="93">
        <f>_xll.qlCalendarAdvance(Calendar,Z2158,Y2159,"f",FALSE)</f>
        <v>54274</v>
      </c>
      <c r="AA2159" s="117">
        <f>_xll.qlCalendarAdvance(Calendar,Z2159,NDays&amp;"D")</f>
        <v>54276</v>
      </c>
      <c r="AB2159" s="92">
        <v>1.3938777474164981E-2</v>
      </c>
      <c r="AC2159" s="101">
        <v>1.3918296354082926E-2</v>
      </c>
    </row>
    <row r="2160" spans="25:29" x14ac:dyDescent="0.2">
      <c r="Y2160" s="105" t="str">
        <f t="shared" si="67"/>
        <v>1w</v>
      </c>
      <c r="Z2160" s="93">
        <f>_xll.qlCalendarAdvance(Calendar,Z2159,Y2160,"f",FALSE)</f>
        <v>54281</v>
      </c>
      <c r="AA2160" s="117">
        <f>_xll.qlCalendarAdvance(Calendar,Z2160,NDays&amp;"D")</f>
        <v>54283</v>
      </c>
      <c r="AB2160" s="92">
        <v>1.393658273263625E-2</v>
      </c>
      <c r="AC2160" s="101">
        <v>1.3916035106174007E-2</v>
      </c>
    </row>
    <row r="2161" spans="25:29" x14ac:dyDescent="0.2">
      <c r="Y2161" s="105" t="str">
        <f t="shared" si="67"/>
        <v>1w</v>
      </c>
      <c r="Z2161" s="93">
        <f>_xll.qlCalendarAdvance(Calendar,Z2160,Y2161,"f",FALSE)</f>
        <v>54288</v>
      </c>
      <c r="AA2161" s="117">
        <f>_xll.qlCalendarAdvance(Calendar,Z2161,NDays&amp;"D")</f>
        <v>54290</v>
      </c>
      <c r="AB2161" s="92">
        <v>1.3934394371674132E-2</v>
      </c>
      <c r="AC2161" s="101">
        <v>1.3913779869456633E-2</v>
      </c>
    </row>
    <row r="2162" spans="25:29" x14ac:dyDescent="0.2">
      <c r="Y2162" s="105" t="str">
        <f t="shared" si="67"/>
        <v>1w</v>
      </c>
      <c r="Z2162" s="93">
        <f>_xll.qlCalendarAdvance(Calendar,Z2161,Y2162,"f",FALSE)</f>
        <v>54295</v>
      </c>
      <c r="AA2162" s="117">
        <f>_xll.qlCalendarAdvance(Calendar,Z2162,NDays&amp;"D")</f>
        <v>54297</v>
      </c>
      <c r="AB2162" s="92">
        <v>1.3931866526462821E-2</v>
      </c>
      <c r="AC2162" s="101">
        <v>1.3911530668471173E-2</v>
      </c>
    </row>
    <row r="2163" spans="25:29" x14ac:dyDescent="0.2">
      <c r="Y2163" s="105" t="str">
        <f t="shared" si="67"/>
        <v>1w</v>
      </c>
      <c r="Z2163" s="93">
        <f>_xll.qlCalendarAdvance(Calendar,Z2162,Y2163,"f",FALSE)</f>
        <v>54302</v>
      </c>
      <c r="AA2163" s="117">
        <f>_xll.qlCalendarAdvance(Calendar,Z2163,NDays&amp;"D")</f>
        <v>54304</v>
      </c>
      <c r="AB2163" s="92">
        <v>1.3929458689049544E-2</v>
      </c>
      <c r="AC2163" s="101">
        <v>1.3909287527438252E-2</v>
      </c>
    </row>
    <row r="2164" spans="25:29" x14ac:dyDescent="0.2">
      <c r="Y2164" s="105" t="str">
        <f t="shared" si="67"/>
        <v>1w</v>
      </c>
      <c r="Z2164" s="93">
        <f>_xll.qlCalendarAdvance(Calendar,Z2163,Y2164,"f",FALSE)</f>
        <v>54309</v>
      </c>
      <c r="AA2164" s="117">
        <f>_xll.qlCalendarAdvance(Calendar,Z2164,NDays&amp;"D")</f>
        <v>54311</v>
      </c>
      <c r="AB2164" s="92">
        <v>1.3927287689186567E-2</v>
      </c>
      <c r="AC2164" s="101">
        <v>1.3907050470818305E-2</v>
      </c>
    </row>
    <row r="2165" spans="25:29" x14ac:dyDescent="0.2">
      <c r="Y2165" s="105" t="str">
        <f t="shared" si="67"/>
        <v>1w</v>
      </c>
      <c r="Z2165" s="93">
        <f>_xll.qlCalendarAdvance(Calendar,Z2164,Y2165,"f",FALSE)</f>
        <v>54316</v>
      </c>
      <c r="AA2165" s="117">
        <f>_xll.qlCalendarAdvance(Calendar,Z2165,NDays&amp;"D")</f>
        <v>54318</v>
      </c>
      <c r="AB2165" s="92">
        <v>1.3925123157749386E-2</v>
      </c>
      <c r="AC2165" s="101">
        <v>1.3904819522672085E-2</v>
      </c>
    </row>
    <row r="2166" spans="25:29" x14ac:dyDescent="0.2">
      <c r="Y2166" s="105" t="str">
        <f t="shared" si="67"/>
        <v>1w</v>
      </c>
      <c r="Z2166" s="93">
        <f>_xll.qlCalendarAdvance(Calendar,Z2165,Y2166,"f",FALSE)</f>
        <v>54323</v>
      </c>
      <c r="AA2166" s="117">
        <f>_xll.qlCalendarAdvance(Calendar,Z2166,NDays&amp;"D")</f>
        <v>54325</v>
      </c>
      <c r="AB2166" s="92">
        <v>1.3922965119211683E-2</v>
      </c>
      <c r="AC2166" s="101">
        <v>1.3902594707539961E-2</v>
      </c>
    </row>
    <row r="2167" spans="25:29" x14ac:dyDescent="0.2">
      <c r="Y2167" s="105" t="str">
        <f t="shared" si="67"/>
        <v>1w</v>
      </c>
      <c r="Z2167" s="93">
        <f>_xll.qlCalendarAdvance(Calendar,Z2166,Y2167,"f",FALSE)</f>
        <v>54330</v>
      </c>
      <c r="AA2167" s="117">
        <f>_xll.qlCalendarAdvance(Calendar,Z2167,NDays&amp;"D")</f>
        <v>54332</v>
      </c>
      <c r="AB2167" s="92">
        <v>1.3920930710451578E-2</v>
      </c>
      <c r="AC2167" s="101">
        <v>1.3900376049562624E-2</v>
      </c>
    </row>
    <row r="2168" spans="25:29" x14ac:dyDescent="0.2">
      <c r="Y2168" s="105" t="str">
        <f t="shared" si="67"/>
        <v>1w</v>
      </c>
      <c r="Z2168" s="93">
        <f>_xll.qlCalendarAdvance(Calendar,Z2167,Y2168,"f",FALSE)</f>
        <v>54337</v>
      </c>
      <c r="AA2168" s="117">
        <f>_xll.qlCalendarAdvance(Calendar,Z2168,NDays&amp;"D")</f>
        <v>54339</v>
      </c>
      <c r="AB2168" s="92">
        <v>1.3918786124273923E-2</v>
      </c>
      <c r="AC2168" s="101">
        <v>1.3898163573280442E-2</v>
      </c>
    </row>
    <row r="2169" spans="25:29" x14ac:dyDescent="0.2">
      <c r="Y2169" s="105" t="str">
        <f t="shared" si="67"/>
        <v>1w</v>
      </c>
      <c r="Z2169" s="93">
        <f>_xll.qlCalendarAdvance(Calendar,Z2168,Y2169,"f",FALSE)</f>
        <v>54344</v>
      </c>
      <c r="AA2169" s="117">
        <f>_xll.qlCalendarAdvance(Calendar,Z2169,NDays&amp;"D")</f>
        <v>54346</v>
      </c>
      <c r="AB2169" s="92">
        <v>1.3916648106430717E-2</v>
      </c>
      <c r="AC2169" s="101">
        <v>1.3895957302914042E-2</v>
      </c>
    </row>
    <row r="2170" spans="25:29" x14ac:dyDescent="0.2">
      <c r="Y2170" s="105" t="str">
        <f t="shared" si="67"/>
        <v>1w</v>
      </c>
      <c r="Z2170" s="93">
        <f>_xll.qlCalendarAdvance(Calendar,Z2169,Y2170,"f",FALSE)</f>
        <v>54351</v>
      </c>
      <c r="AA2170" s="117">
        <f>_xll.qlCalendarAdvance(Calendar,Z2170,NDays&amp;"D")</f>
        <v>54353</v>
      </c>
      <c r="AB2170" s="92">
        <v>1.3914516681396885E-2</v>
      </c>
      <c r="AC2170" s="101">
        <v>1.389375726284392E-2</v>
      </c>
    </row>
    <row r="2171" spans="25:29" x14ac:dyDescent="0.2">
      <c r="Y2171" s="105" t="str">
        <f t="shared" si="67"/>
        <v>1w</v>
      </c>
      <c r="Z2171" s="93">
        <f>_xll.qlCalendarAdvance(Calendar,Z2170,Y2171,"f",FALSE)</f>
        <v>54358</v>
      </c>
      <c r="AA2171" s="117">
        <f>_xll.qlCalendarAdvance(Calendar,Z2171,NDays&amp;"D")</f>
        <v>54360</v>
      </c>
      <c r="AB2171" s="92">
        <v>1.39123918736456E-2</v>
      </c>
      <c r="AC2171" s="101">
        <v>1.3891563477290703E-2</v>
      </c>
    </row>
    <row r="2172" spans="25:29" x14ac:dyDescent="0.2">
      <c r="Y2172" s="105" t="str">
        <f t="shared" si="67"/>
        <v>1w</v>
      </c>
      <c r="Z2172" s="93">
        <f>_xll.qlCalendarAdvance(Calendar,Z2171,Y2172,"f",FALSE)</f>
        <v>54365</v>
      </c>
      <c r="AA2172" s="117">
        <f>_xll.qlCalendarAdvance(Calendar,Z2172,NDays&amp;"D")</f>
        <v>54367</v>
      </c>
      <c r="AB2172" s="92">
        <v>1.3910154609408676E-2</v>
      </c>
      <c r="AC2172" s="101">
        <v>1.3889375970634887E-2</v>
      </c>
    </row>
    <row r="2173" spans="25:29" x14ac:dyDescent="0.2">
      <c r="Y2173" s="105" t="str">
        <f t="shared" si="67"/>
        <v>1w</v>
      </c>
      <c r="Z2173" s="93">
        <f>_xll.qlCalendarAdvance(Calendar,Z2172,Y2173,"f",FALSE)</f>
        <v>54372</v>
      </c>
      <c r="AA2173" s="117">
        <f>_xll.qlCalendarAdvance(Calendar,Z2173,NDays&amp;"D")</f>
        <v>54374</v>
      </c>
      <c r="AB2173" s="92">
        <v>1.3908042706431758E-2</v>
      </c>
      <c r="AC2173" s="101">
        <v>1.3887194767177036E-2</v>
      </c>
    </row>
    <row r="2174" spans="25:29" x14ac:dyDescent="0.2">
      <c r="Y2174" s="105" t="str">
        <f t="shared" si="67"/>
        <v>1w</v>
      </c>
      <c r="Z2174" s="93">
        <f>_xll.qlCalendarAdvance(Calendar,Z2173,Y2174,"f",FALSE)</f>
        <v>54379</v>
      </c>
      <c r="AA2174" s="117">
        <f>_xll.qlCalendarAdvance(Calendar,Z2174,NDays&amp;"D")</f>
        <v>54381</v>
      </c>
      <c r="AB2174" s="92">
        <v>1.3905937492144221E-2</v>
      </c>
      <c r="AC2174" s="101">
        <v>1.3885019891457517E-2</v>
      </c>
    </row>
    <row r="2175" spans="25:29" x14ac:dyDescent="0.2">
      <c r="Y2175" s="105" t="str">
        <f t="shared" si="67"/>
        <v>1w</v>
      </c>
      <c r="Z2175" s="93">
        <f>_xll.qlCalendarAdvance(Calendar,Z2174,Y2175,"f",FALSE)</f>
        <v>54386</v>
      </c>
      <c r="AA2175" s="117">
        <f>_xll.qlCalendarAdvance(Calendar,Z2175,NDays&amp;"D")</f>
        <v>54388</v>
      </c>
      <c r="AB2175" s="92">
        <v>1.3903838991017981E-2</v>
      </c>
      <c r="AC2175" s="101">
        <v>1.388285136745715E-2</v>
      </c>
    </row>
    <row r="2176" spans="25:29" x14ac:dyDescent="0.2">
      <c r="Y2176" s="105" t="str">
        <f t="shared" si="67"/>
        <v>1w</v>
      </c>
      <c r="Z2176" s="93">
        <f>_xll.qlCalendarAdvance(Calendar,Z2175,Y2176,"f",FALSE)</f>
        <v>54393</v>
      </c>
      <c r="AA2176" s="117">
        <f>_xll.qlCalendarAdvance(Calendar,Z2176,NDays&amp;"D")</f>
        <v>54395</v>
      </c>
      <c r="AB2176" s="92">
        <v>1.3901867950747633E-2</v>
      </c>
      <c r="AC2176" s="101">
        <v>1.3880689219636366E-2</v>
      </c>
    </row>
    <row r="2177" spans="25:29" x14ac:dyDescent="0.2">
      <c r="Y2177" s="105" t="str">
        <f t="shared" si="67"/>
        <v>1w</v>
      </c>
      <c r="Z2177" s="93">
        <f>_xll.qlCalendarAdvance(Calendar,Z2176,Y2177,"f",FALSE)</f>
        <v>54400</v>
      </c>
      <c r="AA2177" s="117">
        <f>_xll.qlCalendarAdvance(Calendar,Z2177,NDays&amp;"D")</f>
        <v>54402</v>
      </c>
      <c r="AB2177" s="92">
        <v>1.3899783360658955E-2</v>
      </c>
      <c r="AC2177" s="101">
        <v>1.3878533472295729E-2</v>
      </c>
    </row>
    <row r="2178" spans="25:29" x14ac:dyDescent="0.2">
      <c r="Y2178" s="105" t="str">
        <f t="shared" si="67"/>
        <v>1w</v>
      </c>
      <c r="Z2178" s="93">
        <f>_xll.qlCalendarAdvance(Calendar,Z2177,Y2178,"f",FALSE)</f>
        <v>54407</v>
      </c>
      <c r="AA2178" s="117">
        <f>_xll.qlCalendarAdvance(Calendar,Z2178,NDays&amp;"D")</f>
        <v>54409</v>
      </c>
      <c r="AB2178" s="92">
        <v>1.3897705559173801E-2</v>
      </c>
      <c r="AC2178" s="101">
        <v>1.3876384149975607E-2</v>
      </c>
    </row>
    <row r="2179" spans="25:29" x14ac:dyDescent="0.2">
      <c r="Y2179" s="105" t="str">
        <f t="shared" si="67"/>
        <v>1w</v>
      </c>
      <c r="Z2179" s="93">
        <f>_xll.qlCalendarAdvance(Calendar,Z2178,Y2179,"f",FALSE)</f>
        <v>54414</v>
      </c>
      <c r="AA2179" s="117">
        <f>_xll.qlCalendarAdvance(Calendar,Z2179,NDays&amp;"D")</f>
        <v>54416</v>
      </c>
      <c r="AB2179" s="92">
        <v>1.3895634570766223E-2</v>
      </c>
      <c r="AC2179" s="101">
        <v>1.3874585042012999E-2</v>
      </c>
    </row>
    <row r="2180" spans="25:29" x14ac:dyDescent="0.2">
      <c r="Y2180" s="105" t="str">
        <f t="shared" si="67"/>
        <v>1w</v>
      </c>
      <c r="Z2180" s="93">
        <f>_xll.qlCalendarAdvance(Calendar,Z2179,Y2180,"f",FALSE)</f>
        <v>54421</v>
      </c>
      <c r="AA2180" s="117">
        <f>_xll.qlCalendarAdvance(Calendar,Z2180,NDays&amp;"D")</f>
        <v>54423</v>
      </c>
      <c r="AB2180" s="92">
        <v>1.3893448039388238E-2</v>
      </c>
      <c r="AC2180" s="101">
        <v>1.3872449786100916E-2</v>
      </c>
    </row>
    <row r="2181" spans="25:29" x14ac:dyDescent="0.2">
      <c r="Y2181" s="105" t="str">
        <f t="shared" si="67"/>
        <v>1w</v>
      </c>
      <c r="Z2181" s="93">
        <f>_xll.qlCalendarAdvance(Calendar,Z2180,Y2181,"f",FALSE)</f>
        <v>54428</v>
      </c>
      <c r="AA2181" s="117">
        <f>_xll.qlCalendarAdvance(Calendar,Z2181,NDays&amp;"D")</f>
        <v>54430</v>
      </c>
      <c r="AB2181" s="92">
        <v>1.3891390331174916E-2</v>
      </c>
      <c r="AC2181" s="101">
        <v>1.3869974975184718E-2</v>
      </c>
    </row>
    <row r="2182" spans="25:29" x14ac:dyDescent="0.2">
      <c r="Y2182" s="105" t="str">
        <f t="shared" si="67"/>
        <v>1w</v>
      </c>
      <c r="Z2182" s="93">
        <f>_xll.qlCalendarAdvance(Calendar,Z2181,Y2182,"f",FALSE)</f>
        <v>54435</v>
      </c>
      <c r="AA2182" s="117">
        <f>_xll.qlCalendarAdvance(Calendar,Z2182,NDays&amp;"D")</f>
        <v>54437</v>
      </c>
      <c r="AB2182" s="92">
        <v>1.3889339507437343E-2</v>
      </c>
      <c r="AC2182" s="101">
        <v>1.3867851595472658E-2</v>
      </c>
    </row>
    <row r="2183" spans="25:29" x14ac:dyDescent="0.2">
      <c r="Y2183" s="105" t="str">
        <f t="shared" si="67"/>
        <v>1w</v>
      </c>
      <c r="Z2183" s="93">
        <f>_xll.qlCalendarAdvance(Calendar,Z2182,Y2183,"f",FALSE)</f>
        <v>54442</v>
      </c>
      <c r="AA2183" s="117">
        <f>_xll.qlCalendarAdvance(Calendar,Z2183,NDays&amp;"D")</f>
        <v>54444</v>
      </c>
      <c r="AB2183" s="92">
        <v>1.3887295592648324E-2</v>
      </c>
      <c r="AC2183" s="101">
        <v>1.3865734762203985E-2</v>
      </c>
    </row>
    <row r="2184" spans="25:29" x14ac:dyDescent="0.2">
      <c r="Y2184" s="105" t="str">
        <f t="shared" si="67"/>
        <v>1w</v>
      </c>
      <c r="Z2184" s="93">
        <f>_xll.qlCalendarAdvance(Calendar,Z2183,Y2184,"f",FALSE)</f>
        <v>54449</v>
      </c>
      <c r="AA2184" s="117">
        <f>_xll.qlCalendarAdvance(Calendar,Z2184,NDays&amp;"D")</f>
        <v>54451</v>
      </c>
      <c r="AB2184" s="92">
        <v>1.3885258611280654E-2</v>
      </c>
      <c r="AC2184" s="101">
        <v>1.3863624499679261E-2</v>
      </c>
    </row>
    <row r="2185" spans="25:29" x14ac:dyDescent="0.2">
      <c r="Y2185" s="105" t="str">
        <f t="shared" si="67"/>
        <v>1w</v>
      </c>
      <c r="Z2185" s="93">
        <f>_xll.qlCalendarAdvance(Calendar,Z2184,Y2185,"f",FALSE)</f>
        <v>54456</v>
      </c>
      <c r="AA2185" s="117">
        <f>_xll.qlCalendarAdvance(Calendar,Z2185,NDays&amp;"D")</f>
        <v>54458</v>
      </c>
      <c r="AB2185" s="92">
        <v>1.3883228587807576E-2</v>
      </c>
      <c r="AC2185" s="101">
        <v>1.3861520832438856E-2</v>
      </c>
    </row>
    <row r="2186" spans="25:29" x14ac:dyDescent="0.2">
      <c r="Y2186" s="105" t="str">
        <f t="shared" si="67"/>
        <v>1w</v>
      </c>
      <c r="Z2186" s="93">
        <f>_xll.qlCalendarAdvance(Calendar,Z2185,Y2186,"f",FALSE)</f>
        <v>54463</v>
      </c>
      <c r="AA2186" s="117">
        <f>_xll.qlCalendarAdvance(Calendar,Z2186,NDays&amp;"D")</f>
        <v>54465</v>
      </c>
      <c r="AB2186" s="92">
        <v>1.3881205546702772E-2</v>
      </c>
      <c r="AC2186" s="101">
        <v>1.3859423784463587E-2</v>
      </c>
    </row>
    <row r="2187" spans="25:29" x14ac:dyDescent="0.2">
      <c r="Y2187" s="105" t="str">
        <f t="shared" si="67"/>
        <v>1w</v>
      </c>
      <c r="Z2187" s="93">
        <f>_xll.qlCalendarAdvance(Calendar,Z2186,Y2187,"f",FALSE)</f>
        <v>54470</v>
      </c>
      <c r="AA2187" s="117">
        <f>_xll.qlCalendarAdvance(Calendar,Z2187,NDays&amp;"D")</f>
        <v>54472</v>
      </c>
      <c r="AB2187" s="92">
        <v>1.3879189512438602E-2</v>
      </c>
      <c r="AC2187" s="101">
        <v>1.3857333380453696E-2</v>
      </c>
    </row>
    <row r="2188" spans="25:29" x14ac:dyDescent="0.2">
      <c r="Y2188" s="105" t="str">
        <f t="shared" si="67"/>
        <v>1w</v>
      </c>
      <c r="Z2188" s="93">
        <f>_xll.qlCalendarAdvance(Calendar,Z2187,Y2188,"f",FALSE)</f>
        <v>54477</v>
      </c>
      <c r="AA2188" s="117">
        <f>_xll.qlCalendarAdvance(Calendar,Z2188,NDays&amp;"D")</f>
        <v>54479</v>
      </c>
      <c r="AB2188" s="92">
        <v>1.3877180509488747E-2</v>
      </c>
      <c r="AC2188" s="101">
        <v>1.385524964439E-2</v>
      </c>
    </row>
    <row r="2189" spans="25:29" x14ac:dyDescent="0.2">
      <c r="Y2189" s="105" t="str">
        <f t="shared" si="67"/>
        <v>1w</v>
      </c>
      <c r="Z2189" s="93">
        <f>_xll.qlCalendarAdvance(Calendar,Z2188,Y2189,"f",FALSE)</f>
        <v>54484</v>
      </c>
      <c r="AA2189" s="117">
        <f>_xll.qlCalendarAdvance(Calendar,Z2189,NDays&amp;"D")</f>
        <v>54486</v>
      </c>
      <c r="AB2189" s="92">
        <v>1.3875810155132121E-2</v>
      </c>
      <c r="AC2189" s="101">
        <v>1.3853172600812869E-2</v>
      </c>
    </row>
    <row r="2190" spans="25:29" x14ac:dyDescent="0.2">
      <c r="Y2190" s="105" t="str">
        <f t="shared" si="67"/>
        <v>1w</v>
      </c>
      <c r="Z2190" s="93">
        <f>_xll.qlCalendarAdvance(Calendar,Z2189,Y2190,"f",FALSE)</f>
        <v>54491</v>
      </c>
      <c r="AA2190" s="117">
        <f>_xll.qlCalendarAdvance(Calendar,Z2190,NDays&amp;"D")</f>
        <v>54493</v>
      </c>
      <c r="AB2190" s="92">
        <v>1.3873817478440081E-2</v>
      </c>
      <c r="AC2190" s="101">
        <v>1.38511022741028E-2</v>
      </c>
    </row>
    <row r="2191" spans="25:29" x14ac:dyDescent="0.2">
      <c r="Y2191" s="105" t="str">
        <f t="shared" si="67"/>
        <v>1w</v>
      </c>
      <c r="Z2191" s="93">
        <f>_xll.qlCalendarAdvance(Calendar,Z2190,Y2191,"f",FALSE)</f>
        <v>54498</v>
      </c>
      <c r="AA2191" s="117">
        <f>_xll.qlCalendarAdvance(Calendar,Z2191,NDays&amp;"D")</f>
        <v>54500</v>
      </c>
      <c r="AB2191" s="92">
        <v>1.3871831916641233E-2</v>
      </c>
      <c r="AC2191" s="101">
        <v>1.3849038688320547E-2</v>
      </c>
    </row>
    <row r="2192" spans="25:29" x14ac:dyDescent="0.2">
      <c r="Y2192" s="105" t="str">
        <f t="shared" si="67"/>
        <v>1w</v>
      </c>
      <c r="Z2192" s="93">
        <f>_xll.qlCalendarAdvance(Calendar,Z2191,Y2192,"f",FALSE)</f>
        <v>54505</v>
      </c>
      <c r="AA2192" s="117">
        <f>_xll.qlCalendarAdvance(Calendar,Z2192,NDays&amp;"D")</f>
        <v>54507</v>
      </c>
      <c r="AB2192" s="92">
        <v>1.3869853494214057E-2</v>
      </c>
      <c r="AC2192" s="101">
        <v>1.3846981868086417E-2</v>
      </c>
    </row>
    <row r="2193" spans="25:29" x14ac:dyDescent="0.2">
      <c r="Y2193" s="105" t="str">
        <f t="shared" si="67"/>
        <v>1w</v>
      </c>
      <c r="Z2193" s="93">
        <f>_xll.qlCalendarAdvance(Calendar,Z2192,Y2193,"f",FALSE)</f>
        <v>54512</v>
      </c>
      <c r="AA2193" s="117">
        <f>_xll.qlCalendarAdvance(Calendar,Z2193,NDays&amp;"D")</f>
        <v>54514</v>
      </c>
      <c r="AB2193" s="92">
        <v>1.386749784840823E-2</v>
      </c>
      <c r="AC2193" s="101">
        <v>1.3844931837461161E-2</v>
      </c>
    </row>
    <row r="2194" spans="25:29" x14ac:dyDescent="0.2">
      <c r="Y2194" s="105" t="str">
        <f t="shared" si="67"/>
        <v>1w</v>
      </c>
      <c r="Z2194" s="93">
        <f>_xll.qlCalendarAdvance(Calendar,Z2193,Y2194,"f",FALSE)</f>
        <v>54519</v>
      </c>
      <c r="AA2194" s="117">
        <f>_xll.qlCalendarAdvance(Calendar,Z2194,NDays&amp;"D")</f>
        <v>54521</v>
      </c>
      <c r="AB2194" s="92">
        <v>1.3865532439011032E-2</v>
      </c>
      <c r="AC2194" s="101">
        <v>1.3842888620905214E-2</v>
      </c>
    </row>
    <row r="2195" spans="25:29" x14ac:dyDescent="0.2">
      <c r="Y2195" s="105" t="str">
        <f t="shared" si="67"/>
        <v>1w</v>
      </c>
      <c r="Z2195" s="93">
        <f>_xll.qlCalendarAdvance(Calendar,Z2194,Y2195,"f",FALSE)</f>
        <v>54526</v>
      </c>
      <c r="AA2195" s="117">
        <f>_xll.qlCalendarAdvance(Calendar,Z2195,NDays&amp;"D")</f>
        <v>54528</v>
      </c>
      <c r="AB2195" s="92">
        <v>1.3863574236309403E-2</v>
      </c>
      <c r="AC2195" s="101">
        <v>1.3841336045061325E-2</v>
      </c>
    </row>
    <row r="2196" spans="25:29" x14ac:dyDescent="0.2">
      <c r="Y2196" s="105" t="str">
        <f t="shared" si="67"/>
        <v>1w</v>
      </c>
      <c r="Z2196" s="93">
        <f>_xll.qlCalendarAdvance(Calendar,Z2195,Y2196,"f",FALSE)</f>
        <v>54533</v>
      </c>
      <c r="AA2196" s="117">
        <f>_xll.qlCalendarAdvance(Calendar,Z2196,NDays&amp;"D")</f>
        <v>54535</v>
      </c>
      <c r="AB2196" s="92">
        <v>1.3861623264776879E-2</v>
      </c>
      <c r="AC2196" s="101">
        <v>1.3838822727363365E-2</v>
      </c>
    </row>
    <row r="2197" spans="25:29" x14ac:dyDescent="0.2">
      <c r="Y2197" s="105" t="str">
        <f t="shared" ref="Y2197:Y2260" si="68">Y2196</f>
        <v>1w</v>
      </c>
      <c r="Z2197" s="93">
        <f>_xll.qlCalendarAdvance(Calendar,Z2196,Y2197,"f",FALSE)</f>
        <v>54540</v>
      </c>
      <c r="AA2197" s="117">
        <f>_xll.qlCalendarAdvance(Calendar,Z2197,NDays&amp;"D")</f>
        <v>54542</v>
      </c>
      <c r="AB2197" s="92">
        <v>1.3859679548889182E-2</v>
      </c>
      <c r="AC2197" s="101">
        <v>1.3836800099058522E-2</v>
      </c>
    </row>
    <row r="2198" spans="25:29" x14ac:dyDescent="0.2">
      <c r="Y2198" s="105" t="str">
        <f t="shared" si="68"/>
        <v>1w</v>
      </c>
      <c r="Z2198" s="93">
        <f>_xll.qlCalendarAdvance(Calendar,Z2197,Y2198,"f",FALSE)</f>
        <v>54547</v>
      </c>
      <c r="AA2198" s="117">
        <f>_xll.qlCalendarAdvance(Calendar,Z2198,NDays&amp;"D")</f>
        <v>54549</v>
      </c>
      <c r="AB2198" s="92">
        <v>1.3858134257150267E-2</v>
      </c>
      <c r="AC2198" s="101">
        <v>1.3834784382025234E-2</v>
      </c>
    </row>
    <row r="2199" spans="25:29" x14ac:dyDescent="0.2">
      <c r="Y2199" s="105" t="str">
        <f t="shared" si="68"/>
        <v>1w</v>
      </c>
      <c r="Z2199" s="93">
        <f>_xll.qlCalendarAdvance(Calendar,Z2198,Y2199,"f",FALSE)</f>
        <v>54554</v>
      </c>
      <c r="AA2199" s="117">
        <f>_xll.qlCalendarAdvance(Calendar,Z2199,NDays&amp;"D")</f>
        <v>54556</v>
      </c>
      <c r="AB2199" s="92">
        <v>1.3856206495675516E-2</v>
      </c>
      <c r="AC2199" s="101">
        <v>1.3832775600564062E-2</v>
      </c>
    </row>
    <row r="2200" spans="25:29" x14ac:dyDescent="0.2">
      <c r="Y2200" s="105" t="str">
        <f t="shared" si="68"/>
        <v>1w</v>
      </c>
      <c r="Z2200" s="93">
        <f>_xll.qlCalendarAdvance(Calendar,Z2199,Y2200,"f",FALSE)</f>
        <v>54561</v>
      </c>
      <c r="AA2200" s="117">
        <f>_xll.qlCalendarAdvance(Calendar,Z2200,NDays&amp;"D")</f>
        <v>54563</v>
      </c>
      <c r="AB2200" s="92">
        <v>1.3854286069386984E-2</v>
      </c>
      <c r="AC2200" s="101">
        <v>1.3830773779295313E-2</v>
      </c>
    </row>
    <row r="2201" spans="25:29" x14ac:dyDescent="0.2">
      <c r="Y2201" s="105" t="str">
        <f t="shared" si="68"/>
        <v>1w</v>
      </c>
      <c r="Z2201" s="93">
        <f>_xll.qlCalendarAdvance(Calendar,Z2200,Y2201,"f",FALSE)</f>
        <v>54568</v>
      </c>
      <c r="AA2201" s="117">
        <f>_xll.qlCalendarAdvance(Calendar,Z2201,NDays&amp;"D")</f>
        <v>54570</v>
      </c>
      <c r="AB2201" s="92">
        <v>1.385237300276273E-2</v>
      </c>
      <c r="AC2201" s="101">
        <v>1.382877894227974E-2</v>
      </c>
    </row>
    <row r="2202" spans="25:29" x14ac:dyDescent="0.2">
      <c r="Y2202" s="105" t="str">
        <f t="shared" si="68"/>
        <v>1w</v>
      </c>
      <c r="Z2202" s="93">
        <f>_xll.qlCalendarAdvance(Calendar,Z2201,Y2202,"f",FALSE)</f>
        <v>54575</v>
      </c>
      <c r="AA2202" s="117">
        <f>_xll.qlCalendarAdvance(Calendar,Z2202,NDays&amp;"D")</f>
        <v>54577</v>
      </c>
      <c r="AB2202" s="92">
        <v>1.3850070660720104E-2</v>
      </c>
      <c r="AC2202" s="101">
        <v>1.3826791113897841E-2</v>
      </c>
    </row>
    <row r="2203" spans="25:29" x14ac:dyDescent="0.2">
      <c r="Y2203" s="105" t="str">
        <f t="shared" si="68"/>
        <v>1w</v>
      </c>
      <c r="Z2203" s="93">
        <f>_xll.qlCalendarAdvance(Calendar,Z2202,Y2203,"f",FALSE)</f>
        <v>54582</v>
      </c>
      <c r="AA2203" s="117">
        <f>_xll.qlCalendarAdvance(Calendar,Z2203,NDays&amp;"D")</f>
        <v>54584</v>
      </c>
      <c r="AB2203" s="92">
        <v>1.3848170992661399E-2</v>
      </c>
      <c r="AC2203" s="101">
        <v>1.3824810318610048E-2</v>
      </c>
    </row>
    <row r="2204" spans="25:29" x14ac:dyDescent="0.2">
      <c r="Y2204" s="105" t="str">
        <f t="shared" si="68"/>
        <v>1w</v>
      </c>
      <c r="Z2204" s="93">
        <f>_xll.qlCalendarAdvance(Calendar,Z2203,Y2204,"f",FALSE)</f>
        <v>54589</v>
      </c>
      <c r="AA2204" s="117">
        <f>_xll.qlCalendarAdvance(Calendar,Z2204,NDays&amp;"D")</f>
        <v>54591</v>
      </c>
      <c r="AB2204" s="92">
        <v>1.3846278751567968E-2</v>
      </c>
      <c r="AC2204" s="101">
        <v>1.3822836580477116E-2</v>
      </c>
    </row>
    <row r="2205" spans="25:29" x14ac:dyDescent="0.2">
      <c r="Y2205" s="105" t="str">
        <f t="shared" si="68"/>
        <v>1w</v>
      </c>
      <c r="Z2205" s="93">
        <f>_xll.qlCalendarAdvance(Calendar,Z2204,Y2205,"f",FALSE)</f>
        <v>54596</v>
      </c>
      <c r="AA2205" s="117">
        <f>_xll.qlCalendarAdvance(Calendar,Z2205,NDays&amp;"D")</f>
        <v>54598</v>
      </c>
      <c r="AB2205" s="92">
        <v>1.3844393961915091E-2</v>
      </c>
      <c r="AC2205" s="101">
        <v>1.3820869923959478E-2</v>
      </c>
    </row>
    <row r="2206" spans="25:29" x14ac:dyDescent="0.2">
      <c r="Y2206" s="105" t="str">
        <f t="shared" si="68"/>
        <v>1w</v>
      </c>
      <c r="Z2206" s="93">
        <f>_xll.qlCalendarAdvance(Calendar,Z2205,Y2206,"f",FALSE)</f>
        <v>54603</v>
      </c>
      <c r="AA2206" s="117">
        <f>_xll.qlCalendarAdvance(Calendar,Z2206,NDays&amp;"D")</f>
        <v>54605</v>
      </c>
      <c r="AB2206" s="92">
        <v>1.3842918921285481E-2</v>
      </c>
      <c r="AC2206" s="101">
        <v>1.3818910373597504E-2</v>
      </c>
    </row>
    <row r="2207" spans="25:29" x14ac:dyDescent="0.2">
      <c r="Y2207" s="105" t="str">
        <f t="shared" si="68"/>
        <v>1w</v>
      </c>
      <c r="Z2207" s="93">
        <f>_xll.qlCalendarAdvance(Calendar,Z2206,Y2207,"f",FALSE)</f>
        <v>54610</v>
      </c>
      <c r="AA2207" s="117">
        <f>_xll.qlCalendarAdvance(Calendar,Z2207,NDays&amp;"D")</f>
        <v>54612</v>
      </c>
      <c r="AB2207" s="92">
        <v>1.3841050526656792E-2</v>
      </c>
      <c r="AC2207" s="101">
        <v>1.3816957953372011E-2</v>
      </c>
    </row>
    <row r="2208" spans="25:29" x14ac:dyDescent="0.2">
      <c r="Y2208" s="105" t="str">
        <f t="shared" si="68"/>
        <v>1w</v>
      </c>
      <c r="Z2208" s="93">
        <f>_xll.qlCalendarAdvance(Calendar,Z2207,Y2208,"f",FALSE)</f>
        <v>54617</v>
      </c>
      <c r="AA2208" s="117">
        <f>_xll.qlCalendarAdvance(Calendar,Z2208,NDays&amp;"D")</f>
        <v>54619</v>
      </c>
      <c r="AB2208" s="92">
        <v>1.3839189663030591E-2</v>
      </c>
      <c r="AC2208" s="101">
        <v>1.3815012687823369E-2</v>
      </c>
    </row>
    <row r="2209" spans="25:29" x14ac:dyDescent="0.2">
      <c r="Y2209" s="105" t="str">
        <f t="shared" si="68"/>
        <v>1w</v>
      </c>
      <c r="Z2209" s="93">
        <f>_xll.qlCalendarAdvance(Calendar,Z2208,Y2209,"f",FALSE)</f>
        <v>54624</v>
      </c>
      <c r="AA2209" s="117">
        <f>_xll.qlCalendarAdvance(Calendar,Z2209,NDays&amp;"D")</f>
        <v>54626</v>
      </c>
      <c r="AB2209" s="92">
        <v>1.3837336354883212E-2</v>
      </c>
      <c r="AC2209" s="101">
        <v>1.381307460125214E-2</v>
      </c>
    </row>
    <row r="2210" spans="25:29" x14ac:dyDescent="0.2">
      <c r="Y2210" s="105" t="str">
        <f t="shared" si="68"/>
        <v>1w</v>
      </c>
      <c r="Z2210" s="93">
        <f>_xll.qlCalendarAdvance(Calendar,Z2209,Y2210,"f",FALSE)</f>
        <v>54631</v>
      </c>
      <c r="AA2210" s="117">
        <f>_xll.qlCalendarAdvance(Calendar,Z2210,NDays&amp;"D")</f>
        <v>54633</v>
      </c>
      <c r="AB2210" s="92">
        <v>1.3835490626690991E-2</v>
      </c>
      <c r="AC2210" s="101">
        <v>1.3811143717878949E-2</v>
      </c>
    </row>
    <row r="2211" spans="25:29" x14ac:dyDescent="0.2">
      <c r="Y2211" s="105" t="str">
        <f t="shared" si="68"/>
        <v>1w</v>
      </c>
      <c r="Z2211" s="93">
        <f>_xll.qlCalendarAdvance(Calendar,Z2210,Y2211,"f",FALSE)</f>
        <v>54638</v>
      </c>
      <c r="AA2211" s="117">
        <f>_xll.qlCalendarAdvance(Calendar,Z2211,NDays&amp;"D")</f>
        <v>54640</v>
      </c>
      <c r="AB2211" s="92">
        <v>1.3833652502930695E-2</v>
      </c>
      <c r="AC2211" s="101">
        <v>1.3809220062084293E-2</v>
      </c>
    </row>
    <row r="2212" spans="25:29" x14ac:dyDescent="0.2">
      <c r="Y2212" s="105" t="str">
        <f t="shared" si="68"/>
        <v>1w</v>
      </c>
      <c r="Z2212" s="93">
        <f>_xll.qlCalendarAdvance(Calendar,Z2211,Y2212,"f",FALSE)</f>
        <v>54645</v>
      </c>
      <c r="AA2212" s="117">
        <f>_xll.qlCalendarAdvance(Calendar,Z2212,NDays&amp;"D")</f>
        <v>54647</v>
      </c>
      <c r="AB2212" s="92">
        <v>1.3831822008079515E-2</v>
      </c>
      <c r="AC2212" s="101">
        <v>1.3807303658248671E-2</v>
      </c>
    </row>
    <row r="2213" spans="25:29" x14ac:dyDescent="0.2">
      <c r="Y2213" s="105" t="str">
        <f t="shared" si="68"/>
        <v>1w</v>
      </c>
      <c r="Z2213" s="93">
        <f>_xll.qlCalendarAdvance(Calendar,Z2212,Y2213,"f",FALSE)</f>
        <v>54652</v>
      </c>
      <c r="AA2213" s="117">
        <f>_xll.qlCalendarAdvance(Calendar,Z2213,NDays&amp;"D")</f>
        <v>54654</v>
      </c>
      <c r="AB2213" s="92">
        <v>1.3829999166613788E-2</v>
      </c>
      <c r="AC2213" s="101">
        <v>1.3805394530592707E-2</v>
      </c>
    </row>
    <row r="2214" spans="25:29" x14ac:dyDescent="0.2">
      <c r="Y2214" s="105" t="str">
        <f t="shared" si="68"/>
        <v>1w</v>
      </c>
      <c r="Z2214" s="93">
        <f>_xll.qlCalendarAdvance(Calendar,Z2213,Y2214,"f",FALSE)</f>
        <v>54659</v>
      </c>
      <c r="AA2214" s="117">
        <f>_xll.qlCalendarAdvance(Calendar,Z2214,NDays&amp;"D")</f>
        <v>54661</v>
      </c>
      <c r="AB2214" s="92">
        <v>1.3828184003011565E-2</v>
      </c>
      <c r="AC2214" s="101">
        <v>1.3803492703576836E-2</v>
      </c>
    </row>
    <row r="2215" spans="25:29" x14ac:dyDescent="0.2">
      <c r="Y2215" s="105" t="str">
        <f t="shared" si="68"/>
        <v>1w</v>
      </c>
      <c r="Z2215" s="93">
        <f>_xll.qlCalendarAdvance(Calendar,Z2214,Y2215,"f",FALSE)</f>
        <v>54666</v>
      </c>
      <c r="AA2215" s="117">
        <f>_xll.qlCalendarAdvance(Calendar,Z2215,NDays&amp;"D")</f>
        <v>54668</v>
      </c>
      <c r="AB2215" s="92">
        <v>1.3825684690523705E-2</v>
      </c>
      <c r="AC2215" s="101">
        <v>1.3801598201421683E-2</v>
      </c>
    </row>
    <row r="2216" spans="25:29" x14ac:dyDescent="0.2">
      <c r="Y2216" s="105" t="str">
        <f t="shared" si="68"/>
        <v>1w</v>
      </c>
      <c r="Z2216" s="93">
        <f>_xll.qlCalendarAdvance(Calendar,Z2215,Y2216,"f",FALSE)</f>
        <v>54673</v>
      </c>
      <c r="AA2216" s="117">
        <f>_xll.qlCalendarAdvance(Calendar,Z2216,NDays&amp;"D")</f>
        <v>54675</v>
      </c>
      <c r="AB2216" s="92">
        <v>1.3823882500350257E-2</v>
      </c>
      <c r="AC2216" s="101">
        <v>1.3799711048347874E-2</v>
      </c>
    </row>
    <row r="2217" spans="25:29" x14ac:dyDescent="0.2">
      <c r="Y2217" s="105" t="str">
        <f t="shared" si="68"/>
        <v>1w</v>
      </c>
      <c r="Z2217" s="93">
        <f>_xll.qlCalendarAdvance(Calendar,Z2216,Y2217,"f",FALSE)</f>
        <v>54680</v>
      </c>
      <c r="AA2217" s="117">
        <f>_xll.qlCalendarAdvance(Calendar,Z2217,NDays&amp;"D")</f>
        <v>54682</v>
      </c>
      <c r="AB2217" s="92">
        <v>1.3822088051202752E-2</v>
      </c>
      <c r="AC2217" s="101">
        <v>1.3797831269055649E-2</v>
      </c>
    </row>
    <row r="2218" spans="25:29" x14ac:dyDescent="0.2">
      <c r="Y2218" s="105" t="str">
        <f t="shared" si="68"/>
        <v>1w</v>
      </c>
      <c r="Z2218" s="93">
        <f>_xll.qlCalendarAdvance(Calendar,Z2217,Y2218,"f",FALSE)</f>
        <v>54687</v>
      </c>
      <c r="AA2218" s="117">
        <f>_xll.qlCalendarAdvance(Calendar,Z2218,NDays&amp;"D")</f>
        <v>54689</v>
      </c>
      <c r="AB2218" s="92">
        <v>1.3820301367553103E-2</v>
      </c>
      <c r="AC2218" s="101">
        <v>1.3795958887445892E-2</v>
      </c>
    </row>
    <row r="2219" spans="25:29" x14ac:dyDescent="0.2">
      <c r="Y2219" s="105" t="str">
        <f t="shared" si="68"/>
        <v>1w</v>
      </c>
      <c r="Z2219" s="93">
        <f>_xll.qlCalendarAdvance(Calendar,Z2218,Y2219,"f",FALSE)</f>
        <v>54694</v>
      </c>
      <c r="AA2219" s="117">
        <f>_xll.qlCalendarAdvance(Calendar,Z2219,NDays&amp;"D")</f>
        <v>54696</v>
      </c>
      <c r="AB2219" s="92">
        <v>1.3818662717990713E-2</v>
      </c>
      <c r="AC2219" s="101">
        <v>1.3794093928138906E-2</v>
      </c>
    </row>
    <row r="2220" spans="25:29" x14ac:dyDescent="0.2">
      <c r="Y2220" s="105" t="str">
        <f t="shared" si="68"/>
        <v>1w</v>
      </c>
      <c r="Z2220" s="93">
        <f>_xll.qlCalendarAdvance(Calendar,Z2219,Y2220,"f",FALSE)</f>
        <v>54701</v>
      </c>
      <c r="AA2220" s="117">
        <f>_xll.qlCalendarAdvance(Calendar,Z2220,NDays&amp;"D")</f>
        <v>54703</v>
      </c>
      <c r="AB2220" s="92">
        <v>1.3816892137702614E-2</v>
      </c>
      <c r="AC2220" s="101">
        <v>1.3792236415275383E-2</v>
      </c>
    </row>
    <row r="2221" spans="25:29" x14ac:dyDescent="0.2">
      <c r="Y2221" s="105" t="str">
        <f t="shared" si="68"/>
        <v>1w</v>
      </c>
      <c r="Z2221" s="93">
        <f>_xll.qlCalendarAdvance(Calendar,Z2220,Y2221,"f",FALSE)</f>
        <v>54708</v>
      </c>
      <c r="AA2221" s="117">
        <f>_xll.qlCalendarAdvance(Calendar,Z2221,NDays&amp;"D")</f>
        <v>54710</v>
      </c>
      <c r="AB2221" s="92">
        <v>1.381512939838766E-2</v>
      </c>
      <c r="AC2221" s="101">
        <v>1.3790386373315755E-2</v>
      </c>
    </row>
    <row r="2222" spans="25:29" x14ac:dyDescent="0.2">
      <c r="Y2222" s="105" t="str">
        <f t="shared" si="68"/>
        <v>1w</v>
      </c>
      <c r="Z2222" s="93">
        <f>_xll.qlCalendarAdvance(Calendar,Z2221,Y2222,"f",FALSE)</f>
        <v>54715</v>
      </c>
      <c r="AA2222" s="117">
        <f>_xll.qlCalendarAdvance(Calendar,Z2222,NDays&amp;"D")</f>
        <v>54717</v>
      </c>
      <c r="AB2222" s="92">
        <v>1.38133745245199E-2</v>
      </c>
      <c r="AC2222" s="101">
        <v>1.3788543826480648E-2</v>
      </c>
    </row>
    <row r="2223" spans="25:29" x14ac:dyDescent="0.2">
      <c r="Y2223" s="105" t="str">
        <f t="shared" si="68"/>
        <v>1w</v>
      </c>
      <c r="Z2223" s="93">
        <f>_xll.qlCalendarAdvance(Calendar,Z2222,Y2223,"f",FALSE)</f>
        <v>54722</v>
      </c>
      <c r="AA2223" s="117">
        <f>_xll.qlCalendarAdvance(Calendar,Z2223,NDays&amp;"D")</f>
        <v>54724</v>
      </c>
      <c r="AB2223" s="92">
        <v>1.3811627540571627E-2</v>
      </c>
      <c r="AC2223" s="101">
        <v>1.3786708799070624E-2</v>
      </c>
    </row>
    <row r="2224" spans="25:29" x14ac:dyDescent="0.2">
      <c r="Y2224" s="105" t="str">
        <f t="shared" si="68"/>
        <v>1w</v>
      </c>
      <c r="Z2224" s="93">
        <f>_xll.qlCalendarAdvance(Calendar,Z2223,Y2224,"f",FALSE)</f>
        <v>54729</v>
      </c>
      <c r="AA2224" s="117">
        <f>_xll.qlCalendarAdvance(Calendar,Z2224,NDays&amp;"D")</f>
        <v>54731</v>
      </c>
      <c r="AB2224" s="92">
        <v>1.3809745711591419E-2</v>
      </c>
      <c r="AC2224" s="101">
        <v>1.3784881315546116E-2</v>
      </c>
    </row>
    <row r="2225" spans="25:29" x14ac:dyDescent="0.2">
      <c r="Y2225" s="105" t="str">
        <f t="shared" si="68"/>
        <v>1w</v>
      </c>
      <c r="Z2225" s="93">
        <f>_xll.qlCalendarAdvance(Calendar,Z2224,Y2225,"f",FALSE)</f>
        <v>54736</v>
      </c>
      <c r="AA2225" s="117">
        <f>_xll.qlCalendarAdvance(Calendar,Z2225,NDays&amp;"D")</f>
        <v>54738</v>
      </c>
      <c r="AB2225" s="92">
        <v>1.3808014071666045E-2</v>
      </c>
      <c r="AC2225" s="101">
        <v>1.378306140012775E-2</v>
      </c>
    </row>
    <row r="2226" spans="25:29" x14ac:dyDescent="0.2">
      <c r="Y2226" s="105" t="str">
        <f t="shared" si="68"/>
        <v>1w</v>
      </c>
      <c r="Z2226" s="93">
        <f>_xll.qlCalendarAdvance(Calendar,Z2225,Y2226,"f",FALSE)</f>
        <v>54743</v>
      </c>
      <c r="AA2226" s="117">
        <f>_xll.qlCalendarAdvance(Calendar,Z2226,NDays&amp;"D")</f>
        <v>54745</v>
      </c>
      <c r="AB2226" s="92">
        <v>1.3806290388335172E-2</v>
      </c>
      <c r="AC2226" s="101">
        <v>1.3781249077275959E-2</v>
      </c>
    </row>
    <row r="2227" spans="25:29" x14ac:dyDescent="0.2">
      <c r="Y2227" s="105" t="str">
        <f t="shared" si="68"/>
        <v>1w</v>
      </c>
      <c r="Z2227" s="93">
        <f>_xll.qlCalendarAdvance(Calendar,Z2226,Y2227,"f",FALSE)</f>
        <v>54750</v>
      </c>
      <c r="AA2227" s="117">
        <f>_xll.qlCalendarAdvance(Calendar,Z2227,NDays&amp;"D")</f>
        <v>54752</v>
      </c>
      <c r="AB2227" s="92">
        <v>1.3804574272917886E-2</v>
      </c>
      <c r="AC2227" s="101">
        <v>1.3779444371051497E-2</v>
      </c>
    </row>
    <row r="2228" spans="25:29" x14ac:dyDescent="0.2">
      <c r="Y2228" s="105" t="str">
        <f t="shared" si="68"/>
        <v>1w</v>
      </c>
      <c r="Z2228" s="93">
        <f>_xll.qlCalendarAdvance(Calendar,Z2227,Y2228,"f",FALSE)</f>
        <v>54757</v>
      </c>
      <c r="AA2228" s="117">
        <f>_xll.qlCalendarAdvance(Calendar,Z2228,NDays&amp;"D")</f>
        <v>54759</v>
      </c>
      <c r="AB2228" s="92">
        <v>1.380300896100644E-2</v>
      </c>
      <c r="AC2228" s="101">
        <v>1.377764730607467E-2</v>
      </c>
    </row>
    <row r="2229" spans="25:29" x14ac:dyDescent="0.2">
      <c r="Y2229" s="105" t="str">
        <f t="shared" si="68"/>
        <v>1w</v>
      </c>
      <c r="Z2229" s="93">
        <f>_xll.qlCalendarAdvance(Calendar,Z2228,Y2229,"f",FALSE)</f>
        <v>54764</v>
      </c>
      <c r="AA2229" s="117">
        <f>_xll.qlCalendarAdvance(Calendar,Z2229,NDays&amp;"D")</f>
        <v>54766</v>
      </c>
      <c r="AB2229" s="92">
        <v>1.3801304629338996E-2</v>
      </c>
      <c r="AC2229" s="101">
        <v>1.3775857906486166E-2</v>
      </c>
    </row>
    <row r="2230" spans="25:29" x14ac:dyDescent="0.2">
      <c r="Y2230" s="105" t="str">
        <f t="shared" si="68"/>
        <v>1w</v>
      </c>
      <c r="Z2230" s="93">
        <f>_xll.qlCalendarAdvance(Calendar,Z2229,Y2230,"f",FALSE)</f>
        <v>54771</v>
      </c>
      <c r="AA2230" s="117">
        <f>_xll.qlCalendarAdvance(Calendar,Z2230,NDays&amp;"D")</f>
        <v>54773</v>
      </c>
      <c r="AB2230" s="92">
        <v>1.3799604233770472E-2</v>
      </c>
      <c r="AC2230" s="101">
        <v>1.3774076196746421E-2</v>
      </c>
    </row>
    <row r="2231" spans="25:29" x14ac:dyDescent="0.2">
      <c r="Y2231" s="105" t="str">
        <f t="shared" si="68"/>
        <v>1w</v>
      </c>
      <c r="Z2231" s="93">
        <f>_xll.qlCalendarAdvance(Calendar,Z2230,Y2231,"f",FALSE)</f>
        <v>54778</v>
      </c>
      <c r="AA2231" s="117">
        <f>_xll.qlCalendarAdvance(Calendar,Z2231,NDays&amp;"D")</f>
        <v>54780</v>
      </c>
      <c r="AB2231" s="92">
        <v>1.3797906589869412E-2</v>
      </c>
      <c r="AC2231" s="101">
        <v>1.3772302201076059E-2</v>
      </c>
    </row>
    <row r="2232" spans="25:29" x14ac:dyDescent="0.2">
      <c r="Y2232" s="105" t="str">
        <f t="shared" si="68"/>
        <v>1w</v>
      </c>
      <c r="Z2232" s="93">
        <f>_xll.qlCalendarAdvance(Calendar,Z2231,Y2232,"f",FALSE)</f>
        <v>54785</v>
      </c>
      <c r="AA2232" s="117">
        <f>_xll.qlCalendarAdvance(Calendar,Z2232,NDays&amp;"D")</f>
        <v>54787</v>
      </c>
      <c r="AB2232" s="92">
        <v>1.3796210510584042E-2</v>
      </c>
      <c r="AC2232" s="101">
        <v>1.3770535943695705E-2</v>
      </c>
    </row>
    <row r="2233" spans="25:29" x14ac:dyDescent="0.2">
      <c r="Y2233" s="105" t="str">
        <f t="shared" si="68"/>
        <v>1w</v>
      </c>
      <c r="Z2233" s="93">
        <f>_xll.qlCalendarAdvance(Calendar,Z2232,Y2233,"f",FALSE)</f>
        <v>54792</v>
      </c>
      <c r="AA2233" s="117">
        <f>_xll.qlCalendarAdvance(Calendar,Z2233,NDays&amp;"D")</f>
        <v>54794</v>
      </c>
      <c r="AB2233" s="92">
        <v>1.3794371622986355E-2</v>
      </c>
      <c r="AC2233" s="101">
        <v>1.3768777449225666E-2</v>
      </c>
    </row>
    <row r="2234" spans="25:29" x14ac:dyDescent="0.2">
      <c r="Y2234" s="105" t="str">
        <f t="shared" si="68"/>
        <v>1w</v>
      </c>
      <c r="Z2234" s="93">
        <f>_xll.qlCalendarAdvance(Calendar,Z2233,Y2234,"f",FALSE)</f>
        <v>54799</v>
      </c>
      <c r="AA2234" s="117">
        <f>_xll.qlCalendarAdvance(Calendar,Z2234,NDays&amp;"D")</f>
        <v>54801</v>
      </c>
      <c r="AB2234" s="92">
        <v>1.3792675729709937E-2</v>
      </c>
      <c r="AC2234" s="101">
        <v>1.3767026741806632E-2</v>
      </c>
    </row>
    <row r="2235" spans="25:29" x14ac:dyDescent="0.2">
      <c r="Y2235" s="105" t="str">
        <f t="shared" si="68"/>
        <v>1w</v>
      </c>
      <c r="Z2235" s="93">
        <f>_xll.qlCalendarAdvance(Calendar,Z2234,Y2235,"f",FALSE)</f>
        <v>54806</v>
      </c>
      <c r="AA2235" s="117">
        <f>_xll.qlCalendarAdvance(Calendar,Z2235,NDays&amp;"D")</f>
        <v>54808</v>
      </c>
      <c r="AB2235" s="92">
        <v>1.3790977941478167E-2</v>
      </c>
      <c r="AC2235" s="101">
        <v>1.376528384557929E-2</v>
      </c>
    </row>
    <row r="2236" spans="25:29" x14ac:dyDescent="0.2">
      <c r="Y2236" s="105" t="str">
        <f t="shared" si="68"/>
        <v>1w</v>
      </c>
      <c r="Z2236" s="93">
        <f>_xll.qlCalendarAdvance(Calendar,Z2235,Y2236,"f",FALSE)</f>
        <v>54813</v>
      </c>
      <c r="AA2236" s="117">
        <f>_xll.qlCalendarAdvance(Calendar,Z2236,NDays&amp;"D")</f>
        <v>54815</v>
      </c>
      <c r="AB2236" s="92">
        <v>1.3789277054428841E-2</v>
      </c>
      <c r="AC2236" s="101">
        <v>1.376354878532382E-2</v>
      </c>
    </row>
    <row r="2237" spans="25:29" x14ac:dyDescent="0.2">
      <c r="Y2237" s="105" t="str">
        <f t="shared" si="68"/>
        <v>1w</v>
      </c>
      <c r="Z2237" s="93">
        <f>_xll.qlCalendarAdvance(Calendar,Z2236,Y2237,"f",FALSE)</f>
        <v>54820</v>
      </c>
      <c r="AA2237" s="117">
        <f>_xll.qlCalendarAdvance(Calendar,Z2237,NDays&amp;"D")</f>
        <v>54822</v>
      </c>
      <c r="AB2237" s="92">
        <v>1.3787571862063188E-2</v>
      </c>
      <c r="AC2237" s="101">
        <v>1.3761821585100975E-2</v>
      </c>
    </row>
    <row r="2238" spans="25:29" x14ac:dyDescent="0.2">
      <c r="Y2238" s="105" t="str">
        <f t="shared" si="68"/>
        <v>1w</v>
      </c>
      <c r="Z2238" s="93">
        <f>_xll.qlCalendarAdvance(Calendar,Z2237,Y2238,"f",FALSE)</f>
        <v>54827</v>
      </c>
      <c r="AA2238" s="117">
        <f>_xll.qlCalendarAdvance(Calendar,Z2238,NDays&amp;"D")</f>
        <v>54829</v>
      </c>
      <c r="AB2238" s="92">
        <v>1.3785861155246763E-2</v>
      </c>
      <c r="AC2238" s="101">
        <v>1.3760102269051444E-2</v>
      </c>
    </row>
    <row r="2239" spans="25:29" x14ac:dyDescent="0.2">
      <c r="Y2239" s="105" t="str">
        <f t="shared" si="68"/>
        <v>1w</v>
      </c>
      <c r="Z2239" s="93">
        <f>_xll.qlCalendarAdvance(Calendar,Z2238,Y2239,"f",FALSE)</f>
        <v>54834</v>
      </c>
      <c r="AA2239" s="117">
        <f>_xll.qlCalendarAdvance(Calendar,Z2239,NDays&amp;"D")</f>
        <v>54836</v>
      </c>
      <c r="AB2239" s="92">
        <v>1.378414372221164E-2</v>
      </c>
      <c r="AC2239" s="101">
        <v>1.3758390861875469E-2</v>
      </c>
    </row>
    <row r="2240" spans="25:29" x14ac:dyDescent="0.2">
      <c r="Y2240" s="105" t="str">
        <f t="shared" si="68"/>
        <v>1w</v>
      </c>
      <c r="Z2240" s="93">
        <f>_xll.qlCalendarAdvance(Calendar,Z2239,Y2240,"f",FALSE)</f>
        <v>54841</v>
      </c>
      <c r="AA2240" s="117">
        <f>_xll.qlCalendarAdvance(Calendar,Z2240,NDays&amp;"D")</f>
        <v>54843</v>
      </c>
      <c r="AB2240" s="92">
        <v>1.3782418348553772E-2</v>
      </c>
      <c r="AC2240" s="101">
        <v>1.3756687387633804E-2</v>
      </c>
    </row>
    <row r="2241" spans="25:29" x14ac:dyDescent="0.2">
      <c r="Y2241" s="105" t="str">
        <f t="shared" si="68"/>
        <v>1w</v>
      </c>
      <c r="Z2241" s="93">
        <f>_xll.qlCalendarAdvance(Calendar,Z2240,Y2241,"f",FALSE)</f>
        <v>54848</v>
      </c>
      <c r="AA2241" s="117">
        <f>_xll.qlCalendarAdvance(Calendar,Z2241,NDays&amp;"D")</f>
        <v>54850</v>
      </c>
      <c r="AB2241" s="92">
        <v>1.3781358476963115E-2</v>
      </c>
      <c r="AC2241" s="101">
        <v>1.3754991870627009E-2</v>
      </c>
    </row>
    <row r="2242" spans="25:29" x14ac:dyDescent="0.2">
      <c r="Y2242" s="105" t="str">
        <f t="shared" si="68"/>
        <v>1w</v>
      </c>
      <c r="Z2242" s="93">
        <f>_xll.qlCalendarAdvance(Calendar,Z2241,Y2242,"f",FALSE)</f>
        <v>54855</v>
      </c>
      <c r="AA2242" s="117">
        <f>_xll.qlCalendarAdvance(Calendar,Z2242,NDays&amp;"D")</f>
        <v>54857</v>
      </c>
      <c r="AB2242" s="92">
        <v>1.3779606584128445E-2</v>
      </c>
      <c r="AC2242" s="101">
        <v>1.3753304335555327E-2</v>
      </c>
    </row>
    <row r="2243" spans="25:29" x14ac:dyDescent="0.2">
      <c r="Y2243" s="105" t="str">
        <f t="shared" si="68"/>
        <v>1w</v>
      </c>
      <c r="Z2243" s="93">
        <f>_xll.qlCalendarAdvance(Calendar,Z2242,Y2243,"f",FALSE)</f>
        <v>54862</v>
      </c>
      <c r="AA2243" s="117">
        <f>_xll.qlCalendarAdvance(Calendar,Z2243,NDays&amp;"D")</f>
        <v>54864</v>
      </c>
      <c r="AB2243" s="92">
        <v>1.3777842766981054E-2</v>
      </c>
      <c r="AC2243" s="101">
        <v>1.375162480631964E-2</v>
      </c>
    </row>
    <row r="2244" spans="25:29" x14ac:dyDescent="0.2">
      <c r="Y2244" s="105" t="str">
        <f t="shared" si="68"/>
        <v>1w</v>
      </c>
      <c r="Z2244" s="93">
        <f>_xll.qlCalendarAdvance(Calendar,Z2243,Y2244,"f",FALSE)</f>
        <v>54869</v>
      </c>
      <c r="AA2244" s="117">
        <f>_xll.qlCalendarAdvance(Calendar,Z2244,NDays&amp;"D")</f>
        <v>54871</v>
      </c>
      <c r="AB2244" s="92">
        <v>1.3776065832106542E-2</v>
      </c>
      <c r="AC2244" s="101">
        <v>1.374995330738038E-2</v>
      </c>
    </row>
    <row r="2245" spans="25:29" x14ac:dyDescent="0.2">
      <c r="Y2245" s="105" t="str">
        <f t="shared" si="68"/>
        <v>1w</v>
      </c>
      <c r="Z2245" s="93">
        <f>_xll.qlCalendarAdvance(Calendar,Z2244,Y2245,"f",FALSE)</f>
        <v>54876</v>
      </c>
      <c r="AA2245" s="117">
        <f>_xll.qlCalendarAdvance(Calendar,Z2245,NDays&amp;"D")</f>
        <v>54878</v>
      </c>
      <c r="AB2245" s="92">
        <v>1.3773888121769627E-2</v>
      </c>
      <c r="AC2245" s="101">
        <v>1.3748289863197982E-2</v>
      </c>
    </row>
    <row r="2246" spans="25:29" x14ac:dyDescent="0.2">
      <c r="Y2246" s="105" t="str">
        <f t="shared" si="68"/>
        <v>1w</v>
      </c>
      <c r="Z2246" s="93">
        <f>_xll.qlCalendarAdvance(Calendar,Z2245,Y2246,"f",FALSE)</f>
        <v>54883</v>
      </c>
      <c r="AA2246" s="117">
        <f>_xll.qlCalendarAdvance(Calendar,Z2246,NDays&amp;"D")</f>
        <v>54885</v>
      </c>
      <c r="AB2246" s="92">
        <v>1.3772086222144708E-2</v>
      </c>
      <c r="AC2246" s="101">
        <v>1.3747212990462998E-2</v>
      </c>
    </row>
    <row r="2247" spans="25:29" x14ac:dyDescent="0.2">
      <c r="Y2247" s="105" t="str">
        <f t="shared" si="68"/>
        <v>1w</v>
      </c>
      <c r="Z2247" s="93">
        <f>_xll.qlCalendarAdvance(Calendar,Z2246,Y2247,"f",FALSE)</f>
        <v>54890</v>
      </c>
      <c r="AA2247" s="117">
        <f>_xll.qlCalendarAdvance(Calendar,Z2247,NDays&amp;"D")</f>
        <v>54892</v>
      </c>
      <c r="AB2247" s="92">
        <v>1.3770267726876459E-2</v>
      </c>
      <c r="AC2247" s="101">
        <v>1.3744987236066208E-2</v>
      </c>
    </row>
    <row r="2248" spans="25:29" x14ac:dyDescent="0.2">
      <c r="Y2248" s="105" t="str">
        <f t="shared" si="68"/>
        <v>1w</v>
      </c>
      <c r="Z2248" s="93">
        <f>_xll.qlCalendarAdvance(Calendar,Z2247,Y2248,"f",FALSE)</f>
        <v>54897</v>
      </c>
      <c r="AA2248" s="117">
        <f>_xll.qlCalendarAdvance(Calendar,Z2248,NDays&amp;"D")</f>
        <v>54899</v>
      </c>
      <c r="AB2248" s="92">
        <v>1.3768431413416698E-2</v>
      </c>
      <c r="AC2248" s="101">
        <v>1.374334810163802E-2</v>
      </c>
    </row>
    <row r="2249" spans="25:29" x14ac:dyDescent="0.2">
      <c r="Y2249" s="105" t="str">
        <f t="shared" si="68"/>
        <v>1w</v>
      </c>
      <c r="Z2249" s="93">
        <f>_xll.qlCalendarAdvance(Calendar,Z2248,Y2249,"f",FALSE)</f>
        <v>54904</v>
      </c>
      <c r="AA2249" s="117">
        <f>_xll.qlCalendarAdvance(Calendar,Z2249,NDays&amp;"D")</f>
        <v>54906</v>
      </c>
      <c r="AB2249" s="92">
        <v>1.3766576056612986E-2</v>
      </c>
      <c r="AC2249" s="101">
        <v>1.3741717119168939E-2</v>
      </c>
    </row>
    <row r="2250" spans="25:29" x14ac:dyDescent="0.2">
      <c r="Y2250" s="105" t="str">
        <f t="shared" si="68"/>
        <v>1w</v>
      </c>
      <c r="Z2250" s="93">
        <f>_xll.qlCalendarAdvance(Calendar,Z2249,Y2250,"f",FALSE)</f>
        <v>54911</v>
      </c>
      <c r="AA2250" s="117">
        <f>_xll.qlCalendarAdvance(Calendar,Z2250,NDays&amp;"D")</f>
        <v>54913</v>
      </c>
      <c r="AB2250" s="92">
        <v>1.3765061596295796E-2</v>
      </c>
      <c r="AC2250" s="101">
        <v>1.37400943131194E-2</v>
      </c>
    </row>
    <row r="2251" spans="25:29" x14ac:dyDescent="0.2">
      <c r="Y2251" s="105" t="str">
        <f t="shared" si="68"/>
        <v>1w</v>
      </c>
      <c r="Z2251" s="93">
        <f>_xll.qlCalendarAdvance(Calendar,Z2250,Y2251,"f",FALSE)</f>
        <v>54918</v>
      </c>
      <c r="AA2251" s="117">
        <f>_xll.qlCalendarAdvance(Calendar,Z2251,NDays&amp;"D")</f>
        <v>54920</v>
      </c>
      <c r="AB2251" s="92">
        <v>1.3763159206343991E-2</v>
      </c>
      <c r="AC2251" s="101">
        <v>1.3738479707630091E-2</v>
      </c>
    </row>
    <row r="2252" spans="25:29" x14ac:dyDescent="0.2">
      <c r="Y2252" s="105" t="str">
        <f t="shared" si="68"/>
        <v>1w</v>
      </c>
      <c r="Z2252" s="93">
        <f>_xll.qlCalendarAdvance(Calendar,Z2251,Y2252,"f",FALSE)</f>
        <v>54925</v>
      </c>
      <c r="AA2252" s="117">
        <f>_xll.qlCalendarAdvance(Calendar,Z2252,NDays&amp;"D")</f>
        <v>54927</v>
      </c>
      <c r="AB2252" s="92">
        <v>1.3761234074438917E-2</v>
      </c>
      <c r="AC2252" s="101">
        <v>1.3736869430598375E-2</v>
      </c>
    </row>
    <row r="2253" spans="25:29" x14ac:dyDescent="0.2">
      <c r="Y2253" s="105" t="str">
        <f t="shared" si="68"/>
        <v>1w</v>
      </c>
      <c r="Z2253" s="93">
        <f>_xll.qlCalendarAdvance(Calendar,Z2252,Y2253,"f",FALSE)</f>
        <v>54932</v>
      </c>
      <c r="AA2253" s="117">
        <f>_xll.qlCalendarAdvance(Calendar,Z2253,NDays&amp;"D")</f>
        <v>54934</v>
      </c>
      <c r="AB2253" s="92">
        <v>1.3759285508324864E-2</v>
      </c>
      <c r="AC2253" s="101">
        <v>1.3735240313517139E-2</v>
      </c>
    </row>
    <row r="2254" spans="25:29" x14ac:dyDescent="0.2">
      <c r="Y2254" s="105" t="str">
        <f t="shared" si="68"/>
        <v>1w</v>
      </c>
      <c r="Z2254" s="93">
        <f>_xll.qlCalendarAdvance(Calendar,Z2253,Y2254,"f",FALSE)</f>
        <v>54939</v>
      </c>
      <c r="AA2254" s="117">
        <f>_xll.qlCalendarAdvance(Calendar,Z2254,NDays&amp;"D")</f>
        <v>54941</v>
      </c>
      <c r="AB2254" s="92">
        <v>1.3756973409263355E-2</v>
      </c>
      <c r="AC2254" s="101">
        <v>1.37335884194556E-2</v>
      </c>
    </row>
    <row r="2255" spans="25:29" x14ac:dyDescent="0.2">
      <c r="Y2255" s="105" t="str">
        <f t="shared" si="68"/>
        <v>1w</v>
      </c>
      <c r="Z2255" s="93">
        <f>_xll.qlCalendarAdvance(Calendar,Z2254,Y2255,"f",FALSE)</f>
        <v>54946</v>
      </c>
      <c r="AA2255" s="117">
        <f>_xll.qlCalendarAdvance(Calendar,Z2255,NDays&amp;"D")</f>
        <v>54948</v>
      </c>
      <c r="AB2255" s="92">
        <v>1.3754983091111317E-2</v>
      </c>
      <c r="AC2255" s="101">
        <v>1.3731913704848608E-2</v>
      </c>
    </row>
    <row r="2256" spans="25:29" x14ac:dyDescent="0.2">
      <c r="Y2256" s="105" t="str">
        <f t="shared" si="68"/>
        <v>1w</v>
      </c>
      <c r="Z2256" s="93">
        <f>_xll.qlCalendarAdvance(Calendar,Z2255,Y2256,"f",FALSE)</f>
        <v>54953</v>
      </c>
      <c r="AA2256" s="117">
        <f>_xll.qlCalendarAdvance(Calendar,Z2256,NDays&amp;"D")</f>
        <v>54955</v>
      </c>
      <c r="AB2256" s="92">
        <v>1.375296918324811E-2</v>
      </c>
      <c r="AC2256" s="101">
        <v>1.3730216126210948E-2</v>
      </c>
    </row>
    <row r="2257" spans="25:29" x14ac:dyDescent="0.2">
      <c r="Y2257" s="105" t="str">
        <f t="shared" si="68"/>
        <v>1w</v>
      </c>
      <c r="Z2257" s="93">
        <f>_xll.qlCalendarAdvance(Calendar,Z2256,Y2257,"f",FALSE)</f>
        <v>54960</v>
      </c>
      <c r="AA2257" s="117">
        <f>_xll.qlCalendarAdvance(Calendar,Z2257,NDays&amp;"D")</f>
        <v>54962</v>
      </c>
      <c r="AB2257" s="92">
        <v>1.3750931641994577E-2</v>
      </c>
      <c r="AC2257" s="101">
        <v>1.3728495640137339E-2</v>
      </c>
    </row>
    <row r="2258" spans="25:29" x14ac:dyDescent="0.2">
      <c r="Y2258" s="105" t="str">
        <f t="shared" si="68"/>
        <v>1w</v>
      </c>
      <c r="Z2258" s="93">
        <f>_xll.qlCalendarAdvance(Calendar,Z2257,Y2258,"f",FALSE)</f>
        <v>54967</v>
      </c>
      <c r="AA2258" s="117">
        <f>_xll.qlCalendarAdvance(Calendar,Z2258,NDays&amp;"D")</f>
        <v>54969</v>
      </c>
      <c r="AB2258" s="92">
        <v>1.3748870423672869E-2</v>
      </c>
      <c r="AC2258" s="101">
        <v>1.3726752203222503E-2</v>
      </c>
    </row>
    <row r="2259" spans="25:29" x14ac:dyDescent="0.2">
      <c r="Y2259" s="105" t="str">
        <f t="shared" si="68"/>
        <v>1w</v>
      </c>
      <c r="Z2259" s="93">
        <f>_xll.qlCalendarAdvance(Calendar,Z2258,Y2259,"f",FALSE)</f>
        <v>54974</v>
      </c>
      <c r="AA2259" s="117">
        <f>_xll.qlCalendarAdvance(Calendar,Z2259,NDays&amp;"D")</f>
        <v>54976</v>
      </c>
      <c r="AB2259" s="92">
        <v>1.3747098781067852E-2</v>
      </c>
      <c r="AC2259" s="101">
        <v>1.3724985771981224E-2</v>
      </c>
    </row>
    <row r="2260" spans="25:29" x14ac:dyDescent="0.2">
      <c r="Y2260" s="105" t="str">
        <f t="shared" si="68"/>
        <v>1w</v>
      </c>
      <c r="Z2260" s="93">
        <f>_xll.qlCalendarAdvance(Calendar,Z2259,Y2260,"f",FALSE)</f>
        <v>54981</v>
      </c>
      <c r="AA2260" s="117">
        <f>_xll.qlCalendarAdvance(Calendar,Z2260,NDays&amp;"D")</f>
        <v>54983</v>
      </c>
      <c r="AB2260" s="92">
        <v>1.3744984697057634E-2</v>
      </c>
      <c r="AC2260" s="101">
        <v>1.3723196302928287E-2</v>
      </c>
    </row>
    <row r="2261" spans="25:29" x14ac:dyDescent="0.2">
      <c r="Y2261" s="105" t="str">
        <f t="shared" ref="Y2261:Y2324" si="69">Y2260</f>
        <v>1w</v>
      </c>
      <c r="Z2261" s="93">
        <f>_xll.qlCalendarAdvance(Calendar,Z2260,Y2261,"f",FALSE)</f>
        <v>54988</v>
      </c>
      <c r="AA2261" s="117">
        <f>_xll.qlCalendarAdvance(Calendar,Z2261,NDays&amp;"D")</f>
        <v>54990</v>
      </c>
      <c r="AB2261" s="92">
        <v>1.3742846792909297E-2</v>
      </c>
      <c r="AC2261" s="101">
        <v>1.3721383752818284E-2</v>
      </c>
    </row>
    <row r="2262" spans="25:29" x14ac:dyDescent="0.2">
      <c r="Y2262" s="105" t="str">
        <f t="shared" si="69"/>
        <v>1w</v>
      </c>
      <c r="Z2262" s="93">
        <f>_xll.qlCalendarAdvance(Calendar,Z2261,Y2262,"f",FALSE)</f>
        <v>54995</v>
      </c>
      <c r="AA2262" s="117">
        <f>_xll.qlCalendarAdvance(Calendar,Z2262,NDays&amp;"D")</f>
        <v>54997</v>
      </c>
      <c r="AB2262" s="92">
        <v>1.374068502494423E-2</v>
      </c>
      <c r="AC2262" s="101">
        <v>1.3719548078006127E-2</v>
      </c>
    </row>
    <row r="2263" spans="25:29" x14ac:dyDescent="0.2">
      <c r="Y2263" s="105" t="str">
        <f t="shared" si="69"/>
        <v>1w</v>
      </c>
      <c r="Z2263" s="93">
        <f>_xll.qlCalendarAdvance(Calendar,Z2262,Y2263,"f",FALSE)</f>
        <v>55002</v>
      </c>
      <c r="AA2263" s="117">
        <f>_xll.qlCalendarAdvance(Calendar,Z2263,NDays&amp;"D")</f>
        <v>55004</v>
      </c>
      <c r="AB2263" s="92">
        <v>1.3738499349485544E-2</v>
      </c>
      <c r="AC2263" s="101">
        <v>1.3717689234926667E-2</v>
      </c>
    </row>
    <row r="2264" spans="25:29" x14ac:dyDescent="0.2">
      <c r="Y2264" s="105" t="str">
        <f t="shared" si="69"/>
        <v>1w</v>
      </c>
      <c r="Z2264" s="93">
        <f>_xll.qlCalendarAdvance(Calendar,Z2263,Y2264,"f",FALSE)</f>
        <v>55009</v>
      </c>
      <c r="AA2264" s="117">
        <f>_xll.qlCalendarAdvance(Calendar,Z2264,NDays&amp;"D")</f>
        <v>55011</v>
      </c>
      <c r="AB2264" s="92">
        <v>1.3736289722858928E-2</v>
      </c>
      <c r="AC2264" s="101">
        <v>1.3715807180494366E-2</v>
      </c>
    </row>
    <row r="2265" spans="25:29" x14ac:dyDescent="0.2">
      <c r="Y2265" s="105" t="str">
        <f t="shared" si="69"/>
        <v>1w</v>
      </c>
      <c r="Z2265" s="93">
        <f>_xll.qlCalendarAdvance(Calendar,Z2264,Y2265,"f",FALSE)</f>
        <v>55016</v>
      </c>
      <c r="AA2265" s="117">
        <f>_xll.qlCalendarAdvance(Calendar,Z2265,NDays&amp;"D")</f>
        <v>55018</v>
      </c>
      <c r="AB2265" s="92">
        <v>1.373405610138663E-2</v>
      </c>
      <c r="AC2265" s="101">
        <v>1.3713901870904266E-2</v>
      </c>
    </row>
    <row r="2266" spans="25:29" x14ac:dyDescent="0.2">
      <c r="Y2266" s="105" t="str">
        <f t="shared" si="69"/>
        <v>1w</v>
      </c>
      <c r="Z2266" s="93">
        <f>_xll.qlCalendarAdvance(Calendar,Z2265,Y2266,"f",FALSE)</f>
        <v>55023</v>
      </c>
      <c r="AA2266" s="117">
        <f>_xll.qlCalendarAdvance(Calendar,Z2266,NDays&amp;"D")</f>
        <v>55025</v>
      </c>
      <c r="AB2266" s="92">
        <v>1.3731798441397351E-2</v>
      </c>
      <c r="AC2266" s="101">
        <v>1.3711973262990895E-2</v>
      </c>
    </row>
    <row r="2267" spans="25:29" x14ac:dyDescent="0.2">
      <c r="Y2267" s="105" t="str">
        <f t="shared" si="69"/>
        <v>1w</v>
      </c>
      <c r="Z2267" s="93">
        <f>_xll.qlCalendarAdvance(Calendar,Z2266,Y2267,"f",FALSE)</f>
        <v>55030</v>
      </c>
      <c r="AA2267" s="117">
        <f>_xll.qlCalendarAdvance(Calendar,Z2267,NDays&amp;"D")</f>
        <v>55032</v>
      </c>
      <c r="AB2267" s="92">
        <v>1.3729065978983988E-2</v>
      </c>
      <c r="AC2267" s="101">
        <v>1.371002131302923E-2</v>
      </c>
    </row>
    <row r="2268" spans="25:29" x14ac:dyDescent="0.2">
      <c r="Y2268" s="105" t="str">
        <f t="shared" si="69"/>
        <v>1w</v>
      </c>
      <c r="Z2268" s="93">
        <f>_xll.qlCalendarAdvance(Calendar,Z2267,Y2268,"f",FALSE)</f>
        <v>55037</v>
      </c>
      <c r="AA2268" s="117">
        <f>_xll.qlCalendarAdvance(Calendar,Z2268,NDays&amp;"D")</f>
        <v>55039</v>
      </c>
      <c r="AB2268" s="92">
        <v>1.3726769237013015E-2</v>
      </c>
      <c r="AC2268" s="101">
        <v>1.3708045977933736E-2</v>
      </c>
    </row>
    <row r="2269" spans="25:29" x14ac:dyDescent="0.2">
      <c r="Y2269" s="105" t="str">
        <f t="shared" si="69"/>
        <v>1w</v>
      </c>
      <c r="Z2269" s="93">
        <f>_xll.qlCalendarAdvance(Calendar,Z2268,Y2269,"f",FALSE)</f>
        <v>55044</v>
      </c>
      <c r="AA2269" s="117">
        <f>_xll.qlCalendarAdvance(Calendar,Z2269,NDays&amp;"D")</f>
        <v>55046</v>
      </c>
      <c r="AB2269" s="92">
        <v>1.3724448345621455E-2</v>
      </c>
      <c r="AC2269" s="101">
        <v>1.3706047213899453E-2</v>
      </c>
    </row>
    <row r="2270" spans="25:29" x14ac:dyDescent="0.2">
      <c r="Y2270" s="105" t="str">
        <f t="shared" si="69"/>
        <v>1w</v>
      </c>
      <c r="Z2270" s="93">
        <f>_xll.qlCalendarAdvance(Calendar,Z2269,Y2270,"f",FALSE)</f>
        <v>55051</v>
      </c>
      <c r="AA2270" s="117">
        <f>_xll.qlCalendarAdvance(Calendar,Z2270,NDays&amp;"D")</f>
        <v>55053</v>
      </c>
      <c r="AB2270" s="92">
        <v>1.372210326114391E-2</v>
      </c>
      <c r="AC2270" s="101">
        <v>1.3704024977521101E-2</v>
      </c>
    </row>
    <row r="2271" spans="25:29" x14ac:dyDescent="0.2">
      <c r="Y2271" s="105" t="str">
        <f t="shared" si="69"/>
        <v>1w</v>
      </c>
      <c r="Z2271" s="93">
        <f>_xll.qlCalendarAdvance(Calendar,Z2270,Y2271,"f",FALSE)</f>
        <v>55058</v>
      </c>
      <c r="AA2271" s="117">
        <f>_xll.qlCalendarAdvance(Calendar,Z2271,NDays&amp;"D")</f>
        <v>55060</v>
      </c>
      <c r="AB2271" s="92">
        <v>1.3719733939919833E-2</v>
      </c>
      <c r="AC2271" s="101">
        <v>1.3701979225473337E-2</v>
      </c>
    </row>
    <row r="2272" spans="25:29" x14ac:dyDescent="0.2">
      <c r="Y2272" s="105" t="str">
        <f t="shared" si="69"/>
        <v>1w</v>
      </c>
      <c r="Z2272" s="93">
        <f>_xll.qlCalendarAdvance(Calendar,Z2271,Y2272,"f",FALSE)</f>
        <v>55065</v>
      </c>
      <c r="AA2272" s="117">
        <f>_xll.qlCalendarAdvance(Calendar,Z2272,NDays&amp;"D")</f>
        <v>55067</v>
      </c>
      <c r="AB2272" s="92">
        <v>1.3717421665057988E-2</v>
      </c>
      <c r="AC2272" s="101">
        <v>1.3699909914350883E-2</v>
      </c>
    </row>
    <row r="2273" spans="25:29" x14ac:dyDescent="0.2">
      <c r="Y2273" s="105" t="str">
        <f t="shared" si="69"/>
        <v>1w</v>
      </c>
      <c r="Z2273" s="93">
        <f>_xll.qlCalendarAdvance(Calendar,Z2272,Y2273,"f",FALSE)</f>
        <v>55072</v>
      </c>
      <c r="AA2273" s="117">
        <f>_xll.qlCalendarAdvance(Calendar,Z2273,NDays&amp;"D")</f>
        <v>55074</v>
      </c>
      <c r="AB2273" s="92">
        <v>1.371500189488079E-2</v>
      </c>
      <c r="AC2273" s="101">
        <v>1.3697817000588586E-2</v>
      </c>
    </row>
    <row r="2274" spans="25:29" x14ac:dyDescent="0.2">
      <c r="Y2274" s="105" t="str">
        <f t="shared" si="69"/>
        <v>1w</v>
      </c>
      <c r="Z2274" s="93">
        <f>_xll.qlCalendarAdvance(Calendar,Z2273,Y2274,"f",FALSE)</f>
        <v>55079</v>
      </c>
      <c r="AA2274" s="117">
        <f>_xll.qlCalendarAdvance(Calendar,Z2274,NDays&amp;"D")</f>
        <v>55081</v>
      </c>
      <c r="AB2274" s="92">
        <v>1.371255775294755E-2</v>
      </c>
      <c r="AC2274" s="101">
        <v>1.3695700440701231E-2</v>
      </c>
    </row>
    <row r="2275" spans="25:29" x14ac:dyDescent="0.2">
      <c r="Y2275" s="105" t="str">
        <f t="shared" si="69"/>
        <v>1w</v>
      </c>
      <c r="Z2275" s="93">
        <f>_xll.qlCalendarAdvance(Calendar,Z2274,Y2275,"f",FALSE)</f>
        <v>55086</v>
      </c>
      <c r="AA2275" s="117">
        <f>_xll.qlCalendarAdvance(Calendar,Z2275,NDays&amp;"D")</f>
        <v>55088</v>
      </c>
      <c r="AB2275" s="92">
        <v>1.3710089195598248E-2</v>
      </c>
      <c r="AC2275" s="101">
        <v>1.3693560191523346E-2</v>
      </c>
    </row>
    <row r="2276" spans="25:29" x14ac:dyDescent="0.2">
      <c r="Y2276" s="105" t="str">
        <f t="shared" si="69"/>
        <v>1w</v>
      </c>
      <c r="Z2276" s="93">
        <f>_xll.qlCalendarAdvance(Calendar,Z2275,Y2276,"f",FALSE)</f>
        <v>55093</v>
      </c>
      <c r="AA2276" s="117">
        <f>_xll.qlCalendarAdvance(Calendar,Z2276,NDays&amp;"D")</f>
        <v>55095</v>
      </c>
      <c r="AB2276" s="92">
        <v>1.3707522254466049E-2</v>
      </c>
      <c r="AC2276" s="101">
        <v>1.3691396209329909E-2</v>
      </c>
    </row>
    <row r="2277" spans="25:29" x14ac:dyDescent="0.2">
      <c r="Y2277" s="105" t="str">
        <f t="shared" si="69"/>
        <v>1w</v>
      </c>
      <c r="Z2277" s="93">
        <f>_xll.qlCalendarAdvance(Calendar,Z2276,Y2277,"f",FALSE)</f>
        <v>55100</v>
      </c>
      <c r="AA2277" s="117">
        <f>_xll.qlCalendarAdvance(Calendar,Z2277,NDays&amp;"D")</f>
        <v>55102</v>
      </c>
      <c r="AB2277" s="92">
        <v>1.3705006595901051E-2</v>
      </c>
      <c r="AC2277" s="101">
        <v>1.3689208450635704E-2</v>
      </c>
    </row>
    <row r="2278" spans="25:29" x14ac:dyDescent="0.2">
      <c r="Y2278" s="105" t="str">
        <f t="shared" si="69"/>
        <v>1w</v>
      </c>
      <c r="Z2278" s="93">
        <f>_xll.qlCalendarAdvance(Calendar,Z2277,Y2278,"f",FALSE)</f>
        <v>55107</v>
      </c>
      <c r="AA2278" s="117">
        <f>_xll.qlCalendarAdvance(Calendar,Z2278,NDays&amp;"D")</f>
        <v>55109</v>
      </c>
      <c r="AB2278" s="92">
        <v>1.3702466394980283E-2</v>
      </c>
      <c r="AC2278" s="101">
        <v>1.3686996872115387E-2</v>
      </c>
    </row>
    <row r="2279" spans="25:29" x14ac:dyDescent="0.2">
      <c r="Y2279" s="105" t="str">
        <f t="shared" si="69"/>
        <v>1w</v>
      </c>
      <c r="Z2279" s="93">
        <f>_xll.qlCalendarAdvance(Calendar,Z2278,Y2279,"f",FALSE)</f>
        <v>55114</v>
      </c>
      <c r="AA2279" s="117">
        <f>_xll.qlCalendarAdvance(Calendar,Z2279,NDays&amp;"D")</f>
        <v>55116</v>
      </c>
      <c r="AB2279" s="92">
        <v>1.3699901608050706E-2</v>
      </c>
      <c r="AC2279" s="101">
        <v>1.3684761430363679E-2</v>
      </c>
    </row>
    <row r="2280" spans="25:29" x14ac:dyDescent="0.2">
      <c r="Y2280" s="105" t="str">
        <f t="shared" si="69"/>
        <v>1w</v>
      </c>
      <c r="Z2280" s="93">
        <f>_xll.qlCalendarAdvance(Calendar,Z2279,Y2280,"f",FALSE)</f>
        <v>55121</v>
      </c>
      <c r="AA2280" s="117">
        <f>_xll.qlCalendarAdvance(Calendar,Z2280,NDays&amp;"D")</f>
        <v>55123</v>
      </c>
      <c r="AB2280" s="92">
        <v>1.369737864961768E-2</v>
      </c>
      <c r="AC2280" s="101">
        <v>1.3682502081735493E-2</v>
      </c>
    </row>
    <row r="2281" spans="25:29" x14ac:dyDescent="0.2">
      <c r="Y2281" s="105" t="str">
        <f t="shared" si="69"/>
        <v>1w</v>
      </c>
      <c r="Z2281" s="93">
        <f>_xll.qlCalendarAdvance(Calendar,Z2280,Y2281,"f",FALSE)</f>
        <v>55128</v>
      </c>
      <c r="AA2281" s="117">
        <f>_xll.qlCalendarAdvance(Calendar,Z2281,NDays&amp;"D")</f>
        <v>55130</v>
      </c>
      <c r="AB2281" s="92">
        <v>1.3694762682989747E-2</v>
      </c>
      <c r="AC2281" s="101">
        <v>1.368021878298542E-2</v>
      </c>
    </row>
    <row r="2282" spans="25:29" x14ac:dyDescent="0.2">
      <c r="Y2282" s="105" t="str">
        <f t="shared" si="69"/>
        <v>1w</v>
      </c>
      <c r="Z2282" s="93">
        <f>_xll.qlCalendarAdvance(Calendar,Z2281,Y2282,"f",FALSE)</f>
        <v>55135</v>
      </c>
      <c r="AA2282" s="117">
        <f>_xll.qlCalendarAdvance(Calendar,Z2282,NDays&amp;"D")</f>
        <v>55137</v>
      </c>
      <c r="AB2282" s="92">
        <v>1.3692121995362941E-2</v>
      </c>
      <c r="AC2282" s="101">
        <v>1.3677911490708183E-2</v>
      </c>
    </row>
    <row r="2283" spans="25:29" x14ac:dyDescent="0.2">
      <c r="Y2283" s="105" t="str">
        <f t="shared" si="69"/>
        <v>1w</v>
      </c>
      <c r="Z2283" s="93">
        <f>_xll.qlCalendarAdvance(Calendar,Z2282,Y2283,"f",FALSE)</f>
        <v>55142</v>
      </c>
      <c r="AA2283" s="117">
        <f>_xll.qlCalendarAdvance(Calendar,Z2283,NDays&amp;"D")</f>
        <v>55144</v>
      </c>
      <c r="AB2283" s="92">
        <v>1.3689456543085584E-2</v>
      </c>
      <c r="AC2283" s="101">
        <v>1.3675580161178758E-2</v>
      </c>
    </row>
    <row r="2284" spans="25:29" x14ac:dyDescent="0.2">
      <c r="Y2284" s="105" t="str">
        <f t="shared" si="69"/>
        <v>1w</v>
      </c>
      <c r="Z2284" s="93">
        <f>_xll.qlCalendarAdvance(Calendar,Z2283,Y2284,"f",FALSE)</f>
        <v>55149</v>
      </c>
      <c r="AA2284" s="117">
        <f>_xll.qlCalendarAdvance(Calendar,Z2284,NDays&amp;"D")</f>
        <v>55151</v>
      </c>
      <c r="AB2284" s="92">
        <v>1.3686766282509956E-2</v>
      </c>
      <c r="AC2284" s="101">
        <v>1.3673224751231672E-2</v>
      </c>
    </row>
    <row r="2285" spans="25:29" x14ac:dyDescent="0.2">
      <c r="Y2285" s="105" t="str">
        <f t="shared" si="69"/>
        <v>1w</v>
      </c>
      <c r="Z2285" s="93">
        <f>_xll.qlCalendarAdvance(Calendar,Z2284,Y2285,"f",FALSE)</f>
        <v>55156</v>
      </c>
      <c r="AA2285" s="117">
        <f>_xll.qlCalendarAdvance(Calendar,Z2285,NDays&amp;"D")</f>
        <v>55158</v>
      </c>
      <c r="AB2285" s="92">
        <v>1.3683994135806506E-2</v>
      </c>
      <c r="AC2285" s="101">
        <v>1.3670845217061967E-2</v>
      </c>
    </row>
    <row r="2286" spans="25:29" x14ac:dyDescent="0.2">
      <c r="Y2286" s="105" t="str">
        <f t="shared" si="69"/>
        <v>1w</v>
      </c>
      <c r="Z2286" s="93">
        <f>_xll.qlCalendarAdvance(Calendar,Z2285,Y2286,"f",FALSE)</f>
        <v>55163</v>
      </c>
      <c r="AA2286" s="117">
        <f>_xll.qlCalendarAdvance(Calendar,Z2286,NDays&amp;"D")</f>
        <v>55165</v>
      </c>
      <c r="AB2286" s="92">
        <v>1.3681256024600449E-2</v>
      </c>
      <c r="AC2286" s="101">
        <v>1.3668441515743979E-2</v>
      </c>
    </row>
    <row r="2287" spans="25:29" x14ac:dyDescent="0.2">
      <c r="Y2287" s="105" t="str">
        <f t="shared" si="69"/>
        <v>1w</v>
      </c>
      <c r="Z2287" s="93">
        <f>_xll.qlCalendarAdvance(Calendar,Z2286,Y2287,"f",FALSE)</f>
        <v>55170</v>
      </c>
      <c r="AA2287" s="117">
        <f>_xll.qlCalendarAdvance(Calendar,Z2287,NDays&amp;"D")</f>
        <v>55172</v>
      </c>
      <c r="AB2287" s="92">
        <v>1.3678492978195737E-2</v>
      </c>
      <c r="AC2287" s="101">
        <v>1.3666013603392813E-2</v>
      </c>
    </row>
    <row r="2288" spans="25:29" x14ac:dyDescent="0.2">
      <c r="Y2288" s="105" t="str">
        <f t="shared" si="69"/>
        <v>1w</v>
      </c>
      <c r="Z2288" s="93">
        <f>_xll.qlCalendarAdvance(Calendar,Z2287,Y2288,"f",FALSE)</f>
        <v>55177</v>
      </c>
      <c r="AA2288" s="117">
        <f>_xll.qlCalendarAdvance(Calendar,Z2288,NDays&amp;"D")</f>
        <v>55179</v>
      </c>
      <c r="AB2288" s="92">
        <v>1.3675704952948604E-2</v>
      </c>
      <c r="AC2288" s="101">
        <v>1.3663561436683125E-2</v>
      </c>
    </row>
    <row r="2289" spans="25:29" x14ac:dyDescent="0.2">
      <c r="Y2289" s="105" t="str">
        <f t="shared" si="69"/>
        <v>1w</v>
      </c>
      <c r="Z2289" s="93">
        <f>_xll.qlCalendarAdvance(Calendar,Z2288,Y2289,"f",FALSE)</f>
        <v>55184</v>
      </c>
      <c r="AA2289" s="117">
        <f>_xll.qlCalendarAdvance(Calendar,Z2289,NDays&amp;"D")</f>
        <v>55186</v>
      </c>
      <c r="AB2289" s="92">
        <v>1.3672891905216613E-2</v>
      </c>
      <c r="AC2289" s="101">
        <v>1.3661084972209636E-2</v>
      </c>
    </row>
    <row r="2290" spans="25:29" x14ac:dyDescent="0.2">
      <c r="Y2290" s="105" t="str">
        <f t="shared" si="69"/>
        <v>1w</v>
      </c>
      <c r="Z2290" s="93">
        <f>_xll.qlCalendarAdvance(Calendar,Z2289,Y2290,"f",FALSE)</f>
        <v>55191</v>
      </c>
      <c r="AA2290" s="117">
        <f>_xll.qlCalendarAdvance(Calendar,Z2290,NDays&amp;"D")</f>
        <v>55193</v>
      </c>
      <c r="AB2290" s="92">
        <v>1.3670053791360418E-2</v>
      </c>
      <c r="AC2290" s="101">
        <v>1.3658584166567067E-2</v>
      </c>
    </row>
    <row r="2291" spans="25:29" x14ac:dyDescent="0.2">
      <c r="Y2291" s="105" t="str">
        <f t="shared" si="69"/>
        <v>1w</v>
      </c>
      <c r="Z2291" s="93">
        <f>_xll.qlCalendarAdvance(Calendar,Z2290,Y2291,"f",FALSE)</f>
        <v>55198</v>
      </c>
      <c r="AA2291" s="117">
        <f>_xll.qlCalendarAdvance(Calendar,Z2291,NDays&amp;"D")</f>
        <v>55200</v>
      </c>
      <c r="AB2291" s="92">
        <v>1.3667190567737582E-2</v>
      </c>
      <c r="AC2291" s="101">
        <v>1.3656058976270202E-2</v>
      </c>
    </row>
    <row r="2292" spans="25:29" x14ac:dyDescent="0.2">
      <c r="Y2292" s="105" t="str">
        <f t="shared" si="69"/>
        <v>1w</v>
      </c>
      <c r="Z2292" s="93">
        <f>_xll.qlCalendarAdvance(Calendar,Z2291,Y2292,"f",FALSE)</f>
        <v>55205</v>
      </c>
      <c r="AA2292" s="117">
        <f>_xll.qlCalendarAdvance(Calendar,Z2292,NDays&amp;"D")</f>
        <v>55207</v>
      </c>
      <c r="AB2292" s="92">
        <v>1.3664302190710523E-2</v>
      </c>
      <c r="AC2292" s="101">
        <v>1.3653509357673954E-2</v>
      </c>
    </row>
    <row r="2293" spans="25:29" x14ac:dyDescent="0.2">
      <c r="Y2293" s="105" t="str">
        <f t="shared" si="69"/>
        <v>1w</v>
      </c>
      <c r="Z2293" s="93">
        <f>_xll.qlCalendarAdvance(Calendar,Z2292,Y2293,"f",FALSE)</f>
        <v>55212</v>
      </c>
      <c r="AA2293" s="117">
        <f>_xll.qlCalendarAdvance(Calendar,Z2293,NDays&amp;"D")</f>
        <v>55214</v>
      </c>
      <c r="AB2293" s="92">
        <v>1.3661595508967022E-2</v>
      </c>
      <c r="AC2293" s="101">
        <v>1.3650935267532915E-2</v>
      </c>
    </row>
    <row r="2294" spans="25:29" x14ac:dyDescent="0.2">
      <c r="Y2294" s="105" t="str">
        <f t="shared" si="69"/>
        <v>1w</v>
      </c>
      <c r="Z2294" s="93">
        <f>_xll.qlCalendarAdvance(Calendar,Z2293,Y2294,"f",FALSE)</f>
        <v>55219</v>
      </c>
      <c r="AA2294" s="117">
        <f>_xll.qlCalendarAdvance(Calendar,Z2294,NDays&amp;"D")</f>
        <v>55221</v>
      </c>
      <c r="AB2294" s="92">
        <v>1.3658647043537793E-2</v>
      </c>
      <c r="AC2294" s="101">
        <v>1.3648336662441807E-2</v>
      </c>
    </row>
    <row r="2295" spans="25:29" x14ac:dyDescent="0.2">
      <c r="Y2295" s="105" t="str">
        <f t="shared" si="69"/>
        <v>1w</v>
      </c>
      <c r="Z2295" s="93">
        <f>_xll.qlCalendarAdvance(Calendar,Z2294,Y2295,"f",FALSE)</f>
        <v>55226</v>
      </c>
      <c r="AA2295" s="117">
        <f>_xll.qlCalendarAdvance(Calendar,Z2295,NDays&amp;"D")</f>
        <v>55228</v>
      </c>
      <c r="AB2295" s="92">
        <v>1.3655673273550975E-2</v>
      </c>
      <c r="AC2295" s="101">
        <v>1.3645713498835477E-2</v>
      </c>
    </row>
    <row r="2296" spans="25:29" x14ac:dyDescent="0.2">
      <c r="Y2296" s="105" t="str">
        <f t="shared" si="69"/>
        <v>1w</v>
      </c>
      <c r="Z2296" s="93">
        <f>_xll.qlCalendarAdvance(Calendar,Z2295,Y2296,"f",FALSE)</f>
        <v>55233</v>
      </c>
      <c r="AA2296" s="117">
        <f>_xll.qlCalendarAdvance(Calendar,Z2296,NDays&amp;"D")</f>
        <v>55235</v>
      </c>
      <c r="AB2296" s="92">
        <v>1.3652674155366638E-2</v>
      </c>
      <c r="AC2296" s="101">
        <v>1.364306573322871E-2</v>
      </c>
    </row>
    <row r="2297" spans="25:29" x14ac:dyDescent="0.2">
      <c r="Y2297" s="105" t="str">
        <f t="shared" si="69"/>
        <v>1w</v>
      </c>
      <c r="Z2297" s="93">
        <f>_xll.qlCalendarAdvance(Calendar,Z2296,Y2297,"f",FALSE)</f>
        <v>55240</v>
      </c>
      <c r="AA2297" s="117">
        <f>_xll.qlCalendarAdvance(Calendar,Z2297,NDays&amp;"D")</f>
        <v>55242</v>
      </c>
      <c r="AB2297" s="92">
        <v>1.3649549300595197E-2</v>
      </c>
      <c r="AC2297" s="101">
        <v>1.3640658330663413E-2</v>
      </c>
    </row>
    <row r="2298" spans="25:29" x14ac:dyDescent="0.2">
      <c r="Y2298" s="105" t="str">
        <f t="shared" si="69"/>
        <v>1w</v>
      </c>
      <c r="Z2298" s="93">
        <f>_xll.qlCalendarAdvance(Calendar,Z2297,Y2298,"f",FALSE)</f>
        <v>55247</v>
      </c>
      <c r="AA2298" s="117">
        <f>_xll.qlCalendarAdvance(Calendar,Z2298,NDays&amp;"D")</f>
        <v>55249</v>
      </c>
      <c r="AB2298" s="92">
        <v>1.364650519542835E-2</v>
      </c>
      <c r="AC2298" s="101">
        <v>1.363769622255262E-2</v>
      </c>
    </row>
    <row r="2299" spans="25:29" x14ac:dyDescent="0.2">
      <c r="Y2299" s="105" t="str">
        <f t="shared" si="69"/>
        <v>1w</v>
      </c>
      <c r="Z2299" s="93">
        <f>_xll.qlCalendarAdvance(Calendar,Z2298,Y2299,"f",FALSE)</f>
        <v>55254</v>
      </c>
      <c r="AA2299" s="117">
        <f>_xll.qlCalendarAdvance(Calendar,Z2299,NDays&amp;"D")</f>
        <v>55256</v>
      </c>
      <c r="AB2299" s="92">
        <v>1.3643435623315358E-2</v>
      </c>
      <c r="AC2299" s="101">
        <v>1.3634974390592802E-2</v>
      </c>
    </row>
    <row r="2300" spans="25:29" x14ac:dyDescent="0.2">
      <c r="Y2300" s="105" t="str">
        <f t="shared" si="69"/>
        <v>1w</v>
      </c>
      <c r="Z2300" s="93">
        <f>_xll.qlCalendarAdvance(Calendar,Z2299,Y2300,"f",FALSE)</f>
        <v>55261</v>
      </c>
      <c r="AA2300" s="117">
        <f>_xll.qlCalendarAdvance(Calendar,Z2300,NDays&amp;"D")</f>
        <v>55263</v>
      </c>
      <c r="AB2300" s="92">
        <v>1.3640340540625108E-2</v>
      </c>
      <c r="AC2300" s="101">
        <v>1.3632227782771622E-2</v>
      </c>
    </row>
    <row r="2301" spans="25:29" x14ac:dyDescent="0.2">
      <c r="Y2301" s="105" t="str">
        <f t="shared" si="69"/>
        <v>1w</v>
      </c>
      <c r="Z2301" s="93">
        <f>_xll.qlCalendarAdvance(Calendar,Z2300,Y2301,"f",FALSE)</f>
        <v>55268</v>
      </c>
      <c r="AA2301" s="117">
        <f>_xll.qlCalendarAdvance(Calendar,Z2301,NDays&amp;"D")</f>
        <v>55270</v>
      </c>
      <c r="AB2301" s="92">
        <v>1.3637219903728674E-2</v>
      </c>
      <c r="AC2301" s="101">
        <v>1.3629456355843672E-2</v>
      </c>
    </row>
    <row r="2302" spans="25:29" x14ac:dyDescent="0.2">
      <c r="Y2302" s="105" t="str">
        <f t="shared" si="69"/>
        <v>1w</v>
      </c>
      <c r="Z2302" s="93">
        <f>_xll.qlCalendarAdvance(Calendar,Z2301,Y2302,"f",FALSE)</f>
        <v>55275</v>
      </c>
      <c r="AA2302" s="117">
        <f>_xll.qlCalendarAdvance(Calendar,Z2302,NDays&amp;"D")</f>
        <v>55277</v>
      </c>
      <c r="AB2302" s="92">
        <v>1.363414469052673E-2</v>
      </c>
      <c r="AC2302" s="101">
        <v>1.3626660066323737E-2</v>
      </c>
    </row>
    <row r="2303" spans="25:29" x14ac:dyDescent="0.2">
      <c r="Y2303" s="105" t="str">
        <f t="shared" si="69"/>
        <v>1w</v>
      </c>
      <c r="Z2303" s="93">
        <f>_xll.qlCalendarAdvance(Calendar,Z2302,Y2303,"f",FALSE)</f>
        <v>55282</v>
      </c>
      <c r="AA2303" s="117">
        <f>_xll.qlCalendarAdvance(Calendar,Z2303,NDays&amp;"D")</f>
        <v>55284</v>
      </c>
      <c r="AB2303" s="92">
        <v>1.3630966913189975E-2</v>
      </c>
      <c r="AC2303" s="101">
        <v>1.3623838870646665E-2</v>
      </c>
    </row>
    <row r="2304" spans="25:29" x14ac:dyDescent="0.2">
      <c r="Y2304" s="105" t="str">
        <f t="shared" si="69"/>
        <v>1w</v>
      </c>
      <c r="Z2304" s="93">
        <f>_xll.qlCalendarAdvance(Calendar,Z2303,Y2304,"f",FALSE)</f>
        <v>55289</v>
      </c>
      <c r="AA2304" s="117">
        <f>_xll.qlCalendarAdvance(Calendar,Z2304,NDays&amp;"D")</f>
        <v>55291</v>
      </c>
      <c r="AB2304" s="92">
        <v>1.3627763438594275E-2</v>
      </c>
      <c r="AC2304" s="101">
        <v>1.3620992725487113E-2</v>
      </c>
    </row>
    <row r="2305" spans="25:29" x14ac:dyDescent="0.2">
      <c r="Y2305" s="105" t="str">
        <f t="shared" si="69"/>
        <v>1w</v>
      </c>
      <c r="Z2305" s="93">
        <f>_xll.qlCalendarAdvance(Calendar,Z2304,Y2305,"f",FALSE)</f>
        <v>55296</v>
      </c>
      <c r="AA2305" s="117">
        <f>_xll.qlCalendarAdvance(Calendar,Z2305,NDays&amp;"D")</f>
        <v>55298</v>
      </c>
      <c r="AB2305" s="92">
        <v>1.3624534223111304E-2</v>
      </c>
      <c r="AC2305" s="101">
        <v>1.3618121587359866E-2</v>
      </c>
    </row>
    <row r="2306" spans="25:29" x14ac:dyDescent="0.2">
      <c r="Y2306" s="105" t="str">
        <f t="shared" si="69"/>
        <v>1w</v>
      </c>
      <c r="Z2306" s="93">
        <f>_xll.qlCalendarAdvance(Calendar,Z2305,Y2306,"f",FALSE)</f>
        <v>55303</v>
      </c>
      <c r="AA2306" s="117">
        <f>_xll.qlCalendarAdvance(Calendar,Z2306,NDays&amp;"D")</f>
        <v>55305</v>
      </c>
      <c r="AB2306" s="92">
        <v>1.3621231879199466E-2</v>
      </c>
      <c r="AC2306" s="101">
        <v>1.3615225412779708E-2</v>
      </c>
    </row>
    <row r="2307" spans="25:29" x14ac:dyDescent="0.2">
      <c r="Y2307" s="105" t="str">
        <f t="shared" si="69"/>
        <v>1w</v>
      </c>
      <c r="Z2307" s="93">
        <f>_xll.qlCalendarAdvance(Calendar,Z2306,Y2307,"f",FALSE)</f>
        <v>55310</v>
      </c>
      <c r="AA2307" s="117">
        <f>_xll.qlCalendarAdvance(Calendar,Z2307,NDays&amp;"D")</f>
        <v>55312</v>
      </c>
      <c r="AB2307" s="92">
        <v>1.3617957000913537E-2</v>
      </c>
      <c r="AC2307" s="101">
        <v>1.3612304158421296E-2</v>
      </c>
    </row>
    <row r="2308" spans="25:29" x14ac:dyDescent="0.2">
      <c r="Y2308" s="105" t="str">
        <f t="shared" si="69"/>
        <v>1w</v>
      </c>
      <c r="Z2308" s="93">
        <f>_xll.qlCalendarAdvance(Calendar,Z2307,Y2308,"f",FALSE)</f>
        <v>55317</v>
      </c>
      <c r="AA2308" s="117">
        <f>_xll.qlCalendarAdvance(Calendar,Z2308,NDays&amp;"D")</f>
        <v>55319</v>
      </c>
      <c r="AB2308" s="92">
        <v>1.361465626304996E-2</v>
      </c>
      <c r="AC2308" s="101">
        <v>1.3609357780719478E-2</v>
      </c>
    </row>
    <row r="2309" spans="25:29" x14ac:dyDescent="0.2">
      <c r="Y2309" s="105" t="str">
        <f t="shared" si="69"/>
        <v>1w</v>
      </c>
      <c r="Z2309" s="93">
        <f>_xll.qlCalendarAdvance(Calendar,Z2308,Y2309,"f",FALSE)</f>
        <v>55324</v>
      </c>
      <c r="AA2309" s="117">
        <f>_xll.qlCalendarAdvance(Calendar,Z2309,NDays&amp;"D")</f>
        <v>55326</v>
      </c>
      <c r="AB2309" s="92">
        <v>1.3611329621989417E-2</v>
      </c>
      <c r="AC2309" s="101">
        <v>1.3606386236268975E-2</v>
      </c>
    </row>
    <row r="2310" spans="25:29" x14ac:dyDescent="0.2">
      <c r="Y2310" s="105" t="str">
        <f t="shared" si="69"/>
        <v>1w</v>
      </c>
      <c r="Z2310" s="93">
        <f>_xll.qlCalendarAdvance(Calendar,Z2309,Y2310,"f",FALSE)</f>
        <v>55331</v>
      </c>
      <c r="AA2310" s="117">
        <f>_xll.qlCalendarAdvance(Calendar,Z2310,NDays&amp;"D")</f>
        <v>55333</v>
      </c>
      <c r="AB2310" s="92">
        <v>1.3607977034112593E-2</v>
      </c>
      <c r="AC2310" s="101">
        <v>1.3603389481424699E-2</v>
      </c>
    </row>
    <row r="2311" spans="25:29" x14ac:dyDescent="0.2">
      <c r="Y2311" s="105" t="str">
        <f t="shared" si="69"/>
        <v>1w</v>
      </c>
      <c r="Z2311" s="93">
        <f>_xll.qlCalendarAdvance(Calendar,Z2310,Y2311,"f",FALSE)</f>
        <v>55338</v>
      </c>
      <c r="AA2311" s="117">
        <f>_xll.qlCalendarAdvance(Calendar,Z2311,NDays&amp;"D")</f>
        <v>55340</v>
      </c>
      <c r="AB2311" s="92">
        <v>1.3604615928639022E-2</v>
      </c>
      <c r="AC2311" s="101">
        <v>1.3600367473101116E-2</v>
      </c>
    </row>
    <row r="2312" spans="25:29" x14ac:dyDescent="0.2">
      <c r="Y2312" s="105" t="str">
        <f t="shared" si="69"/>
        <v>1w</v>
      </c>
      <c r="Z2312" s="93">
        <f>_xll.qlCalendarAdvance(Calendar,Z2311,Y2312,"f",FALSE)</f>
        <v>55345</v>
      </c>
      <c r="AA2312" s="117">
        <f>_xll.qlCalendarAdvance(Calendar,Z2312,NDays&amp;"D")</f>
        <v>55347</v>
      </c>
      <c r="AB2312" s="92">
        <v>1.3601205305500273E-2</v>
      </c>
      <c r="AC2312" s="101">
        <v>1.3597320167573201E-2</v>
      </c>
    </row>
    <row r="2313" spans="25:29" x14ac:dyDescent="0.2">
      <c r="Y2313" s="105" t="str">
        <f t="shared" si="69"/>
        <v>1w</v>
      </c>
      <c r="Z2313" s="93">
        <f>_xll.qlCalendarAdvance(Calendar,Z2312,Y2313,"f",FALSE)</f>
        <v>55352</v>
      </c>
      <c r="AA2313" s="117">
        <f>_xll.qlCalendarAdvance(Calendar,Z2313,NDays&amp;"D")</f>
        <v>55354</v>
      </c>
      <c r="AB2313" s="92">
        <v>1.3597768592506086E-2</v>
      </c>
      <c r="AC2313" s="101">
        <v>1.3594247521515612E-2</v>
      </c>
    </row>
    <row r="2314" spans="25:29" x14ac:dyDescent="0.2">
      <c r="Y2314" s="105" t="str">
        <f t="shared" si="69"/>
        <v>1w</v>
      </c>
      <c r="Z2314" s="93">
        <f>_xll.qlCalendarAdvance(Calendar,Z2313,Y2314,"f",FALSE)</f>
        <v>55359</v>
      </c>
      <c r="AA2314" s="117">
        <f>_xll.qlCalendarAdvance(Calendar,Z2314,NDays&amp;"D")</f>
        <v>55361</v>
      </c>
      <c r="AB2314" s="92">
        <v>1.3594305746040597E-2</v>
      </c>
      <c r="AC2314" s="101">
        <v>1.3591149491363197E-2</v>
      </c>
    </row>
    <row r="2315" spans="25:29" x14ac:dyDescent="0.2">
      <c r="Y2315" s="105" t="str">
        <f t="shared" si="69"/>
        <v>1w</v>
      </c>
      <c r="Z2315" s="93">
        <f>_xll.qlCalendarAdvance(Calendar,Z2314,Y2315,"f",FALSE)</f>
        <v>55366</v>
      </c>
      <c r="AA2315" s="117">
        <f>_xll.qlCalendarAdvance(Calendar,Z2315,NDays&amp;"D")</f>
        <v>55368</v>
      </c>
      <c r="AB2315" s="92">
        <v>1.3590816722492242E-2</v>
      </c>
      <c r="AC2315" s="101">
        <v>1.3588026033950484E-2</v>
      </c>
    </row>
    <row r="2316" spans="25:29" x14ac:dyDescent="0.2">
      <c r="Y2316" s="105" t="str">
        <f t="shared" si="69"/>
        <v>1w</v>
      </c>
      <c r="Z2316" s="93">
        <f>_xll.qlCalendarAdvance(Calendar,Z2315,Y2316,"f",FALSE)</f>
        <v>55373</v>
      </c>
      <c r="AA2316" s="117">
        <f>_xll.qlCalendarAdvance(Calendar,Z2316,NDays&amp;"D")</f>
        <v>55375</v>
      </c>
      <c r="AB2316" s="92">
        <v>1.3587301478245157E-2</v>
      </c>
      <c r="AC2316" s="101">
        <v>1.3584877105472515E-2</v>
      </c>
    </row>
    <row r="2317" spans="25:29" x14ac:dyDescent="0.2">
      <c r="Y2317" s="105" t="str">
        <f t="shared" si="69"/>
        <v>1w</v>
      </c>
      <c r="Z2317" s="93">
        <f>_xll.qlCalendarAdvance(Calendar,Z2316,Y2317,"f",FALSE)</f>
        <v>55380</v>
      </c>
      <c r="AA2317" s="117">
        <f>_xll.qlCalendarAdvance(Calendar,Z2317,NDays&amp;"D")</f>
        <v>55382</v>
      </c>
      <c r="AB2317" s="92">
        <v>1.3583759969689923E-2</v>
      </c>
      <c r="AC2317" s="101">
        <v>1.3581702662603945E-2</v>
      </c>
    </row>
    <row r="2318" spans="25:29" x14ac:dyDescent="0.2">
      <c r="Y2318" s="105" t="str">
        <f t="shared" si="69"/>
        <v>1w</v>
      </c>
      <c r="Z2318" s="93">
        <f>_xll.qlCalendarAdvance(Calendar,Z2317,Y2318,"f",FALSE)</f>
        <v>55387</v>
      </c>
      <c r="AA2318" s="117">
        <f>_xll.qlCalendarAdvance(Calendar,Z2318,NDays&amp;"D")</f>
        <v>55389</v>
      </c>
      <c r="AB2318" s="92">
        <v>1.3580192153217985E-2</v>
      </c>
      <c r="AC2318" s="101">
        <v>1.3578502661939496E-2</v>
      </c>
    </row>
    <row r="2319" spans="25:29" x14ac:dyDescent="0.2">
      <c r="Y2319" s="105" t="str">
        <f t="shared" si="69"/>
        <v>1w</v>
      </c>
      <c r="Z2319" s="93">
        <f>_xll.qlCalendarAdvance(Calendar,Z2318,Y2319,"f",FALSE)</f>
        <v>55394</v>
      </c>
      <c r="AA2319" s="117">
        <f>_xll.qlCalendarAdvance(Calendar,Z2319,NDays&amp;"D")</f>
        <v>55396</v>
      </c>
      <c r="AB2319" s="92">
        <v>1.3576638868560963E-2</v>
      </c>
      <c r="AC2319" s="101">
        <v>1.3575277060153823E-2</v>
      </c>
    </row>
    <row r="2320" spans="25:29" x14ac:dyDescent="0.2">
      <c r="Y2320" s="105" t="str">
        <f t="shared" si="69"/>
        <v>1w</v>
      </c>
      <c r="Z2320" s="93">
        <f>_xll.qlCalendarAdvance(Calendar,Z2319,Y2320,"f",FALSE)</f>
        <v>55401</v>
      </c>
      <c r="AA2320" s="117">
        <f>_xll.qlCalendarAdvance(Calendar,Z2320,NDays&amp;"D")</f>
        <v>55403</v>
      </c>
      <c r="AB2320" s="92">
        <v>1.3573026449097622E-2</v>
      </c>
      <c r="AC2320" s="101">
        <v>1.357202581360184E-2</v>
      </c>
    </row>
    <row r="2321" spans="25:29" x14ac:dyDescent="0.2">
      <c r="Y2321" s="105" t="str">
        <f t="shared" si="69"/>
        <v>1w</v>
      </c>
      <c r="Z2321" s="93">
        <f>_xll.qlCalendarAdvance(Calendar,Z2320,Y2321,"f",FALSE)</f>
        <v>55408</v>
      </c>
      <c r="AA2321" s="117">
        <f>_xll.qlCalendarAdvance(Calendar,Z2321,NDays&amp;"D")</f>
        <v>55410</v>
      </c>
      <c r="AB2321" s="92">
        <v>1.3569387607179286E-2</v>
      </c>
      <c r="AC2321" s="101">
        <v>1.3568748878718395E-2</v>
      </c>
    </row>
    <row r="2322" spans="25:29" x14ac:dyDescent="0.2">
      <c r="Y2322" s="105" t="str">
        <f t="shared" si="69"/>
        <v>1w</v>
      </c>
      <c r="Z2322" s="93">
        <f>_xll.qlCalendarAdvance(Calendar,Z2321,Y2322,"f",FALSE)</f>
        <v>55415</v>
      </c>
      <c r="AA2322" s="117">
        <f>_xll.qlCalendarAdvance(Calendar,Z2322,NDays&amp;"D")</f>
        <v>55417</v>
      </c>
      <c r="AB2322" s="92">
        <v>1.3565722299206549E-2</v>
      </c>
      <c r="AC2322" s="101">
        <v>1.3565446212497889E-2</v>
      </c>
    </row>
    <row r="2323" spans="25:29" x14ac:dyDescent="0.2">
      <c r="Y2323" s="105" t="str">
        <f t="shared" si="69"/>
        <v>1w</v>
      </c>
      <c r="Z2323" s="93">
        <f>_xll.qlCalendarAdvance(Calendar,Z2322,Y2323,"f",FALSE)</f>
        <v>55422</v>
      </c>
      <c r="AA2323" s="117">
        <f>_xll.qlCalendarAdvance(Calendar,Z2323,NDays&amp;"D")</f>
        <v>55424</v>
      </c>
      <c r="AB2323" s="92">
        <v>1.356203048157956E-2</v>
      </c>
      <c r="AC2323" s="101">
        <v>1.3562117771055426E-2</v>
      </c>
    </row>
    <row r="2324" spans="25:29" x14ac:dyDescent="0.2">
      <c r="Y2324" s="105" t="str">
        <f t="shared" si="69"/>
        <v>1w</v>
      </c>
      <c r="Z2324" s="93">
        <f>_xll.qlCalendarAdvance(Calendar,Z2323,Y2324,"f",FALSE)</f>
        <v>55429</v>
      </c>
      <c r="AA2324" s="117">
        <f>_xll.qlCalendarAdvance(Calendar,Z2324,NDays&amp;"D")</f>
        <v>55431</v>
      </c>
      <c r="AB2324" s="92">
        <v>1.3558291965381853E-2</v>
      </c>
      <c r="AC2324" s="101">
        <v>1.35587635111456E-2</v>
      </c>
    </row>
    <row r="2325" spans="25:29" x14ac:dyDescent="0.2">
      <c r="Y2325" s="105" t="str">
        <f t="shared" ref="Y2325:Y2388" si="70">Y2324</f>
        <v>1w</v>
      </c>
      <c r="Z2325" s="93">
        <f>_xll.qlCalendarAdvance(Calendar,Z2324,Y2325,"f",FALSE)</f>
        <v>55436</v>
      </c>
      <c r="AA2325" s="117">
        <f>_xll.qlCalendarAdvance(Calendar,Z2325,NDays&amp;"D")</f>
        <v>55438</v>
      </c>
      <c r="AB2325" s="92">
        <v>1.3554544942033205E-2</v>
      </c>
      <c r="AC2325" s="101">
        <v>1.3555383389283193E-2</v>
      </c>
    </row>
    <row r="2326" spans="25:29" x14ac:dyDescent="0.2">
      <c r="Y2326" s="105" t="str">
        <f t="shared" si="70"/>
        <v>1w</v>
      </c>
      <c r="Z2326" s="93">
        <f>_xll.qlCalendarAdvance(Calendar,Z2325,Y2326,"f",FALSE)</f>
        <v>55443</v>
      </c>
      <c r="AA2326" s="117">
        <f>_xll.qlCalendarAdvance(Calendar,Z2326,NDays&amp;"D")</f>
        <v>55445</v>
      </c>
      <c r="AB2326" s="92">
        <v>1.3550672250540758E-2</v>
      </c>
      <c r="AC2326" s="101">
        <v>1.3551977362062928E-2</v>
      </c>
    </row>
    <row r="2327" spans="25:29" x14ac:dyDescent="0.2">
      <c r="Y2327" s="105" t="str">
        <f t="shared" si="70"/>
        <v>1w</v>
      </c>
      <c r="Z2327" s="93">
        <f>_xll.qlCalendarAdvance(Calendar,Z2326,Y2327,"f",FALSE)</f>
        <v>55450</v>
      </c>
      <c r="AA2327" s="117">
        <f>_xll.qlCalendarAdvance(Calendar,Z2327,NDays&amp;"D")</f>
        <v>55452</v>
      </c>
      <c r="AB2327" s="92">
        <v>1.3546970918182265E-2</v>
      </c>
      <c r="AC2327" s="101">
        <v>1.3548545385999589E-2</v>
      </c>
    </row>
    <row r="2328" spans="25:29" x14ac:dyDescent="0.2">
      <c r="Y2328" s="105" t="str">
        <f t="shared" si="70"/>
        <v>1w</v>
      </c>
      <c r="Z2328" s="93">
        <f>_xll.qlCalendarAdvance(Calendar,Z2327,Y2328,"f",FALSE)</f>
        <v>55457</v>
      </c>
      <c r="AA2328" s="117">
        <f>_xll.qlCalendarAdvance(Calendar,Z2328,NDays&amp;"D")</f>
        <v>55459</v>
      </c>
      <c r="AB2328" s="92">
        <v>1.3543172222734937E-2</v>
      </c>
      <c r="AC2328" s="101">
        <v>1.3545087417528023E-2</v>
      </c>
    </row>
    <row r="2329" spans="25:29" x14ac:dyDescent="0.2">
      <c r="Y2329" s="105" t="str">
        <f t="shared" si="70"/>
        <v>1w</v>
      </c>
      <c r="Z2329" s="93">
        <f>_xll.qlCalendarAdvance(Calendar,Z2328,Y2329,"f",FALSE)</f>
        <v>55464</v>
      </c>
      <c r="AA2329" s="117">
        <f>_xll.qlCalendarAdvance(Calendar,Z2329,NDays&amp;"D")</f>
        <v>55466</v>
      </c>
      <c r="AB2329" s="92">
        <v>1.3539320431665544E-2</v>
      </c>
      <c r="AC2329" s="101">
        <v>1.3541603413322889E-2</v>
      </c>
    </row>
    <row r="2330" spans="25:29" x14ac:dyDescent="0.2">
      <c r="Y2330" s="105" t="str">
        <f t="shared" si="70"/>
        <v>1w</v>
      </c>
      <c r="Z2330" s="93">
        <f>_xll.qlCalendarAdvance(Calendar,Z2329,Y2330,"f",FALSE)</f>
        <v>55471</v>
      </c>
      <c r="AA2330" s="117">
        <f>_xll.qlCalendarAdvance(Calendar,Z2330,NDays&amp;"D")</f>
        <v>55473</v>
      </c>
      <c r="AB2330" s="92">
        <v>1.3535441825782483E-2</v>
      </c>
      <c r="AC2330" s="101">
        <v>1.3538093330058842E-2</v>
      </c>
    </row>
    <row r="2331" spans="25:29" x14ac:dyDescent="0.2">
      <c r="Y2331" s="105" t="str">
        <f t="shared" si="70"/>
        <v>1w</v>
      </c>
      <c r="Z2331" s="93">
        <f>_xll.qlCalendarAdvance(Calendar,Z2330,Y2331,"f",FALSE)</f>
        <v>55478</v>
      </c>
      <c r="AA2331" s="117">
        <f>_xll.qlCalendarAdvance(Calendar,Z2331,NDays&amp;"D")</f>
        <v>55480</v>
      </c>
      <c r="AB2331" s="92">
        <v>1.3531536361498203E-2</v>
      </c>
      <c r="AC2331" s="101">
        <v>1.353455712401086E-2</v>
      </c>
    </row>
    <row r="2332" spans="25:29" x14ac:dyDescent="0.2">
      <c r="Y2332" s="105" t="str">
        <f t="shared" si="70"/>
        <v>1w</v>
      </c>
      <c r="Z2332" s="93">
        <f>_xll.qlCalendarAdvance(Calendar,Z2331,Y2332,"f",FALSE)</f>
        <v>55485</v>
      </c>
      <c r="AA2332" s="117">
        <f>_xll.qlCalendarAdvance(Calendar,Z2332,NDays&amp;"D")</f>
        <v>55487</v>
      </c>
      <c r="AB2332" s="92">
        <v>1.3527567290829967E-2</v>
      </c>
      <c r="AC2332" s="101">
        <v>1.3530994752093406E-2</v>
      </c>
    </row>
    <row r="2333" spans="25:29" x14ac:dyDescent="0.2">
      <c r="Y2333" s="105" t="str">
        <f t="shared" si="70"/>
        <v>1w</v>
      </c>
      <c r="Z2333" s="93">
        <f>_xll.qlCalendarAdvance(Calendar,Z2332,Y2333,"f",FALSE)</f>
        <v>55492</v>
      </c>
      <c r="AA2333" s="117">
        <f>_xll.qlCalendarAdvance(Calendar,Z2333,NDays&amp;"D")</f>
        <v>55494</v>
      </c>
      <c r="AB2333" s="92">
        <v>1.352360589074725E-2</v>
      </c>
      <c r="AC2333" s="101">
        <v>1.3527406170341649E-2</v>
      </c>
    </row>
    <row r="2334" spans="25:29" x14ac:dyDescent="0.2">
      <c r="Y2334" s="105" t="str">
        <f t="shared" si="70"/>
        <v>1w</v>
      </c>
      <c r="Z2334" s="93">
        <f>_xll.qlCalendarAdvance(Calendar,Z2333,Y2334,"f",FALSE)</f>
        <v>55499</v>
      </c>
      <c r="AA2334" s="117">
        <f>_xll.qlCalendarAdvance(Calendar,Z2334,NDays&amp;"D")</f>
        <v>55501</v>
      </c>
      <c r="AB2334" s="92">
        <v>1.3519617497427597E-2</v>
      </c>
      <c r="AC2334" s="101">
        <v>1.3523791335909863E-2</v>
      </c>
    </row>
    <row r="2335" spans="25:29" x14ac:dyDescent="0.2">
      <c r="Y2335" s="105" t="str">
        <f t="shared" si="70"/>
        <v>1w</v>
      </c>
      <c r="Z2335" s="93">
        <f>_xll.qlCalendarAdvance(Calendar,Z2334,Y2335,"f",FALSE)</f>
        <v>55506</v>
      </c>
      <c r="AA2335" s="117">
        <f>_xll.qlCalendarAdvance(Calendar,Z2335,NDays&amp;"D")</f>
        <v>55508</v>
      </c>
      <c r="AB2335" s="92">
        <v>1.3515602067285326E-2</v>
      </c>
      <c r="AC2335" s="101">
        <v>1.3520150204833215E-2</v>
      </c>
    </row>
    <row r="2336" spans="25:29" x14ac:dyDescent="0.2">
      <c r="Y2336" s="105" t="str">
        <f t="shared" si="70"/>
        <v>1w</v>
      </c>
      <c r="Z2336" s="93">
        <f>_xll.qlCalendarAdvance(Calendar,Z2335,Y2336,"f",FALSE)</f>
        <v>55514</v>
      </c>
      <c r="AA2336" s="117">
        <f>_xll.qlCalendarAdvance(Calendar,Z2336,NDays&amp;"D")</f>
        <v>55516</v>
      </c>
      <c r="AB2336" s="92">
        <v>1.3511025224262502E-2</v>
      </c>
      <c r="AC2336" s="101">
        <v>1.351592729567086E-2</v>
      </c>
    </row>
    <row r="2337" spans="25:29" x14ac:dyDescent="0.2">
      <c r="Y2337" s="105" t="str">
        <f t="shared" si="70"/>
        <v>1w</v>
      </c>
      <c r="Z2337" s="93">
        <f>_xll.qlCalendarAdvance(Calendar,Z2336,Y2337,"f",FALSE)</f>
        <v>55521</v>
      </c>
      <c r="AA2337" s="117">
        <f>_xll.qlCalendarAdvance(Calendar,Z2337,NDays&amp;"D")</f>
        <v>55523</v>
      </c>
      <c r="AB2337" s="92">
        <v>1.3506953816460835E-2</v>
      </c>
      <c r="AC2337" s="101">
        <v>1.3512235597197275E-2</v>
      </c>
    </row>
    <row r="2338" spans="25:29" x14ac:dyDescent="0.2">
      <c r="Y2338" s="105" t="str">
        <f t="shared" si="70"/>
        <v>1w</v>
      </c>
      <c r="Z2338" s="93">
        <f>_xll.qlCalendarAdvance(Calendar,Z2337,Y2338,"f",FALSE)</f>
        <v>55528</v>
      </c>
      <c r="AA2338" s="117">
        <f>_xll.qlCalendarAdvance(Calendar,Z2338,NDays&amp;"D")</f>
        <v>55530</v>
      </c>
      <c r="AB2338" s="92">
        <v>1.3502855238953124E-2</v>
      </c>
      <c r="AC2338" s="101">
        <v>1.350850747757093E-2</v>
      </c>
    </row>
    <row r="2339" spans="25:29" x14ac:dyDescent="0.2">
      <c r="Y2339" s="105" t="str">
        <f t="shared" si="70"/>
        <v>1w</v>
      </c>
      <c r="Z2339" s="93">
        <f>_xll.qlCalendarAdvance(Calendar,Z2338,Y2339,"f",FALSE)</f>
        <v>55535</v>
      </c>
      <c r="AA2339" s="117">
        <f>_xll.qlCalendarAdvance(Calendar,Z2339,NDays&amp;"D")</f>
        <v>55537</v>
      </c>
      <c r="AB2339" s="92">
        <v>1.3498729448162794E-2</v>
      </c>
      <c r="AC2339" s="101">
        <v>1.3504752873370052E-2</v>
      </c>
    </row>
    <row r="2340" spans="25:29" x14ac:dyDescent="0.2">
      <c r="Y2340" s="105" t="str">
        <f t="shared" si="70"/>
        <v>1w</v>
      </c>
      <c r="Z2340" s="93">
        <f>_xll.qlCalendarAdvance(Calendar,Z2339,Y2340,"f",FALSE)</f>
        <v>55542</v>
      </c>
      <c r="AA2340" s="117">
        <f>_xll.qlCalendarAdvance(Calendar,Z2340,NDays&amp;"D")</f>
        <v>55544</v>
      </c>
      <c r="AB2340" s="92">
        <v>1.3494576400515474E-2</v>
      </c>
      <c r="AC2340" s="101">
        <v>1.350097174118936E-2</v>
      </c>
    </row>
    <row r="2341" spans="25:29" x14ac:dyDescent="0.2">
      <c r="Y2341" s="105" t="str">
        <f t="shared" si="70"/>
        <v>1w</v>
      </c>
      <c r="Z2341" s="93">
        <f>_xll.qlCalendarAdvance(Calendar,Z2340,Y2341,"f",FALSE)</f>
        <v>55549</v>
      </c>
      <c r="AA2341" s="117">
        <f>_xll.qlCalendarAdvance(Calendar,Z2341,NDays&amp;"D")</f>
        <v>55551</v>
      </c>
      <c r="AB2341" s="92">
        <v>1.349039605243503E-2</v>
      </c>
      <c r="AC2341" s="101">
        <v>1.3497164037543641E-2</v>
      </c>
    </row>
    <row r="2342" spans="25:29" x14ac:dyDescent="0.2">
      <c r="Y2342" s="105" t="str">
        <f t="shared" si="70"/>
        <v>1w</v>
      </c>
      <c r="Z2342" s="93">
        <f>_xll.qlCalendarAdvance(Calendar,Z2341,Y2342,"f",FALSE)</f>
        <v>55556</v>
      </c>
      <c r="AA2342" s="117">
        <f>_xll.qlCalendarAdvance(Calendar,Z2342,NDays&amp;"D")</f>
        <v>55558</v>
      </c>
      <c r="AB2342" s="92">
        <v>1.3486188360351922E-2</v>
      </c>
      <c r="AC2342" s="101">
        <v>1.3493329718974323E-2</v>
      </c>
    </row>
    <row r="2343" spans="25:29" x14ac:dyDescent="0.2">
      <c r="Y2343" s="105" t="str">
        <f t="shared" si="70"/>
        <v>1w</v>
      </c>
      <c r="Z2343" s="93">
        <f>_xll.qlCalendarAdvance(Calendar,Z2342,Y2343,"f",FALSE)</f>
        <v>55563</v>
      </c>
      <c r="AA2343" s="117">
        <f>_xll.qlCalendarAdvance(Calendar,Z2343,NDays&amp;"D")</f>
        <v>55565</v>
      </c>
      <c r="AB2343" s="92">
        <v>1.3481953280693527E-2</v>
      </c>
      <c r="AC2343" s="101">
        <v>1.3489468742049482E-2</v>
      </c>
    </row>
    <row r="2344" spans="25:29" x14ac:dyDescent="0.2">
      <c r="Y2344" s="105" t="str">
        <f t="shared" si="70"/>
        <v>1w</v>
      </c>
      <c r="Z2344" s="93">
        <f>_xll.qlCalendarAdvance(Calendar,Z2343,Y2344,"f",FALSE)</f>
        <v>55570</v>
      </c>
      <c r="AA2344" s="117">
        <f>_xll.qlCalendarAdvance(Calendar,Z2344,NDays&amp;"D")</f>
        <v>55572</v>
      </c>
      <c r="AB2344" s="92">
        <v>1.3477690769891623E-2</v>
      </c>
      <c r="AC2344" s="101">
        <v>1.3485581063310548E-2</v>
      </c>
    </row>
    <row r="2345" spans="25:29" x14ac:dyDescent="0.2">
      <c r="Y2345" s="105" t="str">
        <f t="shared" si="70"/>
        <v>1w</v>
      </c>
      <c r="Z2345" s="93">
        <f>_xll.qlCalendarAdvance(Calendar,Z2344,Y2345,"f",FALSE)</f>
        <v>55577</v>
      </c>
      <c r="AA2345" s="117">
        <f>_xll.qlCalendarAdvance(Calendar,Z2345,NDays&amp;"D")</f>
        <v>55579</v>
      </c>
      <c r="AB2345" s="92">
        <v>1.3473206738299107E-2</v>
      </c>
      <c r="AC2345" s="101">
        <v>1.3481666639325596E-2</v>
      </c>
    </row>
    <row r="2346" spans="25:29" x14ac:dyDescent="0.2">
      <c r="Y2346" s="105" t="str">
        <f t="shared" si="70"/>
        <v>1w</v>
      </c>
      <c r="Z2346" s="93">
        <f>_xll.qlCalendarAdvance(Calendar,Z2345,Y2346,"f",FALSE)</f>
        <v>55584</v>
      </c>
      <c r="AA2346" s="117">
        <f>_xll.qlCalendarAdvance(Calendar,Z2346,NDays&amp;"D")</f>
        <v>55586</v>
      </c>
      <c r="AB2346" s="92">
        <v>1.3468882807468857E-2</v>
      </c>
      <c r="AC2346" s="101">
        <v>1.347772542660941E-2</v>
      </c>
    </row>
    <row r="2347" spans="25:29" x14ac:dyDescent="0.2">
      <c r="Y2347" s="105" t="str">
        <f t="shared" si="70"/>
        <v>1w</v>
      </c>
      <c r="Z2347" s="93">
        <f>_xll.qlCalendarAdvance(Calendar,Z2346,Y2347,"f",FALSE)</f>
        <v>55591</v>
      </c>
      <c r="AA2347" s="117">
        <f>_xll.qlCalendarAdvance(Calendar,Z2347,NDays&amp;"D")</f>
        <v>55593</v>
      </c>
      <c r="AB2347" s="92">
        <v>1.3464531302533014E-2</v>
      </c>
      <c r="AC2347" s="101">
        <v>1.3473757381756712E-2</v>
      </c>
    </row>
    <row r="2348" spans="25:29" x14ac:dyDescent="0.2">
      <c r="Y2348" s="105" t="str">
        <f t="shared" si="70"/>
        <v>1w</v>
      </c>
      <c r="Z2348" s="93">
        <f>_xll.qlCalendarAdvance(Calendar,Z2347,Y2348,"f",FALSE)</f>
        <v>55598</v>
      </c>
      <c r="AA2348" s="117">
        <f>_xll.qlCalendarAdvance(Calendar,Z2348,NDays&amp;"D")</f>
        <v>55600</v>
      </c>
      <c r="AB2348" s="92">
        <v>1.346015217992729E-2</v>
      </c>
      <c r="AC2348" s="101">
        <v>1.3469762461308932E-2</v>
      </c>
    </row>
    <row r="2349" spans="25:29" x14ac:dyDescent="0.2">
      <c r="Y2349" s="105" t="str">
        <f t="shared" si="70"/>
        <v>1w</v>
      </c>
      <c r="Z2349" s="93">
        <f>_xll.qlCalendarAdvance(Calendar,Z2348,Y2349,"f",FALSE)</f>
        <v>55605</v>
      </c>
      <c r="AA2349" s="117">
        <f>_xll.qlCalendarAdvance(Calendar,Z2349,NDays&amp;"D")</f>
        <v>55607</v>
      </c>
      <c r="AB2349" s="92">
        <v>1.3455745396088693E-2</v>
      </c>
      <c r="AC2349" s="101">
        <v>1.3465740621780853E-2</v>
      </c>
    </row>
    <row r="2350" spans="25:29" x14ac:dyDescent="0.2">
      <c r="Y2350" s="105" t="str">
        <f t="shared" si="70"/>
        <v>1w</v>
      </c>
      <c r="Z2350" s="93">
        <f>_xll.qlCalendarAdvance(Calendar,Z2349,Y2350,"f",FALSE)</f>
        <v>55612</v>
      </c>
      <c r="AA2350" s="117">
        <f>_xll.qlCalendarAdvance(Calendar,Z2350,NDays&amp;"D")</f>
        <v>55614</v>
      </c>
      <c r="AB2350" s="92">
        <v>1.3451310907455098E-2</v>
      </c>
      <c r="AC2350" s="101">
        <v>1.3461691819713906E-2</v>
      </c>
    </row>
    <row r="2351" spans="25:29" x14ac:dyDescent="0.2">
      <c r="Y2351" s="105" t="str">
        <f t="shared" si="70"/>
        <v>1w</v>
      </c>
      <c r="Z2351" s="93">
        <f>_xll.qlCalendarAdvance(Calendar,Z2350,Y2351,"f",FALSE)</f>
        <v>55619</v>
      </c>
      <c r="AA2351" s="117">
        <f>_xll.qlCalendarAdvance(Calendar,Z2351,NDays&amp;"D")</f>
        <v>55621</v>
      </c>
      <c r="AB2351" s="92">
        <v>1.3446848670466537E-2</v>
      </c>
      <c r="AC2351" s="101">
        <v>1.3457616011729456E-2</v>
      </c>
    </row>
    <row r="2352" spans="25:29" x14ac:dyDescent="0.2">
      <c r="Y2352" s="105" t="str">
        <f t="shared" si="70"/>
        <v>1w</v>
      </c>
      <c r="Z2352" s="93">
        <f>_xll.qlCalendarAdvance(Calendar,Z2351,Y2352,"f",FALSE)</f>
        <v>55626</v>
      </c>
      <c r="AA2352" s="117">
        <f>_xll.qlCalendarAdvance(Calendar,Z2352,NDays&amp;"D")</f>
        <v>55632</v>
      </c>
      <c r="AB2352" s="92">
        <v>1.3439942634608338E-2</v>
      </c>
      <c r="AC2352" s="101">
        <v>1.3451244074031976E-2</v>
      </c>
    </row>
    <row r="2353" spans="25:29" x14ac:dyDescent="0.2">
      <c r="Y2353" s="105" t="str">
        <f t="shared" si="70"/>
        <v>1w</v>
      </c>
      <c r="Z2353" s="93">
        <f>_xll.qlCalendarAdvance(Calendar,Z2352,Y2353,"f",FALSE)</f>
        <v>55633</v>
      </c>
      <c r="AA2353" s="117">
        <f>_xll.qlCalendarAdvance(Calendar,Z2353,NDays&amp;"D")</f>
        <v>55635</v>
      </c>
      <c r="AB2353" s="92">
        <v>1.3437840777192865E-2</v>
      </c>
      <c r="AC2353" s="101">
        <v>1.3449383204040544E-2</v>
      </c>
    </row>
    <row r="2354" spans="25:29" x14ac:dyDescent="0.2">
      <c r="Y2354" s="105" t="str">
        <f t="shared" si="70"/>
        <v>1w</v>
      </c>
      <c r="Z2354" s="93">
        <f>_xll.qlCalendarAdvance(Calendar,Z2353,Y2354,"f",FALSE)</f>
        <v>55641</v>
      </c>
      <c r="AA2354" s="117">
        <f>_xll.qlCalendarAdvance(Calendar,Z2354,NDays&amp;"D")</f>
        <v>55645</v>
      </c>
      <c r="AB2354" s="92">
        <v>1.343142356735301E-2</v>
      </c>
      <c r="AC2354" s="101">
        <v>1.3443531543178011E-2</v>
      </c>
    </row>
    <row r="2355" spans="25:29" x14ac:dyDescent="0.2">
      <c r="Y2355" s="105" t="str">
        <f t="shared" si="70"/>
        <v>1w</v>
      </c>
      <c r="Z2355" s="93">
        <f>_xll.qlCalendarAdvance(Calendar,Z2354,Y2355,"f",FALSE)</f>
        <v>55648</v>
      </c>
      <c r="AA2355" s="117">
        <f>_xll.qlCalendarAdvance(Calendar,Z2355,NDays&amp;"D")</f>
        <v>55652</v>
      </c>
      <c r="AB2355" s="92">
        <v>1.3426840102574856E-2</v>
      </c>
      <c r="AC2355" s="101">
        <v>1.3439339816532225E-2</v>
      </c>
    </row>
    <row r="2356" spans="25:29" x14ac:dyDescent="0.2">
      <c r="Y2356" s="105" t="str">
        <f t="shared" si="70"/>
        <v>1w</v>
      </c>
      <c r="Z2356" s="93">
        <f>_xll.qlCalendarAdvance(Calendar,Z2355,Y2356,"f",FALSE)</f>
        <v>55655</v>
      </c>
      <c r="AA2356" s="117">
        <f>_xll.qlCalendarAdvance(Calendar,Z2356,NDays&amp;"D")</f>
        <v>55659</v>
      </c>
      <c r="AB2356" s="92">
        <v>1.342222865709373E-2</v>
      </c>
      <c r="AC2356" s="101">
        <v>1.3435120856071237E-2</v>
      </c>
    </row>
    <row r="2357" spans="25:29" x14ac:dyDescent="0.2">
      <c r="Y2357" s="105" t="str">
        <f t="shared" si="70"/>
        <v>1w</v>
      </c>
      <c r="Z2357" s="93">
        <f>_xll.qlCalendarAdvance(Calendar,Z2356,Y2357,"f",FALSE)</f>
        <v>55662</v>
      </c>
      <c r="AA2357" s="117">
        <f>_xll.qlCalendarAdvance(Calendar,Z2357,NDays&amp;"D")</f>
        <v>55666</v>
      </c>
      <c r="AB2357" s="92">
        <v>1.3417589187359252E-2</v>
      </c>
      <c r="AC2357" s="101">
        <v>1.3430874618869382E-2</v>
      </c>
    </row>
    <row r="2358" spans="25:29" x14ac:dyDescent="0.2">
      <c r="Y2358" s="105" t="str">
        <f t="shared" si="70"/>
        <v>1w</v>
      </c>
      <c r="Z2358" s="93">
        <f>_xll.qlCalendarAdvance(Calendar,Z2357,Y2358,"f",FALSE)</f>
        <v>55669</v>
      </c>
      <c r="AA2358" s="117">
        <f>_xll.qlCalendarAdvance(Calendar,Z2358,NDays&amp;"D")</f>
        <v>55673</v>
      </c>
      <c r="AB2358" s="92">
        <v>1.3413015441752984E-2</v>
      </c>
      <c r="AC2358" s="101">
        <v>1.3426601060722021E-2</v>
      </c>
    </row>
    <row r="2359" spans="25:29" x14ac:dyDescent="0.2">
      <c r="Y2359" s="105" t="str">
        <f t="shared" si="70"/>
        <v>1w</v>
      </c>
      <c r="Z2359" s="93">
        <f>_xll.qlCalendarAdvance(Calendar,Z2358,Y2359,"f",FALSE)</f>
        <v>55676</v>
      </c>
      <c r="AA2359" s="117">
        <f>_xll.qlCalendarAdvance(Calendar,Z2359,NDays&amp;"D")</f>
        <v>55680</v>
      </c>
      <c r="AB2359" s="92">
        <v>1.3408321990149224E-2</v>
      </c>
      <c r="AC2359" s="101">
        <v>1.3422300138543619E-2</v>
      </c>
    </row>
    <row r="2360" spans="25:29" x14ac:dyDescent="0.2">
      <c r="Y2360" s="105" t="str">
        <f t="shared" si="70"/>
        <v>1w</v>
      </c>
      <c r="Z2360" s="93">
        <f>_xll.qlCalendarAdvance(Calendar,Z2359,Y2360,"f",FALSE)</f>
        <v>55683</v>
      </c>
      <c r="AA2360" s="117">
        <f>_xll.qlCalendarAdvance(Calendar,Z2360,NDays&amp;"D")</f>
        <v>55687</v>
      </c>
      <c r="AB2360" s="92">
        <v>1.34036003877488E-2</v>
      </c>
      <c r="AC2360" s="101">
        <v>1.3417971809008833E-2</v>
      </c>
    </row>
    <row r="2361" spans="25:29" x14ac:dyDescent="0.2">
      <c r="Y2361" s="105" t="str">
        <f t="shared" si="70"/>
        <v>1w</v>
      </c>
      <c r="Z2361" s="93">
        <f>_xll.qlCalendarAdvance(Calendar,Z2360,Y2361,"f",FALSE)</f>
        <v>55690</v>
      </c>
      <c r="AA2361" s="117">
        <f>_xll.qlCalendarAdvance(Calendar,Z2361,NDays&amp;"D")</f>
        <v>55694</v>
      </c>
      <c r="AB2361" s="92">
        <v>1.3398850591007523E-2</v>
      </c>
      <c r="AC2361" s="101">
        <v>1.3413616028552511E-2</v>
      </c>
    </row>
    <row r="2362" spans="25:29" x14ac:dyDescent="0.2">
      <c r="Y2362" s="105" t="str">
        <f t="shared" si="70"/>
        <v>1w</v>
      </c>
      <c r="Z2362" s="93">
        <f>_xll.qlCalendarAdvance(Calendar,Z2361,Y2362,"f",FALSE)</f>
        <v>55697</v>
      </c>
      <c r="AA2362" s="117">
        <f>_xll.qlCalendarAdvance(Calendar,Z2362,NDays&amp;"D")</f>
        <v>55701</v>
      </c>
      <c r="AB2362" s="92">
        <v>1.339386713087942E-2</v>
      </c>
      <c r="AC2362" s="101">
        <v>1.3409232753609501E-2</v>
      </c>
    </row>
    <row r="2363" spans="25:29" x14ac:dyDescent="0.2">
      <c r="Y2363" s="105" t="str">
        <f t="shared" si="70"/>
        <v>1w</v>
      </c>
      <c r="Z2363" s="93">
        <f>_xll.qlCalendarAdvance(Calendar,Z2362,Y2363,"f",FALSE)</f>
        <v>55704</v>
      </c>
      <c r="AA2363" s="117">
        <f>_xll.qlCalendarAdvance(Calendar,Z2363,NDays&amp;"D")</f>
        <v>55708</v>
      </c>
      <c r="AB2363" s="92">
        <v>1.3389161421081748E-2</v>
      </c>
      <c r="AC2363" s="101">
        <v>1.3404821940774525E-2</v>
      </c>
    </row>
    <row r="2364" spans="25:29" x14ac:dyDescent="0.2">
      <c r="Y2364" s="105" t="str">
        <f t="shared" si="70"/>
        <v>1w</v>
      </c>
      <c r="Z2364" s="93">
        <f>_xll.qlCalendarAdvance(Calendar,Z2363,Y2364,"f",FALSE)</f>
        <v>55711</v>
      </c>
      <c r="AA2364" s="117">
        <f>_xll.qlCalendarAdvance(Calendar,Z2364,NDays&amp;"D")</f>
        <v>55715</v>
      </c>
      <c r="AB2364" s="92">
        <v>1.3384324562330832E-2</v>
      </c>
      <c r="AC2364" s="101">
        <v>1.3400383546962047E-2</v>
      </c>
    </row>
    <row r="2365" spans="25:29" x14ac:dyDescent="0.2">
      <c r="Y2365" s="105" t="str">
        <f t="shared" si="70"/>
        <v>1w</v>
      </c>
      <c r="Z2365" s="93">
        <f>_xll.qlCalendarAdvance(Calendar,Z2364,Y2365,"f",FALSE)</f>
        <v>55718</v>
      </c>
      <c r="AA2365" s="117">
        <f>_xll.qlCalendarAdvance(Calendar,Z2365,NDays&amp;"D")</f>
        <v>55722</v>
      </c>
      <c r="AB2365" s="92">
        <v>1.3379459330990424E-2</v>
      </c>
      <c r="AC2365" s="101">
        <v>1.3395917528207235E-2</v>
      </c>
    </row>
    <row r="2366" spans="25:29" x14ac:dyDescent="0.2">
      <c r="Y2366" s="105" t="str">
        <f t="shared" si="70"/>
        <v>1w</v>
      </c>
      <c r="Z2366" s="93">
        <f>_xll.qlCalendarAdvance(Calendar,Z2365,Y2366,"f",FALSE)</f>
        <v>55725</v>
      </c>
      <c r="AA2366" s="117">
        <f>_xll.qlCalendarAdvance(Calendar,Z2366,NDays&amp;"D")</f>
        <v>55729</v>
      </c>
      <c r="AB2366" s="92">
        <v>1.3374565683525777E-2</v>
      </c>
      <c r="AC2366" s="101">
        <v>1.3391423841184746E-2</v>
      </c>
    </row>
    <row r="2367" spans="25:29" x14ac:dyDescent="0.2">
      <c r="Y2367" s="105" t="str">
        <f t="shared" si="70"/>
        <v>1w</v>
      </c>
      <c r="Z2367" s="93">
        <f>_xll.qlCalendarAdvance(Calendar,Z2366,Y2367,"f",FALSE)</f>
        <v>55732</v>
      </c>
      <c r="AA2367" s="117">
        <f>_xll.qlCalendarAdvance(Calendar,Z2367,NDays&amp;"D")</f>
        <v>55736</v>
      </c>
      <c r="AB2367" s="92">
        <v>1.3369643576404328E-2</v>
      </c>
      <c r="AC2367" s="101">
        <v>1.3386902442729109E-2</v>
      </c>
    </row>
    <row r="2368" spans="25:29" x14ac:dyDescent="0.2">
      <c r="Y2368" s="105" t="str">
        <f t="shared" si="70"/>
        <v>1w</v>
      </c>
      <c r="Z2368" s="93">
        <f>_xll.qlCalendarAdvance(Calendar,Z2367,Y2368,"f",FALSE)</f>
        <v>55739</v>
      </c>
      <c r="AA2368" s="117">
        <f>_xll.qlCalendarAdvance(Calendar,Z2368,NDays&amp;"D")</f>
        <v>55743</v>
      </c>
      <c r="AB2368" s="92">
        <v>1.3364692966094806E-2</v>
      </c>
      <c r="AC2368" s="101">
        <v>1.3382353289195237E-2</v>
      </c>
    </row>
    <row r="2369" spans="25:29" x14ac:dyDescent="0.2">
      <c r="Y2369" s="105" t="str">
        <f t="shared" si="70"/>
        <v>1w</v>
      </c>
      <c r="Z2369" s="93">
        <f>_xll.qlCalendarAdvance(Calendar,Z2368,Y2369,"f",FALSE)</f>
        <v>55746</v>
      </c>
      <c r="AA2369" s="117">
        <f>_xll.qlCalendarAdvance(Calendar,Z2369,NDays&amp;"D")</f>
        <v>55750</v>
      </c>
      <c r="AB2369" s="92">
        <v>1.3359713809067251E-2</v>
      </c>
      <c r="AC2369" s="101">
        <v>1.3377776336938041E-2</v>
      </c>
    </row>
    <row r="2370" spans="25:29" x14ac:dyDescent="0.2">
      <c r="Y2370" s="105" t="str">
        <f t="shared" si="70"/>
        <v>1w</v>
      </c>
      <c r="Z2370" s="93">
        <f>_xll.qlCalendarAdvance(Calendar,Z2369,Y2370,"f",FALSE)</f>
        <v>55753</v>
      </c>
      <c r="AA2370" s="117">
        <f>_xll.qlCalendarAdvance(Calendar,Z2370,NDays&amp;"D")</f>
        <v>55757</v>
      </c>
      <c r="AB2370" s="92">
        <v>1.3354706061793439E-2</v>
      </c>
      <c r="AC2370" s="101">
        <v>1.3373171542951923E-2</v>
      </c>
    </row>
    <row r="2371" spans="25:29" x14ac:dyDescent="0.2">
      <c r="Y2371" s="105" t="str">
        <f t="shared" si="70"/>
        <v>1w</v>
      </c>
      <c r="Z2371" s="93">
        <f>_xll.qlCalendarAdvance(Calendar,Z2370,Y2371,"f",FALSE)</f>
        <v>55760</v>
      </c>
      <c r="AA2371" s="117">
        <f>_xll.qlCalendarAdvance(Calendar,Z2371,NDays&amp;"D")</f>
        <v>55764</v>
      </c>
      <c r="AB2371" s="92">
        <v>1.3349914814451991E-2</v>
      </c>
      <c r="AC2371" s="101">
        <v>1.3368538863511858E-2</v>
      </c>
    </row>
    <row r="2372" spans="25:29" x14ac:dyDescent="0.2">
      <c r="Y2372" s="105" t="str">
        <f t="shared" si="70"/>
        <v>1w</v>
      </c>
      <c r="Z2372" s="93">
        <f>_xll.qlCalendarAdvance(Calendar,Z2371,Y2372,"f",FALSE)</f>
        <v>55767</v>
      </c>
      <c r="AA2372" s="117">
        <f>_xll.qlCalendarAdvance(Calendar,Z2372,NDays&amp;"D")</f>
        <v>55771</v>
      </c>
      <c r="AB2372" s="92">
        <v>1.3344854256717373E-2</v>
      </c>
      <c r="AC2372" s="101">
        <v>1.3363878255132633E-2</v>
      </c>
    </row>
    <row r="2373" spans="25:29" x14ac:dyDescent="0.2">
      <c r="Y2373" s="105" t="str">
        <f t="shared" si="70"/>
        <v>1w</v>
      </c>
      <c r="Z2373" s="93">
        <f>_xll.qlCalendarAdvance(Calendar,Z2372,Y2373,"f",FALSE)</f>
        <v>55774</v>
      </c>
      <c r="AA2373" s="117">
        <f>_xll.qlCalendarAdvance(Calendar,Z2373,NDays&amp;"D")</f>
        <v>55778</v>
      </c>
      <c r="AB2373" s="92">
        <v>1.3339764986360145E-2</v>
      </c>
      <c r="AC2373" s="101">
        <v>1.3359189674408967E-2</v>
      </c>
    </row>
    <row r="2374" spans="25:29" x14ac:dyDescent="0.2">
      <c r="Y2374" s="105" t="str">
        <f t="shared" si="70"/>
        <v>1w</v>
      </c>
      <c r="Z2374" s="93">
        <f>_xll.qlCalendarAdvance(Calendar,Z2373,Y2374,"f",FALSE)</f>
        <v>55781</v>
      </c>
      <c r="AA2374" s="117">
        <f>_xll.qlCalendarAdvance(Calendar,Z2374,NDays&amp;"D")</f>
        <v>55785</v>
      </c>
      <c r="AB2374" s="92">
        <v>1.33346469598582E-2</v>
      </c>
      <c r="AC2374" s="101">
        <v>1.335447307793558E-2</v>
      </c>
    </row>
    <row r="2375" spans="25:29" x14ac:dyDescent="0.2">
      <c r="Y2375" s="105" t="str">
        <f t="shared" si="70"/>
        <v>1w</v>
      </c>
      <c r="Z2375" s="93">
        <f>_xll.qlCalendarAdvance(Calendar,Z2374,Y2375,"f",FALSE)</f>
        <v>55788</v>
      </c>
      <c r="AA2375" s="117">
        <f>_xll.qlCalendarAdvance(Calendar,Z2375,NDays&amp;"D")</f>
        <v>55792</v>
      </c>
      <c r="AB2375" s="92">
        <v>1.332950013369426E-2</v>
      </c>
      <c r="AC2375" s="101">
        <v>1.3349728422307194E-2</v>
      </c>
    </row>
    <row r="2376" spans="25:29" x14ac:dyDescent="0.2">
      <c r="Y2376" s="105" t="str">
        <f t="shared" si="70"/>
        <v>1w</v>
      </c>
      <c r="Z2376" s="93">
        <f>_xll.qlCalendarAdvance(Calendar,Z2375,Y2376,"f",FALSE)</f>
        <v>55795</v>
      </c>
      <c r="AA2376" s="117">
        <f>_xll.qlCalendarAdvance(Calendar,Z2376,NDays&amp;"D")</f>
        <v>55799</v>
      </c>
      <c r="AB2376" s="92">
        <v>1.332419071522593E-2</v>
      </c>
      <c r="AC2376" s="101">
        <v>1.3344955663958658E-2</v>
      </c>
    </row>
    <row r="2377" spans="25:29" x14ac:dyDescent="0.2">
      <c r="Y2377" s="105" t="str">
        <f t="shared" si="70"/>
        <v>1w</v>
      </c>
      <c r="Z2377" s="93">
        <f>_xll.qlCalendarAdvance(Calendar,Z2376,Y2377,"f",FALSE)</f>
        <v>55802</v>
      </c>
      <c r="AA2377" s="117">
        <f>_xll.qlCalendarAdvance(Calendar,Z2377,NDays&amp;"D")</f>
        <v>55806</v>
      </c>
      <c r="AB2377" s="92">
        <v>1.3319119908309961E-2</v>
      </c>
      <c r="AC2377" s="101">
        <v>1.3340154759644562E-2</v>
      </c>
    </row>
    <row r="2378" spans="25:29" x14ac:dyDescent="0.2">
      <c r="Y2378" s="105" t="str">
        <f t="shared" si="70"/>
        <v>1w</v>
      </c>
      <c r="Z2378" s="93">
        <f>_xll.qlCalendarAdvance(Calendar,Z2377,Y2378,"f",FALSE)</f>
        <v>55809</v>
      </c>
      <c r="AA2378" s="117">
        <f>_xll.qlCalendarAdvance(Calendar,Z2378,NDays&amp;"D")</f>
        <v>55813</v>
      </c>
      <c r="AB2378" s="92">
        <v>1.3313886422060319E-2</v>
      </c>
      <c r="AC2378" s="101">
        <v>1.3335325665639886E-2</v>
      </c>
    </row>
    <row r="2379" spans="25:29" x14ac:dyDescent="0.2">
      <c r="Y2379" s="105" t="str">
        <f t="shared" si="70"/>
        <v>1w</v>
      </c>
      <c r="Z2379" s="93">
        <f>_xll.qlCalendarAdvance(Calendar,Z2378,Y2379,"f",FALSE)</f>
        <v>55816</v>
      </c>
      <c r="AA2379" s="117">
        <f>_xll.qlCalendarAdvance(Calendar,Z2379,NDays&amp;"D")</f>
        <v>55820</v>
      </c>
      <c r="AB2379" s="92">
        <v>1.3308623962088794E-2</v>
      </c>
      <c r="AC2379" s="101">
        <v>1.333046833869922E-2</v>
      </c>
    </row>
    <row r="2380" spans="25:29" x14ac:dyDescent="0.2">
      <c r="Y2380" s="105" t="str">
        <f t="shared" si="70"/>
        <v>1w</v>
      </c>
      <c r="Z2380" s="93">
        <f>_xll.qlCalendarAdvance(Calendar,Z2379,Y2380,"f",FALSE)</f>
        <v>55823</v>
      </c>
      <c r="AA2380" s="117">
        <f>_xll.qlCalendarAdvance(Calendar,Z2380,NDays&amp;"D")</f>
        <v>55827</v>
      </c>
      <c r="AB2380" s="92">
        <v>1.3303332484886013E-2</v>
      </c>
      <c r="AC2380" s="101">
        <v>1.3325582735177477E-2</v>
      </c>
    </row>
    <row r="2381" spans="25:29" x14ac:dyDescent="0.2">
      <c r="Y2381" s="105" t="str">
        <f t="shared" si="70"/>
        <v>1w</v>
      </c>
      <c r="Z2381" s="93">
        <f>_xll.qlCalendarAdvance(Calendar,Z2380,Y2381,"f",FALSE)</f>
        <v>55830</v>
      </c>
      <c r="AA2381" s="117">
        <f>_xll.qlCalendarAdvance(Calendar,Z2381,NDays&amp;"D")</f>
        <v>55834</v>
      </c>
      <c r="AB2381" s="92">
        <v>1.3298011946942606E-2</v>
      </c>
      <c r="AC2381" s="101">
        <v>1.3320668811749314E-2</v>
      </c>
    </row>
    <row r="2382" spans="25:29" x14ac:dyDescent="0.2">
      <c r="Y2382" s="105" t="str">
        <f t="shared" si="70"/>
        <v>1w</v>
      </c>
      <c r="Z2382" s="93">
        <f>_xll.qlCalendarAdvance(Calendar,Z2381,Y2382,"f",FALSE)</f>
        <v>55837</v>
      </c>
      <c r="AA2382" s="117">
        <f>_xll.qlCalendarAdvance(Calendar,Z2382,NDays&amp;"D")</f>
        <v>55841</v>
      </c>
      <c r="AB2382" s="92">
        <v>1.3292662304751394E-2</v>
      </c>
      <c r="AC2382" s="101">
        <v>1.3315726525089389E-2</v>
      </c>
    </row>
    <row r="2383" spans="25:29" x14ac:dyDescent="0.2">
      <c r="Y2383" s="105" t="str">
        <f t="shared" si="70"/>
        <v>1w</v>
      </c>
      <c r="Z2383" s="93">
        <f>_xll.qlCalendarAdvance(Calendar,Z2382,Y2383,"f",FALSE)</f>
        <v>55844</v>
      </c>
      <c r="AA2383" s="117">
        <f>_xll.qlCalendarAdvance(Calendar,Z2383,NDays&amp;"D")</f>
        <v>55848</v>
      </c>
      <c r="AB2383" s="92">
        <v>1.3287283514807402E-2</v>
      </c>
      <c r="AC2383" s="101">
        <v>1.3310755831712484E-2</v>
      </c>
    </row>
    <row r="2384" spans="25:29" x14ac:dyDescent="0.2">
      <c r="Y2384" s="105" t="str">
        <f t="shared" si="70"/>
        <v>1w</v>
      </c>
      <c r="Z2384" s="93">
        <f>_xll.qlCalendarAdvance(Calendar,Z2383,Y2384,"f",FALSE)</f>
        <v>55851</v>
      </c>
      <c r="AA2384" s="117">
        <f>_xll.qlCalendarAdvance(Calendar,Z2384,NDays&amp;"D")</f>
        <v>55855</v>
      </c>
      <c r="AB2384" s="92">
        <v>1.3281875533608281E-2</v>
      </c>
      <c r="AC2384" s="101">
        <v>1.3305756687973513E-2</v>
      </c>
    </row>
    <row r="2385" spans="25:29" x14ac:dyDescent="0.2">
      <c r="Y2385" s="105" t="str">
        <f t="shared" si="70"/>
        <v>1w</v>
      </c>
      <c r="Z2385" s="93">
        <f>_xll.qlCalendarAdvance(Calendar,Z2384,Y2385,"f",FALSE)</f>
        <v>55858</v>
      </c>
      <c r="AA2385" s="117">
        <f>_xll.qlCalendarAdvance(Calendar,Z2385,NDays&amp;"D")</f>
        <v>55862</v>
      </c>
      <c r="AB2385" s="92">
        <v>1.3276438317650371E-2</v>
      </c>
      <c r="AC2385" s="101">
        <v>1.3300729050387261E-2</v>
      </c>
    </row>
    <row r="2386" spans="25:29" x14ac:dyDescent="0.2">
      <c r="Y2386" s="105" t="str">
        <f t="shared" si="70"/>
        <v>1w</v>
      </c>
      <c r="Z2386" s="93">
        <f>_xll.qlCalendarAdvance(Calendar,Z2385,Y2386,"f",FALSE)</f>
        <v>55865</v>
      </c>
      <c r="AA2386" s="117">
        <f>_xll.qlCalendarAdvance(Calendar,Z2386,NDays&amp;"D")</f>
        <v>55869</v>
      </c>
      <c r="AB2386" s="92">
        <v>1.3270971823435718E-2</v>
      </c>
      <c r="AC2386" s="101">
        <v>1.3295672876028064E-2</v>
      </c>
    </row>
    <row r="2387" spans="25:29" x14ac:dyDescent="0.2">
      <c r="Y2387" s="105" t="str">
        <f t="shared" si="70"/>
        <v>1w</v>
      </c>
      <c r="Z2387" s="93">
        <f>_xll.qlCalendarAdvance(Calendar,Z2386,Y2387,"f",FALSE)</f>
        <v>55872</v>
      </c>
      <c r="AA2387" s="117">
        <f>_xll.qlCalendarAdvance(Calendar,Z2387,NDays&amp;"D")</f>
        <v>55876</v>
      </c>
      <c r="AB2387" s="92">
        <v>1.3265476007465494E-2</v>
      </c>
      <c r="AC2387" s="101">
        <v>1.3290588120851154E-2</v>
      </c>
    </row>
    <row r="2388" spans="25:29" x14ac:dyDescent="0.2">
      <c r="Y2388" s="105" t="str">
        <f t="shared" si="70"/>
        <v>1w</v>
      </c>
      <c r="Z2388" s="93">
        <f>_xll.qlCalendarAdvance(Calendar,Z2387,Y2388,"f",FALSE)</f>
        <v>55880</v>
      </c>
      <c r="AA2388" s="117">
        <f>_xll.qlCalendarAdvance(Calendar,Z2388,NDays&amp;"D")</f>
        <v>55884</v>
      </c>
      <c r="AB2388" s="92">
        <v>1.3259320486892913E-2</v>
      </c>
      <c r="AC2388" s="101">
        <v>1.3284620319757856E-2</v>
      </c>
    </row>
    <row r="2389" spans="25:29" x14ac:dyDescent="0.2">
      <c r="Y2389" s="105" t="str">
        <f t="shared" ref="Y2389:Y2452" si="71">Y2388</f>
        <v>1w</v>
      </c>
      <c r="Z2389" s="93">
        <f>_xll.qlCalendarAdvance(Calendar,Z2388,Y2389,"f",FALSE)</f>
        <v>55887</v>
      </c>
      <c r="AA2389" s="117">
        <f>_xll.qlCalendarAdvance(Calendar,Z2389,NDays&amp;"D")</f>
        <v>55891</v>
      </c>
      <c r="AB2389" s="92">
        <v>1.3253764012044944E-2</v>
      </c>
      <c r="AC2389" s="101">
        <v>1.3279595773978414E-2</v>
      </c>
    </row>
    <row r="2390" spans="25:29" x14ac:dyDescent="0.2">
      <c r="Y2390" s="105" t="str">
        <f t="shared" si="71"/>
        <v>1w</v>
      </c>
      <c r="Z2390" s="93">
        <f>_xll.qlCalendarAdvance(Calendar,Z2389,Y2390,"f",FALSE)</f>
        <v>55894</v>
      </c>
      <c r="AA2390" s="117">
        <f>_xll.qlCalendarAdvance(Calendar,Z2390,NDays&amp;"D")</f>
        <v>55898</v>
      </c>
      <c r="AB2390" s="92">
        <v>1.3248178082846855E-2</v>
      </c>
      <c r="AC2390" s="101">
        <v>1.3274420911359996E-2</v>
      </c>
    </row>
    <row r="2391" spans="25:29" x14ac:dyDescent="0.2">
      <c r="Y2391" s="105" t="str">
        <f t="shared" si="71"/>
        <v>1w</v>
      </c>
      <c r="Z2391" s="93">
        <f>_xll.qlCalendarAdvance(Calendar,Z2390,Y2391,"f",FALSE)</f>
        <v>55901</v>
      </c>
      <c r="AA2391" s="117">
        <f>_xll.qlCalendarAdvance(Calendar,Z2391,NDays&amp;"D")</f>
        <v>55905</v>
      </c>
      <c r="AB2391" s="92">
        <v>1.3242562655806809E-2</v>
      </c>
      <c r="AC2391" s="101">
        <v>1.32692172879878E-2</v>
      </c>
    </row>
    <row r="2392" spans="25:29" x14ac:dyDescent="0.2">
      <c r="Y2392" s="105" t="str">
        <f t="shared" si="71"/>
        <v>1w</v>
      </c>
      <c r="Z2392" s="93">
        <f>_xll.qlCalendarAdvance(Calendar,Z2391,Y2392,"f",FALSE)</f>
        <v>55908</v>
      </c>
      <c r="AA2392" s="117">
        <f>_xll.qlCalendarAdvance(Calendar,Z2392,NDays&amp;"D")</f>
        <v>55912</v>
      </c>
      <c r="AB2392" s="92">
        <v>1.3236917687436496E-2</v>
      </c>
      <c r="AC2392" s="101">
        <v>1.3263984860696354E-2</v>
      </c>
    </row>
    <row r="2393" spans="25:29" x14ac:dyDescent="0.2">
      <c r="Y2393" s="105" t="str">
        <f t="shared" si="71"/>
        <v>1w</v>
      </c>
      <c r="Z2393" s="93">
        <f>_xll.qlCalendarAdvance(Calendar,Z2392,Y2393,"f",FALSE)</f>
        <v>55915</v>
      </c>
      <c r="AA2393" s="117">
        <f>_xll.qlCalendarAdvance(Calendar,Z2393,NDays&amp;"D")</f>
        <v>55919</v>
      </c>
      <c r="AB2393" s="92">
        <v>1.3231243134248493E-2</v>
      </c>
      <c r="AC2393" s="101">
        <v>1.3258723585760634E-2</v>
      </c>
    </row>
    <row r="2394" spans="25:29" x14ac:dyDescent="0.2">
      <c r="Y2394" s="105" t="str">
        <f t="shared" si="71"/>
        <v>1w</v>
      </c>
      <c r="Z2394" s="93">
        <f>_xll.qlCalendarAdvance(Calendar,Z2393,Y2394,"f",FALSE)</f>
        <v>55922</v>
      </c>
      <c r="AA2394" s="117">
        <f>_xll.qlCalendarAdvance(Calendar,Z2394,NDays&amp;"D")</f>
        <v>55926</v>
      </c>
      <c r="AB2394" s="92">
        <v>1.3225538952758027E-2</v>
      </c>
      <c r="AC2394" s="101">
        <v>1.325343342001517E-2</v>
      </c>
    </row>
    <row r="2395" spans="25:29" x14ac:dyDescent="0.2">
      <c r="Y2395" s="105" t="str">
        <f t="shared" si="71"/>
        <v>1w</v>
      </c>
      <c r="Z2395" s="93">
        <f>_xll.qlCalendarAdvance(Calendar,Z2394,Y2395,"f",FALSE)</f>
        <v>55929</v>
      </c>
      <c r="AA2395" s="117">
        <f>_xll.qlCalendarAdvance(Calendar,Z2395,NDays&amp;"D")</f>
        <v>55933</v>
      </c>
      <c r="AB2395" s="92">
        <v>1.3219805099481207E-2</v>
      </c>
      <c r="AC2395" s="101">
        <v>1.324811431989481E-2</v>
      </c>
    </row>
    <row r="2396" spans="25:29" x14ac:dyDescent="0.2">
      <c r="Y2396" s="105" t="str">
        <f t="shared" si="71"/>
        <v>1w</v>
      </c>
      <c r="Z2396" s="93">
        <f>_xll.qlCalendarAdvance(Calendar,Z2395,Y2396,"f",FALSE)</f>
        <v>55936</v>
      </c>
      <c r="AA2396" s="117">
        <f>_xll.qlCalendarAdvance(Calendar,Z2396,NDays&amp;"D")</f>
        <v>55940</v>
      </c>
      <c r="AB2396" s="92">
        <v>1.3214041530936792E-2</v>
      </c>
      <c r="AC2396" s="101">
        <v>1.3242766241834403E-2</v>
      </c>
    </row>
    <row r="2397" spans="25:29" x14ac:dyDescent="0.2">
      <c r="Y2397" s="105" t="str">
        <f t="shared" si="71"/>
        <v>1w</v>
      </c>
      <c r="Z2397" s="93">
        <f>_xll.qlCalendarAdvance(Calendar,Z2396,Y2397,"f",FALSE)</f>
        <v>55943</v>
      </c>
      <c r="AA2397" s="117">
        <f>_xll.qlCalendarAdvance(Calendar,Z2397,NDays&amp;"D")</f>
        <v>55947</v>
      </c>
      <c r="AB2397" s="92">
        <v>1.3207700317296867E-2</v>
      </c>
      <c r="AC2397" s="101">
        <v>1.3237389142428668E-2</v>
      </c>
    </row>
    <row r="2398" spans="25:29" x14ac:dyDescent="0.2">
      <c r="Y2398" s="105" t="str">
        <f t="shared" si="71"/>
        <v>1w</v>
      </c>
      <c r="Z2398" s="93">
        <f>_xll.qlCalendarAdvance(Calendar,Z2397,Y2398,"f",FALSE)</f>
        <v>55950</v>
      </c>
      <c r="AA2398" s="117">
        <f>_xll.qlCalendarAdvance(Calendar,Z2398,NDays&amp;"D")</f>
        <v>55954</v>
      </c>
      <c r="AB2398" s="92">
        <v>1.3201870115924752E-2</v>
      </c>
      <c r="AC2398" s="101">
        <v>1.32319829784322E-2</v>
      </c>
    </row>
    <row r="2399" spans="25:29" x14ac:dyDescent="0.2">
      <c r="Y2399" s="105" t="str">
        <f t="shared" si="71"/>
        <v>1w</v>
      </c>
      <c r="Z2399" s="93">
        <f>_xll.qlCalendarAdvance(Calendar,Z2398,Y2399,"f",FALSE)</f>
        <v>55957</v>
      </c>
      <c r="AA2399" s="117">
        <f>_xll.qlCalendarAdvance(Calendar,Z2399,NDays&amp;"D")</f>
        <v>55961</v>
      </c>
      <c r="AB2399" s="92">
        <v>1.3196010056545698E-2</v>
      </c>
      <c r="AC2399" s="101">
        <v>1.3226547706199909E-2</v>
      </c>
    </row>
    <row r="2400" spans="25:29" x14ac:dyDescent="0.2">
      <c r="Y2400" s="105" t="str">
        <f t="shared" si="71"/>
        <v>1w</v>
      </c>
      <c r="Z2400" s="93">
        <f>_xll.qlCalendarAdvance(Calendar,Z2399,Y2400,"f",FALSE)</f>
        <v>55964</v>
      </c>
      <c r="AA2400" s="117">
        <f>_xll.qlCalendarAdvance(Calendar,Z2400,NDays&amp;"D")</f>
        <v>55968</v>
      </c>
      <c r="AB2400" s="92">
        <v>1.3190120095684052E-2</v>
      </c>
      <c r="AC2400" s="101">
        <v>1.3221083282406454E-2</v>
      </c>
    </row>
    <row r="2401" spans="25:29" x14ac:dyDescent="0.2">
      <c r="Y2401" s="105" t="str">
        <f t="shared" si="71"/>
        <v>1w</v>
      </c>
      <c r="Z2401" s="93">
        <f>_xll.qlCalendarAdvance(Calendar,Z2400,Y2401,"f",FALSE)</f>
        <v>55971</v>
      </c>
      <c r="AA2401" s="117">
        <f>_xll.qlCalendarAdvance(Calendar,Z2401,NDays&amp;"D")</f>
        <v>55975</v>
      </c>
      <c r="AB2401" s="92">
        <v>1.3184392504083554E-2</v>
      </c>
      <c r="AC2401" s="101">
        <v>1.3215589663486682E-2</v>
      </c>
    </row>
    <row r="2402" spans="25:29" x14ac:dyDescent="0.2">
      <c r="Y2402" s="105" t="str">
        <f t="shared" si="71"/>
        <v>1w</v>
      </c>
      <c r="Z2402" s="93">
        <f>_xll.qlCalendarAdvance(Calendar,Z2401,Y2402,"f",FALSE)</f>
        <v>55982</v>
      </c>
      <c r="AA2402" s="117">
        <f>_xll.qlCalendarAdvance(Calendar,Z2402,NDays&amp;"D")</f>
        <v>55984</v>
      </c>
      <c r="AB2402" s="92">
        <v>1.3176740179118388E-2</v>
      </c>
      <c r="AC2402" s="101">
        <v>1.3208483470412702E-2</v>
      </c>
    </row>
    <row r="2403" spans="25:29" x14ac:dyDescent="0.2">
      <c r="Y2403" s="105" t="str">
        <f t="shared" si="71"/>
        <v>1w</v>
      </c>
      <c r="Z2403" s="93">
        <f>_xll.qlCalendarAdvance(Calendar,Z2402,Y2403,"f",FALSE)</f>
        <v>55989</v>
      </c>
      <c r="AA2403" s="117">
        <f>_xll.qlCalendarAdvance(Calendar,Z2403,NDays&amp;"D")</f>
        <v>55991</v>
      </c>
      <c r="AB2403" s="92">
        <v>1.317075404387406E-2</v>
      </c>
      <c r="AC2403" s="101">
        <v>1.3202922956763175E-2</v>
      </c>
    </row>
    <row r="2404" spans="25:29" x14ac:dyDescent="0.2">
      <c r="Y2404" s="105" t="str">
        <f t="shared" si="71"/>
        <v>1w</v>
      </c>
      <c r="Z2404" s="93">
        <f>_xll.qlCalendarAdvance(Calendar,Z2403,Y2404,"f",FALSE)</f>
        <v>55996</v>
      </c>
      <c r="AA2404" s="117">
        <f>_xll.qlCalendarAdvance(Calendar,Z2404,NDays&amp;"D")</f>
        <v>55998</v>
      </c>
      <c r="AB2404" s="92">
        <v>1.3164737824953856E-2</v>
      </c>
      <c r="AC2404" s="101">
        <v>1.3197333105301468E-2</v>
      </c>
    </row>
    <row r="2405" spans="25:29" x14ac:dyDescent="0.2">
      <c r="Y2405" s="105" t="str">
        <f t="shared" si="71"/>
        <v>1w</v>
      </c>
      <c r="Z2405" s="93">
        <f>_xll.qlCalendarAdvance(Calendar,Z2404,Y2405,"f",FALSE)</f>
        <v>56003</v>
      </c>
      <c r="AA2405" s="117">
        <f>_xll.qlCalendarAdvance(Calendar,Z2405,NDays&amp;"D")</f>
        <v>56006</v>
      </c>
      <c r="AB2405" s="92">
        <v>1.3157419300731244E-2</v>
      </c>
      <c r="AC2405" s="101">
        <v>1.3190586054863118E-2</v>
      </c>
    </row>
    <row r="2406" spans="25:29" x14ac:dyDescent="0.2">
      <c r="Y2406" s="105" t="str">
        <f t="shared" si="71"/>
        <v>1w</v>
      </c>
      <c r="Z2406" s="93">
        <f>_xll.qlCalendarAdvance(Calendar,Z2405,Y2406,"f",FALSE)</f>
        <v>56010</v>
      </c>
      <c r="AA2406" s="117">
        <f>_xll.qlCalendarAdvance(Calendar,Z2406,NDays&amp;"D")</f>
        <v>56012</v>
      </c>
      <c r="AB2406" s="92">
        <v>1.3151999530716035E-2</v>
      </c>
      <c r="AC2406" s="101">
        <v>1.3186065215000653E-2</v>
      </c>
    </row>
    <row r="2407" spans="25:29" x14ac:dyDescent="0.2">
      <c r="Y2407" s="105" t="str">
        <f t="shared" si="71"/>
        <v>1w</v>
      </c>
      <c r="Z2407" s="93">
        <f>_xll.qlCalendarAdvance(Calendar,Z2406,Y2407,"f",FALSE)</f>
        <v>56017</v>
      </c>
      <c r="AA2407" s="117">
        <f>_xll.qlCalendarAdvance(Calendar,Z2407,NDays&amp;"D")</f>
        <v>56019</v>
      </c>
      <c r="AB2407" s="92">
        <v>1.3145885611179371E-2</v>
      </c>
      <c r="AC2407" s="101">
        <v>1.3180387089271051E-2</v>
      </c>
    </row>
    <row r="2408" spans="25:29" x14ac:dyDescent="0.2">
      <c r="Y2408" s="105" t="str">
        <f t="shared" si="71"/>
        <v>1w</v>
      </c>
      <c r="Z2408" s="93">
        <f>_xll.qlCalendarAdvance(Calendar,Z2407,Y2408,"f",FALSE)</f>
        <v>56024</v>
      </c>
      <c r="AA2408" s="117">
        <f>_xll.qlCalendarAdvance(Calendar,Z2408,NDays&amp;"D")</f>
        <v>56026</v>
      </c>
      <c r="AB2408" s="92">
        <v>1.313974142181391E-2</v>
      </c>
      <c r="AC2408" s="101">
        <v>1.3174679452028215E-2</v>
      </c>
    </row>
    <row r="2409" spans="25:29" x14ac:dyDescent="0.2">
      <c r="Y2409" s="105" t="str">
        <f t="shared" si="71"/>
        <v>1w</v>
      </c>
      <c r="Z2409" s="93">
        <f>_xll.qlCalendarAdvance(Calendar,Z2408,Y2409,"f",FALSE)</f>
        <v>56031</v>
      </c>
      <c r="AA2409" s="117">
        <f>_xll.qlCalendarAdvance(Calendar,Z2409,NDays&amp;"D")</f>
        <v>56033</v>
      </c>
      <c r="AB2409" s="92">
        <v>1.3134203954016628E-2</v>
      </c>
      <c r="AC2409" s="101">
        <v>1.3168942259547123E-2</v>
      </c>
    </row>
    <row r="2410" spans="25:29" x14ac:dyDescent="0.2">
      <c r="Y2410" s="105" t="str">
        <f t="shared" si="71"/>
        <v>1w</v>
      </c>
      <c r="Z2410" s="93">
        <f>_xll.qlCalendarAdvance(Calendar,Z2409,Y2410,"f",FALSE)</f>
        <v>56038</v>
      </c>
      <c r="AA2410" s="117">
        <f>_xll.qlCalendarAdvance(Calendar,Z2410,NDays&amp;"D")</f>
        <v>56040</v>
      </c>
      <c r="AB2410" s="92">
        <v>1.3128006320352213E-2</v>
      </c>
      <c r="AC2410" s="101">
        <v>1.3163175468662303E-2</v>
      </c>
    </row>
    <row r="2411" spans="25:29" x14ac:dyDescent="0.2">
      <c r="Y2411" s="105" t="str">
        <f t="shared" si="71"/>
        <v>1w</v>
      </c>
      <c r="Z2411" s="93">
        <f>_xll.qlCalendarAdvance(Calendar,Z2410,Y2411,"f",FALSE)</f>
        <v>56045</v>
      </c>
      <c r="AA2411" s="117">
        <f>_xll.qlCalendarAdvance(Calendar,Z2411,NDays&amp;"D")</f>
        <v>56047</v>
      </c>
      <c r="AB2411" s="92">
        <v>1.3121778298802803E-2</v>
      </c>
      <c r="AC2411" s="101">
        <v>1.3157379035808603E-2</v>
      </c>
    </row>
    <row r="2412" spans="25:29" x14ac:dyDescent="0.2">
      <c r="Y2412" s="105" t="str">
        <f t="shared" si="71"/>
        <v>1w</v>
      </c>
      <c r="Z2412" s="93">
        <f>_xll.qlCalendarAdvance(Calendar,Z2411,Y2412,"f",FALSE)</f>
        <v>56052</v>
      </c>
      <c r="AA2412" s="117">
        <f>_xll.qlCalendarAdvance(Calendar,Z2412,NDays&amp;"D")</f>
        <v>56054</v>
      </c>
      <c r="AB2412" s="92">
        <v>1.3115519845915068E-2</v>
      </c>
      <c r="AC2412" s="101">
        <v>1.3151552917500808E-2</v>
      </c>
    </row>
    <row r="2413" spans="25:29" x14ac:dyDescent="0.2">
      <c r="Y2413" s="105" t="str">
        <f t="shared" si="71"/>
        <v>1w</v>
      </c>
      <c r="Z2413" s="93">
        <f>_xll.qlCalendarAdvance(Calendar,Z2412,Y2413,"f",FALSE)</f>
        <v>56059</v>
      </c>
      <c r="AA2413" s="117">
        <f>_xll.qlCalendarAdvance(Calendar,Z2413,NDays&amp;"D")</f>
        <v>56061</v>
      </c>
      <c r="AB2413" s="92">
        <v>1.3108564906671501E-2</v>
      </c>
      <c r="AC2413" s="101">
        <v>1.3145697070413576E-2</v>
      </c>
    </row>
    <row r="2414" spans="25:29" x14ac:dyDescent="0.2">
      <c r="Y2414" s="105" t="str">
        <f t="shared" si="71"/>
        <v>1w</v>
      </c>
      <c r="Z2414" s="93">
        <f>_xll.qlCalendarAdvance(Calendar,Z2413,Y2414,"f",FALSE)</f>
        <v>56066</v>
      </c>
      <c r="AA2414" s="117">
        <f>_xll.qlCalendarAdvance(Calendar,Z2414,NDays&amp;"D")</f>
        <v>56068</v>
      </c>
      <c r="AB2414" s="92">
        <v>1.3102238185826219E-2</v>
      </c>
      <c r="AC2414" s="101">
        <v>1.3139811450901817E-2</v>
      </c>
    </row>
    <row r="2415" spans="25:29" x14ac:dyDescent="0.2">
      <c r="Y2415" s="105" t="str">
        <f t="shared" si="71"/>
        <v>1w</v>
      </c>
      <c r="Z2415" s="93">
        <f>_xll.qlCalendarAdvance(Calendar,Z2414,Y2415,"f",FALSE)</f>
        <v>56073</v>
      </c>
      <c r="AA2415" s="117">
        <f>_xll.qlCalendarAdvance(Calendar,Z2415,NDays&amp;"D")</f>
        <v>56075</v>
      </c>
      <c r="AB2415" s="92">
        <v>1.3095880891001031E-2</v>
      </c>
      <c r="AC2415" s="101">
        <v>1.3133896015720126E-2</v>
      </c>
    </row>
    <row r="2416" spans="25:29" x14ac:dyDescent="0.2">
      <c r="Y2416" s="105" t="str">
        <f t="shared" si="71"/>
        <v>1w</v>
      </c>
      <c r="Z2416" s="93">
        <f>_xll.qlCalendarAdvance(Calendar,Z2415,Y2416,"f",FALSE)</f>
        <v>56080</v>
      </c>
      <c r="AA2416" s="117">
        <f>_xll.qlCalendarAdvance(Calendar,Z2416,NDays&amp;"D")</f>
        <v>56082</v>
      </c>
      <c r="AB2416" s="92">
        <v>1.3089492978752835E-2</v>
      </c>
      <c r="AC2416" s="101">
        <v>1.3127950721223414E-2</v>
      </c>
    </row>
    <row r="2417" spans="25:29" x14ac:dyDescent="0.2">
      <c r="Y2417" s="105" t="str">
        <f t="shared" si="71"/>
        <v>1w</v>
      </c>
      <c r="Z2417" s="93">
        <f>_xll.qlCalendarAdvance(Calendar,Z2416,Y2417,"f",FALSE)</f>
        <v>56087</v>
      </c>
      <c r="AA2417" s="117">
        <f>_xll.qlCalendarAdvance(Calendar,Z2417,NDays&amp;"D")</f>
        <v>56089</v>
      </c>
      <c r="AB2417" s="92">
        <v>1.3083074405642834E-2</v>
      </c>
      <c r="AC2417" s="101">
        <v>1.3121975524326146E-2</v>
      </c>
    </row>
    <row r="2418" spans="25:29" x14ac:dyDescent="0.2">
      <c r="Y2418" s="105" t="str">
        <f t="shared" si="71"/>
        <v>1w</v>
      </c>
      <c r="Z2418" s="93">
        <f>_xll.qlCalendarAdvance(Calendar,Z2417,Y2418,"f",FALSE)</f>
        <v>56094</v>
      </c>
      <c r="AA2418" s="117">
        <f>_xll.qlCalendarAdvance(Calendar,Z2418,NDays&amp;"D")</f>
        <v>56096</v>
      </c>
      <c r="AB2418" s="92">
        <v>1.3077327637513323E-2</v>
      </c>
      <c r="AC2418" s="101">
        <v>1.3115970380983555E-2</v>
      </c>
    </row>
    <row r="2419" spans="25:29" x14ac:dyDescent="0.2">
      <c r="Y2419" s="105" t="str">
        <f t="shared" si="71"/>
        <v>1w</v>
      </c>
      <c r="Z2419" s="93">
        <f>_xll.qlCalendarAdvance(Calendar,Z2418,Y2419,"f",FALSE)</f>
        <v>56101</v>
      </c>
      <c r="AA2419" s="117">
        <f>_xll.qlCalendarAdvance(Calendar,Z2419,NDays&amp;"D")</f>
        <v>56103</v>
      </c>
      <c r="AB2419" s="92">
        <v>1.30701451030792E-2</v>
      </c>
      <c r="AC2419" s="101">
        <v>1.3109935248190041E-2</v>
      </c>
    </row>
    <row r="2420" spans="25:29" x14ac:dyDescent="0.2">
      <c r="Y2420" s="105" t="str">
        <f t="shared" si="71"/>
        <v>1w</v>
      </c>
      <c r="Z2420" s="93">
        <f>_xll.qlCalendarAdvance(Calendar,Z2419,Y2420,"f",FALSE)</f>
        <v>56108</v>
      </c>
      <c r="AA2420" s="117">
        <f>_xll.qlCalendarAdvance(Calendar,Z2420,NDays&amp;"D")</f>
        <v>56110</v>
      </c>
      <c r="AB2420" s="92">
        <v>1.3063634286757421E-2</v>
      </c>
      <c r="AC2420" s="101">
        <v>1.3103870082540325E-2</v>
      </c>
    </row>
    <row r="2421" spans="25:29" x14ac:dyDescent="0.2">
      <c r="Y2421" s="105" t="str">
        <f t="shared" si="71"/>
        <v>1w</v>
      </c>
      <c r="Z2421" s="93">
        <f>_xll.qlCalendarAdvance(Calendar,Z2420,Y2421,"f",FALSE)</f>
        <v>56115</v>
      </c>
      <c r="AA2421" s="117">
        <f>_xll.qlCalendarAdvance(Calendar,Z2421,NDays&amp;"D")</f>
        <v>56117</v>
      </c>
      <c r="AB2421" s="92">
        <v>1.3057092635830235E-2</v>
      </c>
      <c r="AC2421" s="101">
        <v>1.3097774840229448E-2</v>
      </c>
    </row>
    <row r="2422" spans="25:29" x14ac:dyDescent="0.2">
      <c r="Y2422" s="105" t="str">
        <f t="shared" si="71"/>
        <v>1w</v>
      </c>
      <c r="Z2422" s="93">
        <f>_xll.qlCalendarAdvance(Calendar,Z2421,Y2422,"f",FALSE)</f>
        <v>56122</v>
      </c>
      <c r="AA2422" s="117">
        <f>_xll.qlCalendarAdvance(Calendar,Z2422,NDays&amp;"D")</f>
        <v>56124</v>
      </c>
      <c r="AB2422" s="92">
        <v>1.305125203572929E-2</v>
      </c>
      <c r="AC2422" s="101">
        <v>1.3091649478091938E-2</v>
      </c>
    </row>
    <row r="2423" spans="25:29" x14ac:dyDescent="0.2">
      <c r="Y2423" s="105" t="str">
        <f t="shared" si="71"/>
        <v>1w</v>
      </c>
      <c r="Z2423" s="93">
        <f>_xll.qlCalendarAdvance(Calendar,Z2422,Y2423,"f",FALSE)</f>
        <v>56129</v>
      </c>
      <c r="AA2423" s="117">
        <f>_xll.qlCalendarAdvance(Calendar,Z2423,NDays&amp;"D")</f>
        <v>56131</v>
      </c>
      <c r="AB2423" s="92">
        <v>1.3045147638856978E-2</v>
      </c>
      <c r="AC2423" s="101">
        <v>1.3085493952722516E-2</v>
      </c>
    </row>
    <row r="2424" spans="25:29" x14ac:dyDescent="0.2">
      <c r="Y2424" s="105" t="str">
        <f t="shared" si="71"/>
        <v>1w</v>
      </c>
      <c r="Z2424" s="93">
        <f>_xll.qlCalendarAdvance(Calendar,Z2423,Y2424,"f",FALSE)</f>
        <v>56136</v>
      </c>
      <c r="AA2424" s="117">
        <f>_xll.qlCalendarAdvance(Calendar,Z2424,NDays&amp;"D")</f>
        <v>56138</v>
      </c>
      <c r="AB2424" s="92">
        <v>1.3038525551200851E-2</v>
      </c>
      <c r="AC2424" s="101">
        <v>1.3079308220476094E-2</v>
      </c>
    </row>
    <row r="2425" spans="25:29" x14ac:dyDescent="0.2">
      <c r="Y2425" s="105" t="str">
        <f t="shared" si="71"/>
        <v>1w</v>
      </c>
      <c r="Z2425" s="93">
        <f>_xll.qlCalendarAdvance(Calendar,Z2424,Y2425,"f",FALSE)</f>
        <v>56143</v>
      </c>
      <c r="AA2425" s="117">
        <f>_xll.qlCalendarAdvance(Calendar,Z2425,NDays&amp;"D")</f>
        <v>56145</v>
      </c>
      <c r="AB2425" s="92">
        <v>1.3031872475723795E-2</v>
      </c>
      <c r="AC2425" s="101">
        <v>1.3073092237947392E-2</v>
      </c>
    </row>
    <row r="2426" spans="25:29" x14ac:dyDescent="0.2">
      <c r="Y2426" s="105" t="str">
        <f t="shared" si="71"/>
        <v>1w</v>
      </c>
      <c r="Z2426" s="93">
        <f>_xll.qlCalendarAdvance(Calendar,Z2425,Y2426,"f",FALSE)</f>
        <v>56150</v>
      </c>
      <c r="AA2426" s="117">
        <f>_xll.qlCalendarAdvance(Calendar,Z2426,NDays&amp;"D")</f>
        <v>56152</v>
      </c>
      <c r="AB2426" s="92">
        <v>1.302518836900419E-2</v>
      </c>
      <c r="AC2426" s="101">
        <v>1.3066845961811069E-2</v>
      </c>
    </row>
    <row r="2427" spans="25:29" x14ac:dyDescent="0.2">
      <c r="Y2427" s="105" t="str">
        <f t="shared" si="71"/>
        <v>1w</v>
      </c>
      <c r="Z2427" s="93">
        <f>_xll.qlCalendarAdvance(Calendar,Z2426,Y2427,"f",FALSE)</f>
        <v>56157</v>
      </c>
      <c r="AA2427" s="117">
        <f>_xll.qlCalendarAdvance(Calendar,Z2427,NDays&amp;"D")</f>
        <v>56159</v>
      </c>
      <c r="AB2427" s="92">
        <v>1.3018217591333451E-2</v>
      </c>
      <c r="AC2427" s="101">
        <v>1.3060569348501971E-2</v>
      </c>
    </row>
    <row r="2428" spans="25:29" x14ac:dyDescent="0.2">
      <c r="Y2428" s="105" t="str">
        <f t="shared" si="71"/>
        <v>1w</v>
      </c>
      <c r="Z2428" s="93">
        <f>_xll.qlCalendarAdvance(Calendar,Z2427,Y2428,"f",FALSE)</f>
        <v>56164</v>
      </c>
      <c r="AA2428" s="117">
        <f>_xll.qlCalendarAdvance(Calendar,Z2428,NDays&amp;"D")</f>
        <v>56166</v>
      </c>
      <c r="AB2428" s="92">
        <v>1.3011468810835489E-2</v>
      </c>
      <c r="AC2428" s="101">
        <v>1.3054262354534885E-2</v>
      </c>
    </row>
    <row r="2429" spans="25:29" x14ac:dyDescent="0.2">
      <c r="Y2429" s="105" t="str">
        <f t="shared" si="71"/>
        <v>1w</v>
      </c>
      <c r="Z2429" s="93">
        <f>_xll.qlCalendarAdvance(Calendar,Z2428,Y2429,"f",FALSE)</f>
        <v>56171</v>
      </c>
      <c r="AA2429" s="117">
        <f>_xll.qlCalendarAdvance(Calendar,Z2429,NDays&amp;"D")</f>
        <v>56173</v>
      </c>
      <c r="AB2429" s="92">
        <v>1.3004688864739074E-2</v>
      </c>
      <c r="AC2429" s="101">
        <v>1.3047924936504529E-2</v>
      </c>
    </row>
    <row r="2430" spans="25:29" x14ac:dyDescent="0.2">
      <c r="Y2430" s="105" t="str">
        <f t="shared" si="71"/>
        <v>1w</v>
      </c>
      <c r="Z2430" s="93">
        <f>_xll.qlCalendarAdvance(Calendar,Z2429,Y2430,"f",FALSE)</f>
        <v>56178</v>
      </c>
      <c r="AA2430" s="117">
        <f>_xll.qlCalendarAdvance(Calendar,Z2430,NDays&amp;"D")</f>
        <v>56180</v>
      </c>
      <c r="AB2430" s="92">
        <v>1.2997877709629263E-2</v>
      </c>
      <c r="AC2430" s="101">
        <v>1.3041557051085562E-2</v>
      </c>
    </row>
    <row r="2431" spans="25:29" x14ac:dyDescent="0.2">
      <c r="Y2431" s="105" t="str">
        <f t="shared" si="71"/>
        <v>1w</v>
      </c>
      <c r="Z2431" s="93">
        <f>_xll.qlCalendarAdvance(Calendar,Z2430,Y2431,"f",FALSE)</f>
        <v>56185</v>
      </c>
      <c r="AA2431" s="117">
        <f>_xll.qlCalendarAdvance(Calendar,Z2431,NDays&amp;"D")</f>
        <v>56187</v>
      </c>
      <c r="AB2431" s="92">
        <v>1.2991035302093312E-2</v>
      </c>
      <c r="AC2431" s="101">
        <v>1.3035158654792767E-2</v>
      </c>
    </row>
    <row r="2432" spans="25:29" x14ac:dyDescent="0.2">
      <c r="Y2432" s="105" t="str">
        <f t="shared" si="71"/>
        <v>1w</v>
      </c>
      <c r="Z2432" s="93">
        <f>_xll.qlCalendarAdvance(Calendar,Z2431,Y2432,"f",FALSE)</f>
        <v>56192</v>
      </c>
      <c r="AA2432" s="117">
        <f>_xll.qlCalendarAdvance(Calendar,Z2432,NDays&amp;"D")</f>
        <v>56194</v>
      </c>
      <c r="AB2432" s="92">
        <v>1.2984429641120137E-2</v>
      </c>
      <c r="AC2432" s="101">
        <v>1.3028729703981057E-2</v>
      </c>
    </row>
    <row r="2433" spans="25:29" x14ac:dyDescent="0.2">
      <c r="Y2433" s="105" t="str">
        <f t="shared" si="71"/>
        <v>1w</v>
      </c>
      <c r="Z2433" s="93">
        <f>_xll.qlCalendarAdvance(Calendar,Z2432,Y2433,"f",FALSE)</f>
        <v>56199</v>
      </c>
      <c r="AA2433" s="117">
        <f>_xll.qlCalendarAdvance(Calendar,Z2433,NDays&amp;"D")</f>
        <v>56201</v>
      </c>
      <c r="AB2433" s="92">
        <v>1.2977527100013932E-2</v>
      </c>
      <c r="AC2433" s="101">
        <v>1.3022270155564897E-2</v>
      </c>
    </row>
    <row r="2434" spans="25:29" x14ac:dyDescent="0.2">
      <c r="Y2434" s="105" t="str">
        <f t="shared" si="71"/>
        <v>1w</v>
      </c>
      <c r="Z2434" s="93">
        <f>_xll.qlCalendarAdvance(Calendar,Z2433,Y2434,"f",FALSE)</f>
        <v>56206</v>
      </c>
      <c r="AA2434" s="117">
        <f>_xll.qlCalendarAdvance(Calendar,Z2434,NDays&amp;"D")</f>
        <v>56208</v>
      </c>
      <c r="AB2434" s="92">
        <v>1.2970593180349634E-2</v>
      </c>
      <c r="AC2434" s="101">
        <v>1.3015779965659391E-2</v>
      </c>
    </row>
    <row r="2435" spans="25:29" x14ac:dyDescent="0.2">
      <c r="Y2435" s="105" t="str">
        <f t="shared" si="71"/>
        <v>1w</v>
      </c>
      <c r="Z2435" s="93">
        <f>_xll.qlCalendarAdvance(Calendar,Z2434,Y2435,"f",FALSE)</f>
        <v>56213</v>
      </c>
      <c r="AA2435" s="117">
        <f>_xll.qlCalendarAdvance(Calendar,Z2435,NDays&amp;"D")</f>
        <v>56215</v>
      </c>
      <c r="AB2435" s="92">
        <v>1.2963627838723728E-2</v>
      </c>
      <c r="AC2435" s="101">
        <v>1.3009259091179004E-2</v>
      </c>
    </row>
    <row r="2436" spans="25:29" x14ac:dyDescent="0.2">
      <c r="Y2436" s="105" t="str">
        <f t="shared" si="71"/>
        <v>1w</v>
      </c>
      <c r="Z2436" s="93">
        <f>_xll.qlCalendarAdvance(Calendar,Z2435,Y2436,"f",FALSE)</f>
        <v>56220</v>
      </c>
      <c r="AA2436" s="117">
        <f>_xll.qlCalendarAdvance(Calendar,Z2436,NDays&amp;"D")</f>
        <v>56222</v>
      </c>
      <c r="AB2436" s="92">
        <v>1.2956352958711037E-2</v>
      </c>
      <c r="AC2436" s="101">
        <v>1.3002707488318777E-2</v>
      </c>
    </row>
    <row r="2437" spans="25:29" x14ac:dyDescent="0.2">
      <c r="Y2437" s="105" t="str">
        <f t="shared" si="71"/>
        <v>1w</v>
      </c>
      <c r="Z2437" s="93">
        <f>_xll.qlCalendarAdvance(Calendar,Z2436,Y2437,"f",FALSE)</f>
        <v>56227</v>
      </c>
      <c r="AA2437" s="117">
        <f>_xll.qlCalendarAdvance(Calendar,Z2437,NDays&amp;"D")</f>
        <v>56229</v>
      </c>
      <c r="AB2437" s="92">
        <v>1.294932212506301E-2</v>
      </c>
      <c r="AC2437" s="101">
        <v>1.2996125114073109E-2</v>
      </c>
    </row>
    <row r="2438" spans="25:29" x14ac:dyDescent="0.2">
      <c r="Y2438" s="105" t="str">
        <f t="shared" si="71"/>
        <v>1w</v>
      </c>
      <c r="Z2438" s="93">
        <f>_xll.qlCalendarAdvance(Calendar,Z2437,Y2438,"f",FALSE)</f>
        <v>56234</v>
      </c>
      <c r="AA2438" s="117">
        <f>_xll.qlCalendarAdvance(Calendar,Z2438,NDays&amp;"D")</f>
        <v>56236</v>
      </c>
      <c r="AB2438" s="92">
        <v>1.2942259735157155E-2</v>
      </c>
      <c r="AC2438" s="101">
        <v>1.2989511924637043E-2</v>
      </c>
    </row>
    <row r="2439" spans="25:29" x14ac:dyDescent="0.2">
      <c r="Y2439" s="105" t="str">
        <f t="shared" si="71"/>
        <v>1w</v>
      </c>
      <c r="Z2439" s="93">
        <f>_xll.qlCalendarAdvance(Calendar,Z2438,Y2439,"f",FALSE)</f>
        <v>56241</v>
      </c>
      <c r="AA2439" s="117">
        <f>_xll.qlCalendarAdvance(Calendar,Z2439,NDays&amp;"D")</f>
        <v>56247</v>
      </c>
      <c r="AB2439" s="92">
        <v>1.2931097832977037E-2</v>
      </c>
      <c r="AC2439" s="101">
        <v>1.2979057406425909E-2</v>
      </c>
    </row>
    <row r="2440" spans="25:29" x14ac:dyDescent="0.2">
      <c r="Y2440" s="105" t="str">
        <f t="shared" si="71"/>
        <v>1w</v>
      </c>
      <c r="Z2440" s="93">
        <f>_xll.qlCalendarAdvance(Calendar,Z2439,Y2440,"f",FALSE)</f>
        <v>56248</v>
      </c>
      <c r="AA2440" s="117">
        <f>_xll.qlCalendarAdvance(Calendar,Z2440,NDays&amp;"D")</f>
        <v>56251</v>
      </c>
      <c r="AB2440" s="92">
        <v>1.2927308110776364E-2</v>
      </c>
      <c r="AC2440" s="101">
        <v>1.2974747500100747E-2</v>
      </c>
    </row>
    <row r="2441" spans="25:29" x14ac:dyDescent="0.2">
      <c r="Y2441" s="105" t="str">
        <f t="shared" si="71"/>
        <v>1w</v>
      </c>
      <c r="Z2441" s="93">
        <f>_xll.qlCalendarAdvance(Calendar,Z2440,Y2441,"f",FALSE)</f>
        <v>56255</v>
      </c>
      <c r="AA2441" s="117">
        <f>_xll.qlCalendarAdvance(Calendar,Z2441,NDays&amp;"D")</f>
        <v>56257</v>
      </c>
      <c r="AB2441" s="92">
        <v>1.2921173497357566E-2</v>
      </c>
      <c r="AC2441" s="101">
        <v>1.2969487031533333E-2</v>
      </c>
    </row>
    <row r="2442" spans="25:29" x14ac:dyDescent="0.2">
      <c r="Y2442" s="105" t="str">
        <f t="shared" si="71"/>
        <v>1w</v>
      </c>
      <c r="Z2442" s="93">
        <f>_xll.qlCalendarAdvance(Calendar,Z2441,Y2442,"f",FALSE)</f>
        <v>56262</v>
      </c>
      <c r="AA2442" s="117">
        <f>_xll.qlCalendarAdvance(Calendar,Z2442,NDays&amp;"D")</f>
        <v>56264</v>
      </c>
      <c r="AB2442" s="92">
        <v>1.2913986986837631E-2</v>
      </c>
      <c r="AC2442" s="101">
        <v>1.2962750147442748E-2</v>
      </c>
    </row>
    <row r="2443" spans="25:29" x14ac:dyDescent="0.2">
      <c r="Y2443" s="105" t="str">
        <f t="shared" si="71"/>
        <v>1w</v>
      </c>
      <c r="Z2443" s="93">
        <f>_xll.qlCalendarAdvance(Calendar,Z2442,Y2443,"f",FALSE)</f>
        <v>56269</v>
      </c>
      <c r="AA2443" s="117">
        <f>_xll.qlCalendarAdvance(Calendar,Z2443,NDays&amp;"D")</f>
        <v>56271</v>
      </c>
      <c r="AB2443" s="92">
        <v>1.2906768707191141E-2</v>
      </c>
      <c r="AC2443" s="101">
        <v>1.2955982230895557E-2</v>
      </c>
    </row>
    <row r="2444" spans="25:29" x14ac:dyDescent="0.2">
      <c r="Y2444" s="105" t="str">
        <f t="shared" si="71"/>
        <v>1w</v>
      </c>
      <c r="Z2444" s="93">
        <f>_xll.qlCalendarAdvance(Calendar,Z2443,Y2444,"f",FALSE)</f>
        <v>56276</v>
      </c>
      <c r="AA2444" s="117">
        <f>_xll.qlCalendarAdvance(Calendar,Z2444,NDays&amp;"D")</f>
        <v>56278</v>
      </c>
      <c r="AB2444" s="92">
        <v>1.2899518615034456E-2</v>
      </c>
      <c r="AC2444" s="101">
        <v>1.2949183238806228E-2</v>
      </c>
    </row>
    <row r="2445" spans="25:29" x14ac:dyDescent="0.2">
      <c r="Y2445" s="105" t="str">
        <f t="shared" si="71"/>
        <v>1w</v>
      </c>
      <c r="Z2445" s="93">
        <f>_xll.qlCalendarAdvance(Calendar,Z2444,Y2445,"f",FALSE)</f>
        <v>56283</v>
      </c>
      <c r="AA2445" s="117">
        <f>_xll.qlCalendarAdvance(Calendar,Z2445,NDays&amp;"D")</f>
        <v>56285</v>
      </c>
      <c r="AB2445" s="92">
        <v>1.2892236666982171E-2</v>
      </c>
      <c r="AC2445" s="101">
        <v>1.2942353127369799E-2</v>
      </c>
    </row>
    <row r="2446" spans="25:29" x14ac:dyDescent="0.2">
      <c r="Y2446" s="105" t="str">
        <f t="shared" si="71"/>
        <v>1w</v>
      </c>
      <c r="Z2446" s="93">
        <f>_xll.qlCalendarAdvance(Calendar,Z2445,Y2446,"f",FALSE)</f>
        <v>56290</v>
      </c>
      <c r="AA2446" s="117">
        <f>_xll.qlCalendarAdvance(Calendar,Z2446,NDays&amp;"D")</f>
        <v>56292</v>
      </c>
      <c r="AB2446" s="92">
        <v>1.2884922819652853E-2</v>
      </c>
      <c r="AC2446" s="101">
        <v>1.2935491853340864E-2</v>
      </c>
    </row>
    <row r="2447" spans="25:29" x14ac:dyDescent="0.2">
      <c r="Y2447" s="105" t="str">
        <f t="shared" si="71"/>
        <v>1w</v>
      </c>
      <c r="Z2447" s="93">
        <f>_xll.qlCalendarAdvance(Calendar,Z2446,Y2447,"f",FALSE)</f>
        <v>56297</v>
      </c>
      <c r="AA2447" s="117">
        <f>_xll.qlCalendarAdvance(Calendar,Z2447,NDays&amp;"D")</f>
        <v>56299</v>
      </c>
      <c r="AB2447" s="92">
        <v>1.2877577029668163E-2</v>
      </c>
      <c r="AC2447" s="101">
        <v>1.2928599373234206E-2</v>
      </c>
    </row>
    <row r="2448" spans="25:29" x14ac:dyDescent="0.2">
      <c r="Y2448" s="105" t="str">
        <f t="shared" si="71"/>
        <v>1w</v>
      </c>
      <c r="Z2448" s="93">
        <f>_xll.qlCalendarAdvance(Calendar,Z2447,Y2448,"f",FALSE)</f>
        <v>56304</v>
      </c>
      <c r="AA2448" s="117">
        <f>_xll.qlCalendarAdvance(Calendar,Z2448,NDays&amp;"D")</f>
        <v>56306</v>
      </c>
      <c r="AB2448" s="92">
        <v>1.2870199253650646E-2</v>
      </c>
      <c r="AC2448" s="101">
        <v>1.2921675643644548E-2</v>
      </c>
    </row>
    <row r="2449" spans="25:29" x14ac:dyDescent="0.2">
      <c r="Y2449" s="105" t="str">
        <f t="shared" si="71"/>
        <v>1w</v>
      </c>
      <c r="Z2449" s="93">
        <f>_xll.qlCalendarAdvance(Calendar,Z2448,Y2449,"f",FALSE)</f>
        <v>56311</v>
      </c>
      <c r="AA2449" s="117">
        <f>_xll.qlCalendarAdvance(Calendar,Z2449,NDays&amp;"D")</f>
        <v>56313</v>
      </c>
      <c r="AB2449" s="92">
        <v>1.2861231291238702E-2</v>
      </c>
      <c r="AC2449" s="101">
        <v>1.2914720620926801E-2</v>
      </c>
    </row>
    <row r="2450" spans="25:29" x14ac:dyDescent="0.2">
      <c r="Y2450" s="105" t="str">
        <f t="shared" si="71"/>
        <v>1w</v>
      </c>
      <c r="Z2450" s="93">
        <f>_xll.qlCalendarAdvance(Calendar,Z2449,Y2450,"f",FALSE)</f>
        <v>56318</v>
      </c>
      <c r="AA2450" s="117">
        <f>_xll.qlCalendarAdvance(Calendar,Z2450,NDays&amp;"D")</f>
        <v>56320</v>
      </c>
      <c r="AB2450" s="92">
        <v>1.2853776553188185E-2</v>
      </c>
      <c r="AC2450" s="101">
        <v>1.2907734261675685E-2</v>
      </c>
    </row>
    <row r="2451" spans="25:29" x14ac:dyDescent="0.2">
      <c r="Y2451" s="105" t="str">
        <f t="shared" si="71"/>
        <v>1w</v>
      </c>
      <c r="Z2451" s="93">
        <f>_xll.qlCalendarAdvance(Calendar,Z2450,Y2451,"f",FALSE)</f>
        <v>56325</v>
      </c>
      <c r="AA2451" s="117">
        <f>_xll.qlCalendarAdvance(Calendar,Z2451,NDays&amp;"D")</f>
        <v>56327</v>
      </c>
      <c r="AB2451" s="92">
        <v>1.2846289678550084E-2</v>
      </c>
      <c r="AC2451" s="101">
        <v>1.2900716522805666E-2</v>
      </c>
    </row>
    <row r="2452" spans="25:29" x14ac:dyDescent="0.2">
      <c r="Y2452" s="105" t="str">
        <f t="shared" si="71"/>
        <v>1w</v>
      </c>
      <c r="Z2452" s="93">
        <f>_xll.qlCalendarAdvance(Calendar,Z2451,Y2452,"f",FALSE)</f>
        <v>56332</v>
      </c>
      <c r="AA2452" s="117">
        <f>_xll.qlCalendarAdvance(Calendar,Z2452,NDays&amp;"D")</f>
        <v>56334</v>
      </c>
      <c r="AB2452" s="92">
        <v>1.2838770623959517E-2</v>
      </c>
      <c r="AC2452" s="101">
        <v>1.2892570230077283E-2</v>
      </c>
    </row>
    <row r="2453" spans="25:29" x14ac:dyDescent="0.2">
      <c r="Y2453" s="105" t="str">
        <f t="shared" ref="Y2453:Y2516" si="72">Y2452</f>
        <v>1w</v>
      </c>
      <c r="Z2453" s="93">
        <f>_xll.qlCalendarAdvance(Calendar,Z2452,Y2453,"f",FALSE)</f>
        <v>56339</v>
      </c>
      <c r="AA2453" s="117">
        <f>_xll.qlCalendarAdvance(Calendar,Z2453,NDays&amp;"D")</f>
        <v>56341</v>
      </c>
      <c r="AB2453" s="92">
        <v>1.2832185942723694E-2</v>
      </c>
      <c r="AC2453" s="101">
        <v>1.2886586731308824E-2</v>
      </c>
    </row>
    <row r="2454" spans="25:29" x14ac:dyDescent="0.2">
      <c r="Y2454" s="105" t="str">
        <f t="shared" si="72"/>
        <v>1w</v>
      </c>
      <c r="Z2454" s="93">
        <f>_xll.qlCalendarAdvance(Calendar,Z2453,Y2454,"f",FALSE)</f>
        <v>56346</v>
      </c>
      <c r="AA2454" s="117">
        <f>_xll.qlCalendarAdvance(Calendar,Z2454,NDays&amp;"D")</f>
        <v>56348</v>
      </c>
      <c r="AB2454" s="92">
        <v>1.282461016441956E-2</v>
      </c>
      <c r="AC2454" s="101">
        <v>1.2879474591951379E-2</v>
      </c>
    </row>
    <row r="2455" spans="25:29" x14ac:dyDescent="0.2">
      <c r="Y2455" s="105" t="str">
        <f t="shared" si="72"/>
        <v>1w</v>
      </c>
      <c r="Z2455" s="93">
        <f>_xll.qlCalendarAdvance(Calendar,Z2454,Y2455,"f",FALSE)</f>
        <v>56353</v>
      </c>
      <c r="AA2455" s="117">
        <f>_xll.qlCalendarAdvance(Calendar,Z2455,NDays&amp;"D")</f>
        <v>56355</v>
      </c>
      <c r="AB2455" s="92">
        <v>1.2817002088333054E-2</v>
      </c>
      <c r="AC2455" s="101">
        <v>1.2872330898954232E-2</v>
      </c>
    </row>
    <row r="2456" spans="25:29" x14ac:dyDescent="0.2">
      <c r="Y2456" s="105" t="str">
        <f t="shared" si="72"/>
        <v>1w</v>
      </c>
      <c r="Z2456" s="93">
        <f>_xll.qlCalendarAdvance(Calendar,Z2455,Y2456,"f",FALSE)</f>
        <v>56360</v>
      </c>
      <c r="AA2456" s="117">
        <f>_xll.qlCalendarAdvance(Calendar,Z2456,NDays&amp;"D")</f>
        <v>56362</v>
      </c>
      <c r="AB2456" s="92">
        <v>1.2809361671106072E-2</v>
      </c>
      <c r="AC2456" s="101">
        <v>1.2865155608832168E-2</v>
      </c>
    </row>
    <row r="2457" spans="25:29" x14ac:dyDescent="0.2">
      <c r="Y2457" s="105" t="str">
        <f t="shared" si="72"/>
        <v>1w</v>
      </c>
      <c r="Z2457" s="93">
        <f>_xll.qlCalendarAdvance(Calendar,Z2456,Y2457,"f",FALSE)</f>
        <v>56367</v>
      </c>
      <c r="AA2457" s="117">
        <f>_xll.qlCalendarAdvance(Calendar,Z2457,NDays&amp;"D")</f>
        <v>56369</v>
      </c>
      <c r="AB2457" s="92">
        <v>1.2801688869382256E-2</v>
      </c>
      <c r="AC2457" s="101">
        <v>1.2857088523192672E-2</v>
      </c>
    </row>
    <row r="2458" spans="25:29" x14ac:dyDescent="0.2">
      <c r="Y2458" s="105" t="str">
        <f t="shared" si="72"/>
        <v>1w</v>
      </c>
      <c r="Z2458" s="93">
        <f>_xll.qlCalendarAdvance(Calendar,Z2457,Y2458,"f",FALSE)</f>
        <v>56374</v>
      </c>
      <c r="AA2458" s="117">
        <f>_xll.qlCalendarAdvance(Calendar,Z2458,NDays&amp;"D")</f>
        <v>56376</v>
      </c>
      <c r="AB2458" s="92">
        <v>1.2792978089225918E-2</v>
      </c>
      <c r="AC2458" s="101">
        <v>1.2850710063432302E-2</v>
      </c>
    </row>
    <row r="2459" spans="25:29" x14ac:dyDescent="0.2">
      <c r="Y2459" s="105" t="str">
        <f t="shared" si="72"/>
        <v>1w</v>
      </c>
      <c r="Z2459" s="93">
        <f>_xll.qlCalendarAdvance(Calendar,Z2458,Y2459,"f",FALSE)</f>
        <v>56381</v>
      </c>
      <c r="AA2459" s="117">
        <f>_xll.qlCalendarAdvance(Calendar,Z2459,NDays&amp;"D")</f>
        <v>56383</v>
      </c>
      <c r="AB2459" s="92">
        <v>1.2785232560923739E-2</v>
      </c>
      <c r="AC2459" s="101">
        <v>1.2843439721184069E-2</v>
      </c>
    </row>
    <row r="2460" spans="25:29" x14ac:dyDescent="0.2">
      <c r="Y2460" s="105" t="str">
        <f t="shared" si="72"/>
        <v>1w</v>
      </c>
      <c r="Z2460" s="93">
        <f>_xll.qlCalendarAdvance(Calendar,Z2459,Y2460,"f",FALSE)</f>
        <v>56388</v>
      </c>
      <c r="AA2460" s="117">
        <f>_xll.qlCalendarAdvance(Calendar,Z2460,NDays&amp;"D")</f>
        <v>56390</v>
      </c>
      <c r="AB2460" s="92">
        <v>1.2777454505826968E-2</v>
      </c>
      <c r="AC2460" s="101">
        <v>1.2836137608029929E-2</v>
      </c>
    </row>
    <row r="2461" spans="25:29" x14ac:dyDescent="0.2">
      <c r="Y2461" s="105" t="str">
        <f t="shared" si="72"/>
        <v>1w</v>
      </c>
      <c r="Z2461" s="93">
        <f>_xll.qlCalendarAdvance(Calendar,Z2460,Y2461,"f",FALSE)</f>
        <v>56395</v>
      </c>
      <c r="AA2461" s="117">
        <f>_xll.qlCalendarAdvance(Calendar,Z2461,NDays&amp;"D")</f>
        <v>56397</v>
      </c>
      <c r="AB2461" s="92">
        <v>1.2769643880591354E-2</v>
      </c>
      <c r="AC2461" s="101">
        <v>1.2828803680564604E-2</v>
      </c>
    </row>
    <row r="2462" spans="25:29" x14ac:dyDescent="0.2">
      <c r="Y2462" s="105" t="str">
        <f t="shared" si="72"/>
        <v>1w</v>
      </c>
      <c r="Z2462" s="93">
        <f>_xll.qlCalendarAdvance(Calendar,Z2461,Y2462,"f",FALSE)</f>
        <v>56402</v>
      </c>
      <c r="AA2462" s="117">
        <f>_xll.qlCalendarAdvance(Calendar,Z2462,NDays&amp;"D")</f>
        <v>56404</v>
      </c>
      <c r="AB2462" s="92">
        <v>1.2762837576015545E-2</v>
      </c>
      <c r="AC2462" s="101">
        <v>1.2821437895462751E-2</v>
      </c>
    </row>
    <row r="2463" spans="25:29" x14ac:dyDescent="0.2">
      <c r="Y2463" s="105" t="str">
        <f t="shared" si="72"/>
        <v>1w</v>
      </c>
      <c r="Z2463" s="93">
        <f>_xll.qlCalendarAdvance(Calendar,Z2462,Y2463,"f",FALSE)</f>
        <v>56409</v>
      </c>
      <c r="AA2463" s="117">
        <f>_xll.qlCalendarAdvance(Calendar,Z2463,NDays&amp;"D")</f>
        <v>56411</v>
      </c>
      <c r="AB2463" s="92">
        <v>1.2754969556963525E-2</v>
      </c>
      <c r="AC2463" s="101">
        <v>1.2814040208759536E-2</v>
      </c>
    </row>
    <row r="2464" spans="25:29" x14ac:dyDescent="0.2">
      <c r="Y2464" s="105" t="str">
        <f t="shared" si="72"/>
        <v>1w</v>
      </c>
      <c r="Z2464" s="93">
        <f>_xll.qlCalendarAdvance(Calendar,Z2463,Y2464,"f",FALSE)</f>
        <v>56416</v>
      </c>
      <c r="AA2464" s="117">
        <f>_xll.qlCalendarAdvance(Calendar,Z2464,NDays&amp;"D")</f>
        <v>56418</v>
      </c>
      <c r="AB2464" s="92">
        <v>1.2747068849986134E-2</v>
      </c>
      <c r="AC2464" s="101">
        <v>1.2806610577609234E-2</v>
      </c>
    </row>
    <row r="2465" spans="25:29" x14ac:dyDescent="0.2">
      <c r="Y2465" s="105" t="str">
        <f t="shared" si="72"/>
        <v>1w</v>
      </c>
      <c r="Z2465" s="93">
        <f>_xll.qlCalendarAdvance(Calendar,Z2464,Y2465,"f",FALSE)</f>
        <v>56423</v>
      </c>
      <c r="AA2465" s="117">
        <f>_xll.qlCalendarAdvance(Calendar,Z2465,NDays&amp;"D")</f>
        <v>56425</v>
      </c>
      <c r="AB2465" s="92">
        <v>1.2738074811444589E-2</v>
      </c>
      <c r="AC2465" s="101">
        <v>1.2799148958126949E-2</v>
      </c>
    </row>
    <row r="2466" spans="25:29" x14ac:dyDescent="0.2">
      <c r="Y2466" s="105" t="str">
        <f t="shared" si="72"/>
        <v>1w</v>
      </c>
      <c r="Z2466" s="93">
        <f>_xll.qlCalendarAdvance(Calendar,Z2465,Y2466,"f",FALSE)</f>
        <v>56430</v>
      </c>
      <c r="AA2466" s="117">
        <f>_xll.qlCalendarAdvance(Calendar,Z2466,NDays&amp;"D")</f>
        <v>56432</v>
      </c>
      <c r="AB2466" s="92">
        <v>1.2730100685424879E-2</v>
      </c>
      <c r="AC2466" s="101">
        <v>1.2791655307227145E-2</v>
      </c>
    </row>
    <row r="2467" spans="25:29" x14ac:dyDescent="0.2">
      <c r="Y2467" s="105" t="str">
        <f t="shared" si="72"/>
        <v>1w</v>
      </c>
      <c r="Z2467" s="93">
        <f>_xll.qlCalendarAdvance(Calendar,Z2466,Y2467,"f",FALSE)</f>
        <v>56437</v>
      </c>
      <c r="AA2467" s="117">
        <f>_xll.qlCalendarAdvance(Calendar,Z2467,NDays&amp;"D")</f>
        <v>56439</v>
      </c>
      <c r="AB2467" s="92">
        <v>1.2722093729245505E-2</v>
      </c>
      <c r="AC2467" s="101">
        <v>1.2784129581104864E-2</v>
      </c>
    </row>
    <row r="2468" spans="25:29" x14ac:dyDescent="0.2">
      <c r="Y2468" s="105" t="str">
        <f t="shared" si="72"/>
        <v>1w</v>
      </c>
      <c r="Z2468" s="93">
        <f>_xll.qlCalendarAdvance(Calendar,Z2467,Y2468,"f",FALSE)</f>
        <v>56444</v>
      </c>
      <c r="AA2468" s="117">
        <f>_xll.qlCalendarAdvance(Calendar,Z2468,NDays&amp;"D")</f>
        <v>56446</v>
      </c>
      <c r="AB2468" s="92">
        <v>1.27140538995794E-2</v>
      </c>
      <c r="AC2468" s="101">
        <v>1.2776571736674569E-2</v>
      </c>
    </row>
    <row r="2469" spans="25:29" x14ac:dyDescent="0.2">
      <c r="Y2469" s="105" t="str">
        <f t="shared" si="72"/>
        <v>1w</v>
      </c>
      <c r="Z2469" s="93">
        <f>_xll.qlCalendarAdvance(Calendar,Z2468,Y2469,"f",FALSE)</f>
        <v>56451</v>
      </c>
      <c r="AA2469" s="117">
        <f>_xll.qlCalendarAdvance(Calendar,Z2469,NDays&amp;"D")</f>
        <v>56453</v>
      </c>
      <c r="AB2469" s="92">
        <v>1.2705981153101224E-2</v>
      </c>
      <c r="AC2469" s="101">
        <v>1.2768981730131301E-2</v>
      </c>
    </row>
    <row r="2470" spans="25:29" x14ac:dyDescent="0.2">
      <c r="Y2470" s="105" t="str">
        <f t="shared" si="72"/>
        <v>1w</v>
      </c>
      <c r="Z2470" s="93">
        <f>_xll.qlCalendarAdvance(Calendar,Z2469,Y2470,"f",FALSE)</f>
        <v>56458</v>
      </c>
      <c r="AA2470" s="117">
        <f>_xll.qlCalendarAdvance(Calendar,Z2470,NDays&amp;"D")</f>
        <v>56460</v>
      </c>
      <c r="AB2470" s="92">
        <v>1.269897573494645E-2</v>
      </c>
      <c r="AC2470" s="101">
        <v>1.2761359518229654E-2</v>
      </c>
    </row>
    <row r="2471" spans="25:29" x14ac:dyDescent="0.2">
      <c r="Y2471" s="105" t="str">
        <f t="shared" si="72"/>
        <v>1w</v>
      </c>
      <c r="Z2471" s="93">
        <f>_xll.qlCalendarAdvance(Calendar,Z2470,Y2471,"f",FALSE)</f>
        <v>56465</v>
      </c>
      <c r="AA2471" s="117">
        <f>_xll.qlCalendarAdvance(Calendar,Z2471,NDays&amp;"D")</f>
        <v>56467</v>
      </c>
      <c r="AB2471" s="92">
        <v>1.2689736736415021E-2</v>
      </c>
      <c r="AC2471" s="101">
        <v>1.2753705057644282E-2</v>
      </c>
    </row>
    <row r="2472" spans="25:29" x14ac:dyDescent="0.2">
      <c r="Y2472" s="105" t="str">
        <f t="shared" si="72"/>
        <v>1w</v>
      </c>
      <c r="Z2472" s="93">
        <f>_xll.qlCalendarAdvance(Calendar,Z2471,Y2472,"f",FALSE)</f>
        <v>56472</v>
      </c>
      <c r="AA2472" s="117">
        <f>_xll.qlCalendarAdvance(Calendar,Z2472,NDays&amp;"D")</f>
        <v>56474</v>
      </c>
      <c r="AB2472" s="92">
        <v>1.268156497956662E-2</v>
      </c>
      <c r="AC2472" s="101">
        <v>1.2746018304570228E-2</v>
      </c>
    </row>
    <row r="2473" spans="25:29" x14ac:dyDescent="0.2">
      <c r="Y2473" s="105" t="str">
        <f t="shared" si="72"/>
        <v>1w</v>
      </c>
      <c r="Z2473" s="93">
        <f>_xll.qlCalendarAdvance(Calendar,Z2472,Y2473,"f",FALSE)</f>
        <v>56479</v>
      </c>
      <c r="AA2473" s="117">
        <f>_xll.qlCalendarAdvance(Calendar,Z2473,NDays&amp;"D")</f>
        <v>56481</v>
      </c>
      <c r="AB2473" s="92">
        <v>1.2673360132626692E-2</v>
      </c>
      <c r="AC2473" s="101">
        <v>1.2738299215921955E-2</v>
      </c>
    </row>
    <row r="2474" spans="25:29" x14ac:dyDescent="0.2">
      <c r="Y2474" s="105" t="str">
        <f t="shared" si="72"/>
        <v>1w</v>
      </c>
      <c r="Z2474" s="93">
        <f>_xll.qlCalendarAdvance(Calendar,Z2473,Y2474,"f",FALSE)</f>
        <v>56486</v>
      </c>
      <c r="AA2474" s="117">
        <f>_xll.qlCalendarAdvance(Calendar,Z2474,NDays&amp;"D")</f>
        <v>56488</v>
      </c>
      <c r="AB2474" s="92">
        <v>1.266625441118794E-2</v>
      </c>
      <c r="AC2474" s="101">
        <v>1.2730547748134313E-2</v>
      </c>
    </row>
    <row r="2475" spans="25:29" x14ac:dyDescent="0.2">
      <c r="Y2475" s="105" t="str">
        <f t="shared" si="72"/>
        <v>1w</v>
      </c>
      <c r="Z2475" s="93">
        <f>_xll.qlCalendarAdvance(Calendar,Z2474,Y2475,"f",FALSE)</f>
        <v>56493</v>
      </c>
      <c r="AA2475" s="117">
        <f>_xll.qlCalendarAdvance(Calendar,Z2475,NDays&amp;"D")</f>
        <v>56495</v>
      </c>
      <c r="AB2475" s="92">
        <v>1.2658750140743864E-2</v>
      </c>
      <c r="AC2475" s="101">
        <v>1.2722763857482278E-2</v>
      </c>
    </row>
    <row r="2476" spans="25:29" x14ac:dyDescent="0.2">
      <c r="Y2476" s="105" t="str">
        <f t="shared" si="72"/>
        <v>1w</v>
      </c>
      <c r="Z2476" s="93">
        <f>_xll.qlCalendarAdvance(Calendar,Z2475,Y2476,"f",FALSE)</f>
        <v>56500</v>
      </c>
      <c r="AA2476" s="117">
        <f>_xll.qlCalendarAdvance(Calendar,Z2476,NDays&amp;"D")</f>
        <v>56502</v>
      </c>
      <c r="AB2476" s="92">
        <v>1.2650459153658476E-2</v>
      </c>
      <c r="AC2476" s="101">
        <v>1.2714947500880314E-2</v>
      </c>
    </row>
    <row r="2477" spans="25:29" x14ac:dyDescent="0.2">
      <c r="Y2477" s="105" t="str">
        <f t="shared" si="72"/>
        <v>1w</v>
      </c>
      <c r="Z2477" s="93">
        <f>_xll.qlCalendarAdvance(Calendar,Z2476,Y2477,"f",FALSE)</f>
        <v>56507</v>
      </c>
      <c r="AA2477" s="117">
        <f>_xll.qlCalendarAdvance(Calendar,Z2477,NDays&amp;"D")</f>
        <v>56509</v>
      </c>
      <c r="AB2477" s="92">
        <v>1.2642134923575783E-2</v>
      </c>
      <c r="AC2477" s="101">
        <v>1.2707098634843206E-2</v>
      </c>
    </row>
    <row r="2478" spans="25:29" x14ac:dyDescent="0.2">
      <c r="Y2478" s="105" t="str">
        <f t="shared" si="72"/>
        <v>1w</v>
      </c>
      <c r="Z2478" s="93">
        <f>_xll.qlCalendarAdvance(Calendar,Z2477,Y2478,"f",FALSE)</f>
        <v>56514</v>
      </c>
      <c r="AA2478" s="117">
        <f>_xll.qlCalendarAdvance(Calendar,Z2478,NDays&amp;"D")</f>
        <v>56516</v>
      </c>
      <c r="AB2478" s="92">
        <v>1.2633777407186339E-2</v>
      </c>
      <c r="AC2478" s="101">
        <v>1.2699217215725866E-2</v>
      </c>
    </row>
    <row r="2479" spans="25:29" x14ac:dyDescent="0.2">
      <c r="Y2479" s="105" t="str">
        <f t="shared" si="72"/>
        <v>1w</v>
      </c>
      <c r="Z2479" s="93">
        <f>_xll.qlCalendarAdvance(Calendar,Z2478,Y2479,"f",FALSE)</f>
        <v>56521</v>
      </c>
      <c r="AA2479" s="117">
        <f>_xll.qlCalendarAdvance(Calendar,Z2479,NDays&amp;"D")</f>
        <v>56523</v>
      </c>
      <c r="AB2479" s="92">
        <v>1.2624996529011915E-2</v>
      </c>
      <c r="AC2479" s="101">
        <v>1.2691303200202952E-2</v>
      </c>
    </row>
    <row r="2480" spans="25:29" x14ac:dyDescent="0.2">
      <c r="Y2480" s="105" t="str">
        <f t="shared" si="72"/>
        <v>1w</v>
      </c>
      <c r="Z2480" s="93">
        <f>_xll.qlCalendarAdvance(Calendar,Z2479,Y2480,"f",FALSE)</f>
        <v>56528</v>
      </c>
      <c r="AA2480" s="117">
        <f>_xll.qlCalendarAdvance(Calendar,Z2480,NDays&amp;"D")</f>
        <v>56530</v>
      </c>
      <c r="AB2480" s="92">
        <v>1.2616569616716037E-2</v>
      </c>
      <c r="AC2480" s="101">
        <v>1.2683356544869184E-2</v>
      </c>
    </row>
    <row r="2481" spans="25:29" x14ac:dyDescent="0.2">
      <c r="Y2481" s="105" t="str">
        <f t="shared" si="72"/>
        <v>1w</v>
      </c>
      <c r="Z2481" s="93">
        <f>_xll.qlCalendarAdvance(Calendar,Z2480,Y2481,"f",FALSE)</f>
        <v>56535</v>
      </c>
      <c r="AA2481" s="117">
        <f>_xll.qlCalendarAdvance(Calendar,Z2481,NDays&amp;"D")</f>
        <v>56537</v>
      </c>
      <c r="AB2481" s="92">
        <v>1.2608109284137354E-2</v>
      </c>
      <c r="AC2481" s="101">
        <v>1.2675377206239347E-2</v>
      </c>
    </row>
    <row r="2482" spans="25:29" x14ac:dyDescent="0.2">
      <c r="Y2482" s="105" t="str">
        <f t="shared" si="72"/>
        <v>1w</v>
      </c>
      <c r="Z2482" s="93">
        <f>_xll.qlCalendarAdvance(Calendar,Z2481,Y2482,"f",FALSE)</f>
        <v>56542</v>
      </c>
      <c r="AA2482" s="117">
        <f>_xll.qlCalendarAdvance(Calendar,Z2482,NDays&amp;"D")</f>
        <v>56544</v>
      </c>
      <c r="AB2482" s="92">
        <v>1.2599615487978631E-2</v>
      </c>
      <c r="AC2482" s="101">
        <v>1.2667365140828224E-2</v>
      </c>
    </row>
    <row r="2483" spans="25:29" x14ac:dyDescent="0.2">
      <c r="Y2483" s="105" t="str">
        <f t="shared" si="72"/>
        <v>1w</v>
      </c>
      <c r="Z2483" s="93">
        <f>_xll.qlCalendarAdvance(Calendar,Z2482,Y2483,"f",FALSE)</f>
        <v>56549</v>
      </c>
      <c r="AA2483" s="117">
        <f>_xll.qlCalendarAdvance(Calendar,Z2483,NDays&amp;"D")</f>
        <v>56551</v>
      </c>
      <c r="AB2483" s="92">
        <v>1.2591088184941757E-2</v>
      </c>
      <c r="AC2483" s="101">
        <v>1.2659320305150601E-2</v>
      </c>
    </row>
    <row r="2484" spans="25:29" x14ac:dyDescent="0.2">
      <c r="Y2484" s="105" t="str">
        <f t="shared" si="72"/>
        <v>1w</v>
      </c>
      <c r="Z2484" s="93">
        <f>_xll.qlCalendarAdvance(Calendar,Z2483,Y2484,"f",FALSE)</f>
        <v>56556</v>
      </c>
      <c r="AA2484" s="117">
        <f>_xll.qlCalendarAdvance(Calendar,Z2484,NDays&amp;"D")</f>
        <v>56558</v>
      </c>
      <c r="AB2484" s="92">
        <v>1.2582930871401006E-2</v>
      </c>
      <c r="AC2484" s="101">
        <v>1.2651242655881134E-2</v>
      </c>
    </row>
    <row r="2485" spans="25:29" x14ac:dyDescent="0.2">
      <c r="Y2485" s="105" t="str">
        <f t="shared" si="72"/>
        <v>1w</v>
      </c>
      <c r="Z2485" s="93">
        <f>_xll.qlCalendarAdvance(Calendar,Z2484,Y2485,"f",FALSE)</f>
        <v>56563</v>
      </c>
      <c r="AA2485" s="117">
        <f>_xll.qlCalendarAdvance(Calendar,Z2485,NDays&amp;"D")</f>
        <v>56565</v>
      </c>
      <c r="AB2485" s="92">
        <v>1.2574339138414506E-2</v>
      </c>
      <c r="AC2485" s="101">
        <v>1.2643132149454672E-2</v>
      </c>
    </row>
    <row r="2486" spans="25:29" x14ac:dyDescent="0.2">
      <c r="Y2486" s="105" t="str">
        <f t="shared" si="72"/>
        <v>1w</v>
      </c>
      <c r="Z2486" s="93">
        <f>_xll.qlCalendarAdvance(Calendar,Z2485,Y2486,"f",FALSE)</f>
        <v>56570</v>
      </c>
      <c r="AA2486" s="117">
        <f>_xll.qlCalendarAdvance(Calendar,Z2486,NDays&amp;"D")</f>
        <v>56572</v>
      </c>
      <c r="AB2486" s="92">
        <v>1.2565713850924301E-2</v>
      </c>
      <c r="AC2486" s="101">
        <v>1.2634988742465936E-2</v>
      </c>
    </row>
    <row r="2487" spans="25:29" x14ac:dyDescent="0.2">
      <c r="Y2487" s="105" t="str">
        <f t="shared" si="72"/>
        <v>1w</v>
      </c>
      <c r="Z2487" s="93">
        <f>_xll.qlCalendarAdvance(Calendar,Z2486,Y2487,"f",FALSE)</f>
        <v>56577</v>
      </c>
      <c r="AA2487" s="117">
        <f>_xll.qlCalendarAdvance(Calendar,Z2487,NDays&amp;"D")</f>
        <v>56579</v>
      </c>
      <c r="AB2487" s="92">
        <v>1.255705581247105E-2</v>
      </c>
      <c r="AC2487" s="101">
        <v>1.2626812391589581E-2</v>
      </c>
    </row>
    <row r="2488" spans="25:29" x14ac:dyDescent="0.2">
      <c r="Y2488" s="105" t="str">
        <f t="shared" si="72"/>
        <v>1w</v>
      </c>
      <c r="Z2488" s="93">
        <f>_xll.qlCalendarAdvance(Calendar,Z2487,Y2488,"f",FALSE)</f>
        <v>56584</v>
      </c>
      <c r="AA2488" s="117">
        <f>_xll.qlCalendarAdvance(Calendar,Z2488,NDays&amp;"D")</f>
        <v>56586</v>
      </c>
      <c r="AB2488" s="92">
        <v>1.2547952533234505E-2</v>
      </c>
      <c r="AC2488" s="101">
        <v>1.2618603053260458E-2</v>
      </c>
    </row>
    <row r="2489" spans="25:29" x14ac:dyDescent="0.2">
      <c r="Y2489" s="105" t="str">
        <f t="shared" si="72"/>
        <v>1w</v>
      </c>
      <c r="Z2489" s="93">
        <f>_xll.qlCalendarAdvance(Calendar,Z2488,Y2489,"f",FALSE)</f>
        <v>56591</v>
      </c>
      <c r="AA2489" s="117">
        <f>_xll.qlCalendarAdvance(Calendar,Z2489,NDays&amp;"D")</f>
        <v>56593</v>
      </c>
      <c r="AB2489" s="92">
        <v>1.2539230560983255E-2</v>
      </c>
      <c r="AC2489" s="101">
        <v>1.2610360684073285E-2</v>
      </c>
    </row>
    <row r="2490" spans="25:29" x14ac:dyDescent="0.2">
      <c r="Y2490" s="105" t="str">
        <f t="shared" si="72"/>
        <v>1w</v>
      </c>
      <c r="Z2490" s="93">
        <f>_xll.qlCalendarAdvance(Calendar,Z2489,Y2490,"f",FALSE)</f>
        <v>56598</v>
      </c>
      <c r="AA2490" s="117">
        <f>_xll.qlCalendarAdvance(Calendar,Z2490,NDays&amp;"D")</f>
        <v>56600</v>
      </c>
      <c r="AB2490" s="92">
        <v>1.2530479733636551E-2</v>
      </c>
      <c r="AC2490" s="101">
        <v>1.260208524030304E-2</v>
      </c>
    </row>
    <row r="2491" spans="25:29" x14ac:dyDescent="0.2">
      <c r="Y2491" s="105" t="str">
        <f t="shared" si="72"/>
        <v>1w</v>
      </c>
      <c r="Z2491" s="93">
        <f>_xll.qlCalendarAdvance(Calendar,Z2490,Y2491,"f",FALSE)</f>
        <v>56605</v>
      </c>
      <c r="AA2491" s="117">
        <f>_xll.qlCalendarAdvance(Calendar,Z2491,NDays&amp;"D")</f>
        <v>56607</v>
      </c>
      <c r="AB2491" s="92">
        <v>1.2521701298344026E-2</v>
      </c>
      <c r="AC2491" s="101">
        <v>1.2592652211804722E-2</v>
      </c>
    </row>
    <row r="2492" spans="25:29" x14ac:dyDescent="0.2">
      <c r="Y2492" s="105" t="str">
        <f t="shared" si="72"/>
        <v>1w</v>
      </c>
      <c r="Z2492" s="93">
        <f>_xll.qlCalendarAdvance(Calendar,Z2491,Y2492,"f",FALSE)</f>
        <v>56612</v>
      </c>
      <c r="AA2492" s="117">
        <f>_xll.qlCalendarAdvance(Calendar,Z2492,NDays&amp;"D")</f>
        <v>56614</v>
      </c>
      <c r="AB2492" s="92">
        <v>1.2513317995334141E-2</v>
      </c>
      <c r="AC2492" s="101">
        <v>1.2584302501261746E-2</v>
      </c>
    </row>
    <row r="2493" spans="25:29" x14ac:dyDescent="0.2">
      <c r="Y2493" s="105" t="str">
        <f t="shared" si="72"/>
        <v>1w</v>
      </c>
      <c r="Z2493" s="93">
        <f>_xll.qlCalendarAdvance(Calendar,Z2492,Y2493,"f",FALSE)</f>
        <v>56619</v>
      </c>
      <c r="AA2493" s="117">
        <f>_xll.qlCalendarAdvance(Calendar,Z2493,NDays&amp;"D")</f>
        <v>56621</v>
      </c>
      <c r="AB2493" s="92">
        <v>1.2504489684096289E-2</v>
      </c>
      <c r="AC2493" s="101">
        <v>1.2577060029039799E-2</v>
      </c>
    </row>
    <row r="2494" spans="25:29" x14ac:dyDescent="0.2">
      <c r="Y2494" s="105" t="str">
        <f t="shared" si="72"/>
        <v>1w</v>
      </c>
      <c r="Z2494" s="93">
        <f>_xll.qlCalendarAdvance(Calendar,Z2493,Y2494,"f",FALSE)</f>
        <v>56626</v>
      </c>
      <c r="AA2494" s="117">
        <f>_xll.qlCalendarAdvance(Calendar,Z2494,NDays&amp;"D")</f>
        <v>56628</v>
      </c>
      <c r="AB2494" s="92">
        <v>1.249563739405452E-2</v>
      </c>
      <c r="AC2494" s="101">
        <v>1.2568651853763768E-2</v>
      </c>
    </row>
    <row r="2495" spans="25:29" x14ac:dyDescent="0.2">
      <c r="Y2495" s="105" t="str">
        <f t="shared" si="72"/>
        <v>1w</v>
      </c>
      <c r="Z2495" s="93">
        <f>_xll.qlCalendarAdvance(Calendar,Z2494,Y2495,"f",FALSE)</f>
        <v>56633</v>
      </c>
      <c r="AA2495" s="117">
        <f>_xll.qlCalendarAdvance(Calendar,Z2495,NDays&amp;"D")</f>
        <v>56635</v>
      </c>
      <c r="AB2495" s="92">
        <v>1.2486762388870278E-2</v>
      </c>
      <c r="AC2495" s="101">
        <v>1.2560210386718396E-2</v>
      </c>
    </row>
    <row r="2496" spans="25:29" x14ac:dyDescent="0.2">
      <c r="Y2496" s="105" t="str">
        <f t="shared" si="72"/>
        <v>1w</v>
      </c>
      <c r="Z2496" s="93">
        <f>_xll.qlCalendarAdvance(Calendar,Z2495,Y2496,"f",FALSE)</f>
        <v>56640</v>
      </c>
      <c r="AA2496" s="117">
        <f>_xll.qlCalendarAdvance(Calendar,Z2496,NDays&amp;"D")</f>
        <v>56642</v>
      </c>
      <c r="AB2496" s="92">
        <v>1.2477865934647248E-2</v>
      </c>
      <c r="AC2496" s="101">
        <v>1.2551735584818147E-2</v>
      </c>
    </row>
    <row r="2497" spans="25:29" x14ac:dyDescent="0.2">
      <c r="Y2497" s="105" t="str">
        <f t="shared" si="72"/>
        <v>1w</v>
      </c>
      <c r="Z2497" s="93">
        <f>_xll.qlCalendarAdvance(Calendar,Z2496,Y2497,"f",FALSE)</f>
        <v>56647</v>
      </c>
      <c r="AA2497" s="117">
        <f>_xll.qlCalendarAdvance(Calendar,Z2497,NDays&amp;"D")</f>
        <v>56649</v>
      </c>
      <c r="AB2497" s="92">
        <v>1.2468949299937103E-2</v>
      </c>
      <c r="AC2497" s="101">
        <v>1.2543227404337998E-2</v>
      </c>
    </row>
    <row r="2498" spans="25:29" x14ac:dyDescent="0.2">
      <c r="Y2498" s="105" t="str">
        <f t="shared" si="72"/>
        <v>1w</v>
      </c>
      <c r="Z2498" s="93">
        <f>_xll.qlCalendarAdvance(Calendar,Z2497,Y2498,"f",FALSE)</f>
        <v>56654</v>
      </c>
      <c r="AA2498" s="117">
        <f>_xll.qlCalendarAdvance(Calendar,Z2498,NDays&amp;"D")</f>
        <v>56656</v>
      </c>
      <c r="AB2498" s="92">
        <v>1.2460013755732434E-2</v>
      </c>
      <c r="AC2498" s="101">
        <v>1.2534685801952605E-2</v>
      </c>
    </row>
    <row r="2499" spans="25:29" x14ac:dyDescent="0.2">
      <c r="Y2499" s="105" t="str">
        <f t="shared" si="72"/>
        <v>1w</v>
      </c>
      <c r="Z2499" s="93">
        <f>_xll.qlCalendarAdvance(Calendar,Z2498,Y2499,"f",FALSE)</f>
        <v>56661</v>
      </c>
      <c r="AA2499" s="117">
        <f>_xll.qlCalendarAdvance(Calendar,Z2499,NDays&amp;"D")</f>
        <v>56663</v>
      </c>
      <c r="AB2499" s="92">
        <v>1.2451060575471615E-2</v>
      </c>
      <c r="AC2499" s="101">
        <v>1.2526110734176754E-2</v>
      </c>
    </row>
    <row r="2500" spans="25:29" x14ac:dyDescent="0.2">
      <c r="Y2500" s="105" t="str">
        <f t="shared" si="72"/>
        <v>1w</v>
      </c>
      <c r="Z2500" s="93">
        <f>_xll.qlCalendarAdvance(Calendar,Z2499,Y2500,"f",FALSE)</f>
        <v>56668</v>
      </c>
      <c r="AA2500" s="117">
        <f>_xll.qlCalendarAdvance(Calendar,Z2500,NDays&amp;"D")</f>
        <v>56670</v>
      </c>
      <c r="AB2500" s="92">
        <v>1.2442091035037911E-2</v>
      </c>
      <c r="AC2500" s="101">
        <v>1.2517502157605165E-2</v>
      </c>
    </row>
    <row r="2501" spans="25:29" x14ac:dyDescent="0.2">
      <c r="Y2501" s="105" t="str">
        <f t="shared" si="72"/>
        <v>1w</v>
      </c>
      <c r="Z2501" s="93">
        <f>_xll.qlCalendarAdvance(Calendar,Z2500,Y2501,"f",FALSE)</f>
        <v>56675</v>
      </c>
      <c r="AA2501" s="117">
        <f>_xll.qlCalendarAdvance(Calendar,Z2501,NDays&amp;"D")</f>
        <v>56677</v>
      </c>
      <c r="AB2501" s="92">
        <v>1.2430946865926645E-2</v>
      </c>
      <c r="AC2501" s="101">
        <v>1.2508860028832558E-2</v>
      </c>
    </row>
    <row r="2502" spans="25:29" x14ac:dyDescent="0.2">
      <c r="Y2502" s="105" t="str">
        <f t="shared" si="72"/>
        <v>1w</v>
      </c>
      <c r="Z2502" s="93">
        <f>_xll.qlCalendarAdvance(Calendar,Z2501,Y2502,"f",FALSE)</f>
        <v>56682</v>
      </c>
      <c r="AA2502" s="117">
        <f>_xll.qlCalendarAdvance(Calendar,Z2502,NDays&amp;"D")</f>
        <v>56684</v>
      </c>
      <c r="AB2502" s="92">
        <v>1.2421945017505131E-2</v>
      </c>
      <c r="AC2502" s="101">
        <v>1.2500184304453654E-2</v>
      </c>
    </row>
    <row r="2503" spans="25:29" x14ac:dyDescent="0.2">
      <c r="Y2503" s="105" t="str">
        <f t="shared" si="72"/>
        <v>1w</v>
      </c>
      <c r="Z2503" s="93">
        <f>_xll.qlCalendarAdvance(Calendar,Z2502,Y2503,"f",FALSE)</f>
        <v>56689</v>
      </c>
      <c r="AA2503" s="117">
        <f>_xll.qlCalendarAdvance(Calendar,Z2503,NDays&amp;"D")</f>
        <v>56691</v>
      </c>
      <c r="AB2503" s="92">
        <v>1.2412930970912112E-2</v>
      </c>
      <c r="AC2503" s="101">
        <v>1.2491474940823366E-2</v>
      </c>
    </row>
    <row r="2504" spans="25:29" x14ac:dyDescent="0.2">
      <c r="Y2504" s="105" t="str">
        <f t="shared" si="72"/>
        <v>1w</v>
      </c>
      <c r="Z2504" s="93">
        <f>_xll.qlCalendarAdvance(Calendar,Z2503,Y2504,"f",FALSE)</f>
        <v>56696</v>
      </c>
      <c r="AA2504" s="117">
        <f>_xll.qlCalendarAdvance(Calendar,Z2504,NDays&amp;"D")</f>
        <v>56698</v>
      </c>
      <c r="AB2504" s="92">
        <v>1.2403905977999114E-2</v>
      </c>
      <c r="AC2504" s="101">
        <v>1.2482731894456478E-2</v>
      </c>
    </row>
    <row r="2505" spans="25:29" x14ac:dyDescent="0.2">
      <c r="Y2505" s="105" t="str">
        <f t="shared" si="72"/>
        <v>1w</v>
      </c>
      <c r="Z2505" s="93">
        <f>_xll.qlCalendarAdvance(Calendar,Z2504,Y2505,"f",FALSE)</f>
        <v>56703</v>
      </c>
      <c r="AA2505" s="117">
        <f>_xll.qlCalendarAdvance(Calendar,Z2505,NDays&amp;"D")</f>
        <v>56705</v>
      </c>
      <c r="AB2505" s="92">
        <v>1.2396174312602952E-2</v>
      </c>
      <c r="AC2505" s="101">
        <v>1.2473955122267455E-2</v>
      </c>
    </row>
    <row r="2506" spans="25:29" x14ac:dyDescent="0.2">
      <c r="Y2506" s="105" t="str">
        <f t="shared" si="72"/>
        <v>1w</v>
      </c>
      <c r="Z2506" s="93">
        <f>_xll.qlCalendarAdvance(Calendar,Z2505,Y2506,"f",FALSE)</f>
        <v>56710</v>
      </c>
      <c r="AA2506" s="117">
        <f>_xll.qlCalendarAdvance(Calendar,Z2506,NDays&amp;"D")</f>
        <v>56712</v>
      </c>
      <c r="AB2506" s="92">
        <v>1.2387132597680383E-2</v>
      </c>
      <c r="AC2506" s="101">
        <v>1.2465144580531273E-2</v>
      </c>
    </row>
    <row r="2507" spans="25:29" x14ac:dyDescent="0.2">
      <c r="Y2507" s="105" t="str">
        <f t="shared" si="72"/>
        <v>1w</v>
      </c>
      <c r="Z2507" s="93">
        <f>_xll.qlCalendarAdvance(Calendar,Z2506,Y2507,"f",FALSE)</f>
        <v>56717</v>
      </c>
      <c r="AA2507" s="117">
        <f>_xll.qlCalendarAdvance(Calendar,Z2507,NDays&amp;"D")</f>
        <v>56719</v>
      </c>
      <c r="AB2507" s="92">
        <v>1.2378083596957001E-2</v>
      </c>
      <c r="AC2507" s="101">
        <v>1.2454628035376558E-2</v>
      </c>
    </row>
    <row r="2508" spans="25:29" x14ac:dyDescent="0.2">
      <c r="Y2508" s="105" t="str">
        <f t="shared" si="72"/>
        <v>1w</v>
      </c>
      <c r="Z2508" s="93">
        <f>_xll.qlCalendarAdvance(Calendar,Z2507,Y2508,"f",FALSE)</f>
        <v>56724</v>
      </c>
      <c r="AA2508" s="117">
        <f>_xll.qlCalendarAdvance(Calendar,Z2508,NDays&amp;"D")</f>
        <v>56726</v>
      </c>
      <c r="AB2508" s="92">
        <v>1.2369028592009178E-2</v>
      </c>
      <c r="AC2508" s="101">
        <v>1.2447422014636444E-2</v>
      </c>
    </row>
    <row r="2509" spans="25:29" x14ac:dyDescent="0.2">
      <c r="Y2509" s="105" t="str">
        <f t="shared" si="72"/>
        <v>1w</v>
      </c>
      <c r="Z2509" s="93">
        <f>_xll.qlCalendarAdvance(Calendar,Z2508,Y2509,"f",FALSE)</f>
        <v>56731</v>
      </c>
      <c r="AA2509" s="117">
        <f>_xll.qlCalendarAdvance(Calendar,Z2509,NDays&amp;"D")</f>
        <v>56733</v>
      </c>
      <c r="AB2509" s="92">
        <v>1.2359968866830155E-2</v>
      </c>
      <c r="AC2509" s="101">
        <v>1.2438509903827111E-2</v>
      </c>
    </row>
    <row r="2510" spans="25:29" x14ac:dyDescent="0.2">
      <c r="Y2510" s="105" t="str">
        <f t="shared" si="72"/>
        <v>1w</v>
      </c>
      <c r="Z2510" s="93">
        <f>_xll.qlCalendarAdvance(Calendar,Z2509,Y2510,"f",FALSE)</f>
        <v>56738</v>
      </c>
      <c r="AA2510" s="117">
        <f>_xll.qlCalendarAdvance(Calendar,Z2510,NDays&amp;"D")</f>
        <v>56740</v>
      </c>
      <c r="AB2510" s="92">
        <v>1.2349596550988063E-2</v>
      </c>
      <c r="AC2510" s="101">
        <v>1.2429563849609693E-2</v>
      </c>
    </row>
    <row r="2511" spans="25:29" x14ac:dyDescent="0.2">
      <c r="Y2511" s="105" t="str">
        <f t="shared" si="72"/>
        <v>1w</v>
      </c>
      <c r="Z2511" s="93">
        <f>_xll.qlCalendarAdvance(Calendar,Z2510,Y2511,"f",FALSE)</f>
        <v>56745</v>
      </c>
      <c r="AA2511" s="117">
        <f>_xll.qlCalendarAdvance(Calendar,Z2511,NDays&amp;"D")</f>
        <v>56747</v>
      </c>
      <c r="AB2511" s="92">
        <v>1.2340530185342298E-2</v>
      </c>
      <c r="AC2511" s="101">
        <v>1.2420583808658847E-2</v>
      </c>
    </row>
    <row r="2512" spans="25:29" x14ac:dyDescent="0.2">
      <c r="Y2512" s="105" t="str">
        <f t="shared" si="72"/>
        <v>1w</v>
      </c>
      <c r="Z2512" s="93">
        <f>_xll.qlCalendarAdvance(Calendar,Z2511,Y2512,"f",FALSE)</f>
        <v>56752</v>
      </c>
      <c r="AA2512" s="117">
        <f>_xll.qlCalendarAdvance(Calendar,Z2512,NDays&amp;"D")</f>
        <v>56754</v>
      </c>
      <c r="AB2512" s="92">
        <v>1.2331462842263774E-2</v>
      </c>
      <c r="AC2512" s="101">
        <v>1.2411584030056488E-2</v>
      </c>
    </row>
    <row r="2513" spans="25:29" x14ac:dyDescent="0.2">
      <c r="Y2513" s="105" t="str">
        <f t="shared" si="72"/>
        <v>1w</v>
      </c>
      <c r="Z2513" s="93">
        <f>_xll.qlCalendarAdvance(Calendar,Z2512,Y2513,"f",FALSE)</f>
        <v>56759</v>
      </c>
      <c r="AA2513" s="117">
        <f>_xll.qlCalendarAdvance(Calendar,Z2513,NDays&amp;"D")</f>
        <v>56761</v>
      </c>
      <c r="AB2513" s="92">
        <v>1.2322394851377852E-2</v>
      </c>
      <c r="AC2513" s="101">
        <v>1.2402583190782579E-2</v>
      </c>
    </row>
    <row r="2514" spans="25:29" x14ac:dyDescent="0.2">
      <c r="Y2514" s="105" t="str">
        <f t="shared" si="72"/>
        <v>1w</v>
      </c>
      <c r="Z2514" s="93">
        <f>_xll.qlCalendarAdvance(Calendar,Z2513,Y2514,"f",FALSE)</f>
        <v>56766</v>
      </c>
      <c r="AA2514" s="117">
        <f>_xll.qlCalendarAdvance(Calendar,Z2514,NDays&amp;"D")</f>
        <v>56768</v>
      </c>
      <c r="AB2514" s="92">
        <v>1.2314639592113416E-2</v>
      </c>
      <c r="AC2514" s="101">
        <v>1.2393581423371103E-2</v>
      </c>
    </row>
    <row r="2515" spans="25:29" x14ac:dyDescent="0.2">
      <c r="Y2515" s="105" t="str">
        <f t="shared" si="72"/>
        <v>1w</v>
      </c>
      <c r="Z2515" s="93">
        <f>_xll.qlCalendarAdvance(Calendar,Z2514,Y2515,"f",FALSE)</f>
        <v>56773</v>
      </c>
      <c r="AA2515" s="117">
        <f>_xll.qlCalendarAdvance(Calendar,Z2515,NDays&amp;"D")</f>
        <v>56775</v>
      </c>
      <c r="AB2515" s="92">
        <v>1.2305571403931417E-2</v>
      </c>
      <c r="AC2515" s="101">
        <v>1.2384578747566266E-2</v>
      </c>
    </row>
    <row r="2516" spans="25:29" x14ac:dyDescent="0.2">
      <c r="Y2516" s="105" t="str">
        <f t="shared" si="72"/>
        <v>1w</v>
      </c>
      <c r="Z2516" s="93">
        <f>_xll.qlCalendarAdvance(Calendar,Z2515,Y2516,"f",FALSE)</f>
        <v>56780</v>
      </c>
      <c r="AA2516" s="117">
        <f>_xll.qlCalendarAdvance(Calendar,Z2516,NDays&amp;"D")</f>
        <v>56782</v>
      </c>
      <c r="AB2516" s="92">
        <v>1.2296502623805874E-2</v>
      </c>
      <c r="AC2516" s="101">
        <v>1.2375575183591891E-2</v>
      </c>
    </row>
    <row r="2517" spans="25:29" x14ac:dyDescent="0.2">
      <c r="Y2517" s="105" t="str">
        <f t="shared" ref="Y2517:Y2580" si="73">Y2516</f>
        <v>1w</v>
      </c>
      <c r="Z2517" s="93">
        <f>_xll.qlCalendarAdvance(Calendar,Z2516,Y2517,"f",FALSE)</f>
        <v>56787</v>
      </c>
      <c r="AA2517" s="117">
        <f>_xll.qlCalendarAdvance(Calendar,Z2517,NDays&amp;"D")</f>
        <v>56789</v>
      </c>
      <c r="AB2517" s="92">
        <v>1.228743327179113E-2</v>
      </c>
      <c r="AC2517" s="101">
        <v>1.2366570751112249E-2</v>
      </c>
    </row>
    <row r="2518" spans="25:29" x14ac:dyDescent="0.2">
      <c r="Y2518" s="105" t="str">
        <f t="shared" si="73"/>
        <v>1w</v>
      </c>
      <c r="Z2518" s="93">
        <f>_xll.qlCalendarAdvance(Calendar,Z2517,Y2518,"f",FALSE)</f>
        <v>56794</v>
      </c>
      <c r="AA2518" s="117">
        <f>_xll.qlCalendarAdvance(Calendar,Z2518,NDays&amp;"D")</f>
        <v>56796</v>
      </c>
      <c r="AB2518" s="92">
        <v>1.227704589099054E-2</v>
      </c>
      <c r="AC2518" s="101">
        <v>1.235756547019129E-2</v>
      </c>
    </row>
    <row r="2519" spans="25:29" x14ac:dyDescent="0.2">
      <c r="Y2519" s="105" t="str">
        <f t="shared" si="73"/>
        <v>1w</v>
      </c>
      <c r="Z2519" s="93">
        <f>_xll.qlCalendarAdvance(Calendar,Z2518,Y2519,"f",FALSE)</f>
        <v>56801</v>
      </c>
      <c r="AA2519" s="117">
        <f>_xll.qlCalendarAdvance(Calendar,Z2519,NDays&amp;"D")</f>
        <v>56803</v>
      </c>
      <c r="AB2519" s="92">
        <v>1.2267974438121229E-2</v>
      </c>
      <c r="AC2519" s="101">
        <v>1.2348559360653155E-2</v>
      </c>
    </row>
    <row r="2520" spans="25:29" x14ac:dyDescent="0.2">
      <c r="Y2520" s="105" t="str">
        <f t="shared" si="73"/>
        <v>1w</v>
      </c>
      <c r="Z2520" s="93">
        <f>_xll.qlCalendarAdvance(Calendar,Z2519,Y2520,"f",FALSE)</f>
        <v>56808</v>
      </c>
      <c r="AA2520" s="117">
        <f>_xll.qlCalendarAdvance(Calendar,Z2520,NDays&amp;"D")</f>
        <v>56810</v>
      </c>
      <c r="AB2520" s="92">
        <v>1.2258902478452587E-2</v>
      </c>
      <c r="AC2520" s="101">
        <v>1.2339552442401924E-2</v>
      </c>
    </row>
    <row r="2521" spans="25:29" x14ac:dyDescent="0.2">
      <c r="Y2521" s="105" t="str">
        <f t="shared" si="73"/>
        <v>1w</v>
      </c>
      <c r="Z2521" s="93">
        <f>_xll.qlCalendarAdvance(Calendar,Z2520,Y2521,"f",FALSE)</f>
        <v>56815</v>
      </c>
      <c r="AA2521" s="117">
        <f>_xll.qlCalendarAdvance(Calendar,Z2521,NDays&amp;"D")</f>
        <v>56817</v>
      </c>
      <c r="AB2521" s="92">
        <v>1.2249830032040393E-2</v>
      </c>
      <c r="AC2521" s="101">
        <v>1.2330544735581483E-2</v>
      </c>
    </row>
    <row r="2522" spans="25:29" x14ac:dyDescent="0.2">
      <c r="Y2522" s="105" t="str">
        <f t="shared" si="73"/>
        <v>1w</v>
      </c>
      <c r="Z2522" s="93">
        <f>_xll.qlCalendarAdvance(Calendar,Z2521,Y2522,"f",FALSE)</f>
        <v>56822</v>
      </c>
      <c r="AA2522" s="117">
        <f>_xll.qlCalendarAdvance(Calendar,Z2522,NDays&amp;"D")</f>
        <v>56824</v>
      </c>
      <c r="AB2522" s="92">
        <v>1.2240757118939148E-2</v>
      </c>
      <c r="AC2522" s="101">
        <v>1.2321536259856103E-2</v>
      </c>
    </row>
    <row r="2523" spans="25:29" x14ac:dyDescent="0.2">
      <c r="Y2523" s="105" t="str">
        <f t="shared" si="73"/>
        <v>1w</v>
      </c>
      <c r="Z2523" s="93">
        <f>_xll.qlCalendarAdvance(Calendar,Z2522,Y2523,"f",FALSE)</f>
        <v>56829</v>
      </c>
      <c r="AA2523" s="117">
        <f>_xll.qlCalendarAdvance(Calendar,Z2523,NDays&amp;"D")</f>
        <v>56831</v>
      </c>
      <c r="AB2523" s="92">
        <v>1.2231683759205064E-2</v>
      </c>
      <c r="AC2523" s="101">
        <v>1.2312527035209797E-2</v>
      </c>
    </row>
    <row r="2524" spans="25:29" x14ac:dyDescent="0.2">
      <c r="Y2524" s="105" t="str">
        <f t="shared" si="73"/>
        <v>1w</v>
      </c>
      <c r="Z2524" s="93">
        <f>_xll.qlCalendarAdvance(Calendar,Z2523,Y2524,"f",FALSE)</f>
        <v>56836</v>
      </c>
      <c r="AA2524" s="117">
        <f>_xll.qlCalendarAdvance(Calendar,Z2524,NDays&amp;"D")</f>
        <v>56838</v>
      </c>
      <c r="AB2524" s="92">
        <v>1.2222609972891348E-2</v>
      </c>
      <c r="AC2524" s="101">
        <v>1.2303517081706516E-2</v>
      </c>
    </row>
    <row r="2525" spans="25:29" x14ac:dyDescent="0.2">
      <c r="Y2525" s="105" t="str">
        <f t="shared" si="73"/>
        <v>1w</v>
      </c>
      <c r="Z2525" s="93">
        <f>_xll.qlCalendarAdvance(Calendar,Z2524,Y2525,"f",FALSE)</f>
        <v>56843</v>
      </c>
      <c r="AA2525" s="117">
        <f>_xll.qlCalendarAdvance(Calendar,Z2525,NDays&amp;"D")</f>
        <v>56845</v>
      </c>
      <c r="AB2525" s="92">
        <v>1.2213535780052066E-2</v>
      </c>
      <c r="AC2525" s="101">
        <v>1.2294506419170403E-2</v>
      </c>
    </row>
    <row r="2526" spans="25:29" x14ac:dyDescent="0.2">
      <c r="Y2526" s="105" t="str">
        <f t="shared" si="73"/>
        <v>1w</v>
      </c>
      <c r="Z2526" s="93">
        <f>_xll.qlCalendarAdvance(Calendar,Z2525,Y2526,"f",FALSE)</f>
        <v>56850</v>
      </c>
      <c r="AA2526" s="117">
        <f>_xll.qlCalendarAdvance(Calendar,Z2526,NDays&amp;"D")</f>
        <v>56852</v>
      </c>
      <c r="AB2526" s="92">
        <v>1.2204461200740854E-2</v>
      </c>
      <c r="AC2526" s="101">
        <v>1.22854950674256E-2</v>
      </c>
    </row>
    <row r="2527" spans="25:29" x14ac:dyDescent="0.2">
      <c r="Y2527" s="105" t="str">
        <f t="shared" si="73"/>
        <v>1w</v>
      </c>
      <c r="Z2527" s="93">
        <f>_xll.qlCalendarAdvance(Calendar,Z2526,Y2527,"f",FALSE)</f>
        <v>56857</v>
      </c>
      <c r="AA2527" s="117">
        <f>_xll.qlCalendarAdvance(Calendar,Z2527,NDays&amp;"D")</f>
        <v>56859</v>
      </c>
      <c r="AB2527" s="92">
        <v>1.2197154779713363E-2</v>
      </c>
      <c r="AC2527" s="101">
        <v>1.2276483046536057E-2</v>
      </c>
    </row>
    <row r="2528" spans="25:29" x14ac:dyDescent="0.2">
      <c r="Y2528" s="105" t="str">
        <f t="shared" si="73"/>
        <v>1w</v>
      </c>
      <c r="Z2528" s="93">
        <f>_xll.qlCalendarAdvance(Calendar,Z2527,Y2528,"f",FALSE)</f>
        <v>56864</v>
      </c>
      <c r="AA2528" s="117">
        <f>_xll.qlCalendarAdvance(Calendar,Z2528,NDays&amp;"D")</f>
        <v>56866</v>
      </c>
      <c r="AB2528" s="92">
        <v>1.2188080785033764E-2</v>
      </c>
      <c r="AC2528" s="101">
        <v>1.2267470376325917E-2</v>
      </c>
    </row>
    <row r="2529" spans="25:29" x14ac:dyDescent="0.2">
      <c r="Y2529" s="105" t="str">
        <f t="shared" si="73"/>
        <v>1w</v>
      </c>
      <c r="Z2529" s="93">
        <f>_xll.qlCalendarAdvance(Calendar,Z2528,Y2529,"f",FALSE)</f>
        <v>56871</v>
      </c>
      <c r="AA2529" s="117">
        <f>_xll.qlCalendarAdvance(Calendar,Z2529,NDays&amp;"D")</f>
        <v>56873</v>
      </c>
      <c r="AB2529" s="92">
        <v>1.2179006457448594E-2</v>
      </c>
      <c r="AC2529" s="101">
        <v>1.2258457076779194E-2</v>
      </c>
    </row>
    <row r="2530" spans="25:29" x14ac:dyDescent="0.2">
      <c r="Y2530" s="105" t="str">
        <f t="shared" si="73"/>
        <v>1w</v>
      </c>
      <c r="Z2530" s="93">
        <f>_xll.qlCalendarAdvance(Calendar,Z2529,Y2530,"f",FALSE)</f>
        <v>56878</v>
      </c>
      <c r="AA2530" s="117">
        <f>_xll.qlCalendarAdvance(Calendar,Z2530,NDays&amp;"D")</f>
        <v>56880</v>
      </c>
      <c r="AB2530" s="92">
        <v>1.2169931817006431E-2</v>
      </c>
      <c r="AC2530" s="101">
        <v>1.2249443167959839E-2</v>
      </c>
    </row>
    <row r="2531" spans="25:29" x14ac:dyDescent="0.2">
      <c r="Y2531" s="105" t="str">
        <f t="shared" si="73"/>
        <v>1w</v>
      </c>
      <c r="Z2531" s="93">
        <f>_xll.qlCalendarAdvance(Calendar,Z2530,Y2531,"f",FALSE)</f>
        <v>56885</v>
      </c>
      <c r="AA2531" s="117">
        <f>_xll.qlCalendarAdvance(Calendar,Z2531,NDays&amp;"D")</f>
        <v>56887</v>
      </c>
      <c r="AB2531" s="92">
        <v>1.216085688375761E-2</v>
      </c>
      <c r="AC2531" s="101">
        <v>1.2240428669532122E-2</v>
      </c>
    </row>
    <row r="2532" spans="25:29" x14ac:dyDescent="0.2">
      <c r="Y2532" s="105" t="str">
        <f t="shared" si="73"/>
        <v>1w</v>
      </c>
      <c r="Z2532" s="93">
        <f>_xll.qlCalendarAdvance(Calendar,Z2531,Y2532,"f",FALSE)</f>
        <v>56892</v>
      </c>
      <c r="AA2532" s="117">
        <f>_xll.qlCalendarAdvance(Calendar,Z2532,NDays&amp;"D")</f>
        <v>56894</v>
      </c>
      <c r="AB2532" s="92">
        <v>1.2151338001170395E-2</v>
      </c>
      <c r="AC2532" s="101">
        <v>1.2231413601480057E-2</v>
      </c>
    </row>
    <row r="2533" spans="25:29" x14ac:dyDescent="0.2">
      <c r="Y2533" s="105" t="str">
        <f t="shared" si="73"/>
        <v>1w</v>
      </c>
      <c r="Z2533" s="93">
        <f>_xll.qlCalendarAdvance(Calendar,Z2532,Y2533,"f",FALSE)</f>
        <v>56899</v>
      </c>
      <c r="AA2533" s="117">
        <f>_xll.qlCalendarAdvance(Calendar,Z2533,NDays&amp;"D")</f>
        <v>56901</v>
      </c>
      <c r="AB2533" s="92">
        <v>1.2142262226109073E-2</v>
      </c>
      <c r="AC2533" s="101">
        <v>1.2222397983787658E-2</v>
      </c>
    </row>
    <row r="2534" spans="25:29" x14ac:dyDescent="0.2">
      <c r="Y2534" s="105" t="str">
        <f t="shared" si="73"/>
        <v>1w</v>
      </c>
      <c r="Z2534" s="93">
        <f>_xll.qlCalendarAdvance(Calendar,Z2533,Y2534,"f",FALSE)</f>
        <v>56906</v>
      </c>
      <c r="AA2534" s="117">
        <f>_xll.qlCalendarAdvance(Calendar,Z2534,NDays&amp;"D")</f>
        <v>56908</v>
      </c>
      <c r="AB2534" s="92">
        <v>1.2133186220037352E-2</v>
      </c>
      <c r="AC2534" s="101">
        <v>1.2213381836438941E-2</v>
      </c>
    </row>
    <row r="2535" spans="25:29" x14ac:dyDescent="0.2">
      <c r="Y2535" s="105" t="str">
        <f t="shared" si="73"/>
        <v>1w</v>
      </c>
      <c r="Z2535" s="93">
        <f>_xll.qlCalendarAdvance(Calendar,Z2534,Y2535,"f",FALSE)</f>
        <v>56913</v>
      </c>
      <c r="AA2535" s="117">
        <f>_xll.qlCalendarAdvance(Calendar,Z2535,NDays&amp;"D")</f>
        <v>56915</v>
      </c>
      <c r="AB2535" s="92">
        <v>1.2124110003002578E-2</v>
      </c>
      <c r="AC2535" s="101">
        <v>1.2204365179258048E-2</v>
      </c>
    </row>
    <row r="2536" spans="25:29" x14ac:dyDescent="0.2">
      <c r="Y2536" s="105" t="str">
        <f t="shared" si="73"/>
        <v>1w</v>
      </c>
      <c r="Z2536" s="93">
        <f>_xll.qlCalendarAdvance(Calendar,Z2535,Y2536,"f",FALSE)</f>
        <v>56920</v>
      </c>
      <c r="AA2536" s="117">
        <f>_xll.qlCalendarAdvance(Calendar,Z2536,NDays&amp;"D")</f>
        <v>56922</v>
      </c>
      <c r="AB2536" s="92">
        <v>1.2115478527087957E-2</v>
      </c>
      <c r="AC2536" s="101">
        <v>1.2195348032228992E-2</v>
      </c>
    </row>
    <row r="2537" spans="25:29" x14ac:dyDescent="0.2">
      <c r="Y2537" s="105" t="str">
        <f t="shared" si="73"/>
        <v>1w</v>
      </c>
      <c r="Z2537" s="93">
        <f>_xll.qlCalendarAdvance(Calendar,Z2536,Y2537,"f",FALSE)</f>
        <v>56927</v>
      </c>
      <c r="AA2537" s="117">
        <f>_xll.qlCalendarAdvance(Calendar,Z2537,NDays&amp;"D")</f>
        <v>56929</v>
      </c>
      <c r="AB2537" s="92">
        <v>1.2106402258003079E-2</v>
      </c>
      <c r="AC2537" s="101">
        <v>1.2186330415095981E-2</v>
      </c>
    </row>
    <row r="2538" spans="25:29" x14ac:dyDescent="0.2">
      <c r="Y2538" s="105" t="str">
        <f t="shared" si="73"/>
        <v>1w</v>
      </c>
      <c r="Z2538" s="93">
        <f>_xll.qlCalendarAdvance(Calendar,Z2537,Y2538,"f",FALSE)</f>
        <v>56934</v>
      </c>
      <c r="AA2538" s="117">
        <f>_xll.qlCalendarAdvance(Calendar,Z2538,NDays&amp;"D")</f>
        <v>56936</v>
      </c>
      <c r="AB2538" s="92">
        <v>1.2097325836444564E-2</v>
      </c>
      <c r="AC2538" s="101">
        <v>1.2177312347922964E-2</v>
      </c>
    </row>
    <row r="2539" spans="25:29" x14ac:dyDescent="0.2">
      <c r="Y2539" s="105" t="str">
        <f t="shared" si="73"/>
        <v>1w</v>
      </c>
      <c r="Z2539" s="93">
        <f>_xll.qlCalendarAdvance(Calendar,Z2538,Y2539,"f",FALSE)</f>
        <v>56941</v>
      </c>
      <c r="AA2539" s="117">
        <f>_xll.qlCalendarAdvance(Calendar,Z2539,NDays&amp;"D")</f>
        <v>56943</v>
      </c>
      <c r="AB2539" s="92">
        <v>1.2088249282458352E-2</v>
      </c>
      <c r="AC2539" s="101">
        <v>1.2168293850853829E-2</v>
      </c>
    </row>
    <row r="2540" spans="25:29" x14ac:dyDescent="0.2">
      <c r="Y2540" s="105" t="str">
        <f t="shared" si="73"/>
        <v>1w</v>
      </c>
      <c r="Z2540" s="93">
        <f>_xll.qlCalendarAdvance(Calendar,Z2539,Y2540,"f",FALSE)</f>
        <v>56948</v>
      </c>
      <c r="AA2540" s="117">
        <f>_xll.qlCalendarAdvance(Calendar,Z2540,NDays&amp;"D")</f>
        <v>56950</v>
      </c>
      <c r="AB2540" s="92">
        <v>1.2078726455056431E-2</v>
      </c>
      <c r="AC2540" s="101">
        <v>1.2159274943313036E-2</v>
      </c>
    </row>
    <row r="2541" spans="25:29" x14ac:dyDescent="0.2">
      <c r="Y2541" s="105" t="str">
        <f t="shared" si="73"/>
        <v>1w</v>
      </c>
      <c r="Z2541" s="93">
        <f>_xll.qlCalendarAdvance(Calendar,Z2540,Y2541,"f",FALSE)</f>
        <v>56955</v>
      </c>
      <c r="AA2541" s="117">
        <f>_xll.qlCalendarAdvance(Calendar,Z2541,NDays&amp;"D")</f>
        <v>56957</v>
      </c>
      <c r="AB2541" s="92">
        <v>1.2069649393240801E-2</v>
      </c>
      <c r="AC2541" s="101">
        <v>1.2150255645764219E-2</v>
      </c>
    </row>
    <row r="2542" spans="25:29" x14ac:dyDescent="0.2">
      <c r="Y2542" s="105" t="str">
        <f t="shared" si="73"/>
        <v>1w</v>
      </c>
      <c r="Z2542" s="93">
        <f>_xll.qlCalendarAdvance(Calendar,Z2541,Y2542,"f",FALSE)</f>
        <v>56962</v>
      </c>
      <c r="AA2542" s="117">
        <f>_xll.qlCalendarAdvance(Calendar,Z2542,NDays&amp;"D")</f>
        <v>56964</v>
      </c>
      <c r="AB2542" s="92">
        <v>1.2060572260790525E-2</v>
      </c>
      <c r="AC2542" s="101">
        <v>1.2141235977631837E-2</v>
      </c>
    </row>
    <row r="2543" spans="25:29" x14ac:dyDescent="0.2">
      <c r="Y2543" s="105" t="str">
        <f t="shared" si="73"/>
        <v>1w</v>
      </c>
      <c r="Z2543" s="93">
        <f>_xll.qlCalendarAdvance(Calendar,Z2542,Y2543,"f",FALSE)</f>
        <v>56969</v>
      </c>
      <c r="AA2543" s="117">
        <f>_xll.qlCalendarAdvance(Calendar,Z2543,NDays&amp;"D")</f>
        <v>56971</v>
      </c>
      <c r="AB2543" s="92">
        <v>1.2051495077751209E-2</v>
      </c>
      <c r="AC2543" s="101">
        <v>1.213221595921965E-2</v>
      </c>
    </row>
    <row r="2544" spans="25:29" x14ac:dyDescent="0.2">
      <c r="Y2544" s="105" t="str">
        <f t="shared" si="73"/>
        <v>1w</v>
      </c>
      <c r="Z2544" s="93">
        <f>_xll.qlCalendarAdvance(Calendar,Z2543,Y2544,"f",FALSE)</f>
        <v>56976</v>
      </c>
      <c r="AA2544" s="117">
        <f>_xll.qlCalendarAdvance(Calendar,Z2544,NDays&amp;"D")</f>
        <v>56978</v>
      </c>
      <c r="AB2544" s="92">
        <v>1.2042417864167581E-2</v>
      </c>
      <c r="AC2544" s="101">
        <v>1.2123195610271864E-2</v>
      </c>
    </row>
    <row r="2545" spans="25:29" x14ac:dyDescent="0.2">
      <c r="Y2545" s="105" t="str">
        <f t="shared" si="73"/>
        <v>1w</v>
      </c>
      <c r="Z2545" s="93">
        <f>_xll.qlCalendarAdvance(Calendar,Z2544,Y2545,"f",FALSE)</f>
        <v>56983</v>
      </c>
      <c r="AA2545" s="117">
        <f>_xll.qlCalendarAdvance(Calendar,Z2545,NDays&amp;"D")</f>
        <v>56985</v>
      </c>
      <c r="AB2545" s="92">
        <v>1.2033788300097591E-2</v>
      </c>
      <c r="AC2545" s="101">
        <v>1.2114174950772494E-2</v>
      </c>
    </row>
    <row r="2546" spans="25:29" x14ac:dyDescent="0.2">
      <c r="Y2546" s="105" t="str">
        <f t="shared" si="73"/>
        <v>1w</v>
      </c>
      <c r="Z2546" s="93">
        <f>_xll.qlCalendarAdvance(Calendar,Z2545,Y2546,"f",FALSE)</f>
        <v>56990</v>
      </c>
      <c r="AA2546" s="117">
        <f>_xll.qlCalendarAdvance(Calendar,Z2546,NDays&amp;"D")</f>
        <v>56992</v>
      </c>
      <c r="AB2546" s="92">
        <v>1.2024711380379759E-2</v>
      </c>
      <c r="AC2546" s="101">
        <v>1.2105154000545681E-2</v>
      </c>
    </row>
    <row r="2547" spans="25:29" x14ac:dyDescent="0.2">
      <c r="Y2547" s="105" t="str">
        <f t="shared" si="73"/>
        <v>1w</v>
      </c>
      <c r="Z2547" s="93">
        <f>_xll.qlCalendarAdvance(Calendar,Z2546,Y2547,"f",FALSE)</f>
        <v>56997</v>
      </c>
      <c r="AA2547" s="117">
        <f>_xll.qlCalendarAdvance(Calendar,Z2547,NDays&amp;"D")</f>
        <v>56999</v>
      </c>
      <c r="AB2547" s="92">
        <v>1.2015634488590795E-2</v>
      </c>
      <c r="AC2547" s="101">
        <v>1.2096132779575441E-2</v>
      </c>
    </row>
    <row r="2548" spans="25:29" x14ac:dyDescent="0.2">
      <c r="Y2548" s="105" t="str">
        <f t="shared" si="73"/>
        <v>1w</v>
      </c>
      <c r="Z2548" s="93">
        <f>_xll.qlCalendarAdvance(Calendar,Z2547,Y2548,"f",FALSE)</f>
        <v>57004</v>
      </c>
      <c r="AA2548" s="117">
        <f>_xll.qlCalendarAdvance(Calendar,Z2548,NDays&amp;"D")</f>
        <v>57006</v>
      </c>
      <c r="AB2548" s="92">
        <v>1.2006557644772249E-2</v>
      </c>
      <c r="AC2548" s="101">
        <v>1.2087111307765852E-2</v>
      </c>
    </row>
    <row r="2549" spans="25:29" x14ac:dyDescent="0.2">
      <c r="Y2549" s="105" t="str">
        <f t="shared" si="73"/>
        <v>1w</v>
      </c>
      <c r="Z2549" s="93">
        <f>_xll.qlCalendarAdvance(Calendar,Z2548,Y2549,"f",FALSE)</f>
        <v>57011</v>
      </c>
      <c r="AA2549" s="117">
        <f>_xll.qlCalendarAdvance(Calendar,Z2549,NDays&amp;"D")</f>
        <v>57013</v>
      </c>
      <c r="AB2549" s="92">
        <v>1.1997480868968749E-2</v>
      </c>
      <c r="AC2549" s="101">
        <v>1.2078089605100928E-2</v>
      </c>
    </row>
    <row r="2550" spans="25:29" x14ac:dyDescent="0.2">
      <c r="Y2550" s="105" t="str">
        <f t="shared" si="73"/>
        <v>1w</v>
      </c>
      <c r="Z2550" s="93">
        <f>_xll.qlCalendarAdvance(Calendar,Z2549,Y2550,"f",FALSE)</f>
        <v>57018</v>
      </c>
      <c r="AA2550" s="117">
        <f>_xll.qlCalendarAdvance(Calendar,Z2550,NDays&amp;"D")</f>
        <v>57020</v>
      </c>
      <c r="AB2550" s="92">
        <v>1.1988404181220963E-2</v>
      </c>
      <c r="AC2550" s="101">
        <v>1.2069067691564683E-2</v>
      </c>
    </row>
    <row r="2551" spans="25:29" x14ac:dyDescent="0.2">
      <c r="Y2551" s="105" t="str">
        <f t="shared" si="73"/>
        <v>1w</v>
      </c>
      <c r="Z2551" s="93">
        <f>_xll.qlCalendarAdvance(Calendar,Z2550,Y2551,"f",FALSE)</f>
        <v>57025</v>
      </c>
      <c r="AA2551" s="117">
        <f>_xll.qlCalendarAdvance(Calendar,Z2551,NDays&amp;"D")</f>
        <v>57027</v>
      </c>
      <c r="AB2551" s="92">
        <v>1.1979327601571325E-2</v>
      </c>
      <c r="AC2551" s="101">
        <v>1.2060045586901325E-2</v>
      </c>
    </row>
    <row r="2552" spans="25:29" x14ac:dyDescent="0.2">
      <c r="Y2552" s="105" t="str">
        <f t="shared" si="73"/>
        <v>1w</v>
      </c>
      <c r="Z2552" s="93">
        <f>_xll.qlCalendarAdvance(Calendar,Z2551,Y2552,"f",FALSE)</f>
        <v>57032</v>
      </c>
      <c r="AA2552" s="117">
        <f>_xll.qlCalendarAdvance(Calendar,Z2552,NDays&amp;"D")</f>
        <v>57034</v>
      </c>
      <c r="AB2552" s="92">
        <v>1.1970251150061383E-2</v>
      </c>
      <c r="AC2552" s="101">
        <v>1.2051023311094866E-2</v>
      </c>
    </row>
    <row r="2553" spans="25:29" x14ac:dyDescent="0.2">
      <c r="Y2553" s="105" t="str">
        <f t="shared" si="73"/>
        <v>1w</v>
      </c>
      <c r="Z2553" s="93">
        <f>_xll.qlCalendarAdvance(Calendar,Z2552,Y2553,"f",FALSE)</f>
        <v>57039</v>
      </c>
      <c r="AA2553" s="117">
        <f>_xll.qlCalendarAdvance(Calendar,Z2553,NDays&amp;"D")</f>
        <v>57041</v>
      </c>
      <c r="AB2553" s="92">
        <v>1.1959374739020196E-2</v>
      </c>
      <c r="AC2553" s="101">
        <v>1.2042000884129322E-2</v>
      </c>
    </row>
    <row r="2554" spans="25:29" x14ac:dyDescent="0.2">
      <c r="Y2554" s="105" t="str">
        <f t="shared" si="73"/>
        <v>1w</v>
      </c>
      <c r="Z2554" s="93">
        <f>_xll.qlCalendarAdvance(Calendar,Z2553,Y2554,"f",FALSE)</f>
        <v>57046</v>
      </c>
      <c r="AA2554" s="117">
        <f>_xll.qlCalendarAdvance(Calendar,Z2554,NDays&amp;"D")</f>
        <v>57048</v>
      </c>
      <c r="AB2554" s="92">
        <v>1.1950297478784684E-2</v>
      </c>
      <c r="AC2554" s="101">
        <v>1.2032978325908772E-2</v>
      </c>
    </row>
    <row r="2555" spans="25:29" x14ac:dyDescent="0.2">
      <c r="Y2555" s="105" t="str">
        <f t="shared" si="73"/>
        <v>1w</v>
      </c>
      <c r="Z2555" s="93">
        <f>_xll.qlCalendarAdvance(Calendar,Z2554,Y2555,"f",FALSE)</f>
        <v>57053</v>
      </c>
      <c r="AA2555" s="117">
        <f>_xll.qlCalendarAdvance(Calendar,Z2555,NDays&amp;"D")</f>
        <v>57055</v>
      </c>
      <c r="AB2555" s="92">
        <v>1.1941220413471532E-2</v>
      </c>
      <c r="AC2555" s="101">
        <v>1.2023955656177421E-2</v>
      </c>
    </row>
    <row r="2556" spans="25:29" x14ac:dyDescent="0.2">
      <c r="Y2556" s="105" t="str">
        <f t="shared" si="73"/>
        <v>1w</v>
      </c>
      <c r="Z2556" s="93">
        <f>_xll.qlCalendarAdvance(Calendar,Z2555,Y2556,"f",FALSE)</f>
        <v>57060</v>
      </c>
      <c r="AA2556" s="117">
        <f>_xll.qlCalendarAdvance(Calendar,Z2556,NDays&amp;"D")</f>
        <v>57062</v>
      </c>
      <c r="AB2556" s="92">
        <v>1.1932143563123629E-2</v>
      </c>
      <c r="AC2556" s="101">
        <v>1.2014932895239028E-2</v>
      </c>
    </row>
    <row r="2557" spans="25:29" x14ac:dyDescent="0.2">
      <c r="Y2557" s="105" t="str">
        <f t="shared" si="73"/>
        <v>1w</v>
      </c>
      <c r="Z2557" s="93">
        <f>_xll.qlCalendarAdvance(Calendar,Z2556,Y2557,"f",FALSE)</f>
        <v>57067</v>
      </c>
      <c r="AA2557" s="117">
        <f>_xll.qlCalendarAdvance(Calendar,Z2557,NDays&amp;"D")</f>
        <v>57069</v>
      </c>
      <c r="AB2557" s="92">
        <v>1.1924420427874834E-2</v>
      </c>
      <c r="AC2557" s="101">
        <v>1.2004132570172743E-2</v>
      </c>
    </row>
    <row r="2558" spans="25:29" x14ac:dyDescent="0.2">
      <c r="Y2558" s="105" t="str">
        <f t="shared" si="73"/>
        <v>1w</v>
      </c>
      <c r="Z2558" s="93">
        <f>_xll.qlCalendarAdvance(Calendar,Z2557,Y2558,"f",FALSE)</f>
        <v>57074</v>
      </c>
      <c r="AA2558" s="117">
        <f>_xll.qlCalendarAdvance(Calendar,Z2558,NDays&amp;"D")</f>
        <v>57076</v>
      </c>
      <c r="AB2558" s="92">
        <v>1.1915344891193757E-2</v>
      </c>
      <c r="AC2558" s="101">
        <v>1.1996887178398197E-2</v>
      </c>
    </row>
    <row r="2559" spans="25:29" x14ac:dyDescent="0.2">
      <c r="Y2559" s="105" t="str">
        <f t="shared" si="73"/>
        <v>1w</v>
      </c>
      <c r="Z2559" s="93">
        <f>_xll.qlCalendarAdvance(Calendar,Z2558,Y2559,"f",FALSE)</f>
        <v>57081</v>
      </c>
      <c r="AA2559" s="117">
        <f>_xll.qlCalendarAdvance(Calendar,Z2559,NDays&amp;"D")</f>
        <v>57083</v>
      </c>
      <c r="AB2559" s="92">
        <v>1.1906269624600022E-2</v>
      </c>
      <c r="AC2559" s="101">
        <v>1.198786426262366E-2</v>
      </c>
    </row>
    <row r="2560" spans="25:29" x14ac:dyDescent="0.2">
      <c r="Y2560" s="105" t="str">
        <f t="shared" si="73"/>
        <v>1w</v>
      </c>
      <c r="Z2560" s="93">
        <f>_xll.qlCalendarAdvance(Calendar,Z2559,Y2560,"f",FALSE)</f>
        <v>57088</v>
      </c>
      <c r="AA2560" s="117">
        <f>_xll.qlCalendarAdvance(Calendar,Z2560,NDays&amp;"D")</f>
        <v>57090</v>
      </c>
      <c r="AB2560" s="92">
        <v>1.1897194648131805E-2</v>
      </c>
      <c r="AC2560" s="101">
        <v>1.1978841335018586E-2</v>
      </c>
    </row>
    <row r="2561" spans="25:29" x14ac:dyDescent="0.2">
      <c r="Y2561" s="105" t="str">
        <f t="shared" si="73"/>
        <v>1w</v>
      </c>
      <c r="Z2561" s="93">
        <f>_xll.qlCalendarAdvance(Calendar,Z2560,Y2561,"f",FALSE)</f>
        <v>57095</v>
      </c>
      <c r="AA2561" s="117">
        <f>_xll.qlCalendarAdvance(Calendar,Z2561,NDays&amp;"D")</f>
        <v>57097</v>
      </c>
      <c r="AB2561" s="92">
        <v>1.1888119981829034E-2</v>
      </c>
      <c r="AC2561" s="101">
        <v>1.1969818415726863E-2</v>
      </c>
    </row>
    <row r="2562" spans="25:29" x14ac:dyDescent="0.2">
      <c r="Y2562" s="105" t="str">
        <f t="shared" si="73"/>
        <v>1w</v>
      </c>
      <c r="Z2562" s="93">
        <f>_xll.qlCalendarAdvance(Calendar,Z2561,Y2562,"f",FALSE)</f>
        <v>57102</v>
      </c>
      <c r="AA2562" s="117">
        <f>_xll.qlCalendarAdvance(Calendar,Z2562,NDays&amp;"D")</f>
        <v>57104</v>
      </c>
      <c r="AB2562" s="92">
        <v>1.1877688097637069E-2</v>
      </c>
      <c r="AC2562" s="101">
        <v>1.1960795524332823E-2</v>
      </c>
    </row>
    <row r="2563" spans="25:29" x14ac:dyDescent="0.2">
      <c r="Y2563" s="105" t="str">
        <f t="shared" si="73"/>
        <v>1w</v>
      </c>
      <c r="Z2563" s="93">
        <f>_xll.qlCalendarAdvance(Calendar,Z2562,Y2563,"f",FALSE)</f>
        <v>57109</v>
      </c>
      <c r="AA2563" s="117">
        <f>_xll.qlCalendarAdvance(Calendar,Z2563,NDays&amp;"D")</f>
        <v>57111</v>
      </c>
      <c r="AB2563" s="92">
        <v>1.1868613313203918E-2</v>
      </c>
      <c r="AC2563" s="101">
        <v>1.1951772681140227E-2</v>
      </c>
    </row>
    <row r="2564" spans="25:29" x14ac:dyDescent="0.2">
      <c r="Y2564" s="105" t="str">
        <f t="shared" si="73"/>
        <v>1w</v>
      </c>
      <c r="Z2564" s="93">
        <f>_xll.qlCalendarAdvance(Calendar,Z2563,Y2564,"f",FALSE)</f>
        <v>57116</v>
      </c>
      <c r="AA2564" s="117">
        <f>_xll.qlCalendarAdvance(Calendar,Z2564,NDays&amp;"D")</f>
        <v>57118</v>
      </c>
      <c r="AB2564" s="92">
        <v>1.1859538904061962E-2</v>
      </c>
      <c r="AC2564" s="101">
        <v>1.1942749905733407E-2</v>
      </c>
    </row>
    <row r="2565" spans="25:29" x14ac:dyDescent="0.2">
      <c r="Y2565" s="105" t="str">
        <f t="shared" si="73"/>
        <v>1w</v>
      </c>
      <c r="Z2565" s="93">
        <f>_xll.qlCalendarAdvance(Calendar,Z2564,Y2565,"f",FALSE)</f>
        <v>57123</v>
      </c>
      <c r="AA2565" s="117">
        <f>_xll.qlCalendarAdvance(Calendar,Z2565,NDays&amp;"D")</f>
        <v>57125</v>
      </c>
      <c r="AB2565" s="92">
        <v>1.1850464890251084E-2</v>
      </c>
      <c r="AC2565" s="101">
        <v>1.1933727218416124E-2</v>
      </c>
    </row>
    <row r="2566" spans="25:29" x14ac:dyDescent="0.2">
      <c r="Y2566" s="105" t="str">
        <f t="shared" si="73"/>
        <v>1w</v>
      </c>
      <c r="Z2566" s="93">
        <f>_xll.qlCalendarAdvance(Calendar,Z2565,Y2566,"f",FALSE)</f>
        <v>57130</v>
      </c>
      <c r="AA2566" s="117">
        <f>_xll.qlCalendarAdvance(Calendar,Z2566,NDays&amp;"D")</f>
        <v>57132</v>
      </c>
      <c r="AB2566" s="92">
        <v>1.184275200412001E-2</v>
      </c>
      <c r="AC2566" s="101">
        <v>1.1924704638852646E-2</v>
      </c>
    </row>
    <row r="2567" spans="25:29" x14ac:dyDescent="0.2">
      <c r="Y2567" s="105" t="str">
        <f t="shared" si="73"/>
        <v>1w</v>
      </c>
      <c r="Z2567" s="93">
        <f>_xll.qlCalendarAdvance(Calendar,Z2566,Y2567,"f",FALSE)</f>
        <v>57137</v>
      </c>
      <c r="AA2567" s="117">
        <f>_xll.qlCalendarAdvance(Calendar,Z2567,NDays&amp;"D")</f>
        <v>57139</v>
      </c>
      <c r="AB2567" s="92">
        <v>1.1833679619599432E-2</v>
      </c>
      <c r="AC2567" s="101">
        <v>1.191568218678718E-2</v>
      </c>
    </row>
    <row r="2568" spans="25:29" x14ac:dyDescent="0.2">
      <c r="Y2568" s="105" t="str">
        <f t="shared" si="73"/>
        <v>1w</v>
      </c>
      <c r="Z2568" s="93">
        <f>_xll.qlCalendarAdvance(Calendar,Z2567,Y2568,"f",FALSE)</f>
        <v>57144</v>
      </c>
      <c r="AA2568" s="117">
        <f>_xll.qlCalendarAdvance(Calendar,Z2568,NDays&amp;"D")</f>
        <v>57146</v>
      </c>
      <c r="AB2568" s="92">
        <v>1.1824607685505438E-2</v>
      </c>
      <c r="AC2568" s="101">
        <v>1.1906659882523485E-2</v>
      </c>
    </row>
    <row r="2569" spans="25:29" x14ac:dyDescent="0.2">
      <c r="Y2569" s="105" t="str">
        <f t="shared" si="73"/>
        <v>1w</v>
      </c>
      <c r="Z2569" s="93">
        <f>_xll.qlCalendarAdvance(Calendar,Z2568,Y2569,"f",FALSE)</f>
        <v>57151</v>
      </c>
      <c r="AA2569" s="117">
        <f>_xll.qlCalendarAdvance(Calendar,Z2569,NDays&amp;"D")</f>
        <v>57153</v>
      </c>
      <c r="AB2569" s="92">
        <v>1.1815536221873582E-2</v>
      </c>
      <c r="AC2569" s="101">
        <v>1.1897637745805767E-2</v>
      </c>
    </row>
    <row r="2570" spans="25:29" x14ac:dyDescent="0.2">
      <c r="Y2570" s="105" t="str">
        <f t="shared" si="73"/>
        <v>1w</v>
      </c>
      <c r="Z2570" s="93">
        <f>_xll.qlCalendarAdvance(Calendar,Z2569,Y2570,"f",FALSE)</f>
        <v>57158</v>
      </c>
      <c r="AA2570" s="117">
        <f>_xll.qlCalendarAdvance(Calendar,Z2570,NDays&amp;"D")</f>
        <v>57160</v>
      </c>
      <c r="AB2570" s="92">
        <v>1.1806465248738986E-2</v>
      </c>
      <c r="AC2570" s="101">
        <v>1.1888615796618041E-2</v>
      </c>
    </row>
    <row r="2571" spans="25:29" x14ac:dyDescent="0.2">
      <c r="Y2571" s="105" t="str">
        <f t="shared" si="73"/>
        <v>1w</v>
      </c>
      <c r="Z2571" s="93">
        <f>_xll.qlCalendarAdvance(Calendar,Z2570,Y2571,"f",FALSE)</f>
        <v>57165</v>
      </c>
      <c r="AA2571" s="117">
        <f>_xll.qlCalendarAdvance(Calendar,Z2571,NDays&amp;"D")</f>
        <v>57167</v>
      </c>
      <c r="AB2571" s="92">
        <v>1.1796030231471423E-2</v>
      </c>
      <c r="AC2571" s="101">
        <v>1.1879594054784448E-2</v>
      </c>
    </row>
    <row r="2572" spans="25:29" x14ac:dyDescent="0.2">
      <c r="Y2572" s="105" t="str">
        <f t="shared" si="73"/>
        <v>1w</v>
      </c>
      <c r="Z2572" s="93">
        <f>_xll.qlCalendarAdvance(Calendar,Z2571,Y2572,"f",FALSE)</f>
        <v>57172</v>
      </c>
      <c r="AA2572" s="117">
        <f>_xll.qlCalendarAdvance(Calendar,Z2572,NDays&amp;"D")</f>
        <v>57174</v>
      </c>
      <c r="AB2572" s="92">
        <v>1.1786959546038549E-2</v>
      </c>
      <c r="AC2572" s="101">
        <v>1.1870572540209068E-2</v>
      </c>
    </row>
    <row r="2573" spans="25:29" x14ac:dyDescent="0.2">
      <c r="Y2573" s="105" t="str">
        <f t="shared" si="73"/>
        <v>1w</v>
      </c>
      <c r="Z2573" s="93">
        <f>_xll.qlCalendarAdvance(Calendar,Z2572,Y2573,"f",FALSE)</f>
        <v>57179</v>
      </c>
      <c r="AA2573" s="117">
        <f>_xll.qlCalendarAdvance(Calendar,Z2573,NDays&amp;"D")</f>
        <v>57181</v>
      </c>
      <c r="AB2573" s="92">
        <v>1.1777889416235195E-2</v>
      </c>
      <c r="AC2573" s="101">
        <v>1.186155127295585E-2</v>
      </c>
    </row>
    <row r="2574" spans="25:29" x14ac:dyDescent="0.2">
      <c r="Y2574" s="105" t="str">
        <f t="shared" si="73"/>
        <v>1w</v>
      </c>
      <c r="Z2574" s="93">
        <f>_xll.qlCalendarAdvance(Calendar,Z2573,Y2574,"f",FALSE)</f>
        <v>57186</v>
      </c>
      <c r="AA2574" s="117">
        <f>_xll.qlCalendarAdvance(Calendar,Z2574,NDays&amp;"D")</f>
        <v>57188</v>
      </c>
      <c r="AB2574" s="92">
        <v>1.1768819862099099E-2</v>
      </c>
      <c r="AC2574" s="101">
        <v>1.1852530272928874E-2</v>
      </c>
    </row>
    <row r="2575" spans="25:29" x14ac:dyDescent="0.2">
      <c r="Y2575" s="105" t="str">
        <f t="shared" si="73"/>
        <v>1w</v>
      </c>
      <c r="Z2575" s="93">
        <f>_xll.qlCalendarAdvance(Calendar,Z2574,Y2575,"f",FALSE)</f>
        <v>57193</v>
      </c>
      <c r="AA2575" s="117">
        <f>_xll.qlCalendarAdvance(Calendar,Z2575,NDays&amp;"D")</f>
        <v>57195</v>
      </c>
      <c r="AB2575" s="92">
        <v>1.1759750903663695E-2</v>
      </c>
      <c r="AC2575" s="101">
        <v>1.1843509559952281E-2</v>
      </c>
    </row>
    <row r="2576" spans="25:29" x14ac:dyDescent="0.2">
      <c r="Y2576" s="105" t="str">
        <f t="shared" si="73"/>
        <v>1w</v>
      </c>
      <c r="Z2576" s="93">
        <f>_xll.qlCalendarAdvance(Calendar,Z2575,Y2576,"f",FALSE)</f>
        <v>57200</v>
      </c>
      <c r="AA2576" s="117">
        <f>_xll.qlCalendarAdvance(Calendar,Z2576,NDays&amp;"D")</f>
        <v>57202</v>
      </c>
      <c r="AB2576" s="92">
        <v>1.1750682560965E-2</v>
      </c>
      <c r="AC2576" s="101">
        <v>1.1834489154010086E-2</v>
      </c>
    </row>
    <row r="2577" spans="25:29" x14ac:dyDescent="0.2">
      <c r="Y2577" s="105" t="str">
        <f t="shared" si="73"/>
        <v>1w</v>
      </c>
      <c r="Z2577" s="93">
        <f>_xll.qlCalendarAdvance(Calendar,Z2576,Y2577,"f",FALSE)</f>
        <v>57207</v>
      </c>
      <c r="AA2577" s="117">
        <f>_xll.qlCalendarAdvance(Calendar,Z2577,NDays&amp;"D")</f>
        <v>57209</v>
      </c>
      <c r="AB2577" s="92">
        <v>1.1741614854036452E-2</v>
      </c>
      <c r="AC2577" s="101">
        <v>1.1825469075006367E-2</v>
      </c>
    </row>
    <row r="2578" spans="25:29" x14ac:dyDescent="0.2">
      <c r="Y2578" s="105" t="str">
        <f t="shared" si="73"/>
        <v>1w</v>
      </c>
      <c r="Z2578" s="93">
        <f>_xll.qlCalendarAdvance(Calendar,Z2577,Y2578,"f",FALSE)</f>
        <v>57214</v>
      </c>
      <c r="AA2578" s="117">
        <f>_xll.qlCalendarAdvance(Calendar,Z2578,NDays&amp;"D")</f>
        <v>57216</v>
      </c>
      <c r="AB2578" s="92">
        <v>1.1732547802913636E-2</v>
      </c>
      <c r="AC2578" s="101">
        <v>1.1816449342845203E-2</v>
      </c>
    </row>
    <row r="2579" spans="25:29" x14ac:dyDescent="0.2">
      <c r="Y2579" s="105" t="str">
        <f t="shared" si="73"/>
        <v>1w</v>
      </c>
      <c r="Z2579" s="93">
        <f>_xll.qlCalendarAdvance(Calendar,Z2578,Y2579,"f",FALSE)</f>
        <v>57221</v>
      </c>
      <c r="AA2579" s="117">
        <f>_xll.qlCalendarAdvance(Calendar,Z2579,NDays&amp;"D")</f>
        <v>57223</v>
      </c>
      <c r="AB2579" s="92">
        <v>1.1725765333933158E-2</v>
      </c>
      <c r="AC2579" s="101">
        <v>1.1807429977430672E-2</v>
      </c>
    </row>
    <row r="2580" spans="25:29" x14ac:dyDescent="0.2">
      <c r="Y2580" s="105" t="str">
        <f t="shared" si="73"/>
        <v>1w</v>
      </c>
      <c r="Z2580" s="93">
        <f>_xll.qlCalendarAdvance(Calendar,Z2579,Y2580,"f",FALSE)</f>
        <v>57228</v>
      </c>
      <c r="AA2580" s="117">
        <f>_xll.qlCalendarAdvance(Calendar,Z2580,NDays&amp;"D")</f>
        <v>57230</v>
      </c>
      <c r="AB2580" s="92">
        <v>1.1716700843868092E-2</v>
      </c>
      <c r="AC2580" s="101">
        <v>1.1798410998826725E-2</v>
      </c>
    </row>
    <row r="2581" spans="25:29" x14ac:dyDescent="0.2">
      <c r="Y2581" s="105" t="str">
        <f t="shared" ref="Y2581:Y2644" si="74">Y2580</f>
        <v>1w</v>
      </c>
      <c r="Z2581" s="93">
        <f>_xll.qlCalendarAdvance(Calendar,Z2580,Y2581,"f",FALSE)</f>
        <v>57235</v>
      </c>
      <c r="AA2581" s="117">
        <f>_xll.qlCalendarAdvance(Calendar,Z2581,NDays&amp;"D")</f>
        <v>57237</v>
      </c>
      <c r="AB2581" s="92">
        <v>1.1707637061304265E-2</v>
      </c>
      <c r="AC2581" s="101">
        <v>1.1789392426697631E-2</v>
      </c>
    </row>
    <row r="2582" spans="25:29" x14ac:dyDescent="0.2">
      <c r="Y2582" s="105" t="str">
        <f t="shared" si="74"/>
        <v>1w</v>
      </c>
      <c r="Z2582" s="93">
        <f>_xll.qlCalendarAdvance(Calendar,Z2581,Y2582,"f",FALSE)</f>
        <v>57242</v>
      </c>
      <c r="AA2582" s="117">
        <f>_xll.qlCalendarAdvance(Calendar,Z2582,NDays&amp;"D")</f>
        <v>57244</v>
      </c>
      <c r="AB2582" s="92">
        <v>1.169857400627383E-2</v>
      </c>
      <c r="AC2582" s="101">
        <v>1.178037428134715E-2</v>
      </c>
    </row>
    <row r="2583" spans="25:29" x14ac:dyDescent="0.2">
      <c r="Y2583" s="105" t="str">
        <f t="shared" si="74"/>
        <v>1w</v>
      </c>
      <c r="Z2583" s="93">
        <f>_xll.qlCalendarAdvance(Calendar,Z2582,Y2583,"f",FALSE)</f>
        <v>57249</v>
      </c>
      <c r="AA2583" s="117">
        <f>_xll.qlCalendarAdvance(Calendar,Z2583,NDays&amp;"D")</f>
        <v>57251</v>
      </c>
      <c r="AB2583" s="92">
        <v>1.1689511698803643E-2</v>
      </c>
      <c r="AC2583" s="101">
        <v>1.1771356582359616E-2</v>
      </c>
    </row>
    <row r="2584" spans="25:29" x14ac:dyDescent="0.2">
      <c r="Y2584" s="105" t="str">
        <f t="shared" si="74"/>
        <v>1w</v>
      </c>
      <c r="Z2584" s="93">
        <f>_xll.qlCalendarAdvance(Calendar,Z2583,Y2584,"f",FALSE)</f>
        <v>57256</v>
      </c>
      <c r="AA2584" s="117">
        <f>_xll.qlCalendarAdvance(Calendar,Z2584,NDays&amp;"D")</f>
        <v>57258</v>
      </c>
      <c r="AB2584" s="92">
        <v>1.1679992268286629E-2</v>
      </c>
      <c r="AC2584" s="101">
        <v>1.1762339349719042E-2</v>
      </c>
    </row>
    <row r="2585" spans="25:29" x14ac:dyDescent="0.2">
      <c r="Y2585" s="105" t="str">
        <f t="shared" si="74"/>
        <v>1w</v>
      </c>
      <c r="Z2585" s="93">
        <f>_xll.qlCalendarAdvance(Calendar,Z2584,Y2585,"f",FALSE)</f>
        <v>57263</v>
      </c>
      <c r="AA2585" s="117">
        <f>_xll.qlCalendarAdvance(Calendar,Z2585,NDays&amp;"D")</f>
        <v>57265</v>
      </c>
      <c r="AB2585" s="92">
        <v>1.1670931286241077E-2</v>
      </c>
      <c r="AC2585" s="101">
        <v>1.175332260348938E-2</v>
      </c>
    </row>
    <row r="2586" spans="25:29" x14ac:dyDescent="0.2">
      <c r="Y2586" s="105" t="str">
        <f t="shared" si="74"/>
        <v>1w</v>
      </c>
      <c r="Z2586" s="93">
        <f>_xll.qlCalendarAdvance(Calendar,Z2585,Y2586,"f",FALSE)</f>
        <v>57270</v>
      </c>
      <c r="AA2586" s="117">
        <f>_xll.qlCalendarAdvance(Calendar,Z2586,NDays&amp;"D")</f>
        <v>57272</v>
      </c>
      <c r="AB2586" s="92">
        <v>1.1661871113525712E-2</v>
      </c>
      <c r="AC2586" s="101">
        <v>1.1744306363494772E-2</v>
      </c>
    </row>
    <row r="2587" spans="25:29" x14ac:dyDescent="0.2">
      <c r="Y2587" s="105" t="str">
        <f t="shared" si="74"/>
        <v>1w</v>
      </c>
      <c r="Z2587" s="93">
        <f>_xll.qlCalendarAdvance(Calendar,Z2586,Y2587,"f",FALSE)</f>
        <v>57277</v>
      </c>
      <c r="AA2587" s="117">
        <f>_xll.qlCalendarAdvance(Calendar,Z2587,NDays&amp;"D")</f>
        <v>57279</v>
      </c>
      <c r="AB2587" s="92">
        <v>1.1652811770170662E-2</v>
      </c>
      <c r="AC2587" s="101">
        <v>1.1735290649399488E-2</v>
      </c>
    </row>
    <row r="2588" spans="25:29" x14ac:dyDescent="0.2">
      <c r="Y2588" s="105" t="str">
        <f t="shared" si="74"/>
        <v>1w</v>
      </c>
      <c r="Z2588" s="93">
        <f>_xll.qlCalendarAdvance(Calendar,Z2587,Y2588,"f",FALSE)</f>
        <v>57284</v>
      </c>
      <c r="AA2588" s="117">
        <f>_xll.qlCalendarAdvance(Calendar,Z2588,NDays&amp;"D")</f>
        <v>57286</v>
      </c>
      <c r="AB2588" s="92">
        <v>1.1644212075885016E-2</v>
      </c>
      <c r="AC2588" s="101">
        <v>1.1726275481906967E-2</v>
      </c>
    </row>
    <row r="2589" spans="25:29" x14ac:dyDescent="0.2">
      <c r="Y2589" s="105" t="str">
        <f t="shared" si="74"/>
        <v>1w</v>
      </c>
      <c r="Z2589" s="93">
        <f>_xll.qlCalendarAdvance(Calendar,Z2588,Y2589,"f",FALSE)</f>
        <v>57291</v>
      </c>
      <c r="AA2589" s="117">
        <f>_xll.qlCalendarAdvance(Calendar,Z2589,NDays&amp;"D")</f>
        <v>57293</v>
      </c>
      <c r="AB2589" s="92">
        <v>1.1635154674384822E-2</v>
      </c>
      <c r="AC2589" s="101">
        <v>1.1717260880041991E-2</v>
      </c>
    </row>
    <row r="2590" spans="25:29" x14ac:dyDescent="0.2">
      <c r="Y2590" s="105" t="str">
        <f t="shared" si="74"/>
        <v>1w</v>
      </c>
      <c r="Z2590" s="93">
        <f>_xll.qlCalendarAdvance(Calendar,Z2589,Y2590,"f",FALSE)</f>
        <v>57298</v>
      </c>
      <c r="AA2590" s="117">
        <f>_xll.qlCalendarAdvance(Calendar,Z2590,NDays&amp;"D")</f>
        <v>57300</v>
      </c>
      <c r="AB2590" s="92">
        <v>1.1626098160641678E-2</v>
      </c>
      <c r="AC2590" s="101">
        <v>1.170824686426819E-2</v>
      </c>
    </row>
    <row r="2591" spans="25:29" x14ac:dyDescent="0.2">
      <c r="Y2591" s="105" t="str">
        <f t="shared" si="74"/>
        <v>1w</v>
      </c>
      <c r="Z2591" s="93">
        <f>_xll.qlCalendarAdvance(Calendar,Z2590,Y2591,"f",FALSE)</f>
        <v>57305</v>
      </c>
      <c r="AA2591" s="117">
        <f>_xll.qlCalendarAdvance(Calendar,Z2591,NDays&amp;"D")</f>
        <v>57307</v>
      </c>
      <c r="AB2591" s="92">
        <v>1.1617042554683763E-2</v>
      </c>
      <c r="AC2591" s="101">
        <v>1.1699233454249836E-2</v>
      </c>
    </row>
    <row r="2592" spans="25:29" x14ac:dyDescent="0.2">
      <c r="Y2592" s="105" t="str">
        <f t="shared" si="74"/>
        <v>1w</v>
      </c>
      <c r="Z2592" s="93">
        <f>_xll.qlCalendarAdvance(Calendar,Z2591,Y2592,"f",FALSE)</f>
        <v>57312</v>
      </c>
      <c r="AA2592" s="117">
        <f>_xll.qlCalendarAdvance(Calendar,Z2592,NDays&amp;"D")</f>
        <v>57314</v>
      </c>
      <c r="AB2592" s="92">
        <v>1.1607528194775707E-2</v>
      </c>
      <c r="AC2592" s="101">
        <v>1.1690220670210749E-2</v>
      </c>
    </row>
    <row r="2593" spans="25:29" x14ac:dyDescent="0.2">
      <c r="Y2593" s="105" t="str">
        <f t="shared" si="74"/>
        <v>1w</v>
      </c>
      <c r="Z2593" s="93">
        <f>_xll.qlCalendarAdvance(Calendar,Z2592,Y2593,"f",FALSE)</f>
        <v>57319</v>
      </c>
      <c r="AA2593" s="117">
        <f>_xll.qlCalendarAdvance(Calendar,Z2593,NDays&amp;"D")</f>
        <v>57321</v>
      </c>
      <c r="AB2593" s="92">
        <v>1.1598474248162611E-2</v>
      </c>
      <c r="AC2593" s="101">
        <v>1.1681208531655329E-2</v>
      </c>
    </row>
    <row r="2594" spans="25:29" x14ac:dyDescent="0.2">
      <c r="Y2594" s="105" t="str">
        <f t="shared" si="74"/>
        <v>1w</v>
      </c>
      <c r="Z2594" s="93">
        <f>_xll.qlCalendarAdvance(Calendar,Z2593,Y2594,"f",FALSE)</f>
        <v>57326</v>
      </c>
      <c r="AA2594" s="117">
        <f>_xll.qlCalendarAdvance(Calendar,Z2594,NDays&amp;"D")</f>
        <v>57328</v>
      </c>
      <c r="AB2594" s="92">
        <v>1.158942127110011E-2</v>
      </c>
      <c r="AC2594" s="101">
        <v>1.1672197058807399E-2</v>
      </c>
    </row>
    <row r="2595" spans="25:29" x14ac:dyDescent="0.2">
      <c r="Y2595" s="105" t="str">
        <f t="shared" si="74"/>
        <v>1w</v>
      </c>
      <c r="Z2595" s="93">
        <f>_xll.qlCalendarAdvance(Calendar,Z2594,Y2595,"f",FALSE)</f>
        <v>57333</v>
      </c>
      <c r="AA2595" s="117">
        <f>_xll.qlCalendarAdvance(Calendar,Z2595,NDays&amp;"D")</f>
        <v>57335</v>
      </c>
      <c r="AB2595" s="92">
        <v>1.1580369283613503E-2</v>
      </c>
      <c r="AC2595" s="101">
        <v>1.1663186271571035E-2</v>
      </c>
    </row>
    <row r="2596" spans="25:29" x14ac:dyDescent="0.2">
      <c r="Y2596" s="105" t="str">
        <f t="shared" si="74"/>
        <v>1w</v>
      </c>
      <c r="Z2596" s="93">
        <f>_xll.qlCalendarAdvance(Calendar,Z2595,Y2596,"f",FALSE)</f>
        <v>57341</v>
      </c>
      <c r="AA2596" s="117">
        <f>_xll.qlCalendarAdvance(Calendar,Z2596,NDays&amp;"D")</f>
        <v>57343</v>
      </c>
      <c r="AB2596" s="92">
        <v>1.1570025392472949E-2</v>
      </c>
      <c r="AC2596" s="101">
        <v>1.1651524103180044E-2</v>
      </c>
    </row>
    <row r="2597" spans="25:29" x14ac:dyDescent="0.2">
      <c r="Y2597" s="105" t="str">
        <f t="shared" si="74"/>
        <v>1w</v>
      </c>
      <c r="Z2597" s="93">
        <f>_xll.qlCalendarAdvance(Calendar,Z2596,Y2597,"f",FALSE)</f>
        <v>57348</v>
      </c>
      <c r="AA2597" s="117">
        <f>_xll.qlCalendarAdvance(Calendar,Z2597,NDays&amp;"D")</f>
        <v>57350</v>
      </c>
      <c r="AB2597" s="92">
        <v>1.1561436369133283E-2</v>
      </c>
      <c r="AC2597" s="101">
        <v>1.1642969404404013E-2</v>
      </c>
    </row>
    <row r="2598" spans="25:29" x14ac:dyDescent="0.2">
      <c r="Y2598" s="105" t="str">
        <f t="shared" si="74"/>
        <v>1w</v>
      </c>
      <c r="Z2598" s="93">
        <f>_xll.qlCalendarAdvance(Calendar,Z2597,Y2598,"f",FALSE)</f>
        <v>57355</v>
      </c>
      <c r="AA2598" s="117">
        <f>_xll.qlCalendarAdvance(Calendar,Z2598,NDays&amp;"D")</f>
        <v>57357</v>
      </c>
      <c r="AB2598" s="92">
        <v>1.155238782972956E-2</v>
      </c>
      <c r="AC2598" s="101">
        <v>1.1633960427586132E-2</v>
      </c>
    </row>
    <row r="2599" spans="25:29" x14ac:dyDescent="0.2">
      <c r="Y2599" s="105" t="str">
        <f t="shared" si="74"/>
        <v>1w</v>
      </c>
      <c r="Z2599" s="93">
        <f>_xll.qlCalendarAdvance(Calendar,Z2598,Y2599,"f",FALSE)</f>
        <v>57362</v>
      </c>
      <c r="AA2599" s="117">
        <f>_xll.qlCalendarAdvance(Calendar,Z2599,NDays&amp;"D")</f>
        <v>57364</v>
      </c>
      <c r="AB2599" s="92">
        <v>1.1543340361170908E-2</v>
      </c>
      <c r="AC2599" s="101">
        <v>1.1624952222177853E-2</v>
      </c>
    </row>
    <row r="2600" spans="25:29" x14ac:dyDescent="0.2">
      <c r="Y2600" s="105" t="str">
        <f t="shared" si="74"/>
        <v>1w</v>
      </c>
      <c r="Z2600" s="93">
        <f>_xll.qlCalendarAdvance(Calendar,Z2599,Y2600,"f",FALSE)</f>
        <v>57369</v>
      </c>
      <c r="AA2600" s="117">
        <f>_xll.qlCalendarAdvance(Calendar,Z2600,NDays&amp;"D")</f>
        <v>57371</v>
      </c>
      <c r="AB2600" s="92">
        <v>1.1534293983481088E-2</v>
      </c>
      <c r="AC2600" s="101">
        <v>1.1615944808136547E-2</v>
      </c>
    </row>
    <row r="2601" spans="25:29" x14ac:dyDescent="0.2">
      <c r="Y2601" s="105" t="str">
        <f t="shared" si="74"/>
        <v>1w</v>
      </c>
      <c r="Z2601" s="93">
        <f>_xll.qlCalendarAdvance(Calendar,Z2600,Y2601,"f",FALSE)</f>
        <v>57376</v>
      </c>
      <c r="AA2601" s="117">
        <f>_xll.qlCalendarAdvance(Calendar,Z2601,NDays&amp;"D")</f>
        <v>57378</v>
      </c>
      <c r="AB2601" s="92">
        <v>1.1525248716684745E-2</v>
      </c>
      <c r="AC2601" s="101">
        <v>1.1606938205419581E-2</v>
      </c>
    </row>
    <row r="2602" spans="25:29" x14ac:dyDescent="0.2">
      <c r="Y2602" s="105" t="str">
        <f t="shared" si="74"/>
        <v>1w</v>
      </c>
      <c r="Z2602" s="93">
        <f>_xll.qlCalendarAdvance(Calendar,Z2601,Y2602,"f",FALSE)</f>
        <v>57383</v>
      </c>
      <c r="AA2602" s="117">
        <f>_xll.qlCalendarAdvance(Calendar,Z2602,NDays&amp;"D")</f>
        <v>57385</v>
      </c>
      <c r="AB2602" s="92">
        <v>1.1516204580802106E-2</v>
      </c>
      <c r="AC2602" s="101">
        <v>1.1597932433851099E-2</v>
      </c>
    </row>
    <row r="2603" spans="25:29" x14ac:dyDescent="0.2">
      <c r="Y2603" s="105" t="str">
        <f t="shared" si="74"/>
        <v>1w</v>
      </c>
      <c r="Z2603" s="93">
        <f>_xll.qlCalendarAdvance(Calendar,Z2602,Y2603,"f",FALSE)</f>
        <v>57390</v>
      </c>
      <c r="AA2603" s="117">
        <f>_xll.qlCalendarAdvance(Calendar,Z2603,NDays&amp;"D")</f>
        <v>57392</v>
      </c>
      <c r="AB2603" s="92">
        <v>1.1507161595856493E-2</v>
      </c>
      <c r="AC2603" s="101">
        <v>1.1588927513415115E-2</v>
      </c>
    </row>
    <row r="2604" spans="25:29" x14ac:dyDescent="0.2">
      <c r="Y2604" s="105" t="str">
        <f t="shared" si="74"/>
        <v>1w</v>
      </c>
      <c r="Z2604" s="93">
        <f>_xll.qlCalendarAdvance(Calendar,Z2603,Y2604,"f",FALSE)</f>
        <v>57397</v>
      </c>
      <c r="AA2604" s="117">
        <f>_xll.qlCalendarAdvance(Calendar,Z2604,NDays&amp;"D")</f>
        <v>57399</v>
      </c>
      <c r="AB2604" s="92">
        <v>1.1498119781869457E-2</v>
      </c>
      <c r="AC2604" s="101">
        <v>1.1579923464042352E-2</v>
      </c>
    </row>
    <row r="2605" spans="25:29" x14ac:dyDescent="0.2">
      <c r="Y2605" s="105" t="str">
        <f t="shared" si="74"/>
        <v>1w</v>
      </c>
      <c r="Z2605" s="93">
        <f>_xll.qlCalendarAdvance(Calendar,Z2604,Y2605,"f",FALSE)</f>
        <v>57404</v>
      </c>
      <c r="AA2605" s="117">
        <f>_xll.qlCalendarAdvance(Calendar,Z2605,NDays&amp;"D")</f>
        <v>57406</v>
      </c>
      <c r="AB2605" s="92">
        <v>1.1487229431120368E-2</v>
      </c>
      <c r="AC2605" s="101">
        <v>1.1570920305636889E-2</v>
      </c>
    </row>
    <row r="2606" spans="25:29" x14ac:dyDescent="0.2">
      <c r="Y2606" s="105" t="str">
        <f t="shared" si="74"/>
        <v>1w</v>
      </c>
      <c r="Z2606" s="93">
        <f>_xll.qlCalendarAdvance(Calendar,Z2605,Y2606,"f",FALSE)</f>
        <v>57411</v>
      </c>
      <c r="AA2606" s="117">
        <f>_xll.qlCalendarAdvance(Calendar,Z2606,NDays&amp;"D")</f>
        <v>57413</v>
      </c>
      <c r="AB2606" s="92">
        <v>1.1478189243795588E-2</v>
      </c>
      <c r="AC2606" s="101">
        <v>1.1561918058156095E-2</v>
      </c>
    </row>
    <row r="2607" spans="25:29" x14ac:dyDescent="0.2">
      <c r="Y2607" s="105" t="str">
        <f t="shared" si="74"/>
        <v>1w</v>
      </c>
      <c r="Z2607" s="93">
        <f>_xll.qlCalendarAdvance(Calendar,Z2606,Y2607,"f",FALSE)</f>
        <v>57418</v>
      </c>
      <c r="AA2607" s="117">
        <f>_xll.qlCalendarAdvance(Calendar,Z2607,NDays&amp;"D")</f>
        <v>57420</v>
      </c>
      <c r="AB2607" s="92">
        <v>1.1469150294273315E-2</v>
      </c>
      <c r="AC2607" s="101">
        <v>1.1552916741504049E-2</v>
      </c>
    </row>
    <row r="2608" spans="25:29" x14ac:dyDescent="0.2">
      <c r="Y2608" s="105" t="str">
        <f t="shared" si="74"/>
        <v>1w</v>
      </c>
      <c r="Z2608" s="93">
        <f>_xll.qlCalendarAdvance(Calendar,Z2607,Y2608,"f",FALSE)</f>
        <v>57425</v>
      </c>
      <c r="AA2608" s="117">
        <f>_xll.qlCalendarAdvance(Calendar,Z2608,NDays&amp;"D")</f>
        <v>57427</v>
      </c>
      <c r="AB2608" s="92">
        <v>1.146011260257516E-2</v>
      </c>
      <c r="AC2608" s="101">
        <v>1.1543916375558183E-2</v>
      </c>
    </row>
    <row r="2609" spans="25:29" x14ac:dyDescent="0.2">
      <c r="Y2609" s="105" t="str">
        <f t="shared" si="74"/>
        <v>1w</v>
      </c>
      <c r="Z2609" s="93">
        <f>_xll.qlCalendarAdvance(Calendar,Z2608,Y2609,"f",FALSE)</f>
        <v>57432</v>
      </c>
      <c r="AA2609" s="117">
        <f>_xll.qlCalendarAdvance(Calendar,Z2609,NDays&amp;"D")</f>
        <v>57434</v>
      </c>
      <c r="AB2609" s="92">
        <v>1.1452465821152665E-2</v>
      </c>
      <c r="AC2609" s="101">
        <v>1.1534916980302512E-2</v>
      </c>
    </row>
    <row r="2610" spans="25:29" x14ac:dyDescent="0.2">
      <c r="Y2610" s="105" t="str">
        <f t="shared" si="74"/>
        <v>1w</v>
      </c>
      <c r="Z2610" s="93">
        <f>_xll.qlCalendarAdvance(Calendar,Z2609,Y2610,"f",FALSE)</f>
        <v>57439</v>
      </c>
      <c r="AA2610" s="117">
        <f>_xll.qlCalendarAdvance(Calendar,Z2610,NDays&amp;"D")</f>
        <v>57441</v>
      </c>
      <c r="AB2610" s="92">
        <v>1.14420410727428E-2</v>
      </c>
      <c r="AC2610" s="101">
        <v>1.1525918575614469E-2</v>
      </c>
    </row>
    <row r="2611" spans="25:29" x14ac:dyDescent="0.2">
      <c r="Y2611" s="105" t="str">
        <f t="shared" si="74"/>
        <v>1w</v>
      </c>
      <c r="Z2611" s="93">
        <f>_xll.qlCalendarAdvance(Calendar,Z2610,Y2611,"f",FALSE)</f>
        <v>57446</v>
      </c>
      <c r="AA2611" s="117">
        <f>_xll.qlCalendarAdvance(Calendar,Z2611,NDays&amp;"D")</f>
        <v>57448</v>
      </c>
      <c r="AB2611" s="92">
        <v>1.1433007274651377E-2</v>
      </c>
      <c r="AC2611" s="101">
        <v>1.1516921181504713E-2</v>
      </c>
    </row>
    <row r="2612" spans="25:29" x14ac:dyDescent="0.2">
      <c r="Y2612" s="105" t="str">
        <f t="shared" si="74"/>
        <v>1w</v>
      </c>
      <c r="Z2612" s="93">
        <f>_xll.qlCalendarAdvance(Calendar,Z2611,Y2612,"f",FALSE)</f>
        <v>57453</v>
      </c>
      <c r="AA2612" s="117">
        <f>_xll.qlCalendarAdvance(Calendar,Z2612,NDays&amp;"D")</f>
        <v>57459</v>
      </c>
      <c r="AB2612" s="92">
        <v>1.1419741785390689E-2</v>
      </c>
      <c r="AC2612" s="101">
        <v>1.1503701944945988E-2</v>
      </c>
    </row>
    <row r="2613" spans="25:29" x14ac:dyDescent="0.2">
      <c r="Y2613" s="105" t="str">
        <f t="shared" si="74"/>
        <v>1w</v>
      </c>
      <c r="Z2613" s="93">
        <f>_xll.qlCalendarAdvance(Calendar,Z2612,Y2613,"f",FALSE)</f>
        <v>57460</v>
      </c>
      <c r="AA2613" s="117">
        <f>_xll.qlCalendarAdvance(Calendar,Z2613,NDays&amp;"D")</f>
        <v>57462</v>
      </c>
      <c r="AB2613" s="92">
        <v>1.141494371222262E-2</v>
      </c>
      <c r="AC2613" s="101">
        <v>1.1498929504449862E-2</v>
      </c>
    </row>
    <row r="2614" spans="25:29" x14ac:dyDescent="0.2">
      <c r="Y2614" s="105" t="str">
        <f t="shared" si="74"/>
        <v>1w</v>
      </c>
      <c r="Z2614" s="93">
        <f>_xll.qlCalendarAdvance(Calendar,Z2613,Y2614,"f",FALSE)</f>
        <v>57467</v>
      </c>
      <c r="AA2614" s="117">
        <f>_xll.qlCalendarAdvance(Calendar,Z2614,NDays&amp;"D")</f>
        <v>57469</v>
      </c>
      <c r="AB2614" s="92">
        <v>1.14059139879272E-2</v>
      </c>
      <c r="AC2614" s="101">
        <v>1.1489935261366213E-2</v>
      </c>
    </row>
    <row r="2615" spans="25:29" x14ac:dyDescent="0.2">
      <c r="Y2615" s="105" t="str">
        <f t="shared" si="74"/>
        <v>1w</v>
      </c>
      <c r="Z2615" s="93">
        <f>_xll.qlCalendarAdvance(Calendar,Z2614,Y2615,"f",FALSE)</f>
        <v>57474</v>
      </c>
      <c r="AA2615" s="117">
        <f>_xll.qlCalendarAdvance(Calendar,Z2615,NDays&amp;"D")</f>
        <v>57476</v>
      </c>
      <c r="AB2615" s="92">
        <v>1.1396885661603682E-2</v>
      </c>
      <c r="AC2615" s="101">
        <v>1.1480942108503811E-2</v>
      </c>
    </row>
    <row r="2616" spans="25:29" x14ac:dyDescent="0.2">
      <c r="Y2616" s="105" t="str">
        <f t="shared" si="74"/>
        <v>1w</v>
      </c>
      <c r="Z2616" s="93">
        <f>_xll.qlCalendarAdvance(Calendar,Z2615,Y2616,"f",FALSE)</f>
        <v>57481</v>
      </c>
      <c r="AA2616" s="117">
        <f>_xll.qlCalendarAdvance(Calendar,Z2616,NDays&amp;"D")</f>
        <v>57483</v>
      </c>
      <c r="AB2616" s="92">
        <v>1.1387858753272374E-2</v>
      </c>
      <c r="AC2616" s="101">
        <v>1.147195006584667E-2</v>
      </c>
    </row>
    <row r="2617" spans="25:29" x14ac:dyDescent="0.2">
      <c r="Y2617" s="105" t="str">
        <f t="shared" si="74"/>
        <v>1w</v>
      </c>
      <c r="Z2617" s="93">
        <f>_xll.qlCalendarAdvance(Calendar,Z2616,Y2617,"f",FALSE)</f>
        <v>57488</v>
      </c>
      <c r="AA2617" s="117">
        <f>_xll.qlCalendarAdvance(Calendar,Z2617,NDays&amp;"D")</f>
        <v>57490</v>
      </c>
      <c r="AB2617" s="92">
        <v>1.1378833282952288E-2</v>
      </c>
      <c r="AC2617" s="101">
        <v>1.1462959153165642E-2</v>
      </c>
    </row>
    <row r="2618" spans="25:29" x14ac:dyDescent="0.2">
      <c r="Y2618" s="105" t="str">
        <f t="shared" si="74"/>
        <v>1w</v>
      </c>
      <c r="Z2618" s="93">
        <f>_xll.qlCalendarAdvance(Calendar,Z2617,Y2618,"f",FALSE)</f>
        <v>57495</v>
      </c>
      <c r="AA2618" s="117">
        <f>_xll.qlCalendarAdvance(Calendar,Z2618,NDays&amp;"D")</f>
        <v>57497</v>
      </c>
      <c r="AB2618" s="92">
        <v>1.1369809270662872E-2</v>
      </c>
      <c r="AC2618" s="101">
        <v>1.1453969390498031E-2</v>
      </c>
    </row>
    <row r="2619" spans="25:29" x14ac:dyDescent="0.2">
      <c r="Y2619" s="105" t="str">
        <f t="shared" si="74"/>
        <v>1w</v>
      </c>
      <c r="Z2619" s="93">
        <f>_xll.qlCalendarAdvance(Calendar,Z2618,Y2619,"f",FALSE)</f>
        <v>57502</v>
      </c>
      <c r="AA2619" s="117">
        <f>_xll.qlCalendarAdvance(Calendar,Z2619,NDays&amp;"D")</f>
        <v>57504</v>
      </c>
      <c r="AB2619" s="92">
        <v>1.1360786736421411E-2</v>
      </c>
      <c r="AC2619" s="101">
        <v>1.1444980797747917E-2</v>
      </c>
    </row>
    <row r="2620" spans="25:29" x14ac:dyDescent="0.2">
      <c r="Y2620" s="105" t="str">
        <f t="shared" si="74"/>
        <v>1w</v>
      </c>
      <c r="Z2620" s="93">
        <f>_xll.qlCalendarAdvance(Calendar,Z2619,Y2620,"f",FALSE)</f>
        <v>57509</v>
      </c>
      <c r="AA2620" s="117">
        <f>_xll.qlCalendarAdvance(Calendar,Z2620,NDays&amp;"D")</f>
        <v>57511</v>
      </c>
      <c r="AB2620" s="92">
        <v>1.1351765700246918E-2</v>
      </c>
      <c r="AC2620" s="101">
        <v>1.1435993394819377E-2</v>
      </c>
    </row>
    <row r="2621" spans="25:29" x14ac:dyDescent="0.2">
      <c r="Y2621" s="105" t="str">
        <f t="shared" si="74"/>
        <v>1w</v>
      </c>
      <c r="Z2621" s="93">
        <f>_xll.qlCalendarAdvance(Calendar,Z2620,Y2621,"f",FALSE)</f>
        <v>57516</v>
      </c>
      <c r="AA2621" s="117">
        <f>_xll.qlCalendarAdvance(Calendar,Z2621,NDays&amp;"D")</f>
        <v>57518</v>
      </c>
      <c r="AB2621" s="92">
        <v>1.134274618215754E-2</v>
      </c>
      <c r="AC2621" s="101">
        <v>1.1427007201643136E-2</v>
      </c>
    </row>
    <row r="2622" spans="25:29" x14ac:dyDescent="0.2">
      <c r="Y2622" s="105" t="str">
        <f t="shared" si="74"/>
        <v>1w</v>
      </c>
      <c r="Z2622" s="93">
        <f>_xll.qlCalendarAdvance(Calendar,Z2621,Y2622,"f",FALSE)</f>
        <v>57523</v>
      </c>
      <c r="AA2622" s="117">
        <f>_xll.qlCalendarAdvance(Calendar,Z2622,NDays&amp;"D")</f>
        <v>57525</v>
      </c>
      <c r="AB2622" s="92">
        <v>1.133372820216927E-2</v>
      </c>
      <c r="AC2622" s="101">
        <v>1.1418022238123271E-2</v>
      </c>
    </row>
    <row r="2623" spans="25:29" x14ac:dyDescent="0.2">
      <c r="Y2623" s="105" t="str">
        <f t="shared" si="74"/>
        <v>1w</v>
      </c>
      <c r="Z2623" s="93">
        <f>_xll.qlCalendarAdvance(Calendar,Z2622,Y2623,"f",FALSE)</f>
        <v>57530</v>
      </c>
      <c r="AA2623" s="117">
        <f>_xll.qlCalendarAdvance(Calendar,Z2623,NDays&amp;"D")</f>
        <v>57532</v>
      </c>
      <c r="AB2623" s="92">
        <v>1.1324711780300686E-2</v>
      </c>
      <c r="AC2623" s="101">
        <v>1.1409038524217152E-2</v>
      </c>
    </row>
    <row r="2624" spans="25:29" x14ac:dyDescent="0.2">
      <c r="Y2624" s="105" t="str">
        <f t="shared" si="74"/>
        <v>1w</v>
      </c>
      <c r="Z2624" s="93">
        <f>_xll.qlCalendarAdvance(Calendar,Z2623,Y2624,"f",FALSE)</f>
        <v>57537</v>
      </c>
      <c r="AA2624" s="117">
        <f>_xll.qlCalendarAdvance(Calendar,Z2624,NDays&amp;"D")</f>
        <v>57539</v>
      </c>
      <c r="AB2624" s="92">
        <v>1.1315696936568212E-2</v>
      </c>
      <c r="AC2624" s="101">
        <v>1.1400056079882148E-2</v>
      </c>
    </row>
    <row r="2625" spans="25:29" x14ac:dyDescent="0.2">
      <c r="Y2625" s="105" t="str">
        <f t="shared" si="74"/>
        <v>1w</v>
      </c>
      <c r="Z2625" s="93">
        <f>_xll.qlCalendarAdvance(Calendar,Z2624,Y2625,"f",FALSE)</f>
        <v>57544</v>
      </c>
      <c r="AA2625" s="117">
        <f>_xll.qlCalendarAdvance(Calendar,Z2625,NDays&amp;"D")</f>
        <v>57546</v>
      </c>
      <c r="AB2625" s="92">
        <v>1.1306683690987401E-2</v>
      </c>
      <c r="AC2625" s="101">
        <v>1.1391074924915756E-2</v>
      </c>
    </row>
    <row r="2626" spans="25:29" x14ac:dyDescent="0.2">
      <c r="Y2626" s="105" t="str">
        <f t="shared" si="74"/>
        <v>1w</v>
      </c>
      <c r="Z2626" s="93">
        <f>_xll.qlCalendarAdvance(Calendar,Z2625,Y2626,"f",FALSE)</f>
        <v>57551</v>
      </c>
      <c r="AA2626" s="117">
        <f>_xll.qlCalendarAdvance(Calendar,Z2626,NDays&amp;"D")</f>
        <v>57553</v>
      </c>
      <c r="AB2626" s="92">
        <v>1.1297672063574245E-2</v>
      </c>
      <c r="AC2626" s="101">
        <v>1.1382095079381926E-2</v>
      </c>
    </row>
    <row r="2627" spans="25:29" x14ac:dyDescent="0.2">
      <c r="Y2627" s="105" t="str">
        <f t="shared" si="74"/>
        <v>1w</v>
      </c>
      <c r="Z2627" s="93">
        <f>_xll.qlCalendarAdvance(Calendar,Z2626,Y2627,"f",FALSE)</f>
        <v>57558</v>
      </c>
      <c r="AA2627" s="117">
        <f>_xll.qlCalendarAdvance(Calendar,Z2627,NDays&amp;"D")</f>
        <v>57560</v>
      </c>
      <c r="AB2627" s="92">
        <v>1.1288662074344299E-2</v>
      </c>
      <c r="AC2627" s="101">
        <v>1.1373116563104801E-2</v>
      </c>
    </row>
    <row r="2628" spans="25:29" x14ac:dyDescent="0.2">
      <c r="Y2628" s="105" t="str">
        <f t="shared" si="74"/>
        <v>1w</v>
      </c>
      <c r="Z2628" s="93">
        <f>_xll.qlCalendarAdvance(Calendar,Z2627,Y2628,"f",FALSE)</f>
        <v>57565</v>
      </c>
      <c r="AA2628" s="117">
        <f>_xll.qlCalendarAdvance(Calendar,Z2628,NDays&amp;"D")</f>
        <v>57567</v>
      </c>
      <c r="AB2628" s="92">
        <v>1.1279653743313986E-2</v>
      </c>
      <c r="AC2628" s="101">
        <v>1.1364139396068396E-2</v>
      </c>
    </row>
    <row r="2629" spans="25:29" x14ac:dyDescent="0.2">
      <c r="Y2629" s="105" t="str">
        <f t="shared" si="74"/>
        <v>1w</v>
      </c>
      <c r="Z2629" s="93">
        <f>_xll.qlCalendarAdvance(Calendar,Z2628,Y2629,"f",FALSE)</f>
        <v>57572</v>
      </c>
      <c r="AA2629" s="117">
        <f>_xll.qlCalendarAdvance(Calendar,Z2629,NDays&amp;"D")</f>
        <v>57574</v>
      </c>
      <c r="AB2629" s="92">
        <v>1.1270647090497996E-2</v>
      </c>
      <c r="AC2629" s="101">
        <v>1.1355163598150142E-2</v>
      </c>
    </row>
    <row r="2630" spans="25:29" x14ac:dyDescent="0.2">
      <c r="Y2630" s="105" t="str">
        <f t="shared" si="74"/>
        <v>1w</v>
      </c>
      <c r="Z2630" s="93">
        <f>_xll.qlCalendarAdvance(Calendar,Z2629,Y2630,"f",FALSE)</f>
        <v>57579</v>
      </c>
      <c r="AA2630" s="117">
        <f>_xll.qlCalendarAdvance(Calendar,Z2630,NDays&amp;"D")</f>
        <v>57581</v>
      </c>
      <c r="AB2630" s="92">
        <v>1.1261642135908863E-2</v>
      </c>
      <c r="AC2630" s="101">
        <v>1.134618918930741E-2</v>
      </c>
    </row>
    <row r="2631" spans="25:29" x14ac:dyDescent="0.2">
      <c r="Y2631" s="105" t="str">
        <f t="shared" si="74"/>
        <v>1w</v>
      </c>
      <c r="Z2631" s="93">
        <f>_xll.qlCalendarAdvance(Calendar,Z2630,Y2631,"f",FALSE)</f>
        <v>57586</v>
      </c>
      <c r="AA2631" s="117">
        <f>_xll.qlCalendarAdvance(Calendar,Z2631,NDays&amp;"D")</f>
        <v>57588</v>
      </c>
      <c r="AB2631" s="92">
        <v>1.1254506576918328E-2</v>
      </c>
      <c r="AC2631" s="101">
        <v>1.1337216189444277E-2</v>
      </c>
    </row>
    <row r="2632" spans="25:29" x14ac:dyDescent="0.2">
      <c r="Y2632" s="105" t="str">
        <f t="shared" si="74"/>
        <v>1w</v>
      </c>
      <c r="Z2632" s="93">
        <f>_xll.qlCalendarAdvance(Calendar,Z2631,Y2632,"f",FALSE)</f>
        <v>57593</v>
      </c>
      <c r="AA2632" s="117">
        <f>_xll.qlCalendarAdvance(Calendar,Z2632,NDays&amp;"D")</f>
        <v>57595</v>
      </c>
      <c r="AB2632" s="92">
        <v>1.1245505677219825E-2</v>
      </c>
      <c r="AC2632" s="101">
        <v>1.1328244618518113E-2</v>
      </c>
    </row>
    <row r="2633" spans="25:29" x14ac:dyDescent="0.2">
      <c r="Y2633" s="105" t="str">
        <f t="shared" si="74"/>
        <v>1w</v>
      </c>
      <c r="Z2633" s="93">
        <f>_xll.qlCalendarAdvance(Calendar,Z2632,Y2633,"f",FALSE)</f>
        <v>57600</v>
      </c>
      <c r="AA2633" s="117">
        <f>_xll.qlCalendarAdvance(Calendar,Z2633,NDays&amp;"D")</f>
        <v>57602</v>
      </c>
      <c r="AB2633" s="92">
        <v>1.1236506528959654E-2</v>
      </c>
      <c r="AC2633" s="101">
        <v>1.1319274496459641E-2</v>
      </c>
    </row>
    <row r="2634" spans="25:29" x14ac:dyDescent="0.2">
      <c r="Y2634" s="105" t="str">
        <f t="shared" si="74"/>
        <v>1w</v>
      </c>
      <c r="Z2634" s="93">
        <f>_xll.qlCalendarAdvance(Calendar,Z2633,Y2634,"f",FALSE)</f>
        <v>57607</v>
      </c>
      <c r="AA2634" s="117">
        <f>_xll.qlCalendarAdvance(Calendar,Z2634,NDays&amp;"D")</f>
        <v>57609</v>
      </c>
      <c r="AB2634" s="92">
        <v>1.1227509152148768E-2</v>
      </c>
      <c r="AC2634" s="101">
        <v>1.1310305843066359E-2</v>
      </c>
    </row>
    <row r="2635" spans="25:29" x14ac:dyDescent="0.2">
      <c r="Y2635" s="105" t="str">
        <f t="shared" si="74"/>
        <v>1w</v>
      </c>
      <c r="Z2635" s="93">
        <f>_xll.qlCalendarAdvance(Calendar,Z2634,Y2635,"f",FALSE)</f>
        <v>57614</v>
      </c>
      <c r="AA2635" s="117">
        <f>_xll.qlCalendarAdvance(Calendar,Z2635,NDays&amp;"D")</f>
        <v>57616</v>
      </c>
      <c r="AB2635" s="92">
        <v>1.1218046093990597E-2</v>
      </c>
      <c r="AC2635" s="101">
        <v>1.1301338678428863E-2</v>
      </c>
    </row>
    <row r="2636" spans="25:29" x14ac:dyDescent="0.2">
      <c r="Y2636" s="105" t="str">
        <f t="shared" si="74"/>
        <v>1w</v>
      </c>
      <c r="Z2636" s="93">
        <f>_xll.qlCalendarAdvance(Calendar,Z2635,Y2636,"f",FALSE)</f>
        <v>57621</v>
      </c>
      <c r="AA2636" s="117">
        <f>_xll.qlCalendarAdvance(Calendar,Z2636,NDays&amp;"D")</f>
        <v>57623</v>
      </c>
      <c r="AB2636" s="92">
        <v>1.120905217709584E-2</v>
      </c>
      <c r="AC2636" s="101">
        <v>1.1292373022397939E-2</v>
      </c>
    </row>
    <row r="2637" spans="25:29" x14ac:dyDescent="0.2">
      <c r="Y2637" s="105" t="str">
        <f t="shared" si="74"/>
        <v>1w</v>
      </c>
      <c r="Z2637" s="93">
        <f>_xll.qlCalendarAdvance(Calendar,Z2636,Y2637,"f",FALSE)</f>
        <v>57628</v>
      </c>
      <c r="AA2637" s="117">
        <f>_xll.qlCalendarAdvance(Calendar,Z2637,NDays&amp;"D")</f>
        <v>57630</v>
      </c>
      <c r="AB2637" s="92">
        <v>1.1198188837126442E-2</v>
      </c>
      <c r="AC2637" s="101">
        <v>1.1283408894851021E-2</v>
      </c>
    </row>
    <row r="2638" spans="25:29" x14ac:dyDescent="0.2">
      <c r="Y2638" s="105" t="str">
        <f t="shared" si="74"/>
        <v>1w</v>
      </c>
      <c r="Z2638" s="93">
        <f>_xll.qlCalendarAdvance(Calendar,Z2637,Y2638,"f",FALSE)</f>
        <v>57635</v>
      </c>
      <c r="AA2638" s="117">
        <f>_xll.qlCalendarAdvance(Calendar,Z2638,NDays&amp;"D")</f>
        <v>57637</v>
      </c>
      <c r="AB2638" s="92">
        <v>1.1191069862886286E-2</v>
      </c>
      <c r="AC2638" s="101">
        <v>1.127444631579877E-2</v>
      </c>
    </row>
    <row r="2639" spans="25:29" x14ac:dyDescent="0.2">
      <c r="Y2639" s="105" t="str">
        <f t="shared" si="74"/>
        <v>1w</v>
      </c>
      <c r="Z2639" s="93">
        <f>_xll.qlCalendarAdvance(Calendar,Z2638,Y2639,"f",FALSE)</f>
        <v>57642</v>
      </c>
      <c r="AA2639" s="117">
        <f>_xll.qlCalendarAdvance(Calendar,Z2639,NDays&amp;"D")</f>
        <v>57644</v>
      </c>
      <c r="AB2639" s="92">
        <v>1.1182081505592223E-2</v>
      </c>
      <c r="AC2639" s="101">
        <v>1.1265485305118617E-2</v>
      </c>
    </row>
    <row r="2640" spans="25:29" x14ac:dyDescent="0.2">
      <c r="Y2640" s="105" t="str">
        <f t="shared" si="74"/>
        <v>1w</v>
      </c>
      <c r="Z2640" s="93">
        <f>_xll.qlCalendarAdvance(Calendar,Z2639,Y2640,"f",FALSE)</f>
        <v>57649</v>
      </c>
      <c r="AA2640" s="117">
        <f>_xll.qlCalendarAdvance(Calendar,Z2640,NDays&amp;"D")</f>
        <v>57651</v>
      </c>
      <c r="AB2640" s="92">
        <v>1.1173563212304947E-2</v>
      </c>
      <c r="AC2640" s="101">
        <v>1.1256525882714641E-2</v>
      </c>
    </row>
    <row r="2641" spans="25:29" x14ac:dyDescent="0.2">
      <c r="Y2641" s="105" t="str">
        <f t="shared" si="74"/>
        <v>1w</v>
      </c>
      <c r="Z2641" s="93">
        <f>_xll.qlCalendarAdvance(Calendar,Z2640,Y2641,"f",FALSE)</f>
        <v>57656</v>
      </c>
      <c r="AA2641" s="117">
        <f>_xll.qlCalendarAdvance(Calendar,Z2641,NDays&amp;"D")</f>
        <v>57658</v>
      </c>
      <c r="AB2641" s="92">
        <v>1.1164578795924137E-2</v>
      </c>
      <c r="AC2641" s="101">
        <v>1.1247568068570857E-2</v>
      </c>
    </row>
    <row r="2642" spans="25:29" x14ac:dyDescent="0.2">
      <c r="Y2642" s="105" t="str">
        <f t="shared" si="74"/>
        <v>1w</v>
      </c>
      <c r="Z2642" s="93">
        <f>_xll.qlCalendarAdvance(Calendar,Z2641,Y2642,"f",FALSE)</f>
        <v>57663</v>
      </c>
      <c r="AA2642" s="117">
        <f>_xll.qlCalendarAdvance(Calendar,Z2642,NDays&amp;"D")</f>
        <v>57665</v>
      </c>
      <c r="AB2642" s="92">
        <v>1.1155596311069207E-2</v>
      </c>
      <c r="AC2642" s="101">
        <v>1.1238611882564697E-2</v>
      </c>
    </row>
    <row r="2643" spans="25:29" x14ac:dyDescent="0.2">
      <c r="Y2643" s="105" t="str">
        <f t="shared" si="74"/>
        <v>1w</v>
      </c>
      <c r="Z2643" s="93">
        <f>_xll.qlCalendarAdvance(Calendar,Z2642,Y2643,"f",FALSE)</f>
        <v>57670</v>
      </c>
      <c r="AA2643" s="117">
        <f>_xll.qlCalendarAdvance(Calendar,Z2643,NDays&amp;"D")</f>
        <v>57672</v>
      </c>
      <c r="AB2643" s="92">
        <v>1.1146615777748019E-2</v>
      </c>
      <c r="AC2643" s="101">
        <v>1.1229657344600241E-2</v>
      </c>
    </row>
    <row r="2644" spans="25:29" x14ac:dyDescent="0.2">
      <c r="Y2644" s="105" t="str">
        <f t="shared" si="74"/>
        <v>1w</v>
      </c>
      <c r="Z2644" s="93">
        <f>_xll.qlCalendarAdvance(Calendar,Z2643,Y2644,"f",FALSE)</f>
        <v>57677</v>
      </c>
      <c r="AA2644" s="117">
        <f>_xll.qlCalendarAdvance(Calendar,Z2644,NDays&amp;"D")</f>
        <v>57679</v>
      </c>
      <c r="AB2644" s="92">
        <v>1.1137168517599791E-2</v>
      </c>
      <c r="AC2644" s="101">
        <v>1.1220704474661503E-2</v>
      </c>
    </row>
    <row r="2645" spans="25:29" x14ac:dyDescent="0.2">
      <c r="Y2645" s="105" t="str">
        <f t="shared" ref="Y2645:Y2708" si="75">Y2644</f>
        <v>1w</v>
      </c>
      <c r="Z2645" s="93">
        <f>_xll.qlCalendarAdvance(Calendar,Z2644,Y2645,"f",FALSE)</f>
        <v>57684</v>
      </c>
      <c r="AA2645" s="117">
        <f>_xll.qlCalendarAdvance(Calendar,Z2645,NDays&amp;"D")</f>
        <v>57686</v>
      </c>
      <c r="AB2645" s="92">
        <v>1.1128191819755396E-2</v>
      </c>
      <c r="AC2645" s="101">
        <v>1.1211753292625914E-2</v>
      </c>
    </row>
    <row r="2646" spans="25:29" x14ac:dyDescent="0.2">
      <c r="Y2646" s="105" t="str">
        <f t="shared" si="75"/>
        <v>1w</v>
      </c>
      <c r="Z2646" s="93">
        <f>_xll.qlCalendarAdvance(Calendar,Z2645,Y2646,"f",FALSE)</f>
        <v>57691</v>
      </c>
      <c r="AA2646" s="117">
        <f>_xll.qlCalendarAdvance(Calendar,Z2646,NDays&amp;"D")</f>
        <v>57693</v>
      </c>
      <c r="AB2646" s="92">
        <v>1.1119217135180114E-2</v>
      </c>
      <c r="AC2646" s="101">
        <v>1.1202803818424201E-2</v>
      </c>
    </row>
    <row r="2647" spans="25:29" x14ac:dyDescent="0.2">
      <c r="Y2647" s="105" t="str">
        <f t="shared" si="75"/>
        <v>1w</v>
      </c>
      <c r="Z2647" s="93">
        <f>_xll.qlCalendarAdvance(Calendar,Z2646,Y2647,"f",FALSE)</f>
        <v>57698</v>
      </c>
      <c r="AA2647" s="117">
        <f>_xll.qlCalendarAdvance(Calendar,Z2647,NDays&amp;"D")</f>
        <v>57700</v>
      </c>
      <c r="AB2647" s="92">
        <v>1.1110244483882113E-2</v>
      </c>
      <c r="AC2647" s="101">
        <v>1.119385607201373E-2</v>
      </c>
    </row>
    <row r="2648" spans="25:29" x14ac:dyDescent="0.2">
      <c r="Y2648" s="105" t="str">
        <f t="shared" si="75"/>
        <v>1w</v>
      </c>
      <c r="Z2648" s="93">
        <f>_xll.qlCalendarAdvance(Calendar,Z2647,Y2648,"f",FALSE)</f>
        <v>57706</v>
      </c>
      <c r="AA2648" s="117">
        <f>_xll.qlCalendarAdvance(Calendar,Z2648,NDays&amp;"D")</f>
        <v>57710</v>
      </c>
      <c r="AB2648" s="92">
        <v>1.1098837666212495E-2</v>
      </c>
      <c r="AC2648" s="101">
        <v>1.1181541846867482E-2</v>
      </c>
    </row>
    <row r="2649" spans="25:29" x14ac:dyDescent="0.2">
      <c r="Y2649" s="105" t="str">
        <f t="shared" si="75"/>
        <v>1w</v>
      </c>
      <c r="Z2649" s="93">
        <f>_xll.qlCalendarAdvance(Calendar,Z2648,Y2649,"f",FALSE)</f>
        <v>57713</v>
      </c>
      <c r="AA2649" s="117">
        <f>_xll.qlCalendarAdvance(Calendar,Z2649,NDays&amp;"D")</f>
        <v>57717</v>
      </c>
      <c r="AB2649" s="92">
        <v>1.1088462347325238E-2</v>
      </c>
      <c r="AC2649" s="101">
        <v>1.1173063888811896E-2</v>
      </c>
    </row>
    <row r="2650" spans="25:29" x14ac:dyDescent="0.2">
      <c r="Y2650" s="105" t="str">
        <f t="shared" si="75"/>
        <v>1w</v>
      </c>
      <c r="Z2650" s="93">
        <f>_xll.qlCalendarAdvance(Calendar,Z2649,Y2650,"f",FALSE)</f>
        <v>57720</v>
      </c>
      <c r="AA2650" s="117">
        <f>_xll.qlCalendarAdvance(Calendar,Z2650,NDays&amp;"D")</f>
        <v>57724</v>
      </c>
      <c r="AB2650" s="92">
        <v>1.1079496819145596E-2</v>
      </c>
      <c r="AC2650" s="101">
        <v>1.1164122514211172E-2</v>
      </c>
    </row>
    <row r="2651" spans="25:29" x14ac:dyDescent="0.2">
      <c r="Y2651" s="105" t="str">
        <f t="shared" si="75"/>
        <v>1w</v>
      </c>
      <c r="Z2651" s="93">
        <f>_xll.qlCalendarAdvance(Calendar,Z2650,Y2651,"f",FALSE)</f>
        <v>57727</v>
      </c>
      <c r="AA2651" s="117">
        <f>_xll.qlCalendarAdvance(Calendar,Z2651,NDays&amp;"D")</f>
        <v>57731</v>
      </c>
      <c r="AB2651" s="92">
        <v>1.1070533412840061E-2</v>
      </c>
      <c r="AC2651" s="101">
        <v>1.1155182952240494E-2</v>
      </c>
    </row>
    <row r="2652" spans="25:29" x14ac:dyDescent="0.2">
      <c r="Y2652" s="105" t="str">
        <f t="shared" si="75"/>
        <v>1w</v>
      </c>
      <c r="Z2652" s="93">
        <f>_xll.qlCalendarAdvance(Calendar,Z2651,Y2652,"f",FALSE)</f>
        <v>57734</v>
      </c>
      <c r="AA2652" s="117">
        <f>_xll.qlCalendarAdvance(Calendar,Z2652,NDays&amp;"D")</f>
        <v>57738</v>
      </c>
      <c r="AB2652" s="92">
        <v>1.1061572148413726E-2</v>
      </c>
      <c r="AC2652" s="101">
        <v>1.1146245222803941E-2</v>
      </c>
    </row>
    <row r="2653" spans="25:29" x14ac:dyDescent="0.2">
      <c r="Y2653" s="105" t="str">
        <f t="shared" si="75"/>
        <v>1w</v>
      </c>
      <c r="Z2653" s="93">
        <f>_xll.qlCalendarAdvance(Calendar,Z2652,Y2653,"f",FALSE)</f>
        <v>57741</v>
      </c>
      <c r="AA2653" s="117">
        <f>_xll.qlCalendarAdvance(Calendar,Z2653,NDays&amp;"D")</f>
        <v>57745</v>
      </c>
      <c r="AB2653" s="92">
        <v>1.1052613045873008E-2</v>
      </c>
      <c r="AC2653" s="101">
        <v>1.1137309345965463E-2</v>
      </c>
    </row>
    <row r="2654" spans="25:29" x14ac:dyDescent="0.2">
      <c r="Y2654" s="105" t="str">
        <f t="shared" si="75"/>
        <v>1w</v>
      </c>
      <c r="Z2654" s="93">
        <f>_xll.qlCalendarAdvance(Calendar,Z2653,Y2654,"f",FALSE)</f>
        <v>57748</v>
      </c>
      <c r="AA2654" s="117">
        <f>_xll.qlCalendarAdvance(Calendar,Z2654,NDays&amp;"D")</f>
        <v>57752</v>
      </c>
      <c r="AB2654" s="92">
        <v>1.1043656125220805E-2</v>
      </c>
      <c r="AC2654" s="101">
        <v>1.1128375341309393E-2</v>
      </c>
    </row>
    <row r="2655" spans="25:29" x14ac:dyDescent="0.2">
      <c r="Y2655" s="105" t="str">
        <f t="shared" si="75"/>
        <v>1w</v>
      </c>
      <c r="Z2655" s="93">
        <f>_xll.qlCalendarAdvance(Calendar,Z2654,Y2655,"f",FALSE)</f>
        <v>57755</v>
      </c>
      <c r="AA2655" s="117">
        <f>_xll.qlCalendarAdvance(Calendar,Z2655,NDays&amp;"D")</f>
        <v>57759</v>
      </c>
      <c r="AB2655" s="92">
        <v>1.1034701406460456E-2</v>
      </c>
      <c r="AC2655" s="101">
        <v>1.1119443228819748E-2</v>
      </c>
    </row>
    <row r="2656" spans="25:29" x14ac:dyDescent="0.2">
      <c r="Y2656" s="105" t="str">
        <f t="shared" si="75"/>
        <v>1w</v>
      </c>
      <c r="Z2656" s="93">
        <f>_xll.qlCalendarAdvance(Calendar,Z2655,Y2656,"f",FALSE)</f>
        <v>57762</v>
      </c>
      <c r="AA2656" s="117">
        <f>_xll.qlCalendarAdvance(Calendar,Z2656,NDays&amp;"D")</f>
        <v>57766</v>
      </c>
      <c r="AB2656" s="92">
        <v>1.1025748909597941E-2</v>
      </c>
      <c r="AC2656" s="101">
        <v>1.111051302888022E-2</v>
      </c>
    </row>
    <row r="2657" spans="25:29" x14ac:dyDescent="0.2">
      <c r="Y2657" s="105" t="str">
        <f t="shared" si="75"/>
        <v>1w</v>
      </c>
      <c r="Z2657" s="93">
        <f>_xll.qlCalendarAdvance(Calendar,Z2656,Y2657,"f",FALSE)</f>
        <v>57769</v>
      </c>
      <c r="AA2657" s="117">
        <f>_xll.qlCalendarAdvance(Calendar,Z2657,NDays&amp;"D")</f>
        <v>57773</v>
      </c>
      <c r="AB2657" s="92">
        <v>1.101585805881344E-2</v>
      </c>
      <c r="AC2657" s="101">
        <v>1.1101584760835337E-2</v>
      </c>
    </row>
    <row r="2658" spans="25:29" x14ac:dyDescent="0.2">
      <c r="Y2658" s="105" t="str">
        <f t="shared" si="75"/>
        <v>1w</v>
      </c>
      <c r="Z2658" s="93">
        <f>_xll.qlCalendarAdvance(Calendar,Z2657,Y2658,"f",FALSE)</f>
        <v>57776</v>
      </c>
      <c r="AA2658" s="117">
        <f>_xll.qlCalendarAdvance(Calendar,Z2658,NDays&amp;"D")</f>
        <v>57780</v>
      </c>
      <c r="AB2658" s="92">
        <v>1.1006909857127732E-2</v>
      </c>
      <c r="AC2658" s="101">
        <v>1.1092658444669112E-2</v>
      </c>
    </row>
    <row r="2659" spans="25:29" x14ac:dyDescent="0.2">
      <c r="Y2659" s="105" t="str">
        <f t="shared" si="75"/>
        <v>1w</v>
      </c>
      <c r="Z2659" s="93">
        <f>_xll.qlCalendarAdvance(Calendar,Z2658,Y2659,"f",FALSE)</f>
        <v>57783</v>
      </c>
      <c r="AA2659" s="117">
        <f>_xll.qlCalendarAdvance(Calendar,Z2659,NDays&amp;"D")</f>
        <v>57787</v>
      </c>
      <c r="AB2659" s="92">
        <v>1.0997963940787848E-2</v>
      </c>
      <c r="AC2659" s="101">
        <v>1.1083734100925113E-2</v>
      </c>
    </row>
    <row r="2660" spans="25:29" x14ac:dyDescent="0.2">
      <c r="Y2660" s="105" t="str">
        <f t="shared" si="75"/>
        <v>1w</v>
      </c>
      <c r="Z2660" s="93">
        <f>_xll.qlCalendarAdvance(Calendar,Z2659,Y2660,"f",FALSE)</f>
        <v>57790</v>
      </c>
      <c r="AA2660" s="117">
        <f>_xll.qlCalendarAdvance(Calendar,Z2660,NDays&amp;"D")</f>
        <v>57794</v>
      </c>
      <c r="AB2660" s="92">
        <v>1.0989020329794749E-2</v>
      </c>
      <c r="AC2660" s="101">
        <v>1.1074811748787994E-2</v>
      </c>
    </row>
    <row r="2661" spans="25:29" x14ac:dyDescent="0.2">
      <c r="Y2661" s="105" t="str">
        <f t="shared" si="75"/>
        <v>1w</v>
      </c>
      <c r="Z2661" s="93">
        <f>_xll.qlCalendarAdvance(Calendar,Z2660,Y2661,"f",FALSE)</f>
        <v>57797</v>
      </c>
      <c r="AA2661" s="117">
        <f>_xll.qlCalendarAdvance(Calendar,Z2661,NDays&amp;"D")</f>
        <v>57801</v>
      </c>
      <c r="AB2661" s="92">
        <v>1.0980549758315189E-2</v>
      </c>
      <c r="AC2661" s="101">
        <v>1.1065891408481576E-2</v>
      </c>
    </row>
    <row r="2662" spans="25:29" x14ac:dyDescent="0.2">
      <c r="Y2662" s="105" t="str">
        <f t="shared" si="75"/>
        <v>1w</v>
      </c>
      <c r="Z2662" s="93">
        <f>_xll.qlCalendarAdvance(Calendar,Z2661,Y2662,"f",FALSE)</f>
        <v>57804</v>
      </c>
      <c r="AA2662" s="117">
        <f>_xll.qlCalendarAdvance(Calendar,Z2662,NDays&amp;"D")</f>
        <v>57808</v>
      </c>
      <c r="AB2662" s="92">
        <v>1.0971610915370225E-2</v>
      </c>
      <c r="AC2662" s="101">
        <v>1.1056973099989875E-2</v>
      </c>
    </row>
    <row r="2663" spans="25:29" x14ac:dyDescent="0.2">
      <c r="Y2663" s="105" t="str">
        <f t="shared" si="75"/>
        <v>1w</v>
      </c>
      <c r="Z2663" s="93">
        <f>_xll.qlCalendarAdvance(Calendar,Z2662,Y2663,"f",FALSE)</f>
        <v>57811</v>
      </c>
      <c r="AA2663" s="117">
        <f>_xll.qlCalendarAdvance(Calendar,Z2663,NDays&amp;"D")</f>
        <v>57817</v>
      </c>
      <c r="AB2663" s="92">
        <v>1.0960121593191987E-2</v>
      </c>
      <c r="AC2663" s="101">
        <v>1.1045509720863933E-2</v>
      </c>
    </row>
    <row r="2664" spans="25:29" x14ac:dyDescent="0.2">
      <c r="Y2664" s="105" t="str">
        <f t="shared" si="75"/>
        <v>1w</v>
      </c>
      <c r="Z2664" s="93">
        <f>_xll.qlCalendarAdvance(Calendar,Z2663,Y2664,"f",FALSE)</f>
        <v>57818</v>
      </c>
      <c r="AA2664" s="117">
        <f>_xll.qlCalendarAdvance(Calendar,Z2664,NDays&amp;"D")</f>
        <v>57822</v>
      </c>
      <c r="AB2664" s="92">
        <v>1.0953740340382764E-2</v>
      </c>
      <c r="AC2664" s="101">
        <v>1.1039142657907064E-2</v>
      </c>
    </row>
    <row r="2665" spans="25:29" x14ac:dyDescent="0.2">
      <c r="Y2665" s="105" t="str">
        <f t="shared" si="75"/>
        <v>1w</v>
      </c>
      <c r="Z2665" s="93">
        <f>_xll.qlCalendarAdvance(Calendar,Z2664,Y2665,"f",FALSE)</f>
        <v>57825</v>
      </c>
      <c r="AA2665" s="117">
        <f>_xll.qlCalendarAdvance(Calendar,Z2665,NDays&amp;"D")</f>
        <v>57829</v>
      </c>
      <c r="AB2665" s="92">
        <v>1.0944808648341931E-2</v>
      </c>
      <c r="AC2665" s="101">
        <v>1.1030230564124111E-2</v>
      </c>
    </row>
    <row r="2666" spans="25:29" x14ac:dyDescent="0.2">
      <c r="Y2666" s="105" t="str">
        <f t="shared" si="75"/>
        <v>1w</v>
      </c>
      <c r="Z2666" s="93">
        <f>_xll.qlCalendarAdvance(Calendar,Z2665,Y2666,"f",FALSE)</f>
        <v>57832</v>
      </c>
      <c r="AA2666" s="117">
        <f>_xll.qlCalendarAdvance(Calendar,Z2666,NDays&amp;"D")</f>
        <v>57836</v>
      </c>
      <c r="AB2666" s="92">
        <v>1.0935408196254319E-2</v>
      </c>
      <c r="AC2666" s="101">
        <v>1.1021320581852123E-2</v>
      </c>
    </row>
    <row r="2667" spans="25:29" x14ac:dyDescent="0.2">
      <c r="Y2667" s="105" t="str">
        <f t="shared" si="75"/>
        <v>1w</v>
      </c>
      <c r="Z2667" s="93">
        <f>_xll.qlCalendarAdvance(Calendar,Z2666,Y2667,"f",FALSE)</f>
        <v>57839</v>
      </c>
      <c r="AA2667" s="117">
        <f>_xll.qlCalendarAdvance(Calendar,Z2667,NDays&amp;"D")</f>
        <v>57843</v>
      </c>
      <c r="AB2667" s="92">
        <v>1.0926481282748526E-2</v>
      </c>
      <c r="AC2667" s="101">
        <v>1.1012412730835308E-2</v>
      </c>
    </row>
    <row r="2668" spans="25:29" x14ac:dyDescent="0.2">
      <c r="Y2668" s="105" t="str">
        <f t="shared" si="75"/>
        <v>1w</v>
      </c>
      <c r="Z2668" s="93">
        <f>_xll.qlCalendarAdvance(Calendar,Z2667,Y2668,"f",FALSE)</f>
        <v>57846</v>
      </c>
      <c r="AA2668" s="117">
        <f>_xll.qlCalendarAdvance(Calendar,Z2668,NDays&amp;"D")</f>
        <v>57850</v>
      </c>
      <c r="AB2668" s="92">
        <v>1.0917556834601518E-2</v>
      </c>
      <c r="AC2668" s="101">
        <v>1.1003507031217552E-2</v>
      </c>
    </row>
    <row r="2669" spans="25:29" x14ac:dyDescent="0.2">
      <c r="Y2669" s="105" t="str">
        <f t="shared" si="75"/>
        <v>1w</v>
      </c>
      <c r="Z2669" s="93">
        <f>_xll.qlCalendarAdvance(Calendar,Z2668,Y2669,"f",FALSE)</f>
        <v>57853</v>
      </c>
      <c r="AA2669" s="117">
        <f>_xll.qlCalendarAdvance(Calendar,Z2669,NDays&amp;"D")</f>
        <v>57857</v>
      </c>
      <c r="AB2669" s="92">
        <v>1.0908634871813821E-2</v>
      </c>
      <c r="AC2669" s="101">
        <v>1.0994603502663125E-2</v>
      </c>
    </row>
    <row r="2670" spans="25:29" x14ac:dyDescent="0.2">
      <c r="Y2670" s="105" t="str">
        <f t="shared" si="75"/>
        <v>1w</v>
      </c>
      <c r="Z2670" s="93">
        <f>_xll.qlCalendarAdvance(Calendar,Z2669,Y2670,"f",FALSE)</f>
        <v>57860</v>
      </c>
      <c r="AA2670" s="117">
        <f>_xll.qlCalendarAdvance(Calendar,Z2670,NDays&amp;"D")</f>
        <v>57864</v>
      </c>
      <c r="AB2670" s="92">
        <v>1.0900186942673354E-2</v>
      </c>
      <c r="AC2670" s="101">
        <v>1.0985702165235978E-2</v>
      </c>
    </row>
    <row r="2671" spans="25:29" x14ac:dyDescent="0.2">
      <c r="Y2671" s="105" t="str">
        <f t="shared" si="75"/>
        <v>1w</v>
      </c>
      <c r="Z2671" s="93">
        <f>_xll.qlCalendarAdvance(Calendar,Z2670,Y2671,"f",FALSE)</f>
        <v>57867</v>
      </c>
      <c r="AA2671" s="117">
        <f>_xll.qlCalendarAdvance(Calendar,Z2671,NDays&amp;"D")</f>
        <v>57871</v>
      </c>
      <c r="AB2671" s="92">
        <v>1.0891270092443797E-2</v>
      </c>
      <c r="AC2671" s="101">
        <v>1.0976803038920124E-2</v>
      </c>
    </row>
    <row r="2672" spans="25:29" x14ac:dyDescent="0.2">
      <c r="Y2672" s="105" t="str">
        <f t="shared" si="75"/>
        <v>1w</v>
      </c>
      <c r="Z2672" s="93">
        <f>_xll.qlCalendarAdvance(Calendar,Z2671,Y2672,"f",FALSE)</f>
        <v>57874</v>
      </c>
      <c r="AA2672" s="117">
        <f>_xll.qlCalendarAdvance(Calendar,Z2672,NDays&amp;"D")</f>
        <v>57878</v>
      </c>
      <c r="AB2672" s="92">
        <v>1.0882355785845994E-2</v>
      </c>
      <c r="AC2672" s="101">
        <v>1.096790614369958E-2</v>
      </c>
    </row>
    <row r="2673" spans="25:29" x14ac:dyDescent="0.2">
      <c r="Y2673" s="105" t="str">
        <f t="shared" si="75"/>
        <v>1w</v>
      </c>
      <c r="Z2673" s="93">
        <f>_xll.qlCalendarAdvance(Calendar,Z2672,Y2673,"f",FALSE)</f>
        <v>57881</v>
      </c>
      <c r="AA2673" s="117">
        <f>_xll.qlCalendarAdvance(Calendar,Z2673,NDays&amp;"D")</f>
        <v>57885</v>
      </c>
      <c r="AB2673" s="92">
        <v>1.0873444042877937E-2</v>
      </c>
      <c r="AC2673" s="101">
        <v>1.0959011499158677E-2</v>
      </c>
    </row>
    <row r="2674" spans="25:29" x14ac:dyDescent="0.2">
      <c r="Y2674" s="105" t="str">
        <f t="shared" si="75"/>
        <v>1w</v>
      </c>
      <c r="Z2674" s="93">
        <f>_xll.qlCalendarAdvance(Calendar,Z2673,Y2674,"f",FALSE)</f>
        <v>57888</v>
      </c>
      <c r="AA2674" s="117">
        <f>_xll.qlCalendarAdvance(Calendar,Z2674,NDays&amp;"D")</f>
        <v>57892</v>
      </c>
      <c r="AB2674" s="92">
        <v>1.0863591176509532E-2</v>
      </c>
      <c r="AC2674" s="101">
        <v>1.0950119125441304E-2</v>
      </c>
    </row>
    <row r="2675" spans="25:29" x14ac:dyDescent="0.2">
      <c r="Y2675" s="105" t="str">
        <f t="shared" si="75"/>
        <v>1w</v>
      </c>
      <c r="Z2675" s="93">
        <f>_xll.qlCalendarAdvance(Calendar,Z2674,Y2675,"f",FALSE)</f>
        <v>57895</v>
      </c>
      <c r="AA2675" s="117">
        <f>_xll.qlCalendarAdvance(Calendar,Z2675,NDays&amp;"D")</f>
        <v>57899</v>
      </c>
      <c r="AB2675" s="92">
        <v>1.0855156407575107E-2</v>
      </c>
      <c r="AC2675" s="101">
        <v>1.0941229042531475E-2</v>
      </c>
    </row>
    <row r="2676" spans="25:29" x14ac:dyDescent="0.2">
      <c r="Y2676" s="105" t="str">
        <f t="shared" si="75"/>
        <v>1w</v>
      </c>
      <c r="Z2676" s="93">
        <f>_xll.qlCalendarAdvance(Calendar,Z2675,Y2676,"f",FALSE)</f>
        <v>57902</v>
      </c>
      <c r="AA2676" s="117">
        <f>_xll.qlCalendarAdvance(Calendar,Z2676,NDays&amp;"D")</f>
        <v>57906</v>
      </c>
      <c r="AB2676" s="92">
        <v>1.0846252402266825E-2</v>
      </c>
      <c r="AC2676" s="101">
        <v>1.0932341270253332E-2</v>
      </c>
    </row>
    <row r="2677" spans="25:29" x14ac:dyDescent="0.2">
      <c r="Y2677" s="105" t="str">
        <f t="shared" si="75"/>
        <v>1w</v>
      </c>
      <c r="Z2677" s="93">
        <f>_xll.qlCalendarAdvance(Calendar,Z2676,Y2677,"f",FALSE)</f>
        <v>57909</v>
      </c>
      <c r="AA2677" s="117">
        <f>_xll.qlCalendarAdvance(Calendar,Z2677,NDays&amp;"D")</f>
        <v>57913</v>
      </c>
      <c r="AB2677" s="92">
        <v>1.0837351042304226E-2</v>
      </c>
      <c r="AC2677" s="101">
        <v>1.0923455828510953E-2</v>
      </c>
    </row>
    <row r="2678" spans="25:29" x14ac:dyDescent="0.2">
      <c r="Y2678" s="105" t="str">
        <f t="shared" si="75"/>
        <v>1w</v>
      </c>
      <c r="Z2678" s="93">
        <f>_xll.qlCalendarAdvance(Calendar,Z2677,Y2678,"f",FALSE)</f>
        <v>57916</v>
      </c>
      <c r="AA2678" s="117">
        <f>_xll.qlCalendarAdvance(Calendar,Z2678,NDays&amp;"D")</f>
        <v>57920</v>
      </c>
      <c r="AB2678" s="92">
        <v>1.0828452347684356E-2</v>
      </c>
      <c r="AC2678" s="101">
        <v>1.0914572737448225E-2</v>
      </c>
    </row>
    <row r="2679" spans="25:29" x14ac:dyDescent="0.2">
      <c r="Y2679" s="105" t="str">
        <f t="shared" si="75"/>
        <v>1w</v>
      </c>
      <c r="Z2679" s="93">
        <f>_xll.qlCalendarAdvance(Calendar,Z2678,Y2679,"f",FALSE)</f>
        <v>57923</v>
      </c>
      <c r="AA2679" s="117">
        <f>_xll.qlCalendarAdvance(Calendar,Z2679,NDays&amp;"D")</f>
        <v>57927</v>
      </c>
      <c r="AB2679" s="92">
        <v>1.0819556338402959E-2</v>
      </c>
      <c r="AC2679" s="101">
        <v>1.0905692016729418E-2</v>
      </c>
    </row>
    <row r="2680" spans="25:29" x14ac:dyDescent="0.2">
      <c r="Y2680" s="105" t="str">
        <f t="shared" si="75"/>
        <v>1w</v>
      </c>
      <c r="Z2680" s="93">
        <f>_xll.qlCalendarAdvance(Calendar,Z2679,Y2680,"f",FALSE)</f>
        <v>57930</v>
      </c>
      <c r="AA2680" s="117">
        <f>_xll.qlCalendarAdvance(Calendar,Z2680,NDays&amp;"D")</f>
        <v>57934</v>
      </c>
      <c r="AB2680" s="92">
        <v>1.0810663034454477E-2</v>
      </c>
      <c r="AC2680" s="101">
        <v>1.0896813686178675E-2</v>
      </c>
    </row>
    <row r="2681" spans="25:29" x14ac:dyDescent="0.2">
      <c r="Y2681" s="105" t="str">
        <f t="shared" si="75"/>
        <v>1w</v>
      </c>
      <c r="Z2681" s="93">
        <f>_xll.qlCalendarAdvance(Calendar,Z2680,Y2681,"f",FALSE)</f>
        <v>57937</v>
      </c>
      <c r="AA2681" s="117">
        <f>_xll.qlCalendarAdvance(Calendar,Z2681,NDays&amp;"D")</f>
        <v>57941</v>
      </c>
      <c r="AB2681" s="92">
        <v>1.080177245583726E-2</v>
      </c>
      <c r="AC2681" s="101">
        <v>1.0887937766019817E-2</v>
      </c>
    </row>
    <row r="2682" spans="25:29" x14ac:dyDescent="0.2">
      <c r="Y2682" s="105" t="str">
        <f t="shared" si="75"/>
        <v>1w</v>
      </c>
      <c r="Z2682" s="93">
        <f>_xll.qlCalendarAdvance(Calendar,Z2681,Y2682,"f",FALSE)</f>
        <v>57944</v>
      </c>
      <c r="AA2682" s="117">
        <f>_xll.qlCalendarAdvance(Calendar,Z2682,NDays&amp;"D")</f>
        <v>57948</v>
      </c>
      <c r="AB2682" s="92">
        <v>1.0792884622544879E-2</v>
      </c>
      <c r="AC2682" s="101">
        <v>1.0879064276076988E-2</v>
      </c>
    </row>
    <row r="2683" spans="25:29" x14ac:dyDescent="0.2">
      <c r="Y2683" s="105" t="str">
        <f t="shared" si="75"/>
        <v>1w</v>
      </c>
      <c r="Z2683" s="93">
        <f>_xll.qlCalendarAdvance(Calendar,Z2682,Y2683,"f",FALSE)</f>
        <v>57951</v>
      </c>
      <c r="AA2683" s="117">
        <f>_xll.qlCalendarAdvance(Calendar,Z2683,NDays&amp;"D")</f>
        <v>57955</v>
      </c>
      <c r="AB2683" s="92">
        <v>1.0784944454866373E-2</v>
      </c>
      <c r="AC2683" s="101">
        <v>1.0870193236254266E-2</v>
      </c>
    </row>
    <row r="2684" spans="25:29" x14ac:dyDescent="0.2">
      <c r="Y2684" s="105" t="str">
        <f t="shared" si="75"/>
        <v>1w</v>
      </c>
      <c r="Z2684" s="93">
        <f>_xll.qlCalendarAdvance(Calendar,Z2683,Y2684,"f",FALSE)</f>
        <v>57958</v>
      </c>
      <c r="AA2684" s="117">
        <f>_xll.qlCalendarAdvance(Calendar,Z2684,NDays&amp;"D")</f>
        <v>57962</v>
      </c>
      <c r="AB2684" s="92">
        <v>1.0776062291161615E-2</v>
      </c>
      <c r="AC2684" s="101">
        <v>1.0861324666455729E-2</v>
      </c>
    </row>
    <row r="2685" spans="25:29" x14ac:dyDescent="0.2">
      <c r="Y2685" s="105" t="str">
        <f t="shared" si="75"/>
        <v>1w</v>
      </c>
      <c r="Z2685" s="93">
        <f>_xll.qlCalendarAdvance(Calendar,Z2684,Y2685,"f",FALSE)</f>
        <v>57965</v>
      </c>
      <c r="AA2685" s="117">
        <f>_xll.qlCalendarAdvance(Calendar,Z2685,NDays&amp;"D")</f>
        <v>57969</v>
      </c>
      <c r="AB2685" s="92">
        <v>1.0767182929305721E-2</v>
      </c>
      <c r="AC2685" s="101">
        <v>1.085245858650552E-2</v>
      </c>
    </row>
    <row r="2686" spans="25:29" x14ac:dyDescent="0.2">
      <c r="Y2686" s="105" t="str">
        <f t="shared" si="75"/>
        <v>1w</v>
      </c>
      <c r="Z2686" s="93">
        <f>_xll.qlCalendarAdvance(Calendar,Z2685,Y2686,"f",FALSE)</f>
        <v>57972</v>
      </c>
      <c r="AA2686" s="117">
        <f>_xll.qlCalendarAdvance(Calendar,Z2686,NDays&amp;"D")</f>
        <v>57976</v>
      </c>
      <c r="AB2686" s="92">
        <v>1.0758306389294123E-2</v>
      </c>
      <c r="AC2686" s="101">
        <v>1.0843595016627461E-2</v>
      </c>
    </row>
    <row r="2687" spans="25:29" x14ac:dyDescent="0.2">
      <c r="Y2687" s="105" t="str">
        <f t="shared" si="75"/>
        <v>1w</v>
      </c>
      <c r="Z2687" s="93">
        <f>_xll.qlCalendarAdvance(Calendar,Z2686,Y2687,"f",FALSE)</f>
        <v>57979</v>
      </c>
      <c r="AA2687" s="117">
        <f>_xll.qlCalendarAdvance(Calendar,Z2687,NDays&amp;"D")</f>
        <v>57983</v>
      </c>
      <c r="AB2687" s="92">
        <v>1.0751323230971681E-2</v>
      </c>
      <c r="AC2687" s="101">
        <v>1.0834733976405886E-2</v>
      </c>
    </row>
    <row r="2688" spans="25:29" x14ac:dyDescent="0.2">
      <c r="Y2688" s="105" t="str">
        <f t="shared" si="75"/>
        <v>1w</v>
      </c>
      <c r="Z2688" s="93">
        <f>_xll.qlCalendarAdvance(Calendar,Z2687,Y2688,"f",FALSE)</f>
        <v>57986</v>
      </c>
      <c r="AA2688" s="117">
        <f>_xll.qlCalendarAdvance(Calendar,Z2688,NDays&amp;"D")</f>
        <v>57990</v>
      </c>
      <c r="AB2688" s="92">
        <v>1.0740561854769303E-2</v>
      </c>
      <c r="AC2688" s="101">
        <v>1.0825875485984682E-2</v>
      </c>
    </row>
    <row r="2689" spans="25:29" x14ac:dyDescent="0.2">
      <c r="Y2689" s="105" t="str">
        <f t="shared" si="75"/>
        <v>1w</v>
      </c>
      <c r="Z2689" s="93">
        <f>_xll.qlCalendarAdvance(Calendar,Z2688,Y2689,"f",FALSE)</f>
        <v>57993</v>
      </c>
      <c r="AA2689" s="117">
        <f>_xll.qlCalendarAdvance(Calendar,Z2689,NDays&amp;"D")</f>
        <v>57997</v>
      </c>
      <c r="AB2689" s="92">
        <v>1.0731693900241677E-2</v>
      </c>
      <c r="AC2689" s="101">
        <v>1.0817019565187991E-2</v>
      </c>
    </row>
    <row r="2690" spans="25:29" x14ac:dyDescent="0.2">
      <c r="Y2690" s="105" t="str">
        <f t="shared" si="75"/>
        <v>1w</v>
      </c>
      <c r="Z2690" s="93">
        <f>_xll.qlCalendarAdvance(Calendar,Z2689,Y2690,"f",FALSE)</f>
        <v>58000</v>
      </c>
      <c r="AA2690" s="117">
        <f>_xll.qlCalendarAdvance(Calendar,Z2690,NDays&amp;"D")</f>
        <v>58004</v>
      </c>
      <c r="AB2690" s="92">
        <v>1.0722828847526468E-2</v>
      </c>
      <c r="AC2690" s="101">
        <v>1.0808166233919891E-2</v>
      </c>
    </row>
    <row r="2691" spans="25:29" x14ac:dyDescent="0.2">
      <c r="Y2691" s="105" t="str">
        <f t="shared" si="75"/>
        <v>1w</v>
      </c>
      <c r="Z2691" s="93">
        <f>_xll.qlCalendarAdvance(Calendar,Z2690,Y2691,"f",FALSE)</f>
        <v>58007</v>
      </c>
      <c r="AA2691" s="117">
        <f>_xll.qlCalendarAdvance(Calendar,Z2691,NDays&amp;"D")</f>
        <v>58011</v>
      </c>
      <c r="AB2691" s="92">
        <v>1.0713966716615156E-2</v>
      </c>
      <c r="AC2691" s="101">
        <v>1.0799315512244334E-2</v>
      </c>
    </row>
    <row r="2692" spans="25:29" x14ac:dyDescent="0.2">
      <c r="Y2692" s="105" t="str">
        <f t="shared" si="75"/>
        <v>1w</v>
      </c>
      <c r="Z2692" s="93">
        <f>_xll.qlCalendarAdvance(Calendar,Z2691,Y2692,"f",FALSE)</f>
        <v>58014</v>
      </c>
      <c r="AA2692" s="117">
        <f>_xll.qlCalendarAdvance(Calendar,Z2692,NDays&amp;"D")</f>
        <v>58018</v>
      </c>
      <c r="AB2692" s="92">
        <v>1.0705107527497907E-2</v>
      </c>
      <c r="AC2692" s="101">
        <v>1.0790467419825589E-2</v>
      </c>
    </row>
    <row r="2693" spans="25:29" x14ac:dyDescent="0.2">
      <c r="Y2693" s="105" t="str">
        <f t="shared" si="75"/>
        <v>1w</v>
      </c>
      <c r="Z2693" s="93">
        <f>_xll.qlCalendarAdvance(Calendar,Z2692,Y2693,"f",FALSE)</f>
        <v>58021</v>
      </c>
      <c r="AA2693" s="117">
        <f>_xll.qlCalendarAdvance(Calendar,Z2693,NDays&amp;"D")</f>
        <v>58025</v>
      </c>
      <c r="AB2693" s="92">
        <v>1.0696251300167076E-2</v>
      </c>
      <c r="AC2693" s="101">
        <v>1.0781621976887479E-2</v>
      </c>
    </row>
    <row r="2694" spans="25:29" x14ac:dyDescent="0.2">
      <c r="Y2694" s="105" t="str">
        <f t="shared" si="75"/>
        <v>1w</v>
      </c>
      <c r="Z2694" s="93">
        <f>_xll.qlCalendarAdvance(Calendar,Z2693,Y2694,"f",FALSE)</f>
        <v>58028</v>
      </c>
      <c r="AA2694" s="117">
        <f>_xll.qlCalendarAdvance(Calendar,Z2694,NDays&amp;"D")</f>
        <v>58032</v>
      </c>
      <c r="AB2694" s="92">
        <v>1.0687398054611953E-2</v>
      </c>
      <c r="AC2694" s="101">
        <v>1.077277920317421E-2</v>
      </c>
    </row>
    <row r="2695" spans="25:29" x14ac:dyDescent="0.2">
      <c r="Y2695" s="105" t="str">
        <f t="shared" si="75"/>
        <v>1w</v>
      </c>
      <c r="Z2695" s="93">
        <f>_xll.qlCalendarAdvance(Calendar,Z2694,Y2695,"f",FALSE)</f>
        <v>58035</v>
      </c>
      <c r="AA2695" s="117">
        <f>_xll.qlCalendarAdvance(Calendar,Z2695,NDays&amp;"D")</f>
        <v>58039</v>
      </c>
      <c r="AB2695" s="92">
        <v>1.0678547810822258E-2</v>
      </c>
      <c r="AC2695" s="101">
        <v>1.076393911858986E-2</v>
      </c>
    </row>
    <row r="2696" spans="25:29" x14ac:dyDescent="0.2">
      <c r="Y2696" s="105" t="str">
        <f t="shared" si="75"/>
        <v>1w</v>
      </c>
      <c r="Z2696" s="93">
        <f>_xll.qlCalendarAdvance(Calendar,Z2695,Y2696,"f",FALSE)</f>
        <v>58042</v>
      </c>
      <c r="AA2696" s="117">
        <f>_xll.qlCalendarAdvance(Calendar,Z2696,NDays&amp;"D")</f>
        <v>58046</v>
      </c>
      <c r="AB2696" s="92">
        <v>1.0669700588789034E-2</v>
      </c>
      <c r="AC2696" s="101">
        <v>1.0755101743198381E-2</v>
      </c>
    </row>
    <row r="2697" spans="25:29" x14ac:dyDescent="0.2">
      <c r="Y2697" s="105" t="str">
        <f t="shared" si="75"/>
        <v>1w</v>
      </c>
      <c r="Z2697" s="93">
        <f>_xll.qlCalendarAdvance(Calendar,Z2696,Y2697,"f",FALSE)</f>
        <v>58049</v>
      </c>
      <c r="AA2697" s="117">
        <f>_xll.qlCalendarAdvance(Calendar,Z2697,NDays&amp;"D")</f>
        <v>58053</v>
      </c>
      <c r="AB2697" s="92">
        <v>1.066085640850069E-2</v>
      </c>
      <c r="AC2697" s="101">
        <v>1.0746267096743978E-2</v>
      </c>
    </row>
    <row r="2698" spans="25:29" x14ac:dyDescent="0.2">
      <c r="Y2698" s="105" t="str">
        <f t="shared" si="75"/>
        <v>1w</v>
      </c>
      <c r="Z2698" s="93">
        <f>_xll.qlCalendarAdvance(Calendar,Z2697,Y2698,"f",FALSE)</f>
        <v>58056</v>
      </c>
      <c r="AA2698" s="117">
        <f>_xll.qlCalendarAdvance(Calendar,Z2698,NDays&amp;"D")</f>
        <v>58060</v>
      </c>
      <c r="AB2698" s="92">
        <v>1.0652015289946068E-2</v>
      </c>
      <c r="AC2698" s="101">
        <v>1.0737435199210665E-2</v>
      </c>
    </row>
    <row r="2699" spans="25:29" x14ac:dyDescent="0.2">
      <c r="Y2699" s="105" t="str">
        <f t="shared" si="75"/>
        <v>1w</v>
      </c>
      <c r="Z2699" s="93">
        <f>_xll.qlCalendarAdvance(Calendar,Z2698,Y2699,"f",FALSE)</f>
        <v>58063</v>
      </c>
      <c r="AA2699" s="117">
        <f>_xll.qlCalendarAdvance(Calendar,Z2699,NDays&amp;"D")</f>
        <v>58067</v>
      </c>
      <c r="AB2699" s="92">
        <v>1.0643177253114894E-2</v>
      </c>
      <c r="AC2699" s="101">
        <v>1.072860607074233E-2</v>
      </c>
    </row>
    <row r="2700" spans="25:29" x14ac:dyDescent="0.2">
      <c r="Y2700" s="105" t="str">
        <f t="shared" si="75"/>
        <v>1w</v>
      </c>
      <c r="Z2700" s="93">
        <f>_xll.qlCalendarAdvance(Calendar,Z2699,Y2700,"f",FALSE)</f>
        <v>58071</v>
      </c>
      <c r="AA2700" s="117">
        <f>_xll.qlCalendarAdvance(Calendar,Z2700,NDays&amp;"D")</f>
        <v>58075</v>
      </c>
      <c r="AB2700" s="92">
        <v>1.0633553650997661E-2</v>
      </c>
      <c r="AC2700" s="101">
        <v>1.0718048290292437E-2</v>
      </c>
    </row>
    <row r="2701" spans="25:29" x14ac:dyDescent="0.2">
      <c r="Y2701" s="105" t="str">
        <f t="shared" si="75"/>
        <v>1w</v>
      </c>
      <c r="Z2701" s="93">
        <f>_xll.qlCalendarAdvance(Calendar,Z2700,Y2701,"f",FALSE)</f>
        <v>58078</v>
      </c>
      <c r="AA2701" s="117">
        <f>_xll.qlCalendarAdvance(Calendar,Z2701,NDays&amp;"D")</f>
        <v>58082</v>
      </c>
      <c r="AB2701" s="92">
        <v>1.0624722315200199E-2</v>
      </c>
      <c r="AC2701" s="101">
        <v>1.0709695925772422E-2</v>
      </c>
    </row>
    <row r="2702" spans="25:29" x14ac:dyDescent="0.2">
      <c r="Y2702" s="105" t="str">
        <f t="shared" si="75"/>
        <v>1w</v>
      </c>
      <c r="Z2702" s="93">
        <f>_xll.qlCalendarAdvance(Calendar,Z2701,Y2702,"f",FALSE)</f>
        <v>58085</v>
      </c>
      <c r="AA2702" s="117">
        <f>_xll.qlCalendarAdvance(Calendar,Z2702,NDays&amp;"D")</f>
        <v>58089</v>
      </c>
      <c r="AB2702" s="92">
        <v>1.0615894122208975E-2</v>
      </c>
      <c r="AC2702" s="101">
        <v>1.070087562903943E-2</v>
      </c>
    </row>
    <row r="2703" spans="25:29" x14ac:dyDescent="0.2">
      <c r="Y2703" s="105" t="str">
        <f t="shared" si="75"/>
        <v>1w</v>
      </c>
      <c r="Z2703" s="93">
        <f>_xll.qlCalendarAdvance(Calendar,Z2702,Y2703,"f",FALSE)</f>
        <v>58092</v>
      </c>
      <c r="AA2703" s="117">
        <f>_xll.qlCalendarAdvance(Calendar,Z2703,NDays&amp;"D")</f>
        <v>58096</v>
      </c>
      <c r="AB2703" s="92">
        <v>1.0607069092011975E-2</v>
      </c>
      <c r="AC2703" s="101">
        <v>1.0692058183705555E-2</v>
      </c>
    </row>
    <row r="2704" spans="25:29" x14ac:dyDescent="0.2">
      <c r="Y2704" s="105" t="str">
        <f t="shared" si="75"/>
        <v>1w</v>
      </c>
      <c r="Z2704" s="93">
        <f>_xll.qlCalendarAdvance(Calendar,Z2703,Y2704,"f",FALSE)</f>
        <v>58099</v>
      </c>
      <c r="AA2704" s="117">
        <f>_xll.qlCalendarAdvance(Calendar,Z2704,NDays&amp;"D")</f>
        <v>58103</v>
      </c>
      <c r="AB2704" s="92">
        <v>1.0598247244594981E-2</v>
      </c>
      <c r="AC2704" s="101">
        <v>1.0683243609674875E-2</v>
      </c>
    </row>
    <row r="2705" spans="25:29" x14ac:dyDescent="0.2">
      <c r="Y2705" s="105" t="str">
        <f t="shared" si="75"/>
        <v>1w</v>
      </c>
      <c r="Z2705" s="93">
        <f>_xll.qlCalendarAdvance(Calendar,Z2704,Y2705,"f",FALSE)</f>
        <v>58106</v>
      </c>
      <c r="AA2705" s="117">
        <f>_xll.qlCalendarAdvance(Calendar,Z2705,NDays&amp;"D")</f>
        <v>58110</v>
      </c>
      <c r="AB2705" s="92">
        <v>1.0589428599944217E-2</v>
      </c>
      <c r="AC2705" s="101">
        <v>1.0674431927091277E-2</v>
      </c>
    </row>
    <row r="2706" spans="25:29" x14ac:dyDescent="0.2">
      <c r="Y2706" s="105" t="str">
        <f t="shared" si="75"/>
        <v>1w</v>
      </c>
      <c r="Z2706" s="93">
        <f>_xll.qlCalendarAdvance(Calendar,Z2705,Y2706,"f",FALSE)</f>
        <v>58113</v>
      </c>
      <c r="AA2706" s="117">
        <f>_xll.qlCalendarAdvance(Calendar,Z2706,NDays&amp;"D")</f>
        <v>58117</v>
      </c>
      <c r="AB2706" s="92">
        <v>1.0580613178046346E-2</v>
      </c>
      <c r="AC2706" s="101">
        <v>1.0665623155459159E-2</v>
      </c>
    </row>
    <row r="2707" spans="25:29" x14ac:dyDescent="0.2">
      <c r="Y2707" s="105" t="str">
        <f t="shared" si="75"/>
        <v>1w</v>
      </c>
      <c r="Z2707" s="93">
        <f>_xll.qlCalendarAdvance(Calendar,Z2706,Y2707,"f",FALSE)</f>
        <v>58120</v>
      </c>
      <c r="AA2707" s="117">
        <f>_xll.qlCalendarAdvance(Calendar,Z2707,NDays&amp;"D")</f>
        <v>58124</v>
      </c>
      <c r="AB2707" s="92">
        <v>1.0571800998885826E-2</v>
      </c>
      <c r="AC2707" s="101">
        <v>1.0656817314922407E-2</v>
      </c>
    </row>
    <row r="2708" spans="25:29" x14ac:dyDescent="0.2">
      <c r="Y2708" s="105" t="str">
        <f t="shared" si="75"/>
        <v>1w</v>
      </c>
      <c r="Z2708" s="93">
        <f>_xll.qlCalendarAdvance(Calendar,Z2707,Y2708,"f",FALSE)</f>
        <v>58127</v>
      </c>
      <c r="AA2708" s="117">
        <f>_xll.qlCalendarAdvance(Calendar,Z2708,NDays&amp;"D")</f>
        <v>58131</v>
      </c>
      <c r="AB2708" s="92">
        <v>1.0562992082449317E-2</v>
      </c>
      <c r="AC2708" s="101">
        <v>1.0648014425465036E-2</v>
      </c>
    </row>
    <row r="2709" spans="25:29" x14ac:dyDescent="0.2">
      <c r="Y2709" s="105" t="str">
        <f t="shared" ref="Y2709:Y2772" si="76">Y2708</f>
        <v>1w</v>
      </c>
      <c r="Z2709" s="93">
        <f>_xll.qlCalendarAdvance(Calendar,Z2708,Y2709,"f",FALSE)</f>
        <v>58134</v>
      </c>
      <c r="AA2709" s="117">
        <f>_xll.qlCalendarAdvance(Calendar,Z2709,NDays&amp;"D")</f>
        <v>58138</v>
      </c>
      <c r="AB2709" s="92">
        <v>1.0552766157437929E-2</v>
      </c>
      <c r="AC2709" s="101">
        <v>1.0639214506991124E-2</v>
      </c>
    </row>
    <row r="2710" spans="25:29" x14ac:dyDescent="0.2">
      <c r="Y2710" s="105" t="str">
        <f t="shared" si="76"/>
        <v>1w</v>
      </c>
      <c r="Z2710" s="93">
        <f>_xll.qlCalendarAdvance(Calendar,Z2709,Y2710,"f",FALSE)</f>
        <v>58141</v>
      </c>
      <c r="AA2710" s="117">
        <f>_xll.qlCalendarAdvance(Calendar,Z2710,NDays&amp;"D")</f>
        <v>58145</v>
      </c>
      <c r="AB2710" s="92">
        <v>1.0543963783713667E-2</v>
      </c>
      <c r="AC2710" s="101">
        <v>1.063041757940475E-2</v>
      </c>
    </row>
    <row r="2711" spans="25:29" x14ac:dyDescent="0.2">
      <c r="Y2711" s="105" t="str">
        <f t="shared" si="76"/>
        <v>1w</v>
      </c>
      <c r="Z2711" s="93">
        <f>_xll.qlCalendarAdvance(Calendar,Z2710,Y2711,"f",FALSE)</f>
        <v>58148</v>
      </c>
      <c r="AA2711" s="117">
        <f>_xll.qlCalendarAdvance(Calendar,Z2711,NDays&amp;"D")</f>
        <v>58152</v>
      </c>
      <c r="AB2711" s="92">
        <v>1.0535164737882147E-2</v>
      </c>
      <c r="AC2711" s="101">
        <v>1.0621623662530055E-2</v>
      </c>
    </row>
    <row r="2712" spans="25:29" x14ac:dyDescent="0.2">
      <c r="Y2712" s="105" t="str">
        <f t="shared" si="76"/>
        <v>1w</v>
      </c>
      <c r="Z2712" s="93">
        <f>_xll.qlCalendarAdvance(Calendar,Z2711,Y2712,"f",FALSE)</f>
        <v>58155</v>
      </c>
      <c r="AA2712" s="117">
        <f>_xll.qlCalendarAdvance(Calendar,Z2712,NDays&amp;"D")</f>
        <v>58159</v>
      </c>
      <c r="AB2712" s="92">
        <v>1.0526369039928256E-2</v>
      </c>
      <c r="AC2712" s="101">
        <v>1.0612832776271119E-2</v>
      </c>
    </row>
    <row r="2713" spans="25:29" x14ac:dyDescent="0.2">
      <c r="Y2713" s="105" t="str">
        <f t="shared" si="76"/>
        <v>1w</v>
      </c>
      <c r="Z2713" s="93">
        <f>_xll.qlCalendarAdvance(Calendar,Z2712,Y2713,"f",FALSE)</f>
        <v>58166</v>
      </c>
      <c r="AA2713" s="117">
        <f>_xll.qlCalendarAdvance(Calendar,Z2713,NDays&amp;"D")</f>
        <v>58168</v>
      </c>
      <c r="AB2713" s="92">
        <v>1.051553872572732E-2</v>
      </c>
      <c r="AC2713" s="101">
        <v>1.0601534693641668E-2</v>
      </c>
    </row>
    <row r="2714" spans="25:29" x14ac:dyDescent="0.2">
      <c r="Y2714" s="105" t="str">
        <f t="shared" si="76"/>
        <v>1w</v>
      </c>
      <c r="Z2714" s="93">
        <f>_xll.qlCalendarAdvance(Calendar,Z2713,Y2714,"f",FALSE)</f>
        <v>58173</v>
      </c>
      <c r="AA2714" s="117">
        <f>_xll.qlCalendarAdvance(Calendar,Z2714,NDays&amp;"D")</f>
        <v>58175</v>
      </c>
      <c r="AB2714" s="92">
        <v>1.0506750761711814E-2</v>
      </c>
      <c r="AC2714" s="101">
        <v>1.0592750809781393E-2</v>
      </c>
    </row>
    <row r="2715" spans="25:29" x14ac:dyDescent="0.2">
      <c r="Y2715" s="105" t="str">
        <f t="shared" si="76"/>
        <v>1w</v>
      </c>
      <c r="Z2715" s="93">
        <f>_xll.qlCalendarAdvance(Calendar,Z2714,Y2715,"f",FALSE)</f>
        <v>58180</v>
      </c>
      <c r="AA2715" s="117">
        <f>_xll.qlCalendarAdvance(Calendar,Z2715,NDays&amp;"D")</f>
        <v>58182</v>
      </c>
      <c r="AB2715" s="92">
        <v>1.049796620949524E-2</v>
      </c>
      <c r="AC2715" s="101">
        <v>1.0583970021844635E-2</v>
      </c>
    </row>
    <row r="2716" spans="25:29" x14ac:dyDescent="0.2">
      <c r="Y2716" s="105" t="str">
        <f t="shared" si="76"/>
        <v>1w</v>
      </c>
      <c r="Z2716" s="93">
        <f>_xll.qlCalendarAdvance(Calendar,Z2715,Y2716,"f",FALSE)</f>
        <v>58187</v>
      </c>
      <c r="AA2716" s="117">
        <f>_xll.qlCalendarAdvance(Calendar,Z2716,NDays&amp;"D")</f>
        <v>58189</v>
      </c>
      <c r="AB2716" s="92">
        <v>1.0489185089062485E-2</v>
      </c>
      <c r="AC2716" s="101">
        <v>1.0575192350135154E-2</v>
      </c>
    </row>
    <row r="2717" spans="25:29" x14ac:dyDescent="0.2">
      <c r="Y2717" s="105" t="str">
        <f t="shared" si="76"/>
        <v>1w</v>
      </c>
      <c r="Z2717" s="93">
        <f>_xll.qlCalendarAdvance(Calendar,Z2716,Y2717,"f",FALSE)</f>
        <v>58194</v>
      </c>
      <c r="AA2717" s="117">
        <f>_xll.qlCalendarAdvance(Calendar,Z2717,NDays&amp;"D")</f>
        <v>58197</v>
      </c>
      <c r="AB2717" s="92">
        <v>1.0478206732074882E-2</v>
      </c>
      <c r="AC2717" s="101">
        <v>1.0564221397055817E-2</v>
      </c>
    </row>
    <row r="2718" spans="25:29" x14ac:dyDescent="0.2">
      <c r="Y2718" s="105" t="str">
        <f t="shared" si="76"/>
        <v>1w</v>
      </c>
      <c r="Z2718" s="93">
        <f>_xll.qlCalendarAdvance(Calendar,Z2717,Y2718,"f",FALSE)</f>
        <v>58201</v>
      </c>
      <c r="AA2718" s="117">
        <f>_xll.qlCalendarAdvance(Calendar,Z2718,NDays&amp;"D")</f>
        <v>58203</v>
      </c>
      <c r="AB2718" s="92">
        <v>1.0470212683931241E-2</v>
      </c>
      <c r="AC2718" s="101">
        <v>1.0557646434614654E-2</v>
      </c>
    </row>
    <row r="2719" spans="25:29" x14ac:dyDescent="0.2">
      <c r="Y2719" s="105" t="str">
        <f t="shared" si="76"/>
        <v>1w</v>
      </c>
      <c r="Z2719" s="93">
        <f>_xll.qlCalendarAdvance(Calendar,Z2718,Y2719,"f",FALSE)</f>
        <v>58208</v>
      </c>
      <c r="AA2719" s="117">
        <f>_xll.qlCalendarAdvance(Calendar,Z2719,NDays&amp;"D")</f>
        <v>58210</v>
      </c>
      <c r="AB2719" s="92">
        <v>1.0461441985563234E-2</v>
      </c>
      <c r="AC2719" s="101">
        <v>1.0548878230691727E-2</v>
      </c>
    </row>
    <row r="2720" spans="25:29" x14ac:dyDescent="0.2">
      <c r="Y2720" s="105" t="str">
        <f t="shared" si="76"/>
        <v>1w</v>
      </c>
      <c r="Z2720" s="93">
        <f>_xll.qlCalendarAdvance(Calendar,Z2719,Y2720,"f",FALSE)</f>
        <v>58215</v>
      </c>
      <c r="AA2720" s="117">
        <f>_xll.qlCalendarAdvance(Calendar,Z2720,NDays&amp;"D")</f>
        <v>58217</v>
      </c>
      <c r="AB2720" s="92">
        <v>1.0452674804132076E-2</v>
      </c>
      <c r="AC2720" s="101">
        <v>1.0540113222532455E-2</v>
      </c>
    </row>
    <row r="2721" spans="25:29" x14ac:dyDescent="0.2">
      <c r="Y2721" s="105" t="str">
        <f t="shared" si="76"/>
        <v>1w</v>
      </c>
      <c r="Z2721" s="93">
        <f>_xll.qlCalendarAdvance(Calendar,Z2720,Y2721,"f",FALSE)</f>
        <v>58222</v>
      </c>
      <c r="AA2721" s="117">
        <f>_xll.qlCalendarAdvance(Calendar,Z2721,NDays&amp;"D")</f>
        <v>58224</v>
      </c>
      <c r="AB2721" s="92">
        <v>1.0445331663024859E-2</v>
      </c>
      <c r="AC2721" s="101">
        <v>1.0531351429960978E-2</v>
      </c>
    </row>
    <row r="2722" spans="25:29" x14ac:dyDescent="0.2">
      <c r="Y2722" s="105" t="str">
        <f t="shared" si="76"/>
        <v>1w</v>
      </c>
      <c r="Z2722" s="93">
        <f>_xll.qlCalendarAdvance(Calendar,Z2721,Y2722,"f",FALSE)</f>
        <v>58229</v>
      </c>
      <c r="AA2722" s="117">
        <f>_xll.qlCalendarAdvance(Calendar,Z2722,NDays&amp;"D")</f>
        <v>58231</v>
      </c>
      <c r="AB2722" s="92">
        <v>1.0436571552915641E-2</v>
      </c>
      <c r="AC2722" s="101">
        <v>1.0522592873281056E-2</v>
      </c>
    </row>
    <row r="2723" spans="25:29" x14ac:dyDescent="0.2">
      <c r="Y2723" s="105" t="str">
        <f t="shared" si="76"/>
        <v>1w</v>
      </c>
      <c r="Z2723" s="93">
        <f>_xll.qlCalendarAdvance(Calendar,Z2722,Y2723,"f",FALSE)</f>
        <v>58236</v>
      </c>
      <c r="AA2723" s="117">
        <f>_xll.qlCalendarAdvance(Calendar,Z2723,NDays&amp;"D")</f>
        <v>58238</v>
      </c>
      <c r="AB2723" s="92">
        <v>1.0427815014461305E-2</v>
      </c>
      <c r="AC2723" s="101">
        <v>1.0513837571917151E-2</v>
      </c>
    </row>
    <row r="2724" spans="25:29" x14ac:dyDescent="0.2">
      <c r="Y2724" s="105" t="str">
        <f t="shared" si="76"/>
        <v>1w</v>
      </c>
      <c r="Z2724" s="93">
        <f>_xll.qlCalendarAdvance(Calendar,Z2723,Y2724,"f",FALSE)</f>
        <v>58243</v>
      </c>
      <c r="AA2724" s="117">
        <f>_xll.qlCalendarAdvance(Calendar,Z2724,NDays&amp;"D")</f>
        <v>58245</v>
      </c>
      <c r="AB2724" s="92">
        <v>1.04190620676415E-2</v>
      </c>
      <c r="AC2724" s="101">
        <v>1.0505085546013149E-2</v>
      </c>
    </row>
    <row r="2725" spans="25:29" x14ac:dyDescent="0.2">
      <c r="Y2725" s="105" t="str">
        <f t="shared" si="76"/>
        <v>1w</v>
      </c>
      <c r="Z2725" s="93">
        <f>_xll.qlCalendarAdvance(Calendar,Z2724,Y2725,"f",FALSE)</f>
        <v>58250</v>
      </c>
      <c r="AA2725" s="117">
        <f>_xll.qlCalendarAdvance(Calendar,Z2725,NDays&amp;"D")</f>
        <v>58252</v>
      </c>
      <c r="AB2725" s="92">
        <v>1.0408892350393033E-2</v>
      </c>
      <c r="AC2725" s="101">
        <v>1.0496336815633001E-2</v>
      </c>
    </row>
    <row r="2726" spans="25:29" x14ac:dyDescent="0.2">
      <c r="Y2726" s="105" t="str">
        <f t="shared" si="76"/>
        <v>1w</v>
      </c>
      <c r="Z2726" s="93">
        <f>_xll.qlCalendarAdvance(Calendar,Z2725,Y2726,"f",FALSE)</f>
        <v>58257</v>
      </c>
      <c r="AA2726" s="117">
        <f>_xll.qlCalendarAdvance(Calendar,Z2726,NDays&amp;"D")</f>
        <v>58259</v>
      </c>
      <c r="AB2726" s="92">
        <v>1.0400146690196992E-2</v>
      </c>
      <c r="AC2726" s="101">
        <v>1.0487591400440976E-2</v>
      </c>
    </row>
    <row r="2727" spans="25:29" x14ac:dyDescent="0.2">
      <c r="Y2727" s="105" t="str">
        <f t="shared" si="76"/>
        <v>1w</v>
      </c>
      <c r="Z2727" s="93">
        <f>_xll.qlCalendarAdvance(Calendar,Z2726,Y2727,"f",FALSE)</f>
        <v>58264</v>
      </c>
      <c r="AA2727" s="117">
        <f>_xll.qlCalendarAdvance(Calendar,Z2727,NDays&amp;"D")</f>
        <v>58266</v>
      </c>
      <c r="AB2727" s="92">
        <v>1.0391404686806991E-2</v>
      </c>
      <c r="AC2727" s="101">
        <v>1.0478849320501027E-2</v>
      </c>
    </row>
    <row r="2728" spans="25:29" x14ac:dyDescent="0.2">
      <c r="Y2728" s="105" t="str">
        <f t="shared" si="76"/>
        <v>1w</v>
      </c>
      <c r="Z2728" s="93">
        <f>_xll.qlCalendarAdvance(Calendar,Z2727,Y2728,"f",FALSE)</f>
        <v>58271</v>
      </c>
      <c r="AA2728" s="117">
        <f>_xll.qlCalendarAdvance(Calendar,Z2728,NDays&amp;"D")</f>
        <v>58273</v>
      </c>
      <c r="AB2728" s="92">
        <v>1.038266636020275E-2</v>
      </c>
      <c r="AC2728" s="101">
        <v>1.0470110595797166E-2</v>
      </c>
    </row>
    <row r="2729" spans="25:29" x14ac:dyDescent="0.2">
      <c r="Y2729" s="105" t="str">
        <f t="shared" si="76"/>
        <v>1w</v>
      </c>
      <c r="Z2729" s="93">
        <f>_xll.qlCalendarAdvance(Calendar,Z2728,Y2729,"f",FALSE)</f>
        <v>58278</v>
      </c>
      <c r="AA2729" s="117">
        <f>_xll.qlCalendarAdvance(Calendar,Z2729,NDays&amp;"D")</f>
        <v>58280</v>
      </c>
      <c r="AB2729" s="92">
        <v>1.0373931730363122E-2</v>
      </c>
      <c r="AC2729" s="101">
        <v>1.0461375246153537E-2</v>
      </c>
    </row>
    <row r="2730" spans="25:29" x14ac:dyDescent="0.2">
      <c r="Y2730" s="105" t="str">
        <f t="shared" si="76"/>
        <v>1w</v>
      </c>
      <c r="Z2730" s="93">
        <f>_xll.qlCalendarAdvance(Calendar,Z2729,Y2730,"f",FALSE)</f>
        <v>58285</v>
      </c>
      <c r="AA2730" s="117">
        <f>_xll.qlCalendarAdvance(Calendar,Z2730,NDays&amp;"D")</f>
        <v>58287</v>
      </c>
      <c r="AB2730" s="92">
        <v>1.0366620929933786E-2</v>
      </c>
      <c r="AC2730" s="101">
        <v>1.0452643291474217E-2</v>
      </c>
    </row>
    <row r="2731" spans="25:29" x14ac:dyDescent="0.2">
      <c r="Y2731" s="105" t="str">
        <f t="shared" si="76"/>
        <v>1w</v>
      </c>
      <c r="Z2731" s="93">
        <f>_xll.qlCalendarAdvance(Calendar,Z2730,Y2731,"f",FALSE)</f>
        <v>58292</v>
      </c>
      <c r="AA2731" s="117">
        <f>_xll.qlCalendarAdvance(Calendar,Z2731,NDays&amp;"D")</f>
        <v>58294</v>
      </c>
      <c r="AB2731" s="92">
        <v>1.0356473640896147E-2</v>
      </c>
      <c r="AC2731" s="101">
        <v>1.0443914751743222E-2</v>
      </c>
    </row>
    <row r="2732" spans="25:29" x14ac:dyDescent="0.2">
      <c r="Y2732" s="105" t="str">
        <f t="shared" si="76"/>
        <v>1w</v>
      </c>
      <c r="Z2732" s="93">
        <f>_xll.qlCalendarAdvance(Calendar,Z2731,Y2732,"f",FALSE)</f>
        <v>58299</v>
      </c>
      <c r="AA2732" s="117">
        <f>_xll.qlCalendarAdvance(Calendar,Z2732,NDays&amp;"D")</f>
        <v>58301</v>
      </c>
      <c r="AB2732" s="92">
        <v>1.0347750221226516E-2</v>
      </c>
      <c r="AC2732" s="101">
        <v>1.0435189646864629E-2</v>
      </c>
    </row>
    <row r="2733" spans="25:29" x14ac:dyDescent="0.2">
      <c r="Y2733" s="105" t="str">
        <f t="shared" si="76"/>
        <v>1w</v>
      </c>
      <c r="Z2733" s="93">
        <f>_xll.qlCalendarAdvance(Calendar,Z2732,Y2733,"f",FALSE)</f>
        <v>58306</v>
      </c>
      <c r="AA2733" s="117">
        <f>_xll.qlCalendarAdvance(Calendar,Z2733,NDays&amp;"D")</f>
        <v>58308</v>
      </c>
      <c r="AB2733" s="92">
        <v>1.0339030578235639E-2</v>
      </c>
      <c r="AC2733" s="101">
        <v>1.0426467996822453E-2</v>
      </c>
    </row>
    <row r="2734" spans="25:29" x14ac:dyDescent="0.2">
      <c r="Y2734" s="105" t="str">
        <f t="shared" si="76"/>
        <v>1w</v>
      </c>
      <c r="Z2734" s="93">
        <f>_xll.qlCalendarAdvance(Calendar,Z2733,Y2734,"f",FALSE)</f>
        <v>58313</v>
      </c>
      <c r="AA2734" s="117">
        <f>_xll.qlCalendarAdvance(Calendar,Z2734,NDays&amp;"D")</f>
        <v>58315</v>
      </c>
      <c r="AB2734" s="92">
        <v>1.0331734534854798E-2</v>
      </c>
      <c r="AC2734" s="101">
        <v>1.04177498213609E-2</v>
      </c>
    </row>
    <row r="2735" spans="25:29" x14ac:dyDescent="0.2">
      <c r="Y2735" s="105" t="str">
        <f t="shared" si="76"/>
        <v>1w</v>
      </c>
      <c r="Z2735" s="93">
        <f>_xll.qlCalendarAdvance(Calendar,Z2734,Y2735,"f",FALSE)</f>
        <v>58320</v>
      </c>
      <c r="AA2735" s="117">
        <f>_xll.qlCalendarAdvance(Calendar,Z2735,NDays&amp;"D")</f>
        <v>58322</v>
      </c>
      <c r="AB2735" s="92">
        <v>1.0323495640512582E-2</v>
      </c>
      <c r="AC2735" s="101">
        <v>1.0409035140543921E-2</v>
      </c>
    </row>
    <row r="2736" spans="25:29" x14ac:dyDescent="0.2">
      <c r="Y2736" s="105" t="str">
        <f t="shared" si="76"/>
        <v>1w</v>
      </c>
      <c r="Z2736" s="93">
        <f>_xll.qlCalendarAdvance(Calendar,Z2735,Y2736,"f",FALSE)</f>
        <v>58327</v>
      </c>
      <c r="AA2736" s="117">
        <f>_xll.qlCalendarAdvance(Calendar,Z2736,NDays&amp;"D")</f>
        <v>58329</v>
      </c>
      <c r="AB2736" s="92">
        <v>1.0314787320099236E-2</v>
      </c>
      <c r="AC2736" s="101">
        <v>1.0400323974275594E-2</v>
      </c>
    </row>
    <row r="2737" spans="25:29" x14ac:dyDescent="0.2">
      <c r="Y2737" s="105" t="str">
        <f t="shared" si="76"/>
        <v>1w</v>
      </c>
      <c r="Z2737" s="93">
        <f>_xll.qlCalendarAdvance(Calendar,Z2736,Y2737,"f",FALSE)</f>
        <v>58334</v>
      </c>
      <c r="AA2737" s="117">
        <f>_xll.qlCalendarAdvance(Calendar,Z2737,NDays&amp;"D")</f>
        <v>58336</v>
      </c>
      <c r="AB2737" s="92">
        <v>1.030608284929092E-2</v>
      </c>
      <c r="AC2737" s="101">
        <v>1.0391616342539933E-2</v>
      </c>
    </row>
    <row r="2738" spans="25:29" x14ac:dyDescent="0.2">
      <c r="Y2738" s="105" t="str">
        <f t="shared" si="76"/>
        <v>1w</v>
      </c>
      <c r="Z2738" s="93">
        <f>_xll.qlCalendarAdvance(Calendar,Z2737,Y2738,"f",FALSE)</f>
        <v>58341</v>
      </c>
      <c r="AA2738" s="117">
        <f>_xll.qlCalendarAdvance(Calendar,Z2738,NDays&amp;"D")</f>
        <v>58343</v>
      </c>
      <c r="AB2738" s="92">
        <v>1.0297382248061107E-2</v>
      </c>
      <c r="AC2738" s="101">
        <v>1.038291226500121E-2</v>
      </c>
    </row>
    <row r="2739" spans="25:29" x14ac:dyDescent="0.2">
      <c r="Y2739" s="105" t="str">
        <f t="shared" si="76"/>
        <v>1w</v>
      </c>
      <c r="Z2739" s="93">
        <f>_xll.qlCalendarAdvance(Calendar,Z2738,Y2739,"f",FALSE)</f>
        <v>58348</v>
      </c>
      <c r="AA2739" s="117">
        <f>_xll.qlCalendarAdvance(Calendar,Z2739,NDays&amp;"D")</f>
        <v>58350</v>
      </c>
      <c r="AB2739" s="92">
        <v>1.0288212447271114E-2</v>
      </c>
      <c r="AC2739" s="101">
        <v>1.0374211761883245E-2</v>
      </c>
    </row>
    <row r="2740" spans="25:29" x14ac:dyDescent="0.2">
      <c r="Y2740" s="105" t="str">
        <f t="shared" si="76"/>
        <v>1w</v>
      </c>
      <c r="Z2740" s="93">
        <f>_xll.qlCalendarAdvance(Calendar,Z2739,Y2740,"f",FALSE)</f>
        <v>58355</v>
      </c>
      <c r="AA2740" s="117">
        <f>_xll.qlCalendarAdvance(Calendar,Z2740,NDays&amp;"D")</f>
        <v>58357</v>
      </c>
      <c r="AB2740" s="92">
        <v>1.0279519683682823E-2</v>
      </c>
      <c r="AC2740" s="101">
        <v>1.0365514853090119E-2</v>
      </c>
    </row>
    <row r="2741" spans="25:29" x14ac:dyDescent="0.2">
      <c r="Y2741" s="105" t="str">
        <f t="shared" si="76"/>
        <v>1w</v>
      </c>
      <c r="Z2741" s="93">
        <f>_xll.qlCalendarAdvance(Calendar,Z2740,Y2741,"f",FALSE)</f>
        <v>58362</v>
      </c>
      <c r="AA2741" s="117">
        <f>_xll.qlCalendarAdvance(Calendar,Z2741,NDays&amp;"D")</f>
        <v>58364</v>
      </c>
      <c r="AB2741" s="92">
        <v>1.026893876287382E-2</v>
      </c>
      <c r="AC2741" s="101">
        <v>1.0356821558206164E-2</v>
      </c>
    </row>
    <row r="2742" spans="25:29" x14ac:dyDescent="0.2">
      <c r="Y2742" s="105" t="str">
        <f t="shared" si="76"/>
        <v>1w</v>
      </c>
      <c r="Z2742" s="93">
        <f>_xll.qlCalendarAdvance(Calendar,Z2741,Y2742,"f",FALSE)</f>
        <v>58369</v>
      </c>
      <c r="AA2742" s="117">
        <f>_xll.qlCalendarAdvance(Calendar,Z2742,NDays&amp;"D")</f>
        <v>58371</v>
      </c>
      <c r="AB2742" s="92">
        <v>1.0262145970235252E-2</v>
      </c>
      <c r="AC2742" s="101">
        <v>1.0348131897615076E-2</v>
      </c>
    </row>
    <row r="2743" spans="25:29" x14ac:dyDescent="0.2">
      <c r="Y2743" s="105" t="str">
        <f t="shared" si="76"/>
        <v>1w</v>
      </c>
      <c r="Z2743" s="93">
        <f>_xll.qlCalendarAdvance(Calendar,Z2742,Y2743,"f",FALSE)</f>
        <v>58376</v>
      </c>
      <c r="AA2743" s="117">
        <f>_xll.qlCalendarAdvance(Calendar,Z2743,NDays&amp;"D")</f>
        <v>58378</v>
      </c>
      <c r="AB2743" s="92">
        <v>1.0253465060323907E-2</v>
      </c>
      <c r="AC2743" s="101">
        <v>1.0339445890821253E-2</v>
      </c>
    </row>
    <row r="2744" spans="25:29" x14ac:dyDescent="0.2">
      <c r="Y2744" s="105" t="str">
        <f t="shared" si="76"/>
        <v>1w</v>
      </c>
      <c r="Z2744" s="93">
        <f>_xll.qlCalendarAdvance(Calendar,Z2743,Y2744,"f",FALSE)</f>
        <v>58383</v>
      </c>
      <c r="AA2744" s="117">
        <f>_xll.qlCalendarAdvance(Calendar,Z2744,NDays&amp;"D")</f>
        <v>58385</v>
      </c>
      <c r="AB2744" s="92">
        <v>1.0245261020441069E-2</v>
      </c>
      <c r="AC2744" s="101">
        <v>1.0330763557968581E-2</v>
      </c>
    </row>
    <row r="2745" spans="25:29" x14ac:dyDescent="0.2">
      <c r="Y2745" s="105" t="str">
        <f t="shared" si="76"/>
        <v>1w</v>
      </c>
      <c r="Z2745" s="93">
        <f>_xll.qlCalendarAdvance(Calendar,Z2744,Y2745,"f",FALSE)</f>
        <v>58390</v>
      </c>
      <c r="AA2745" s="117">
        <f>_xll.qlCalendarAdvance(Calendar,Z2745,NDays&amp;"D")</f>
        <v>58392</v>
      </c>
      <c r="AB2745" s="92">
        <v>1.0236588065554933E-2</v>
      </c>
      <c r="AC2745" s="101">
        <v>1.0322084919121011E-2</v>
      </c>
    </row>
    <row r="2746" spans="25:29" x14ac:dyDescent="0.2">
      <c r="Y2746" s="105" t="str">
        <f t="shared" si="76"/>
        <v>1w</v>
      </c>
      <c r="Z2746" s="93">
        <f>_xll.qlCalendarAdvance(Calendar,Z2745,Y2746,"f",FALSE)</f>
        <v>58397</v>
      </c>
      <c r="AA2746" s="117">
        <f>_xll.qlCalendarAdvance(Calendar,Z2746,NDays&amp;"D")</f>
        <v>58399</v>
      </c>
      <c r="AB2746" s="92">
        <v>1.0227919342432747E-2</v>
      </c>
      <c r="AC2746" s="101">
        <v>1.0313409993862876E-2</v>
      </c>
    </row>
    <row r="2747" spans="25:29" x14ac:dyDescent="0.2">
      <c r="Y2747" s="105" t="str">
        <f t="shared" si="76"/>
        <v>1w</v>
      </c>
      <c r="Z2747" s="93">
        <f>_xll.qlCalendarAdvance(Calendar,Z2746,Y2747,"f",FALSE)</f>
        <v>58404</v>
      </c>
      <c r="AA2747" s="117">
        <f>_xll.qlCalendarAdvance(Calendar,Z2747,NDays&amp;"D")</f>
        <v>58406</v>
      </c>
      <c r="AB2747" s="92">
        <v>1.0219256323333748E-2</v>
      </c>
      <c r="AC2747" s="101">
        <v>1.0304738802418001E-2</v>
      </c>
    </row>
    <row r="2748" spans="25:29" x14ac:dyDescent="0.2">
      <c r="Y2748" s="105" t="str">
        <f t="shared" si="76"/>
        <v>1w</v>
      </c>
      <c r="Z2748" s="93">
        <f>_xll.qlCalendarAdvance(Calendar,Z2747,Y2748,"f",FALSE)</f>
        <v>58411</v>
      </c>
      <c r="AA2748" s="117">
        <f>_xll.qlCalendarAdvance(Calendar,Z2748,NDays&amp;"D")</f>
        <v>58413</v>
      </c>
      <c r="AB2748" s="92">
        <v>1.0210129416049103E-2</v>
      </c>
      <c r="AC2748" s="101">
        <v>1.029607136453059E-2</v>
      </c>
    </row>
    <row r="2749" spans="25:29" x14ac:dyDescent="0.2">
      <c r="Y2749" s="105" t="str">
        <f t="shared" si="76"/>
        <v>1w</v>
      </c>
      <c r="Z2749" s="93">
        <f>_xll.qlCalendarAdvance(Calendar,Z2748,Y2749,"f",FALSE)</f>
        <v>58418</v>
      </c>
      <c r="AA2749" s="117">
        <f>_xll.qlCalendarAdvance(Calendar,Z2749,NDays&amp;"D")</f>
        <v>58420</v>
      </c>
      <c r="AB2749" s="92">
        <v>1.0201484598943007E-2</v>
      </c>
      <c r="AC2749" s="101">
        <v>1.0287407700184659E-2</v>
      </c>
    </row>
    <row r="2750" spans="25:29" x14ac:dyDescent="0.2">
      <c r="Y2750" s="105" t="str">
        <f t="shared" si="76"/>
        <v>1w</v>
      </c>
      <c r="Z2750" s="93">
        <f>_xll.qlCalendarAdvance(Calendar,Z2749,Y2750,"f",FALSE)</f>
        <v>58425</v>
      </c>
      <c r="AA2750" s="117">
        <f>_xll.qlCalendarAdvance(Calendar,Z2750,NDays&amp;"D")</f>
        <v>58427</v>
      </c>
      <c r="AB2750" s="92">
        <v>1.0192851587687195E-2</v>
      </c>
      <c r="AC2750" s="101">
        <v>1.0278747829284285E-2</v>
      </c>
    </row>
    <row r="2751" spans="25:29" x14ac:dyDescent="0.2">
      <c r="Y2751" s="105" t="str">
        <f t="shared" si="76"/>
        <v>1w</v>
      </c>
      <c r="Z2751" s="93">
        <f>_xll.qlCalendarAdvance(Calendar,Z2750,Y2751,"f",FALSE)</f>
        <v>58432</v>
      </c>
      <c r="AA2751" s="117">
        <f>_xll.qlCalendarAdvance(Calendar,Z2751,NDays&amp;"D")</f>
        <v>58438</v>
      </c>
      <c r="AB2751" s="92">
        <v>1.0179313975196513E-2</v>
      </c>
      <c r="AC2751" s="101">
        <v>1.026514717292315E-2</v>
      </c>
    </row>
    <row r="2752" spans="25:29" x14ac:dyDescent="0.2">
      <c r="Y2752" s="105" t="str">
        <f t="shared" si="76"/>
        <v>1w</v>
      </c>
      <c r="Z2752" s="93">
        <f>_xll.qlCalendarAdvance(Calendar,Z2751,Y2752,"f",FALSE)</f>
        <v>58439</v>
      </c>
      <c r="AA2752" s="117">
        <f>_xll.qlCalendarAdvance(Calendar,Z2752,NDays&amp;"D")</f>
        <v>58442</v>
      </c>
      <c r="AB2752" s="92">
        <v>1.0174867280667122E-2</v>
      </c>
      <c r="AC2752" s="101">
        <v>1.0259260570437689E-2</v>
      </c>
    </row>
    <row r="2753" spans="25:29" x14ac:dyDescent="0.2">
      <c r="Y2753" s="105" t="str">
        <f t="shared" si="76"/>
        <v>1w</v>
      </c>
      <c r="Z2753" s="93">
        <f>_xll.qlCalendarAdvance(Calendar,Z2752,Y2753,"f",FALSE)</f>
        <v>58446</v>
      </c>
      <c r="AA2753" s="117">
        <f>_xll.qlCalendarAdvance(Calendar,Z2753,NDays&amp;"D")</f>
        <v>58448</v>
      </c>
      <c r="AB2753" s="92">
        <v>1.0167507515273079E-2</v>
      </c>
      <c r="AC2753" s="101">
        <v>1.0252791176377229E-2</v>
      </c>
    </row>
    <row r="2754" spans="25:29" x14ac:dyDescent="0.2">
      <c r="Y2754" s="105" t="str">
        <f t="shared" si="76"/>
        <v>1w</v>
      </c>
      <c r="Z2754" s="93">
        <f>_xll.qlCalendarAdvance(Calendar,Z2753,Y2754,"f",FALSE)</f>
        <v>58453</v>
      </c>
      <c r="AA2754" s="117">
        <f>_xll.qlCalendarAdvance(Calendar,Z2754,NDays&amp;"D")</f>
        <v>58455</v>
      </c>
      <c r="AB2754" s="92">
        <v>1.0158939256885005E-2</v>
      </c>
      <c r="AC2754" s="101">
        <v>1.0244146678539678E-2</v>
      </c>
    </row>
    <row r="2755" spans="25:29" x14ac:dyDescent="0.2">
      <c r="Y2755" s="105" t="str">
        <f t="shared" si="76"/>
        <v>1w</v>
      </c>
      <c r="Z2755" s="93">
        <f>_xll.qlCalendarAdvance(Calendar,Z2754,Y2755,"f",FALSE)</f>
        <v>58460</v>
      </c>
      <c r="AA2755" s="117">
        <f>_xll.qlCalendarAdvance(Calendar,Z2755,NDays&amp;"D")</f>
        <v>58462</v>
      </c>
      <c r="AB2755" s="92">
        <v>1.0150392408898297E-2</v>
      </c>
      <c r="AC2755" s="101">
        <v>1.0235506073668077E-2</v>
      </c>
    </row>
    <row r="2756" spans="25:29" x14ac:dyDescent="0.2">
      <c r="Y2756" s="105" t="str">
        <f t="shared" si="76"/>
        <v>1w</v>
      </c>
      <c r="Z2756" s="93">
        <f>_xll.qlCalendarAdvance(Calendar,Z2755,Y2756,"f",FALSE)</f>
        <v>58467</v>
      </c>
      <c r="AA2756" s="117">
        <f>_xll.qlCalendarAdvance(Calendar,Z2756,NDays&amp;"D")</f>
        <v>58469</v>
      </c>
      <c r="AB2756" s="92">
        <v>1.0141868949351785E-2</v>
      </c>
      <c r="AC2756" s="101">
        <v>1.0226869381666504E-2</v>
      </c>
    </row>
    <row r="2757" spans="25:29" x14ac:dyDescent="0.2">
      <c r="Y2757" s="105" t="str">
        <f t="shared" si="76"/>
        <v>1w</v>
      </c>
      <c r="Z2757" s="93">
        <f>_xll.qlCalendarAdvance(Calendar,Z2756,Y2757,"f",FALSE)</f>
        <v>58474</v>
      </c>
      <c r="AA2757" s="117">
        <f>_xll.qlCalendarAdvance(Calendar,Z2757,NDays&amp;"D")</f>
        <v>58476</v>
      </c>
      <c r="AB2757" s="92">
        <v>1.0133370859536204E-2</v>
      </c>
      <c r="AC2757" s="101">
        <v>1.0218236622838717E-2</v>
      </c>
    </row>
    <row r="2758" spans="25:29" x14ac:dyDescent="0.2">
      <c r="Y2758" s="105" t="str">
        <f t="shared" si="76"/>
        <v>1w</v>
      </c>
      <c r="Z2758" s="93">
        <f>_xll.qlCalendarAdvance(Calendar,Z2757,Y2758,"f",FALSE)</f>
        <v>58481</v>
      </c>
      <c r="AA2758" s="117">
        <f>_xll.qlCalendarAdvance(Calendar,Z2758,NDays&amp;"D")</f>
        <v>58483</v>
      </c>
      <c r="AB2758" s="92">
        <v>1.0124900123990241E-2</v>
      </c>
      <c r="AC2758" s="101">
        <v>1.0209607816689115E-2</v>
      </c>
    </row>
    <row r="2759" spans="25:29" x14ac:dyDescent="0.2">
      <c r="Y2759" s="105" t="str">
        <f t="shared" si="76"/>
        <v>1w</v>
      </c>
      <c r="Z2759" s="93">
        <f>_xll.qlCalendarAdvance(Calendar,Z2758,Y2759,"f",FALSE)</f>
        <v>58488</v>
      </c>
      <c r="AA2759" s="117">
        <f>_xll.qlCalendarAdvance(Calendar,Z2759,NDays&amp;"D")</f>
        <v>58490</v>
      </c>
      <c r="AB2759" s="92">
        <v>1.0116458730506685E-2</v>
      </c>
      <c r="AC2759" s="101">
        <v>1.0200982983281648E-2</v>
      </c>
    </row>
    <row r="2760" spans="25:29" x14ac:dyDescent="0.2">
      <c r="Y2760" s="105" t="str">
        <f t="shared" si="76"/>
        <v>1w</v>
      </c>
      <c r="Z2760" s="93">
        <f>_xll.qlCalendarAdvance(Calendar,Z2759,Y2760,"f",FALSE)</f>
        <v>58495</v>
      </c>
      <c r="AA2760" s="117">
        <f>_xll.qlCalendarAdvance(Calendar,Z2760,NDays&amp;"D")</f>
        <v>58497</v>
      </c>
      <c r="AB2760" s="92">
        <v>1.0108048670126272E-2</v>
      </c>
      <c r="AC2760" s="101">
        <v>1.0192362142520395E-2</v>
      </c>
    </row>
    <row r="2761" spans="25:29" x14ac:dyDescent="0.2">
      <c r="Y2761" s="105" t="str">
        <f t="shared" si="76"/>
        <v>1w</v>
      </c>
      <c r="Z2761" s="93">
        <f>_xll.qlCalendarAdvance(Calendar,Z2760,Y2761,"f",FALSE)</f>
        <v>58502</v>
      </c>
      <c r="AA2761" s="117">
        <f>_xll.qlCalendarAdvance(Calendar,Z2761,NDays&amp;"D")</f>
        <v>58504</v>
      </c>
      <c r="AB2761" s="92">
        <v>1.0097898734400184E-2</v>
      </c>
      <c r="AC2761" s="101">
        <v>1.018374531438937E-2</v>
      </c>
    </row>
    <row r="2762" spans="25:29" x14ac:dyDescent="0.2">
      <c r="Y2762" s="105" t="str">
        <f t="shared" si="76"/>
        <v>1w</v>
      </c>
      <c r="Z2762" s="93">
        <f>_xll.qlCalendarAdvance(Calendar,Z2761,Y2762,"f",FALSE)</f>
        <v>58509</v>
      </c>
      <c r="AA2762" s="117">
        <f>_xll.qlCalendarAdvance(Calendar,Z2762,NDays&amp;"D")</f>
        <v>58511</v>
      </c>
      <c r="AB2762" s="92">
        <v>1.0089570257795902E-2</v>
      </c>
      <c r="AC2762" s="101">
        <v>1.0175132518792651E-2</v>
      </c>
    </row>
    <row r="2763" spans="25:29" x14ac:dyDescent="0.2">
      <c r="Y2763" s="105" t="str">
        <f t="shared" si="76"/>
        <v>1w</v>
      </c>
      <c r="Z2763" s="93">
        <f>_xll.qlCalendarAdvance(Calendar,Z2762,Y2763,"f",FALSE)</f>
        <v>58516</v>
      </c>
      <c r="AA2763" s="117">
        <f>_xll.qlCalendarAdvance(Calendar,Z2763,NDays&amp;"D")</f>
        <v>58518</v>
      </c>
      <c r="AB2763" s="92">
        <v>1.0081279517895702E-2</v>
      </c>
      <c r="AC2763" s="101">
        <v>1.0166523775554381E-2</v>
      </c>
    </row>
    <row r="2764" spans="25:29" x14ac:dyDescent="0.2">
      <c r="Y2764" s="105" t="str">
        <f t="shared" si="76"/>
        <v>1w</v>
      </c>
      <c r="Z2764" s="93">
        <f>_xll.qlCalendarAdvance(Calendar,Z2763,Y2764,"f",FALSE)</f>
        <v>58523</v>
      </c>
      <c r="AA2764" s="117">
        <f>_xll.qlCalendarAdvance(Calendar,Z2764,NDays&amp;"D")</f>
        <v>58525</v>
      </c>
      <c r="AB2764" s="92">
        <v>1.0073028478110098E-2</v>
      </c>
      <c r="AC2764" s="101">
        <v>1.0157919104898383E-2</v>
      </c>
    </row>
    <row r="2765" spans="25:29" x14ac:dyDescent="0.2">
      <c r="Y2765" s="105" t="str">
        <f t="shared" si="76"/>
        <v>1w</v>
      </c>
      <c r="Z2765" s="93">
        <f>_xll.qlCalendarAdvance(Calendar,Z2764,Y2765,"f",FALSE)</f>
        <v>58530</v>
      </c>
      <c r="AA2765" s="117">
        <f>_xll.qlCalendarAdvance(Calendar,Z2765,NDays&amp;"D")</f>
        <v>58532</v>
      </c>
      <c r="AB2765" s="92">
        <v>1.0066107966132515E-2</v>
      </c>
      <c r="AC2765" s="101">
        <v>1.0149318526329054E-2</v>
      </c>
    </row>
    <row r="2766" spans="25:29" x14ac:dyDescent="0.2">
      <c r="Y2766" s="105" t="str">
        <f t="shared" si="76"/>
        <v>1w</v>
      </c>
      <c r="Z2766" s="93">
        <f>_xll.qlCalendarAdvance(Calendar,Z2765,Y2766,"f",FALSE)</f>
        <v>58537</v>
      </c>
      <c r="AA2766" s="117">
        <f>_xll.qlCalendarAdvance(Calendar,Z2766,NDays&amp;"D")</f>
        <v>58539</v>
      </c>
      <c r="AB2766" s="92">
        <v>1.0057931477022693E-2</v>
      </c>
      <c r="AC2766" s="101">
        <v>1.0140722059990281E-2</v>
      </c>
    </row>
    <row r="2767" spans="25:29" x14ac:dyDescent="0.2">
      <c r="Y2767" s="105" t="str">
        <f t="shared" si="76"/>
        <v>1w</v>
      </c>
      <c r="Z2767" s="93">
        <f>_xll.qlCalendarAdvance(Calendar,Z2766,Y2767,"f",FALSE)</f>
        <v>58544</v>
      </c>
      <c r="AA2767" s="117">
        <f>_xll.qlCalendarAdvance(Calendar,Z2767,NDays&amp;"D")</f>
        <v>58546</v>
      </c>
      <c r="AB2767" s="92">
        <v>1.0049800412223739E-2</v>
      </c>
      <c r="AC2767" s="101">
        <v>1.0130245693192208E-2</v>
      </c>
    </row>
    <row r="2768" spans="25:29" x14ac:dyDescent="0.2">
      <c r="Y2768" s="105" t="str">
        <f t="shared" si="76"/>
        <v>1w</v>
      </c>
      <c r="Z2768" s="93">
        <f>_xll.qlCalendarAdvance(Calendar,Z2767,Y2768,"f",FALSE)</f>
        <v>58551</v>
      </c>
      <c r="AA2768" s="117">
        <f>_xll.qlCalendarAdvance(Calendar,Z2768,NDays&amp;"D")</f>
        <v>58553</v>
      </c>
      <c r="AB2768" s="92">
        <v>1.0041716778398034E-2</v>
      </c>
      <c r="AC2768" s="101">
        <v>1.0123541543620718E-2</v>
      </c>
    </row>
    <row r="2769" spans="25:29" x14ac:dyDescent="0.2">
      <c r="Y2769" s="105" t="str">
        <f t="shared" si="76"/>
        <v>1w</v>
      </c>
      <c r="Z2769" s="93">
        <f>_xll.qlCalendarAdvance(Calendar,Z2768,Y2769,"f",FALSE)</f>
        <v>58558</v>
      </c>
      <c r="AA2769" s="117">
        <f>_xll.qlCalendarAdvance(Calendar,Z2769,NDays&amp;"D")</f>
        <v>58560</v>
      </c>
      <c r="AB2769" s="92">
        <v>1.0033682585445146E-2</v>
      </c>
      <c r="AC2769" s="101">
        <v>1.011495753347802E-2</v>
      </c>
    </row>
    <row r="2770" spans="25:29" x14ac:dyDescent="0.2">
      <c r="Y2770" s="105" t="str">
        <f t="shared" si="76"/>
        <v>1w</v>
      </c>
      <c r="Z2770" s="93">
        <f>_xll.qlCalendarAdvance(Calendar,Z2769,Y2770,"f",FALSE)</f>
        <v>58565</v>
      </c>
      <c r="AA2770" s="117">
        <f>_xll.qlCalendarAdvance(Calendar,Z2770,NDays&amp;"D")</f>
        <v>58567</v>
      </c>
      <c r="AB2770" s="92">
        <v>1.0024466293716346E-2</v>
      </c>
      <c r="AC2770" s="101">
        <v>1.0106377715262127E-2</v>
      </c>
    </row>
    <row r="2771" spans="25:29" x14ac:dyDescent="0.2">
      <c r="Y2771" s="105" t="str">
        <f t="shared" si="76"/>
        <v>1w</v>
      </c>
      <c r="Z2771" s="93">
        <f>_xll.qlCalendarAdvance(Calendar,Z2770,Y2771,"f",FALSE)</f>
        <v>58572</v>
      </c>
      <c r="AA2771" s="117">
        <f>_xll.qlCalendarAdvance(Calendar,Z2771,NDays&amp;"D")</f>
        <v>58574</v>
      </c>
      <c r="AB2771" s="92">
        <v>1.001654839754279E-2</v>
      </c>
      <c r="AC2771" s="101">
        <v>1.009780210863731E-2</v>
      </c>
    </row>
    <row r="2772" spans="25:29" x14ac:dyDescent="0.2">
      <c r="Y2772" s="105" t="str">
        <f t="shared" si="76"/>
        <v>1w</v>
      </c>
      <c r="Z2772" s="93">
        <f>_xll.qlCalendarAdvance(Calendar,Z2771,Y2772,"f",FALSE)</f>
        <v>58579</v>
      </c>
      <c r="AA2772" s="117">
        <f>_xll.qlCalendarAdvance(Calendar,Z2772,NDays&amp;"D")</f>
        <v>58581</v>
      </c>
      <c r="AB2772" s="92">
        <v>1.0008685825310795E-2</v>
      </c>
      <c r="AC2772" s="101">
        <v>1.0089252284588568E-2</v>
      </c>
    </row>
    <row r="2773" spans="25:29" x14ac:dyDescent="0.2">
      <c r="Y2773" s="105" t="str">
        <f t="shared" ref="Y2773:Y2836" si="77">Y2772</f>
        <v>1w</v>
      </c>
      <c r="Z2773" s="93">
        <f>_xll.qlCalendarAdvance(Calendar,Z2772,Y2773,"f",FALSE)</f>
        <v>58586</v>
      </c>
      <c r="AA2773" s="117">
        <f>_xll.qlCalendarAdvance(Calendar,Z2773,NDays&amp;"D")</f>
        <v>58588</v>
      </c>
      <c r="AB2773" s="92">
        <v>1.0000879148027253E-2</v>
      </c>
      <c r="AC2773" s="101">
        <v>1.0080756483885622E-2</v>
      </c>
    </row>
    <row r="2774" spans="25:29" x14ac:dyDescent="0.2">
      <c r="Y2774" s="105" t="str">
        <f t="shared" si="77"/>
        <v>1w</v>
      </c>
      <c r="Z2774" s="93">
        <f>_xll.qlCalendarAdvance(Calendar,Z2773,Y2774,"f",FALSE)</f>
        <v>58593</v>
      </c>
      <c r="AA2774" s="117">
        <f>_xll.qlCalendarAdvance(Calendar,Z2774,NDays&amp;"D")</f>
        <v>58595</v>
      </c>
      <c r="AB2774" s="92">
        <v>9.9943163460428953E-3</v>
      </c>
      <c r="AC2774" s="101">
        <v>1.0072314981108832E-2</v>
      </c>
    </row>
    <row r="2775" spans="25:29" x14ac:dyDescent="0.2">
      <c r="Y2775" s="105" t="str">
        <f t="shared" si="77"/>
        <v>1w</v>
      </c>
      <c r="Z2775" s="93">
        <f>_xll.qlCalendarAdvance(Calendar,Z2774,Y2775,"f",FALSE)</f>
        <v>58600</v>
      </c>
      <c r="AA2775" s="117">
        <f>_xll.qlCalendarAdvance(Calendar,Z2775,NDays&amp;"D")</f>
        <v>58602</v>
      </c>
      <c r="AB2775" s="92">
        <v>9.9866102842454778E-3</v>
      </c>
      <c r="AC2775" s="101">
        <v>1.0063927880974433E-2</v>
      </c>
    </row>
    <row r="2776" spans="25:29" x14ac:dyDescent="0.2">
      <c r="Y2776" s="105" t="str">
        <f t="shared" si="77"/>
        <v>1w</v>
      </c>
      <c r="Z2776" s="93">
        <f>_xll.qlCalendarAdvance(Calendar,Z2775,Y2776,"f",FALSE)</f>
        <v>58607</v>
      </c>
      <c r="AA2776" s="117">
        <f>_xll.qlCalendarAdvance(Calendar,Z2776,NDays&amp;"D")</f>
        <v>58609</v>
      </c>
      <c r="AB2776" s="92">
        <v>9.9789604049100224E-3</v>
      </c>
      <c r="AC2776" s="101">
        <v>1.005559528859834E-2</v>
      </c>
    </row>
    <row r="2777" spans="25:29" x14ac:dyDescent="0.2">
      <c r="Y2777" s="105" t="str">
        <f t="shared" si="77"/>
        <v>1w</v>
      </c>
      <c r="Z2777" s="93">
        <f>_xll.qlCalendarAdvance(Calendar,Z2776,Y2777,"f",FALSE)</f>
        <v>58614</v>
      </c>
      <c r="AA2777" s="117">
        <f>_xll.qlCalendarAdvance(Calendar,Z2777,NDays&amp;"D")</f>
        <v>58616</v>
      </c>
      <c r="AB2777" s="92">
        <v>9.9713668127737291E-3</v>
      </c>
      <c r="AC2777" s="101">
        <v>1.0047317308456982E-2</v>
      </c>
    </row>
    <row r="2778" spans="25:29" x14ac:dyDescent="0.2">
      <c r="Y2778" s="105" t="str">
        <f t="shared" si="77"/>
        <v>1w</v>
      </c>
      <c r="Z2778" s="93">
        <f>_xll.qlCalendarAdvance(Calendar,Z2777,Y2778,"f",FALSE)</f>
        <v>58621</v>
      </c>
      <c r="AA2778" s="117">
        <f>_xll.qlCalendarAdvance(Calendar,Z2778,NDays&amp;"D")</f>
        <v>58623</v>
      </c>
      <c r="AB2778" s="92">
        <v>9.962687865171049E-3</v>
      </c>
      <c r="AC2778" s="101">
        <v>1.0039094045586339E-2</v>
      </c>
    </row>
    <row r="2779" spans="25:29" x14ac:dyDescent="0.2">
      <c r="Y2779" s="105" t="str">
        <f t="shared" si="77"/>
        <v>1w</v>
      </c>
      <c r="Z2779" s="93">
        <f>_xll.qlCalendarAdvance(Calendar,Z2778,Y2779,"f",FALSE)</f>
        <v>58628</v>
      </c>
      <c r="AA2779" s="117">
        <f>_xll.qlCalendarAdvance(Calendar,Z2779,NDays&amp;"D")</f>
        <v>58630</v>
      </c>
      <c r="AB2779" s="92">
        <v>9.9552187624738567E-3</v>
      </c>
      <c r="AC2779" s="101">
        <v>1.0030925604942453E-2</v>
      </c>
    </row>
    <row r="2780" spans="25:29" x14ac:dyDescent="0.2">
      <c r="Y2780" s="105" t="str">
        <f t="shared" si="77"/>
        <v>1w</v>
      </c>
      <c r="Z2780" s="93">
        <f>_xll.qlCalendarAdvance(Calendar,Z2779,Y2780,"f",FALSE)</f>
        <v>58635</v>
      </c>
      <c r="AA2780" s="117">
        <f>_xll.qlCalendarAdvance(Calendar,Z2780,NDays&amp;"D")</f>
        <v>58637</v>
      </c>
      <c r="AB2780" s="92">
        <v>9.9478062888041507E-3</v>
      </c>
      <c r="AC2780" s="101">
        <v>1.0022812091401434E-2</v>
      </c>
    </row>
    <row r="2781" spans="25:29" x14ac:dyDescent="0.2">
      <c r="Y2781" s="105" t="str">
        <f t="shared" si="77"/>
        <v>1w</v>
      </c>
      <c r="Z2781" s="93">
        <f>_xll.qlCalendarAdvance(Calendar,Z2780,Y2781,"f",FALSE)</f>
        <v>58642</v>
      </c>
      <c r="AA2781" s="117">
        <f>_xll.qlCalendarAdvance(Calendar,Z2781,NDays&amp;"D")</f>
        <v>58644</v>
      </c>
      <c r="AB2781" s="92">
        <v>9.9404505489112636E-3</v>
      </c>
      <c r="AC2781" s="101">
        <v>1.0014753609519644E-2</v>
      </c>
    </row>
    <row r="2782" spans="25:29" x14ac:dyDescent="0.2">
      <c r="Y2782" s="105" t="str">
        <f t="shared" si="77"/>
        <v>1w</v>
      </c>
      <c r="Z2782" s="93">
        <f>_xll.qlCalendarAdvance(Calendar,Z2781,Y2782,"f",FALSE)</f>
        <v>58649</v>
      </c>
      <c r="AA2782" s="117">
        <f>_xll.qlCalendarAdvance(Calendar,Z2782,NDays&amp;"D")</f>
        <v>58651</v>
      </c>
      <c r="AB2782" s="92">
        <v>9.9331516475501067E-3</v>
      </c>
      <c r="AC2782" s="101">
        <v>1.0006750264413E-2</v>
      </c>
    </row>
    <row r="2783" spans="25:29" x14ac:dyDescent="0.2">
      <c r="Y2783" s="105" t="str">
        <f t="shared" si="77"/>
        <v>1w</v>
      </c>
      <c r="Z2783" s="93">
        <f>_xll.qlCalendarAdvance(Calendar,Z2782,Y2783,"f",FALSE)</f>
        <v>58656</v>
      </c>
      <c r="AA2783" s="117">
        <f>_xll.qlCalendarAdvance(Calendar,Z2783,NDays&amp;"D")</f>
        <v>58658</v>
      </c>
      <c r="AB2783" s="92">
        <v>9.9259096894768837E-3</v>
      </c>
      <c r="AC2783" s="101">
        <v>9.9988021608776734E-3</v>
      </c>
    </row>
    <row r="2784" spans="25:29" x14ac:dyDescent="0.2">
      <c r="Y2784" s="105" t="str">
        <f t="shared" si="77"/>
        <v>1w</v>
      </c>
      <c r="Z2784" s="93">
        <f>_xll.qlCalendarAdvance(Calendar,Z2783,Y2784,"f",FALSE)</f>
        <v>58663</v>
      </c>
      <c r="AA2784" s="117">
        <f>_xll.qlCalendarAdvance(Calendar,Z2784,NDays&amp;"D")</f>
        <v>58665</v>
      </c>
      <c r="AB2784" s="92">
        <v>9.9187247794538143E-3</v>
      </c>
      <c r="AC2784" s="101">
        <v>9.9909094040295798E-3</v>
      </c>
    </row>
    <row r="2785" spans="25:29" x14ac:dyDescent="0.2">
      <c r="Y2785" s="105" t="str">
        <f t="shared" si="77"/>
        <v>1w</v>
      </c>
      <c r="Z2785" s="93">
        <f>_xll.qlCalendarAdvance(Calendar,Z2784,Y2785,"f",FALSE)</f>
        <v>58670</v>
      </c>
      <c r="AA2785" s="117">
        <f>_xll.qlCalendarAdvance(Calendar,Z2785,NDays&amp;"D")</f>
        <v>58672</v>
      </c>
      <c r="AB2785" s="92">
        <v>9.9115970222431217E-3</v>
      </c>
      <c r="AC2785" s="101">
        <v>9.983072098185275E-3</v>
      </c>
    </row>
    <row r="2786" spans="25:29" x14ac:dyDescent="0.2">
      <c r="Y2786" s="105" t="str">
        <f t="shared" si="77"/>
        <v>1w</v>
      </c>
      <c r="Z2786" s="93">
        <f>_xll.qlCalendarAdvance(Calendar,Z2785,Y2786,"f",FALSE)</f>
        <v>58677</v>
      </c>
      <c r="AA2786" s="117">
        <f>_xll.qlCalendarAdvance(Calendar,Z2786,NDays&amp;"D")</f>
        <v>58679</v>
      </c>
      <c r="AB2786" s="92">
        <v>9.9045265226147608E-3</v>
      </c>
      <c r="AC2786" s="101">
        <v>9.9752903485406108E-3</v>
      </c>
    </row>
    <row r="2787" spans="25:29" x14ac:dyDescent="0.2">
      <c r="Y2787" s="105" t="str">
        <f t="shared" si="77"/>
        <v>1w</v>
      </c>
      <c r="Z2787" s="93">
        <f>_xll.qlCalendarAdvance(Calendar,Z2786,Y2787,"f",FALSE)</f>
        <v>58684</v>
      </c>
      <c r="AA2787" s="117">
        <f>_xll.qlCalendarAdvance(Calendar,Z2787,NDays&amp;"D")</f>
        <v>58686</v>
      </c>
      <c r="AB2787" s="92">
        <v>9.8992424874935134E-3</v>
      </c>
      <c r="AC2787" s="101">
        <v>9.9675642601315673E-3</v>
      </c>
    </row>
    <row r="2788" spans="25:29" x14ac:dyDescent="0.2">
      <c r="Y2788" s="105" t="str">
        <f t="shared" si="77"/>
        <v>1w</v>
      </c>
      <c r="Z2788" s="93">
        <f>_xll.qlCalendarAdvance(Calendar,Z2787,Y2788,"f",FALSE)</f>
        <v>58691</v>
      </c>
      <c r="AA2788" s="117">
        <f>_xll.qlCalendarAdvance(Calendar,Z2788,NDays&amp;"D")</f>
        <v>58693</v>
      </c>
      <c r="AB2788" s="92">
        <v>9.8922670736032586E-3</v>
      </c>
      <c r="AC2788" s="101">
        <v>9.9598939374345719E-3</v>
      </c>
    </row>
    <row r="2789" spans="25:29" x14ac:dyDescent="0.2">
      <c r="Y2789" s="105" t="str">
        <f t="shared" si="77"/>
        <v>1w</v>
      </c>
      <c r="Z2789" s="93">
        <f>_xll.qlCalendarAdvance(Calendar,Z2788,Y2789,"f",FALSE)</f>
        <v>58698</v>
      </c>
      <c r="AA2789" s="117">
        <f>_xll.qlCalendarAdvance(Calendar,Z2789,NDays&amp;"D")</f>
        <v>58700</v>
      </c>
      <c r="AB2789" s="92">
        <v>9.8853491856439844E-3</v>
      </c>
      <c r="AC2789" s="101">
        <v>9.9522794854056684E-3</v>
      </c>
    </row>
    <row r="2790" spans="25:29" x14ac:dyDescent="0.2">
      <c r="Y2790" s="105" t="str">
        <f t="shared" si="77"/>
        <v>1w</v>
      </c>
      <c r="Z2790" s="93">
        <f>_xll.qlCalendarAdvance(Calendar,Z2789,Y2790,"f",FALSE)</f>
        <v>58705</v>
      </c>
      <c r="AA2790" s="117">
        <f>_xll.qlCalendarAdvance(Calendar,Z2790,NDays&amp;"D")</f>
        <v>58707</v>
      </c>
      <c r="AB2790" s="92">
        <v>9.8784889283986127E-3</v>
      </c>
      <c r="AC2790" s="101">
        <v>9.9447210090009008E-3</v>
      </c>
    </row>
    <row r="2791" spans="25:29" x14ac:dyDescent="0.2">
      <c r="Y2791" s="105" t="str">
        <f t="shared" si="77"/>
        <v>1w</v>
      </c>
      <c r="Z2791" s="93">
        <f>_xll.qlCalendarAdvance(Calendar,Z2790,Y2791,"f",FALSE)</f>
        <v>58712</v>
      </c>
      <c r="AA2791" s="117">
        <f>_xll.qlCalendarAdvance(Calendar,Z2791,NDays&amp;"D")</f>
        <v>58714</v>
      </c>
      <c r="AB2791" s="92">
        <v>9.8713556858866808E-3</v>
      </c>
      <c r="AC2791" s="101">
        <v>9.937218613256249E-3</v>
      </c>
    </row>
    <row r="2792" spans="25:29" x14ac:dyDescent="0.2">
      <c r="Y2792" s="105" t="str">
        <f t="shared" si="77"/>
        <v>1w</v>
      </c>
      <c r="Z2792" s="93">
        <f>_xll.qlCalendarAdvance(Calendar,Z2791,Y2792,"f",FALSE)</f>
        <v>58719</v>
      </c>
      <c r="AA2792" s="117">
        <f>_xll.qlCalendarAdvance(Calendar,Z2792,NDays&amp;"D")</f>
        <v>58721</v>
      </c>
      <c r="AB2792" s="92">
        <v>9.8646149880485343E-3</v>
      </c>
      <c r="AC2792" s="101">
        <v>9.9297724024083323E-3</v>
      </c>
    </row>
    <row r="2793" spans="25:29" x14ac:dyDescent="0.2">
      <c r="Y2793" s="105" t="str">
        <f t="shared" si="77"/>
        <v>1w</v>
      </c>
      <c r="Z2793" s="93">
        <f>_xll.qlCalendarAdvance(Calendar,Z2792,Y2793,"f",FALSE)</f>
        <v>58726</v>
      </c>
      <c r="AA2793" s="117">
        <f>_xll.qlCalendarAdvance(Calendar,Z2793,NDays&amp;"D")</f>
        <v>58728</v>
      </c>
      <c r="AB2793" s="92">
        <v>9.8579322444882506E-3</v>
      </c>
      <c r="AC2793" s="101">
        <v>9.9223824820526829E-3</v>
      </c>
    </row>
    <row r="2794" spans="25:29" x14ac:dyDescent="0.2">
      <c r="Y2794" s="105" t="str">
        <f t="shared" si="77"/>
        <v>1w</v>
      </c>
      <c r="Z2794" s="93">
        <f>_xll.qlCalendarAdvance(Calendar,Z2793,Y2794,"f",FALSE)</f>
        <v>58733</v>
      </c>
      <c r="AA2794" s="117">
        <f>_xll.qlCalendarAdvance(Calendar,Z2794,NDays&amp;"D")</f>
        <v>58735</v>
      </c>
      <c r="AB2794" s="92">
        <v>9.851307560001998E-3</v>
      </c>
      <c r="AC2794" s="101">
        <v>9.9150489566657285E-3</v>
      </c>
    </row>
    <row r="2795" spans="25:29" x14ac:dyDescent="0.2">
      <c r="Y2795" s="105" t="str">
        <f t="shared" si="77"/>
        <v>1w</v>
      </c>
      <c r="Z2795" s="93">
        <f>_xll.qlCalendarAdvance(Calendar,Z2794,Y2795,"f",FALSE)</f>
        <v>58740</v>
      </c>
      <c r="AA2795" s="117">
        <f>_xll.qlCalendarAdvance(Calendar,Z2795,NDays&amp;"D")</f>
        <v>58742</v>
      </c>
      <c r="AB2795" s="92">
        <v>9.8447410393907794E-3</v>
      </c>
      <c r="AC2795" s="101">
        <v>9.9077719311235768E-3</v>
      </c>
    </row>
    <row r="2796" spans="25:29" x14ac:dyDescent="0.2">
      <c r="Y2796" s="105" t="str">
        <f t="shared" si="77"/>
        <v>1w</v>
      </c>
      <c r="Z2796" s="93">
        <f>_xll.qlCalendarAdvance(Calendar,Z2795,Y2796,"f",FALSE)</f>
        <v>58747</v>
      </c>
      <c r="AA2796" s="117">
        <f>_xll.qlCalendarAdvance(Calendar,Z2796,NDays&amp;"D")</f>
        <v>58749</v>
      </c>
      <c r="AB2796" s="92">
        <v>9.8385434981881851E-3</v>
      </c>
      <c r="AC2796" s="101">
        <v>9.9005515103822717E-3</v>
      </c>
    </row>
    <row r="2797" spans="25:29" x14ac:dyDescent="0.2">
      <c r="Y2797" s="105" t="str">
        <f t="shared" si="77"/>
        <v>1w</v>
      </c>
      <c r="Z2797" s="93">
        <f>_xll.qlCalendarAdvance(Calendar,Z2796,Y2797,"f",FALSE)</f>
        <v>58754</v>
      </c>
      <c r="AA2797" s="117">
        <f>_xll.qlCalendarAdvance(Calendar,Z2797,NDays&amp;"D")</f>
        <v>58756</v>
      </c>
      <c r="AB2797" s="92">
        <v>9.8320895901534474E-3</v>
      </c>
      <c r="AC2797" s="101">
        <v>9.8933877991580488E-3</v>
      </c>
    </row>
    <row r="2798" spans="25:29" x14ac:dyDescent="0.2">
      <c r="Y2798" s="105" t="str">
        <f t="shared" si="77"/>
        <v>1w</v>
      </c>
      <c r="Z2798" s="93">
        <f>_xll.qlCalendarAdvance(Calendar,Z2797,Y2798,"f",FALSE)</f>
        <v>58761</v>
      </c>
      <c r="AA2798" s="117">
        <f>_xll.qlCalendarAdvance(Calendar,Z2798,NDays&amp;"D")</f>
        <v>58763</v>
      </c>
      <c r="AB2798" s="92">
        <v>9.8256941512231844E-3</v>
      </c>
      <c r="AC2798" s="101">
        <v>9.886280902327016E-3</v>
      </c>
    </row>
    <row r="2799" spans="25:29" x14ac:dyDescent="0.2">
      <c r="Y2799" s="105" t="str">
        <f t="shared" si="77"/>
        <v>1w</v>
      </c>
      <c r="Z2799" s="93">
        <f>_xll.qlCalendarAdvance(Calendar,Z2798,Y2799,"f",FALSE)</f>
        <v>58768</v>
      </c>
      <c r="AA2799" s="117">
        <f>_xll.qlCalendarAdvance(Calendar,Z2799,NDays&amp;"D")</f>
        <v>58770</v>
      </c>
      <c r="AB2799" s="92">
        <v>9.8193572862143239E-3</v>
      </c>
      <c r="AC2799" s="101">
        <v>9.8792309250850252E-3</v>
      </c>
    </row>
    <row r="2800" spans="25:29" x14ac:dyDescent="0.2">
      <c r="Y2800" s="105" t="str">
        <f t="shared" si="77"/>
        <v>1w</v>
      </c>
      <c r="Z2800" s="93">
        <f>_xll.qlCalendarAdvance(Calendar,Z2799,Y2800,"f",FALSE)</f>
        <v>58775</v>
      </c>
      <c r="AA2800" s="117">
        <f>_xll.qlCalendarAdvance(Calendar,Z2800,NDays&amp;"D")</f>
        <v>58777</v>
      </c>
      <c r="AB2800" s="92">
        <v>9.8127845627364457E-3</v>
      </c>
      <c r="AC2800" s="101">
        <v>9.8722379717486319E-3</v>
      </c>
    </row>
    <row r="2801" spans="25:29" x14ac:dyDescent="0.2">
      <c r="Y2801" s="105" t="str">
        <f t="shared" si="77"/>
        <v>1w</v>
      </c>
      <c r="Z2801" s="93">
        <f>_xll.qlCalendarAdvance(Calendar,Z2800,Y2801,"f",FALSE)</f>
        <v>58782</v>
      </c>
      <c r="AA2801" s="117">
        <f>_xll.qlCalendarAdvance(Calendar,Z2801,NDays&amp;"D")</f>
        <v>58784</v>
      </c>
      <c r="AB2801" s="92">
        <v>9.8065692263959031E-3</v>
      </c>
      <c r="AC2801" s="101">
        <v>9.8653021475136882E-3</v>
      </c>
    </row>
    <row r="2802" spans="25:29" x14ac:dyDescent="0.2">
      <c r="Y2802" s="105" t="str">
        <f t="shared" si="77"/>
        <v>1w</v>
      </c>
      <c r="Z2802" s="93">
        <f>_xll.qlCalendarAdvance(Calendar,Z2801,Y2802,"f",FALSE)</f>
        <v>58789</v>
      </c>
      <c r="AA2802" s="117">
        <f>_xll.qlCalendarAdvance(Calendar,Z2802,NDays&amp;"D")</f>
        <v>58791</v>
      </c>
      <c r="AB2802" s="92">
        <v>9.8004127876393128E-3</v>
      </c>
      <c r="AC2802" s="101">
        <v>9.8584235572563017E-3</v>
      </c>
    </row>
    <row r="2803" spans="25:29" x14ac:dyDescent="0.2">
      <c r="Y2803" s="105" t="str">
        <f t="shared" si="77"/>
        <v>1w</v>
      </c>
      <c r="Z2803" s="93">
        <f>_xll.qlCalendarAdvance(Calendar,Z2802,Y2803,"f",FALSE)</f>
        <v>58796</v>
      </c>
      <c r="AA2803" s="117">
        <f>_xll.qlCalendarAdvance(Calendar,Z2803,NDays&amp;"D")</f>
        <v>58798</v>
      </c>
      <c r="AB2803" s="92">
        <v>9.7943153512988611E-3</v>
      </c>
      <c r="AC2803" s="101">
        <v>9.8516023056127722E-3</v>
      </c>
    </row>
    <row r="2804" spans="25:29" x14ac:dyDescent="0.2">
      <c r="Y2804" s="105" t="str">
        <f t="shared" si="77"/>
        <v>1w</v>
      </c>
      <c r="Z2804" s="93">
        <f>_xll.qlCalendarAdvance(Calendar,Z2803,Y2804,"f",FALSE)</f>
        <v>58803</v>
      </c>
      <c r="AA2804" s="117">
        <f>_xll.qlCalendarAdvance(Calendar,Z2804,NDays&amp;"D")</f>
        <v>58805</v>
      </c>
      <c r="AB2804" s="92">
        <v>9.7882770222089341E-3</v>
      </c>
      <c r="AC2804" s="101">
        <v>9.8448384976990155E-3</v>
      </c>
    </row>
    <row r="2805" spans="25:29" x14ac:dyDescent="0.2">
      <c r="Y2805" s="105" t="str">
        <f t="shared" si="77"/>
        <v>1w</v>
      </c>
      <c r="Z2805" s="93">
        <f>_xll.qlCalendarAdvance(Calendar,Z2804,Y2805,"f",FALSE)</f>
        <v>58810</v>
      </c>
      <c r="AA2805" s="117">
        <f>_xll.qlCalendarAdvance(Calendar,Z2805,NDays&amp;"D")</f>
        <v>58812</v>
      </c>
      <c r="AB2805" s="92">
        <v>9.7825720186424311E-3</v>
      </c>
      <c r="AC2805" s="101">
        <v>9.8381322382312675E-3</v>
      </c>
    </row>
    <row r="2806" spans="25:29" x14ac:dyDescent="0.2">
      <c r="Y2806" s="105" t="str">
        <f t="shared" si="77"/>
        <v>1w</v>
      </c>
      <c r="Z2806" s="93">
        <f>_xll.qlCalendarAdvance(Calendar,Z2805,Y2806,"f",FALSE)</f>
        <v>58817</v>
      </c>
      <c r="AA2806" s="117">
        <f>_xll.qlCalendarAdvance(Calendar,Z2806,NDays&amp;"D")</f>
        <v>58819</v>
      </c>
      <c r="AB2806" s="92">
        <v>9.7766481062360727E-3</v>
      </c>
      <c r="AC2806" s="101">
        <v>9.8314836320856358E-3</v>
      </c>
    </row>
    <row r="2807" spans="25:29" x14ac:dyDescent="0.2">
      <c r="Y2807" s="105" t="str">
        <f t="shared" si="77"/>
        <v>1w</v>
      </c>
      <c r="Z2807" s="93">
        <f>_xll.qlCalendarAdvance(Calendar,Z2806,Y2807,"f",FALSE)</f>
        <v>58824</v>
      </c>
      <c r="AA2807" s="117">
        <f>_xll.qlCalendarAdvance(Calendar,Z2807,NDays&amp;"D")</f>
        <v>58826</v>
      </c>
      <c r="AB2807" s="92">
        <v>9.7707836064146198E-3</v>
      </c>
      <c r="AC2807" s="101">
        <v>9.8248927841382283E-3</v>
      </c>
    </row>
    <row r="2808" spans="25:29" x14ac:dyDescent="0.2">
      <c r="Y2808" s="105" t="str">
        <f t="shared" si="77"/>
        <v>1w</v>
      </c>
      <c r="Z2808" s="93">
        <f>_xll.qlCalendarAdvance(Calendar,Z2807,Y2808,"f",FALSE)</f>
        <v>58831</v>
      </c>
      <c r="AA2808" s="117">
        <f>_xll.qlCalendarAdvance(Calendar,Z2808,NDays&amp;"D")</f>
        <v>58833</v>
      </c>
      <c r="AB2808" s="92">
        <v>9.7649786240294502E-3</v>
      </c>
      <c r="AC2808" s="101">
        <v>9.8183597991852167E-3</v>
      </c>
    </row>
    <row r="2809" spans="25:29" x14ac:dyDescent="0.2">
      <c r="Y2809" s="105" t="str">
        <f t="shared" si="77"/>
        <v>1w</v>
      </c>
      <c r="Z2809" s="93">
        <f>_xll.qlCalendarAdvance(Calendar,Z2808,Y2809,"f",FALSE)</f>
        <v>58838</v>
      </c>
      <c r="AA2809" s="117">
        <f>_xll.qlCalendarAdvance(Calendar,Z2809,NDays&amp;"D")</f>
        <v>58840</v>
      </c>
      <c r="AB2809" s="92">
        <v>9.7592332639345903E-3</v>
      </c>
      <c r="AC2809" s="101">
        <v>9.811884782262581E-3</v>
      </c>
    </row>
    <row r="2810" spans="25:29" x14ac:dyDescent="0.2">
      <c r="Y2810" s="105" t="str">
        <f t="shared" si="77"/>
        <v>1w</v>
      </c>
      <c r="Z2810" s="93">
        <f>_xll.qlCalendarAdvance(Calendar,Z2809,Y2810,"f",FALSE)</f>
        <v>58845</v>
      </c>
      <c r="AA2810" s="117">
        <f>_xll.qlCalendarAdvance(Calendar,Z2810,NDays&amp;"D")</f>
        <v>58847</v>
      </c>
      <c r="AB2810" s="92">
        <v>9.7535476309898068E-3</v>
      </c>
      <c r="AC2810" s="101">
        <v>9.8054678379266846E-3</v>
      </c>
    </row>
    <row r="2811" spans="25:29" x14ac:dyDescent="0.2">
      <c r="Y2811" s="105" t="str">
        <f t="shared" si="77"/>
        <v>1w</v>
      </c>
      <c r="Z2811" s="93">
        <f>_xll.qlCalendarAdvance(Calendar,Z2810,Y2811,"f",FALSE)</f>
        <v>58852</v>
      </c>
      <c r="AA2811" s="117">
        <f>_xll.qlCalendarAdvance(Calendar,Z2811,NDays&amp;"D")</f>
        <v>58854</v>
      </c>
      <c r="AB2811" s="92">
        <v>9.7479218300584002E-3</v>
      </c>
      <c r="AC2811" s="101">
        <v>9.7991090712135076E-3</v>
      </c>
    </row>
    <row r="2812" spans="25:29" x14ac:dyDescent="0.2">
      <c r="Y2812" s="105" t="str">
        <f t="shared" si="77"/>
        <v>1w</v>
      </c>
      <c r="Z2812" s="93">
        <f>_xll.qlCalendarAdvance(Calendar,Z2811,Y2812,"f",FALSE)</f>
        <v>58859</v>
      </c>
      <c r="AA2812" s="117">
        <f>_xll.qlCalendarAdvance(Calendar,Z2812,NDays&amp;"D")</f>
        <v>58861</v>
      </c>
      <c r="AB2812" s="92">
        <v>9.7423559660076466E-3</v>
      </c>
      <c r="AC2812" s="101">
        <v>9.7928085869991577E-3</v>
      </c>
    </row>
    <row r="2813" spans="25:29" x14ac:dyDescent="0.2">
      <c r="Y2813" s="105" t="str">
        <f t="shared" si="77"/>
        <v>1w</v>
      </c>
      <c r="Z2813" s="93">
        <f>_xll.qlCalendarAdvance(Calendar,Z2812,Y2813,"f",FALSE)</f>
        <v>58866</v>
      </c>
      <c r="AA2813" s="117">
        <f>_xll.qlCalendarAdvance(Calendar,Z2813,NDays&amp;"D")</f>
        <v>58868</v>
      </c>
      <c r="AB2813" s="92">
        <v>9.7356493199226672E-3</v>
      </c>
      <c r="AC2813" s="101">
        <v>9.7865664903196148E-3</v>
      </c>
    </row>
    <row r="2814" spans="25:29" x14ac:dyDescent="0.2">
      <c r="Y2814" s="105" t="str">
        <f t="shared" si="77"/>
        <v>1w</v>
      </c>
      <c r="Z2814" s="93">
        <f>_xll.qlCalendarAdvance(Calendar,Z2813,Y2814,"f",FALSE)</f>
        <v>58873</v>
      </c>
      <c r="AA2814" s="117">
        <f>_xll.qlCalendarAdvance(Calendar,Z2814,NDays&amp;"D")</f>
        <v>58875</v>
      </c>
      <c r="AB2814" s="92">
        <v>9.7302245833470243E-3</v>
      </c>
      <c r="AC2814" s="101">
        <v>9.7803828856513064E-3</v>
      </c>
    </row>
    <row r="2815" spans="25:29" x14ac:dyDescent="0.2">
      <c r="Y2815" s="105" t="str">
        <f t="shared" si="77"/>
        <v>1w</v>
      </c>
      <c r="Z2815" s="93">
        <f>_xll.qlCalendarAdvance(Calendar,Z2814,Y2815,"f",FALSE)</f>
        <v>58880</v>
      </c>
      <c r="AA2815" s="117">
        <f>_xll.qlCalendarAdvance(Calendar,Z2815,NDays&amp;"D")</f>
        <v>58882</v>
      </c>
      <c r="AB2815" s="92">
        <v>9.7248601442712791E-3</v>
      </c>
      <c r="AC2815" s="101">
        <v>9.7742578781900846E-3</v>
      </c>
    </row>
    <row r="2816" spans="25:29" x14ac:dyDescent="0.2">
      <c r="Y2816" s="105" t="str">
        <f t="shared" si="77"/>
        <v>1w</v>
      </c>
      <c r="Z2816" s="93">
        <f>_xll.qlCalendarAdvance(Calendar,Z2815,Y2816,"f",FALSE)</f>
        <v>58887</v>
      </c>
      <c r="AA2816" s="117">
        <f>_xll.qlCalendarAdvance(Calendar,Z2816,NDays&amp;"D")</f>
        <v>58889</v>
      </c>
      <c r="AB2816" s="92">
        <v>9.7195561075805615E-3</v>
      </c>
      <c r="AC2816" s="101">
        <v>9.768191572492313E-3</v>
      </c>
    </row>
    <row r="2817" spans="25:29" x14ac:dyDescent="0.2">
      <c r="Y2817" s="105" t="str">
        <f t="shared" si="77"/>
        <v>1w</v>
      </c>
      <c r="Z2817" s="93">
        <f>_xll.qlCalendarAdvance(Calendar,Z2816,Y2817,"f",FALSE)</f>
        <v>58894</v>
      </c>
      <c r="AA2817" s="117">
        <f>_xll.qlCalendarAdvance(Calendar,Z2817,NDays&amp;"D")</f>
        <v>58896</v>
      </c>
      <c r="AB2817" s="92">
        <v>9.7149814527472088E-3</v>
      </c>
      <c r="AC2817" s="101">
        <v>9.7621840735939713E-3</v>
      </c>
    </row>
    <row r="2818" spans="25:29" x14ac:dyDescent="0.2">
      <c r="Y2818" s="105" t="str">
        <f t="shared" si="77"/>
        <v>1w</v>
      </c>
      <c r="Z2818" s="93">
        <f>_xll.qlCalendarAdvance(Calendar,Z2817,Y2818,"f",FALSE)</f>
        <v>58901</v>
      </c>
      <c r="AA2818" s="117">
        <f>_xll.qlCalendarAdvance(Calendar,Z2818,NDays&amp;"D")</f>
        <v>58903</v>
      </c>
      <c r="AB2818" s="92">
        <v>9.7097858587995699E-3</v>
      </c>
      <c r="AC2818" s="101">
        <v>9.755076562342424E-3</v>
      </c>
    </row>
    <row r="2819" spans="25:29" x14ac:dyDescent="0.2">
      <c r="Y2819" s="105" t="str">
        <f t="shared" si="77"/>
        <v>1w</v>
      </c>
      <c r="Z2819" s="93">
        <f>_xll.qlCalendarAdvance(Calendar,Z2818,Y2819,"f",FALSE)</f>
        <v>58908</v>
      </c>
      <c r="AA2819" s="117">
        <f>_xll.qlCalendarAdvance(Calendar,Z2819,NDays&amp;"D")</f>
        <v>58910</v>
      </c>
      <c r="AB2819" s="92">
        <v>9.7046509543237385E-3</v>
      </c>
      <c r="AC2819" s="101">
        <v>9.7503459156200734E-3</v>
      </c>
    </row>
    <row r="2820" spans="25:29" x14ac:dyDescent="0.2">
      <c r="Y2820" s="105" t="str">
        <f t="shared" si="77"/>
        <v>1w</v>
      </c>
      <c r="Z2820" s="93">
        <f>_xll.qlCalendarAdvance(Calendar,Z2819,Y2820,"f",FALSE)</f>
        <v>58915</v>
      </c>
      <c r="AA2820" s="117">
        <f>_xll.qlCalendarAdvance(Calendar,Z2820,NDays&amp;"D")</f>
        <v>58917</v>
      </c>
      <c r="AB2820" s="92">
        <v>9.6995768442237808E-3</v>
      </c>
      <c r="AC2820" s="101">
        <v>9.7445154662167965E-3</v>
      </c>
    </row>
    <row r="2821" spans="25:29" x14ac:dyDescent="0.2">
      <c r="Y2821" s="105" t="str">
        <f t="shared" si="77"/>
        <v>1w</v>
      </c>
      <c r="Z2821" s="93">
        <f>_xll.qlCalendarAdvance(Calendar,Z2820,Y2821,"f",FALSE)</f>
        <v>58922</v>
      </c>
      <c r="AA2821" s="117">
        <f>_xll.qlCalendarAdvance(Calendar,Z2821,NDays&amp;"D")</f>
        <v>58924</v>
      </c>
      <c r="AB2821" s="92">
        <v>9.6945636334076889E-3</v>
      </c>
      <c r="AC2821" s="101">
        <v>9.7387442429575088E-3</v>
      </c>
    </row>
    <row r="2822" spans="25:29" x14ac:dyDescent="0.2">
      <c r="Y2822" s="105" t="str">
        <f t="shared" si="77"/>
        <v>1w</v>
      </c>
      <c r="Z2822" s="93">
        <f>_xll.qlCalendarAdvance(Calendar,Z2821,Y2822,"f",FALSE)</f>
        <v>58929</v>
      </c>
      <c r="AA2822" s="117">
        <f>_xll.qlCalendarAdvance(Calendar,Z2822,NDays&amp;"D")</f>
        <v>58931</v>
      </c>
      <c r="AB2822" s="92">
        <v>9.6890062117649025E-3</v>
      </c>
      <c r="AC2822" s="101">
        <v>9.7330323507982541E-3</v>
      </c>
    </row>
    <row r="2823" spans="25:29" x14ac:dyDescent="0.2">
      <c r="Y2823" s="105" t="str">
        <f t="shared" si="77"/>
        <v>1w</v>
      </c>
      <c r="Z2823" s="93">
        <f>_xll.qlCalendarAdvance(Calendar,Z2822,Y2823,"f",FALSE)</f>
        <v>58936</v>
      </c>
      <c r="AA2823" s="117">
        <f>_xll.qlCalendarAdvance(Calendar,Z2823,NDays&amp;"D")</f>
        <v>58938</v>
      </c>
      <c r="AB2823" s="92">
        <v>9.6841279289850216E-3</v>
      </c>
      <c r="AC2823" s="101">
        <v>9.7273798946950762E-3</v>
      </c>
    </row>
    <row r="2824" spans="25:29" x14ac:dyDescent="0.2">
      <c r="Y2824" s="105" t="str">
        <f t="shared" si="77"/>
        <v>1w</v>
      </c>
      <c r="Z2824" s="93">
        <f>_xll.qlCalendarAdvance(Calendar,Z2823,Y2824,"f",FALSE)</f>
        <v>58943</v>
      </c>
      <c r="AA2824" s="117">
        <f>_xll.qlCalendarAdvance(Calendar,Z2824,NDays&amp;"D")</f>
        <v>58945</v>
      </c>
      <c r="AB2824" s="92">
        <v>9.6793108878487251E-3</v>
      </c>
      <c r="AC2824" s="101">
        <v>9.7217869792043388E-3</v>
      </c>
    </row>
    <row r="2825" spans="25:29" x14ac:dyDescent="0.2">
      <c r="Y2825" s="105" t="str">
        <f t="shared" si="77"/>
        <v>1w</v>
      </c>
      <c r="Z2825" s="93">
        <f>_xll.qlCalendarAdvance(Calendar,Z2824,Y2825,"f",FALSE)</f>
        <v>58950</v>
      </c>
      <c r="AA2825" s="117">
        <f>_xll.qlCalendarAdvance(Calendar,Z2825,NDays&amp;"D")</f>
        <v>58952</v>
      </c>
      <c r="AB2825" s="92">
        <v>9.6745551932854116E-3</v>
      </c>
      <c r="AC2825" s="101">
        <v>9.7162537096018298E-3</v>
      </c>
    </row>
    <row r="2826" spans="25:29" x14ac:dyDescent="0.2">
      <c r="Y2826" s="105" t="str">
        <f t="shared" si="77"/>
        <v>1w</v>
      </c>
      <c r="Z2826" s="93">
        <f>_xll.qlCalendarAdvance(Calendar,Z2825,Y2826,"f",FALSE)</f>
        <v>58957</v>
      </c>
      <c r="AA2826" s="117">
        <f>_xll.qlCalendarAdvance(Calendar,Z2826,NDays&amp;"D")</f>
        <v>58959</v>
      </c>
      <c r="AB2826" s="92">
        <v>9.6704147406765032E-3</v>
      </c>
      <c r="AC2826" s="101">
        <v>9.7107801902840407E-3</v>
      </c>
    </row>
    <row r="2827" spans="25:29" x14ac:dyDescent="0.2">
      <c r="Y2827" s="105" t="str">
        <f t="shared" si="77"/>
        <v>1w</v>
      </c>
      <c r="Z2827" s="93">
        <f>_xll.qlCalendarAdvance(Calendar,Z2826,Y2827,"f",FALSE)</f>
        <v>58964</v>
      </c>
      <c r="AA2827" s="117">
        <f>_xll.qlCalendarAdvance(Calendar,Z2827,NDays&amp;"D")</f>
        <v>58966</v>
      </c>
      <c r="AB2827" s="92">
        <v>9.6657691288831102E-3</v>
      </c>
      <c r="AC2827" s="101">
        <v>9.7053665264468236E-3</v>
      </c>
    </row>
    <row r="2828" spans="25:29" x14ac:dyDescent="0.2">
      <c r="Y2828" s="105" t="str">
        <f t="shared" si="77"/>
        <v>1w</v>
      </c>
      <c r="Z2828" s="93">
        <f>_xll.qlCalendarAdvance(Calendar,Z2827,Y2828,"f",FALSE)</f>
        <v>58971</v>
      </c>
      <c r="AA2828" s="117">
        <f>_xll.qlCalendarAdvance(Calendar,Z2828,NDays&amp;"D")</f>
        <v>58973</v>
      </c>
      <c r="AB2828" s="92">
        <v>9.6611851508562208E-3</v>
      </c>
      <c r="AC2828" s="101">
        <v>9.7000128228064142E-3</v>
      </c>
    </row>
    <row r="2829" spans="25:29" x14ac:dyDescent="0.2">
      <c r="Y2829" s="105" t="str">
        <f t="shared" si="77"/>
        <v>1w</v>
      </c>
      <c r="Z2829" s="93">
        <f>_xll.qlCalendarAdvance(Calendar,Z2828,Y2829,"f",FALSE)</f>
        <v>58978</v>
      </c>
      <c r="AA2829" s="117">
        <f>_xll.qlCalendarAdvance(Calendar,Z2829,NDays&amp;"D")</f>
        <v>58980</v>
      </c>
      <c r="AB2829" s="92">
        <v>9.6566629115409607E-3</v>
      </c>
      <c r="AC2829" s="101">
        <v>9.6947191840790481E-3</v>
      </c>
    </row>
    <row r="2830" spans="25:29" x14ac:dyDescent="0.2">
      <c r="Y2830" s="105" t="str">
        <f t="shared" si="77"/>
        <v>1w</v>
      </c>
      <c r="Z2830" s="93">
        <f>_xll.qlCalendarAdvance(Calendar,Z2829,Y2830,"f",FALSE)</f>
        <v>58985</v>
      </c>
      <c r="AA2830" s="117">
        <f>_xll.qlCalendarAdvance(Calendar,Z2830,NDays&amp;"D")</f>
        <v>58987</v>
      </c>
      <c r="AB2830" s="92">
        <v>9.6522025158885701E-3</v>
      </c>
      <c r="AC2830" s="101">
        <v>9.6894857155405134E-3</v>
      </c>
    </row>
    <row r="2831" spans="25:29" x14ac:dyDescent="0.2">
      <c r="Y2831" s="105" t="str">
        <f t="shared" si="77"/>
        <v>1w</v>
      </c>
      <c r="Z2831" s="93">
        <f>_xll.qlCalendarAdvance(Calendar,Z2830,Y2831,"f",FALSE)</f>
        <v>58992</v>
      </c>
      <c r="AA2831" s="117">
        <f>_xll.qlCalendarAdvance(Calendar,Z2831,NDays&amp;"D")</f>
        <v>58994</v>
      </c>
      <c r="AB2831" s="92">
        <v>9.6473151805079402E-3</v>
      </c>
      <c r="AC2831" s="101">
        <v>9.6843125216672377E-3</v>
      </c>
    </row>
    <row r="2832" spans="25:29" x14ac:dyDescent="0.2">
      <c r="Y2832" s="105" t="str">
        <f t="shared" si="77"/>
        <v>1w</v>
      </c>
      <c r="Z2832" s="93">
        <f>_xll.qlCalendarAdvance(Calendar,Z2831,Y2832,"f",FALSE)</f>
        <v>58999</v>
      </c>
      <c r="AA2832" s="117">
        <f>_xll.qlCalendarAdvance(Calendar,Z2832,NDays&amp;"D")</f>
        <v>59001</v>
      </c>
      <c r="AB2832" s="92">
        <v>9.6429918503465415E-3</v>
      </c>
      <c r="AC2832" s="101">
        <v>9.6791997075751368E-3</v>
      </c>
    </row>
    <row r="2833" spans="25:29" x14ac:dyDescent="0.2">
      <c r="Y2833" s="105" t="str">
        <f t="shared" si="77"/>
        <v>1w</v>
      </c>
      <c r="Z2833" s="93">
        <f>_xll.qlCalendarAdvance(Calendar,Z2832,Y2833,"f",FALSE)</f>
        <v>59006</v>
      </c>
      <c r="AA2833" s="117">
        <f>_xll.qlCalendarAdvance(Calendar,Z2833,NDays&amp;"D")</f>
        <v>59008</v>
      </c>
      <c r="AB2833" s="92">
        <v>9.6387307063566241E-3</v>
      </c>
      <c r="AC2833" s="101">
        <v>9.6741473778205744E-3</v>
      </c>
    </row>
    <row r="2834" spans="25:29" x14ac:dyDescent="0.2">
      <c r="Y2834" s="105" t="str">
        <f t="shared" si="77"/>
        <v>1w</v>
      </c>
      <c r="Z2834" s="93">
        <f>_xll.qlCalendarAdvance(Calendar,Z2833,Y2834,"f",FALSE)</f>
        <v>59013</v>
      </c>
      <c r="AA2834" s="117">
        <f>_xll.qlCalendarAdvance(Calendar,Z2834,NDays&amp;"D")</f>
        <v>59015</v>
      </c>
      <c r="AB2834" s="92">
        <v>9.634531853511423E-3</v>
      </c>
      <c r="AC2834" s="101">
        <v>9.6691556375194665E-3</v>
      </c>
    </row>
    <row r="2835" spans="25:29" x14ac:dyDescent="0.2">
      <c r="Y2835" s="105" t="str">
        <f t="shared" si="77"/>
        <v>1w</v>
      </c>
      <c r="Z2835" s="93">
        <f>_xll.qlCalendarAdvance(Calendar,Z2834,Y2835,"f",FALSE)</f>
        <v>59020</v>
      </c>
      <c r="AA2835" s="117">
        <f>_xll.qlCalendarAdvance(Calendar,Z2835,NDays&amp;"D")</f>
        <v>59022</v>
      </c>
      <c r="AB2835" s="92">
        <v>9.630395396789759E-3</v>
      </c>
      <c r="AC2835" s="101">
        <v>9.6642245915479208E-3</v>
      </c>
    </row>
    <row r="2836" spans="25:29" x14ac:dyDescent="0.2">
      <c r="Y2836" s="105" t="str">
        <f t="shared" si="77"/>
        <v>1w</v>
      </c>
      <c r="Z2836" s="93">
        <f>_xll.qlCalendarAdvance(Calendar,Z2835,Y2836,"f",FALSE)</f>
        <v>59027</v>
      </c>
      <c r="AA2836" s="117">
        <f>_xll.qlCalendarAdvance(Calendar,Z2836,NDays&amp;"D")</f>
        <v>59029</v>
      </c>
      <c r="AB2836" s="92">
        <v>9.6263214411721719E-3</v>
      </c>
      <c r="AC2836" s="101">
        <v>9.659354344542237E-3</v>
      </c>
    </row>
    <row r="2837" spans="25:29" x14ac:dyDescent="0.2">
      <c r="Y2837" s="105" t="str">
        <f t="shared" ref="Y2837:Y2900" si="78">Y2836</f>
        <v>1w</v>
      </c>
      <c r="Z2837" s="93">
        <f>_xll.qlCalendarAdvance(Calendar,Z2836,Y2837,"f",FALSE)</f>
        <v>59034</v>
      </c>
      <c r="AA2837" s="117">
        <f>_xll.qlCalendarAdvance(Calendar,Z2837,NDays&amp;"D")</f>
        <v>59036</v>
      </c>
      <c r="AB2837" s="92">
        <v>9.6223100916477972E-3</v>
      </c>
      <c r="AC2837" s="101">
        <v>9.654545001618331E-3</v>
      </c>
    </row>
    <row r="2838" spans="25:29" x14ac:dyDescent="0.2">
      <c r="Y2838" s="105" t="str">
        <f t="shared" si="78"/>
        <v>1w</v>
      </c>
      <c r="Z2838" s="93">
        <f>_xll.qlCalendarAdvance(Calendar,Z2837,Y2838,"f",FALSE)</f>
        <v>59041</v>
      </c>
      <c r="AA2838" s="117">
        <f>_xll.qlCalendarAdvance(Calendar,Z2838,NDays&amp;"D")</f>
        <v>59043</v>
      </c>
      <c r="AB2838" s="92">
        <v>9.6183614532083499E-3</v>
      </c>
      <c r="AC2838" s="101">
        <v>9.6497966674125024E-3</v>
      </c>
    </row>
    <row r="2839" spans="25:29" x14ac:dyDescent="0.2">
      <c r="Y2839" s="105" t="str">
        <f t="shared" si="78"/>
        <v>1w</v>
      </c>
      <c r="Z2839" s="93">
        <f>_xll.qlCalendarAdvance(Calendar,Z2838,Y2839,"f",FALSE)</f>
        <v>59048</v>
      </c>
      <c r="AA2839" s="117">
        <f>_xll.qlCalendarAdvance(Calendar,Z2839,NDays&amp;"D")</f>
        <v>59050</v>
      </c>
      <c r="AB2839" s="92">
        <v>9.615117083452614E-3</v>
      </c>
      <c r="AC2839" s="101">
        <v>9.6451094468008591E-3</v>
      </c>
    </row>
    <row r="2840" spans="25:29" x14ac:dyDescent="0.2">
      <c r="Y2840" s="105" t="str">
        <f t="shared" si="78"/>
        <v>1w</v>
      </c>
      <c r="Z2840" s="93">
        <f>_xll.qlCalendarAdvance(Calendar,Z2839,Y2840,"f",FALSE)</f>
        <v>59055</v>
      </c>
      <c r="AA2840" s="117">
        <f>_xll.qlCalendarAdvance(Calendar,Z2840,NDays&amp;"D")</f>
        <v>59057</v>
      </c>
      <c r="AB2840" s="92">
        <v>9.6112720462486236E-3</v>
      </c>
      <c r="AC2840" s="101">
        <v>9.6404834450591892E-3</v>
      </c>
    </row>
    <row r="2841" spans="25:29" x14ac:dyDescent="0.2">
      <c r="Y2841" s="105" t="str">
        <f t="shared" si="78"/>
        <v>1w</v>
      </c>
      <c r="Z2841" s="93">
        <f>_xll.qlCalendarAdvance(Calendar,Z2840,Y2841,"f",FALSE)</f>
        <v>59062</v>
      </c>
      <c r="AA2841" s="117">
        <f>_xll.qlCalendarAdvance(Calendar,Z2841,NDays&amp;"D")</f>
        <v>59064</v>
      </c>
      <c r="AB2841" s="92">
        <v>9.607489989044633E-3</v>
      </c>
      <c r="AC2841" s="101">
        <v>9.6359187664241119E-3</v>
      </c>
    </row>
    <row r="2842" spans="25:29" x14ac:dyDescent="0.2">
      <c r="Y2842" s="105" t="str">
        <f t="shared" si="78"/>
        <v>1w</v>
      </c>
      <c r="Z2842" s="93">
        <f>_xll.qlCalendarAdvance(Calendar,Z2841,Y2842,"f",FALSE)</f>
        <v>59069</v>
      </c>
      <c r="AA2842" s="117">
        <f>_xll.qlCalendarAdvance(Calendar,Z2842,NDays&amp;"D")</f>
        <v>59071</v>
      </c>
      <c r="AB2842" s="92">
        <v>9.6037710168492413E-3</v>
      </c>
      <c r="AC2842" s="101">
        <v>9.6314155160914794E-3</v>
      </c>
    </row>
    <row r="2843" spans="25:29" x14ac:dyDescent="0.2">
      <c r="Y2843" s="105" t="str">
        <f t="shared" si="78"/>
        <v>1w</v>
      </c>
      <c r="Z2843" s="93">
        <f>_xll.qlCalendarAdvance(Calendar,Z2842,Y2843,"f",FALSE)</f>
        <v>59076</v>
      </c>
      <c r="AA2843" s="117">
        <f>_xll.qlCalendarAdvance(Calendar,Z2843,NDays&amp;"D")</f>
        <v>59078</v>
      </c>
      <c r="AB2843" s="92">
        <v>9.6001152346741371E-3</v>
      </c>
      <c r="AC2843" s="101">
        <v>9.6269737989373994E-3</v>
      </c>
    </row>
    <row r="2844" spans="25:29" x14ac:dyDescent="0.2">
      <c r="Y2844" s="105" t="str">
        <f t="shared" si="78"/>
        <v>1w</v>
      </c>
      <c r="Z2844" s="93">
        <f>_xll.qlCalendarAdvance(Calendar,Z2843,Y2844,"f",FALSE)</f>
        <v>59083</v>
      </c>
      <c r="AA2844" s="117">
        <f>_xll.qlCalendarAdvance(Calendar,Z2844,NDays&amp;"D")</f>
        <v>59085</v>
      </c>
      <c r="AB2844" s="92">
        <v>9.5964158333386E-3</v>
      </c>
      <c r="AC2844" s="101">
        <v>9.6225937197580436E-3</v>
      </c>
    </row>
    <row r="2845" spans="25:29" x14ac:dyDescent="0.2">
      <c r="Y2845" s="105" t="str">
        <f t="shared" si="78"/>
        <v>1w</v>
      </c>
      <c r="Z2845" s="93">
        <f>_xll.qlCalendarAdvance(Calendar,Z2844,Y2845,"f",FALSE)</f>
        <v>59090</v>
      </c>
      <c r="AA2845" s="117">
        <f>_xll.qlCalendarAdvance(Calendar,Z2845,NDays&amp;"D")</f>
        <v>59092</v>
      </c>
      <c r="AB2845" s="92">
        <v>9.5928912176408351E-3</v>
      </c>
      <c r="AC2845" s="101">
        <v>9.6182753833495838E-3</v>
      </c>
    </row>
    <row r="2846" spans="25:29" x14ac:dyDescent="0.2">
      <c r="Y2846" s="105" t="str">
        <f t="shared" si="78"/>
        <v>1w</v>
      </c>
      <c r="Z2846" s="93">
        <f>_xll.qlCalendarAdvance(Calendar,Z2845,Y2846,"f",FALSE)</f>
        <v>59097</v>
      </c>
      <c r="AA2846" s="117">
        <f>_xll.qlCalendarAdvance(Calendar,Z2846,NDays&amp;"D")</f>
        <v>59099</v>
      </c>
      <c r="AB2846" s="92">
        <v>9.5894301162599525E-3</v>
      </c>
      <c r="AC2846" s="101">
        <v>9.6140188945881278E-3</v>
      </c>
    </row>
    <row r="2847" spans="25:29" x14ac:dyDescent="0.2">
      <c r="Y2847" s="105" t="str">
        <f t="shared" si="78"/>
        <v>1w</v>
      </c>
      <c r="Z2847" s="93">
        <f>_xll.qlCalendarAdvance(Calendar,Z2846,Y2847,"f",FALSE)</f>
        <v>59104</v>
      </c>
      <c r="AA2847" s="117">
        <f>_xll.qlCalendarAdvance(Calendar,Z2847,NDays&amp;"D")</f>
        <v>59106</v>
      </c>
      <c r="AB2847" s="92">
        <v>9.5860326342310561E-3</v>
      </c>
      <c r="AC2847" s="101">
        <v>9.6098243584297194E-3</v>
      </c>
    </row>
    <row r="2848" spans="25:29" x14ac:dyDescent="0.2">
      <c r="Y2848" s="105" t="str">
        <f t="shared" si="78"/>
        <v>1w</v>
      </c>
      <c r="Z2848" s="93">
        <f>_xll.qlCalendarAdvance(Calendar,Z2847,Y2848,"f",FALSE)</f>
        <v>59111</v>
      </c>
      <c r="AA2848" s="117">
        <f>_xll.qlCalendarAdvance(Calendar,Z2848,NDays&amp;"D")</f>
        <v>59113</v>
      </c>
      <c r="AB2848" s="92">
        <v>9.582787849943564E-3</v>
      </c>
      <c r="AC2848" s="101">
        <v>9.6056918796705304E-3</v>
      </c>
    </row>
    <row r="2849" spans="25:29" x14ac:dyDescent="0.2">
      <c r="Y2849" s="105" t="str">
        <f t="shared" si="78"/>
        <v>1w</v>
      </c>
      <c r="Z2849" s="93">
        <f>_xll.qlCalendarAdvance(Calendar,Z2848,Y2849,"f",FALSE)</f>
        <v>59118</v>
      </c>
      <c r="AA2849" s="117">
        <f>_xll.qlCalendarAdvance(Calendar,Z2849,NDays&amp;"D")</f>
        <v>59120</v>
      </c>
      <c r="AB2849" s="92">
        <v>9.5795134134638131E-3</v>
      </c>
      <c r="AC2849" s="101">
        <v>9.6016215631866686E-3</v>
      </c>
    </row>
    <row r="2850" spans="25:29" x14ac:dyDescent="0.2">
      <c r="Y2850" s="105" t="str">
        <f t="shared" si="78"/>
        <v>1w</v>
      </c>
      <c r="Z2850" s="93">
        <f>_xll.qlCalendarAdvance(Calendar,Z2849,Y2850,"f",FALSE)</f>
        <v>59125</v>
      </c>
      <c r="AA2850" s="117">
        <f>_xll.qlCalendarAdvance(Calendar,Z2850,NDays&amp;"D")</f>
        <v>59127</v>
      </c>
      <c r="AB2850" s="92">
        <v>9.5763029022451693E-3</v>
      </c>
      <c r="AC2850" s="101">
        <v>9.5976135139341778E-3</v>
      </c>
    </row>
    <row r="2851" spans="25:29" x14ac:dyDescent="0.2">
      <c r="Y2851" s="105" t="str">
        <f t="shared" si="78"/>
        <v>1w</v>
      </c>
      <c r="Z2851" s="93">
        <f>_xll.qlCalendarAdvance(Calendar,Z2850,Y2851,"f",FALSE)</f>
        <v>59132</v>
      </c>
      <c r="AA2851" s="117">
        <f>_xll.qlCalendarAdvance(Calendar,Z2851,NDays&amp;"D")</f>
        <v>59134</v>
      </c>
      <c r="AB2851" s="92">
        <v>9.5731564213417178E-3</v>
      </c>
      <c r="AC2851" s="101">
        <v>9.5936678365493577E-3</v>
      </c>
    </row>
    <row r="2852" spans="25:29" x14ac:dyDescent="0.2">
      <c r="Y2852" s="105" t="str">
        <f t="shared" si="78"/>
        <v>1w</v>
      </c>
      <c r="Z2852" s="93">
        <f>_xll.qlCalendarAdvance(Calendar,Z2851,Y2852,"f",FALSE)</f>
        <v>59139</v>
      </c>
      <c r="AA2852" s="117">
        <f>_xll.qlCalendarAdvance(Calendar,Z2852,NDays&amp;"D")</f>
        <v>59141</v>
      </c>
      <c r="AB2852" s="92">
        <v>9.5700031909844632E-3</v>
      </c>
      <c r="AC2852" s="101">
        <v>9.5897846360681882E-3</v>
      </c>
    </row>
    <row r="2853" spans="25:29" x14ac:dyDescent="0.2">
      <c r="Y2853" s="105" t="str">
        <f t="shared" si="78"/>
        <v>1w</v>
      </c>
      <c r="Z2853" s="93">
        <f>_xll.qlCalendarAdvance(Calendar,Z2852,Y2853,"f",FALSE)</f>
        <v>59146</v>
      </c>
      <c r="AA2853" s="117">
        <f>_xll.qlCalendarAdvance(Calendar,Z2853,NDays&amp;"D")</f>
        <v>59148</v>
      </c>
      <c r="AB2853" s="92">
        <v>9.566989631115564E-3</v>
      </c>
      <c r="AC2853" s="101">
        <v>9.5859640174467131E-3</v>
      </c>
    </row>
    <row r="2854" spans="25:29" x14ac:dyDescent="0.2">
      <c r="Y2854" s="105" t="str">
        <f t="shared" si="78"/>
        <v>1w</v>
      </c>
      <c r="Z2854" s="93">
        <f>_xll.qlCalendarAdvance(Calendar,Z2853,Y2854,"f",FALSE)</f>
        <v>59153</v>
      </c>
      <c r="AA2854" s="117">
        <f>_xll.qlCalendarAdvance(Calendar,Z2854,NDays&amp;"D")</f>
        <v>59155</v>
      </c>
      <c r="AB2854" s="92">
        <v>9.5640404259985205E-3</v>
      </c>
      <c r="AC2854" s="101">
        <v>9.5822060850814239E-3</v>
      </c>
    </row>
    <row r="2855" spans="25:29" x14ac:dyDescent="0.2">
      <c r="Y2855" s="105" t="str">
        <f t="shared" si="78"/>
        <v>1w</v>
      </c>
      <c r="Z2855" s="93">
        <f>_xll.qlCalendarAdvance(Calendar,Z2854,Y2855,"f",FALSE)</f>
        <v>59160</v>
      </c>
      <c r="AA2855" s="117">
        <f>_xll.qlCalendarAdvance(Calendar,Z2855,NDays&amp;"D")</f>
        <v>59162</v>
      </c>
      <c r="AB2855" s="92">
        <v>9.5611556807132358E-3</v>
      </c>
      <c r="AC2855" s="101">
        <v>9.5785109443280447E-3</v>
      </c>
    </row>
    <row r="2856" spans="25:29" x14ac:dyDescent="0.2">
      <c r="Y2856" s="105" t="str">
        <f t="shared" si="78"/>
        <v>1w</v>
      </c>
      <c r="Z2856" s="93">
        <f>_xll.qlCalendarAdvance(Calendar,Z2855,Y2856,"f",FALSE)</f>
        <v>59167</v>
      </c>
      <c r="AA2856" s="117">
        <f>_xll.qlCalendarAdvance(Calendar,Z2856,NDays&amp;"D")</f>
        <v>59169</v>
      </c>
      <c r="AB2856" s="92">
        <v>9.5583355003453201E-3</v>
      </c>
      <c r="AC2856" s="101">
        <v>9.5748786998228752E-3</v>
      </c>
    </row>
    <row r="2857" spans="25:29" x14ac:dyDescent="0.2">
      <c r="Y2857" s="105" t="str">
        <f t="shared" si="78"/>
        <v>1w</v>
      </c>
      <c r="Z2857" s="93">
        <f>_xll.qlCalendarAdvance(Calendar,Z2856,Y2857,"f",FALSE)</f>
        <v>59174</v>
      </c>
      <c r="AA2857" s="117">
        <f>_xll.qlCalendarAdvance(Calendar,Z2857,NDays&amp;"D")</f>
        <v>59176</v>
      </c>
      <c r="AB2857" s="92">
        <v>9.5556280563696364E-3</v>
      </c>
      <c r="AC2857" s="101">
        <v>9.5713094565219592E-3</v>
      </c>
    </row>
    <row r="2858" spans="25:29" x14ac:dyDescent="0.2">
      <c r="Y2858" s="105" t="str">
        <f t="shared" si="78"/>
        <v>1w</v>
      </c>
      <c r="Z2858" s="93">
        <f>_xll.qlCalendarAdvance(Calendar,Z2857,Y2858,"f",FALSE)</f>
        <v>59181</v>
      </c>
      <c r="AA2858" s="117">
        <f>_xll.qlCalendarAdvance(Calendar,Z2858,NDays&amp;"D")</f>
        <v>59183</v>
      </c>
      <c r="AB2858" s="92">
        <v>9.5529327297010393E-3</v>
      </c>
      <c r="AC2858" s="101">
        <v>9.5678033191415324E-3</v>
      </c>
    </row>
    <row r="2859" spans="25:29" x14ac:dyDescent="0.2">
      <c r="Y2859" s="105" t="str">
        <f t="shared" si="78"/>
        <v>1w</v>
      </c>
      <c r="Z2859" s="93">
        <f>_xll.qlCalendarAdvance(Calendar,Z2858,Y2859,"f",FALSE)</f>
        <v>59188</v>
      </c>
      <c r="AA2859" s="117">
        <f>_xll.qlCalendarAdvance(Calendar,Z2859,NDays&amp;"D")</f>
        <v>59190</v>
      </c>
      <c r="AB2859" s="92">
        <v>9.5503022739945268E-3</v>
      </c>
      <c r="AC2859" s="101">
        <v>9.5643603927175747E-3</v>
      </c>
    </row>
    <row r="2860" spans="25:29" x14ac:dyDescent="0.2">
      <c r="Y2860" s="105" t="str">
        <f t="shared" si="78"/>
        <v>1w</v>
      </c>
      <c r="Z2860" s="93">
        <f>_xll.qlCalendarAdvance(Calendar,Z2859,Y2860,"f",FALSE)</f>
        <v>59195</v>
      </c>
      <c r="AA2860" s="117">
        <f>_xll.qlCalendarAdvance(Calendar,Z2860,NDays&amp;"D")</f>
        <v>59197</v>
      </c>
      <c r="AB2860" s="92">
        <v>9.5477367943554124E-3</v>
      </c>
      <c r="AC2860" s="101">
        <v>9.5609807820462578E-3</v>
      </c>
    </row>
    <row r="2861" spans="25:29" x14ac:dyDescent="0.2">
      <c r="Y2861" s="105" t="str">
        <f t="shared" si="78"/>
        <v>1w</v>
      </c>
      <c r="Z2861" s="93">
        <f>_xll.qlCalendarAdvance(Calendar,Z2860,Y2861,"f",FALSE)</f>
        <v>59202</v>
      </c>
      <c r="AA2861" s="117">
        <f>_xll.qlCalendarAdvance(Calendar,Z2861,NDays&amp;"D")</f>
        <v>59204</v>
      </c>
      <c r="AB2861" s="92">
        <v>9.5452363958960802E-3</v>
      </c>
      <c r="AC2861" s="101">
        <v>9.5576645918438174E-3</v>
      </c>
    </row>
    <row r="2862" spans="25:29" x14ac:dyDescent="0.2">
      <c r="Y2862" s="105" t="str">
        <f t="shared" si="78"/>
        <v>1w</v>
      </c>
      <c r="Z2862" s="93">
        <f>_xll.qlCalendarAdvance(Calendar,Z2861,Y2862,"f",FALSE)</f>
        <v>59209</v>
      </c>
      <c r="AA2862" s="117">
        <f>_xll.qlCalendarAdvance(Calendar,Z2862,NDays&amp;"D")</f>
        <v>59211</v>
      </c>
      <c r="AB2862" s="92">
        <v>9.542801183734656E-3</v>
      </c>
      <c r="AC2862" s="101">
        <v>9.5544119272261696E-3</v>
      </c>
    </row>
    <row r="2863" spans="25:29" x14ac:dyDescent="0.2">
      <c r="Y2863" s="105" t="str">
        <f t="shared" si="78"/>
        <v>1w</v>
      </c>
      <c r="Z2863" s="93">
        <f>_xll.qlCalendarAdvance(Calendar,Z2862,Y2863,"f",FALSE)</f>
        <v>59216</v>
      </c>
      <c r="AA2863" s="117">
        <f>_xll.qlCalendarAdvance(Calendar,Z2863,NDays&amp;"D")</f>
        <v>59218</v>
      </c>
      <c r="AB2863" s="92">
        <v>9.5404312629945604E-3</v>
      </c>
      <c r="AC2863" s="101">
        <v>9.5512228928296139E-3</v>
      </c>
    </row>
    <row r="2864" spans="25:29" x14ac:dyDescent="0.2">
      <c r="Y2864" s="105" t="str">
        <f t="shared" si="78"/>
        <v>1w</v>
      </c>
      <c r="Z2864" s="93">
        <f>_xll.qlCalendarAdvance(Calendar,Z2863,Y2864,"f",FALSE)</f>
        <v>59223</v>
      </c>
      <c r="AA2864" s="117">
        <f>_xll.qlCalendarAdvance(Calendar,Z2864,NDays&amp;"D")</f>
        <v>59225</v>
      </c>
      <c r="AB2864" s="92">
        <v>9.5381267388054032E-3</v>
      </c>
      <c r="AC2864" s="101">
        <v>9.5480975935302581E-3</v>
      </c>
    </row>
    <row r="2865" spans="25:29" x14ac:dyDescent="0.2">
      <c r="Y2865" s="105" t="str">
        <f t="shared" si="78"/>
        <v>1w</v>
      </c>
      <c r="Z2865" s="93">
        <f>_xll.qlCalendarAdvance(Calendar,Z2864,Y2865,"f",FALSE)</f>
        <v>59230</v>
      </c>
      <c r="AA2865" s="117">
        <f>_xll.qlCalendarAdvance(Calendar,Z2865,NDays&amp;"D")</f>
        <v>59232</v>
      </c>
      <c r="AB2865" s="92">
        <v>9.5358367968473821E-3</v>
      </c>
      <c r="AC2865" s="101">
        <v>9.5450361343640822E-3</v>
      </c>
    </row>
    <row r="2866" spans="25:29" x14ac:dyDescent="0.2">
      <c r="Y2866" s="105" t="str">
        <f t="shared" si="78"/>
        <v>1w</v>
      </c>
      <c r="Z2866" s="93">
        <f>_xll.qlCalendarAdvance(Calendar,Z2865,Y2866,"f",FALSE)</f>
        <v>59237</v>
      </c>
      <c r="AA2866" s="117">
        <f>_xll.qlCalendarAdvance(Calendar,Z2866,NDays&amp;"D")</f>
        <v>59239</v>
      </c>
      <c r="AB2866" s="92">
        <v>9.5336867179466565E-3</v>
      </c>
      <c r="AC2866" s="101">
        <v>9.5420386200473217E-3</v>
      </c>
    </row>
    <row r="2867" spans="25:29" x14ac:dyDescent="0.2">
      <c r="Y2867" s="105" t="str">
        <f t="shared" si="78"/>
        <v>1w</v>
      </c>
      <c r="Z2867" s="93">
        <f>_xll.qlCalendarAdvance(Calendar,Z2866,Y2867,"f",FALSE)</f>
        <v>59244</v>
      </c>
      <c r="AA2867" s="117">
        <f>_xll.qlCalendarAdvance(Calendar,Z2867,NDays&amp;"D")</f>
        <v>59246</v>
      </c>
      <c r="AB2867" s="92">
        <v>9.5316023973264705E-3</v>
      </c>
      <c r="AC2867" s="101">
        <v>9.5391051556159567E-3</v>
      </c>
    </row>
    <row r="2868" spans="25:29" x14ac:dyDescent="0.2">
      <c r="Y2868" s="105" t="str">
        <f t="shared" si="78"/>
        <v>1w</v>
      </c>
      <c r="Z2868" s="93">
        <f>_xll.qlCalendarAdvance(Calendar,Z2867,Y2868,"f",FALSE)</f>
        <v>59251</v>
      </c>
      <c r="AA2868" s="117">
        <f>_xll.qlCalendarAdvance(Calendar,Z2868,NDays&amp;"D")</f>
        <v>59253</v>
      </c>
      <c r="AB2868" s="92">
        <v>9.5295839401487274E-3</v>
      </c>
      <c r="AC2868" s="101">
        <v>9.5359343019882914E-3</v>
      </c>
    </row>
    <row r="2869" spans="25:29" x14ac:dyDescent="0.2">
      <c r="Y2869" s="105" t="str">
        <f t="shared" si="78"/>
        <v>1w</v>
      </c>
      <c r="Z2869" s="93">
        <f>_xll.qlCalendarAdvance(Calendar,Z2868,Y2869,"f",FALSE)</f>
        <v>59258</v>
      </c>
      <c r="AA2869" s="117">
        <f>_xll.qlCalendarAdvance(Calendar,Z2869,NDays&amp;"D")</f>
        <v>59260</v>
      </c>
      <c r="AB2869" s="92">
        <v>9.5276044782263026E-3</v>
      </c>
      <c r="AC2869" s="101">
        <v>9.5334307951944197E-3</v>
      </c>
    </row>
    <row r="2870" spans="25:29" x14ac:dyDescent="0.2">
      <c r="Y2870" s="105" t="str">
        <f t="shared" si="78"/>
        <v>1w</v>
      </c>
      <c r="Z2870" s="93">
        <f>_xll.qlCalendarAdvance(Calendar,Z2869,Y2870,"f",FALSE)</f>
        <v>59265</v>
      </c>
      <c r="AA2870" s="117">
        <f>_xll.qlCalendarAdvance(Calendar,Z2870,NDays&amp;"D")</f>
        <v>59267</v>
      </c>
      <c r="AB2870" s="92">
        <v>9.5257039473211919E-3</v>
      </c>
      <c r="AC2870" s="101">
        <v>9.5306901090363993E-3</v>
      </c>
    </row>
    <row r="2871" spans="25:29" x14ac:dyDescent="0.2">
      <c r="Y2871" s="105" t="str">
        <f t="shared" si="78"/>
        <v>1w</v>
      </c>
      <c r="Z2871" s="93">
        <f>_xll.qlCalendarAdvance(Calendar,Z2870,Y2871,"f",FALSE)</f>
        <v>59272</v>
      </c>
      <c r="AA2871" s="117">
        <f>_xll.qlCalendarAdvance(Calendar,Z2871,NDays&amp;"D")</f>
        <v>59274</v>
      </c>
      <c r="AB2871" s="92">
        <v>9.5238695675793159E-3</v>
      </c>
      <c r="AC2871" s="101">
        <v>9.5280138921083335E-3</v>
      </c>
    </row>
    <row r="2872" spans="25:29" x14ac:dyDescent="0.2">
      <c r="Y2872" s="105" t="str">
        <f t="shared" si="78"/>
        <v>1w</v>
      </c>
      <c r="Z2872" s="93">
        <f>_xll.qlCalendarAdvance(Calendar,Z2871,Y2872,"f",FALSE)</f>
        <v>59279</v>
      </c>
      <c r="AA2872" s="117">
        <f>_xll.qlCalendarAdvance(Calendar,Z2872,NDays&amp;"D")</f>
        <v>59281</v>
      </c>
      <c r="AB2872" s="92">
        <v>9.5221014441834225E-3</v>
      </c>
      <c r="AC2872" s="101">
        <v>9.5254022492063939E-3</v>
      </c>
    </row>
    <row r="2873" spans="25:29" x14ac:dyDescent="0.2">
      <c r="Y2873" s="105" t="str">
        <f t="shared" si="78"/>
        <v>1w</v>
      </c>
      <c r="Z2873" s="93">
        <f>_xll.qlCalendarAdvance(Calendar,Z2872,Y2873,"f",FALSE)</f>
        <v>59286</v>
      </c>
      <c r="AA2873" s="117">
        <f>_xll.qlCalendarAdvance(Calendar,Z2873,NDays&amp;"D")</f>
        <v>59288</v>
      </c>
      <c r="AB2873" s="92">
        <v>9.5203996823232506E-3</v>
      </c>
      <c r="AC2873" s="101">
        <v>9.5228552852866244E-3</v>
      </c>
    </row>
    <row r="2874" spans="25:29" x14ac:dyDescent="0.2">
      <c r="Y2874" s="105" t="str">
        <f t="shared" si="78"/>
        <v>1w</v>
      </c>
      <c r="Z2874" s="93">
        <f>_xll.qlCalendarAdvance(Calendar,Z2873,Y2874,"f",FALSE)</f>
        <v>59293</v>
      </c>
      <c r="AA2874" s="117">
        <f>_xll.qlCalendarAdvance(Calendar,Z2874,NDays&amp;"D")</f>
        <v>59295</v>
      </c>
      <c r="AB2874" s="92">
        <v>9.5188622193760116E-3</v>
      </c>
      <c r="AC2874" s="101">
        <v>9.5203731051451967E-3</v>
      </c>
    </row>
    <row r="2875" spans="25:29" x14ac:dyDescent="0.2">
      <c r="Y2875" s="105" t="str">
        <f t="shared" si="78"/>
        <v>1w</v>
      </c>
      <c r="Z2875" s="93">
        <f>_xll.qlCalendarAdvance(Calendar,Z2874,Y2875,"f",FALSE)</f>
        <v>59300</v>
      </c>
      <c r="AA2875" s="117">
        <f>_xll.qlCalendarAdvance(Calendar,Z2875,NDays&amp;"D")</f>
        <v>59302</v>
      </c>
      <c r="AB2875" s="92">
        <v>9.5173077514233741E-3</v>
      </c>
      <c r="AC2875" s="101">
        <v>9.5179558134184106E-3</v>
      </c>
    </row>
    <row r="2876" spans="25:29" x14ac:dyDescent="0.2">
      <c r="Y2876" s="105" t="str">
        <f t="shared" si="78"/>
        <v>1w</v>
      </c>
      <c r="Z2876" s="93">
        <f>_xll.qlCalendarAdvance(Calendar,Z2875,Y2876,"f",FALSE)</f>
        <v>59307</v>
      </c>
      <c r="AA2876" s="117">
        <f>_xll.qlCalendarAdvance(Calendar,Z2876,NDays&amp;"D")</f>
        <v>59309</v>
      </c>
      <c r="AB2876" s="92">
        <v>9.5158199884546393E-3</v>
      </c>
      <c r="AC2876" s="101">
        <v>9.51560351546199E-3</v>
      </c>
    </row>
    <row r="2877" spans="25:29" x14ac:dyDescent="0.2">
      <c r="Y2877" s="105" t="str">
        <f t="shared" si="78"/>
        <v>1w</v>
      </c>
      <c r="Z2877" s="93">
        <f>_xll.qlCalendarAdvance(Calendar,Z2876,Y2877,"f",FALSE)</f>
        <v>59314</v>
      </c>
      <c r="AA2877" s="117">
        <f>_xll.qlCalendarAdvance(Calendar,Z2877,NDays&amp;"D")</f>
        <v>59316</v>
      </c>
      <c r="AB2877" s="92">
        <v>9.5143990356897235E-3</v>
      </c>
      <c r="AC2877" s="101">
        <v>9.5133163157523626E-3</v>
      </c>
    </row>
    <row r="2878" spans="25:29" x14ac:dyDescent="0.2">
      <c r="Y2878" s="105" t="str">
        <f t="shared" si="78"/>
        <v>1w</v>
      </c>
      <c r="Z2878" s="93">
        <f>_xll.qlCalendarAdvance(Calendar,Z2877,Y2878,"f",FALSE)</f>
        <v>59321</v>
      </c>
      <c r="AA2878" s="117">
        <f>_xll.qlCalendarAdvance(Calendar,Z2878,NDays&amp;"D")</f>
        <v>59323</v>
      </c>
      <c r="AB2878" s="92">
        <v>9.5128899780956011E-3</v>
      </c>
      <c r="AC2878" s="101">
        <v>9.5110943192455721E-3</v>
      </c>
    </row>
    <row r="2879" spans="25:29" x14ac:dyDescent="0.2">
      <c r="Y2879" s="105" t="str">
        <f t="shared" si="78"/>
        <v>1w</v>
      </c>
      <c r="Z2879" s="93">
        <f>_xll.qlCalendarAdvance(Calendar,Z2878,Y2879,"f",FALSE)</f>
        <v>59328</v>
      </c>
      <c r="AA2879" s="117">
        <f>_xll.qlCalendarAdvance(Calendar,Z2879,NDays&amp;"D")</f>
        <v>59330</v>
      </c>
      <c r="AB2879" s="92">
        <v>9.5115885947640103E-3</v>
      </c>
      <c r="AC2879" s="101">
        <v>9.5089376307377904E-3</v>
      </c>
    </row>
    <row r="2880" spans="25:29" x14ac:dyDescent="0.2">
      <c r="Y2880" s="105" t="str">
        <f t="shared" si="78"/>
        <v>1w</v>
      </c>
      <c r="Z2880" s="93">
        <f>_xll.qlCalendarAdvance(Calendar,Z2879,Y2880,"f",FALSE)</f>
        <v>59335</v>
      </c>
      <c r="AA2880" s="117">
        <f>_xll.qlCalendarAdvance(Calendar,Z2880,NDays&amp;"D")</f>
        <v>59337</v>
      </c>
      <c r="AB2880" s="92">
        <v>9.5103543094666541E-3</v>
      </c>
      <c r="AC2880" s="101">
        <v>9.5068463552649973E-3</v>
      </c>
    </row>
    <row r="2881" spans="25:29" x14ac:dyDescent="0.2">
      <c r="Y2881" s="105" t="str">
        <f t="shared" si="78"/>
        <v>1w</v>
      </c>
      <c r="Z2881" s="93">
        <f>_xll.qlCalendarAdvance(Calendar,Z2880,Y2881,"f",FALSE)</f>
        <v>59342</v>
      </c>
      <c r="AA2881" s="117">
        <f>_xll.qlCalendarAdvance(Calendar,Z2881,NDays&amp;"D")</f>
        <v>59344</v>
      </c>
      <c r="AB2881" s="92">
        <v>9.5091872274452455E-3</v>
      </c>
      <c r="AC2881" s="101">
        <v>9.5048205977033007E-3</v>
      </c>
    </row>
    <row r="2882" spans="25:29" x14ac:dyDescent="0.2">
      <c r="Y2882" s="105" t="str">
        <f t="shared" si="78"/>
        <v>1w</v>
      </c>
      <c r="Z2882" s="93">
        <f>_xll.qlCalendarAdvance(Calendar,Z2881,Y2882,"f",FALSE)</f>
        <v>59349</v>
      </c>
      <c r="AA2882" s="117">
        <f>_xll.qlCalendarAdvance(Calendar,Z2882,NDays&amp;"D")</f>
        <v>59351</v>
      </c>
      <c r="AB2882" s="92">
        <v>9.5080874539454369E-3</v>
      </c>
      <c r="AC2882" s="101">
        <v>9.502860462609064E-3</v>
      </c>
    </row>
    <row r="2883" spans="25:29" x14ac:dyDescent="0.2">
      <c r="Y2883" s="105" t="str">
        <f t="shared" si="78"/>
        <v>1w</v>
      </c>
      <c r="Z2883" s="93">
        <f>_xll.qlCalendarAdvance(Calendar,Z2882,Y2883,"f",FALSE)</f>
        <v>59356</v>
      </c>
      <c r="AA2883" s="117">
        <f>_xll.qlCalendarAdvance(Calendar,Z2883,NDays&amp;"D")</f>
        <v>59358</v>
      </c>
      <c r="AB2883" s="92">
        <v>9.5072822266246467E-3</v>
      </c>
      <c r="AC2883" s="101">
        <v>9.5009660550182673E-3</v>
      </c>
    </row>
    <row r="2884" spans="25:29" x14ac:dyDescent="0.2">
      <c r="Y2884" s="105" t="str">
        <f t="shared" si="78"/>
        <v>1w</v>
      </c>
      <c r="Z2884" s="93">
        <f>_xll.qlCalendarAdvance(Calendar,Z2883,Y2884,"f",FALSE)</f>
        <v>59363</v>
      </c>
      <c r="AA2884" s="117">
        <f>_xll.qlCalendarAdvance(Calendar,Z2884,NDays&amp;"D")</f>
        <v>59365</v>
      </c>
      <c r="AB2884" s="92">
        <v>9.506331892046303E-3</v>
      </c>
      <c r="AC2884" s="101">
        <v>9.4991374799668904E-3</v>
      </c>
    </row>
    <row r="2885" spans="25:29" x14ac:dyDescent="0.2">
      <c r="Y2885" s="105" t="str">
        <f t="shared" si="78"/>
        <v>1w</v>
      </c>
      <c r="Z2885" s="93">
        <f>_xll.qlCalendarAdvance(Calendar,Z2884,Y2885,"f",FALSE)</f>
        <v>59370</v>
      </c>
      <c r="AA2885" s="117">
        <f>_xll.qlCalendarAdvance(Calendar,Z2885,NDays&amp;"D")</f>
        <v>59372</v>
      </c>
      <c r="AB2885" s="92">
        <v>9.505449209682543E-3</v>
      </c>
      <c r="AC2885" s="101">
        <v>9.4973748420112969E-3</v>
      </c>
    </row>
    <row r="2886" spans="25:29" x14ac:dyDescent="0.2">
      <c r="Y2886" s="105" t="str">
        <f t="shared" si="78"/>
        <v>1w</v>
      </c>
      <c r="Z2886" s="93">
        <f>_xll.qlCalendarAdvance(Calendar,Z2885,Y2886,"f",FALSE)</f>
        <v>59377</v>
      </c>
      <c r="AA2886" s="117">
        <f>_xll.qlCalendarAdvance(Calendar,Z2886,NDays&amp;"D")</f>
        <v>59379</v>
      </c>
      <c r="AB2886" s="92">
        <v>9.5046342848173204E-3</v>
      </c>
      <c r="AC2886" s="101">
        <v>9.4956782462674028E-3</v>
      </c>
    </row>
    <row r="2887" spans="25:29" x14ac:dyDescent="0.2">
      <c r="Y2887" s="105" t="str">
        <f t="shared" si="78"/>
        <v>1w</v>
      </c>
      <c r="Z2887" s="93">
        <f>_xll.qlCalendarAdvance(Calendar,Z2886,Y2887,"f",FALSE)</f>
        <v>59384</v>
      </c>
      <c r="AA2887" s="117">
        <f>_xll.qlCalendarAdvance(Calendar,Z2887,NDays&amp;"D")</f>
        <v>59386</v>
      </c>
      <c r="AB2887" s="92">
        <v>9.5038872227367361E-3</v>
      </c>
      <c r="AC2887" s="101">
        <v>9.4940477973715076E-3</v>
      </c>
    </row>
    <row r="2888" spans="25:29" x14ac:dyDescent="0.2">
      <c r="Y2888" s="105" t="str">
        <f t="shared" si="78"/>
        <v>1w</v>
      </c>
      <c r="Z2888" s="93">
        <f>_xll.qlCalendarAdvance(Calendar,Z2887,Y2888,"f",FALSE)</f>
        <v>59391</v>
      </c>
      <c r="AA2888" s="117">
        <f>_xll.qlCalendarAdvance(Calendar,Z2888,NDays&amp;"D")</f>
        <v>59393</v>
      </c>
      <c r="AB2888" s="92">
        <v>9.5032081287389266E-3</v>
      </c>
      <c r="AC2888" s="101">
        <v>9.4924836003595914E-3</v>
      </c>
    </row>
    <row r="2889" spans="25:29" x14ac:dyDescent="0.2">
      <c r="Y2889" s="105" t="str">
        <f t="shared" si="78"/>
        <v>1w</v>
      </c>
      <c r="Z2889" s="93">
        <f>_xll.qlCalendarAdvance(Calendar,Z2888,Y2889,"f",FALSE)</f>
        <v>59398</v>
      </c>
      <c r="AA2889" s="117">
        <f>_xll.qlCalendarAdvance(Calendar,Z2889,NDays&amp;"D")</f>
        <v>59400</v>
      </c>
      <c r="AB2889" s="92">
        <v>9.5025971081237476E-3</v>
      </c>
      <c r="AC2889" s="101">
        <v>9.4909857600278258E-3</v>
      </c>
    </row>
    <row r="2890" spans="25:29" x14ac:dyDescent="0.2">
      <c r="Y2890" s="105" t="str">
        <f t="shared" si="78"/>
        <v>1w</v>
      </c>
      <c r="Z2890" s="93">
        <f>_xll.qlCalendarAdvance(Calendar,Z2889,Y2890,"f",FALSE)</f>
        <v>59405</v>
      </c>
      <c r="AA2890" s="117">
        <f>_xll.qlCalendarAdvance(Calendar,Z2890,NDays&amp;"D")</f>
        <v>59407</v>
      </c>
      <c r="AB2890" s="92">
        <v>9.5020542662035152E-3</v>
      </c>
      <c r="AC2890" s="101">
        <v>9.4895543812523186E-3</v>
      </c>
    </row>
    <row r="2891" spans="25:29" x14ac:dyDescent="0.2">
      <c r="Y2891" s="105" t="str">
        <f t="shared" si="78"/>
        <v>1w</v>
      </c>
      <c r="Z2891" s="93">
        <f>_xll.qlCalendarAdvance(Calendar,Z2890,Y2891,"f",FALSE)</f>
        <v>59412</v>
      </c>
      <c r="AA2891" s="117">
        <f>_xll.qlCalendarAdvance(Calendar,Z2891,NDays&amp;"D")</f>
        <v>59414</v>
      </c>
      <c r="AB2891" s="92">
        <v>9.5010087929256245E-3</v>
      </c>
      <c r="AC2891" s="101">
        <v>9.4881895688292417E-3</v>
      </c>
    </row>
    <row r="2892" spans="25:29" x14ac:dyDescent="0.2">
      <c r="Y2892" s="105" t="str">
        <f t="shared" si="78"/>
        <v>1w</v>
      </c>
      <c r="Z2892" s="93">
        <f>_xll.qlCalendarAdvance(Calendar,Z2891,Y2892,"f",FALSE)</f>
        <v>59419</v>
      </c>
      <c r="AA2892" s="117">
        <f>_xll.qlCalendarAdvance(Calendar,Z2892,NDays&amp;"D")</f>
        <v>59421</v>
      </c>
      <c r="AB2892" s="92">
        <v>9.5005780798007901E-3</v>
      </c>
      <c r="AC2892" s="101">
        <v>9.4868914277945748E-3</v>
      </c>
    </row>
    <row r="2893" spans="25:29" x14ac:dyDescent="0.2">
      <c r="Y2893" s="105" t="str">
        <f t="shared" si="78"/>
        <v>1w</v>
      </c>
      <c r="Z2893" s="93">
        <f>_xll.qlCalendarAdvance(Calendar,Z2892,Y2893,"f",FALSE)</f>
        <v>59426</v>
      </c>
      <c r="AA2893" s="117">
        <f>_xll.qlCalendarAdvance(Calendar,Z2893,NDays&amp;"D")</f>
        <v>59428</v>
      </c>
      <c r="AB2893" s="92">
        <v>9.5002158147055194E-3</v>
      </c>
      <c r="AC2893" s="101">
        <v>9.4856600628645538E-3</v>
      </c>
    </row>
    <row r="2894" spans="25:29" x14ac:dyDescent="0.2">
      <c r="Y2894" s="105" t="str">
        <f t="shared" si="78"/>
        <v>1w</v>
      </c>
      <c r="Z2894" s="93">
        <f>_xll.qlCalendarAdvance(Calendar,Z2893,Y2894,"f",FALSE)</f>
        <v>59433</v>
      </c>
      <c r="AA2894" s="117">
        <f>_xll.qlCalendarAdvance(Calendar,Z2894,NDays&amp;"D")</f>
        <v>59435</v>
      </c>
      <c r="AB2894" s="92">
        <v>9.499922102961092E-3</v>
      </c>
      <c r="AC2894" s="101">
        <v>9.4844955787554142E-3</v>
      </c>
    </row>
    <row r="2895" spans="25:29" x14ac:dyDescent="0.2">
      <c r="Y2895" s="105" t="str">
        <f t="shared" si="78"/>
        <v>1w</v>
      </c>
      <c r="Z2895" s="93">
        <f>_xll.qlCalendarAdvance(Calendar,Z2894,Y2895,"f",FALSE)</f>
        <v>59440</v>
      </c>
      <c r="AA2895" s="117">
        <f>_xll.qlCalendarAdvance(Calendar,Z2895,NDays&amp;"D")</f>
        <v>59442</v>
      </c>
      <c r="AB2895" s="92">
        <v>9.4996970499002641E-3</v>
      </c>
      <c r="AC2895" s="101">
        <v>9.483398080583072E-3</v>
      </c>
    </row>
    <row r="2896" spans="25:29" x14ac:dyDescent="0.2">
      <c r="Y2896" s="105" t="str">
        <f t="shared" si="78"/>
        <v>1w</v>
      </c>
      <c r="Z2896" s="93">
        <f>_xll.qlCalendarAdvance(Calendar,Z2895,Y2896,"f",FALSE)</f>
        <v>59447</v>
      </c>
      <c r="AA2896" s="117">
        <f>_xll.qlCalendarAdvance(Calendar,Z2896,NDays&amp;"D")</f>
        <v>59449</v>
      </c>
      <c r="AB2896" s="92">
        <v>9.4996786293510948E-3</v>
      </c>
      <c r="AC2896" s="101">
        <v>9.4823676732236351E-3</v>
      </c>
    </row>
    <row r="2897" spans="25:29" x14ac:dyDescent="0.2">
      <c r="Y2897" s="105" t="str">
        <f t="shared" si="78"/>
        <v>1w</v>
      </c>
      <c r="Z2897" s="93">
        <f>_xll.qlCalendarAdvance(Calendar,Z2896,Y2897,"f",FALSE)</f>
        <v>59454</v>
      </c>
      <c r="AA2897" s="117">
        <f>_xll.qlCalendarAdvance(Calendar,Z2897,NDays&amp;"D")</f>
        <v>59456</v>
      </c>
      <c r="AB2897" s="92">
        <v>9.49959616329118E-3</v>
      </c>
      <c r="AC2897" s="101">
        <v>9.481404461393339E-3</v>
      </c>
    </row>
    <row r="2898" spans="25:29" x14ac:dyDescent="0.2">
      <c r="Y2898" s="105" t="str">
        <f t="shared" si="78"/>
        <v>1w</v>
      </c>
      <c r="Z2898" s="93">
        <f>_xll.qlCalendarAdvance(Calendar,Z2897,Y2898,"f",FALSE)</f>
        <v>59461</v>
      </c>
      <c r="AA2898" s="117">
        <f>_xll.qlCalendarAdvance(Calendar,Z2898,NDays&amp;"D")</f>
        <v>59463</v>
      </c>
      <c r="AB2898" s="92">
        <v>9.4995826812862179E-3</v>
      </c>
      <c r="AC2898" s="101">
        <v>9.4805085498883557E-3</v>
      </c>
    </row>
    <row r="2899" spans="25:29" x14ac:dyDescent="0.2">
      <c r="Y2899" s="105" t="str">
        <f t="shared" si="78"/>
        <v>1w</v>
      </c>
      <c r="Z2899" s="93">
        <f>_xll.qlCalendarAdvance(Calendar,Z2898,Y2899,"f",FALSE)</f>
        <v>59468</v>
      </c>
      <c r="AA2899" s="117">
        <f>_xll.qlCalendarAdvance(Calendar,Z2899,NDays&amp;"D")</f>
        <v>59470</v>
      </c>
      <c r="AB2899" s="92">
        <v>9.4996382886967622E-3</v>
      </c>
      <c r="AC2899" s="101">
        <v>9.4796800438246009E-3</v>
      </c>
    </row>
    <row r="2900" spans="25:29" x14ac:dyDescent="0.2">
      <c r="Y2900" s="105" t="str">
        <f t="shared" si="78"/>
        <v>1w</v>
      </c>
      <c r="Z2900" s="93">
        <f>_xll.qlCalendarAdvance(Calendar,Z2899,Y2900,"f",FALSE)</f>
        <v>59475</v>
      </c>
      <c r="AA2900" s="117">
        <f>_xll.qlCalendarAdvance(Calendar,Z2900,NDays&amp;"D")</f>
        <v>59477</v>
      </c>
      <c r="AB2900" s="92">
        <v>9.499605351846914E-3</v>
      </c>
      <c r="AC2900" s="101">
        <v>9.4789190477584384E-3</v>
      </c>
    </row>
    <row r="2901" spans="25:29" x14ac:dyDescent="0.2">
      <c r="Y2901" s="105" t="str">
        <f t="shared" ref="Y2901:Y2964" si="79">Y2900</f>
        <v>1w</v>
      </c>
      <c r="Z2901" s="93">
        <f>_xll.qlCalendarAdvance(Calendar,Z2900,Y2901,"f",FALSE)</f>
        <v>59482</v>
      </c>
      <c r="AA2901" s="117">
        <f>_xll.qlCalendarAdvance(Calendar,Z2901,NDays&amp;"D")</f>
        <v>59484</v>
      </c>
      <c r="AB2901" s="92">
        <v>9.4997944631927227E-3</v>
      </c>
      <c r="AC2901" s="101">
        <v>9.478225666805784E-3</v>
      </c>
    </row>
    <row r="2902" spans="25:29" x14ac:dyDescent="0.2">
      <c r="Y2902" s="105" t="str">
        <f t="shared" si="79"/>
        <v>1w</v>
      </c>
      <c r="Z2902" s="93">
        <f>_xll.qlCalendarAdvance(Calendar,Z2901,Y2902,"f",FALSE)</f>
        <v>59489</v>
      </c>
      <c r="AA2902" s="117">
        <f>_xll.qlCalendarAdvance(Calendar,Z2902,NDays&amp;"D")</f>
        <v>59491</v>
      </c>
      <c r="AB2902" s="92">
        <v>9.5000529707276599E-3</v>
      </c>
      <c r="AC2902" s="101">
        <v>9.4776000058427456E-3</v>
      </c>
    </row>
    <row r="2903" spans="25:29" x14ac:dyDescent="0.2">
      <c r="Y2903" s="105" t="str">
        <f t="shared" si="79"/>
        <v>1w</v>
      </c>
      <c r="Z2903" s="93">
        <f>_xll.qlCalendarAdvance(Calendar,Z2902,Y2903,"f",FALSE)</f>
        <v>59496</v>
      </c>
      <c r="AA2903" s="117">
        <f>_xll.qlCalendarAdvance(Calendar,Z2903,NDays&amp;"D")</f>
        <v>59498</v>
      </c>
      <c r="AB2903" s="92">
        <v>9.5003809798352695E-3</v>
      </c>
      <c r="AC2903" s="101">
        <v>9.4770421693457507E-3</v>
      </c>
    </row>
    <row r="2904" spans="25:29" x14ac:dyDescent="0.2">
      <c r="Y2904" s="105" t="str">
        <f t="shared" si="79"/>
        <v>1w</v>
      </c>
      <c r="Z2904" s="93">
        <f>_xll.qlCalendarAdvance(Calendar,Z2903,Y2904,"f",FALSE)</f>
        <v>59503</v>
      </c>
      <c r="AA2904" s="117">
        <f>_xll.qlCalendarAdvance(Calendar,Z2904,NDays&amp;"D")</f>
        <v>59505</v>
      </c>
      <c r="AB2904" s="92">
        <v>9.5009563551404445E-3</v>
      </c>
      <c r="AC2904" s="101">
        <v>9.4765522625905874E-3</v>
      </c>
    </row>
    <row r="2905" spans="25:29" x14ac:dyDescent="0.2">
      <c r="Y2905" s="105" t="str">
        <f t="shared" si="79"/>
        <v>1w</v>
      </c>
      <c r="Z2905" s="93">
        <f>_xll.qlCalendarAdvance(Calendar,Z2904,Y2905,"f",FALSE)</f>
        <v>59510</v>
      </c>
      <c r="AA2905" s="117">
        <f>_xll.qlCalendarAdvance(Calendar,Z2905,NDays&amp;"D")</f>
        <v>59512</v>
      </c>
      <c r="AB2905" s="92">
        <v>9.5014287120399731E-3</v>
      </c>
      <c r="AC2905" s="101">
        <v>9.4761303903734273E-3</v>
      </c>
    </row>
    <row r="2906" spans="25:29" x14ac:dyDescent="0.2">
      <c r="Y2906" s="105" t="str">
        <f t="shared" si="79"/>
        <v>1w</v>
      </c>
      <c r="Z2906" s="93">
        <f>_xll.qlCalendarAdvance(Calendar,Z2905,Y2906,"f",FALSE)</f>
        <v>59517</v>
      </c>
      <c r="AA2906" s="117">
        <f>_xll.qlCalendarAdvance(Calendar,Z2906,NDays&amp;"D")</f>
        <v>59519</v>
      </c>
      <c r="AB2906" s="92">
        <v>9.5019708960870815E-3</v>
      </c>
      <c r="AC2906" s="101">
        <v>9.4757766573305702E-3</v>
      </c>
    </row>
    <row r="2907" spans="25:29" x14ac:dyDescent="0.2">
      <c r="Y2907" s="105" t="str">
        <f t="shared" si="79"/>
        <v>1w</v>
      </c>
      <c r="Z2907" s="93">
        <f>_xll.qlCalendarAdvance(Calendar,Z2906,Y2907,"f",FALSE)</f>
        <v>59524</v>
      </c>
      <c r="AA2907" s="117">
        <f>_xll.qlCalendarAdvance(Calendar,Z2907,NDays&amp;"D")</f>
        <v>59526</v>
      </c>
      <c r="AB2907" s="92">
        <v>9.5025830127029379E-3</v>
      </c>
      <c r="AC2907" s="101">
        <v>9.4754911685779319E-3</v>
      </c>
    </row>
    <row r="2908" spans="25:29" x14ac:dyDescent="0.2">
      <c r="Y2908" s="105" t="str">
        <f t="shared" si="79"/>
        <v>1w</v>
      </c>
      <c r="Z2908" s="93">
        <f>_xll.qlCalendarAdvance(Calendar,Z2907,Y2908,"f",FALSE)</f>
        <v>59532</v>
      </c>
      <c r="AA2908" s="117">
        <f>_xll.qlCalendarAdvance(Calendar,Z2908,NDays&amp;"D")</f>
        <v>59534</v>
      </c>
      <c r="AB2908" s="92">
        <v>9.5033683415080006E-3</v>
      </c>
      <c r="AC2908" s="101">
        <v>9.4755880252805902E-3</v>
      </c>
    </row>
    <row r="2909" spans="25:29" x14ac:dyDescent="0.2">
      <c r="Y2909" s="105" t="str">
        <f t="shared" si="79"/>
        <v>1w</v>
      </c>
      <c r="Z2909" s="93">
        <f>_xll.qlCalendarAdvance(Calendar,Z2908,Y2909,"f",FALSE)</f>
        <v>59539</v>
      </c>
      <c r="AA2909" s="117">
        <f>_xll.qlCalendarAdvance(Calendar,Z2909,NDays&amp;"D")</f>
        <v>59541</v>
      </c>
      <c r="AB2909" s="92">
        <v>9.5039269489553702E-3</v>
      </c>
      <c r="AC2909" s="101">
        <v>9.4753452997942134E-3</v>
      </c>
    </row>
    <row r="2910" spans="25:29" x14ac:dyDescent="0.2">
      <c r="Y2910" s="105" t="str">
        <f t="shared" si="79"/>
        <v>1w</v>
      </c>
      <c r="Z2910" s="93">
        <f>_xll.qlCalendarAdvance(Calendar,Z2909,Y2910,"f",FALSE)</f>
        <v>59546</v>
      </c>
      <c r="AA2910" s="117">
        <f>_xll.qlCalendarAdvance(Calendar,Z2910,NDays&amp;"D")</f>
        <v>59548</v>
      </c>
      <c r="AB2910" s="92">
        <v>9.5047544633549159E-3</v>
      </c>
      <c r="AC2910" s="101">
        <v>9.4752847777268556E-3</v>
      </c>
    </row>
    <row r="2911" spans="25:29" x14ac:dyDescent="0.2">
      <c r="Y2911" s="105" t="str">
        <f t="shared" si="79"/>
        <v>1w</v>
      </c>
      <c r="Z2911" s="93">
        <f>_xll.qlCalendarAdvance(Calendar,Z2910,Y2911,"f",FALSE)</f>
        <v>59553</v>
      </c>
      <c r="AA2911" s="117">
        <f>_xll.qlCalendarAdvance(Calendar,Z2911,NDays&amp;"D")</f>
        <v>59555</v>
      </c>
      <c r="AB2911" s="92">
        <v>9.5056523377556029E-3</v>
      </c>
      <c r="AC2911" s="101">
        <v>9.4752929529207108E-3</v>
      </c>
    </row>
    <row r="2912" spans="25:29" x14ac:dyDescent="0.2">
      <c r="Y2912" s="105" t="str">
        <f t="shared" si="79"/>
        <v>1w</v>
      </c>
      <c r="Z2912" s="93">
        <f>_xll.qlCalendarAdvance(Calendar,Z2911,Y2912,"f",FALSE)</f>
        <v>59560</v>
      </c>
      <c r="AA2912" s="117">
        <f>_xll.qlCalendarAdvance(Calendar,Z2912,NDays&amp;"D")</f>
        <v>59562</v>
      </c>
      <c r="AB2912" s="92">
        <v>9.5066206776098713E-3</v>
      </c>
      <c r="AC2912" s="101">
        <v>9.4753699301453054E-3</v>
      </c>
    </row>
    <row r="2913" spans="25:29" x14ac:dyDescent="0.2">
      <c r="Y2913" s="105" t="str">
        <f t="shared" si="79"/>
        <v>1w</v>
      </c>
      <c r="Z2913" s="93">
        <f>_xll.qlCalendarAdvance(Calendar,Z2912,Y2913,"f",FALSE)</f>
        <v>59567</v>
      </c>
      <c r="AA2913" s="117">
        <f>_xll.qlCalendarAdvance(Calendar,Z2913,NDays&amp;"D")</f>
        <v>59569</v>
      </c>
      <c r="AB2913" s="92">
        <v>9.5076595883829707E-3</v>
      </c>
      <c r="AC2913" s="101">
        <v>9.4755158143300378E-3</v>
      </c>
    </row>
    <row r="2914" spans="25:29" x14ac:dyDescent="0.2">
      <c r="Y2914" s="105" t="str">
        <f t="shared" si="79"/>
        <v>1w</v>
      </c>
      <c r="Z2914" s="93">
        <f>_xll.qlCalendarAdvance(Calendar,Z2913,Y2914,"f",FALSE)</f>
        <v>59574</v>
      </c>
      <c r="AA2914" s="117">
        <f>_xll.qlCalendarAdvance(Calendar,Z2914,NDays&amp;"D")</f>
        <v>59576</v>
      </c>
      <c r="AB2914" s="92">
        <v>9.5087691755428045E-3</v>
      </c>
      <c r="AC2914" s="101">
        <v>9.4757307103776611E-3</v>
      </c>
    </row>
    <row r="2915" spans="25:29" x14ac:dyDescent="0.2">
      <c r="Y2915" s="105" t="str">
        <f t="shared" si="79"/>
        <v>1w</v>
      </c>
      <c r="Z2915" s="93">
        <f>_xll.qlCalendarAdvance(Calendar,Z2914,Y2915,"f",FALSE)</f>
        <v>59581</v>
      </c>
      <c r="AA2915" s="117">
        <f>_xll.qlCalendarAdvance(Calendar,Z2915,NDays&amp;"D")</f>
        <v>59583</v>
      </c>
      <c r="AB2915" s="92">
        <v>9.5099495445696344E-3</v>
      </c>
      <c r="AC2915" s="101">
        <v>9.4760147230310565E-3</v>
      </c>
    </row>
    <row r="2916" spans="25:29" x14ac:dyDescent="0.2">
      <c r="Y2916" s="105" t="str">
        <f t="shared" si="79"/>
        <v>1w</v>
      </c>
      <c r="Z2916" s="93">
        <f>_xll.qlCalendarAdvance(Calendar,Z2915,Y2916,"f",FALSE)</f>
        <v>59588</v>
      </c>
      <c r="AA2916" s="117">
        <f>_xll.qlCalendarAdvance(Calendar,Z2916,NDays&amp;"D")</f>
        <v>59590</v>
      </c>
      <c r="AB2916" s="92">
        <v>9.5112008009481438E-3</v>
      </c>
      <c r="AC2916" s="101">
        <v>9.4763679572729131E-3</v>
      </c>
    </row>
    <row r="2917" spans="25:29" x14ac:dyDescent="0.2">
      <c r="Y2917" s="105" t="str">
        <f t="shared" si="79"/>
        <v>1w</v>
      </c>
      <c r="Z2917" s="93">
        <f>_xll.qlCalendarAdvance(Calendar,Z2916,Y2917,"f",FALSE)</f>
        <v>59595</v>
      </c>
      <c r="AA2917" s="117">
        <f>_xll.qlCalendarAdvance(Calendar,Z2917,NDays&amp;"D")</f>
        <v>59597</v>
      </c>
      <c r="AB2917" s="92">
        <v>9.5135044167746884E-3</v>
      </c>
      <c r="AC2917" s="101">
        <v>9.4767905179260481E-3</v>
      </c>
    </row>
    <row r="2918" spans="25:29" x14ac:dyDescent="0.2">
      <c r="Y2918" s="105" t="str">
        <f t="shared" si="79"/>
        <v>1w</v>
      </c>
      <c r="Z2918" s="93">
        <f>_xll.qlCalendarAdvance(Calendar,Z2917,Y2918,"f",FALSE)</f>
        <v>59602</v>
      </c>
      <c r="AA2918" s="117">
        <f>_xll.qlCalendarAdvance(Calendar,Z2918,NDays&amp;"D")</f>
        <v>59604</v>
      </c>
      <c r="AB2918" s="92">
        <v>9.5149183778668999E-3</v>
      </c>
      <c r="AC2918" s="101">
        <v>9.4772825098399238E-3</v>
      </c>
    </row>
    <row r="2919" spans="25:29" x14ac:dyDescent="0.2">
      <c r="Y2919" s="105" t="str">
        <f t="shared" si="79"/>
        <v>1w</v>
      </c>
      <c r="Z2919" s="93">
        <f>_xll.qlCalendarAdvance(Calendar,Z2918,Y2919,"f",FALSE)</f>
        <v>59609</v>
      </c>
      <c r="AA2919" s="117">
        <f>_xll.qlCalendarAdvance(Calendar,Z2919,NDays&amp;"D")</f>
        <v>59611</v>
      </c>
      <c r="AB2919" s="92">
        <v>9.5164035805015076E-3</v>
      </c>
      <c r="AC2919" s="101">
        <v>9.4778440379439388E-3</v>
      </c>
    </row>
    <row r="2920" spans="25:29" x14ac:dyDescent="0.2">
      <c r="Y2920" s="105" t="str">
        <f t="shared" si="79"/>
        <v>1w</v>
      </c>
      <c r="Z2920" s="93">
        <f>_xll.qlCalendarAdvance(Calendar,Z2919,Y2920,"f",FALSE)</f>
        <v>59616</v>
      </c>
      <c r="AA2920" s="117">
        <f>_xll.qlCalendarAdvance(Calendar,Z2920,NDays&amp;"D")</f>
        <v>59618</v>
      </c>
      <c r="AB2920" s="92">
        <v>9.5179601302139809E-3</v>
      </c>
      <c r="AC2920" s="101">
        <v>9.4784752070342648E-3</v>
      </c>
    </row>
    <row r="2921" spans="25:29" x14ac:dyDescent="0.2">
      <c r="Y2921" s="105" t="str">
        <f t="shared" si="79"/>
        <v>1w</v>
      </c>
      <c r="Z2921" s="93">
        <f>_xll.qlCalendarAdvance(Calendar,Z2920,Y2921,"f",FALSE)</f>
        <v>59623</v>
      </c>
      <c r="AA2921" s="117">
        <f>_xll.qlCalendarAdvance(Calendar,Z2921,NDays&amp;"D")</f>
        <v>59625</v>
      </c>
      <c r="AB2921" s="92">
        <v>9.5187893460050993E-3</v>
      </c>
      <c r="AC2921" s="101">
        <v>9.4791761219603643E-3</v>
      </c>
    </row>
    <row r="2922" spans="25:29" x14ac:dyDescent="0.2">
      <c r="Y2922" s="105" t="str">
        <f t="shared" si="79"/>
        <v>1w</v>
      </c>
      <c r="Z2922" s="93">
        <f>_xll.qlCalendarAdvance(Calendar,Z2921,Y2922,"f",FALSE)</f>
        <v>59630</v>
      </c>
      <c r="AA2922" s="117">
        <f>_xll.qlCalendarAdvance(Calendar,Z2922,NDays&amp;"D")</f>
        <v>59632</v>
      </c>
      <c r="AB2922" s="92">
        <v>9.5212876930494197E-3</v>
      </c>
      <c r="AC2922" s="101">
        <v>9.4799468877582171E-3</v>
      </c>
    </row>
    <row r="2923" spans="25:29" x14ac:dyDescent="0.2">
      <c r="Y2923" s="105" t="str">
        <f t="shared" si="79"/>
        <v>1w</v>
      </c>
      <c r="Z2923" s="93">
        <f>_xll.qlCalendarAdvance(Calendar,Z2922,Y2923,"f",FALSE)</f>
        <v>59637</v>
      </c>
      <c r="AA2923" s="117">
        <f>_xll.qlCalendarAdvance(Calendar,Z2923,NDays&amp;"D")</f>
        <v>59643</v>
      </c>
      <c r="AB2923" s="92">
        <v>9.5235434959340028E-3</v>
      </c>
      <c r="AC2923" s="101">
        <v>9.4809191917288871E-3</v>
      </c>
    </row>
    <row r="2924" spans="25:29" x14ac:dyDescent="0.2">
      <c r="Y2924" s="105" t="str">
        <f t="shared" si="79"/>
        <v>1w</v>
      </c>
      <c r="Z2924" s="93">
        <f>_xll.qlCalendarAdvance(Calendar,Z2923,Y2924,"f",FALSE)</f>
        <v>59644</v>
      </c>
      <c r="AA2924" s="117">
        <f>_xll.qlCalendarAdvance(Calendar,Z2924,NDays&amp;"D")</f>
        <v>59646</v>
      </c>
      <c r="AB2924" s="92">
        <v>9.5249019108082228E-3</v>
      </c>
      <c r="AC2924" s="101">
        <v>9.4816983909407071E-3</v>
      </c>
    </row>
    <row r="2925" spans="25:29" x14ac:dyDescent="0.2">
      <c r="Y2925" s="105" t="str">
        <f t="shared" si="79"/>
        <v>1w</v>
      </c>
      <c r="Z2925" s="93">
        <f>_xll.qlCalendarAdvance(Calendar,Z2924,Y2925,"f",FALSE)</f>
        <v>59651</v>
      </c>
      <c r="AA2925" s="117">
        <f>_xll.qlCalendarAdvance(Calendar,Z2925,NDays&amp;"D")</f>
        <v>59653</v>
      </c>
      <c r="AB2925" s="92">
        <v>9.5268167792069858E-3</v>
      </c>
      <c r="AC2925" s="101">
        <v>9.4826793381841412E-3</v>
      </c>
    </row>
    <row r="2926" spans="25:29" x14ac:dyDescent="0.2">
      <c r="Y2926" s="105" t="str">
        <f t="shared" si="79"/>
        <v>1w</v>
      </c>
      <c r="Z2926" s="93">
        <f>_xll.qlCalendarAdvance(Calendar,Z2925,Y2926,"f",FALSE)</f>
        <v>59658</v>
      </c>
      <c r="AA2926" s="117">
        <f>_xll.qlCalendarAdvance(Calendar,Z2926,NDays&amp;"D")</f>
        <v>59660</v>
      </c>
      <c r="AB2926" s="92">
        <v>9.5288036280615079E-3</v>
      </c>
      <c r="AC2926" s="101">
        <v>9.4837305556438878E-3</v>
      </c>
    </row>
    <row r="2927" spans="25:29" x14ac:dyDescent="0.2">
      <c r="Y2927" s="105" t="str">
        <f t="shared" si="79"/>
        <v>1w</v>
      </c>
      <c r="Z2927" s="93">
        <f>_xll.qlCalendarAdvance(Calendar,Z2926,Y2927,"f",FALSE)</f>
        <v>59665</v>
      </c>
      <c r="AA2927" s="117">
        <f>_xll.qlCalendarAdvance(Calendar,Z2927,NDays&amp;"D")</f>
        <v>59667</v>
      </c>
      <c r="AB2927" s="92">
        <v>9.5308625629625665E-3</v>
      </c>
      <c r="AC2927" s="101">
        <v>9.4848521481960546E-3</v>
      </c>
    </row>
    <row r="2928" spans="25:29" x14ac:dyDescent="0.2">
      <c r="Y2928" s="105" t="str">
        <f t="shared" si="79"/>
        <v>1w</v>
      </c>
      <c r="Z2928" s="93">
        <f>_xll.qlCalendarAdvance(Calendar,Z2927,Y2928,"f",FALSE)</f>
        <v>59672</v>
      </c>
      <c r="AA2928" s="117">
        <f>_xll.qlCalendarAdvance(Calendar,Z2928,NDays&amp;"D")</f>
        <v>59674</v>
      </c>
      <c r="AB2928" s="92">
        <v>9.5329936895104488E-3</v>
      </c>
      <c r="AC2928" s="101">
        <v>9.4860442206901041E-3</v>
      </c>
    </row>
    <row r="2929" spans="25:29" x14ac:dyDescent="0.2">
      <c r="Y2929" s="105" t="str">
        <f t="shared" si="79"/>
        <v>1w</v>
      </c>
      <c r="Z2929" s="93">
        <f>_xll.qlCalendarAdvance(Calendar,Z2928,Y2929,"f",FALSE)</f>
        <v>59679</v>
      </c>
      <c r="AA2929" s="117">
        <f>_xll.qlCalendarAdvance(Calendar,Z2929,NDays&amp;"D")</f>
        <v>59681</v>
      </c>
      <c r="AB2929" s="92">
        <v>9.5351971133153766E-3</v>
      </c>
      <c r="AC2929" s="101">
        <v>9.4873068781087255E-3</v>
      </c>
    </row>
    <row r="2930" spans="25:29" x14ac:dyDescent="0.2">
      <c r="Y2930" s="105" t="str">
        <f t="shared" si="79"/>
        <v>1w</v>
      </c>
      <c r="Z2930" s="93">
        <f>_xll.qlCalendarAdvance(Calendar,Z2929,Y2930,"f",FALSE)</f>
        <v>59686</v>
      </c>
      <c r="AA2930" s="117">
        <f>_xll.qlCalendarAdvance(Calendar,Z2930,NDays&amp;"D")</f>
        <v>59688</v>
      </c>
      <c r="AB2930" s="92">
        <v>9.5374729399931892E-3</v>
      </c>
      <c r="AC2930" s="101">
        <v>9.4886402251415092E-3</v>
      </c>
    </row>
    <row r="2931" spans="25:29" x14ac:dyDescent="0.2">
      <c r="Y2931" s="105" t="str">
        <f t="shared" si="79"/>
        <v>1w</v>
      </c>
      <c r="Z2931" s="93">
        <f>_xll.qlCalendarAdvance(Calendar,Z2930,Y2931,"f",FALSE)</f>
        <v>59693</v>
      </c>
      <c r="AA2931" s="117">
        <f>_xll.qlCalendarAdvance(Calendar,Z2931,NDays&amp;"D")</f>
        <v>59695</v>
      </c>
      <c r="AB2931" s="92">
        <v>9.5398212751705326E-3</v>
      </c>
      <c r="AC2931" s="101">
        <v>9.4900443667711443E-3</v>
      </c>
    </row>
    <row r="2932" spans="25:29" x14ac:dyDescent="0.2">
      <c r="Y2932" s="105" t="str">
        <f t="shared" si="79"/>
        <v>1w</v>
      </c>
      <c r="Z2932" s="93">
        <f>_xll.qlCalendarAdvance(Calendar,Z2931,Y2932,"f",FALSE)</f>
        <v>59700</v>
      </c>
      <c r="AA2932" s="117">
        <f>_xll.qlCalendarAdvance(Calendar,Z2932,NDays&amp;"D")</f>
        <v>59702</v>
      </c>
      <c r="AB2932" s="92">
        <v>9.5422422244826888E-3</v>
      </c>
      <c r="AC2932" s="101">
        <v>9.4915194079270293E-3</v>
      </c>
    </row>
    <row r="2933" spans="25:29" x14ac:dyDescent="0.2">
      <c r="Y2933" s="105" t="str">
        <f t="shared" si="79"/>
        <v>1w</v>
      </c>
      <c r="Z2933" s="93">
        <f>_xll.qlCalendarAdvance(Calendar,Z2932,Y2933,"f",FALSE)</f>
        <v>59707</v>
      </c>
      <c r="AA2933" s="117">
        <f>_xll.qlCalendarAdvance(Calendar,Z2933,NDays&amp;"D")</f>
        <v>59709</v>
      </c>
      <c r="AB2933" s="92">
        <v>9.5447358935714221E-3</v>
      </c>
      <c r="AC2933" s="101">
        <v>9.4930654533254E-3</v>
      </c>
    </row>
    <row r="2934" spans="25:29" x14ac:dyDescent="0.2">
      <c r="Y2934" s="105" t="str">
        <f t="shared" si="79"/>
        <v>1w</v>
      </c>
      <c r="Z2934" s="93">
        <f>_xll.qlCalendarAdvance(Calendar,Z2933,Y2934,"f",FALSE)</f>
        <v>59714</v>
      </c>
      <c r="AA2934" s="117">
        <f>_xll.qlCalendarAdvance(Calendar,Z2934,NDays&amp;"D")</f>
        <v>59716</v>
      </c>
      <c r="AB2934" s="92">
        <v>9.5473023880888724E-3</v>
      </c>
      <c r="AC2934" s="101">
        <v>9.4946826079489455E-3</v>
      </c>
    </row>
    <row r="2935" spans="25:29" x14ac:dyDescent="0.2">
      <c r="Y2935" s="105" t="str">
        <f t="shared" si="79"/>
        <v>1w</v>
      </c>
      <c r="Z2935" s="93">
        <f>_xll.qlCalendarAdvance(Calendar,Z2934,Y2935,"f",FALSE)</f>
        <v>59721</v>
      </c>
      <c r="AA2935" s="117">
        <f>_xll.qlCalendarAdvance(Calendar,Z2935,NDays&amp;"D")</f>
        <v>59723</v>
      </c>
      <c r="AB2935" s="92">
        <v>9.5499418136945173E-3</v>
      </c>
      <c r="AC2935" s="101">
        <v>9.4963709765671922E-3</v>
      </c>
    </row>
    <row r="2936" spans="25:29" x14ac:dyDescent="0.2">
      <c r="Y2936" s="105" t="str">
        <f t="shared" si="79"/>
        <v>1w</v>
      </c>
      <c r="Z2936" s="93">
        <f>_xll.qlCalendarAdvance(Calendar,Z2935,Y2936,"f",FALSE)</f>
        <v>59728</v>
      </c>
      <c r="AA2936" s="117">
        <f>_xll.qlCalendarAdvance(Calendar,Z2936,NDays&amp;"D")</f>
        <v>59730</v>
      </c>
      <c r="AB2936" s="92">
        <v>9.5526542760595041E-3</v>
      </c>
      <c r="AC2936" s="101">
        <v>9.4981306642161201E-3</v>
      </c>
    </row>
    <row r="2937" spans="25:29" x14ac:dyDescent="0.2">
      <c r="Y2937" s="105" t="str">
        <f t="shared" si="79"/>
        <v>1w</v>
      </c>
      <c r="Z2937" s="93">
        <f>_xll.qlCalendarAdvance(Calendar,Z2936,Y2937,"f",FALSE)</f>
        <v>59735</v>
      </c>
      <c r="AA2937" s="117">
        <f>_xll.qlCalendarAdvance(Calendar,Z2937,NDays&amp;"D")</f>
        <v>59737</v>
      </c>
      <c r="AB2937" s="92">
        <v>9.5554398808593045E-3</v>
      </c>
      <c r="AC2937" s="101">
        <v>9.4999617755853194E-3</v>
      </c>
    </row>
    <row r="2938" spans="25:29" x14ac:dyDescent="0.2">
      <c r="Y2938" s="105" t="str">
        <f t="shared" si="79"/>
        <v>1w</v>
      </c>
      <c r="Z2938" s="93">
        <f>_xll.qlCalendarAdvance(Calendar,Z2937,Y2938,"f",FALSE)</f>
        <v>59742</v>
      </c>
      <c r="AA2938" s="117">
        <f>_xll.qlCalendarAdvance(Calendar,Z2938,NDays&amp;"D")</f>
        <v>59744</v>
      </c>
      <c r="AB2938" s="92">
        <v>9.5582987337819135E-3</v>
      </c>
      <c r="AC2938" s="101">
        <v>9.5018644156308341E-3</v>
      </c>
    </row>
    <row r="2939" spans="25:29" x14ac:dyDescent="0.2">
      <c r="Y2939" s="105" t="str">
        <f t="shared" si="79"/>
        <v>1w</v>
      </c>
      <c r="Z2939" s="93">
        <f>_xll.qlCalendarAdvance(Calendar,Z2938,Y2939,"f",FALSE)</f>
        <v>59749</v>
      </c>
      <c r="AA2939" s="117">
        <f>_xll.qlCalendarAdvance(Calendar,Z2939,NDays&amp;"D")</f>
        <v>59751</v>
      </c>
      <c r="AB2939" s="92">
        <v>9.5612309405226793E-3</v>
      </c>
      <c r="AC2939" s="101">
        <v>9.5038386892554172E-3</v>
      </c>
    </row>
    <row r="2940" spans="25:29" x14ac:dyDescent="0.2">
      <c r="Y2940" s="105" t="str">
        <f t="shared" si="79"/>
        <v>1w</v>
      </c>
      <c r="Z2940" s="93">
        <f>_xll.qlCalendarAdvance(Calendar,Z2939,Y2940,"f",FALSE)</f>
        <v>59756</v>
      </c>
      <c r="AA2940" s="117">
        <f>_xll.qlCalendarAdvance(Calendar,Z2940,NDays&amp;"D")</f>
        <v>59758</v>
      </c>
      <c r="AB2940" s="92">
        <v>9.5642366067864477E-3</v>
      </c>
      <c r="AC2940" s="101">
        <v>9.5058847013085312E-3</v>
      </c>
    </row>
    <row r="2941" spans="25:29" x14ac:dyDescent="0.2">
      <c r="Y2941" s="105" t="str">
        <f t="shared" si="79"/>
        <v>1w</v>
      </c>
      <c r="Z2941" s="93">
        <f>_xll.qlCalendarAdvance(Calendar,Z2940,Y2941,"f",FALSE)</f>
        <v>59763</v>
      </c>
      <c r="AA2941" s="117">
        <f>_xll.qlCalendarAdvance(Calendar,Z2941,NDays&amp;"D")</f>
        <v>59765</v>
      </c>
      <c r="AB2941" s="92">
        <v>9.5673158382845545E-3</v>
      </c>
      <c r="AC2941" s="101">
        <v>9.5080025565597026E-3</v>
      </c>
    </row>
    <row r="2942" spans="25:29" x14ac:dyDescent="0.2">
      <c r="Y2942" s="105" t="str">
        <f t="shared" si="79"/>
        <v>1w</v>
      </c>
      <c r="Z2942" s="93">
        <f>_xll.qlCalendarAdvance(Calendar,Z2941,Y2942,"f",FALSE)</f>
        <v>59770</v>
      </c>
      <c r="AA2942" s="117">
        <f>_xll.qlCalendarAdvance(Calendar,Z2942,NDays&amp;"D")</f>
        <v>59772</v>
      </c>
      <c r="AB2942" s="92">
        <v>9.5704687407417235E-3</v>
      </c>
      <c r="AC2942" s="101">
        <v>9.5101923600182658E-3</v>
      </c>
    </row>
    <row r="2943" spans="25:29" x14ac:dyDescent="0.2">
      <c r="Y2943" s="105" t="str">
        <f t="shared" si="79"/>
        <v>1w</v>
      </c>
      <c r="Z2943" s="93">
        <f>_xll.qlCalendarAdvance(Calendar,Z2942,Y2943,"f",FALSE)</f>
        <v>59777</v>
      </c>
      <c r="AA2943" s="117">
        <f>_xll.qlCalendarAdvance(Calendar,Z2943,NDays&amp;"D")</f>
        <v>59779</v>
      </c>
      <c r="AB2943" s="92">
        <v>9.5725474256540006E-3</v>
      </c>
      <c r="AC2943" s="101">
        <v>9.512454216507038E-3</v>
      </c>
    </row>
    <row r="2944" spans="25:29" x14ac:dyDescent="0.2">
      <c r="Y2944" s="105" t="str">
        <f t="shared" si="79"/>
        <v>1w</v>
      </c>
      <c r="Z2944" s="93">
        <f>_xll.qlCalendarAdvance(Calendar,Z2943,Y2944,"f",FALSE)</f>
        <v>59784</v>
      </c>
      <c r="AA2944" s="117">
        <f>_xll.qlCalendarAdvance(Calendar,Z2944,NDays&amp;"D")</f>
        <v>59786</v>
      </c>
      <c r="AB2944" s="92">
        <v>9.5758317861865533E-3</v>
      </c>
      <c r="AC2944" s="101">
        <v>9.5147882308754816E-3</v>
      </c>
    </row>
    <row r="2945" spans="25:29" x14ac:dyDescent="0.2">
      <c r="Y2945" s="105" t="str">
        <f t="shared" si="79"/>
        <v>1w</v>
      </c>
      <c r="Z2945" s="93">
        <f>_xll.qlCalendarAdvance(Calendar,Z2944,Y2945,"f",FALSE)</f>
        <v>59791</v>
      </c>
      <c r="AA2945" s="117">
        <f>_xll.qlCalendarAdvance(Calendar,Z2945,NDays&amp;"D")</f>
        <v>59793</v>
      </c>
      <c r="AB2945" s="92">
        <v>9.5791901062543035E-3</v>
      </c>
      <c r="AC2945" s="101">
        <v>9.5171945080263498E-3</v>
      </c>
    </row>
    <row r="2946" spans="25:29" x14ac:dyDescent="0.2">
      <c r="Y2946" s="105" t="str">
        <f t="shared" si="79"/>
        <v>1w</v>
      </c>
      <c r="Z2946" s="93">
        <f>_xll.qlCalendarAdvance(Calendar,Z2945,Y2946,"f",FALSE)</f>
        <v>59798</v>
      </c>
      <c r="AA2946" s="117">
        <f>_xll.qlCalendarAdvance(Calendar,Z2946,NDays&amp;"D")</f>
        <v>59800</v>
      </c>
      <c r="AB2946" s="92">
        <v>9.5826224915990434E-3</v>
      </c>
      <c r="AC2946" s="101">
        <v>9.519673152809105E-3</v>
      </c>
    </row>
    <row r="2947" spans="25:29" x14ac:dyDescent="0.2">
      <c r="Y2947" s="105" t="str">
        <f t="shared" si="79"/>
        <v>1w</v>
      </c>
      <c r="Z2947" s="93">
        <f>_xll.qlCalendarAdvance(Calendar,Z2946,Y2947,"f",FALSE)</f>
        <v>59805</v>
      </c>
      <c r="AA2947" s="117">
        <f>_xll.qlCalendarAdvance(Calendar,Z2947,NDays&amp;"D")</f>
        <v>59807</v>
      </c>
      <c r="AB2947" s="92">
        <v>9.5873420183052154E-3</v>
      </c>
      <c r="AC2947" s="101">
        <v>9.5222242700998549E-3</v>
      </c>
    </row>
    <row r="2948" spans="25:29" x14ac:dyDescent="0.2">
      <c r="Y2948" s="105" t="str">
        <f t="shared" si="79"/>
        <v>1w</v>
      </c>
      <c r="Z2948" s="93">
        <f>_xll.qlCalendarAdvance(Calendar,Z2947,Y2948,"f",FALSE)</f>
        <v>59812</v>
      </c>
      <c r="AA2948" s="117">
        <f>_xll.qlCalendarAdvance(Calendar,Z2948,NDays&amp;"D")</f>
        <v>59814</v>
      </c>
      <c r="AB2948" s="92">
        <v>9.5913499855083632E-3</v>
      </c>
      <c r="AC2948" s="101">
        <v>9.5248479648013529E-3</v>
      </c>
    </row>
    <row r="2949" spans="25:29" x14ac:dyDescent="0.2">
      <c r="Y2949" s="105" t="str">
        <f t="shared" si="79"/>
        <v>1w</v>
      </c>
      <c r="Z2949" s="93">
        <f>_xll.qlCalendarAdvance(Calendar,Z2948,Y2949,"f",FALSE)</f>
        <v>59819</v>
      </c>
      <c r="AA2949" s="117">
        <f>_xll.qlCalendarAdvance(Calendar,Z2949,NDays&amp;"D")</f>
        <v>59821</v>
      </c>
      <c r="AB2949" s="92">
        <v>9.5946107273288672E-3</v>
      </c>
      <c r="AC2949" s="101">
        <v>9.5275443416831251E-3</v>
      </c>
    </row>
    <row r="2950" spans="25:29" x14ac:dyDescent="0.2">
      <c r="Y2950" s="105" t="str">
        <f t="shared" si="79"/>
        <v>1w</v>
      </c>
      <c r="Z2950" s="93">
        <f>_xll.qlCalendarAdvance(Calendar,Z2949,Y2950,"f",FALSE)</f>
        <v>59826</v>
      </c>
      <c r="AA2950" s="117">
        <f>_xll.qlCalendarAdvance(Calendar,Z2950,NDays&amp;"D")</f>
        <v>59828</v>
      </c>
      <c r="AB2950" s="92">
        <v>9.5983568045377322E-3</v>
      </c>
      <c r="AC2950" s="101">
        <v>9.5303135057545063E-3</v>
      </c>
    </row>
    <row r="2951" spans="25:29" x14ac:dyDescent="0.2">
      <c r="Y2951" s="105" t="str">
        <f t="shared" si="79"/>
        <v>1w</v>
      </c>
      <c r="Z2951" s="93">
        <f>_xll.qlCalendarAdvance(Calendar,Z2950,Y2951,"f",FALSE)</f>
        <v>59833</v>
      </c>
      <c r="AA2951" s="117">
        <f>_xll.qlCalendarAdvance(Calendar,Z2951,NDays&amp;"D")</f>
        <v>59835</v>
      </c>
      <c r="AB2951" s="92">
        <v>9.602177504614914E-3</v>
      </c>
      <c r="AC2951" s="101">
        <v>9.5331555618116681E-3</v>
      </c>
    </row>
    <row r="2952" spans="25:29" x14ac:dyDescent="0.2">
      <c r="Y2952" s="105" t="str">
        <f t="shared" si="79"/>
        <v>1w</v>
      </c>
      <c r="Z2952" s="93">
        <f>_xll.qlCalendarAdvance(Calendar,Z2951,Y2952,"f",FALSE)</f>
        <v>59840</v>
      </c>
      <c r="AA2952" s="117">
        <f>_xll.qlCalendarAdvance(Calendar,Z2952,NDays&amp;"D")</f>
        <v>59842</v>
      </c>
      <c r="AB2952" s="92">
        <v>9.6047780971703148E-3</v>
      </c>
      <c r="AC2952" s="101">
        <v>9.5360706147573637E-3</v>
      </c>
    </row>
    <row r="2953" spans="25:29" x14ac:dyDescent="0.2">
      <c r="Y2953" s="105" t="str">
        <f t="shared" si="79"/>
        <v>1w</v>
      </c>
      <c r="Z2953" s="93">
        <f>_xll.qlCalendarAdvance(Calendar,Z2952,Y2953,"f",FALSE)</f>
        <v>59847</v>
      </c>
      <c r="AA2953" s="117">
        <f>_xll.qlCalendarAdvance(Calendar,Z2953,NDays&amp;"D")</f>
        <v>59849</v>
      </c>
      <c r="AB2953" s="92">
        <v>9.608731900988288E-3</v>
      </c>
      <c r="AC2953" s="101">
        <v>9.5390587694677009E-3</v>
      </c>
    </row>
    <row r="2954" spans="25:29" x14ac:dyDescent="0.2">
      <c r="Y2954" s="105" t="str">
        <f t="shared" si="79"/>
        <v>1w</v>
      </c>
      <c r="Z2954" s="93">
        <f>_xll.qlCalendarAdvance(Calendar,Z2953,Y2954,"f",FALSE)</f>
        <v>59854</v>
      </c>
      <c r="AA2954" s="117">
        <f>_xll.qlCalendarAdvance(Calendar,Z2954,NDays&amp;"D")</f>
        <v>59856</v>
      </c>
      <c r="AB2954" s="92">
        <v>9.6127606163456496E-3</v>
      </c>
      <c r="AC2954" s="101">
        <v>9.5421201307654968E-3</v>
      </c>
    </row>
    <row r="2955" spans="25:29" x14ac:dyDescent="0.2">
      <c r="Y2955" s="105" t="str">
        <f t="shared" si="79"/>
        <v>1w</v>
      </c>
      <c r="Z2955" s="93">
        <f>_xll.qlCalendarAdvance(Calendar,Z2954,Y2955,"f",FALSE)</f>
        <v>59861</v>
      </c>
      <c r="AA2955" s="117">
        <f>_xll.qlCalendarAdvance(Calendar,Z2955,NDays&amp;"D")</f>
        <v>59863</v>
      </c>
      <c r="AB2955" s="92">
        <v>9.616864349066322E-3</v>
      </c>
      <c r="AC2955" s="101">
        <v>9.5452548035268592E-3</v>
      </c>
    </row>
    <row r="2956" spans="25:29" x14ac:dyDescent="0.2">
      <c r="Y2956" s="105" t="str">
        <f t="shared" si="79"/>
        <v>1w</v>
      </c>
      <c r="Z2956" s="93">
        <f>_xll.qlCalendarAdvance(Calendar,Z2955,Y2956,"f",FALSE)</f>
        <v>59868</v>
      </c>
      <c r="AA2956" s="117">
        <f>_xll.qlCalendarAdvance(Calendar,Z2956,NDays&amp;"D")</f>
        <v>59870</v>
      </c>
      <c r="AB2956" s="92">
        <v>9.6210432049852052E-3</v>
      </c>
      <c r="AC2956" s="101">
        <v>9.5484628926811865E-3</v>
      </c>
    </row>
    <row r="2957" spans="25:29" x14ac:dyDescent="0.2">
      <c r="Y2957" s="105" t="str">
        <f t="shared" si="79"/>
        <v>1w</v>
      </c>
      <c r="Z2957" s="93">
        <f>_xll.qlCalendarAdvance(Calendar,Z2956,Y2957,"f",FALSE)</f>
        <v>59875</v>
      </c>
      <c r="AA2957" s="117">
        <f>_xll.qlCalendarAdvance(Calendar,Z2957,NDays&amp;"D")</f>
        <v>59877</v>
      </c>
      <c r="AB2957" s="92">
        <v>9.6266747115425506E-3</v>
      </c>
      <c r="AC2957" s="101">
        <v>9.551744503051296E-3</v>
      </c>
    </row>
    <row r="2958" spans="25:29" x14ac:dyDescent="0.2">
      <c r="Y2958" s="105" t="str">
        <f t="shared" si="79"/>
        <v>1w</v>
      </c>
      <c r="Z2958" s="93">
        <f>_xll.qlCalendarAdvance(Calendar,Z2957,Y2958,"f",FALSE)</f>
        <v>59882</v>
      </c>
      <c r="AA2958" s="117">
        <f>_xll.qlCalendarAdvance(Calendar,Z2958,NDays&amp;"D")</f>
        <v>59884</v>
      </c>
      <c r="AB2958" s="92">
        <v>9.6310207350153269E-3</v>
      </c>
      <c r="AC2958" s="101">
        <v>9.555099739566586E-3</v>
      </c>
    </row>
    <row r="2959" spans="25:29" x14ac:dyDescent="0.2">
      <c r="Y2959" s="105" t="str">
        <f t="shared" si="79"/>
        <v>1w</v>
      </c>
      <c r="Z2959" s="93">
        <f>_xll.qlCalendarAdvance(Calendar,Z2958,Y2959,"f",FALSE)</f>
        <v>59889</v>
      </c>
      <c r="AA2959" s="117">
        <f>_xll.qlCalendarAdvance(Calendar,Z2959,NDays&amp;"D")</f>
        <v>59891</v>
      </c>
      <c r="AB2959" s="92">
        <v>9.6354422281337716E-3</v>
      </c>
      <c r="AC2959" s="101">
        <v>9.558528707076519E-3</v>
      </c>
    </row>
    <row r="2960" spans="25:29" x14ac:dyDescent="0.2">
      <c r="Y2960" s="105" t="str">
        <f t="shared" si="79"/>
        <v>1w</v>
      </c>
      <c r="Z2960" s="93">
        <f>_xll.qlCalendarAdvance(Calendar,Z2959,Y2960,"f",FALSE)</f>
        <v>59897</v>
      </c>
      <c r="AA2960" s="117">
        <f>_xll.qlCalendarAdvance(Calendar,Z2960,NDays&amp;"D")</f>
        <v>59901</v>
      </c>
      <c r="AB2960" s="92">
        <v>9.6404553049228153E-3</v>
      </c>
      <c r="AC2960" s="101">
        <v>9.5631730922596248E-3</v>
      </c>
    </row>
    <row r="2961" spans="25:29" x14ac:dyDescent="0.2">
      <c r="Y2961" s="105" t="str">
        <f t="shared" si="79"/>
        <v>1w</v>
      </c>
      <c r="Z2961" s="93">
        <f>_xll.qlCalendarAdvance(Calendar,Z2960,Y2961,"f",FALSE)</f>
        <v>59904</v>
      </c>
      <c r="AA2961" s="117">
        <f>_xll.qlCalendarAdvance(Calendar,Z2961,NDays&amp;"D")</f>
        <v>59908</v>
      </c>
      <c r="AB2961" s="92">
        <v>9.645043819581596E-3</v>
      </c>
      <c r="AC2961" s="101">
        <v>9.5663890601915824E-3</v>
      </c>
    </row>
    <row r="2962" spans="25:29" x14ac:dyDescent="0.2">
      <c r="Y2962" s="105" t="str">
        <f t="shared" si="79"/>
        <v>1w</v>
      </c>
      <c r="Z2962" s="93">
        <f>_xll.qlCalendarAdvance(Calendar,Z2961,Y2962,"f",FALSE)</f>
        <v>59911</v>
      </c>
      <c r="AA2962" s="117">
        <f>_xll.qlCalendarAdvance(Calendar,Z2962,NDays&amp;"D")</f>
        <v>59915</v>
      </c>
      <c r="AB2962" s="92">
        <v>9.6497081380238475E-3</v>
      </c>
      <c r="AC2962" s="101">
        <v>9.5700608292403899E-3</v>
      </c>
    </row>
    <row r="2963" spans="25:29" x14ac:dyDescent="0.2">
      <c r="Y2963" s="105" t="str">
        <f t="shared" si="79"/>
        <v>1w</v>
      </c>
      <c r="Z2963" s="93">
        <f>_xll.qlCalendarAdvance(Calendar,Z2962,Y2963,"f",FALSE)</f>
        <v>59918</v>
      </c>
      <c r="AA2963" s="117">
        <f>_xll.qlCalendarAdvance(Calendar,Z2963,NDays&amp;"D")</f>
        <v>59922</v>
      </c>
      <c r="AB2963" s="92">
        <v>9.6544483661534265E-3</v>
      </c>
      <c r="AC2963" s="101">
        <v>9.5738067745543276E-3</v>
      </c>
    </row>
    <row r="2964" spans="25:29" x14ac:dyDescent="0.2">
      <c r="Y2964" s="105" t="str">
        <f t="shared" si="79"/>
        <v>1w</v>
      </c>
      <c r="Z2964" s="93">
        <f>_xll.qlCalendarAdvance(Calendar,Z2963,Y2964,"f",FALSE)</f>
        <v>59925</v>
      </c>
      <c r="AA2964" s="117">
        <f>_xll.qlCalendarAdvance(Calendar,Z2964,NDays&amp;"D")</f>
        <v>59929</v>
      </c>
      <c r="AB2964" s="92">
        <v>9.6592646098838525E-3</v>
      </c>
      <c r="AC2964" s="101">
        <v>9.5776270011693754E-3</v>
      </c>
    </row>
    <row r="2965" spans="25:29" x14ac:dyDescent="0.2">
      <c r="Y2965" s="105" t="str">
        <f t="shared" ref="Y2965:Y3028" si="80">Y2964</f>
        <v>1w</v>
      </c>
      <c r="Z2965" s="93">
        <f>_xll.qlCalendarAdvance(Calendar,Z2964,Y2965,"f",FALSE)</f>
        <v>59932</v>
      </c>
      <c r="AA2965" s="117">
        <f>_xll.qlCalendarAdvance(Calendar,Z2965,NDays&amp;"D")</f>
        <v>59936</v>
      </c>
      <c r="AB2965" s="92">
        <v>9.6641569751405032E-3</v>
      </c>
      <c r="AC2965" s="101">
        <v>9.5815216140415771E-3</v>
      </c>
    </row>
    <row r="2966" spans="25:29" x14ac:dyDescent="0.2">
      <c r="Y2966" s="105" t="str">
        <f t="shared" si="80"/>
        <v>1w</v>
      </c>
      <c r="Z2966" s="93">
        <f>_xll.qlCalendarAdvance(Calendar,Z2965,Y2966,"f",FALSE)</f>
        <v>59939</v>
      </c>
      <c r="AA2966" s="117">
        <f>_xll.qlCalendarAdvance(Calendar,Z2966,NDays&amp;"D")</f>
        <v>59943</v>
      </c>
      <c r="AB2966" s="92">
        <v>9.669125567855345E-3</v>
      </c>
      <c r="AC2966" s="101">
        <v>9.5854907178871684E-3</v>
      </c>
    </row>
    <row r="2967" spans="25:29" x14ac:dyDescent="0.2">
      <c r="Y2967" s="105" t="str">
        <f t="shared" si="80"/>
        <v>1w</v>
      </c>
      <c r="Z2967" s="93">
        <f>_xll.qlCalendarAdvance(Calendar,Z2966,Y2967,"f",FALSE)</f>
        <v>59946</v>
      </c>
      <c r="AA2967" s="117">
        <f>_xll.qlCalendarAdvance(Calendar,Z2967,NDays&amp;"D")</f>
        <v>59950</v>
      </c>
      <c r="AB2967" s="92">
        <v>9.6741704939722045E-3</v>
      </c>
      <c r="AC2967" s="101">
        <v>9.5895344175822572E-3</v>
      </c>
    </row>
    <row r="2968" spans="25:29" x14ac:dyDescent="0.2">
      <c r="Y2968" s="105" t="str">
        <f t="shared" si="80"/>
        <v>1w</v>
      </c>
      <c r="Z2968" s="93">
        <f>_xll.qlCalendarAdvance(Calendar,Z2967,Y2968,"f",FALSE)</f>
        <v>59953</v>
      </c>
      <c r="AA2968" s="117">
        <f>_xll.qlCalendarAdvance(Calendar,Z2968,NDays&amp;"D")</f>
        <v>59957</v>
      </c>
      <c r="AB2968" s="92">
        <v>9.6792918594454467E-3</v>
      </c>
      <c r="AC2968" s="101">
        <v>9.5936528180029512E-3</v>
      </c>
    </row>
    <row r="2969" spans="25:29" x14ac:dyDescent="0.2">
      <c r="Y2969" s="105" t="str">
        <f t="shared" si="80"/>
        <v>1w</v>
      </c>
      <c r="Z2969" s="93">
        <f>_xll.qlCalendarAdvance(Calendar,Z2968,Y2969,"f",FALSE)</f>
        <v>59960</v>
      </c>
      <c r="AA2969" s="117">
        <f>_xll.qlCalendarAdvance(Calendar,Z2969,NDays&amp;"D")</f>
        <v>59964</v>
      </c>
      <c r="AB2969" s="92">
        <v>9.6855464452327376E-3</v>
      </c>
      <c r="AC2969" s="101">
        <v>9.5978460241052943E-3</v>
      </c>
    </row>
    <row r="2970" spans="25:29" x14ac:dyDescent="0.2">
      <c r="Y2970" s="105" t="str">
        <f t="shared" si="80"/>
        <v>1w</v>
      </c>
      <c r="Z2970" s="93">
        <f>_xll.qlCalendarAdvance(Calendar,Z2969,Y2970,"f",FALSE)</f>
        <v>59967</v>
      </c>
      <c r="AA2970" s="117">
        <f>_xll.qlCalendarAdvance(Calendar,Z2970,NDays&amp;"D")</f>
        <v>59971</v>
      </c>
      <c r="AB2970" s="92">
        <v>9.6908323156610562E-3</v>
      </c>
      <c r="AC2970" s="101">
        <v>9.6021141405255861E-3</v>
      </c>
    </row>
    <row r="2971" spans="25:29" x14ac:dyDescent="0.2">
      <c r="Y2971" s="105" t="str">
        <f t="shared" si="80"/>
        <v>1w</v>
      </c>
      <c r="Z2971" s="93">
        <f>_xll.qlCalendarAdvance(Calendar,Z2970,Y2971,"f",FALSE)</f>
        <v>59974</v>
      </c>
      <c r="AA2971" s="117">
        <f>_xll.qlCalendarAdvance(Calendar,Z2971,NDays&amp;"D")</f>
        <v>59978</v>
      </c>
      <c r="AB2971" s="92">
        <v>9.696194962789154E-3</v>
      </c>
      <c r="AC2971" s="101">
        <v>9.6064572724596786E-3</v>
      </c>
    </row>
    <row r="2972" spans="25:29" x14ac:dyDescent="0.2">
      <c r="Y2972" s="105" t="str">
        <f t="shared" si="80"/>
        <v>1w</v>
      </c>
      <c r="Z2972" s="93">
        <f>_xll.qlCalendarAdvance(Calendar,Z2971,Y2972,"f",FALSE)</f>
        <v>59981</v>
      </c>
      <c r="AA2972" s="117">
        <f>_xll.qlCalendarAdvance(Calendar,Z2972,NDays&amp;"D")</f>
        <v>59985</v>
      </c>
      <c r="AB2972" s="92">
        <v>9.701634492620936E-3</v>
      </c>
      <c r="AC2972" s="101">
        <v>9.6108755244639354E-3</v>
      </c>
    </row>
    <row r="2973" spans="25:29" x14ac:dyDescent="0.2">
      <c r="Y2973" s="105" t="str">
        <f t="shared" si="80"/>
        <v>1w</v>
      </c>
      <c r="Z2973" s="93">
        <f>_xll.qlCalendarAdvance(Calendar,Z2972,Y2973,"f",FALSE)</f>
        <v>59988</v>
      </c>
      <c r="AA2973" s="117">
        <f>_xll.qlCalendarAdvance(Calendar,Z2973,NDays&amp;"D")</f>
        <v>59992</v>
      </c>
      <c r="AB2973" s="92">
        <v>9.7065997216841168E-3</v>
      </c>
      <c r="AC2973" s="101">
        <v>9.6153690016542726E-3</v>
      </c>
    </row>
    <row r="2974" spans="25:29" x14ac:dyDescent="0.2">
      <c r="Y2974" s="105" t="str">
        <f t="shared" si="80"/>
        <v>1w</v>
      </c>
      <c r="Z2974" s="93">
        <f>_xll.qlCalendarAdvance(Calendar,Z2973,Y2974,"f",FALSE)</f>
        <v>59995</v>
      </c>
      <c r="AA2974" s="117">
        <f>_xll.qlCalendarAdvance(Calendar,Z2974,NDays&amp;"D")</f>
        <v>60001</v>
      </c>
      <c r="AB2974" s="92">
        <v>9.7137983632135452E-3</v>
      </c>
      <c r="AC2974" s="101">
        <v>9.621257032836894E-3</v>
      </c>
    </row>
    <row r="2975" spans="25:29" x14ac:dyDescent="0.2">
      <c r="Y2975" s="105" t="str">
        <f t="shared" si="80"/>
        <v>1w</v>
      </c>
      <c r="Z2975" s="93">
        <f>_xll.qlCalendarAdvance(Calendar,Z2974,Y2975,"f",FALSE)</f>
        <v>60002</v>
      </c>
      <c r="AA2975" s="117">
        <f>_xll.qlCalendarAdvance(Calendar,Z2975,NDays&amp;"D")</f>
        <v>60006</v>
      </c>
      <c r="AB2975" s="92">
        <v>9.7178527521841109E-3</v>
      </c>
      <c r="AC2975" s="101">
        <v>9.6245820505380664E-3</v>
      </c>
    </row>
    <row r="2976" spans="25:29" x14ac:dyDescent="0.2">
      <c r="Y2976" s="105" t="str">
        <f t="shared" si="80"/>
        <v>1w</v>
      </c>
      <c r="Z2976" s="93">
        <f>_xll.qlCalendarAdvance(Calendar,Z2975,Y2976,"f",FALSE)</f>
        <v>60009</v>
      </c>
      <c r="AA2976" s="117">
        <f>_xll.qlCalendarAdvance(Calendar,Z2976,NDays&amp;"D")</f>
        <v>60013</v>
      </c>
      <c r="AB2976" s="92">
        <v>9.7235951600465539E-3</v>
      </c>
      <c r="AC2976" s="101">
        <v>9.6293018322235469E-3</v>
      </c>
    </row>
    <row r="2977" spans="25:29" x14ac:dyDescent="0.2">
      <c r="Y2977" s="105" t="str">
        <f t="shared" si="80"/>
        <v>1w</v>
      </c>
      <c r="Z2977" s="93">
        <f>_xll.qlCalendarAdvance(Calendar,Z2976,Y2977,"f",FALSE)</f>
        <v>60016</v>
      </c>
      <c r="AA2977" s="117">
        <f>_xll.qlCalendarAdvance(Calendar,Z2977,NDays&amp;"D")</f>
        <v>60020</v>
      </c>
      <c r="AB2977" s="92">
        <v>9.7294149710477583E-3</v>
      </c>
      <c r="AC2977" s="101">
        <v>9.6340972581998585E-3</v>
      </c>
    </row>
    <row r="2978" spans="25:29" x14ac:dyDescent="0.2">
      <c r="Y2978" s="105" t="str">
        <f t="shared" si="80"/>
        <v>1w</v>
      </c>
      <c r="Z2978" s="93">
        <f>_xll.qlCalendarAdvance(Calendar,Z2977,Y2978,"f",FALSE)</f>
        <v>60024</v>
      </c>
      <c r="AA2978" s="117">
        <f>_xll.qlCalendarAdvance(Calendar,Z2978,NDays&amp;"D")</f>
        <v>60028</v>
      </c>
      <c r="AB2978" s="92">
        <v>9.7367417736380166E-3</v>
      </c>
      <c r="AC2978" s="101">
        <v>9.6396705055834531E-3</v>
      </c>
    </row>
    <row r="2979" spans="25:29" x14ac:dyDescent="0.2">
      <c r="Y2979" s="105" t="str">
        <f t="shared" si="80"/>
        <v>1w</v>
      </c>
      <c r="Z2979" s="93">
        <f>_xll.qlCalendarAdvance(Calendar,Z2978,Y2979,"f",FALSE)</f>
        <v>60031</v>
      </c>
      <c r="AA2979" s="117">
        <f>_xll.qlCalendarAdvance(Calendar,Z2979,NDays&amp;"D")</f>
        <v>60035</v>
      </c>
      <c r="AB2979" s="92">
        <v>9.7427335494200719E-3</v>
      </c>
      <c r="AC2979" s="101">
        <v>9.6446283802542609E-3</v>
      </c>
    </row>
    <row r="2980" spans="25:29" x14ac:dyDescent="0.2">
      <c r="Y2980" s="105" t="str">
        <f t="shared" si="80"/>
        <v>1w</v>
      </c>
      <c r="Z2980" s="93">
        <f>_xll.qlCalendarAdvance(Calendar,Z2979,Y2980,"f",FALSE)</f>
        <v>60038</v>
      </c>
      <c r="AA2980" s="117">
        <f>_xll.qlCalendarAdvance(Calendar,Z2980,NDays&amp;"D")</f>
        <v>60042</v>
      </c>
      <c r="AB2980" s="92">
        <v>9.7488030714906627E-3</v>
      </c>
      <c r="AC2980" s="101">
        <v>9.6496622289521383E-3</v>
      </c>
    </row>
    <row r="2981" spans="25:29" x14ac:dyDescent="0.2">
      <c r="Y2981" s="105" t="str">
        <f t="shared" si="80"/>
        <v>1w</v>
      </c>
      <c r="Z2981" s="93">
        <f>_xll.qlCalendarAdvance(Calendar,Z2980,Y2981,"f",FALSE)</f>
        <v>60045</v>
      </c>
      <c r="AA2981" s="117">
        <f>_xll.qlCalendarAdvance(Calendar,Z2981,NDays&amp;"D")</f>
        <v>60049</v>
      </c>
      <c r="AB2981" s="92">
        <v>9.7549504459514425E-3</v>
      </c>
      <c r="AC2981" s="101">
        <v>9.654772156553193E-3</v>
      </c>
    </row>
    <row r="2982" spans="25:29" x14ac:dyDescent="0.2">
      <c r="Y2982" s="105" t="str">
        <f t="shared" si="80"/>
        <v>1w</v>
      </c>
      <c r="Z2982" s="93">
        <f>_xll.qlCalendarAdvance(Calendar,Z2981,Y2982,"f",FALSE)</f>
        <v>60052</v>
      </c>
      <c r="AA2982" s="117">
        <f>_xll.qlCalendarAdvance(Calendar,Z2982,NDays&amp;"D")</f>
        <v>60056</v>
      </c>
      <c r="AB2982" s="92">
        <v>9.7605720706051731E-3</v>
      </c>
      <c r="AC2982" s="101">
        <v>9.6599582680934049E-3</v>
      </c>
    </row>
    <row r="2983" spans="25:29" x14ac:dyDescent="0.2">
      <c r="Y2983" s="105" t="str">
        <f t="shared" si="80"/>
        <v>1w</v>
      </c>
      <c r="Z2983" s="93">
        <f>_xll.qlCalendarAdvance(Calendar,Z2982,Y2983,"f",FALSE)</f>
        <v>60059</v>
      </c>
      <c r="AA2983" s="117">
        <f>_xll.qlCalendarAdvance(Calendar,Z2983,NDays&amp;"D")</f>
        <v>60063</v>
      </c>
      <c r="AB2983" s="92">
        <v>9.7668696852849686E-3</v>
      </c>
      <c r="AC2983" s="101">
        <v>9.6652206681291375E-3</v>
      </c>
    </row>
    <row r="2984" spans="25:29" x14ac:dyDescent="0.2">
      <c r="Y2984" s="105" t="str">
        <f t="shared" si="80"/>
        <v>1w</v>
      </c>
      <c r="Z2984" s="93">
        <f>_xll.qlCalendarAdvance(Calendar,Z2983,Y2984,"f",FALSE)</f>
        <v>60066</v>
      </c>
      <c r="AA2984" s="117">
        <f>_xll.qlCalendarAdvance(Calendar,Z2984,NDays&amp;"D")</f>
        <v>60070</v>
      </c>
      <c r="AB2984" s="92">
        <v>9.773245460913951E-3</v>
      </c>
      <c r="AC2984" s="101">
        <v>9.670559461936179E-3</v>
      </c>
    </row>
    <row r="2985" spans="25:29" x14ac:dyDescent="0.2">
      <c r="Y2985" s="105" t="str">
        <f t="shared" si="80"/>
        <v>1w</v>
      </c>
      <c r="Z2985" s="93">
        <f>_xll.qlCalendarAdvance(Calendar,Z2984,Y2985,"f",FALSE)</f>
        <v>60073</v>
      </c>
      <c r="AA2985" s="117">
        <f>_xll.qlCalendarAdvance(Calendar,Z2985,NDays&amp;"D")</f>
        <v>60077</v>
      </c>
      <c r="AB2985" s="92">
        <v>9.7796995036306088E-3</v>
      </c>
      <c r="AC2985" s="101">
        <v>9.6759747540708929E-3</v>
      </c>
    </row>
    <row r="2986" spans="25:29" x14ac:dyDescent="0.2">
      <c r="Y2986" s="105" t="str">
        <f t="shared" si="80"/>
        <v>1w</v>
      </c>
      <c r="Z2986" s="93">
        <f>_xll.qlCalendarAdvance(Calendar,Z2985,Y2986,"f",FALSE)</f>
        <v>60080</v>
      </c>
      <c r="AA2986" s="117">
        <f>_xll.qlCalendarAdvance(Calendar,Z2986,NDays&amp;"D")</f>
        <v>60084</v>
      </c>
      <c r="AB2986" s="92">
        <v>9.7874862850875332E-3</v>
      </c>
      <c r="AC2986" s="101">
        <v>9.6814666496491952E-3</v>
      </c>
    </row>
    <row r="2987" spans="25:29" x14ac:dyDescent="0.2">
      <c r="Y2987" s="105" t="str">
        <f t="shared" si="80"/>
        <v>1w</v>
      </c>
      <c r="Z2987" s="93">
        <f>_xll.qlCalendarAdvance(Calendar,Z2986,Y2987,"f",FALSE)</f>
        <v>60087</v>
      </c>
      <c r="AA2987" s="117">
        <f>_xll.qlCalendarAdvance(Calendar,Z2987,NDays&amp;"D")</f>
        <v>60091</v>
      </c>
      <c r="AB2987" s="92">
        <v>9.7934755359465331E-3</v>
      </c>
      <c r="AC2987" s="101">
        <v>9.6870352531475135E-3</v>
      </c>
    </row>
    <row r="2988" spans="25:29" x14ac:dyDescent="0.2">
      <c r="Y2988" s="105" t="str">
        <f t="shared" si="80"/>
        <v>1w</v>
      </c>
      <c r="Z2988" s="93">
        <f>_xll.qlCalendarAdvance(Calendar,Z2987,Y2988,"f",FALSE)</f>
        <v>60094</v>
      </c>
      <c r="AA2988" s="117">
        <f>_xll.qlCalendarAdvance(Calendar,Z2988,NDays&amp;"D")</f>
        <v>60098</v>
      </c>
      <c r="AB2988" s="92">
        <v>9.8001708488801662E-3</v>
      </c>
      <c r="AC2988" s="101">
        <v>9.6926806699215717E-3</v>
      </c>
    </row>
    <row r="2989" spans="25:29" x14ac:dyDescent="0.2">
      <c r="Y2989" s="105" t="str">
        <f t="shared" si="80"/>
        <v>1w</v>
      </c>
      <c r="Z2989" s="93">
        <f>_xll.qlCalendarAdvance(Calendar,Z2988,Y2989,"f",FALSE)</f>
        <v>60101</v>
      </c>
      <c r="AA2989" s="117">
        <f>_xll.qlCalendarAdvance(Calendar,Z2989,NDays&amp;"D")</f>
        <v>60105</v>
      </c>
      <c r="AB2989" s="92">
        <v>9.8069448634007881E-3</v>
      </c>
      <c r="AC2989" s="101">
        <v>9.6984030045277336E-3</v>
      </c>
    </row>
    <row r="2990" spans="25:29" x14ac:dyDescent="0.2">
      <c r="Y2990" s="105" t="str">
        <f t="shared" si="80"/>
        <v>1w</v>
      </c>
      <c r="Z2990" s="93">
        <f>_xll.qlCalendarAdvance(Calendar,Z2989,Y2990,"f",FALSE)</f>
        <v>60108</v>
      </c>
      <c r="AA2990" s="117">
        <f>_xll.qlCalendarAdvance(Calendar,Z2990,NDays&amp;"D")</f>
        <v>60112</v>
      </c>
      <c r="AB2990" s="92">
        <v>9.8137976857073581E-3</v>
      </c>
      <c r="AC2990" s="101">
        <v>9.7042023616822348E-3</v>
      </c>
    </row>
    <row r="2991" spans="25:29" x14ac:dyDescent="0.2">
      <c r="Y2991" s="105" t="str">
        <f t="shared" si="80"/>
        <v>1w</v>
      </c>
      <c r="Z2991" s="93">
        <f>_xll.qlCalendarAdvance(Calendar,Z2990,Y2991,"f",FALSE)</f>
        <v>60115</v>
      </c>
      <c r="AA2991" s="117">
        <f>_xll.qlCalendarAdvance(Calendar,Z2991,NDays&amp;"D")</f>
        <v>60119</v>
      </c>
      <c r="AB2991" s="92">
        <v>9.8207294220083972E-3</v>
      </c>
      <c r="AC2991" s="101">
        <v>9.7100788466608634E-3</v>
      </c>
    </row>
    <row r="2992" spans="25:29" x14ac:dyDescent="0.2">
      <c r="Y2992" s="105" t="str">
        <f t="shared" si="80"/>
        <v>1w</v>
      </c>
      <c r="Z2992" s="93">
        <f>_xll.qlCalendarAdvance(Calendar,Z2991,Y2992,"f",FALSE)</f>
        <v>60122</v>
      </c>
      <c r="AA2992" s="117">
        <f>_xll.qlCalendarAdvance(Calendar,Z2992,NDays&amp;"D")</f>
        <v>60126</v>
      </c>
      <c r="AB2992" s="92">
        <v>9.8277401785245907E-3</v>
      </c>
      <c r="AC2992" s="101">
        <v>9.716032564099919E-3</v>
      </c>
    </row>
    <row r="2993" spans="25:29" x14ac:dyDescent="0.2">
      <c r="Y2993" s="105" t="str">
        <f t="shared" si="80"/>
        <v>1w</v>
      </c>
      <c r="Z2993" s="93">
        <f>_xll.qlCalendarAdvance(Calendar,Z2992,Y2993,"f",FALSE)</f>
        <v>60129</v>
      </c>
      <c r="AA2993" s="117">
        <f>_xll.qlCalendarAdvance(Calendar,Z2993,NDays&amp;"D")</f>
        <v>60133</v>
      </c>
      <c r="AB2993" s="92">
        <v>9.8348300614866137E-3</v>
      </c>
      <c r="AC2993" s="101">
        <v>9.7220636187156373E-3</v>
      </c>
    </row>
    <row r="2994" spans="25:29" x14ac:dyDescent="0.2">
      <c r="Y2994" s="105" t="str">
        <f t="shared" si="80"/>
        <v>1w</v>
      </c>
      <c r="Z2994" s="93">
        <f>_xll.qlCalendarAdvance(Calendar,Z2993,Y2994,"f",FALSE)</f>
        <v>60136</v>
      </c>
      <c r="AA2994" s="117">
        <f>_xll.qlCalendarAdvance(Calendar,Z2994,NDays&amp;"D")</f>
        <v>60140</v>
      </c>
      <c r="AB2994" s="92">
        <v>9.8419991771377426E-3</v>
      </c>
      <c r="AC2994" s="101">
        <v>9.7281721157838064E-3</v>
      </c>
    </row>
    <row r="2995" spans="25:29" x14ac:dyDescent="0.2">
      <c r="Y2995" s="105" t="str">
        <f t="shared" si="80"/>
        <v>1w</v>
      </c>
      <c r="Z2995" s="93">
        <f>_xll.qlCalendarAdvance(Calendar,Z2994,Y2995,"f",FALSE)</f>
        <v>60143</v>
      </c>
      <c r="AA2995" s="117">
        <f>_xll.qlCalendarAdvance(Calendar,Z2995,NDays&amp;"D")</f>
        <v>60147</v>
      </c>
      <c r="AB2995" s="92">
        <v>9.8472104027726923E-3</v>
      </c>
      <c r="AC2995" s="101">
        <v>9.7343581597808537E-3</v>
      </c>
    </row>
    <row r="2996" spans="25:29" x14ac:dyDescent="0.2">
      <c r="Y2996" s="105" t="str">
        <f t="shared" si="80"/>
        <v>1w</v>
      </c>
      <c r="Z2996" s="93">
        <f>_xll.qlCalendarAdvance(Calendar,Z2995,Y2996,"f",FALSE)</f>
        <v>60150</v>
      </c>
      <c r="AA2996" s="117">
        <f>_xll.qlCalendarAdvance(Calendar,Z2996,NDays&amp;"D")</f>
        <v>60154</v>
      </c>
      <c r="AB2996" s="92">
        <v>9.8545205726092242E-3</v>
      </c>
      <c r="AC2996" s="101">
        <v>9.7406218556628232E-3</v>
      </c>
    </row>
    <row r="2997" spans="25:29" x14ac:dyDescent="0.2">
      <c r="Y2997" s="105" t="str">
        <f t="shared" si="80"/>
        <v>1w</v>
      </c>
      <c r="Z2997" s="93">
        <f>_xll.qlCalendarAdvance(Calendar,Z2996,Y2997,"f",FALSE)</f>
        <v>60157</v>
      </c>
      <c r="AA2997" s="117">
        <f>_xll.qlCalendarAdvance(Calendar,Z2997,NDays&amp;"D")</f>
        <v>60161</v>
      </c>
      <c r="AB2997" s="92">
        <v>9.8619102641878762E-3</v>
      </c>
      <c r="AC2997" s="101">
        <v>9.746963308705503E-3</v>
      </c>
    </row>
    <row r="2998" spans="25:29" x14ac:dyDescent="0.2">
      <c r="Y2998" s="105" t="str">
        <f t="shared" si="80"/>
        <v>1w</v>
      </c>
      <c r="Z2998" s="93">
        <f>_xll.qlCalendarAdvance(Calendar,Z2997,Y2998,"f",FALSE)</f>
        <v>60164</v>
      </c>
      <c r="AA2998" s="117">
        <f>_xll.qlCalendarAdvance(Calendar,Z2998,NDays&amp;"D")</f>
        <v>60168</v>
      </c>
      <c r="AB2998" s="92">
        <v>9.8693795837688416E-3</v>
      </c>
      <c r="AC2998" s="101">
        <v>9.7533826231455123E-3</v>
      </c>
    </row>
    <row r="2999" spans="25:29" x14ac:dyDescent="0.2">
      <c r="Y2999" s="105" t="str">
        <f t="shared" si="80"/>
        <v>1w</v>
      </c>
      <c r="Z2999" s="93">
        <f>_xll.qlCalendarAdvance(Calendar,Z2998,Y2999,"f",FALSE)</f>
        <v>60171</v>
      </c>
      <c r="AA2999" s="117">
        <f>_xll.qlCalendarAdvance(Calendar,Z2999,NDays&amp;"D")</f>
        <v>60175</v>
      </c>
      <c r="AB2999" s="92">
        <v>9.8776308320225811E-3</v>
      </c>
      <c r="AC2999" s="101">
        <v>9.7598799042586393E-3</v>
      </c>
    </row>
    <row r="3000" spans="25:29" x14ac:dyDescent="0.2">
      <c r="Y3000" s="105" t="str">
        <f t="shared" si="80"/>
        <v>1w</v>
      </c>
      <c r="Z3000" s="93">
        <f>_xll.qlCalendarAdvance(Calendar,Z2999,Y3000,"f",FALSE)</f>
        <v>60178</v>
      </c>
      <c r="AA3000" s="117">
        <f>_xll.qlCalendarAdvance(Calendar,Z3000,NDays&amp;"D")</f>
        <v>60182</v>
      </c>
      <c r="AB3000" s="92">
        <v>9.885265675063001E-3</v>
      </c>
      <c r="AC3000" s="101">
        <v>9.7664552566811835E-3</v>
      </c>
    </row>
    <row r="3001" spans="25:29" x14ac:dyDescent="0.2">
      <c r="Y3001" s="105" t="str">
        <f t="shared" si="80"/>
        <v>1w</v>
      </c>
      <c r="Z3001" s="93">
        <f>_xll.qlCalendarAdvance(Calendar,Z3000,Y3001,"f",FALSE)</f>
        <v>60185</v>
      </c>
      <c r="AA3001" s="117">
        <f>_xll.qlCalendarAdvance(Calendar,Z3001,NDays&amp;"D")</f>
        <v>60189</v>
      </c>
      <c r="AB3001" s="92">
        <v>9.8929804749019658E-3</v>
      </c>
      <c r="AC3001" s="101">
        <v>9.773108785449125E-3</v>
      </c>
    </row>
    <row r="3002" spans="25:29" x14ac:dyDescent="0.2">
      <c r="Y3002" s="105" t="str">
        <f t="shared" si="80"/>
        <v>1w</v>
      </c>
      <c r="Z3002" s="93">
        <f>_xll.qlCalendarAdvance(Calendar,Z3001,Y3002,"f",FALSE)</f>
        <v>60192</v>
      </c>
      <c r="AA3002" s="117">
        <f>_xll.qlCalendarAdvance(Calendar,Z3002,NDays&amp;"D")</f>
        <v>60196</v>
      </c>
      <c r="AB3002" s="92">
        <v>9.9007753378544325E-3</v>
      </c>
      <c r="AC3002" s="101">
        <v>9.7798405951987633E-3</v>
      </c>
    </row>
    <row r="3003" spans="25:29" x14ac:dyDescent="0.2">
      <c r="Y3003" s="105" t="str">
        <f t="shared" si="80"/>
        <v>1w</v>
      </c>
      <c r="Z3003" s="93">
        <f>_xll.qlCalendarAdvance(Calendar,Z3002,Y3003,"f",FALSE)</f>
        <v>60199</v>
      </c>
      <c r="AA3003" s="117">
        <f>_xll.qlCalendarAdvance(Calendar,Z3003,NDays&amp;"D")</f>
        <v>60203</v>
      </c>
      <c r="AB3003" s="92">
        <v>9.9086503702476552E-3</v>
      </c>
      <c r="AC3003" s="101">
        <v>9.7866507912058864E-3</v>
      </c>
    </row>
    <row r="3004" spans="25:29" x14ac:dyDescent="0.2">
      <c r="Y3004" s="105" t="str">
        <f t="shared" si="80"/>
        <v>1w</v>
      </c>
      <c r="Z3004" s="93">
        <f>_xll.qlCalendarAdvance(Calendar,Z3003,Y3004,"f",FALSE)</f>
        <v>60206</v>
      </c>
      <c r="AA3004" s="117">
        <f>_xll.qlCalendarAdvance(Calendar,Z3004,NDays&amp;"D")</f>
        <v>60210</v>
      </c>
      <c r="AB3004" s="92">
        <v>9.915873641327946E-3</v>
      </c>
      <c r="AC3004" s="101">
        <v>9.7935394780268581E-3</v>
      </c>
    </row>
    <row r="3005" spans="25:29" x14ac:dyDescent="0.2">
      <c r="Y3005" s="105" t="str">
        <f t="shared" si="80"/>
        <v>1w</v>
      </c>
      <c r="Z3005" s="93">
        <f>_xll.qlCalendarAdvance(Calendar,Z3004,Y3005,"f",FALSE)</f>
        <v>60213</v>
      </c>
      <c r="AA3005" s="117">
        <f>_xll.qlCalendarAdvance(Calendar,Z3005,NDays&amp;"D")</f>
        <v>60217</v>
      </c>
      <c r="AB3005" s="92">
        <v>9.9239033331733027E-3</v>
      </c>
      <c r="AC3005" s="101">
        <v>9.800506760537786E-3</v>
      </c>
    </row>
    <row r="3006" spans="25:29" x14ac:dyDescent="0.2">
      <c r="Y3006" s="105" t="str">
        <f t="shared" si="80"/>
        <v>1w</v>
      </c>
      <c r="Z3006" s="93">
        <f>_xll.qlCalendarAdvance(Calendar,Z3005,Y3006,"f",FALSE)</f>
        <v>60220</v>
      </c>
      <c r="AA3006" s="117">
        <f>_xll.qlCalendarAdvance(Calendar,Z3006,NDays&amp;"D")</f>
        <v>60224</v>
      </c>
      <c r="AB3006" s="92">
        <v>9.9320133918849723E-3</v>
      </c>
      <c r="AC3006" s="101">
        <v>9.807552743614778E-3</v>
      </c>
    </row>
    <row r="3007" spans="25:29" x14ac:dyDescent="0.2">
      <c r="Y3007" s="105" t="str">
        <f t="shared" si="80"/>
        <v>1w</v>
      </c>
      <c r="Z3007" s="93">
        <f>_xll.qlCalendarAdvance(Calendar,Z3006,Y3007,"f",FALSE)</f>
        <v>60227</v>
      </c>
      <c r="AA3007" s="117">
        <f>_xll.qlCalendarAdvance(Calendar,Z3007,NDays&amp;"D")</f>
        <v>60231</v>
      </c>
      <c r="AB3007" s="92">
        <v>9.9402019363073885E-3</v>
      </c>
      <c r="AC3007" s="101">
        <v>9.8146775321339419E-3</v>
      </c>
    </row>
    <row r="3008" spans="25:29" x14ac:dyDescent="0.2">
      <c r="Y3008" s="105" t="str">
        <f t="shared" si="80"/>
        <v>1w</v>
      </c>
      <c r="Z3008" s="93">
        <f>_xll.qlCalendarAdvance(Calendar,Z3007,Y3008,"f",FALSE)</f>
        <v>60234</v>
      </c>
      <c r="AA3008" s="117">
        <f>_xll.qlCalendarAdvance(Calendar,Z3008,NDays&amp;"D")</f>
        <v>60238</v>
      </c>
      <c r="AB3008" s="92">
        <v>9.9492198882261025E-3</v>
      </c>
      <c r="AC3008" s="101">
        <v>9.8218812312111936E-3</v>
      </c>
    </row>
    <row r="3009" spans="25:29" x14ac:dyDescent="0.2">
      <c r="Y3009" s="105" t="str">
        <f t="shared" si="80"/>
        <v>1w</v>
      </c>
      <c r="Z3009" s="93">
        <f>_xll.qlCalendarAdvance(Calendar,Z3008,Y3009,"f",FALSE)</f>
        <v>60241</v>
      </c>
      <c r="AA3009" s="117">
        <f>_xll.qlCalendarAdvance(Calendar,Z3009,NDays&amp;"D")</f>
        <v>60245</v>
      </c>
      <c r="AB3009" s="92">
        <v>9.9575595533362409E-3</v>
      </c>
      <c r="AC3009" s="101">
        <v>9.8291639453229607E-3</v>
      </c>
    </row>
    <row r="3010" spans="25:29" x14ac:dyDescent="0.2">
      <c r="Y3010" s="105" t="str">
        <f t="shared" si="80"/>
        <v>1w</v>
      </c>
      <c r="Z3010" s="93">
        <f>_xll.qlCalendarAdvance(Calendar,Z3009,Y3010,"f",FALSE)</f>
        <v>60248</v>
      </c>
      <c r="AA3010" s="117">
        <f>_xll.qlCalendarAdvance(Calendar,Z3010,NDays&amp;"D")</f>
        <v>60252</v>
      </c>
      <c r="AB3010" s="92">
        <v>9.9659668371961004E-3</v>
      </c>
      <c r="AC3010" s="101">
        <v>9.8365257795851591E-3</v>
      </c>
    </row>
    <row r="3011" spans="25:29" x14ac:dyDescent="0.2">
      <c r="Y3011" s="105" t="str">
        <f t="shared" si="80"/>
        <v>1w</v>
      </c>
      <c r="Z3011" s="93">
        <f>_xll.qlCalendarAdvance(Calendar,Z3010,Y3011,"f",FALSE)</f>
        <v>60255</v>
      </c>
      <c r="AA3011" s="117">
        <f>_xll.qlCalendarAdvance(Calendar,Z3011,NDays&amp;"D")</f>
        <v>60259</v>
      </c>
      <c r="AB3011" s="92">
        <v>9.9744382537990325E-3</v>
      </c>
      <c r="AC3011" s="101">
        <v>9.8439668387939605E-3</v>
      </c>
    </row>
    <row r="3012" spans="25:29" x14ac:dyDescent="0.2">
      <c r="Y3012" s="105" t="str">
        <f t="shared" si="80"/>
        <v>1w</v>
      </c>
      <c r="Z3012" s="93">
        <f>_xll.qlCalendarAdvance(Calendar,Z3011,Y3012,"f",FALSE)</f>
        <v>60265</v>
      </c>
      <c r="AA3012" s="117">
        <f>_xll.qlCalendarAdvance(Calendar,Z3012,NDays&amp;"D")</f>
        <v>60267</v>
      </c>
      <c r="AB3012" s="92">
        <v>9.9834235386902608E-3</v>
      </c>
      <c r="AC3012" s="101">
        <v>9.8532441119436598E-3</v>
      </c>
    </row>
    <row r="3013" spans="25:29" x14ac:dyDescent="0.2">
      <c r="Y3013" s="105" t="str">
        <f t="shared" si="80"/>
        <v>1w</v>
      </c>
      <c r="Z3013" s="93">
        <f>_xll.qlCalendarAdvance(Calendar,Z3012,Y3013,"f",FALSE)</f>
        <v>60272</v>
      </c>
      <c r="AA3013" s="117">
        <f>_xll.qlCalendarAdvance(Calendar,Z3013,NDays&amp;"D")</f>
        <v>60274</v>
      </c>
      <c r="AB3013" s="92">
        <v>9.9920177607217518E-3</v>
      </c>
      <c r="AC3013" s="101">
        <v>9.860179231102606E-3</v>
      </c>
    </row>
    <row r="3014" spans="25:29" x14ac:dyDescent="0.2">
      <c r="Y3014" s="105" t="str">
        <f t="shared" si="80"/>
        <v>1w</v>
      </c>
      <c r="Z3014" s="93">
        <f>_xll.qlCalendarAdvance(Calendar,Z3013,Y3014,"f",FALSE)</f>
        <v>60279</v>
      </c>
      <c r="AA3014" s="117">
        <f>_xll.qlCalendarAdvance(Calendar,Z3014,NDays&amp;"D")</f>
        <v>60281</v>
      </c>
      <c r="AB3014" s="92">
        <v>1.0000665477206308E-2</v>
      </c>
      <c r="AC3014" s="101">
        <v>9.8678699656318258E-3</v>
      </c>
    </row>
    <row r="3015" spans="25:29" x14ac:dyDescent="0.2">
      <c r="Y3015" s="105" t="str">
        <f t="shared" si="80"/>
        <v>1w</v>
      </c>
      <c r="Z3015" s="93">
        <f>_xll.qlCalendarAdvance(Calendar,Z3014,Y3015,"f",FALSE)</f>
        <v>60286</v>
      </c>
      <c r="AA3015" s="117">
        <f>_xll.qlCalendarAdvance(Calendar,Z3015,NDays&amp;"D")</f>
        <v>60288</v>
      </c>
      <c r="AB3015" s="92">
        <v>1.0009363160153656E-2</v>
      </c>
      <c r="AC3015" s="101">
        <v>9.8756403595601228E-3</v>
      </c>
    </row>
    <row r="3016" spans="25:29" x14ac:dyDescent="0.2">
      <c r="Y3016" s="105" t="str">
        <f t="shared" si="80"/>
        <v>1w</v>
      </c>
      <c r="Z3016" s="93">
        <f>_xll.qlCalendarAdvance(Calendar,Z3015,Y3016,"f",FALSE)</f>
        <v>60293</v>
      </c>
      <c r="AA3016" s="117">
        <f>_xll.qlCalendarAdvance(Calendar,Z3016,NDays&amp;"D")</f>
        <v>60295</v>
      </c>
      <c r="AB3016" s="92">
        <v>1.0018107276016418E-2</v>
      </c>
      <c r="AC3016" s="101">
        <v>9.8834905178435406E-3</v>
      </c>
    </row>
    <row r="3017" spans="25:29" x14ac:dyDescent="0.2">
      <c r="Y3017" s="105" t="str">
        <f t="shared" si="80"/>
        <v>1w</v>
      </c>
      <c r="Z3017" s="93">
        <f>_xll.qlCalendarAdvance(Calendar,Z3016,Y3017,"f",FALSE)</f>
        <v>60300</v>
      </c>
      <c r="AA3017" s="117">
        <f>_xll.qlCalendarAdvance(Calendar,Z3017,NDays&amp;"D")</f>
        <v>60302</v>
      </c>
      <c r="AB3017" s="92">
        <v>1.0026894285683046E-2</v>
      </c>
      <c r="AC3017" s="101">
        <v>9.891420545118379E-3</v>
      </c>
    </row>
    <row r="3018" spans="25:29" x14ac:dyDescent="0.2">
      <c r="Y3018" s="105" t="str">
        <f t="shared" si="80"/>
        <v>1w</v>
      </c>
      <c r="Z3018" s="93">
        <f>_xll.qlCalendarAdvance(Calendar,Z3017,Y3018,"f",FALSE)</f>
        <v>60307</v>
      </c>
      <c r="AA3018" s="117">
        <f>_xll.qlCalendarAdvance(Calendar,Z3018,NDays&amp;"D")</f>
        <v>60309</v>
      </c>
      <c r="AB3018" s="92">
        <v>1.003572064448313E-2</v>
      </c>
      <c r="AC3018" s="101">
        <v>9.8994305464206178E-3</v>
      </c>
    </row>
    <row r="3019" spans="25:29" x14ac:dyDescent="0.2">
      <c r="Y3019" s="105" t="str">
        <f t="shared" si="80"/>
        <v>1w</v>
      </c>
      <c r="Z3019" s="93">
        <f>_xll.qlCalendarAdvance(Calendar,Z3018,Y3019,"f",FALSE)</f>
        <v>60314</v>
      </c>
      <c r="AA3019" s="117">
        <f>_xll.qlCalendarAdvance(Calendar,Z3019,NDays&amp;"D")</f>
        <v>60316</v>
      </c>
      <c r="AB3019" s="92">
        <v>1.0044582802183412E-2</v>
      </c>
      <c r="AC3019" s="101">
        <v>9.9075206266263649E-3</v>
      </c>
    </row>
    <row r="3020" spans="25:29" x14ac:dyDescent="0.2">
      <c r="Y3020" s="105" t="str">
        <f t="shared" si="80"/>
        <v>1w</v>
      </c>
      <c r="Z3020" s="93">
        <f>_xll.qlCalendarAdvance(Calendar,Z3019,Y3020,"f",FALSE)</f>
        <v>60321</v>
      </c>
      <c r="AA3020" s="117">
        <f>_xll.qlCalendarAdvance(Calendar,Z3020,NDays&amp;"D")</f>
        <v>60323</v>
      </c>
      <c r="AB3020" s="92">
        <v>1.0053477202986466E-2</v>
      </c>
      <c r="AC3020" s="101">
        <v>9.915690890611728E-3</v>
      </c>
    </row>
    <row r="3021" spans="25:29" x14ac:dyDescent="0.2">
      <c r="Y3021" s="105" t="str">
        <f t="shared" si="80"/>
        <v>1w</v>
      </c>
      <c r="Z3021" s="93">
        <f>_xll.qlCalendarAdvance(Calendar,Z3020,Y3021,"f",FALSE)</f>
        <v>60328</v>
      </c>
      <c r="AA3021" s="117">
        <f>_xll.qlCalendarAdvance(Calendar,Z3021,NDays&amp;"D")</f>
        <v>60330</v>
      </c>
      <c r="AB3021" s="92">
        <v>1.0064755214024328E-2</v>
      </c>
      <c r="AC3021" s="101">
        <v>9.923941443172879E-3</v>
      </c>
    </row>
    <row r="3022" spans="25:29" x14ac:dyDescent="0.2">
      <c r="Y3022" s="105" t="str">
        <f t="shared" si="80"/>
        <v>1w</v>
      </c>
      <c r="Z3022" s="93">
        <f>_xll.qlCalendarAdvance(Calendar,Z3021,Y3022,"f",FALSE)</f>
        <v>60335</v>
      </c>
      <c r="AA3022" s="117">
        <f>_xll.qlCalendarAdvance(Calendar,Z3022,NDays&amp;"D")</f>
        <v>60337</v>
      </c>
      <c r="AB3022" s="92">
        <v>1.0073704472828777E-2</v>
      </c>
      <c r="AC3022" s="101">
        <v>9.9322723891059894E-3</v>
      </c>
    </row>
    <row r="3023" spans="25:29" x14ac:dyDescent="0.2">
      <c r="Y3023" s="105" t="str">
        <f t="shared" si="80"/>
        <v>1w</v>
      </c>
      <c r="Z3023" s="93">
        <f>_xll.qlCalendarAdvance(Calendar,Z3022,Y3023,"f",FALSE)</f>
        <v>60342</v>
      </c>
      <c r="AA3023" s="117">
        <f>_xll.qlCalendarAdvance(Calendar,Z3023,NDays&amp;"D")</f>
        <v>60344</v>
      </c>
      <c r="AB3023" s="92">
        <v>1.008267473725134E-2</v>
      </c>
      <c r="AC3023" s="101">
        <v>9.9406838333671033E-3</v>
      </c>
    </row>
    <row r="3024" spans="25:29" x14ac:dyDescent="0.2">
      <c r="Y3024" s="105" t="str">
        <f t="shared" si="80"/>
        <v>1w</v>
      </c>
      <c r="Z3024" s="93">
        <f>_xll.qlCalendarAdvance(Calendar,Z3023,Y3024,"f",FALSE)</f>
        <v>60349</v>
      </c>
      <c r="AA3024" s="117">
        <f>_xll.qlCalendarAdvance(Calendar,Z3024,NDays&amp;"D")</f>
        <v>60351</v>
      </c>
      <c r="AB3024" s="92">
        <v>1.0091662486674306E-2</v>
      </c>
      <c r="AC3024" s="101">
        <v>9.9491758809122643E-3</v>
      </c>
    </row>
    <row r="3025" spans="25:29" x14ac:dyDescent="0.2">
      <c r="Y3025" s="105" t="str">
        <f t="shared" si="80"/>
        <v>1w</v>
      </c>
      <c r="Z3025" s="93">
        <f>_xll.qlCalendarAdvance(Calendar,Z3024,Y3025,"f",FALSE)</f>
        <v>60357</v>
      </c>
      <c r="AA3025" s="117">
        <f>_xll.qlCalendarAdvance(Calendar,Z3025,NDays&amp;"D")</f>
        <v>60359</v>
      </c>
      <c r="AB3025" s="92">
        <v>1.0101165751924273E-2</v>
      </c>
      <c r="AC3025" s="101">
        <v>9.9589799103405596E-3</v>
      </c>
    </row>
    <row r="3026" spans="25:29" x14ac:dyDescent="0.2">
      <c r="Y3026" s="105" t="str">
        <f t="shared" si="80"/>
        <v>1w</v>
      </c>
      <c r="Z3026" s="93">
        <f>_xll.qlCalendarAdvance(Calendar,Z3025,Y3026,"f",FALSE)</f>
        <v>60364</v>
      </c>
      <c r="AA3026" s="117">
        <f>_xll.qlCalendarAdvance(Calendar,Z3026,NDays&amp;"D")</f>
        <v>60366</v>
      </c>
      <c r="AB3026" s="92">
        <v>1.011017935462653E-2</v>
      </c>
      <c r="AC3026" s="101">
        <v>9.9676450321606325E-3</v>
      </c>
    </row>
    <row r="3027" spans="25:29" x14ac:dyDescent="0.2">
      <c r="Y3027" s="105" t="str">
        <f t="shared" si="80"/>
        <v>1w</v>
      </c>
      <c r="Z3027" s="93">
        <f>_xll.qlCalendarAdvance(Calendar,Z3026,Y3027,"f",FALSE)</f>
        <v>60371</v>
      </c>
      <c r="AA3027" s="117">
        <f>_xll.qlCalendarAdvance(Calendar,Z3027,NDays&amp;"D")</f>
        <v>60373</v>
      </c>
      <c r="AB3027" s="92">
        <v>1.0119199440204662E-2</v>
      </c>
      <c r="AC3027" s="101">
        <v>9.9763910867611827E-3</v>
      </c>
    </row>
    <row r="3028" spans="25:29" x14ac:dyDescent="0.2">
      <c r="Y3028" s="105" t="str">
        <f t="shared" si="80"/>
        <v>1w</v>
      </c>
      <c r="Z3028" s="93">
        <f>_xll.qlCalendarAdvance(Calendar,Z3027,Y3028,"f",FALSE)</f>
        <v>60378</v>
      </c>
      <c r="AA3028" s="117">
        <f>_xll.qlCalendarAdvance(Calendar,Z3028,NDays&amp;"D")</f>
        <v>60380</v>
      </c>
      <c r="AB3028" s="92">
        <v>1.0128222446287725E-2</v>
      </c>
      <c r="AC3028" s="101">
        <v>9.9852181790183181E-3</v>
      </c>
    </row>
    <row r="3029" spans="25:29" x14ac:dyDescent="0.2">
      <c r="Y3029" s="105" t="str">
        <f t="shared" ref="Y3029:Y3092" si="81">Y3028</f>
        <v>1w</v>
      </c>
      <c r="Z3029" s="93">
        <f>_xll.qlCalendarAdvance(Calendar,Z3028,Y3029,"f",FALSE)</f>
        <v>60385</v>
      </c>
      <c r="AA3029" s="117">
        <f>_xll.qlCalendarAdvance(Calendar,Z3029,NDays&amp;"D")</f>
        <v>60387</v>
      </c>
      <c r="AB3029" s="92">
        <v>1.0137244804999668E-2</v>
      </c>
      <c r="AC3029" s="101">
        <v>9.9964632696369904E-3</v>
      </c>
    </row>
    <row r="3030" spans="25:29" x14ac:dyDescent="0.2">
      <c r="Y3030" s="105" t="str">
        <f t="shared" si="81"/>
        <v>1w</v>
      </c>
      <c r="Z3030" s="93">
        <f>_xll.qlCalendarAdvance(Calendar,Z3029,Y3030,"f",FALSE)</f>
        <v>60392</v>
      </c>
      <c r="AA3030" s="117">
        <f>_xll.qlCalendarAdvance(Calendar,Z3030,NDays&amp;"D")</f>
        <v>60394</v>
      </c>
      <c r="AB3030" s="92">
        <v>1.014861245934095E-2</v>
      </c>
      <c r="AC3030" s="101">
        <v>1.000311589592684E-2</v>
      </c>
    </row>
    <row r="3031" spans="25:29" x14ac:dyDescent="0.2">
      <c r="Y3031" s="105" t="str">
        <f t="shared" si="81"/>
        <v>1w</v>
      </c>
      <c r="Z3031" s="93">
        <f>_xll.qlCalendarAdvance(Calendar,Z3030,Y3031,"f",FALSE)</f>
        <v>60399</v>
      </c>
      <c r="AA3031" s="117">
        <f>_xll.qlCalendarAdvance(Calendar,Z3031,NDays&amp;"D")</f>
        <v>60401</v>
      </c>
      <c r="AB3031" s="92">
        <v>1.0157621096376006E-2</v>
      </c>
      <c r="AC3031" s="101">
        <v>1.0012186416101798E-2</v>
      </c>
    </row>
    <row r="3032" spans="25:29" x14ac:dyDescent="0.2">
      <c r="Y3032" s="105" t="str">
        <f t="shared" si="81"/>
        <v>1w</v>
      </c>
      <c r="Z3032" s="93">
        <f>_xll.qlCalendarAdvance(Calendar,Z3031,Y3032,"f",FALSE)</f>
        <v>60406</v>
      </c>
      <c r="AA3032" s="117">
        <f>_xll.qlCalendarAdvance(Calendar,Z3032,NDays&amp;"D")</f>
        <v>60408</v>
      </c>
      <c r="AB3032" s="92">
        <v>1.0166618923553966E-2</v>
      </c>
      <c r="AC3032" s="101">
        <v>1.0021285915096101E-2</v>
      </c>
    </row>
    <row r="3033" spans="25:29" x14ac:dyDescent="0.2">
      <c r="Y3033" s="105" t="str">
        <f t="shared" si="81"/>
        <v>1w</v>
      </c>
      <c r="Z3033" s="93">
        <f>_xll.qlCalendarAdvance(Calendar,Z3032,Y3033,"f",FALSE)</f>
        <v>60413</v>
      </c>
      <c r="AA3033" s="117">
        <f>_xll.qlCalendarAdvance(Calendar,Z3033,NDays&amp;"D")</f>
        <v>60415</v>
      </c>
      <c r="AB3033" s="92">
        <v>1.0175605321856877E-2</v>
      </c>
      <c r="AC3033" s="101">
        <v>1.0030374488509963E-2</v>
      </c>
    </row>
    <row r="3034" spans="25:29" x14ac:dyDescent="0.2">
      <c r="Y3034" s="105" t="str">
        <f t="shared" si="81"/>
        <v>1w</v>
      </c>
      <c r="Z3034" s="93">
        <f>_xll.qlCalendarAdvance(Calendar,Z3033,Y3034,"f",FALSE)</f>
        <v>60420</v>
      </c>
      <c r="AA3034" s="117">
        <f>_xll.qlCalendarAdvance(Calendar,Z3034,NDays&amp;"D")</f>
        <v>60422</v>
      </c>
      <c r="AB3034" s="92">
        <v>1.0182237620785744E-2</v>
      </c>
      <c r="AC3034" s="101">
        <v>1.0039452099572799E-2</v>
      </c>
    </row>
    <row r="3035" spans="25:29" x14ac:dyDescent="0.2">
      <c r="Y3035" s="105" t="str">
        <f t="shared" si="81"/>
        <v>1w</v>
      </c>
      <c r="Z3035" s="93">
        <f>_xll.qlCalendarAdvance(Calendar,Z3034,Y3035,"f",FALSE)</f>
        <v>60427</v>
      </c>
      <c r="AA3035" s="117">
        <f>_xll.qlCalendarAdvance(Calendar,Z3035,NDays&amp;"D")</f>
        <v>60429</v>
      </c>
      <c r="AB3035" s="92">
        <v>1.0191202793884068E-2</v>
      </c>
      <c r="AC3035" s="101">
        <v>1.0048518711913701E-2</v>
      </c>
    </row>
    <row r="3036" spans="25:29" x14ac:dyDescent="0.2">
      <c r="Y3036" s="105" t="str">
        <f t="shared" si="81"/>
        <v>1w</v>
      </c>
      <c r="Z3036" s="93">
        <f>_xll.qlCalendarAdvance(Calendar,Z3035,Y3036,"f",FALSE)</f>
        <v>60434</v>
      </c>
      <c r="AA3036" s="117">
        <f>_xll.qlCalendarAdvance(Calendar,Z3036,NDays&amp;"D")</f>
        <v>60436</v>
      </c>
      <c r="AB3036" s="92">
        <v>1.020015643519397E-2</v>
      </c>
      <c r="AC3036" s="101">
        <v>1.0057574288282467E-2</v>
      </c>
    </row>
    <row r="3037" spans="25:29" x14ac:dyDescent="0.2">
      <c r="Y3037" s="105" t="str">
        <f t="shared" si="81"/>
        <v>1w</v>
      </c>
      <c r="Z3037" s="93">
        <f>_xll.qlCalendarAdvance(Calendar,Z3036,Y3037,"f",FALSE)</f>
        <v>60441</v>
      </c>
      <c r="AA3037" s="117">
        <f>_xll.qlCalendarAdvance(Calendar,Z3037,NDays&amp;"D")</f>
        <v>60443</v>
      </c>
      <c r="AB3037" s="92">
        <v>1.0211435885220933E-2</v>
      </c>
      <c r="AC3037" s="101">
        <v>1.0066618792388127E-2</v>
      </c>
    </row>
    <row r="3038" spans="25:29" x14ac:dyDescent="0.2">
      <c r="Y3038" s="105" t="str">
        <f t="shared" si="81"/>
        <v>1w</v>
      </c>
      <c r="Z3038" s="93">
        <f>_xll.qlCalendarAdvance(Calendar,Z3037,Y3038,"f",FALSE)</f>
        <v>60448</v>
      </c>
      <c r="AA3038" s="117">
        <f>_xll.qlCalendarAdvance(Calendar,Z3038,NDays&amp;"D")</f>
        <v>60450</v>
      </c>
      <c r="AB3038" s="92">
        <v>1.0220364583324815E-2</v>
      </c>
      <c r="AC3038" s="101">
        <v>1.0075652187300221E-2</v>
      </c>
    </row>
    <row r="3039" spans="25:29" x14ac:dyDescent="0.2">
      <c r="Y3039" s="105" t="str">
        <f t="shared" si="81"/>
        <v>1w</v>
      </c>
      <c r="Z3039" s="93">
        <f>_xll.qlCalendarAdvance(Calendar,Z3038,Y3039,"f",FALSE)</f>
        <v>60455</v>
      </c>
      <c r="AA3039" s="117">
        <f>_xll.qlCalendarAdvance(Calendar,Z3039,NDays&amp;"D")</f>
        <v>60457</v>
      </c>
      <c r="AB3039" s="92">
        <v>1.0229281630221387E-2</v>
      </c>
      <c r="AC3039" s="101">
        <v>1.0084674436567909E-2</v>
      </c>
    </row>
    <row r="3040" spans="25:29" x14ac:dyDescent="0.2">
      <c r="Y3040" s="105" t="str">
        <f t="shared" si="81"/>
        <v>1w</v>
      </c>
      <c r="Z3040" s="93">
        <f>_xll.qlCalendarAdvance(Calendar,Z3039,Y3040,"f",FALSE)</f>
        <v>60462</v>
      </c>
      <c r="AA3040" s="117">
        <f>_xll.qlCalendarAdvance(Calendar,Z3040,NDays&amp;"D")</f>
        <v>60464</v>
      </c>
      <c r="AB3040" s="92">
        <v>1.0238186988853409E-2</v>
      </c>
      <c r="AC3040" s="101">
        <v>1.0093685503180794E-2</v>
      </c>
    </row>
    <row r="3041" spans="25:29" x14ac:dyDescent="0.2">
      <c r="Y3041" s="105" t="str">
        <f t="shared" si="81"/>
        <v>1w</v>
      </c>
      <c r="Z3041" s="93">
        <f>_xll.qlCalendarAdvance(Calendar,Z3040,Y3041,"f",FALSE)</f>
        <v>60469</v>
      </c>
      <c r="AA3041" s="117">
        <f>_xll.qlCalendarAdvance(Calendar,Z3041,NDays&amp;"D")</f>
        <v>60471</v>
      </c>
      <c r="AB3041" s="92">
        <v>1.0247080622164072E-2</v>
      </c>
      <c r="AC3041" s="101">
        <v>1.0102685350688034E-2</v>
      </c>
    </row>
    <row r="3042" spans="25:29" x14ac:dyDescent="0.2">
      <c r="Y3042" s="105" t="str">
        <f t="shared" si="81"/>
        <v>1w</v>
      </c>
      <c r="Z3042" s="93">
        <f>_xll.qlCalendarAdvance(Calendar,Z3041,Y3042,"f",FALSE)</f>
        <v>60476</v>
      </c>
      <c r="AA3042" s="117">
        <f>_xll.qlCalendarAdvance(Calendar,Z3042,NDays&amp;"D")</f>
        <v>60478</v>
      </c>
      <c r="AB3042" s="92">
        <v>1.0253634040708129E-2</v>
      </c>
      <c r="AC3042" s="101">
        <v>1.0111673942159172E-2</v>
      </c>
    </row>
    <row r="3043" spans="25:29" x14ac:dyDescent="0.2">
      <c r="Y3043" s="105" t="str">
        <f t="shared" si="81"/>
        <v>1w</v>
      </c>
      <c r="Z3043" s="93">
        <f>_xll.qlCalendarAdvance(Calendar,Z3042,Y3043,"f",FALSE)</f>
        <v>60483</v>
      </c>
      <c r="AA3043" s="117">
        <f>_xll.qlCalendarAdvance(Calendar,Z3043,NDays&amp;"D")</f>
        <v>60485</v>
      </c>
      <c r="AB3043" s="92">
        <v>1.0264832564588497E-2</v>
      </c>
      <c r="AC3043" s="101">
        <v>1.0120651241063428E-2</v>
      </c>
    </row>
    <row r="3044" spans="25:29" x14ac:dyDescent="0.2">
      <c r="Y3044" s="105" t="str">
        <f t="shared" si="81"/>
        <v>1w</v>
      </c>
      <c r="Z3044" s="93">
        <f>_xll.qlCalendarAdvance(Calendar,Z3043,Y3044,"f",FALSE)</f>
        <v>60490</v>
      </c>
      <c r="AA3044" s="117">
        <f>_xll.qlCalendarAdvance(Calendar,Z3044,NDays&amp;"D")</f>
        <v>60492</v>
      </c>
      <c r="AB3044" s="92">
        <v>1.0273690799585632E-2</v>
      </c>
      <c r="AC3044" s="101">
        <v>1.0129617210550279E-2</v>
      </c>
    </row>
    <row r="3045" spans="25:29" x14ac:dyDescent="0.2">
      <c r="Y3045" s="105" t="str">
        <f t="shared" si="81"/>
        <v>1w</v>
      </c>
      <c r="Z3045" s="93">
        <f>_xll.qlCalendarAdvance(Calendar,Z3044,Y3045,"f",FALSE)</f>
        <v>60497</v>
      </c>
      <c r="AA3045" s="117">
        <f>_xll.qlCalendarAdvance(Calendar,Z3045,NDays&amp;"D")</f>
        <v>60499</v>
      </c>
      <c r="AB3045" s="92">
        <v>1.0282537161026865E-2</v>
      </c>
      <c r="AC3045" s="101">
        <v>1.0138571814168884E-2</v>
      </c>
    </row>
    <row r="3046" spans="25:29" x14ac:dyDescent="0.2">
      <c r="Y3046" s="105" t="str">
        <f t="shared" si="81"/>
        <v>1w</v>
      </c>
      <c r="Z3046" s="93">
        <f>_xll.qlCalendarAdvance(Calendar,Z3045,Y3046,"f",FALSE)</f>
        <v>60504</v>
      </c>
      <c r="AA3046" s="117">
        <f>_xll.qlCalendarAdvance(Calendar,Z3046,NDays&amp;"D")</f>
        <v>60506</v>
      </c>
      <c r="AB3046" s="92">
        <v>1.0289050448836086E-2</v>
      </c>
      <c r="AC3046" s="101">
        <v>1.014751501506872E-2</v>
      </c>
    </row>
    <row r="3047" spans="25:29" x14ac:dyDescent="0.2">
      <c r="Y3047" s="105" t="str">
        <f t="shared" si="81"/>
        <v>1w</v>
      </c>
      <c r="Z3047" s="93">
        <f>_xll.qlCalendarAdvance(Calendar,Z3046,Y3047,"f",FALSE)</f>
        <v>60511</v>
      </c>
      <c r="AA3047" s="117">
        <f>_xll.qlCalendarAdvance(Calendar,Z3047,NDays&amp;"D")</f>
        <v>60513</v>
      </c>
      <c r="AB3047" s="92">
        <v>1.029632835851337E-2</v>
      </c>
      <c r="AC3047" s="101">
        <v>1.0156446776399264E-2</v>
      </c>
    </row>
    <row r="3048" spans="25:29" x14ac:dyDescent="0.2">
      <c r="Y3048" s="105" t="str">
        <f t="shared" si="81"/>
        <v>1w</v>
      </c>
      <c r="Z3048" s="93">
        <f>_xll.qlCalendarAdvance(Calendar,Z3047,Y3048,"f",FALSE)</f>
        <v>60518</v>
      </c>
      <c r="AA3048" s="117">
        <f>_xll.qlCalendarAdvance(Calendar,Z3048,NDays&amp;"D")</f>
        <v>60520</v>
      </c>
      <c r="AB3048" s="92">
        <v>1.0305141961343472E-2</v>
      </c>
      <c r="AC3048" s="101">
        <v>1.0165367061629738E-2</v>
      </c>
    </row>
    <row r="3049" spans="25:29" x14ac:dyDescent="0.2">
      <c r="Y3049" s="105" t="str">
        <f t="shared" si="81"/>
        <v>1w</v>
      </c>
      <c r="Z3049" s="93">
        <f>_xll.qlCalendarAdvance(Calendar,Z3048,Y3049,"f",FALSE)</f>
        <v>60525</v>
      </c>
      <c r="AA3049" s="117">
        <f>_xll.qlCalendarAdvance(Calendar,Z3049,NDays&amp;"D")</f>
        <v>60527</v>
      </c>
      <c r="AB3049" s="92">
        <v>1.0313943556255378E-2</v>
      </c>
      <c r="AC3049" s="101">
        <v>1.0174275834149427E-2</v>
      </c>
    </row>
    <row r="3050" spans="25:29" x14ac:dyDescent="0.2">
      <c r="Y3050" s="105" t="str">
        <f t="shared" si="81"/>
        <v>1w</v>
      </c>
      <c r="Z3050" s="93">
        <f>_xll.qlCalendarAdvance(Calendar,Z3049,Y3050,"f",FALSE)</f>
        <v>60532</v>
      </c>
      <c r="AA3050" s="117">
        <f>_xll.qlCalendarAdvance(Calendar,Z3050,NDays&amp;"D")</f>
        <v>60534</v>
      </c>
      <c r="AB3050" s="92">
        <v>1.0322733106196738E-2</v>
      </c>
      <c r="AC3050" s="101">
        <v>1.0183173057027872E-2</v>
      </c>
    </row>
    <row r="3051" spans="25:29" x14ac:dyDescent="0.2">
      <c r="Y3051" s="105" t="str">
        <f t="shared" si="81"/>
        <v>1w</v>
      </c>
      <c r="Z3051" s="93">
        <f>_xll.qlCalendarAdvance(Calendar,Z3050,Y3051,"f",FALSE)</f>
        <v>60539</v>
      </c>
      <c r="AA3051" s="117">
        <f>_xll.qlCalendarAdvance(Calendar,Z3051,NDays&amp;"D")</f>
        <v>60541</v>
      </c>
      <c r="AB3051" s="92">
        <v>1.0332281332644633E-2</v>
      </c>
      <c r="AC3051" s="101">
        <v>1.0192058693574424E-2</v>
      </c>
    </row>
    <row r="3052" spans="25:29" x14ac:dyDescent="0.2">
      <c r="Y3052" s="105" t="str">
        <f t="shared" si="81"/>
        <v>1w</v>
      </c>
      <c r="Z3052" s="93">
        <f>_xll.qlCalendarAdvance(Calendar,Z3051,Y3052,"f",FALSE)</f>
        <v>60546</v>
      </c>
      <c r="AA3052" s="117">
        <f>_xll.qlCalendarAdvance(Calendar,Z3052,NDays&amp;"D")</f>
        <v>60548</v>
      </c>
      <c r="AB3052" s="92">
        <v>1.0341046054021879E-2</v>
      </c>
      <c r="AC3052" s="101">
        <v>1.0200932707258303E-2</v>
      </c>
    </row>
    <row r="3053" spans="25:29" x14ac:dyDescent="0.2">
      <c r="Y3053" s="105" t="str">
        <f t="shared" si="81"/>
        <v>1w</v>
      </c>
      <c r="Z3053" s="93">
        <f>_xll.qlCalendarAdvance(Calendar,Z3052,Y3053,"f",FALSE)</f>
        <v>60553</v>
      </c>
      <c r="AA3053" s="117">
        <f>_xll.qlCalendarAdvance(Calendar,Z3053,NDays&amp;"D")</f>
        <v>60555</v>
      </c>
      <c r="AB3053" s="92">
        <v>1.0349798616487884E-2</v>
      </c>
      <c r="AC3053" s="101">
        <v>1.0209795061228988E-2</v>
      </c>
    </row>
    <row r="3054" spans="25:29" x14ac:dyDescent="0.2">
      <c r="Y3054" s="105" t="str">
        <f t="shared" si="81"/>
        <v>1w</v>
      </c>
      <c r="Z3054" s="93">
        <f>_xll.qlCalendarAdvance(Calendar,Z3053,Y3054,"f",FALSE)</f>
        <v>60560</v>
      </c>
      <c r="AA3054" s="117">
        <f>_xll.qlCalendarAdvance(Calendar,Z3054,NDays&amp;"D")</f>
        <v>60562</v>
      </c>
      <c r="AB3054" s="92">
        <v>1.0358538982988772E-2</v>
      </c>
      <c r="AC3054" s="101">
        <v>1.0218645718795827E-2</v>
      </c>
    </row>
    <row r="3055" spans="25:29" x14ac:dyDescent="0.2">
      <c r="Y3055" s="105" t="str">
        <f t="shared" si="81"/>
        <v>1w</v>
      </c>
      <c r="Z3055" s="93">
        <f>_xll.qlCalendarAdvance(Calendar,Z3054,Y3055,"f",FALSE)</f>
        <v>60567</v>
      </c>
      <c r="AA3055" s="117">
        <f>_xll.qlCalendarAdvance(Calendar,Z3055,NDays&amp;"D")</f>
        <v>60569</v>
      </c>
      <c r="AB3055" s="92">
        <v>1.0367267116468033E-2</v>
      </c>
      <c r="AC3055" s="101">
        <v>1.0227484643428042E-2</v>
      </c>
    </row>
    <row r="3056" spans="25:29" x14ac:dyDescent="0.2">
      <c r="Y3056" s="105" t="str">
        <f t="shared" si="81"/>
        <v>1w</v>
      </c>
      <c r="Z3056" s="93">
        <f>_xll.qlCalendarAdvance(Calendar,Z3055,Y3056,"f",FALSE)</f>
        <v>60574</v>
      </c>
      <c r="AA3056" s="117">
        <f>_xll.qlCalendarAdvance(Calendar,Z3056,NDays&amp;"D")</f>
        <v>60576</v>
      </c>
      <c r="AB3056" s="92">
        <v>1.0375215386533151E-2</v>
      </c>
      <c r="AC3056" s="101">
        <v>1.0236311798275111E-2</v>
      </c>
    </row>
    <row r="3057" spans="25:29" x14ac:dyDescent="0.2">
      <c r="Y3057" s="105" t="str">
        <f t="shared" si="81"/>
        <v>1w</v>
      </c>
      <c r="Z3057" s="93">
        <f>_xll.qlCalendarAdvance(Calendar,Z3056,Y3057,"f",FALSE)</f>
        <v>60581</v>
      </c>
      <c r="AA3057" s="117">
        <f>_xll.qlCalendarAdvance(Calendar,Z3057,NDays&amp;"D")</f>
        <v>60583</v>
      </c>
      <c r="AB3057" s="92">
        <v>1.0383919584203845E-2</v>
      </c>
      <c r="AC3057" s="101">
        <v>1.024512714648651E-2</v>
      </c>
    </row>
    <row r="3058" spans="25:29" x14ac:dyDescent="0.2">
      <c r="Y3058" s="105" t="str">
        <f t="shared" si="81"/>
        <v>1w</v>
      </c>
      <c r="Z3058" s="93">
        <f>_xll.qlCalendarAdvance(Calendar,Z3057,Y3058,"f",FALSE)</f>
        <v>60588</v>
      </c>
      <c r="AA3058" s="117">
        <f>_xll.qlCalendarAdvance(Calendar,Z3058,NDays&amp;"D")</f>
        <v>60590</v>
      </c>
      <c r="AB3058" s="92">
        <v>1.0392611440476802E-2</v>
      </c>
      <c r="AC3058" s="101">
        <v>1.0253930651691334E-2</v>
      </c>
    </row>
    <row r="3059" spans="25:29" x14ac:dyDescent="0.2">
      <c r="Y3059" s="105" t="str">
        <f t="shared" si="81"/>
        <v>1w</v>
      </c>
      <c r="Z3059" s="93">
        <f>_xll.qlCalendarAdvance(Calendar,Z3058,Y3059,"f",FALSE)</f>
        <v>60595</v>
      </c>
      <c r="AA3059" s="117">
        <f>_xll.qlCalendarAdvance(Calendar,Z3059,NDays&amp;"D")</f>
        <v>60597</v>
      </c>
      <c r="AB3059" s="92">
        <v>1.0401290918295255E-2</v>
      </c>
      <c r="AC3059" s="101">
        <v>1.0262722276959124E-2</v>
      </c>
    </row>
    <row r="3060" spans="25:29" x14ac:dyDescent="0.2">
      <c r="Y3060" s="105" t="str">
        <f t="shared" si="81"/>
        <v>1w</v>
      </c>
      <c r="Z3060" s="93">
        <f>_xll.qlCalendarAdvance(Calendar,Z3059,Y3060,"f",FALSE)</f>
        <v>60602</v>
      </c>
      <c r="AA3060" s="117">
        <f>_xll.qlCalendarAdvance(Calendar,Z3060,NDays&amp;"D")</f>
        <v>60604</v>
      </c>
      <c r="AB3060" s="92">
        <v>1.0410722991560236E-2</v>
      </c>
      <c r="AC3060" s="101">
        <v>1.027150198559923E-2</v>
      </c>
    </row>
    <row r="3061" spans="25:29" x14ac:dyDescent="0.2">
      <c r="Y3061" s="105" t="str">
        <f t="shared" si="81"/>
        <v>1w</v>
      </c>
      <c r="Z3061" s="93">
        <f>_xll.qlCalendarAdvance(Calendar,Z3060,Y3061,"f",FALSE)</f>
        <v>60609</v>
      </c>
      <c r="AA3061" s="117">
        <f>_xll.qlCalendarAdvance(Calendar,Z3061,NDays&amp;"D")</f>
        <v>60611</v>
      </c>
      <c r="AB3061" s="92">
        <v>1.0419376948716389E-2</v>
      </c>
      <c r="AC3061" s="101">
        <v>1.0280269741080872E-2</v>
      </c>
    </row>
    <row r="3062" spans="25:29" x14ac:dyDescent="0.2">
      <c r="Y3062" s="105" t="str">
        <f t="shared" si="81"/>
        <v>1w</v>
      </c>
      <c r="Z3062" s="93">
        <f>_xll.qlCalendarAdvance(Calendar,Z3061,Y3062,"f",FALSE)</f>
        <v>60616</v>
      </c>
      <c r="AA3062" s="117">
        <f>_xll.qlCalendarAdvance(Calendar,Z3062,NDays&amp;"D")</f>
        <v>60618</v>
      </c>
      <c r="AB3062" s="92">
        <v>1.0428018413447428E-2</v>
      </c>
      <c r="AC3062" s="101">
        <v>1.0289025506233784E-2</v>
      </c>
    </row>
    <row r="3063" spans="25:29" x14ac:dyDescent="0.2">
      <c r="Y3063" s="105" t="str">
        <f t="shared" si="81"/>
        <v>1w</v>
      </c>
      <c r="Z3063" s="93">
        <f>_xll.qlCalendarAdvance(Calendar,Z3062,Y3063,"f",FALSE)</f>
        <v>60623</v>
      </c>
      <c r="AA3063" s="117">
        <f>_xll.qlCalendarAdvance(Calendar,Z3063,NDays&amp;"D")</f>
        <v>60625</v>
      </c>
      <c r="AB3063" s="92">
        <v>1.0436647348697276E-2</v>
      </c>
      <c r="AC3063" s="101">
        <v>1.0300083200354138E-2</v>
      </c>
    </row>
    <row r="3064" spans="25:29" x14ac:dyDescent="0.2">
      <c r="Y3064" s="105" t="str">
        <f t="shared" si="81"/>
        <v>1w</v>
      </c>
      <c r="Z3064" s="93">
        <f>_xll.qlCalendarAdvance(Calendar,Z3063,Y3064,"f",FALSE)</f>
        <v>60630</v>
      </c>
      <c r="AA3064" s="117">
        <f>_xll.qlCalendarAdvance(Calendar,Z3064,NDays&amp;"D")</f>
        <v>60632</v>
      </c>
      <c r="AB3064" s="92">
        <v>1.0444501333612266E-2</v>
      </c>
      <c r="AC3064" s="101">
        <v>1.0308813034949349E-2</v>
      </c>
    </row>
    <row r="3065" spans="25:29" x14ac:dyDescent="0.2">
      <c r="Y3065" s="105" t="str">
        <f t="shared" si="81"/>
        <v>1w</v>
      </c>
      <c r="Z3065" s="93">
        <f>_xll.qlCalendarAdvance(Calendar,Z3064,Y3065,"f",FALSE)</f>
        <v>60637</v>
      </c>
      <c r="AA3065" s="117">
        <f>_xll.qlCalendarAdvance(Calendar,Z3065,NDays&amp;"D")</f>
        <v>60639</v>
      </c>
      <c r="AB3065" s="92">
        <v>1.0453105762520868E-2</v>
      </c>
      <c r="AC3065" s="101">
        <v>1.0315220495371591E-2</v>
      </c>
    </row>
    <row r="3066" spans="25:29" x14ac:dyDescent="0.2">
      <c r="Y3066" s="105" t="str">
        <f t="shared" si="81"/>
        <v>1w</v>
      </c>
      <c r="Z3066" s="93">
        <f>_xll.qlCalendarAdvance(Calendar,Z3065,Y3066,"f",FALSE)</f>
        <v>60644</v>
      </c>
      <c r="AA3066" s="117">
        <f>_xll.qlCalendarAdvance(Calendar,Z3066,NDays&amp;"D")</f>
        <v>60646</v>
      </c>
      <c r="AB3066" s="92">
        <v>1.0461697553576718E-2</v>
      </c>
      <c r="AC3066" s="101">
        <v>1.0323927933661992E-2</v>
      </c>
    </row>
    <row r="3067" spans="25:29" x14ac:dyDescent="0.2">
      <c r="Y3067" s="105" t="str">
        <f t="shared" si="81"/>
        <v>1w</v>
      </c>
      <c r="Z3067" s="93">
        <f>_xll.qlCalendarAdvance(Calendar,Z3066,Y3067,"f",FALSE)</f>
        <v>60651</v>
      </c>
      <c r="AA3067" s="117">
        <f>_xll.qlCalendarAdvance(Calendar,Z3067,NDays&amp;"D")</f>
        <v>60653</v>
      </c>
      <c r="AB3067" s="92">
        <v>1.04702766697204E-2</v>
      </c>
      <c r="AC3067" s="101">
        <v>1.033262319857009E-2</v>
      </c>
    </row>
    <row r="3068" spans="25:29" x14ac:dyDescent="0.2">
      <c r="Y3068" s="105" t="str">
        <f t="shared" si="81"/>
        <v>1w</v>
      </c>
      <c r="Z3068" s="93">
        <f>_xll.qlCalendarAdvance(Calendar,Z3067,Y3068,"f",FALSE)</f>
        <v>60658</v>
      </c>
      <c r="AA3068" s="117">
        <f>_xll.qlCalendarAdvance(Calendar,Z3068,NDays&amp;"D")</f>
        <v>60660</v>
      </c>
      <c r="AB3068" s="92">
        <v>1.0478843073892935E-2</v>
      </c>
      <c r="AC3068" s="101">
        <v>1.0341306253085492E-2</v>
      </c>
    </row>
    <row r="3069" spans="25:29" x14ac:dyDescent="0.2">
      <c r="Y3069" s="105" t="str">
        <f t="shared" si="81"/>
        <v>1w</v>
      </c>
      <c r="Z3069" s="93">
        <f>_xll.qlCalendarAdvance(Calendar,Z3068,Y3069,"f",FALSE)</f>
        <v>60665</v>
      </c>
      <c r="AA3069" s="117">
        <f>_xll.qlCalendarAdvance(Calendar,Z3069,NDays&amp;"D")</f>
        <v>60667</v>
      </c>
      <c r="AB3069" s="92">
        <v>1.0487396729035793E-2</v>
      </c>
      <c r="AC3069" s="101">
        <v>1.034997706083729E-2</v>
      </c>
    </row>
    <row r="3070" spans="25:29" x14ac:dyDescent="0.2">
      <c r="Y3070" s="105" t="str">
        <f t="shared" si="81"/>
        <v>1w</v>
      </c>
      <c r="Z3070" s="93">
        <f>_xll.qlCalendarAdvance(Calendar,Z3069,Y3070,"f",FALSE)</f>
        <v>60672</v>
      </c>
      <c r="AA3070" s="117">
        <f>_xll.qlCalendarAdvance(Calendar,Z3070,NDays&amp;"D")</f>
        <v>60674</v>
      </c>
      <c r="AB3070" s="92">
        <v>1.0495937598087791E-2</v>
      </c>
      <c r="AC3070" s="101">
        <v>1.0358635584895026E-2</v>
      </c>
    </row>
    <row r="3071" spans="25:29" x14ac:dyDescent="0.2">
      <c r="Y3071" s="105" t="str">
        <f t="shared" si="81"/>
        <v>1w</v>
      </c>
      <c r="Z3071" s="93">
        <f>_xll.qlCalendarAdvance(Calendar,Z3070,Y3071,"f",FALSE)</f>
        <v>60679</v>
      </c>
      <c r="AA3071" s="117">
        <f>_xll.qlCalendarAdvance(Calendar,Z3071,NDays&amp;"D")</f>
        <v>60681</v>
      </c>
      <c r="AB3071" s="92">
        <v>1.0504465643990837E-2</v>
      </c>
      <c r="AC3071" s="101">
        <v>1.0367281788647986E-2</v>
      </c>
    </row>
    <row r="3072" spans="25:29" x14ac:dyDescent="0.2">
      <c r="Y3072" s="105" t="str">
        <f t="shared" si="81"/>
        <v>1w</v>
      </c>
      <c r="Z3072" s="93">
        <f>_xll.qlCalendarAdvance(Calendar,Z3071,Y3072,"f",FALSE)</f>
        <v>60686</v>
      </c>
      <c r="AA3072" s="117">
        <f>_xll.qlCalendarAdvance(Calendar,Z3072,NDays&amp;"D")</f>
        <v>60688</v>
      </c>
      <c r="AB3072" s="92">
        <v>1.0512980829680659E-2</v>
      </c>
      <c r="AC3072" s="101">
        <v>1.0375915635165711E-2</v>
      </c>
    </row>
    <row r="3073" spans="25:29" x14ac:dyDescent="0.2">
      <c r="Y3073" s="105" t="str">
        <f t="shared" si="81"/>
        <v>1w</v>
      </c>
      <c r="Z3073" s="93">
        <f>_xll.qlCalendarAdvance(Calendar,Z3072,Y3073,"f",FALSE)</f>
        <v>60693</v>
      </c>
      <c r="AA3073" s="117">
        <f>_xll.qlCalendarAdvance(Calendar,Z3073,NDays&amp;"D")</f>
        <v>60695</v>
      </c>
      <c r="AB3073" s="92">
        <v>1.0525264143396698E-2</v>
      </c>
      <c r="AC3073" s="101">
        <v>1.0384537088157231E-2</v>
      </c>
    </row>
    <row r="3074" spans="25:29" x14ac:dyDescent="0.2">
      <c r="Y3074" s="105" t="str">
        <f t="shared" si="81"/>
        <v>1w</v>
      </c>
      <c r="Z3074" s="93">
        <f>_xll.qlCalendarAdvance(Calendar,Z3073,Y3074,"f",FALSE)</f>
        <v>60700</v>
      </c>
      <c r="AA3074" s="117">
        <f>_xll.qlCalendarAdvance(Calendar,Z3074,NDays&amp;"D")</f>
        <v>60702</v>
      </c>
      <c r="AB3074" s="92">
        <v>1.0533750048988247E-2</v>
      </c>
      <c r="AC3074" s="101">
        <v>1.0393146110532214E-2</v>
      </c>
    </row>
    <row r="3075" spans="25:29" x14ac:dyDescent="0.2">
      <c r="Y3075" s="105" t="str">
        <f t="shared" si="81"/>
        <v>1w</v>
      </c>
      <c r="Z3075" s="93">
        <f>_xll.qlCalendarAdvance(Calendar,Z3074,Y3075,"f",FALSE)</f>
        <v>60707</v>
      </c>
      <c r="AA3075" s="117">
        <f>_xll.qlCalendarAdvance(Calendar,Z3075,NDays&amp;"D")</f>
        <v>60709</v>
      </c>
      <c r="AB3075" s="92">
        <v>1.0542222969047147E-2</v>
      </c>
      <c r="AC3075" s="101">
        <v>1.0401742666079627E-2</v>
      </c>
    </row>
    <row r="3076" spans="25:29" x14ac:dyDescent="0.2">
      <c r="Y3076" s="105" t="str">
        <f t="shared" si="81"/>
        <v>1w</v>
      </c>
      <c r="Z3076" s="93">
        <f>_xll.qlCalendarAdvance(Calendar,Z3075,Y3076,"f",FALSE)</f>
        <v>60714</v>
      </c>
      <c r="AA3076" s="117">
        <f>_xll.qlCalendarAdvance(Calendar,Z3076,NDays&amp;"D")</f>
        <v>60716</v>
      </c>
      <c r="AB3076" s="92">
        <v>1.0550682866500686E-2</v>
      </c>
      <c r="AC3076" s="101">
        <v>1.0410326717389395E-2</v>
      </c>
    </row>
    <row r="3077" spans="25:29" x14ac:dyDescent="0.2">
      <c r="Y3077" s="105" t="str">
        <f t="shared" si="81"/>
        <v>1w</v>
      </c>
      <c r="Z3077" s="93">
        <f>_xll.qlCalendarAdvance(Calendar,Z3076,Y3077,"f",FALSE)</f>
        <v>60721</v>
      </c>
      <c r="AA3077" s="117">
        <f>_xll.qlCalendarAdvance(Calendar,Z3077,NDays&amp;"D")</f>
        <v>60723</v>
      </c>
      <c r="AB3077" s="92">
        <v>1.055686957451054E-2</v>
      </c>
      <c r="AC3077" s="101">
        <v>1.0418898228250484E-2</v>
      </c>
    </row>
    <row r="3078" spans="25:29" x14ac:dyDescent="0.2">
      <c r="Y3078" s="105" t="str">
        <f t="shared" si="81"/>
        <v>1w</v>
      </c>
      <c r="Z3078" s="93">
        <f>_xll.qlCalendarAdvance(Calendar,Z3077,Y3078,"f",FALSE)</f>
        <v>60728</v>
      </c>
      <c r="AA3078" s="117">
        <f>_xll.qlCalendarAdvance(Calendar,Z3078,NDays&amp;"D")</f>
        <v>60730</v>
      </c>
      <c r="AB3078" s="92">
        <v>1.0565305419416219E-2</v>
      </c>
      <c r="AC3078" s="101">
        <v>1.043050436519799E-2</v>
      </c>
    </row>
    <row r="3079" spans="25:29" x14ac:dyDescent="0.2">
      <c r="Y3079" s="105" t="str">
        <f t="shared" si="81"/>
        <v>1w</v>
      </c>
      <c r="Z3079" s="93">
        <f>_xll.qlCalendarAdvance(Calendar,Z3078,Y3079,"f",FALSE)</f>
        <v>60735</v>
      </c>
      <c r="AA3079" s="117">
        <f>_xll.qlCalendarAdvance(Calendar,Z3079,NDays&amp;"D")</f>
        <v>60737</v>
      </c>
      <c r="AB3079" s="92">
        <v>1.0573728139005544E-2</v>
      </c>
      <c r="AC3079" s="101">
        <v>1.0436003481704148E-2</v>
      </c>
    </row>
    <row r="3080" spans="25:29" x14ac:dyDescent="0.2">
      <c r="Y3080" s="105" t="str">
        <f t="shared" si="81"/>
        <v>1w</v>
      </c>
      <c r="Z3080" s="93">
        <f>_xll.qlCalendarAdvance(Calendar,Z3079,Y3080,"f",FALSE)</f>
        <v>60742</v>
      </c>
      <c r="AA3080" s="117">
        <f>_xll.qlCalendarAdvance(Calendar,Z3080,NDays&amp;"D")</f>
        <v>60744</v>
      </c>
      <c r="AB3080" s="92">
        <v>1.058213769620959E-2</v>
      </c>
      <c r="AC3080" s="101">
        <v>1.0444537150675615E-2</v>
      </c>
    </row>
    <row r="3081" spans="25:29" x14ac:dyDescent="0.2">
      <c r="Y3081" s="105" t="str">
        <f t="shared" si="81"/>
        <v>1w</v>
      </c>
      <c r="Z3081" s="93">
        <f>_xll.qlCalendarAdvance(Calendar,Z3080,Y3081,"f",FALSE)</f>
        <v>60749</v>
      </c>
      <c r="AA3081" s="117">
        <f>_xll.qlCalendarAdvance(Calendar,Z3081,NDays&amp;"D")</f>
        <v>60751</v>
      </c>
      <c r="AB3081" s="92">
        <v>1.0590534053962051E-2</v>
      </c>
      <c r="AC3081" s="101">
        <v>1.0453058132355864E-2</v>
      </c>
    </row>
    <row r="3082" spans="25:29" x14ac:dyDescent="0.2">
      <c r="Y3082" s="105" t="str">
        <f t="shared" si="81"/>
        <v>1w</v>
      </c>
      <c r="Z3082" s="93">
        <f>_xll.qlCalendarAdvance(Calendar,Z3081,Y3082,"f",FALSE)</f>
        <v>60756</v>
      </c>
      <c r="AA3082" s="117">
        <f>_xll.qlCalendarAdvance(Calendar,Z3082,NDays&amp;"D")</f>
        <v>60758</v>
      </c>
      <c r="AB3082" s="92">
        <v>1.060116670041223E-2</v>
      </c>
      <c r="AC3082" s="101">
        <v>1.0461566389894372E-2</v>
      </c>
    </row>
    <row r="3083" spans="25:29" x14ac:dyDescent="0.2">
      <c r="Y3083" s="105" t="str">
        <f t="shared" si="81"/>
        <v>1w</v>
      </c>
      <c r="Z3083" s="93">
        <f>_xll.qlCalendarAdvance(Calendar,Z3082,Y3083,"f",FALSE)</f>
        <v>60763</v>
      </c>
      <c r="AA3083" s="117">
        <f>_xll.qlCalendarAdvance(Calendar,Z3083,NDays&amp;"D")</f>
        <v>60765</v>
      </c>
      <c r="AB3083" s="92">
        <v>1.0609534401572588E-2</v>
      </c>
      <c r="AC3083" s="101">
        <v>1.0470061886680426E-2</v>
      </c>
    </row>
    <row r="3084" spans="25:29" x14ac:dyDescent="0.2">
      <c r="Y3084" s="105" t="str">
        <f t="shared" si="81"/>
        <v>1w</v>
      </c>
      <c r="Z3084" s="93">
        <f>_xll.qlCalendarAdvance(Calendar,Z3083,Y3084,"f",FALSE)</f>
        <v>60770</v>
      </c>
      <c r="AA3084" s="117">
        <f>_xll.qlCalendarAdvance(Calendar,Z3084,NDays&amp;"D")</f>
        <v>60772</v>
      </c>
      <c r="AB3084" s="92">
        <v>1.061788878353602E-2</v>
      </c>
      <c r="AC3084" s="101">
        <v>1.0478544585943439E-2</v>
      </c>
    </row>
    <row r="3085" spans="25:29" x14ac:dyDescent="0.2">
      <c r="Y3085" s="105" t="str">
        <f t="shared" si="81"/>
        <v>1w</v>
      </c>
      <c r="Z3085" s="93">
        <f>_xll.qlCalendarAdvance(Calendar,Z3084,Y3085,"f",FALSE)</f>
        <v>60777</v>
      </c>
      <c r="AA3085" s="117">
        <f>_xll.qlCalendarAdvance(Calendar,Z3085,NDays&amp;"D")</f>
        <v>60779</v>
      </c>
      <c r="AB3085" s="92">
        <v>1.0626229809227663E-2</v>
      </c>
      <c r="AC3085" s="101">
        <v>1.048701445099276E-2</v>
      </c>
    </row>
    <row r="3086" spans="25:29" x14ac:dyDescent="0.2">
      <c r="Y3086" s="105" t="str">
        <f t="shared" si="81"/>
        <v>1w</v>
      </c>
      <c r="Z3086" s="93">
        <f>_xll.qlCalendarAdvance(Calendar,Z3085,Y3086,"f",FALSE)</f>
        <v>60784</v>
      </c>
      <c r="AA3086" s="117">
        <f>_xll.qlCalendarAdvance(Calendar,Z3086,NDays&amp;"D")</f>
        <v>60786</v>
      </c>
      <c r="AB3086" s="92">
        <v>1.0632316553539412E-2</v>
      </c>
      <c r="AC3086" s="101">
        <v>1.0495471445217674E-2</v>
      </c>
    </row>
    <row r="3087" spans="25:29" x14ac:dyDescent="0.2">
      <c r="Y3087" s="105" t="str">
        <f t="shared" si="81"/>
        <v>1w</v>
      </c>
      <c r="Z3087" s="93">
        <f>_xll.qlCalendarAdvance(Calendar,Z3086,Y3087,"f",FALSE)</f>
        <v>60791</v>
      </c>
      <c r="AA3087" s="117">
        <f>_xll.qlCalendarAdvance(Calendar,Z3087,NDays&amp;"D")</f>
        <v>60793</v>
      </c>
      <c r="AB3087" s="92">
        <v>1.0640632936131388E-2</v>
      </c>
      <c r="AC3087" s="101">
        <v>1.0503915531687724E-2</v>
      </c>
    </row>
    <row r="3088" spans="25:29" x14ac:dyDescent="0.2">
      <c r="Y3088" s="105" t="str">
        <f t="shared" si="81"/>
        <v>1w</v>
      </c>
      <c r="Z3088" s="93">
        <f>_xll.qlCalendarAdvance(Calendar,Z3087,Y3088,"f",FALSE)</f>
        <v>60798</v>
      </c>
      <c r="AA3088" s="117">
        <f>_xll.qlCalendarAdvance(Calendar,Z3088,NDays&amp;"D")</f>
        <v>60800</v>
      </c>
      <c r="AB3088" s="92">
        <v>1.0648935859785793E-2</v>
      </c>
      <c r="AC3088" s="101">
        <v>1.0512346674111939E-2</v>
      </c>
    </row>
    <row r="3089" spans="25:29" x14ac:dyDescent="0.2">
      <c r="Y3089" s="105" t="str">
        <f t="shared" si="81"/>
        <v>1w</v>
      </c>
      <c r="Z3089" s="93">
        <f>_xll.qlCalendarAdvance(Calendar,Z3088,Y3089,"f",FALSE)</f>
        <v>60805</v>
      </c>
      <c r="AA3089" s="117">
        <f>_xll.qlCalendarAdvance(Calendar,Z3089,NDays&amp;"D")</f>
        <v>60807</v>
      </c>
      <c r="AB3089" s="92">
        <v>1.065722528743108E-2</v>
      </c>
      <c r="AC3089" s="101">
        <v>1.0520764835399987E-2</v>
      </c>
    </row>
    <row r="3090" spans="25:29" x14ac:dyDescent="0.2">
      <c r="Y3090" s="105" t="str">
        <f t="shared" si="81"/>
        <v>1w</v>
      </c>
      <c r="Z3090" s="93">
        <f>_xll.qlCalendarAdvance(Calendar,Z3089,Y3090,"f",FALSE)</f>
        <v>60812</v>
      </c>
      <c r="AA3090" s="117">
        <f>_xll.qlCalendarAdvance(Calendar,Z3090,NDays&amp;"D")</f>
        <v>60814</v>
      </c>
      <c r="AB3090" s="92">
        <v>1.0667733295928827E-2</v>
      </c>
      <c r="AC3090" s="101">
        <v>1.0529169979021091E-2</v>
      </c>
    </row>
    <row r="3091" spans="25:29" x14ac:dyDescent="0.2">
      <c r="Y3091" s="105" t="str">
        <f t="shared" si="81"/>
        <v>1w</v>
      </c>
      <c r="Z3091" s="93">
        <f>_xll.qlCalendarAdvance(Calendar,Z3090,Y3091,"f",FALSE)</f>
        <v>60819</v>
      </c>
      <c r="AA3091" s="117">
        <f>_xll.qlCalendarAdvance(Calendar,Z3091,NDays&amp;"D")</f>
        <v>60821</v>
      </c>
      <c r="AB3091" s="92">
        <v>1.0675993405378592E-2</v>
      </c>
      <c r="AC3091" s="101">
        <v>1.0537562068044792E-2</v>
      </c>
    </row>
    <row r="3092" spans="25:29" x14ac:dyDescent="0.2">
      <c r="Y3092" s="105" t="str">
        <f t="shared" si="81"/>
        <v>1w</v>
      </c>
      <c r="Z3092" s="93">
        <f>_xll.qlCalendarAdvance(Calendar,Z3091,Y3092,"f",FALSE)</f>
        <v>60826</v>
      </c>
      <c r="AA3092" s="117">
        <f>_xll.qlCalendarAdvance(Calendar,Z3092,NDays&amp;"D")</f>
        <v>60828</v>
      </c>
      <c r="AB3092" s="92">
        <v>1.0684239899017511E-2</v>
      </c>
      <c r="AC3092" s="101">
        <v>1.0545941066020248E-2</v>
      </c>
    </row>
    <row r="3093" spans="25:29" x14ac:dyDescent="0.2">
      <c r="Y3093" s="105" t="str">
        <f t="shared" ref="Y3093:Y3156" si="82">Y3092</f>
        <v>1w</v>
      </c>
      <c r="Z3093" s="93">
        <f>_xll.qlCalendarAdvance(Calendar,Z3092,Y3093,"f",FALSE)</f>
        <v>60833</v>
      </c>
      <c r="AA3093" s="117">
        <f>_xll.qlCalendarAdvance(Calendar,Z3093,NDays&amp;"D")</f>
        <v>60835</v>
      </c>
      <c r="AB3093" s="92">
        <v>1.069247273976686E-2</v>
      </c>
      <c r="AC3093" s="101">
        <v>1.0554306936256808E-2</v>
      </c>
    </row>
    <row r="3094" spans="25:29" x14ac:dyDescent="0.2">
      <c r="Y3094" s="105" t="str">
        <f t="shared" si="82"/>
        <v>1w</v>
      </c>
      <c r="Z3094" s="93">
        <f>_xll.qlCalendarAdvance(Calendar,Z3093,Y3094,"f",FALSE)</f>
        <v>60840</v>
      </c>
      <c r="AA3094" s="117">
        <f>_xll.qlCalendarAdvance(Calendar,Z3094,NDays&amp;"D")</f>
        <v>60842</v>
      </c>
      <c r="AB3094" s="92">
        <v>1.070069189054834E-2</v>
      </c>
      <c r="AC3094" s="101">
        <v>1.0562659641903949E-2</v>
      </c>
    </row>
    <row r="3095" spans="25:29" x14ac:dyDescent="0.2">
      <c r="Y3095" s="105" t="str">
        <f t="shared" si="82"/>
        <v>1w</v>
      </c>
      <c r="Z3095" s="93">
        <f>_xll.qlCalendarAdvance(Calendar,Z3094,Y3095,"f",FALSE)</f>
        <v>60847</v>
      </c>
      <c r="AA3095" s="117">
        <f>_xll.qlCalendarAdvance(Calendar,Z3095,NDays&amp;"D")</f>
        <v>60849</v>
      </c>
      <c r="AB3095" s="92">
        <v>1.0708897314281936E-2</v>
      </c>
      <c r="AC3095" s="101">
        <v>1.0570999146271021E-2</v>
      </c>
    </row>
    <row r="3096" spans="25:29" x14ac:dyDescent="0.2">
      <c r="Y3096" s="105" t="str">
        <f t="shared" si="82"/>
        <v>1w</v>
      </c>
      <c r="Z3096" s="93">
        <f>_xll.qlCalendarAdvance(Calendar,Z3095,Y3096,"f",FALSE)</f>
        <v>60854</v>
      </c>
      <c r="AA3096" s="117">
        <f>_xll.qlCalendarAdvance(Calendar,Z3096,NDays&amp;"D")</f>
        <v>60856</v>
      </c>
      <c r="AB3096" s="92">
        <v>1.0717088973889346E-2</v>
      </c>
      <c r="AC3096" s="101">
        <v>1.0579325412827245E-2</v>
      </c>
    </row>
    <row r="3097" spans="25:29" x14ac:dyDescent="0.2">
      <c r="Y3097" s="105" t="str">
        <f t="shared" si="82"/>
        <v>1w</v>
      </c>
      <c r="Z3097" s="93">
        <f>_xll.qlCalendarAdvance(Calendar,Z3096,Y3097,"f",FALSE)</f>
        <v>60861</v>
      </c>
      <c r="AA3097" s="117">
        <f>_xll.qlCalendarAdvance(Calendar,Z3097,NDays&amp;"D")</f>
        <v>60863</v>
      </c>
      <c r="AB3097" s="92">
        <v>1.0725266832290558E-2</v>
      </c>
      <c r="AC3097" s="101">
        <v>1.0587638404642163E-2</v>
      </c>
    </row>
    <row r="3098" spans="25:29" x14ac:dyDescent="0.2">
      <c r="Y3098" s="105" t="str">
        <f t="shared" si="82"/>
        <v>1w</v>
      </c>
      <c r="Z3098" s="93">
        <f>_xll.qlCalendarAdvance(Calendar,Z3097,Y3098,"f",FALSE)</f>
        <v>60868</v>
      </c>
      <c r="AA3098" s="117">
        <f>_xll.qlCalendarAdvance(Calendar,Z3098,NDays&amp;"D")</f>
        <v>60870</v>
      </c>
      <c r="AB3098" s="92">
        <v>1.0733430852405555E-2</v>
      </c>
      <c r="AC3098" s="101">
        <v>1.0595938085264933E-2</v>
      </c>
    </row>
    <row r="3099" spans="25:29" x14ac:dyDescent="0.2">
      <c r="Y3099" s="105" t="str">
        <f t="shared" si="82"/>
        <v>1w</v>
      </c>
      <c r="Z3099" s="93">
        <f>_xll.qlCalendarAdvance(Calendar,Z3098,Y3099,"f",FALSE)</f>
        <v>60875</v>
      </c>
      <c r="AA3099" s="117">
        <f>_xll.qlCalendarAdvance(Calendar,Z3099,NDays&amp;"D")</f>
        <v>60877</v>
      </c>
      <c r="AB3099" s="92">
        <v>1.0737894254032666E-2</v>
      </c>
      <c r="AC3099" s="101">
        <v>1.0604224417605224E-2</v>
      </c>
    </row>
    <row r="3100" spans="25:29" x14ac:dyDescent="0.2">
      <c r="Y3100" s="105" t="str">
        <f t="shared" si="82"/>
        <v>1w</v>
      </c>
      <c r="Z3100" s="93">
        <f>_xll.qlCalendarAdvance(Calendar,Z3099,Y3100,"f",FALSE)</f>
        <v>60882</v>
      </c>
      <c r="AA3100" s="117">
        <f>_xll.qlCalendarAdvance(Calendar,Z3100,NDays&amp;"D")</f>
        <v>60884</v>
      </c>
      <c r="AB3100" s="92">
        <v>1.074603430573055E-2</v>
      </c>
      <c r="AC3100" s="101">
        <v>1.0612497365292128E-2</v>
      </c>
    </row>
    <row r="3101" spans="25:29" x14ac:dyDescent="0.2">
      <c r="Y3101" s="105" t="str">
        <f t="shared" si="82"/>
        <v>1w</v>
      </c>
      <c r="Z3101" s="93">
        <f>_xll.qlCalendarAdvance(Calendar,Z3100,Y3101,"f",FALSE)</f>
        <v>60889</v>
      </c>
      <c r="AA3101" s="117">
        <f>_xll.qlCalendarAdvance(Calendar,Z3101,NDays&amp;"D")</f>
        <v>60891</v>
      </c>
      <c r="AB3101" s="92">
        <v>1.0754160422303559E-2</v>
      </c>
      <c r="AC3101" s="101">
        <v>1.0620756891395189E-2</v>
      </c>
    </row>
    <row r="3102" spans="25:29" x14ac:dyDescent="0.2">
      <c r="Y3102" s="105" t="str">
        <f t="shared" si="82"/>
        <v>1w</v>
      </c>
      <c r="Z3102" s="93">
        <f>_xll.qlCalendarAdvance(Calendar,Z3101,Y3102,"f",FALSE)</f>
        <v>60896</v>
      </c>
      <c r="AA3102" s="117">
        <f>_xll.qlCalendarAdvance(Calendar,Z3102,NDays&amp;"D")</f>
        <v>60898</v>
      </c>
      <c r="AB3102" s="92">
        <v>1.0762272566682114E-2</v>
      </c>
      <c r="AC3102" s="101">
        <v>1.0629002959543499E-2</v>
      </c>
    </row>
    <row r="3103" spans="25:29" x14ac:dyDescent="0.2">
      <c r="Y3103" s="105" t="str">
        <f t="shared" si="82"/>
        <v>1w</v>
      </c>
      <c r="Z3103" s="93">
        <f>_xll.qlCalendarAdvance(Calendar,Z3102,Y3103,"f",FALSE)</f>
        <v>60903</v>
      </c>
      <c r="AA3103" s="117">
        <f>_xll.qlCalendarAdvance(Calendar,Z3103,NDays&amp;"D")</f>
        <v>60905</v>
      </c>
      <c r="AB3103" s="92">
        <v>1.0771105097341787E-2</v>
      </c>
      <c r="AC3103" s="101">
        <v>1.0637235532646727E-2</v>
      </c>
    </row>
    <row r="3104" spans="25:29" x14ac:dyDescent="0.2">
      <c r="Y3104" s="105" t="str">
        <f t="shared" si="82"/>
        <v>1w</v>
      </c>
      <c r="Z3104" s="93">
        <f>_xll.qlCalendarAdvance(Calendar,Z3103,Y3104,"f",FALSE)</f>
        <v>60910</v>
      </c>
      <c r="AA3104" s="117">
        <f>_xll.qlCalendarAdvance(Calendar,Z3104,NDays&amp;"D")</f>
        <v>60912</v>
      </c>
      <c r="AB3104" s="92">
        <v>1.0779188411260663E-2</v>
      </c>
      <c r="AC3104" s="101">
        <v>1.0645454574413904E-2</v>
      </c>
    </row>
    <row r="3105" spans="25:29" x14ac:dyDescent="0.2">
      <c r="Y3105" s="105" t="str">
        <f t="shared" si="82"/>
        <v>1w</v>
      </c>
      <c r="Z3105" s="93">
        <f>_xll.qlCalendarAdvance(Calendar,Z3104,Y3105,"f",FALSE)</f>
        <v>60917</v>
      </c>
      <c r="AA3105" s="117">
        <f>_xll.qlCalendarAdvance(Calendar,Z3105,NDays&amp;"D")</f>
        <v>60919</v>
      </c>
      <c r="AB3105" s="92">
        <v>1.0787257638880379E-2</v>
      </c>
      <c r="AC3105" s="101">
        <v>1.0653660047754698E-2</v>
      </c>
    </row>
    <row r="3106" spans="25:29" x14ac:dyDescent="0.2">
      <c r="Y3106" s="105" t="str">
        <f t="shared" si="82"/>
        <v>1w</v>
      </c>
      <c r="Z3106" s="93">
        <f>_xll.qlCalendarAdvance(Calendar,Z3105,Y3106,"f",FALSE)</f>
        <v>60924</v>
      </c>
      <c r="AA3106" s="117">
        <f>_xll.qlCalendarAdvance(Calendar,Z3106,NDays&amp;"D")</f>
        <v>60926</v>
      </c>
      <c r="AB3106" s="92">
        <v>1.0795312743127733E-2</v>
      </c>
      <c r="AC3106" s="101">
        <v>1.0661851916138332E-2</v>
      </c>
    </row>
    <row r="3107" spans="25:29" x14ac:dyDescent="0.2">
      <c r="Y3107" s="105" t="str">
        <f t="shared" si="82"/>
        <v>1w</v>
      </c>
      <c r="Z3107" s="93">
        <f>_xll.qlCalendarAdvance(Calendar,Z3106,Y3107,"f",FALSE)</f>
        <v>60931</v>
      </c>
      <c r="AA3107" s="117">
        <f>_xll.qlCalendarAdvance(Calendar,Z3107,NDays&amp;"D")</f>
        <v>60933</v>
      </c>
      <c r="AB3107" s="92">
        <v>1.0803353686928205E-2</v>
      </c>
      <c r="AC3107" s="101">
        <v>1.0670030142714282E-2</v>
      </c>
    </row>
    <row r="3108" spans="25:29" x14ac:dyDescent="0.2">
      <c r="Y3108" s="105" t="str">
        <f t="shared" si="82"/>
        <v>1w</v>
      </c>
      <c r="Z3108" s="93">
        <f>_xll.qlCalendarAdvance(Calendar,Z3107,Y3108,"f",FALSE)</f>
        <v>60938</v>
      </c>
      <c r="AA3108" s="117">
        <f>_xll.qlCalendarAdvance(Calendar,Z3108,NDays&amp;"D")</f>
        <v>60940</v>
      </c>
      <c r="AB3108" s="92">
        <v>1.0810649940840023E-2</v>
      </c>
      <c r="AC3108" s="101">
        <v>1.0678194691031706E-2</v>
      </c>
    </row>
    <row r="3109" spans="25:29" x14ac:dyDescent="0.2">
      <c r="Y3109" s="105" t="str">
        <f t="shared" si="82"/>
        <v>1w</v>
      </c>
      <c r="Z3109" s="93">
        <f>_xll.qlCalendarAdvance(Calendar,Z3108,Y3109,"f",FALSE)</f>
        <v>60945</v>
      </c>
      <c r="AA3109" s="117">
        <f>_xll.qlCalendarAdvance(Calendar,Z3109,NDays&amp;"D")</f>
        <v>60947</v>
      </c>
      <c r="AB3109" s="92">
        <v>1.0818663241839572E-2</v>
      </c>
      <c r="AC3109" s="101">
        <v>1.0686345524240082E-2</v>
      </c>
    </row>
    <row r="3110" spans="25:29" x14ac:dyDescent="0.2">
      <c r="Y3110" s="105" t="str">
        <f t="shared" si="82"/>
        <v>1w</v>
      </c>
      <c r="Z3110" s="93">
        <f>_xll.qlCalendarAdvance(Calendar,Z3109,Y3110,"f",FALSE)</f>
        <v>60952</v>
      </c>
      <c r="AA3110" s="117">
        <f>_xll.qlCalendarAdvance(Calendar,Z3110,NDays&amp;"D")</f>
        <v>60954</v>
      </c>
      <c r="AB3110" s="92">
        <v>1.0826662274065115E-2</v>
      </c>
      <c r="AC3110" s="101">
        <v>1.0694482605728695E-2</v>
      </c>
    </row>
    <row r="3111" spans="25:29" x14ac:dyDescent="0.2">
      <c r="Y3111" s="105" t="str">
        <f t="shared" si="82"/>
        <v>1w</v>
      </c>
      <c r="Z3111" s="93">
        <f>_xll.qlCalendarAdvance(Calendar,Z3110,Y3111,"f",FALSE)</f>
        <v>60959</v>
      </c>
      <c r="AA3111" s="117">
        <f>_xll.qlCalendarAdvance(Calendar,Z3111,NDays&amp;"D")</f>
        <v>60961</v>
      </c>
      <c r="AB3111" s="92">
        <v>1.0834647000442217E-2</v>
      </c>
      <c r="AC3111" s="101">
        <v>1.070260589848715E-2</v>
      </c>
    </row>
    <row r="3112" spans="25:29" x14ac:dyDescent="0.2">
      <c r="Y3112" s="105" t="str">
        <f t="shared" si="82"/>
        <v>1w</v>
      </c>
      <c r="Z3112" s="93">
        <f>_xll.qlCalendarAdvance(Calendar,Z3111,Y3112,"f",FALSE)</f>
        <v>60966</v>
      </c>
      <c r="AA3112" s="117">
        <f>_xll.qlCalendarAdvance(Calendar,Z3112,NDays&amp;"D")</f>
        <v>60968</v>
      </c>
      <c r="AB3112" s="92">
        <v>1.0843344701590192E-2</v>
      </c>
      <c r="AC3112" s="101">
        <v>1.0710715366224477E-2</v>
      </c>
    </row>
    <row r="3113" spans="25:29" x14ac:dyDescent="0.2">
      <c r="Y3113" s="105" t="str">
        <f t="shared" si="82"/>
        <v>1w</v>
      </c>
      <c r="Z3113" s="93">
        <f>_xll.qlCalendarAdvance(Calendar,Z3112,Y3113,"f",FALSE)</f>
        <v>60973</v>
      </c>
      <c r="AA3113" s="117">
        <f>_xll.qlCalendarAdvance(Calendar,Z3113,NDays&amp;"D")</f>
        <v>60975</v>
      </c>
      <c r="AB3113" s="92">
        <v>1.0851299904125148E-2</v>
      </c>
      <c r="AC3113" s="101">
        <v>1.0718810971930282E-2</v>
      </c>
    </row>
    <row r="3114" spans="25:29" x14ac:dyDescent="0.2">
      <c r="Y3114" s="105" t="str">
        <f t="shared" si="82"/>
        <v>1w</v>
      </c>
      <c r="Z3114" s="93">
        <f>_xll.qlCalendarAdvance(Calendar,Z3113,Y3114,"f",FALSE)</f>
        <v>60980</v>
      </c>
      <c r="AA3114" s="117">
        <f>_xll.qlCalendarAdvance(Calendar,Z3114,NDays&amp;"D")</f>
        <v>60982</v>
      </c>
      <c r="AB3114" s="92">
        <v>1.0859240686682805E-2</v>
      </c>
      <c r="AC3114" s="101">
        <v>1.0726892679153721E-2</v>
      </c>
    </row>
    <row r="3115" spans="25:29" x14ac:dyDescent="0.2">
      <c r="Y3115" s="105" t="str">
        <f t="shared" si="82"/>
        <v>1w</v>
      </c>
      <c r="Z3115" s="93">
        <f>_xll.qlCalendarAdvance(Calendar,Z3114,Y3115,"f",FALSE)</f>
        <v>60987</v>
      </c>
      <c r="AA3115" s="117">
        <f>_xll.qlCalendarAdvance(Calendar,Z3115,NDays&amp;"D")</f>
        <v>60989</v>
      </c>
      <c r="AB3115" s="92">
        <v>1.0867167012186447E-2</v>
      </c>
      <c r="AC3115" s="101">
        <v>1.0734960450964337E-2</v>
      </c>
    </row>
    <row r="3116" spans="25:29" x14ac:dyDescent="0.2">
      <c r="Y3116" s="105" t="str">
        <f t="shared" si="82"/>
        <v>1w</v>
      </c>
      <c r="Z3116" s="93">
        <f>_xll.qlCalendarAdvance(Calendar,Z3115,Y3116,"f",FALSE)</f>
        <v>60994</v>
      </c>
      <c r="AA3116" s="117">
        <f>_xll.qlCalendarAdvance(Calendar,Z3116,NDays&amp;"D")</f>
        <v>60996</v>
      </c>
      <c r="AB3116" s="92">
        <v>1.0875078843559796E-2</v>
      </c>
      <c r="AC3116" s="101">
        <v>1.0743014250831351E-2</v>
      </c>
    </row>
    <row r="3117" spans="25:29" x14ac:dyDescent="0.2">
      <c r="Y3117" s="105" t="str">
        <f t="shared" si="82"/>
        <v>1w</v>
      </c>
      <c r="Z3117" s="93">
        <f>_xll.qlCalendarAdvance(Calendar,Z3116,Y3117,"f",FALSE)</f>
        <v>61001</v>
      </c>
      <c r="AA3117" s="117">
        <f>_xll.qlCalendarAdvance(Calendar,Z3117,NDays&amp;"D")</f>
        <v>61003</v>
      </c>
      <c r="AB3117" s="92">
        <v>1.0882252859757396E-2</v>
      </c>
      <c r="AC3117" s="101">
        <v>1.075105404190424E-2</v>
      </c>
    </row>
    <row r="3118" spans="25:29" x14ac:dyDescent="0.2">
      <c r="Y3118" s="105" t="str">
        <f t="shared" si="82"/>
        <v>1w</v>
      </c>
      <c r="Z3118" s="93">
        <f>_xll.qlCalendarAdvance(Calendar,Z3117,Y3118,"f",FALSE)</f>
        <v>61008</v>
      </c>
      <c r="AA3118" s="117">
        <f>_xll.qlCalendarAdvance(Calendar,Z3118,NDays&amp;"D")</f>
        <v>61010</v>
      </c>
      <c r="AB3118" s="92">
        <v>1.0890136407118835E-2</v>
      </c>
      <c r="AC3118" s="101">
        <v>1.075907978757229E-2</v>
      </c>
    </row>
    <row r="3119" spans="25:29" x14ac:dyDescent="0.2">
      <c r="Y3119" s="105" t="str">
        <f t="shared" si="82"/>
        <v>1w</v>
      </c>
      <c r="Z3119" s="93">
        <f>_xll.qlCalendarAdvance(Calendar,Z3118,Y3119,"f",FALSE)</f>
        <v>61015</v>
      </c>
      <c r="AA3119" s="117">
        <f>_xll.qlCalendarAdvance(Calendar,Z3119,NDays&amp;"D")</f>
        <v>61017</v>
      </c>
      <c r="AB3119" s="92">
        <v>1.0898005352033729E-2</v>
      </c>
      <c r="AC3119" s="101">
        <v>1.0767091451064914E-2</v>
      </c>
    </row>
    <row r="3120" spans="25:29" x14ac:dyDescent="0.2">
      <c r="Y3120" s="105" t="str">
        <f t="shared" si="82"/>
        <v>1w</v>
      </c>
      <c r="Z3120" s="93">
        <f>_xll.qlCalendarAdvance(Calendar,Z3119,Y3120,"f",FALSE)</f>
        <v>61022</v>
      </c>
      <c r="AA3120" s="117">
        <f>_xll.qlCalendarAdvance(Calendar,Z3120,NDays&amp;"D")</f>
        <v>61024</v>
      </c>
      <c r="AB3120" s="92">
        <v>1.0905859657425881E-2</v>
      </c>
      <c r="AC3120" s="101">
        <v>1.0775088995691462E-2</v>
      </c>
    </row>
    <row r="3121" spans="25:29" x14ac:dyDescent="0.2">
      <c r="Y3121" s="105" t="str">
        <f t="shared" si="82"/>
        <v>1w</v>
      </c>
      <c r="Z3121" s="93">
        <f>_xll.qlCalendarAdvance(Calendar,Z3120,Y3121,"f",FALSE)</f>
        <v>61029</v>
      </c>
      <c r="AA3121" s="117">
        <f>_xll.qlCalendarAdvance(Calendar,Z3121,NDays&amp;"D")</f>
        <v>61031</v>
      </c>
      <c r="AB3121" s="92">
        <v>1.0913699286219974E-2</v>
      </c>
      <c r="AC3121" s="101">
        <v>1.0783072384841219E-2</v>
      </c>
    </row>
    <row r="3122" spans="25:29" x14ac:dyDescent="0.2">
      <c r="Y3122" s="105" t="str">
        <f t="shared" si="82"/>
        <v>1w</v>
      </c>
      <c r="Z3122" s="93">
        <f>_xll.qlCalendarAdvance(Calendar,Z3121,Y3122,"f",FALSE)</f>
        <v>61036</v>
      </c>
      <c r="AA3122" s="117">
        <f>_xll.qlCalendarAdvance(Calendar,Z3122,NDays&amp;"D")</f>
        <v>61038</v>
      </c>
      <c r="AB3122" s="92">
        <v>1.0921524201338486E-2</v>
      </c>
      <c r="AC3122" s="101">
        <v>1.0791041581743599E-2</v>
      </c>
    </row>
    <row r="3123" spans="25:29" x14ac:dyDescent="0.2">
      <c r="Y3123" s="105" t="str">
        <f t="shared" si="82"/>
        <v>1w</v>
      </c>
      <c r="Z3123" s="93">
        <f>_xll.qlCalendarAdvance(Calendar,Z3122,Y3123,"f",FALSE)</f>
        <v>61043</v>
      </c>
      <c r="AA3123" s="117">
        <f>_xll.qlCalendarAdvance(Calendar,Z3123,NDays&amp;"D")</f>
        <v>61045</v>
      </c>
      <c r="AB3123" s="92">
        <v>1.0929334365703891E-2</v>
      </c>
      <c r="AC3123" s="101">
        <v>1.0798996549628015E-2</v>
      </c>
    </row>
    <row r="3124" spans="25:29" x14ac:dyDescent="0.2">
      <c r="Y3124" s="105" t="str">
        <f t="shared" si="82"/>
        <v>1w</v>
      </c>
      <c r="Z3124" s="93">
        <f>_xll.qlCalendarAdvance(Calendar,Z3123,Y3124,"f",FALSE)</f>
        <v>61050</v>
      </c>
      <c r="AA3124" s="117">
        <f>_xll.qlCalendarAdvance(Calendar,Z3124,NDays&amp;"D")</f>
        <v>61052</v>
      </c>
      <c r="AB3124" s="92">
        <v>1.0937129742240436E-2</v>
      </c>
      <c r="AC3124" s="101">
        <v>1.0806937251803816E-2</v>
      </c>
    </row>
    <row r="3125" spans="25:29" x14ac:dyDescent="0.2">
      <c r="Y3125" s="105" t="str">
        <f t="shared" si="82"/>
        <v>1w</v>
      </c>
      <c r="Z3125" s="93">
        <f>_xll.qlCalendarAdvance(Calendar,Z3124,Y3125,"f",FALSE)</f>
        <v>61057</v>
      </c>
      <c r="AA3125" s="117">
        <f>_xll.qlCalendarAdvance(Calendar,Z3125,NDays&amp;"D")</f>
        <v>61059</v>
      </c>
      <c r="AB3125" s="92">
        <v>1.0948493024370733E-2</v>
      </c>
      <c r="AC3125" s="101">
        <v>1.0814863651820161E-2</v>
      </c>
    </row>
    <row r="3126" spans="25:29" x14ac:dyDescent="0.2">
      <c r="Y3126" s="105" t="str">
        <f t="shared" si="82"/>
        <v>1w</v>
      </c>
      <c r="Z3126" s="93">
        <f>_xll.qlCalendarAdvance(Calendar,Z3125,Y3126,"f",FALSE)</f>
        <v>61064</v>
      </c>
      <c r="AA3126" s="117">
        <f>_xll.qlCalendarAdvance(Calendar,Z3126,NDays&amp;"D")</f>
        <v>61066</v>
      </c>
      <c r="AB3126" s="92">
        <v>1.0956254516736532E-2</v>
      </c>
      <c r="AC3126" s="101">
        <v>1.0822775712666655E-2</v>
      </c>
    </row>
    <row r="3127" spans="25:29" x14ac:dyDescent="0.2">
      <c r="Y3127" s="105" t="str">
        <f t="shared" si="82"/>
        <v>1w</v>
      </c>
      <c r="Z3127" s="93">
        <f>_xll.qlCalendarAdvance(Calendar,Z3126,Y3127,"f",FALSE)</f>
        <v>61071</v>
      </c>
      <c r="AA3127" s="117">
        <f>_xll.qlCalendarAdvance(Calendar,Z3127,NDays&amp;"D")</f>
        <v>61073</v>
      </c>
      <c r="AB3127" s="92">
        <v>1.096400109536585E-2</v>
      </c>
      <c r="AC3127" s="101">
        <v>1.0830673397812518E-2</v>
      </c>
    </row>
    <row r="3128" spans="25:29" x14ac:dyDescent="0.2">
      <c r="Y3128" s="105" t="str">
        <f t="shared" si="82"/>
        <v>1w</v>
      </c>
      <c r="Z3128" s="93">
        <f>_xll.qlCalendarAdvance(Calendar,Z3127,Y3128,"f",FALSE)</f>
        <v>61078</v>
      </c>
      <c r="AA3128" s="117">
        <f>_xll.qlCalendarAdvance(Calendar,Z3128,NDays&amp;"D")</f>
        <v>61080</v>
      </c>
      <c r="AB3128" s="92">
        <v>1.0971732723169213E-2</v>
      </c>
      <c r="AC3128" s="101">
        <v>1.0838556670407229E-2</v>
      </c>
    </row>
    <row r="3129" spans="25:29" x14ac:dyDescent="0.2">
      <c r="Y3129" s="105" t="str">
        <f t="shared" si="82"/>
        <v>1w</v>
      </c>
      <c r="Z3129" s="93">
        <f>_xll.qlCalendarAdvance(Calendar,Z3128,Y3129,"f",FALSE)</f>
        <v>61085</v>
      </c>
      <c r="AA3129" s="117">
        <f>_xll.qlCalendarAdvance(Calendar,Z3129,NDays&amp;"D")</f>
        <v>61087</v>
      </c>
      <c r="AB3129" s="92">
        <v>1.0977310052846051E-2</v>
      </c>
      <c r="AC3129" s="101">
        <v>1.0849324647477232E-2</v>
      </c>
    </row>
    <row r="3130" spans="25:29" x14ac:dyDescent="0.2">
      <c r="Y3130" s="105" t="str">
        <f t="shared" si="82"/>
        <v>1w</v>
      </c>
      <c r="Z3130" s="93">
        <f>_xll.qlCalendarAdvance(Calendar,Z3129,Y3130,"f",FALSE)</f>
        <v>61092</v>
      </c>
      <c r="AA3130" s="117">
        <f>_xll.qlCalendarAdvance(Calendar,Z3130,NDays&amp;"D")</f>
        <v>61094</v>
      </c>
      <c r="AB3130" s="92">
        <v>1.0985014222220637E-2</v>
      </c>
      <c r="AC3130" s="101">
        <v>1.0854279831260527E-2</v>
      </c>
    </row>
    <row r="3131" spans="25:29" x14ac:dyDescent="0.2">
      <c r="Y3131" s="105" t="str">
        <f t="shared" si="82"/>
        <v>1w</v>
      </c>
      <c r="Z3131" s="93">
        <f>_xll.qlCalendarAdvance(Calendar,Z3130,Y3131,"f",FALSE)</f>
        <v>61099</v>
      </c>
      <c r="AA3131" s="117">
        <f>_xll.qlCalendarAdvance(Calendar,Z3131,NDays&amp;"D")</f>
        <v>61101</v>
      </c>
      <c r="AB3131" s="92">
        <v>1.0992703338332981E-2</v>
      </c>
      <c r="AC3131" s="101">
        <v>1.0862119646217749E-2</v>
      </c>
    </row>
    <row r="3132" spans="25:29" x14ac:dyDescent="0.2">
      <c r="Y3132" s="105" t="str">
        <f t="shared" si="82"/>
        <v>1w</v>
      </c>
      <c r="Z3132" s="93">
        <f>_xll.qlCalendarAdvance(Calendar,Z3131,Y3132,"f",FALSE)</f>
        <v>61106</v>
      </c>
      <c r="AA3132" s="117">
        <f>_xll.qlCalendarAdvance(Calendar,Z3132,NDays&amp;"D")</f>
        <v>61108</v>
      </c>
      <c r="AB3132" s="92">
        <v>1.100037736410105E-2</v>
      </c>
      <c r="AC3132" s="101">
        <v>1.0869944901861217E-2</v>
      </c>
    </row>
    <row r="3133" spans="25:29" x14ac:dyDescent="0.2">
      <c r="Y3133" s="105" t="str">
        <f t="shared" si="82"/>
        <v>1w</v>
      </c>
      <c r="Z3133" s="93">
        <f>_xll.qlCalendarAdvance(Calendar,Z3132,Y3133,"f",FALSE)</f>
        <v>61113</v>
      </c>
      <c r="AA3133" s="117">
        <f>_xll.qlCalendarAdvance(Calendar,Z3133,NDays&amp;"D")</f>
        <v>61115</v>
      </c>
      <c r="AB3133" s="92">
        <v>1.1008036262440193E-2</v>
      </c>
      <c r="AC3133" s="101">
        <v>1.087775556150028E-2</v>
      </c>
    </row>
    <row r="3134" spans="25:29" x14ac:dyDescent="0.2">
      <c r="Y3134" s="105" t="str">
        <f t="shared" si="82"/>
        <v>1w</v>
      </c>
      <c r="Z3134" s="93">
        <f>_xll.qlCalendarAdvance(Calendar,Z3133,Y3134,"f",FALSE)</f>
        <v>61120</v>
      </c>
      <c r="AA3134" s="117">
        <f>_xll.qlCalendarAdvance(Calendar,Z3134,NDays&amp;"D")</f>
        <v>61122</v>
      </c>
      <c r="AB3134" s="92">
        <v>1.101780644565933E-2</v>
      </c>
      <c r="AC3134" s="101">
        <v>1.0885551588604159E-2</v>
      </c>
    </row>
    <row r="3135" spans="25:29" x14ac:dyDescent="0.2">
      <c r="Y3135" s="105" t="str">
        <f t="shared" si="82"/>
        <v>1w</v>
      </c>
      <c r="Z3135" s="93">
        <f>_xll.qlCalendarAdvance(Calendar,Z3134,Y3135,"f",FALSE)</f>
        <v>61127</v>
      </c>
      <c r="AA3135" s="117">
        <f>_xll.qlCalendarAdvance(Calendar,Z3135,NDays&amp;"D")</f>
        <v>61129</v>
      </c>
      <c r="AB3135" s="92">
        <v>1.1025432379182269E-2</v>
      </c>
      <c r="AC3135" s="101">
        <v>1.0893332946002587E-2</v>
      </c>
    </row>
    <row r="3136" spans="25:29" x14ac:dyDescent="0.2">
      <c r="Y3136" s="105" t="str">
        <f t="shared" si="82"/>
        <v>1w</v>
      </c>
      <c r="Z3136" s="93">
        <f>_xll.qlCalendarAdvance(Calendar,Z3135,Y3136,"f",FALSE)</f>
        <v>61134</v>
      </c>
      <c r="AA3136" s="117">
        <f>_xll.qlCalendarAdvance(Calendar,Z3136,NDays&amp;"D")</f>
        <v>61136</v>
      </c>
      <c r="AB3136" s="92">
        <v>1.1033043065163483E-2</v>
      </c>
      <c r="AC3136" s="101">
        <v>1.0901099597644404E-2</v>
      </c>
    </row>
    <row r="3137" spans="25:29" x14ac:dyDescent="0.2">
      <c r="Y3137" s="105" t="str">
        <f t="shared" si="82"/>
        <v>1w</v>
      </c>
      <c r="Z3137" s="93">
        <f>_xll.qlCalendarAdvance(Calendar,Z3136,Y3137,"f",FALSE)</f>
        <v>61141</v>
      </c>
      <c r="AA3137" s="117">
        <f>_xll.qlCalendarAdvance(Calendar,Z3137,NDays&amp;"D")</f>
        <v>61143</v>
      </c>
      <c r="AB3137" s="92">
        <v>1.1040638466510065E-2</v>
      </c>
      <c r="AC3137" s="101">
        <v>1.0908851506199468E-2</v>
      </c>
    </row>
    <row r="3138" spans="25:29" x14ac:dyDescent="0.2">
      <c r="Y3138" s="105" t="str">
        <f t="shared" si="82"/>
        <v>1w</v>
      </c>
      <c r="Z3138" s="93">
        <f>_xll.qlCalendarAdvance(Calendar,Z3137,Y3138,"f",FALSE)</f>
        <v>61148</v>
      </c>
      <c r="AA3138" s="117">
        <f>_xll.qlCalendarAdvance(Calendar,Z3138,NDays&amp;"D")</f>
        <v>61150</v>
      </c>
      <c r="AB3138" s="92">
        <v>1.104610254477586E-2</v>
      </c>
      <c r="AC3138" s="101">
        <v>1.0916588635216939E-2</v>
      </c>
    </row>
    <row r="3139" spans="25:29" x14ac:dyDescent="0.2">
      <c r="Y3139" s="105" t="str">
        <f t="shared" si="82"/>
        <v>1w</v>
      </c>
      <c r="Z3139" s="93">
        <f>_xll.qlCalendarAdvance(Calendar,Z3138,Y3139,"f",FALSE)</f>
        <v>61155</v>
      </c>
      <c r="AA3139" s="117">
        <f>_xll.qlCalendarAdvance(Calendar,Z3139,NDays&amp;"D")</f>
        <v>61157</v>
      </c>
      <c r="AB3139" s="92">
        <v>1.1053669899780343E-2</v>
      </c>
      <c r="AC3139" s="101">
        <v>1.0924310948166038E-2</v>
      </c>
    </row>
    <row r="3140" spans="25:29" x14ac:dyDescent="0.2">
      <c r="Y3140" s="105" t="str">
        <f t="shared" si="82"/>
        <v>1w</v>
      </c>
      <c r="Z3140" s="93">
        <f>_xll.qlCalendarAdvance(Calendar,Z3139,Y3140,"f",FALSE)</f>
        <v>61162</v>
      </c>
      <c r="AA3140" s="117">
        <f>_xll.qlCalendarAdvance(Calendar,Z3140,NDays&amp;"D")</f>
        <v>61164</v>
      </c>
      <c r="AB3140" s="92">
        <v>1.1061221867766388E-2</v>
      </c>
      <c r="AC3140" s="101">
        <v>1.0932018408116306E-2</v>
      </c>
    </row>
    <row r="3141" spans="25:29" x14ac:dyDescent="0.2">
      <c r="Y3141" s="105" t="str">
        <f t="shared" si="82"/>
        <v>1w</v>
      </c>
      <c r="Z3141" s="93">
        <f>_xll.qlCalendarAdvance(Calendar,Z3140,Y3141,"f",FALSE)</f>
        <v>61169</v>
      </c>
      <c r="AA3141" s="117">
        <f>_xll.qlCalendarAdvance(Calendar,Z3141,NDays&amp;"D")</f>
        <v>61171</v>
      </c>
      <c r="AB3141" s="92">
        <v>1.1068758411648472E-2</v>
      </c>
      <c r="AC3141" s="101">
        <v>1.0939710978457029E-2</v>
      </c>
    </row>
    <row r="3142" spans="25:29" x14ac:dyDescent="0.2">
      <c r="Y3142" s="105" t="str">
        <f t="shared" si="82"/>
        <v>1w</v>
      </c>
      <c r="Z3142" s="93">
        <f>_xll.qlCalendarAdvance(Calendar,Z3141,Y3142,"f",FALSE)</f>
        <v>61176</v>
      </c>
      <c r="AA3142" s="117">
        <f>_xll.qlCalendarAdvance(Calendar,Z3142,NDays&amp;"D")</f>
        <v>61178</v>
      </c>
      <c r="AB3142" s="92">
        <v>1.1076279494341507E-2</v>
      </c>
      <c r="AC3142" s="101">
        <v>1.094738862241762E-2</v>
      </c>
    </row>
    <row r="3143" spans="25:29" x14ac:dyDescent="0.2">
      <c r="Y3143" s="105" t="str">
        <f t="shared" si="82"/>
        <v>1w</v>
      </c>
      <c r="Z3143" s="93">
        <f>_xll.qlCalendarAdvance(Calendar,Z3142,Y3143,"f",FALSE)</f>
        <v>61183</v>
      </c>
      <c r="AA3143" s="117">
        <f>_xll.qlCalendarAdvance(Calendar,Z3143,NDays&amp;"D")</f>
        <v>61185</v>
      </c>
      <c r="AB3143" s="92">
        <v>1.1085887820185681E-2</v>
      </c>
      <c r="AC3143" s="101">
        <v>1.09550513034673E-2</v>
      </c>
    </row>
    <row r="3144" spans="25:29" x14ac:dyDescent="0.2">
      <c r="Y3144" s="105" t="str">
        <f t="shared" si="82"/>
        <v>1w</v>
      </c>
      <c r="Z3144" s="93">
        <f>_xll.qlCalendarAdvance(Calendar,Z3143,Y3144,"f",FALSE)</f>
        <v>61190</v>
      </c>
      <c r="AA3144" s="117">
        <f>_xll.qlCalendarAdvance(Calendar,Z3144,NDays&amp;"D")</f>
        <v>61192</v>
      </c>
      <c r="AB3144" s="92">
        <v>1.1093375190542517E-2</v>
      </c>
      <c r="AC3144" s="101">
        <v>1.0962698984675612E-2</v>
      </c>
    </row>
    <row r="3145" spans="25:29" x14ac:dyDescent="0.2">
      <c r="Y3145" s="105" t="str">
        <f t="shared" si="82"/>
        <v>1w</v>
      </c>
      <c r="Z3145" s="93">
        <f>_xll.qlCalendarAdvance(Calendar,Z3144,Y3145,"f",FALSE)</f>
        <v>61197</v>
      </c>
      <c r="AA3145" s="117">
        <f>_xll.qlCalendarAdvance(Calendar,Z3145,NDays&amp;"D")</f>
        <v>61199</v>
      </c>
      <c r="AB3145" s="92">
        <v>1.1100846979532189E-2</v>
      </c>
      <c r="AC3145" s="101">
        <v>1.097033162943184E-2</v>
      </c>
    </row>
    <row r="3146" spans="25:29" x14ac:dyDescent="0.2">
      <c r="Y3146" s="105" t="str">
        <f t="shared" si="82"/>
        <v>1w</v>
      </c>
      <c r="Z3146" s="93">
        <f>_xll.qlCalendarAdvance(Calendar,Z3145,Y3146,"f",FALSE)</f>
        <v>61204</v>
      </c>
      <c r="AA3146" s="117">
        <f>_xll.qlCalendarAdvance(Calendar,Z3146,NDays&amp;"D")</f>
        <v>61206</v>
      </c>
      <c r="AB3146" s="92">
        <v>1.1108303150063505E-2</v>
      </c>
      <c r="AC3146" s="101">
        <v>1.0977949200965398E-2</v>
      </c>
    </row>
    <row r="3147" spans="25:29" x14ac:dyDescent="0.2">
      <c r="Y3147" s="105" t="str">
        <f t="shared" si="82"/>
        <v>1w</v>
      </c>
      <c r="Z3147" s="93">
        <f>_xll.qlCalendarAdvance(Calendar,Z3146,Y3147,"f",FALSE)</f>
        <v>61211</v>
      </c>
      <c r="AA3147" s="117">
        <f>_xll.qlCalendarAdvance(Calendar,Z3147,NDays&amp;"D")</f>
        <v>61213</v>
      </c>
      <c r="AB3147" s="92">
        <v>1.1115743665044418E-2</v>
      </c>
      <c r="AC3147" s="101">
        <v>1.0985551662825443E-2</v>
      </c>
    </row>
    <row r="3148" spans="25:29" x14ac:dyDescent="0.2">
      <c r="Y3148" s="105" t="str">
        <f t="shared" si="82"/>
        <v>1w</v>
      </c>
      <c r="Z3148" s="93">
        <f>_xll.qlCalendarAdvance(Calendar,Z3147,Y3148,"f",FALSE)</f>
        <v>61218</v>
      </c>
      <c r="AA3148" s="117">
        <f>_xll.qlCalendarAdvance(Calendar,Z3148,NDays&amp;"D")</f>
        <v>61220</v>
      </c>
      <c r="AB3148" s="92">
        <v>1.112316848737901E-2</v>
      </c>
      <c r="AC3148" s="101">
        <v>1.0993138978001582E-2</v>
      </c>
    </row>
    <row r="3149" spans="25:29" x14ac:dyDescent="0.2">
      <c r="Y3149" s="105" t="str">
        <f t="shared" si="82"/>
        <v>1w</v>
      </c>
      <c r="Z3149" s="93">
        <f>_xll.qlCalendarAdvance(Calendar,Z3148,Y3149,"f",FALSE)</f>
        <v>61225</v>
      </c>
      <c r="AA3149" s="117">
        <f>_xll.qlCalendarAdvance(Calendar,Z3149,NDays&amp;"D")</f>
        <v>61227</v>
      </c>
      <c r="AB3149" s="92">
        <v>1.1130577579977806E-2</v>
      </c>
      <c r="AC3149" s="101">
        <v>1.1000711109883099E-2</v>
      </c>
    </row>
    <row r="3150" spans="25:29" x14ac:dyDescent="0.2">
      <c r="Y3150" s="105" t="str">
        <f t="shared" si="82"/>
        <v>1w</v>
      </c>
      <c r="Z3150" s="93">
        <f>_xll.qlCalendarAdvance(Calendar,Z3149,Y3150,"f",FALSE)</f>
        <v>61232</v>
      </c>
      <c r="AA3150" s="117">
        <f>_xll.qlCalendarAdvance(Calendar,Z3150,NDays&amp;"D")</f>
        <v>61234</v>
      </c>
      <c r="AB3150" s="92">
        <v>1.1137970905744893E-2</v>
      </c>
      <c r="AC3150" s="101">
        <v>1.100826802185928E-2</v>
      </c>
    </row>
    <row r="3151" spans="25:29" x14ac:dyDescent="0.2">
      <c r="Y3151" s="105" t="str">
        <f t="shared" si="82"/>
        <v>1w</v>
      </c>
      <c r="Z3151" s="93">
        <f>_xll.qlCalendarAdvance(Calendar,Z3150,Y3151,"f",FALSE)</f>
        <v>61239</v>
      </c>
      <c r="AA3151" s="117">
        <f>_xll.qlCalendarAdvance(Calendar,Z3151,NDays&amp;"D")</f>
        <v>61241</v>
      </c>
      <c r="AB3151" s="92">
        <v>1.1142573531322537E-2</v>
      </c>
      <c r="AC3151" s="101">
        <v>1.1015809677159538E-2</v>
      </c>
    </row>
    <row r="3152" spans="25:29" x14ac:dyDescent="0.2">
      <c r="Y3152" s="105" t="str">
        <f t="shared" si="82"/>
        <v>1w</v>
      </c>
      <c r="Z3152" s="93">
        <f>_xll.qlCalendarAdvance(Calendar,Z3151,Y3152,"f",FALSE)</f>
        <v>61246</v>
      </c>
      <c r="AA3152" s="117">
        <f>_xll.qlCalendarAdvance(Calendar,Z3152,NDays&amp;"D")</f>
        <v>61248</v>
      </c>
      <c r="AB3152" s="92">
        <v>1.1149938878544768E-2</v>
      </c>
      <c r="AC3152" s="101">
        <v>1.1023336039173159E-2</v>
      </c>
    </row>
    <row r="3153" spans="25:29" x14ac:dyDescent="0.2">
      <c r="Y3153" s="105" t="str">
        <f t="shared" si="82"/>
        <v>1w</v>
      </c>
      <c r="Z3153" s="93">
        <f>_xll.qlCalendarAdvance(Calendar,Z3152,Y3153,"f",FALSE)</f>
        <v>61253</v>
      </c>
      <c r="AA3153" s="117">
        <f>_xll.qlCalendarAdvance(Calendar,Z3153,NDays&amp;"D")</f>
        <v>61255</v>
      </c>
      <c r="AB3153" s="92">
        <v>1.1157288359615091E-2</v>
      </c>
      <c r="AC3153" s="101">
        <v>1.1030847070889749E-2</v>
      </c>
    </row>
    <row r="3154" spans="25:29" x14ac:dyDescent="0.2">
      <c r="Y3154" s="105" t="str">
        <f t="shared" si="82"/>
        <v>1w</v>
      </c>
      <c r="Z3154" s="93">
        <f>_xll.qlCalendarAdvance(Calendar,Z3153,Y3154,"f",FALSE)</f>
        <v>61260</v>
      </c>
      <c r="AA3154" s="117">
        <f>_xll.qlCalendarAdvance(Calendar,Z3154,NDays&amp;"D")</f>
        <v>61262</v>
      </c>
      <c r="AB3154" s="92">
        <v>1.1164621937449323E-2</v>
      </c>
      <c r="AC3154" s="101">
        <v>1.10383427359384E-2</v>
      </c>
    </row>
    <row r="3155" spans="25:29" x14ac:dyDescent="0.2">
      <c r="Y3155" s="105" t="str">
        <f t="shared" si="82"/>
        <v>1w</v>
      </c>
      <c r="Z3155" s="93">
        <f>_xll.qlCalendarAdvance(Calendar,Z3154,Y3155,"f",FALSE)</f>
        <v>61267</v>
      </c>
      <c r="AA3155" s="117">
        <f>_xll.qlCalendarAdvance(Calendar,Z3155,NDays&amp;"D")</f>
        <v>61269</v>
      </c>
      <c r="AB3155" s="92">
        <v>1.1171939574961525E-2</v>
      </c>
      <c r="AC3155" s="101">
        <v>1.1045822997468591E-2</v>
      </c>
    </row>
    <row r="3156" spans="25:29" x14ac:dyDescent="0.2">
      <c r="Y3156" s="105" t="str">
        <f t="shared" si="82"/>
        <v>1w</v>
      </c>
      <c r="Z3156" s="93">
        <f>_xll.qlCalendarAdvance(Calendar,Z3155,Y3156,"f",FALSE)</f>
        <v>61274</v>
      </c>
      <c r="AA3156" s="117">
        <f>_xll.qlCalendarAdvance(Calendar,Z3156,NDays&amp;"D")</f>
        <v>61276</v>
      </c>
      <c r="AB3156" s="92">
        <v>1.1179930458928336E-2</v>
      </c>
      <c r="AC3156" s="101">
        <v>1.1053287818869606E-2</v>
      </c>
    </row>
    <row r="3157" spans="25:29" x14ac:dyDescent="0.2">
      <c r="Y3157" s="105" t="str">
        <f t="shared" ref="Y3157:Y3220" si="83">Y3156</f>
        <v>1w</v>
      </c>
      <c r="Z3157" s="93">
        <f>_xll.qlCalendarAdvance(Calendar,Z3156,Y3157,"f",FALSE)</f>
        <v>61281</v>
      </c>
      <c r="AA3157" s="117">
        <f>_xll.qlCalendarAdvance(Calendar,Z3157,NDays&amp;"D")</f>
        <v>61283</v>
      </c>
      <c r="AB3157" s="92">
        <v>1.1187215173412866E-2</v>
      </c>
      <c r="AC3157" s="101">
        <v>1.106073716337086E-2</v>
      </c>
    </row>
    <row r="3158" spans="25:29" x14ac:dyDescent="0.2">
      <c r="Y3158" s="105" t="str">
        <f t="shared" si="83"/>
        <v>1w</v>
      </c>
      <c r="Z3158" s="93">
        <f>_xll.qlCalendarAdvance(Calendar,Z3157,Y3158,"f",FALSE)</f>
        <v>61288</v>
      </c>
      <c r="AA3158" s="117">
        <f>_xll.qlCalendarAdvance(Calendar,Z3158,NDays&amp;"D")</f>
        <v>61290</v>
      </c>
      <c r="AB3158" s="92">
        <v>1.1197232510291647E-2</v>
      </c>
      <c r="AC3158" s="101">
        <v>1.1068170994281701E-2</v>
      </c>
    </row>
    <row r="3159" spans="25:29" x14ac:dyDescent="0.2">
      <c r="Y3159" s="105" t="str">
        <f t="shared" si="83"/>
        <v>1w</v>
      </c>
      <c r="Z3159" s="93">
        <f>_xll.qlCalendarAdvance(Calendar,Z3158,Y3159,"f",FALSE)</f>
        <v>61295</v>
      </c>
      <c r="AA3159" s="117">
        <f>_xll.qlCalendarAdvance(Calendar,Z3159,NDays&amp;"D")</f>
        <v>61297</v>
      </c>
      <c r="AB3159" s="92">
        <v>1.1201736401553244E-2</v>
      </c>
      <c r="AC3159" s="101">
        <v>1.1075589274831543E-2</v>
      </c>
    </row>
    <row r="3160" spans="25:29" x14ac:dyDescent="0.2">
      <c r="Y3160" s="105" t="str">
        <f t="shared" si="83"/>
        <v>1w</v>
      </c>
      <c r="Z3160" s="93">
        <f>_xll.qlCalendarAdvance(Calendar,Z3159,Y3160,"f",FALSE)</f>
        <v>61302</v>
      </c>
      <c r="AA3160" s="117">
        <f>_xll.qlCalendarAdvance(Calendar,Z3160,NDays&amp;"D")</f>
        <v>61304</v>
      </c>
      <c r="AB3160" s="92">
        <v>1.1208287359685997E-2</v>
      </c>
      <c r="AC3160" s="101">
        <v>1.1082991968169864E-2</v>
      </c>
    </row>
    <row r="3161" spans="25:29" x14ac:dyDescent="0.2">
      <c r="Y3161" s="105" t="str">
        <f t="shared" si="83"/>
        <v>1w</v>
      </c>
      <c r="Z3161" s="93">
        <f>_xll.qlCalendarAdvance(Calendar,Z3160,Y3161,"f",FALSE)</f>
        <v>61309</v>
      </c>
      <c r="AA3161" s="117">
        <f>_xll.qlCalendarAdvance(Calendar,Z3161,NDays&amp;"D")</f>
        <v>61311</v>
      </c>
      <c r="AB3161" s="92">
        <v>1.1215508576460432E-2</v>
      </c>
      <c r="AC3161" s="101">
        <v>1.1090379038165565E-2</v>
      </c>
    </row>
    <row r="3162" spans="25:29" x14ac:dyDescent="0.2">
      <c r="Y3162" s="105" t="str">
        <f t="shared" si="83"/>
        <v>1w</v>
      </c>
      <c r="Z3162" s="93">
        <f>_xll.qlCalendarAdvance(Calendar,Z3161,Y3162,"f",FALSE)</f>
        <v>61316</v>
      </c>
      <c r="AA3162" s="117">
        <f>_xll.qlCalendarAdvance(Calendar,Z3162,NDays&amp;"D")</f>
        <v>61318</v>
      </c>
      <c r="AB3162" s="92">
        <v>1.1222713593308632E-2</v>
      </c>
      <c r="AC3162" s="101">
        <v>1.1097750447488508E-2</v>
      </c>
    </row>
    <row r="3163" spans="25:29" x14ac:dyDescent="0.2">
      <c r="Y3163" s="105" t="str">
        <f t="shared" si="83"/>
        <v>1w</v>
      </c>
      <c r="Z3163" s="93">
        <f>_xll.qlCalendarAdvance(Calendar,Z3162,Y3163,"f",FALSE)</f>
        <v>61323</v>
      </c>
      <c r="AA3163" s="117">
        <f>_xll.qlCalendarAdvance(Calendar,Z3163,NDays&amp;"D")</f>
        <v>61325</v>
      </c>
      <c r="AB3163" s="92">
        <v>1.1229902373144217E-2</v>
      </c>
      <c r="AC3163" s="101">
        <v>1.1105106159847722E-2</v>
      </c>
    </row>
    <row r="3164" spans="25:29" x14ac:dyDescent="0.2">
      <c r="Y3164" s="105" t="str">
        <f t="shared" si="83"/>
        <v>1w</v>
      </c>
      <c r="Z3164" s="93">
        <f>_xll.qlCalendarAdvance(Calendar,Z3163,Y3164,"f",FALSE)</f>
        <v>61330</v>
      </c>
      <c r="AA3164" s="117">
        <f>_xll.qlCalendarAdvance(Calendar,Z3164,NDays&amp;"D")</f>
        <v>61332</v>
      </c>
      <c r="AB3164" s="92">
        <v>1.1237756569601512E-2</v>
      </c>
      <c r="AC3164" s="101">
        <v>1.1112446138312748E-2</v>
      </c>
    </row>
    <row r="3165" spans="25:29" x14ac:dyDescent="0.2">
      <c r="Y3165" s="105" t="str">
        <f t="shared" si="83"/>
        <v>1w</v>
      </c>
      <c r="Z3165" s="93">
        <f>_xll.qlCalendarAdvance(Calendar,Z3164,Y3165,"f",FALSE)</f>
        <v>61337</v>
      </c>
      <c r="AA3165" s="117">
        <f>_xll.qlCalendarAdvance(Calendar,Z3165,NDays&amp;"D")</f>
        <v>61339</v>
      </c>
      <c r="AB3165" s="92">
        <v>1.1244911808963833E-2</v>
      </c>
      <c r="AC3165" s="101">
        <v>1.1119770346272873E-2</v>
      </c>
    </row>
    <row r="3166" spans="25:29" x14ac:dyDescent="0.2">
      <c r="Y3166" s="105" t="str">
        <f t="shared" si="83"/>
        <v>1w</v>
      </c>
      <c r="Z3166" s="93">
        <f>_xll.qlCalendarAdvance(Calendar,Z3165,Y3166,"f",FALSE)</f>
        <v>61344</v>
      </c>
      <c r="AA3166" s="117">
        <f>_xll.qlCalendarAdvance(Calendar,Z3166,NDays&amp;"D")</f>
        <v>61346</v>
      </c>
      <c r="AB3166" s="92">
        <v>1.1252050697033377E-2</v>
      </c>
      <c r="AC3166" s="101">
        <v>1.1127078746877572E-2</v>
      </c>
    </row>
    <row r="3167" spans="25:29" x14ac:dyDescent="0.2">
      <c r="Y3167" s="105" t="str">
        <f t="shared" si="83"/>
        <v>1w</v>
      </c>
      <c r="Z3167" s="93">
        <f>_xll.qlCalendarAdvance(Calendar,Z3166,Y3167,"f",FALSE)</f>
        <v>61351</v>
      </c>
      <c r="AA3167" s="117">
        <f>_xll.qlCalendarAdvance(Calendar,Z3167,NDays&amp;"D")</f>
        <v>61353</v>
      </c>
      <c r="AB3167" s="92">
        <v>1.1259173196724179E-2</v>
      </c>
      <c r="AC3167" s="101">
        <v>1.1134371303676005E-2</v>
      </c>
    </row>
    <row r="3168" spans="25:29" x14ac:dyDescent="0.2">
      <c r="Y3168" s="105" t="str">
        <f t="shared" si="83"/>
        <v>1w</v>
      </c>
      <c r="Z3168" s="93">
        <f>_xll.qlCalendarAdvance(Calendar,Z3167,Y3168,"f",FALSE)</f>
        <v>61358</v>
      </c>
      <c r="AA3168" s="117">
        <f>_xll.qlCalendarAdvance(Calendar,Z3168,NDays&amp;"D")</f>
        <v>61360</v>
      </c>
      <c r="AB3168" s="92">
        <v>1.1266279270944162E-2</v>
      </c>
      <c r="AC3168" s="101">
        <v>1.1141647979657776E-2</v>
      </c>
    </row>
    <row r="3169" spans="25:29" x14ac:dyDescent="0.2">
      <c r="Y3169" s="105" t="str">
        <f t="shared" si="83"/>
        <v>1w</v>
      </c>
      <c r="Z3169" s="93">
        <f>_xll.qlCalendarAdvance(Calendar,Z3168,Y3169,"f",FALSE)</f>
        <v>61365</v>
      </c>
      <c r="AA3169" s="117">
        <f>_xll.qlCalendarAdvance(Calendar,Z3169,NDays&amp;"D")</f>
        <v>61367</v>
      </c>
      <c r="AB3169" s="92">
        <v>1.127269199802274E-2</v>
      </c>
      <c r="AC3169" s="101">
        <v>1.1148908738451979E-2</v>
      </c>
    </row>
    <row r="3170" spans="25:29" x14ac:dyDescent="0.2">
      <c r="Y3170" s="105" t="str">
        <f t="shared" si="83"/>
        <v>1w</v>
      </c>
      <c r="Z3170" s="93">
        <f>_xll.qlCalendarAdvance(Calendar,Z3169,Y3170,"f",FALSE)</f>
        <v>61372</v>
      </c>
      <c r="AA3170" s="117">
        <f>_xll.qlCalendarAdvance(Calendar,Z3170,NDays&amp;"D")</f>
        <v>61374</v>
      </c>
      <c r="AB3170" s="92">
        <v>1.1279766080330367E-2</v>
      </c>
      <c r="AC3170" s="101">
        <v>1.1156153543128156E-2</v>
      </c>
    </row>
    <row r="3171" spans="25:29" x14ac:dyDescent="0.2">
      <c r="Y3171" s="105" t="str">
        <f t="shared" si="83"/>
        <v>1w</v>
      </c>
      <c r="Z3171" s="93">
        <f>_xll.qlCalendarAdvance(Calendar,Z3170,Y3171,"f",FALSE)</f>
        <v>61379</v>
      </c>
      <c r="AA3171" s="117">
        <f>_xll.qlCalendarAdvance(Calendar,Z3171,NDays&amp;"D")</f>
        <v>61381</v>
      </c>
      <c r="AB3171" s="92">
        <v>1.1286823628926012E-2</v>
      </c>
      <c r="AC3171" s="101">
        <v>1.1163382356915719E-2</v>
      </c>
    </row>
    <row r="3172" spans="25:29" x14ac:dyDescent="0.2">
      <c r="Y3172" s="105" t="str">
        <f t="shared" si="83"/>
        <v>1w</v>
      </c>
      <c r="Z3172" s="93">
        <f>_xll.qlCalendarAdvance(Calendar,Z3171,Y3172,"f",FALSE)</f>
        <v>61386</v>
      </c>
      <c r="AA3172" s="117">
        <f>_xll.qlCalendarAdvance(Calendar,Z3172,NDays&amp;"D")</f>
        <v>61388</v>
      </c>
      <c r="AB3172" s="92">
        <v>1.1293864606723736E-2</v>
      </c>
      <c r="AC3172" s="101">
        <v>1.1170595143603634E-2</v>
      </c>
    </row>
    <row r="3173" spans="25:29" x14ac:dyDescent="0.2">
      <c r="Y3173" s="105" t="str">
        <f t="shared" si="83"/>
        <v>1w</v>
      </c>
      <c r="Z3173" s="93">
        <f>_xll.qlCalendarAdvance(Calendar,Z3172,Y3173,"f",FALSE)</f>
        <v>61393</v>
      </c>
      <c r="AA3173" s="117">
        <f>_xll.qlCalendarAdvance(Calendar,Z3173,NDays&amp;"D")</f>
        <v>61395</v>
      </c>
      <c r="AB3173" s="92">
        <v>1.1300888976633209E-2</v>
      </c>
      <c r="AC3173" s="101">
        <v>1.1177791865781828E-2</v>
      </c>
    </row>
    <row r="3174" spans="25:29" x14ac:dyDescent="0.2">
      <c r="Y3174" s="105" t="str">
        <f t="shared" si="83"/>
        <v>1w</v>
      </c>
      <c r="Z3174" s="93">
        <f>_xll.qlCalendarAdvance(Calendar,Z3173,Y3174,"f",FALSE)</f>
        <v>61400</v>
      </c>
      <c r="AA3174" s="117">
        <f>_xll.qlCalendarAdvance(Calendar,Z3174,NDays&amp;"D")</f>
        <v>61402</v>
      </c>
      <c r="AB3174" s="92">
        <v>1.1307896701567172E-2</v>
      </c>
      <c r="AC3174" s="101">
        <v>1.1184972487159328E-2</v>
      </c>
    </row>
    <row r="3175" spans="25:29" x14ac:dyDescent="0.2">
      <c r="Y3175" s="105" t="str">
        <f t="shared" si="83"/>
        <v>1w</v>
      </c>
      <c r="Z3175" s="93">
        <f>_xll.qlCalendarAdvance(Calendar,Z3174,Y3175,"f",FALSE)</f>
        <v>61407</v>
      </c>
      <c r="AA3175" s="117">
        <f>_xll.qlCalendarAdvance(Calendar,Z3175,NDays&amp;"D")</f>
        <v>61409</v>
      </c>
      <c r="AB3175" s="92">
        <v>1.1314887744437934E-2</v>
      </c>
      <c r="AC3175" s="101">
        <v>1.1192136971045485E-2</v>
      </c>
    </row>
    <row r="3176" spans="25:29" x14ac:dyDescent="0.2">
      <c r="Y3176" s="105" t="str">
        <f t="shared" si="83"/>
        <v>1w</v>
      </c>
      <c r="Z3176" s="93">
        <f>_xll.qlCalendarAdvance(Calendar,Z3175,Y3176,"f",FALSE)</f>
        <v>61414</v>
      </c>
      <c r="AA3176" s="117">
        <f>_xll.qlCalendarAdvance(Calendar,Z3176,NDays&amp;"D")</f>
        <v>61416</v>
      </c>
      <c r="AB3176" s="92">
        <v>1.132186206815604E-2</v>
      </c>
      <c r="AC3176" s="101">
        <v>1.1199285280589777E-2</v>
      </c>
    </row>
    <row r="3177" spans="25:29" x14ac:dyDescent="0.2">
      <c r="Y3177" s="105" t="str">
        <f t="shared" si="83"/>
        <v>1w</v>
      </c>
      <c r="Z3177" s="93">
        <f>_xll.qlCalendarAdvance(Calendar,Z3176,Y3177,"f",FALSE)</f>
        <v>61421</v>
      </c>
      <c r="AA3177" s="117">
        <f>_xll.qlCalendarAdvance(Calendar,Z3177,NDays&amp;"D")</f>
        <v>61423</v>
      </c>
      <c r="AB3177" s="92">
        <v>1.1331495296298398E-2</v>
      </c>
      <c r="AC3177" s="101">
        <v>1.1206417379181488E-2</v>
      </c>
    </row>
    <row r="3178" spans="25:29" x14ac:dyDescent="0.2">
      <c r="Y3178" s="105" t="str">
        <f t="shared" si="83"/>
        <v>1w</v>
      </c>
      <c r="Z3178" s="93">
        <f>_xll.qlCalendarAdvance(Calendar,Z3177,Y3178,"f",FALSE)</f>
        <v>61428</v>
      </c>
      <c r="AA3178" s="117">
        <f>_xll.qlCalendarAdvance(Calendar,Z3178,NDays&amp;"D")</f>
        <v>61430</v>
      </c>
      <c r="AB3178" s="92">
        <v>1.133843209030857E-2</v>
      </c>
      <c r="AC3178" s="101">
        <v>1.1213533229970096E-2</v>
      </c>
    </row>
    <row r="3179" spans="25:29" x14ac:dyDescent="0.2">
      <c r="Y3179" s="105" t="str">
        <f t="shared" si="83"/>
        <v>1w</v>
      </c>
      <c r="Z3179" s="93">
        <f>_xll.qlCalendarAdvance(Calendar,Z3178,Y3179,"f",FALSE)</f>
        <v>61435</v>
      </c>
      <c r="AA3179" s="117">
        <f>_xll.qlCalendarAdvance(Calendar,Z3179,NDays&amp;"D")</f>
        <v>61437</v>
      </c>
      <c r="AB3179" s="92">
        <v>1.1345352041718739E-2</v>
      </c>
      <c r="AC3179" s="101">
        <v>1.1220632796584695E-2</v>
      </c>
    </row>
    <row r="3180" spans="25:29" x14ac:dyDescent="0.2">
      <c r="Y3180" s="105" t="str">
        <f t="shared" si="83"/>
        <v>1w</v>
      </c>
      <c r="Z3180" s="93">
        <f>_xll.qlCalendarAdvance(Calendar,Z3179,Y3180,"f",FALSE)</f>
        <v>61442</v>
      </c>
      <c r="AA3180" s="117">
        <f>_xll.qlCalendarAdvance(Calendar,Z3180,NDays&amp;"D")</f>
        <v>61444</v>
      </c>
      <c r="AB3180" s="92">
        <v>1.1352255113432557E-2</v>
      </c>
      <c r="AC3180" s="101">
        <v>1.122771604201489E-2</v>
      </c>
    </row>
    <row r="3181" spans="25:29" x14ac:dyDescent="0.2">
      <c r="Y3181" s="105" t="str">
        <f t="shared" si="83"/>
        <v>1w</v>
      </c>
      <c r="Z3181" s="93">
        <f>_xll.qlCalendarAdvance(Calendar,Z3180,Y3181,"f",FALSE)</f>
        <v>61449</v>
      </c>
      <c r="AA3181" s="117">
        <f>_xll.qlCalendarAdvance(Calendar,Z3181,NDays&amp;"D")</f>
        <v>61451</v>
      </c>
      <c r="AB3181" s="92">
        <v>1.1357146642069381E-2</v>
      </c>
      <c r="AC3181" s="101">
        <v>1.1234782929570031E-2</v>
      </c>
    </row>
    <row r="3182" spans="25:29" x14ac:dyDescent="0.2">
      <c r="Y3182" s="105" t="str">
        <f t="shared" si="83"/>
        <v>1w</v>
      </c>
      <c r="Z3182" s="93">
        <f>_xll.qlCalendarAdvance(Calendar,Z3181,Y3182,"f",FALSE)</f>
        <v>61456</v>
      </c>
      <c r="AA3182" s="117">
        <f>_xll.qlCalendarAdvance(Calendar,Z3182,NDays&amp;"D")</f>
        <v>61458</v>
      </c>
      <c r="AB3182" s="92">
        <v>1.1364018865240237E-2</v>
      </c>
      <c r="AC3182" s="101">
        <v>1.1241833422559466E-2</v>
      </c>
    </row>
    <row r="3183" spans="25:29" x14ac:dyDescent="0.2">
      <c r="Y3183" s="105" t="str">
        <f t="shared" si="83"/>
        <v>1w</v>
      </c>
      <c r="Z3183" s="93">
        <f>_xll.qlCalendarAdvance(Calendar,Z3182,Y3183,"f",FALSE)</f>
        <v>61463</v>
      </c>
      <c r="AA3183" s="117">
        <f>_xll.qlCalendarAdvance(Calendar,Z3183,NDays&amp;"D")</f>
        <v>61465</v>
      </c>
      <c r="AB3183" s="92">
        <v>1.1370874106585311E-2</v>
      </c>
      <c r="AC3183" s="101">
        <v>1.1248867484532354E-2</v>
      </c>
    </row>
    <row r="3184" spans="25:29" x14ac:dyDescent="0.2">
      <c r="Y3184" s="105" t="str">
        <f t="shared" si="83"/>
        <v>1w</v>
      </c>
      <c r="Z3184" s="93">
        <f>_xll.qlCalendarAdvance(Calendar,Z3183,Y3184,"f",FALSE)</f>
        <v>61470</v>
      </c>
      <c r="AA3184" s="117">
        <f>_xll.qlCalendarAdvance(Calendar,Z3184,NDays&amp;"D")</f>
        <v>61472</v>
      </c>
      <c r="AB3184" s="92">
        <v>1.1377712329011653E-2</v>
      </c>
      <c r="AC3184" s="101">
        <v>1.1258590871571883E-2</v>
      </c>
    </row>
    <row r="3185" spans="25:29" x14ac:dyDescent="0.2">
      <c r="Y3185" s="105" t="str">
        <f t="shared" si="83"/>
        <v>1w</v>
      </c>
      <c r="Z3185" s="93">
        <f>_xll.qlCalendarAdvance(Calendar,Z3184,Y3185,"f",FALSE)</f>
        <v>61477</v>
      </c>
      <c r="AA3185" s="117">
        <f>_xll.qlCalendarAdvance(Calendar,Z3185,NDays&amp;"D")</f>
        <v>61479</v>
      </c>
      <c r="AB3185" s="92">
        <v>1.1384533495428929E-2</v>
      </c>
      <c r="AC3185" s="101">
        <v>1.126288616778659E-2</v>
      </c>
    </row>
    <row r="3186" spans="25:29" x14ac:dyDescent="0.2">
      <c r="Y3186" s="105" t="str">
        <f t="shared" si="83"/>
        <v>1w</v>
      </c>
      <c r="Z3186" s="93">
        <f>_xll.qlCalendarAdvance(Calendar,Z3185,Y3186,"f",FALSE)</f>
        <v>61485</v>
      </c>
      <c r="AA3186" s="117">
        <f>_xll.qlCalendarAdvance(Calendar,Z3186,NDays&amp;"D")</f>
        <v>61487</v>
      </c>
      <c r="AB3186" s="92">
        <v>1.139362759003331E-2</v>
      </c>
      <c r="AC3186" s="101">
        <v>1.1272216078657138E-2</v>
      </c>
    </row>
    <row r="3187" spans="25:29" x14ac:dyDescent="0.2">
      <c r="Y3187" s="105" t="str">
        <f t="shared" si="83"/>
        <v>1w</v>
      </c>
      <c r="Z3187" s="93">
        <f>_xll.qlCalendarAdvance(Calendar,Z3186,Y3187,"f",FALSE)</f>
        <v>61492</v>
      </c>
      <c r="AA3187" s="117">
        <f>_xll.qlCalendarAdvance(Calendar,Z3187,NDays&amp;"D")</f>
        <v>61494</v>
      </c>
      <c r="AB3187" s="92">
        <v>1.1400410037042523E-2</v>
      </c>
      <c r="AC3187" s="101">
        <v>1.127917974131698E-2</v>
      </c>
    </row>
    <row r="3188" spans="25:29" x14ac:dyDescent="0.2">
      <c r="Y3188" s="105" t="str">
        <f t="shared" si="83"/>
        <v>1w</v>
      </c>
      <c r="Z3188" s="93">
        <f>_xll.qlCalendarAdvance(Calendar,Z3187,Y3188,"f",FALSE)</f>
        <v>61499</v>
      </c>
      <c r="AA3188" s="117">
        <f>_xll.qlCalendarAdvance(Calendar,Z3188,NDays&amp;"D")</f>
        <v>61501</v>
      </c>
      <c r="AB3188" s="92">
        <v>1.140717530533923E-2</v>
      </c>
      <c r="AC3188" s="101">
        <v>1.1286126777916294E-2</v>
      </c>
    </row>
    <row r="3189" spans="25:29" x14ac:dyDescent="0.2">
      <c r="Y3189" s="105" t="str">
        <f t="shared" si="83"/>
        <v>1w</v>
      </c>
      <c r="Z3189" s="93">
        <f>_xll.qlCalendarAdvance(Calendar,Z3188,Y3189,"f",FALSE)</f>
        <v>61506</v>
      </c>
      <c r="AA3189" s="117">
        <f>_xll.qlCalendarAdvance(Calendar,Z3189,NDays&amp;"D")</f>
        <v>61508</v>
      </c>
      <c r="AB3189" s="92">
        <v>1.141392335782705E-2</v>
      </c>
      <c r="AC3189" s="101">
        <v>1.1293057151791075E-2</v>
      </c>
    </row>
    <row r="3190" spans="25:29" x14ac:dyDescent="0.2">
      <c r="Y3190" s="105" t="str">
        <f t="shared" si="83"/>
        <v>1w</v>
      </c>
      <c r="Z3190" s="93">
        <f>_xll.qlCalendarAdvance(Calendar,Z3189,Y3190,"f",FALSE)</f>
        <v>61513</v>
      </c>
      <c r="AA3190" s="117">
        <f>_xll.qlCalendarAdvance(Calendar,Z3190,NDays&amp;"D")</f>
        <v>61515</v>
      </c>
      <c r="AB3190" s="92">
        <v>1.1420654157412195E-2</v>
      </c>
      <c r="AC3190" s="101">
        <v>1.1299970826303962E-2</v>
      </c>
    </row>
    <row r="3191" spans="25:29" x14ac:dyDescent="0.2">
      <c r="Y3191" s="105" t="str">
        <f t="shared" si="83"/>
        <v>1w</v>
      </c>
      <c r="Z3191" s="93">
        <f>_xll.qlCalendarAdvance(Calendar,Z3190,Y3191,"f",FALSE)</f>
        <v>61520</v>
      </c>
      <c r="AA3191" s="117">
        <f>_xll.qlCalendarAdvance(Calendar,Z3191,NDays&amp;"D")</f>
        <v>61522</v>
      </c>
      <c r="AB3191" s="92">
        <v>1.1427367666996559E-2</v>
      </c>
      <c r="AC3191" s="101">
        <v>1.1306867764711015E-2</v>
      </c>
    </row>
    <row r="3192" spans="25:29" x14ac:dyDescent="0.2">
      <c r="Y3192" s="105" t="str">
        <f t="shared" si="83"/>
        <v>1w</v>
      </c>
      <c r="Z3192" s="93">
        <f>_xll.qlCalendarAdvance(Calendar,Z3191,Y3192,"f",FALSE)</f>
        <v>61527</v>
      </c>
      <c r="AA3192" s="117">
        <f>_xll.qlCalendarAdvance(Calendar,Z3192,NDays&amp;"D")</f>
        <v>61529</v>
      </c>
      <c r="AB3192" s="92">
        <v>1.1434063849486352E-2</v>
      </c>
      <c r="AC3192" s="101">
        <v>1.1313747930241647E-2</v>
      </c>
    </row>
    <row r="3193" spans="25:29" x14ac:dyDescent="0.2">
      <c r="Y3193" s="105" t="str">
        <f t="shared" si="83"/>
        <v>1w</v>
      </c>
      <c r="Z3193" s="93">
        <f>_xll.qlCalendarAdvance(Calendar,Z3192,Y3193,"f",FALSE)</f>
        <v>61534</v>
      </c>
      <c r="AA3193" s="117">
        <f>_xll.qlCalendarAdvance(Calendar,Z3193,NDays&amp;"D")</f>
        <v>61536</v>
      </c>
      <c r="AB3193" s="92">
        <v>1.14407426677839E-2</v>
      </c>
      <c r="AC3193" s="101">
        <v>1.1320611286258497E-2</v>
      </c>
    </row>
    <row r="3194" spans="25:29" x14ac:dyDescent="0.2">
      <c r="Y3194" s="105" t="str">
        <f t="shared" si="83"/>
        <v>1w</v>
      </c>
      <c r="Z3194" s="93">
        <f>_xll.qlCalendarAdvance(Calendar,Z3193,Y3194,"f",FALSE)</f>
        <v>61541</v>
      </c>
      <c r="AA3194" s="117">
        <f>_xll.qlCalendarAdvance(Calendar,Z3194,NDays&amp;"D")</f>
        <v>61543</v>
      </c>
      <c r="AB3194" s="92">
        <v>1.1447404084793684E-2</v>
      </c>
      <c r="AC3194" s="101">
        <v>1.1327457795990981E-2</v>
      </c>
    </row>
    <row r="3195" spans="25:29" x14ac:dyDescent="0.2">
      <c r="Y3195" s="105" t="str">
        <f t="shared" si="83"/>
        <v>1w</v>
      </c>
      <c r="Z3195" s="93">
        <f>_xll.qlCalendarAdvance(Calendar,Z3194,Y3195,"f",FALSE)</f>
        <v>61548</v>
      </c>
      <c r="AA3195" s="117">
        <f>_xll.qlCalendarAdvance(Calendar,Z3195,NDays&amp;"D")</f>
        <v>61550</v>
      </c>
      <c r="AB3195" s="92">
        <v>1.1454048063419759E-2</v>
      </c>
      <c r="AC3195" s="101">
        <v>1.1334287422855027E-2</v>
      </c>
    </row>
    <row r="3196" spans="25:29" x14ac:dyDescent="0.2">
      <c r="Y3196" s="105" t="str">
        <f t="shared" si="83"/>
        <v>1w</v>
      </c>
      <c r="Z3196" s="93">
        <f>_xll.qlCalendarAdvance(Calendar,Z3195,Y3196,"f",FALSE)</f>
        <v>61555</v>
      </c>
      <c r="AA3196" s="117">
        <f>_xll.qlCalendarAdvance(Calendar,Z3196,NDays&amp;"D")</f>
        <v>61557</v>
      </c>
      <c r="AB3196" s="92">
        <v>1.1460674566566608E-2</v>
      </c>
      <c r="AC3196" s="101">
        <v>1.134110013002676E-2</v>
      </c>
    </row>
    <row r="3197" spans="25:29" x14ac:dyDescent="0.2">
      <c r="Y3197" s="105" t="str">
        <f t="shared" si="83"/>
        <v>1w</v>
      </c>
      <c r="Z3197" s="93">
        <f>_xll.qlCalendarAdvance(Calendar,Z3196,Y3197,"f",FALSE)</f>
        <v>61562</v>
      </c>
      <c r="AA3197" s="117">
        <f>_xll.qlCalendarAdvance(Calendar,Z3197,NDays&amp;"D")</f>
        <v>61564</v>
      </c>
      <c r="AB3197" s="92">
        <v>1.1467283557136988E-2</v>
      </c>
      <c r="AC3197" s="101">
        <v>1.1347895880788883E-2</v>
      </c>
    </row>
    <row r="3198" spans="25:29" x14ac:dyDescent="0.2">
      <c r="Y3198" s="105" t="str">
        <f t="shared" si="83"/>
        <v>1w</v>
      </c>
      <c r="Z3198" s="93">
        <f>_xll.qlCalendarAdvance(Calendar,Z3197,Y3198,"f",FALSE)</f>
        <v>61569</v>
      </c>
      <c r="AA3198" s="117">
        <f>_xll.qlCalendarAdvance(Calendar,Z3198,NDays&amp;"D")</f>
        <v>61571</v>
      </c>
      <c r="AB3198" s="92">
        <v>1.1473874998034948E-2</v>
      </c>
      <c r="AC3198" s="101">
        <v>1.1354674638504036E-2</v>
      </c>
    </row>
    <row r="3199" spans="25:29" x14ac:dyDescent="0.2">
      <c r="Y3199" s="105" t="str">
        <f t="shared" si="83"/>
        <v>1w</v>
      </c>
      <c r="Z3199" s="93">
        <f>_xll.qlCalendarAdvance(Calendar,Z3198,Y3199,"f",FALSE)</f>
        <v>61576</v>
      </c>
      <c r="AA3199" s="117">
        <f>_xll.qlCalendarAdvance(Calendar,Z3199,NDays&amp;"D")</f>
        <v>61578</v>
      </c>
      <c r="AB3199" s="92">
        <v>1.1480448852164975E-2</v>
      </c>
      <c r="AC3199" s="101">
        <v>1.1361436366428279E-2</v>
      </c>
    </row>
    <row r="3200" spans="25:29" x14ac:dyDescent="0.2">
      <c r="Y3200" s="105" t="str">
        <f t="shared" si="83"/>
        <v>1w</v>
      </c>
      <c r="Z3200" s="93">
        <f>_xll.qlCalendarAdvance(Calendar,Z3199,Y3200,"f",FALSE)</f>
        <v>61583</v>
      </c>
      <c r="AA3200" s="117">
        <f>_xll.qlCalendarAdvance(Calendar,Z3200,NDays&amp;"D")</f>
        <v>61585</v>
      </c>
      <c r="AB3200" s="92">
        <v>1.1487005082430689E-2</v>
      </c>
      <c r="AC3200" s="101">
        <v>1.1368181027844315E-2</v>
      </c>
    </row>
    <row r="3201" spans="25:29" x14ac:dyDescent="0.2">
      <c r="Y3201" s="105" t="str">
        <f t="shared" si="83"/>
        <v>1w</v>
      </c>
      <c r="Z3201" s="93">
        <f>_xll.qlCalendarAdvance(Calendar,Z3200,Y3201,"f",FALSE)</f>
        <v>61590</v>
      </c>
      <c r="AA3201" s="117">
        <f>_xll.qlCalendarAdvance(Calendar,Z3201,NDays&amp;"D")</f>
        <v>61592</v>
      </c>
      <c r="AB3201" s="92">
        <v>1.1493543651736141E-2</v>
      </c>
      <c r="AC3201" s="101">
        <v>1.1374908586088139E-2</v>
      </c>
    </row>
    <row r="3202" spans="25:29" x14ac:dyDescent="0.2">
      <c r="Y3202" s="105" t="str">
        <f t="shared" si="83"/>
        <v>1w</v>
      </c>
      <c r="Z3202" s="93">
        <f>_xll.qlCalendarAdvance(Calendar,Z3201,Y3202,"f",FALSE)</f>
        <v>61597</v>
      </c>
      <c r="AA3202" s="117">
        <f>_xll.qlCalendarAdvance(Calendar,Z3202,NDays&amp;"D")</f>
        <v>61599</v>
      </c>
      <c r="AB3202" s="92">
        <v>1.1500064522983222E-2</v>
      </c>
      <c r="AC3202" s="101">
        <v>1.138161900436252E-2</v>
      </c>
    </row>
    <row r="3203" spans="25:29" x14ac:dyDescent="0.2">
      <c r="Y3203" s="105" t="str">
        <f t="shared" si="83"/>
        <v>1w</v>
      </c>
      <c r="Z3203" s="93">
        <f>_xll.qlCalendarAdvance(Calendar,Z3202,Y3203,"f",FALSE)</f>
        <v>61604</v>
      </c>
      <c r="AA3203" s="117">
        <f>_xll.qlCalendarAdvance(Calendar,Z3203,NDays&amp;"D")</f>
        <v>61606</v>
      </c>
      <c r="AB3203" s="92">
        <v>1.1503999719229009E-2</v>
      </c>
      <c r="AC3203" s="101">
        <v>1.1388312246083387E-2</v>
      </c>
    </row>
    <row r="3204" spans="25:29" x14ac:dyDescent="0.2">
      <c r="Y3204" s="105" t="str">
        <f t="shared" si="83"/>
        <v>1w</v>
      </c>
      <c r="Z3204" s="93">
        <f>_xll.qlCalendarAdvance(Calendar,Z3203,Y3204,"f",FALSE)</f>
        <v>61611</v>
      </c>
      <c r="AA3204" s="117">
        <f>_xll.qlCalendarAdvance(Calendar,Z3204,NDays&amp;"D")</f>
        <v>61613</v>
      </c>
      <c r="AB3204" s="92">
        <v>1.1510489383259923E-2</v>
      </c>
      <c r="AC3204" s="101">
        <v>1.1394988274373574E-2</v>
      </c>
    </row>
    <row r="3205" spans="25:29" x14ac:dyDescent="0.2">
      <c r="Y3205" s="105" t="str">
        <f t="shared" si="83"/>
        <v>1w</v>
      </c>
      <c r="Z3205" s="93">
        <f>_xll.qlCalendarAdvance(Calendar,Z3204,Y3205,"f",FALSE)</f>
        <v>61618</v>
      </c>
      <c r="AA3205" s="117">
        <f>_xll.qlCalendarAdvance(Calendar,Z3205,NDays&amp;"D")</f>
        <v>61620</v>
      </c>
      <c r="AB3205" s="92">
        <v>1.1516961250350781E-2</v>
      </c>
      <c r="AC3205" s="101">
        <v>1.1401647052728947E-2</v>
      </c>
    </row>
    <row r="3206" spans="25:29" x14ac:dyDescent="0.2">
      <c r="Y3206" s="105" t="str">
        <f t="shared" si="83"/>
        <v>1w</v>
      </c>
      <c r="Z3206" s="93">
        <f>_xll.qlCalendarAdvance(Calendar,Z3205,Y3206,"f",FALSE)</f>
        <v>61625</v>
      </c>
      <c r="AA3206" s="117">
        <f>_xll.qlCalendarAdvance(Calendar,Z3206,NDays&amp;"D")</f>
        <v>61627</v>
      </c>
      <c r="AB3206" s="92">
        <v>1.1523415283411697E-2</v>
      </c>
      <c r="AC3206" s="101">
        <v>1.1408288544325629E-2</v>
      </c>
    </row>
    <row r="3207" spans="25:29" x14ac:dyDescent="0.2">
      <c r="Y3207" s="105" t="str">
        <f t="shared" si="83"/>
        <v>1w</v>
      </c>
      <c r="Z3207" s="93">
        <f>_xll.qlCalendarAdvance(Calendar,Z3206,Y3207,"f",FALSE)</f>
        <v>61632</v>
      </c>
      <c r="AA3207" s="117">
        <f>_xll.qlCalendarAdvance(Calendar,Z3207,NDays&amp;"D")</f>
        <v>61634</v>
      </c>
      <c r="AB3207" s="92">
        <v>1.1530489247492226E-2</v>
      </c>
      <c r="AC3207" s="101">
        <v>1.1414912712419678E-2</v>
      </c>
    </row>
    <row r="3208" spans="25:29" x14ac:dyDescent="0.2">
      <c r="Y3208" s="105" t="str">
        <f t="shared" si="83"/>
        <v>1w</v>
      </c>
      <c r="Z3208" s="93">
        <f>_xll.qlCalendarAdvance(Calendar,Z3207,Y3208,"f",FALSE)</f>
        <v>61639</v>
      </c>
      <c r="AA3208" s="117">
        <f>_xll.qlCalendarAdvance(Calendar,Z3208,NDays&amp;"D")</f>
        <v>61641</v>
      </c>
      <c r="AB3208" s="92">
        <v>1.1536906414237026E-2</v>
      </c>
      <c r="AC3208" s="101">
        <v>1.1421519520373735E-2</v>
      </c>
    </row>
    <row r="3209" spans="25:29" x14ac:dyDescent="0.2">
      <c r="Y3209" s="105" t="str">
        <f t="shared" si="83"/>
        <v>1w</v>
      </c>
      <c r="Z3209" s="93">
        <f>_xll.qlCalendarAdvance(Calendar,Z3208,Y3209,"f",FALSE)</f>
        <v>61646</v>
      </c>
      <c r="AA3209" s="117">
        <f>_xll.qlCalendarAdvance(Calendar,Z3209,NDays&amp;"D")</f>
        <v>61648</v>
      </c>
      <c r="AB3209" s="92">
        <v>1.1545847219851236E-2</v>
      </c>
      <c r="AC3209" s="101">
        <v>1.1428108931470504E-2</v>
      </c>
    </row>
    <row r="3210" spans="25:29" x14ac:dyDescent="0.2">
      <c r="Y3210" s="105" t="str">
        <f t="shared" si="83"/>
        <v>1w</v>
      </c>
      <c r="Z3210" s="93">
        <f>_xll.qlCalendarAdvance(Calendar,Z3209,Y3210,"f",FALSE)</f>
        <v>61653</v>
      </c>
      <c r="AA3210" s="117">
        <f>_xll.qlCalendarAdvance(Calendar,Z3210,NDays&amp;"D")</f>
        <v>61655</v>
      </c>
      <c r="AB3210" s="92">
        <v>1.1549686865432836E-2</v>
      </c>
      <c r="AC3210" s="101">
        <v>1.1434680908939399E-2</v>
      </c>
    </row>
    <row r="3211" spans="25:29" x14ac:dyDescent="0.2">
      <c r="Y3211" s="105" t="str">
        <f t="shared" si="83"/>
        <v>1w</v>
      </c>
      <c r="Z3211" s="93">
        <f>_xll.qlCalendarAdvance(Calendar,Z3210,Y3211,"f",FALSE)</f>
        <v>61660</v>
      </c>
      <c r="AA3211" s="117">
        <f>_xll.qlCalendarAdvance(Calendar,Z3211,NDays&amp;"D")</f>
        <v>61662</v>
      </c>
      <c r="AB3211" s="92">
        <v>1.1556050075704941E-2</v>
      </c>
      <c r="AC3211" s="101">
        <v>1.1441235416169704E-2</v>
      </c>
    </row>
    <row r="3212" spans="25:29" x14ac:dyDescent="0.2">
      <c r="Y3212" s="105" t="str">
        <f t="shared" si="83"/>
        <v>1w</v>
      </c>
      <c r="Z3212" s="93">
        <f>_xll.qlCalendarAdvance(Calendar,Z3211,Y3212,"f",FALSE)</f>
        <v>61667</v>
      </c>
      <c r="AA3212" s="117">
        <f>_xll.qlCalendarAdvance(Calendar,Z3212,NDays&amp;"D")</f>
        <v>61669</v>
      </c>
      <c r="AB3212" s="92">
        <v>1.1561762890262976E-2</v>
      </c>
      <c r="AC3212" s="101">
        <v>1.1447772416337543E-2</v>
      </c>
    </row>
    <row r="3213" spans="25:29" x14ac:dyDescent="0.2">
      <c r="Y3213" s="105" t="str">
        <f t="shared" si="83"/>
        <v>1w</v>
      </c>
      <c r="Z3213" s="93">
        <f>_xll.qlCalendarAdvance(Calendar,Z3212,Y3213,"f",FALSE)</f>
        <v>61674</v>
      </c>
      <c r="AA3213" s="117">
        <f>_xll.qlCalendarAdvance(Calendar,Z3213,NDays&amp;"D")</f>
        <v>61676</v>
      </c>
      <c r="AB3213" s="92">
        <v>1.1568091046667169E-2</v>
      </c>
      <c r="AC3213" s="101">
        <v>1.1454291872885491E-2</v>
      </c>
    </row>
    <row r="3214" spans="25:29" x14ac:dyDescent="0.2">
      <c r="Y3214" s="105" t="str">
        <f t="shared" si="83"/>
        <v>1w</v>
      </c>
      <c r="Z3214" s="93">
        <f>_xll.qlCalendarAdvance(Calendar,Z3213,Y3214,"f",FALSE)</f>
        <v>61681</v>
      </c>
      <c r="AA3214" s="117">
        <f>_xll.qlCalendarAdvance(Calendar,Z3214,NDays&amp;"D")</f>
        <v>61683</v>
      </c>
      <c r="AB3214" s="92">
        <v>1.1574401072341296E-2</v>
      </c>
      <c r="AC3214" s="101">
        <v>1.1460793748963027E-2</v>
      </c>
    </row>
    <row r="3215" spans="25:29" x14ac:dyDescent="0.2">
      <c r="Y3215" s="105" t="str">
        <f t="shared" si="83"/>
        <v>1w</v>
      </c>
      <c r="Z3215" s="93">
        <f>_xll.qlCalendarAdvance(Calendar,Z3214,Y3215,"f",FALSE)</f>
        <v>61688</v>
      </c>
      <c r="AA3215" s="117">
        <f>_xll.qlCalendarAdvance(Calendar,Z3215,NDays&amp;"D")</f>
        <v>61690</v>
      </c>
      <c r="AB3215" s="92">
        <v>1.1580692930196791E-2</v>
      </c>
      <c r="AC3215" s="101">
        <v>1.1467278007906145E-2</v>
      </c>
    </row>
    <row r="3216" spans="25:29" x14ac:dyDescent="0.2">
      <c r="Y3216" s="105" t="str">
        <f t="shared" si="83"/>
        <v>1w</v>
      </c>
      <c r="Z3216" s="93">
        <f>_xll.qlCalendarAdvance(Calendar,Z3215,Y3216,"f",FALSE)</f>
        <v>61695</v>
      </c>
      <c r="AA3216" s="117">
        <f>_xll.qlCalendarAdvance(Calendar,Z3216,NDays&amp;"D")</f>
        <v>61697</v>
      </c>
      <c r="AB3216" s="92">
        <v>1.1587594490206962E-2</v>
      </c>
      <c r="AC3216" s="101">
        <v>1.147374461305084E-2</v>
      </c>
    </row>
    <row r="3217" spans="25:29" x14ac:dyDescent="0.2">
      <c r="Y3217" s="105" t="str">
        <f t="shared" si="83"/>
        <v>1w</v>
      </c>
      <c r="Z3217" s="93">
        <f>_xll.qlCalendarAdvance(Calendar,Z3216,Y3217,"f",FALSE)</f>
        <v>61702</v>
      </c>
      <c r="AA3217" s="117">
        <f>_xll.qlCalendarAdvance(Calendar,Z3217,NDays&amp;"D")</f>
        <v>61704</v>
      </c>
      <c r="AB3217" s="92">
        <v>1.1593848786108358E-2</v>
      </c>
      <c r="AC3217" s="101">
        <v>1.1480193527626525E-2</v>
      </c>
    </row>
    <row r="3218" spans="25:29" x14ac:dyDescent="0.2">
      <c r="Y3218" s="105" t="str">
        <f t="shared" si="83"/>
        <v>1w</v>
      </c>
      <c r="Z3218" s="93">
        <f>_xll.qlCalendarAdvance(Calendar,Z3217,Y3218,"f",FALSE)</f>
        <v>61709</v>
      </c>
      <c r="AA3218" s="117">
        <f>_xll.qlCalendarAdvance(Calendar,Z3218,NDays&amp;"D")</f>
        <v>61711</v>
      </c>
      <c r="AB3218" s="92">
        <v>1.160008479980016E-2</v>
      </c>
      <c r="AC3218" s="101">
        <v>1.1486624714969196E-2</v>
      </c>
    </row>
    <row r="3219" spans="25:29" x14ac:dyDescent="0.2">
      <c r="Y3219" s="105" t="str">
        <f t="shared" si="83"/>
        <v>1w</v>
      </c>
      <c r="Z3219" s="93">
        <f>_xll.qlCalendarAdvance(Calendar,Z3218,Y3219,"f",FALSE)</f>
        <v>61716</v>
      </c>
      <c r="AA3219" s="117">
        <f>_xll.qlCalendarAdvance(Calendar,Z3219,NDays&amp;"D")</f>
        <v>61718</v>
      </c>
      <c r="AB3219" s="92">
        <v>1.1606302494194237E-2</v>
      </c>
      <c r="AC3219" s="101">
        <v>1.149303813833491E-2</v>
      </c>
    </row>
    <row r="3220" spans="25:29" x14ac:dyDescent="0.2">
      <c r="Y3220" s="105" t="str">
        <f t="shared" si="83"/>
        <v>1w</v>
      </c>
      <c r="Z3220" s="93">
        <f>_xll.qlCalendarAdvance(Calendar,Z3219,Y3220,"f",FALSE)</f>
        <v>61724</v>
      </c>
      <c r="AA3220" s="117">
        <f>_xll.qlCalendarAdvance(Calendar,Z3220,NDays&amp;"D")</f>
        <v>61728</v>
      </c>
      <c r="AB3220" s="92">
        <v>1.1613283942892799E-2</v>
      </c>
      <c r="AC3220" s="101">
        <v>1.1501529939530464E-2</v>
      </c>
    </row>
    <row r="3221" spans="25:29" x14ac:dyDescent="0.2">
      <c r="Y3221" s="105" t="str">
        <f t="shared" ref="Y3221:Y3284" si="84">Y3220</f>
        <v>1w</v>
      </c>
      <c r="Z3221" s="93">
        <f>_xll.qlCalendarAdvance(Calendar,Z3220,Y3221,"f",FALSE)</f>
        <v>61731</v>
      </c>
      <c r="AA3221" s="117">
        <f>_xll.qlCalendarAdvance(Calendar,Z3221,NDays&amp;"D")</f>
        <v>61735</v>
      </c>
      <c r="AB3221" s="92">
        <v>1.1621326113105799E-2</v>
      </c>
      <c r="AC3221" s="101">
        <v>1.1507262781851324E-2</v>
      </c>
    </row>
    <row r="3222" spans="25:29" x14ac:dyDescent="0.2">
      <c r="Y3222" s="105" t="str">
        <f t="shared" si="84"/>
        <v>1w</v>
      </c>
      <c r="Z3222" s="93">
        <f>_xll.qlCalendarAdvance(Calendar,Z3221,Y3222,"f",FALSE)</f>
        <v>61738</v>
      </c>
      <c r="AA3222" s="117">
        <f>_xll.qlCalendarAdvance(Calendar,Z3222,NDays&amp;"D")</f>
        <v>61742</v>
      </c>
      <c r="AB3222" s="92">
        <v>1.1627480716898559E-2</v>
      </c>
      <c r="AC3222" s="101">
        <v>1.1513617173424251E-2</v>
      </c>
    </row>
    <row r="3223" spans="25:29" x14ac:dyDescent="0.2">
      <c r="Y3223" s="105" t="str">
        <f t="shared" si="84"/>
        <v>1w</v>
      </c>
      <c r="Z3223" s="93">
        <f>_xll.qlCalendarAdvance(Calendar,Z3222,Y3223,"f",FALSE)</f>
        <v>61745</v>
      </c>
      <c r="AA3223" s="117">
        <f>_xll.qlCalendarAdvance(Calendar,Z3223,NDays&amp;"D")</f>
        <v>61749</v>
      </c>
      <c r="AB3223" s="92">
        <v>1.163361683713905E-2</v>
      </c>
      <c r="AC3223" s="101">
        <v>1.1519953644532066E-2</v>
      </c>
    </row>
    <row r="3224" spans="25:29" x14ac:dyDescent="0.2">
      <c r="Y3224" s="105" t="str">
        <f t="shared" si="84"/>
        <v>1w</v>
      </c>
      <c r="Z3224" s="93">
        <f>_xll.qlCalendarAdvance(Calendar,Z3223,Y3224,"f",FALSE)</f>
        <v>61752</v>
      </c>
      <c r="AA3224" s="117">
        <f>_xll.qlCalendarAdvance(Calendar,Z3224,NDays&amp;"D")</f>
        <v>61756</v>
      </c>
      <c r="AB3224" s="92">
        <v>1.1639734436738255E-2</v>
      </c>
      <c r="AC3224" s="101">
        <v>1.1526272158643991E-2</v>
      </c>
    </row>
    <row r="3225" spans="25:29" x14ac:dyDescent="0.2">
      <c r="Y3225" s="105" t="str">
        <f t="shared" si="84"/>
        <v>1w</v>
      </c>
      <c r="Z3225" s="93">
        <f>_xll.qlCalendarAdvance(Calendar,Z3224,Y3225,"f",FALSE)</f>
        <v>61759</v>
      </c>
      <c r="AA3225" s="117">
        <f>_xll.qlCalendarAdvance(Calendar,Z3225,NDays&amp;"D")</f>
        <v>61763</v>
      </c>
      <c r="AB3225" s="92">
        <v>1.1645833478607164E-2</v>
      </c>
      <c r="AC3225" s="101">
        <v>1.1532572679069375E-2</v>
      </c>
    </row>
    <row r="3226" spans="25:29" x14ac:dyDescent="0.2">
      <c r="Y3226" s="105" t="str">
        <f t="shared" si="84"/>
        <v>1w</v>
      </c>
      <c r="Z3226" s="93">
        <f>_xll.qlCalendarAdvance(Calendar,Z3225,Y3226,"f",FALSE)</f>
        <v>61766</v>
      </c>
      <c r="AA3226" s="117">
        <f>_xll.qlCalendarAdvance(Calendar,Z3226,NDays&amp;"D")</f>
        <v>61770</v>
      </c>
      <c r="AB3226" s="92">
        <v>1.1651913925655882E-2</v>
      </c>
      <c r="AC3226" s="101">
        <v>1.153885516887776E-2</v>
      </c>
    </row>
    <row r="3227" spans="25:29" x14ac:dyDescent="0.2">
      <c r="Y3227" s="105" t="str">
        <f t="shared" si="84"/>
        <v>1w</v>
      </c>
      <c r="Z3227" s="93">
        <f>_xll.qlCalendarAdvance(Calendar,Z3226,Y3227,"f",FALSE)</f>
        <v>61773</v>
      </c>
      <c r="AA3227" s="117">
        <f>_xll.qlCalendarAdvance(Calendar,Z3227,NDays&amp;"D")</f>
        <v>61777</v>
      </c>
      <c r="AB3227" s="92">
        <v>1.1657975740795839E-2</v>
      </c>
      <c r="AC3227" s="101">
        <v>1.1545119591538366E-2</v>
      </c>
    </row>
    <row r="3228" spans="25:29" x14ac:dyDescent="0.2">
      <c r="Y3228" s="105" t="str">
        <f t="shared" si="84"/>
        <v>1w</v>
      </c>
      <c r="Z3228" s="93">
        <f>_xll.qlCalendarAdvance(Calendar,Z3227,Y3228,"f",FALSE)</f>
        <v>61780</v>
      </c>
      <c r="AA3228" s="117">
        <f>_xll.qlCalendarAdvance(Calendar,Z3228,NDays&amp;"D")</f>
        <v>61784</v>
      </c>
      <c r="AB3228" s="92">
        <v>1.1664018886938457E-2</v>
      </c>
      <c r="AC3228" s="101">
        <v>1.1551365910440481E-2</v>
      </c>
    </row>
    <row r="3229" spans="25:29" x14ac:dyDescent="0.2">
      <c r="Y3229" s="105" t="str">
        <f t="shared" si="84"/>
        <v>1w</v>
      </c>
      <c r="Z3229" s="93">
        <f>_xll.qlCalendarAdvance(Calendar,Z3228,Y3229,"f",FALSE)</f>
        <v>61787</v>
      </c>
      <c r="AA3229" s="117">
        <f>_xll.qlCalendarAdvance(Calendar,Z3229,NDays&amp;"D")</f>
        <v>61791</v>
      </c>
      <c r="AB3229" s="92">
        <v>1.1671268377257477E-2</v>
      </c>
      <c r="AC3229" s="101">
        <v>1.1557594088573708E-2</v>
      </c>
    </row>
    <row r="3230" spans="25:29" x14ac:dyDescent="0.2">
      <c r="Y3230" s="105" t="str">
        <f t="shared" si="84"/>
        <v>1w</v>
      </c>
      <c r="Z3230" s="93">
        <f>_xll.qlCalendarAdvance(Calendar,Z3229,Y3230,"f",FALSE)</f>
        <v>61794</v>
      </c>
      <c r="AA3230" s="117">
        <f>_xll.qlCalendarAdvance(Calendar,Z3230,NDays&amp;"D")</f>
        <v>61798</v>
      </c>
      <c r="AB3230" s="92">
        <v>1.1677271758689886E-2</v>
      </c>
      <c r="AC3230" s="101">
        <v>1.1563804089567142E-2</v>
      </c>
    </row>
    <row r="3231" spans="25:29" x14ac:dyDescent="0.2">
      <c r="Y3231" s="105" t="str">
        <f t="shared" si="84"/>
        <v>1w</v>
      </c>
      <c r="Z3231" s="93">
        <f>_xll.qlCalendarAdvance(Calendar,Z3230,Y3231,"f",FALSE)</f>
        <v>61801</v>
      </c>
      <c r="AA3231" s="117">
        <f>_xll.qlCalendarAdvance(Calendar,Z3231,NDays&amp;"D")</f>
        <v>61805</v>
      </c>
      <c r="AB3231" s="92">
        <v>1.1683256353542611E-2</v>
      </c>
      <c r="AC3231" s="101">
        <v>1.1569995876490324E-2</v>
      </c>
    </row>
    <row r="3232" spans="25:29" x14ac:dyDescent="0.2">
      <c r="Y3232" s="105" t="str">
        <f t="shared" si="84"/>
        <v>1w</v>
      </c>
      <c r="Z3232" s="93">
        <f>_xll.qlCalendarAdvance(Calendar,Z3231,Y3232,"f",FALSE)</f>
        <v>61808</v>
      </c>
      <c r="AA3232" s="117">
        <f>_xll.qlCalendarAdvance(Calendar,Z3232,NDays&amp;"D")</f>
        <v>61812</v>
      </c>
      <c r="AB3232" s="92">
        <v>1.168922212472228E-2</v>
      </c>
      <c r="AC3232" s="101">
        <v>1.157616941273254E-2</v>
      </c>
    </row>
    <row r="3233" spans="25:29" x14ac:dyDescent="0.2">
      <c r="Y3233" s="105" t="str">
        <f t="shared" si="84"/>
        <v>1w</v>
      </c>
      <c r="Z3233" s="93">
        <f>_xll.qlCalendarAdvance(Calendar,Z3232,Y3233,"f",FALSE)</f>
        <v>61815</v>
      </c>
      <c r="AA3233" s="117">
        <f>_xll.qlCalendarAdvance(Calendar,Z3233,NDays&amp;"D")</f>
        <v>61819</v>
      </c>
      <c r="AB3233" s="92">
        <v>1.1694561209362898E-2</v>
      </c>
      <c r="AC3233" s="101">
        <v>1.1582324661523202E-2</v>
      </c>
    </row>
    <row r="3234" spans="25:29" x14ac:dyDescent="0.2">
      <c r="Y3234" s="105" t="str">
        <f t="shared" si="84"/>
        <v>1w</v>
      </c>
      <c r="Z3234" s="93">
        <f>_xll.qlCalendarAdvance(Calendar,Z3233,Y3234,"f",FALSE)</f>
        <v>61822</v>
      </c>
      <c r="AA3234" s="117">
        <f>_xll.qlCalendarAdvance(Calendar,Z3234,NDays&amp;"D")</f>
        <v>61826</v>
      </c>
      <c r="AB3234" s="92">
        <v>1.1700490392446203E-2</v>
      </c>
      <c r="AC3234" s="101">
        <v>1.1588461586331533E-2</v>
      </c>
    </row>
    <row r="3235" spans="25:29" x14ac:dyDescent="0.2">
      <c r="Y3235" s="105" t="str">
        <f t="shared" si="84"/>
        <v>1w</v>
      </c>
      <c r="Z3235" s="93">
        <f>_xll.qlCalendarAdvance(Calendar,Z3234,Y3235,"f",FALSE)</f>
        <v>61829</v>
      </c>
      <c r="AA3235" s="117">
        <f>_xll.qlCalendarAdvance(Calendar,Z3235,NDays&amp;"D")</f>
        <v>61835</v>
      </c>
      <c r="AB3235" s="92">
        <v>1.1708085804515553E-2</v>
      </c>
      <c r="AC3235" s="101">
        <v>1.1596324933824675E-2</v>
      </c>
    </row>
    <row r="3236" spans="25:29" x14ac:dyDescent="0.2">
      <c r="Y3236" s="105" t="str">
        <f t="shared" si="84"/>
        <v>1w</v>
      </c>
      <c r="Z3236" s="93">
        <f>_xll.qlCalendarAdvance(Calendar,Z3235,Y3236,"f",FALSE)</f>
        <v>61836</v>
      </c>
      <c r="AA3236" s="117">
        <f>_xll.qlCalendarAdvance(Calendar,Z3236,NDays&amp;"D")</f>
        <v>61840</v>
      </c>
      <c r="AB3236" s="92">
        <v>1.1712291926168055E-2</v>
      </c>
      <c r="AC3236" s="101">
        <v>1.1600680316679046E-2</v>
      </c>
    </row>
    <row r="3237" spans="25:29" x14ac:dyDescent="0.2">
      <c r="Y3237" s="105" t="str">
        <f t="shared" si="84"/>
        <v>1w</v>
      </c>
      <c r="Z3237" s="93">
        <f>_xll.qlCalendarAdvance(Calendar,Z3236,Y3237,"f",FALSE)</f>
        <v>61843</v>
      </c>
      <c r="AA3237" s="117">
        <f>_xll.qlCalendarAdvance(Calendar,Z3237,NDays&amp;"D")</f>
        <v>61847</v>
      </c>
      <c r="AB3237" s="92">
        <v>1.1718164202625501E-2</v>
      </c>
      <c r="AC3237" s="101">
        <v>1.1606762048916863E-2</v>
      </c>
    </row>
    <row r="3238" spans="25:29" x14ac:dyDescent="0.2">
      <c r="Y3238" s="105" t="str">
        <f t="shared" si="84"/>
        <v>1w</v>
      </c>
      <c r="Z3238" s="93">
        <f>_xll.qlCalendarAdvance(Calendar,Z3237,Y3238,"f",FALSE)</f>
        <v>61850</v>
      </c>
      <c r="AA3238" s="117">
        <f>_xll.qlCalendarAdvance(Calendar,Z3238,NDays&amp;"D")</f>
        <v>61854</v>
      </c>
      <c r="AB3238" s="92">
        <v>1.1724619377482936E-2</v>
      </c>
      <c r="AC3238" s="101">
        <v>1.1612825310090003E-2</v>
      </c>
    </row>
    <row r="3239" spans="25:29" x14ac:dyDescent="0.2">
      <c r="Y3239" s="105" t="str">
        <f t="shared" si="84"/>
        <v>1w</v>
      </c>
      <c r="Z3239" s="93">
        <f>_xll.qlCalendarAdvance(Calendar,Z3238,Y3239,"f",FALSE)</f>
        <v>61857</v>
      </c>
      <c r="AA3239" s="117">
        <f>_xll.qlCalendarAdvance(Calendar,Z3239,NDays&amp;"D")</f>
        <v>61861</v>
      </c>
      <c r="AB3239" s="92">
        <v>1.1730452344359833E-2</v>
      </c>
      <c r="AC3239" s="101">
        <v>1.1618870063827558E-2</v>
      </c>
    </row>
    <row r="3240" spans="25:29" x14ac:dyDescent="0.2">
      <c r="Y3240" s="105" t="str">
        <f t="shared" si="84"/>
        <v>1w</v>
      </c>
      <c r="Z3240" s="93">
        <f>_xll.qlCalendarAdvance(Calendar,Z3239,Y3240,"f",FALSE)</f>
        <v>61864</v>
      </c>
      <c r="AA3240" s="117">
        <f>_xll.qlCalendarAdvance(Calendar,Z3240,NDays&amp;"D")</f>
        <v>61868</v>
      </c>
      <c r="AB3240" s="92">
        <v>1.1736266190823652E-2</v>
      </c>
      <c r="AC3240" s="101">
        <v>1.1624896273119134E-2</v>
      </c>
    </row>
    <row r="3241" spans="25:29" x14ac:dyDescent="0.2">
      <c r="Y3241" s="105" t="str">
        <f t="shared" si="84"/>
        <v>1w</v>
      </c>
      <c r="Z3241" s="93">
        <f>_xll.qlCalendarAdvance(Calendar,Z3240,Y3241,"f",FALSE)</f>
        <v>61871</v>
      </c>
      <c r="AA3241" s="117">
        <f>_xll.qlCalendarAdvance(Calendar,Z3241,NDays&amp;"D")</f>
        <v>61875</v>
      </c>
      <c r="AB3241" s="92">
        <v>1.1742060879782757E-2</v>
      </c>
      <c r="AC3241" s="101">
        <v>1.1630903901433953E-2</v>
      </c>
    </row>
    <row r="3242" spans="25:29" x14ac:dyDescent="0.2">
      <c r="Y3242" s="105" t="str">
        <f t="shared" si="84"/>
        <v>1w</v>
      </c>
      <c r="Z3242" s="93">
        <f>_xll.qlCalendarAdvance(Calendar,Z3241,Y3242,"f",FALSE)</f>
        <v>61878</v>
      </c>
      <c r="AA3242" s="117">
        <f>_xll.qlCalendarAdvance(Calendar,Z3242,NDays&amp;"D")</f>
        <v>61882</v>
      </c>
      <c r="AB3242" s="92">
        <v>1.1747239197275633E-2</v>
      </c>
      <c r="AC3242" s="101">
        <v>1.1636892911921493E-2</v>
      </c>
    </row>
    <row r="3243" spans="25:29" x14ac:dyDescent="0.2">
      <c r="Y3243" s="105" t="str">
        <f t="shared" si="84"/>
        <v>1w</v>
      </c>
      <c r="Z3243" s="93">
        <f>_xll.qlCalendarAdvance(Calendar,Z3242,Y3243,"f",FALSE)</f>
        <v>61885</v>
      </c>
      <c r="AA3243" s="117">
        <f>_xll.qlCalendarAdvance(Calendar,Z3243,NDays&amp;"D")</f>
        <v>61889</v>
      </c>
      <c r="AB3243" s="92">
        <v>1.1752996659048545E-2</v>
      </c>
      <c r="AC3243" s="101">
        <v>1.1642863267891101E-2</v>
      </c>
    </row>
    <row r="3244" spans="25:29" x14ac:dyDescent="0.2">
      <c r="Y3244" s="105" t="str">
        <f t="shared" si="84"/>
        <v>1w</v>
      </c>
      <c r="Z3244" s="93">
        <f>_xll.qlCalendarAdvance(Calendar,Z3243,Y3244,"f",FALSE)</f>
        <v>61892</v>
      </c>
      <c r="AA3244" s="117">
        <f>_xll.qlCalendarAdvance(Calendar,Z3244,NDays&amp;"D")</f>
        <v>61896</v>
      </c>
      <c r="AB3244" s="92">
        <v>1.1758734855226872E-2</v>
      </c>
      <c r="AC3244" s="101">
        <v>1.1648814932971874E-2</v>
      </c>
    </row>
    <row r="3245" spans="25:29" x14ac:dyDescent="0.2">
      <c r="Y3245" s="105" t="str">
        <f t="shared" si="84"/>
        <v>1w</v>
      </c>
      <c r="Z3245" s="93">
        <f>_xll.qlCalendarAdvance(Calendar,Z3244,Y3245,"f",FALSE)</f>
        <v>61899</v>
      </c>
      <c r="AA3245" s="117">
        <f>_xll.qlCalendarAdvance(Calendar,Z3245,NDays&amp;"D")</f>
        <v>61903</v>
      </c>
      <c r="AB3245" s="92">
        <v>1.1764453748721157E-2</v>
      </c>
      <c r="AC3245" s="101">
        <v>1.1654747870073479E-2</v>
      </c>
    </row>
    <row r="3246" spans="25:29" x14ac:dyDescent="0.2">
      <c r="Y3246" s="105" t="str">
        <f t="shared" si="84"/>
        <v>1w</v>
      </c>
      <c r="Z3246" s="93">
        <f>_xll.qlCalendarAdvance(Calendar,Z3245,Y3246,"f",FALSE)</f>
        <v>61906</v>
      </c>
      <c r="AA3246" s="117">
        <f>_xll.qlCalendarAdvance(Calendar,Z3246,NDays&amp;"D")</f>
        <v>61910</v>
      </c>
      <c r="AB3246" s="92">
        <v>1.1771337921900061E-2</v>
      </c>
      <c r="AC3246" s="101">
        <v>1.1660662042505265E-2</v>
      </c>
    </row>
    <row r="3247" spans="25:29" x14ac:dyDescent="0.2">
      <c r="Y3247" s="105" t="str">
        <f t="shared" si="84"/>
        <v>1w</v>
      </c>
      <c r="Z3247" s="93">
        <f>_xll.qlCalendarAdvance(Calendar,Z3246,Y3247,"f",FALSE)</f>
        <v>61913</v>
      </c>
      <c r="AA3247" s="117">
        <f>_xll.qlCalendarAdvance(Calendar,Z3247,NDays&amp;"D")</f>
        <v>61917</v>
      </c>
      <c r="AB3247" s="92">
        <v>1.1776424628799088E-2</v>
      </c>
      <c r="AC3247" s="101">
        <v>1.1666557413816392E-2</v>
      </c>
    </row>
    <row r="3248" spans="25:29" x14ac:dyDescent="0.2">
      <c r="Y3248" s="105" t="str">
        <f t="shared" si="84"/>
        <v>1w</v>
      </c>
      <c r="Z3248" s="93">
        <f>_xll.qlCalendarAdvance(Calendar,Z3247,Y3248,"f",FALSE)</f>
        <v>61920</v>
      </c>
      <c r="AA3248" s="117">
        <f>_xll.qlCalendarAdvance(Calendar,Z3248,NDays&amp;"D")</f>
        <v>61924</v>
      </c>
      <c r="AB3248" s="92">
        <v>1.1782084176659014E-2</v>
      </c>
      <c r="AC3248" s="101">
        <v>1.1672433947156335E-2</v>
      </c>
    </row>
    <row r="3249" spans="25:29" x14ac:dyDescent="0.2">
      <c r="Y3249" s="105" t="str">
        <f t="shared" si="84"/>
        <v>1w</v>
      </c>
      <c r="Z3249" s="93">
        <f>_xll.qlCalendarAdvance(Calendar,Z3248,Y3249,"f",FALSE)</f>
        <v>61927</v>
      </c>
      <c r="AA3249" s="117">
        <f>_xll.qlCalendarAdvance(Calendar,Z3249,NDays&amp;"D")</f>
        <v>61931</v>
      </c>
      <c r="AB3249" s="92">
        <v>1.1787724270282456E-2</v>
      </c>
      <c r="AC3249" s="101">
        <v>1.1678291605674573E-2</v>
      </c>
    </row>
    <row r="3250" spans="25:29" x14ac:dyDescent="0.2">
      <c r="Y3250" s="105" t="str">
        <f t="shared" si="84"/>
        <v>1w</v>
      </c>
      <c r="Z3250" s="93">
        <f>_xll.qlCalendarAdvance(Calendar,Z3249,Y3250,"f",FALSE)</f>
        <v>61934</v>
      </c>
      <c r="AA3250" s="117">
        <f>_xll.qlCalendarAdvance(Calendar,Z3250,NDays&amp;"D")</f>
        <v>61938</v>
      </c>
      <c r="AB3250" s="92">
        <v>1.1793344872578651E-2</v>
      </c>
      <c r="AC3250" s="101">
        <v>1.1684130352920263E-2</v>
      </c>
    </row>
    <row r="3251" spans="25:29" x14ac:dyDescent="0.2">
      <c r="Y3251" s="105" t="str">
        <f t="shared" si="84"/>
        <v>1w</v>
      </c>
      <c r="Z3251" s="93">
        <f>_xll.qlCalendarAdvance(Calendar,Z3250,Y3251,"f",FALSE)</f>
        <v>61941</v>
      </c>
      <c r="AA3251" s="117">
        <f>_xll.qlCalendarAdvance(Calendar,Z3251,NDays&amp;"D")</f>
        <v>61945</v>
      </c>
      <c r="AB3251" s="92">
        <v>1.1798945946457267E-2</v>
      </c>
      <c r="AC3251" s="101">
        <v>1.1689950152122819E-2</v>
      </c>
    </row>
    <row r="3252" spans="25:29" x14ac:dyDescent="0.2">
      <c r="Y3252" s="105" t="str">
        <f t="shared" si="84"/>
        <v>1w</v>
      </c>
      <c r="Z3252" s="93">
        <f>_xll.qlCalendarAdvance(Calendar,Z3251,Y3252,"f",FALSE)</f>
        <v>61948</v>
      </c>
      <c r="AA3252" s="117">
        <f>_xll.qlCalendarAdvance(Calendar,Z3252,NDays&amp;"D")</f>
        <v>61952</v>
      </c>
      <c r="AB3252" s="92">
        <v>1.1804527454828842E-2</v>
      </c>
      <c r="AC3252" s="101">
        <v>1.1695750966591589E-2</v>
      </c>
    </row>
    <row r="3253" spans="25:29" x14ac:dyDescent="0.2">
      <c r="Y3253" s="105" t="str">
        <f t="shared" si="84"/>
        <v>1w</v>
      </c>
      <c r="Z3253" s="93">
        <f>_xll.qlCalendarAdvance(Calendar,Z3252,Y3253,"f",FALSE)</f>
        <v>61955</v>
      </c>
      <c r="AA3253" s="117">
        <f>_xll.qlCalendarAdvance(Calendar,Z3253,NDays&amp;"D")</f>
        <v>61959</v>
      </c>
      <c r="AB3253" s="92">
        <v>1.1810089360600873E-2</v>
      </c>
      <c r="AC3253" s="101">
        <v>1.1701532759396116E-2</v>
      </c>
    </row>
    <row r="3254" spans="25:29" x14ac:dyDescent="0.2">
      <c r="Y3254" s="105" t="str">
        <f t="shared" si="84"/>
        <v>1w</v>
      </c>
      <c r="Z3254" s="93">
        <f>_xll.qlCalendarAdvance(Calendar,Z3253,Y3254,"f",FALSE)</f>
        <v>61962</v>
      </c>
      <c r="AA3254" s="117">
        <f>_xll.qlCalendarAdvance(Calendar,Z3254,NDays&amp;"D")</f>
        <v>61966</v>
      </c>
      <c r="AB3254" s="92">
        <v>1.1815631626685202E-2</v>
      </c>
      <c r="AC3254" s="101">
        <v>1.1707295494165493E-2</v>
      </c>
    </row>
    <row r="3255" spans="25:29" x14ac:dyDescent="0.2">
      <c r="Y3255" s="105" t="str">
        <f t="shared" si="84"/>
        <v>1w</v>
      </c>
      <c r="Z3255" s="93">
        <f>_xll.qlCalendarAdvance(Calendar,Z3254,Y3255,"f",FALSE)</f>
        <v>61969</v>
      </c>
      <c r="AA3255" s="117">
        <f>_xll.qlCalendarAdvance(Calendar,Z3255,NDays&amp;"D")</f>
        <v>61973</v>
      </c>
      <c r="AB3255" s="92">
        <v>1.1819991430801773E-2</v>
      </c>
      <c r="AC3255" s="101">
        <v>1.1713039133969261E-2</v>
      </c>
    </row>
    <row r="3256" spans="25:29" x14ac:dyDescent="0.2">
      <c r="Y3256" s="105" t="str">
        <f t="shared" si="84"/>
        <v>1w</v>
      </c>
      <c r="Z3256" s="93">
        <f>_xll.qlCalendarAdvance(Calendar,Z3255,Y3256,"f",FALSE)</f>
        <v>61976</v>
      </c>
      <c r="AA3256" s="117">
        <f>_xll.qlCalendarAdvance(Calendar,Z3256,NDays&amp;"D")</f>
        <v>61980</v>
      </c>
      <c r="AB3256" s="92">
        <v>1.1825496787256884E-2</v>
      </c>
      <c r="AC3256" s="101">
        <v>1.171876364211677E-2</v>
      </c>
    </row>
    <row r="3257" spans="25:29" x14ac:dyDescent="0.2">
      <c r="Y3257" s="105" t="str">
        <f t="shared" si="84"/>
        <v>1w</v>
      </c>
      <c r="Z3257" s="93">
        <f>_xll.qlCalendarAdvance(Calendar,Z3256,Y3257,"f",FALSE)</f>
        <v>61983</v>
      </c>
      <c r="AA3257" s="117">
        <f>_xll.qlCalendarAdvance(Calendar,Z3257,NDays&amp;"D")</f>
        <v>61987</v>
      </c>
      <c r="AB3257" s="92">
        <v>1.1830982399179832E-2</v>
      </c>
      <c r="AC3257" s="101">
        <v>1.1724468982077241E-2</v>
      </c>
    </row>
    <row r="3258" spans="25:29" x14ac:dyDescent="0.2">
      <c r="Y3258" s="105" t="str">
        <f t="shared" si="84"/>
        <v>1w</v>
      </c>
      <c r="Z3258" s="93">
        <f>_xll.qlCalendarAdvance(Calendar,Z3257,Y3258,"f",FALSE)</f>
        <v>61990</v>
      </c>
      <c r="AA3258" s="117">
        <f>_xll.qlCalendarAdvance(Calendar,Z3258,NDays&amp;"D")</f>
        <v>61994</v>
      </c>
      <c r="AB3258" s="92">
        <v>1.1836448229484238E-2</v>
      </c>
      <c r="AC3258" s="101">
        <v>1.1730155117000152E-2</v>
      </c>
    </row>
    <row r="3259" spans="25:29" x14ac:dyDescent="0.2">
      <c r="Y3259" s="105" t="str">
        <f t="shared" si="84"/>
        <v>1w</v>
      </c>
      <c r="Z3259" s="93">
        <f>_xll.qlCalendarAdvance(Calendar,Z3258,Y3259,"f",FALSE)</f>
        <v>61997</v>
      </c>
      <c r="AA3259" s="117">
        <f>_xll.qlCalendarAdvance(Calendar,Z3259,NDays&amp;"D")</f>
        <v>62001</v>
      </c>
      <c r="AB3259" s="92">
        <v>1.1839587307291644E-2</v>
      </c>
      <c r="AC3259" s="101">
        <v>1.1735822010114916E-2</v>
      </c>
    </row>
    <row r="3260" spans="25:29" x14ac:dyDescent="0.2">
      <c r="Y3260" s="105" t="str">
        <f t="shared" si="84"/>
        <v>1w</v>
      </c>
      <c r="Z3260" s="93">
        <f>_xll.qlCalendarAdvance(Calendar,Z3259,Y3260,"f",FALSE)</f>
        <v>62004</v>
      </c>
      <c r="AA3260" s="117">
        <f>_xll.qlCalendarAdvance(Calendar,Z3260,NDays&amp;"D")</f>
        <v>62008</v>
      </c>
      <c r="AB3260" s="92">
        <v>1.1847320396898507E-2</v>
      </c>
      <c r="AC3260" s="101">
        <v>1.1741469624810819E-2</v>
      </c>
    </row>
    <row r="3261" spans="25:29" x14ac:dyDescent="0.2">
      <c r="Y3261" s="105" t="str">
        <f t="shared" si="84"/>
        <v>1w</v>
      </c>
      <c r="Z3261" s="93">
        <f>_xll.qlCalendarAdvance(Calendar,Z3260,Y3261,"f",FALSE)</f>
        <v>62011</v>
      </c>
      <c r="AA3261" s="117">
        <f>_xll.qlCalendarAdvance(Calendar,Z3261,NDays&amp;"D")</f>
        <v>62015</v>
      </c>
      <c r="AB3261" s="92">
        <v>1.1852726659840003E-2</v>
      </c>
      <c r="AC3261" s="101">
        <v>1.1747097924557082E-2</v>
      </c>
    </row>
    <row r="3262" spans="25:29" x14ac:dyDescent="0.2">
      <c r="Y3262" s="105" t="str">
        <f t="shared" si="84"/>
        <v>1w</v>
      </c>
      <c r="Z3262" s="93">
        <f>_xll.qlCalendarAdvance(Calendar,Z3261,Y3262,"f",FALSE)</f>
        <v>62018</v>
      </c>
      <c r="AA3262" s="117">
        <f>_xll.qlCalendarAdvance(Calendar,Z3262,NDays&amp;"D")</f>
        <v>62022</v>
      </c>
      <c r="AB3262" s="92">
        <v>1.1858112992824474E-2</v>
      </c>
      <c r="AC3262" s="101">
        <v>1.175270687234331E-2</v>
      </c>
    </row>
    <row r="3263" spans="25:29" x14ac:dyDescent="0.2">
      <c r="Y3263" s="105" t="str">
        <f t="shared" si="84"/>
        <v>1w</v>
      </c>
      <c r="Z3263" s="93">
        <f>_xll.qlCalendarAdvance(Calendar,Z3262,Y3263,"f",FALSE)</f>
        <v>62025</v>
      </c>
      <c r="AA3263" s="117">
        <f>_xll.qlCalendarAdvance(Calendar,Z3263,NDays&amp;"D")</f>
        <v>62029</v>
      </c>
      <c r="AB3263" s="92">
        <v>1.1863479358767299E-2</v>
      </c>
      <c r="AC3263" s="101">
        <v>1.175829643155879E-2</v>
      </c>
    </row>
    <row r="3264" spans="25:29" x14ac:dyDescent="0.2">
      <c r="Y3264" s="105" t="str">
        <f t="shared" si="84"/>
        <v>1w</v>
      </c>
      <c r="Z3264" s="93">
        <f>_xll.qlCalendarAdvance(Calendar,Z3263,Y3264,"f",FALSE)</f>
        <v>62032</v>
      </c>
      <c r="AA3264" s="117">
        <f>_xll.qlCalendarAdvance(Calendar,Z3264,NDays&amp;"D")</f>
        <v>62036</v>
      </c>
      <c r="AB3264" s="92">
        <v>1.1868825720584735E-2</v>
      </c>
      <c r="AC3264" s="101">
        <v>1.1763866565592807E-2</v>
      </c>
    </row>
    <row r="3265" spans="25:29" x14ac:dyDescent="0.2">
      <c r="Y3265" s="105" t="str">
        <f t="shared" si="84"/>
        <v>1w</v>
      </c>
      <c r="Z3265" s="93">
        <f>_xll.qlCalendarAdvance(Calendar,Z3264,Y3265,"f",FALSE)</f>
        <v>62039</v>
      </c>
      <c r="AA3265" s="117">
        <f>_xll.qlCalendarAdvance(Calendar,Z3265,NDays&amp;"D")</f>
        <v>62043</v>
      </c>
      <c r="AB3265" s="92">
        <v>1.1874152041193478E-2</v>
      </c>
      <c r="AC3265" s="101">
        <v>1.1769417237754709E-2</v>
      </c>
    </row>
    <row r="3266" spans="25:29" x14ac:dyDescent="0.2">
      <c r="Y3266" s="105" t="str">
        <f t="shared" si="84"/>
        <v>1w</v>
      </c>
      <c r="Z3266" s="93">
        <f>_xll.qlCalendarAdvance(Calendar,Z3265,Y3266,"f",FALSE)</f>
        <v>62046</v>
      </c>
      <c r="AA3266" s="117">
        <f>_xll.qlCalendarAdvance(Calendar,Z3266,NDays&amp;"D")</f>
        <v>62050</v>
      </c>
      <c r="AB3266" s="92">
        <v>1.1879458294786481E-2</v>
      </c>
      <c r="AC3266" s="101">
        <v>1.1774948411193975E-2</v>
      </c>
    </row>
    <row r="3267" spans="25:29" x14ac:dyDescent="0.2">
      <c r="Y3267" s="105" t="str">
        <f t="shared" si="84"/>
        <v>1w</v>
      </c>
      <c r="Z3267" s="93">
        <f>_xll.qlCalendarAdvance(Calendar,Z3266,Y3267,"f",FALSE)</f>
        <v>62053</v>
      </c>
      <c r="AA3267" s="117">
        <f>_xll.qlCalendarAdvance(Calendar,Z3267,NDays&amp;"D")</f>
        <v>62057</v>
      </c>
      <c r="AB3267" s="92">
        <v>1.1884744566404285E-2</v>
      </c>
      <c r="AC3267" s="101">
        <v>1.178046004929989E-2</v>
      </c>
    </row>
    <row r="3268" spans="25:29" x14ac:dyDescent="0.2">
      <c r="Y3268" s="105" t="str">
        <f t="shared" si="84"/>
        <v>1w</v>
      </c>
      <c r="Z3268" s="93">
        <f>_xll.qlCalendarAdvance(Calendar,Z3267,Y3268,"f",FALSE)</f>
        <v>62060</v>
      </c>
      <c r="AA3268" s="117">
        <f>_xll.qlCalendarAdvance(Calendar,Z3268,NDays&amp;"D")</f>
        <v>62064</v>
      </c>
      <c r="AB3268" s="92">
        <v>1.1890011004184664E-2</v>
      </c>
      <c r="AC3268" s="101">
        <v>1.1785952115381804E-2</v>
      </c>
    </row>
    <row r="3269" spans="25:29" x14ac:dyDescent="0.2">
      <c r="Y3269" s="105" t="str">
        <f t="shared" si="84"/>
        <v>1w</v>
      </c>
      <c r="Z3269" s="93">
        <f>_xll.qlCalendarAdvance(Calendar,Z3268,Y3269,"f",FALSE)</f>
        <v>62067</v>
      </c>
      <c r="AA3269" s="117">
        <f>_xll.qlCalendarAdvance(Calendar,Z3269,NDays&amp;"D")</f>
        <v>62071</v>
      </c>
      <c r="AB3269" s="92">
        <v>1.1895257757249644E-2</v>
      </c>
      <c r="AC3269" s="101">
        <v>1.1791424572669129E-2</v>
      </c>
    </row>
    <row r="3270" spans="25:29" x14ac:dyDescent="0.2">
      <c r="Y3270" s="105" t="str">
        <f t="shared" si="84"/>
        <v>1w</v>
      </c>
      <c r="Z3270" s="93">
        <f>_xll.qlCalendarAdvance(Calendar,Z3269,Y3270,"f",FALSE)</f>
        <v>62074</v>
      </c>
      <c r="AA3270" s="117">
        <f>_xll.qlCalendarAdvance(Calendar,Z3270,NDays&amp;"D")</f>
        <v>62078</v>
      </c>
      <c r="AB3270" s="92">
        <v>1.1900484974980394E-2</v>
      </c>
      <c r="AC3270" s="101">
        <v>1.179687738439128E-2</v>
      </c>
    </row>
    <row r="3271" spans="25:29" x14ac:dyDescent="0.2">
      <c r="Y3271" s="105" t="str">
        <f t="shared" si="84"/>
        <v>1w</v>
      </c>
      <c r="Z3271" s="93">
        <f>_xll.qlCalendarAdvance(Calendar,Z3270,Y3271,"f",FALSE)</f>
        <v>62081</v>
      </c>
      <c r="AA3271" s="117">
        <f>_xll.qlCalendarAdvance(Calendar,Z3271,NDays&amp;"D")</f>
        <v>62085</v>
      </c>
      <c r="AB3271" s="92">
        <v>1.1905692807021169E-2</v>
      </c>
      <c r="AC3271" s="101">
        <v>1.180231051417735E-2</v>
      </c>
    </row>
    <row r="3272" spans="25:29" x14ac:dyDescent="0.2">
      <c r="Y3272" s="105" t="str">
        <f t="shared" si="84"/>
        <v>1w</v>
      </c>
      <c r="Z3272" s="93">
        <f>_xll.qlCalendarAdvance(Calendar,Z3271,Y3272,"f",FALSE)</f>
        <v>62089</v>
      </c>
      <c r="AA3272" s="117">
        <f>_xll.qlCalendarAdvance(Calendar,Z3272,NDays&amp;"D")</f>
        <v>62093</v>
      </c>
      <c r="AB3272" s="92">
        <v>1.1911060660438826E-2</v>
      </c>
      <c r="AC3272" s="101">
        <v>1.1809075002267022E-2</v>
      </c>
    </row>
    <row r="3273" spans="25:29" x14ac:dyDescent="0.2">
      <c r="Y3273" s="105" t="str">
        <f t="shared" si="84"/>
        <v>1w</v>
      </c>
      <c r="Z3273" s="93">
        <f>_xll.qlCalendarAdvance(Calendar,Z3272,Y3273,"f",FALSE)</f>
        <v>62096</v>
      </c>
      <c r="AA3273" s="117">
        <f>_xll.qlCalendarAdvance(Calendar,Z3273,NDays&amp;"D")</f>
        <v>62100</v>
      </c>
      <c r="AB3273" s="92">
        <v>1.1916228584664842E-2</v>
      </c>
      <c r="AC3273" s="101">
        <v>1.1813886487477276E-2</v>
      </c>
    </row>
    <row r="3274" spans="25:29" x14ac:dyDescent="0.2">
      <c r="Y3274" s="105" t="str">
        <f t="shared" si="84"/>
        <v>1w</v>
      </c>
      <c r="Z3274" s="93">
        <f>_xll.qlCalendarAdvance(Calendar,Z3273,Y3274,"f",FALSE)</f>
        <v>62103</v>
      </c>
      <c r="AA3274" s="117">
        <f>_xll.qlCalendarAdvance(Calendar,Z3274,NDays&amp;"D")</f>
        <v>62107</v>
      </c>
      <c r="AB3274" s="92">
        <v>1.1921377579551877E-2</v>
      </c>
      <c r="AC3274" s="101">
        <v>1.181925752005597E-2</v>
      </c>
    </row>
    <row r="3275" spans="25:29" x14ac:dyDescent="0.2">
      <c r="Y3275" s="105" t="str">
        <f t="shared" si="84"/>
        <v>1w</v>
      </c>
      <c r="Z3275" s="93">
        <f>_xll.qlCalendarAdvance(Calendar,Z3274,Y3275,"f",FALSE)</f>
        <v>62110</v>
      </c>
      <c r="AA3275" s="117">
        <f>_xll.qlCalendarAdvance(Calendar,Z3275,NDays&amp;"D")</f>
        <v>62114</v>
      </c>
      <c r="AB3275" s="92">
        <v>1.1926507796819011E-2</v>
      </c>
      <c r="AC3275" s="101">
        <v>1.1824608718260521E-2</v>
      </c>
    </row>
    <row r="3276" spans="25:29" x14ac:dyDescent="0.2">
      <c r="Y3276" s="105" t="str">
        <f t="shared" si="84"/>
        <v>1w</v>
      </c>
      <c r="Z3276" s="93">
        <f>_xll.qlCalendarAdvance(Calendar,Z3275,Y3276,"f",FALSE)</f>
        <v>62117</v>
      </c>
      <c r="AA3276" s="117">
        <f>_xll.qlCalendarAdvance(Calendar,Z3276,NDays&amp;"D")</f>
        <v>62121</v>
      </c>
      <c r="AB3276" s="92">
        <v>1.1931619388448981E-2</v>
      </c>
      <c r="AC3276" s="101">
        <v>1.182994004556015E-2</v>
      </c>
    </row>
    <row r="3277" spans="25:29" x14ac:dyDescent="0.2">
      <c r="Y3277" s="105" t="str">
        <f t="shared" si="84"/>
        <v>1w</v>
      </c>
      <c r="Z3277" s="93">
        <f>_xll.qlCalendarAdvance(Calendar,Z3276,Y3277,"f",FALSE)</f>
        <v>62124</v>
      </c>
      <c r="AA3277" s="117">
        <f>_xll.qlCalendarAdvance(Calendar,Z3277,NDays&amp;"D")</f>
        <v>62128</v>
      </c>
      <c r="AB3277" s="92">
        <v>1.1936712506684644E-2</v>
      </c>
      <c r="AC3277" s="101">
        <v>1.1835251465184271E-2</v>
      </c>
    </row>
    <row r="3278" spans="25:29" x14ac:dyDescent="0.2">
      <c r="Y3278" s="105" t="str">
        <f t="shared" si="84"/>
        <v>1w</v>
      </c>
      <c r="Z3278" s="93">
        <f>_xll.qlCalendarAdvance(Calendar,Z3277,Y3278,"f",FALSE)</f>
        <v>62131</v>
      </c>
      <c r="AA3278" s="117">
        <f>_xll.qlCalendarAdvance(Calendar,Z3278,NDays&amp;"D")</f>
        <v>62135</v>
      </c>
      <c r="AB3278" s="92">
        <v>1.1941787304032959E-2</v>
      </c>
      <c r="AC3278" s="101">
        <v>1.1840542940602106E-2</v>
      </c>
    </row>
    <row r="3279" spans="25:29" x14ac:dyDescent="0.2">
      <c r="Y3279" s="105" t="str">
        <f t="shared" si="84"/>
        <v>1w</v>
      </c>
      <c r="Z3279" s="93">
        <f>_xll.qlCalendarAdvance(Calendar,Z3278,Y3279,"f",FALSE)</f>
        <v>62138</v>
      </c>
      <c r="AA3279" s="117">
        <f>_xll.qlCalendarAdvance(Calendar,Z3279,NDays&amp;"D")</f>
        <v>62142</v>
      </c>
      <c r="AB3279" s="92">
        <v>1.1946843933262331E-2</v>
      </c>
      <c r="AC3279" s="101">
        <v>1.1845814434883195E-2</v>
      </c>
    </row>
    <row r="3280" spans="25:29" x14ac:dyDescent="0.2">
      <c r="Y3280" s="105" t="str">
        <f t="shared" si="84"/>
        <v>1w</v>
      </c>
      <c r="Z3280" s="93">
        <f>_xll.qlCalendarAdvance(Calendar,Z3279,Y3280,"f",FALSE)</f>
        <v>62145</v>
      </c>
      <c r="AA3280" s="117">
        <f>_xll.qlCalendarAdvance(Calendar,Z3280,NDays&amp;"D")</f>
        <v>62149</v>
      </c>
      <c r="AB3280" s="92">
        <v>1.1951882547403939E-2</v>
      </c>
      <c r="AC3280" s="101">
        <v>1.1851065911416825E-2</v>
      </c>
    </row>
    <row r="3281" spans="25:29" x14ac:dyDescent="0.2">
      <c r="Y3281" s="105" t="str">
        <f t="shared" si="84"/>
        <v>1w</v>
      </c>
      <c r="Z3281" s="93">
        <f>_xll.qlCalendarAdvance(Calendar,Z3280,Y3281,"f",FALSE)</f>
        <v>62152</v>
      </c>
      <c r="AA3281" s="117">
        <f>_xll.qlCalendarAdvance(Calendar,Z3281,NDays&amp;"D")</f>
        <v>62156</v>
      </c>
      <c r="AB3281" s="92">
        <v>1.1958555265409237E-2</v>
      </c>
      <c r="AC3281" s="101">
        <v>1.1856297333512344E-2</v>
      </c>
    </row>
    <row r="3282" spans="25:29" x14ac:dyDescent="0.2">
      <c r="Y3282" s="105" t="str">
        <f t="shared" si="84"/>
        <v>1w</v>
      </c>
      <c r="Z3282" s="93">
        <f>_xll.qlCalendarAdvance(Calendar,Z3281,Y3282,"f",FALSE)</f>
        <v>62159</v>
      </c>
      <c r="AA3282" s="117">
        <f>_xll.qlCalendarAdvance(Calendar,Z3282,NDays&amp;"D")</f>
        <v>62163</v>
      </c>
      <c r="AB3282" s="92">
        <v>1.1963555241458515E-2</v>
      </c>
      <c r="AC3282" s="101">
        <v>1.186150866455904E-2</v>
      </c>
    </row>
    <row r="3283" spans="25:29" x14ac:dyDescent="0.2">
      <c r="Y3283" s="105" t="str">
        <f t="shared" si="84"/>
        <v>1w</v>
      </c>
      <c r="Z3283" s="93">
        <f>_xll.qlCalendarAdvance(Calendar,Z3282,Y3283,"f",FALSE)</f>
        <v>62166</v>
      </c>
      <c r="AA3283" s="117">
        <f>_xll.qlCalendarAdvance(Calendar,Z3283,NDays&amp;"D")</f>
        <v>62170</v>
      </c>
      <c r="AB3283" s="92">
        <v>1.1968537682697235E-2</v>
      </c>
      <c r="AC3283" s="101">
        <v>1.1866699867546515E-2</v>
      </c>
    </row>
    <row r="3284" spans="25:29" x14ac:dyDescent="0.2">
      <c r="Y3284" s="105" t="str">
        <f t="shared" si="84"/>
        <v>1w</v>
      </c>
      <c r="Z3284" s="93">
        <f>_xll.qlCalendarAdvance(Calendar,Z3283,Y3284,"f",FALSE)</f>
        <v>62173</v>
      </c>
      <c r="AA3284" s="117">
        <f>_xll.qlCalendarAdvance(Calendar,Z3284,NDays&amp;"D")</f>
        <v>62177</v>
      </c>
      <c r="AB3284" s="92">
        <v>1.1973502740211927E-2</v>
      </c>
      <c r="AC3284" s="101">
        <v>1.1871870906023929E-2</v>
      </c>
    </row>
    <row r="3285" spans="25:29" x14ac:dyDescent="0.2">
      <c r="Y3285" s="105" t="str">
        <f t="shared" ref="Y3285:Y3348" si="85">Y3284</f>
        <v>1w</v>
      </c>
      <c r="Z3285" s="93">
        <f>_xll.qlCalendarAdvance(Calendar,Z3284,Y3285,"f",FALSE)</f>
        <v>62184</v>
      </c>
      <c r="AA3285" s="117">
        <f>_xll.qlCalendarAdvance(Calendar,Z3285,NDays&amp;"D")</f>
        <v>62186</v>
      </c>
      <c r="AB3285" s="92">
        <v>1.1979314855666853E-2</v>
      </c>
      <c r="AC3285" s="101">
        <v>1.1878489695540395E-2</v>
      </c>
    </row>
    <row r="3286" spans="25:29" x14ac:dyDescent="0.2">
      <c r="Y3286" s="105" t="str">
        <f t="shared" si="85"/>
        <v>1w</v>
      </c>
      <c r="Z3286" s="93">
        <f>_xll.qlCalendarAdvance(Calendar,Z3285,Y3286,"f",FALSE)</f>
        <v>62191</v>
      </c>
      <c r="AA3286" s="117">
        <f>_xll.qlCalendarAdvance(Calendar,Z3286,NDays&amp;"D")</f>
        <v>62193</v>
      </c>
      <c r="AB3286" s="92">
        <v>1.1984241749491793E-2</v>
      </c>
      <c r="AC3286" s="101">
        <v>1.1883614505716622E-2</v>
      </c>
    </row>
    <row r="3287" spans="25:29" x14ac:dyDescent="0.2">
      <c r="Y3287" s="105" t="str">
        <f t="shared" si="85"/>
        <v>1w</v>
      </c>
      <c r="Z3287" s="93">
        <f>_xll.qlCalendarAdvance(Calendar,Z3286,Y3287,"f",FALSE)</f>
        <v>62198</v>
      </c>
      <c r="AA3287" s="117">
        <f>_xll.qlCalendarAdvance(Calendar,Z3287,NDays&amp;"D")</f>
        <v>62200</v>
      </c>
      <c r="AB3287" s="92">
        <v>1.1989151755637284E-2</v>
      </c>
      <c r="AC3287" s="101">
        <v>1.1888719030919148E-2</v>
      </c>
    </row>
    <row r="3288" spans="25:29" x14ac:dyDescent="0.2">
      <c r="Y3288" s="105" t="str">
        <f t="shared" si="85"/>
        <v>1w</v>
      </c>
      <c r="Z3288" s="93">
        <f>_xll.qlCalendarAdvance(Calendar,Z3287,Y3288,"f",FALSE)</f>
        <v>62205</v>
      </c>
      <c r="AA3288" s="117">
        <f>_xll.qlCalendarAdvance(Calendar,Z3288,NDays&amp;"D")</f>
        <v>62207</v>
      </c>
      <c r="AB3288" s="92">
        <v>1.1994045027286142E-2</v>
      </c>
      <c r="AC3288" s="101">
        <v>1.1893803234137579E-2</v>
      </c>
    </row>
    <row r="3289" spans="25:29" x14ac:dyDescent="0.2">
      <c r="Y3289" s="105" t="str">
        <f t="shared" si="85"/>
        <v>1w</v>
      </c>
      <c r="Z3289" s="93">
        <f>_xll.qlCalendarAdvance(Calendar,Z3288,Y3289,"f",FALSE)</f>
        <v>62212</v>
      </c>
      <c r="AA3289" s="117">
        <f>_xll.qlCalendarAdvance(Calendar,Z3289,NDays&amp;"D")</f>
        <v>62215</v>
      </c>
      <c r="AB3289" s="92">
        <v>1.2000701138535746E-2</v>
      </c>
      <c r="AC3289" s="101">
        <v>1.1900703394154277E-2</v>
      </c>
    </row>
    <row r="3290" spans="25:29" x14ac:dyDescent="0.2">
      <c r="Y3290" s="105" t="str">
        <f t="shared" si="85"/>
        <v>1w</v>
      </c>
      <c r="Z3290" s="93">
        <f>_xll.qlCalendarAdvance(Calendar,Z3289,Y3290,"f",FALSE)</f>
        <v>62219</v>
      </c>
      <c r="AA3290" s="117">
        <f>_xll.qlCalendarAdvance(Calendar,Z3290,NDays&amp;"D")</f>
        <v>62221</v>
      </c>
      <c r="AB3290" s="92">
        <v>1.2005405428654326E-2</v>
      </c>
      <c r="AC3290" s="101">
        <v>1.190391052809936E-2</v>
      </c>
    </row>
    <row r="3291" spans="25:29" x14ac:dyDescent="0.2">
      <c r="Y3291" s="105" t="str">
        <f t="shared" si="85"/>
        <v>1w</v>
      </c>
      <c r="Z3291" s="93">
        <f>_xll.qlCalendarAdvance(Calendar,Z3290,Y3291,"f",FALSE)</f>
        <v>62226</v>
      </c>
      <c r="AA3291" s="117">
        <f>_xll.qlCalendarAdvance(Calendar,Z3291,NDays&amp;"D")</f>
        <v>62228</v>
      </c>
      <c r="AB3291" s="92">
        <v>1.2010246415328647E-2</v>
      </c>
      <c r="AC3291" s="101">
        <v>1.1908933659769971E-2</v>
      </c>
    </row>
    <row r="3292" spans="25:29" x14ac:dyDescent="0.2">
      <c r="Y3292" s="105" t="str">
        <f t="shared" si="85"/>
        <v>1w</v>
      </c>
      <c r="Z3292" s="93">
        <f>_xll.qlCalendarAdvance(Calendar,Z3291,Y3292,"f",FALSE)</f>
        <v>62233</v>
      </c>
      <c r="AA3292" s="117">
        <f>_xll.qlCalendarAdvance(Calendar,Z3292,NDays&amp;"D")</f>
        <v>62235</v>
      </c>
      <c r="AB3292" s="92">
        <v>1.2015071229459664E-2</v>
      </c>
      <c r="AC3292" s="101">
        <v>1.1913939637402393E-2</v>
      </c>
    </row>
    <row r="3293" spans="25:29" x14ac:dyDescent="0.2">
      <c r="Y3293" s="105" t="str">
        <f t="shared" si="85"/>
        <v>1w</v>
      </c>
      <c r="Z3293" s="93">
        <f>_xll.qlCalendarAdvance(Calendar,Z3292,Y3293,"f",FALSE)</f>
        <v>62240</v>
      </c>
      <c r="AA3293" s="117">
        <f>_xll.qlCalendarAdvance(Calendar,Z3293,NDays&amp;"D")</f>
        <v>62242</v>
      </c>
      <c r="AB3293" s="92">
        <v>1.2018265444673252E-2</v>
      </c>
      <c r="AC3293" s="101">
        <v>1.1918929915273324E-2</v>
      </c>
    </row>
    <row r="3294" spans="25:29" x14ac:dyDescent="0.2">
      <c r="Y3294" s="105" t="str">
        <f t="shared" si="85"/>
        <v>1w</v>
      </c>
      <c r="Z3294" s="93">
        <f>_xll.qlCalendarAdvance(Calendar,Z3293,Y3294,"f",FALSE)</f>
        <v>62247</v>
      </c>
      <c r="AA3294" s="117">
        <f>_xll.qlCalendarAdvance(Calendar,Z3294,NDays&amp;"D")</f>
        <v>62249</v>
      </c>
      <c r="AB3294" s="92">
        <v>1.20230608874191E-2</v>
      </c>
      <c r="AC3294" s="101">
        <v>1.1923904463646551E-2</v>
      </c>
    </row>
    <row r="3295" spans="25:29" x14ac:dyDescent="0.2">
      <c r="Y3295" s="105" t="str">
        <f t="shared" si="85"/>
        <v>1w</v>
      </c>
      <c r="Z3295" s="93">
        <f>_xll.qlCalendarAdvance(Calendar,Z3294,Y3295,"f",FALSE)</f>
        <v>62254</v>
      </c>
      <c r="AA3295" s="117">
        <f>_xll.qlCalendarAdvance(Calendar,Z3295,NDays&amp;"D")</f>
        <v>62256</v>
      </c>
      <c r="AB3295" s="92">
        <v>1.2027840093646372E-2</v>
      </c>
      <c r="AC3295" s="101">
        <v>1.1928863252306243E-2</v>
      </c>
    </row>
    <row r="3296" spans="25:29" x14ac:dyDescent="0.2">
      <c r="Y3296" s="105" t="str">
        <f t="shared" si="85"/>
        <v>1w</v>
      </c>
      <c r="Z3296" s="93">
        <f>_xll.qlCalendarAdvance(Calendar,Z3295,Y3296,"f",FALSE)</f>
        <v>62261</v>
      </c>
      <c r="AA3296" s="117">
        <f>_xll.qlCalendarAdvance(Calendar,Z3296,NDays&amp;"D")</f>
        <v>62263</v>
      </c>
      <c r="AB3296" s="92">
        <v>1.2032603033040516E-2</v>
      </c>
      <c r="AC3296" s="101">
        <v>1.1933806251356316E-2</v>
      </c>
    </row>
    <row r="3297" spans="25:29" x14ac:dyDescent="0.2">
      <c r="Y3297" s="105" t="str">
        <f t="shared" si="85"/>
        <v>1w</v>
      </c>
      <c r="Z3297" s="93">
        <f>_xll.qlCalendarAdvance(Calendar,Z3296,Y3297,"f",FALSE)</f>
        <v>62268</v>
      </c>
      <c r="AA3297" s="117">
        <f>_xll.qlCalendarAdvance(Calendar,Z3297,NDays&amp;"D")</f>
        <v>62270</v>
      </c>
      <c r="AB3297" s="92">
        <v>1.2038951936625819E-2</v>
      </c>
      <c r="AC3297" s="101">
        <v>1.1938733430580939E-2</v>
      </c>
    </row>
    <row r="3298" spans="25:29" x14ac:dyDescent="0.2">
      <c r="Y3298" s="105" t="str">
        <f t="shared" si="85"/>
        <v>1w</v>
      </c>
      <c r="Z3298" s="93">
        <f>_xll.qlCalendarAdvance(Calendar,Z3297,Y3298,"f",FALSE)</f>
        <v>62275</v>
      </c>
      <c r="AA3298" s="117">
        <f>_xll.qlCalendarAdvance(Calendar,Z3298,NDays&amp;"D")</f>
        <v>62277</v>
      </c>
      <c r="AB3298" s="92">
        <v>1.2043679193111003E-2</v>
      </c>
      <c r="AC3298" s="101">
        <v>1.1943644760323835E-2</v>
      </c>
    </row>
    <row r="3299" spans="25:29" x14ac:dyDescent="0.2">
      <c r="Y3299" s="105" t="str">
        <f t="shared" si="85"/>
        <v>1w</v>
      </c>
      <c r="Z3299" s="93">
        <f>_xll.qlCalendarAdvance(Calendar,Z3298,Y3299,"f",FALSE)</f>
        <v>62282</v>
      </c>
      <c r="AA3299" s="117">
        <f>_xll.qlCalendarAdvance(Calendar,Z3299,NDays&amp;"D")</f>
        <v>62284</v>
      </c>
      <c r="AB3299" s="92">
        <v>1.2048390083862473E-2</v>
      </c>
      <c r="AC3299" s="101">
        <v>1.1948540210289238E-2</v>
      </c>
    </row>
    <row r="3300" spans="25:29" x14ac:dyDescent="0.2">
      <c r="Y3300" s="105" t="str">
        <f t="shared" si="85"/>
        <v>1w</v>
      </c>
      <c r="Z3300" s="93">
        <f>_xll.qlCalendarAdvance(Calendar,Z3299,Y3300,"f",FALSE)</f>
        <v>62289</v>
      </c>
      <c r="AA3300" s="117">
        <f>_xll.qlCalendarAdvance(Calendar,Z3300,NDays&amp;"D")</f>
        <v>62291</v>
      </c>
      <c r="AB3300" s="92">
        <v>1.2053084578558677E-2</v>
      </c>
      <c r="AC3300" s="101">
        <v>1.1953419750341254E-2</v>
      </c>
    </row>
    <row r="3301" spans="25:29" x14ac:dyDescent="0.2">
      <c r="Y3301" s="105" t="str">
        <f t="shared" si="85"/>
        <v>1w</v>
      </c>
      <c r="Z3301" s="93">
        <f>_xll.qlCalendarAdvance(Calendar,Z3300,Y3301,"f",FALSE)</f>
        <v>62296</v>
      </c>
      <c r="AA3301" s="117">
        <f>_xll.qlCalendarAdvance(Calendar,Z3301,NDays&amp;"D")</f>
        <v>62298</v>
      </c>
      <c r="AB3301" s="92">
        <v>1.2057762646880641E-2</v>
      </c>
      <c r="AC3301" s="101">
        <v>1.1958283350903542E-2</v>
      </c>
    </row>
    <row r="3302" spans="25:29" x14ac:dyDescent="0.2">
      <c r="Y3302" s="105" t="str">
        <f t="shared" si="85"/>
        <v>1w</v>
      </c>
      <c r="Z3302" s="93">
        <f>_xll.qlCalendarAdvance(Calendar,Z3301,Y3302,"f",FALSE)</f>
        <v>62303</v>
      </c>
      <c r="AA3302" s="117">
        <f>_xll.qlCalendarAdvance(Calendar,Z3302,NDays&amp;"D")</f>
        <v>62305</v>
      </c>
      <c r="AB3302" s="92">
        <v>1.2060837368161336E-2</v>
      </c>
      <c r="AC3302" s="101">
        <v>1.1963130981520465E-2</v>
      </c>
    </row>
    <row r="3303" spans="25:29" x14ac:dyDescent="0.2">
      <c r="Y3303" s="105" t="str">
        <f t="shared" si="85"/>
        <v>1w</v>
      </c>
      <c r="Z3303" s="93">
        <f>_xll.qlCalendarAdvance(Calendar,Z3302,Y3303,"f",FALSE)</f>
        <v>62310</v>
      </c>
      <c r="AA3303" s="117">
        <f>_xll.qlCalendarAdvance(Calendar,Z3303,NDays&amp;"D")</f>
        <v>62312</v>
      </c>
      <c r="AB3303" s="92">
        <v>1.2067069383114356E-2</v>
      </c>
      <c r="AC3303" s="101">
        <v>1.1967962612455807E-2</v>
      </c>
    </row>
    <row r="3304" spans="25:29" x14ac:dyDescent="0.2">
      <c r="Y3304" s="105" t="str">
        <f t="shared" si="85"/>
        <v>1w</v>
      </c>
      <c r="Z3304" s="93">
        <f>_xll.qlCalendarAdvance(Calendar,Z3303,Y3304,"f",FALSE)</f>
        <v>62317</v>
      </c>
      <c r="AA3304" s="117">
        <f>_xll.qlCalendarAdvance(Calendar,Z3304,NDays&amp;"D")</f>
        <v>62319</v>
      </c>
      <c r="AB3304" s="92">
        <v>1.2071697990384293E-2</v>
      </c>
      <c r="AC3304" s="101">
        <v>1.197277821349374E-2</v>
      </c>
    </row>
    <row r="3305" spans="25:29" x14ac:dyDescent="0.2">
      <c r="Y3305" s="105" t="str">
        <f t="shared" si="85"/>
        <v>1w</v>
      </c>
      <c r="Z3305" s="93">
        <f>_xll.qlCalendarAdvance(Calendar,Z3304,Y3305,"f",FALSE)</f>
        <v>62324</v>
      </c>
      <c r="AA3305" s="117">
        <f>_xll.qlCalendarAdvance(Calendar,Z3305,NDays&amp;"D")</f>
        <v>62326</v>
      </c>
      <c r="AB3305" s="92">
        <v>1.2076310049996361E-2</v>
      </c>
      <c r="AC3305" s="101">
        <v>1.1977577754818114E-2</v>
      </c>
    </row>
    <row r="3306" spans="25:29" x14ac:dyDescent="0.2">
      <c r="Y3306" s="105" t="str">
        <f t="shared" si="85"/>
        <v>1w</v>
      </c>
      <c r="Z3306" s="93">
        <f>_xll.qlCalendarAdvance(Calendar,Z3305,Y3306,"f",FALSE)</f>
        <v>62331</v>
      </c>
      <c r="AA3306" s="117">
        <f>_xll.qlCalendarAdvance(Calendar,Z3306,NDays&amp;"D")</f>
        <v>62333</v>
      </c>
      <c r="AB3306" s="92">
        <v>1.2079331081495403E-2</v>
      </c>
      <c r="AC3306" s="101">
        <v>1.1982361206213099E-2</v>
      </c>
    </row>
    <row r="3307" spans="25:29" x14ac:dyDescent="0.2">
      <c r="Y3307" s="105" t="str">
        <f t="shared" si="85"/>
        <v>1w</v>
      </c>
      <c r="Z3307" s="93">
        <f>_xll.qlCalendarAdvance(Calendar,Z3306,Y3307,"f",FALSE)</f>
        <v>62338</v>
      </c>
      <c r="AA3307" s="117">
        <f>_xll.qlCalendarAdvance(Calendar,Z3307,NDays&amp;"D")</f>
        <v>62340</v>
      </c>
      <c r="AB3307" s="92">
        <v>1.2082865095739439E-2</v>
      </c>
      <c r="AC3307" s="101">
        <v>1.198712853778261E-2</v>
      </c>
    </row>
    <row r="3308" spans="25:29" x14ac:dyDescent="0.2">
      <c r="Y3308" s="105" t="str">
        <f t="shared" si="85"/>
        <v>1w</v>
      </c>
      <c r="Z3308" s="93">
        <f>_xll.qlCalendarAdvance(Calendar,Z3307,Y3308,"f",FALSE)</f>
        <v>62345</v>
      </c>
      <c r="AA3308" s="117">
        <f>_xll.qlCalendarAdvance(Calendar,Z3308,NDays&amp;"D")</f>
        <v>62347</v>
      </c>
      <c r="AB3308" s="92">
        <v>1.2087432559097245E-2</v>
      </c>
      <c r="AC3308" s="101">
        <v>1.1991879719390752E-2</v>
      </c>
    </row>
    <row r="3309" spans="25:29" x14ac:dyDescent="0.2">
      <c r="Y3309" s="105" t="str">
        <f t="shared" si="85"/>
        <v>1w</v>
      </c>
      <c r="Z3309" s="93">
        <f>_xll.qlCalendarAdvance(Calendar,Z3308,Y3309,"f",FALSE)</f>
        <v>62352</v>
      </c>
      <c r="AA3309" s="117">
        <f>_xll.qlCalendarAdvance(Calendar,Z3309,NDays&amp;"D")</f>
        <v>62354</v>
      </c>
      <c r="AB3309" s="92">
        <v>1.2091983366846004E-2</v>
      </c>
      <c r="AC3309" s="101">
        <v>1.1996614721221377E-2</v>
      </c>
    </row>
    <row r="3310" spans="25:29" x14ac:dyDescent="0.2">
      <c r="Y3310" s="105" t="str">
        <f t="shared" si="85"/>
        <v>1w</v>
      </c>
      <c r="Z3310" s="93">
        <f>_xll.qlCalendarAdvance(Calendar,Z3309,Y3310,"f",FALSE)</f>
        <v>62359</v>
      </c>
      <c r="AA3310" s="117">
        <f>_xll.qlCalendarAdvance(Calendar,Z3310,NDays&amp;"D")</f>
        <v>62361</v>
      </c>
      <c r="AB3310" s="92">
        <v>1.2096517488672727E-2</v>
      </c>
      <c r="AC3310" s="101">
        <v>1.2001333513218526E-2</v>
      </c>
    </row>
    <row r="3311" spans="25:29" x14ac:dyDescent="0.2">
      <c r="Y3311" s="105" t="str">
        <f t="shared" si="85"/>
        <v>1w</v>
      </c>
      <c r="Z3311" s="93">
        <f>_xll.qlCalendarAdvance(Calendar,Z3310,Y3311,"f",FALSE)</f>
        <v>62366</v>
      </c>
      <c r="AA3311" s="117">
        <f>_xll.qlCalendarAdvance(Calendar,Z3311,NDays&amp;"D")</f>
        <v>62368</v>
      </c>
      <c r="AB3311" s="92">
        <v>1.2101554736302551E-2</v>
      </c>
      <c r="AC3311" s="101">
        <v>1.2006036065086434E-2</v>
      </c>
    </row>
    <row r="3312" spans="25:29" x14ac:dyDescent="0.2">
      <c r="Y3312" s="105" t="str">
        <f t="shared" si="85"/>
        <v>1w</v>
      </c>
      <c r="Z3312" s="93">
        <f>_xll.qlCalendarAdvance(Calendar,Z3311,Y3312,"f",FALSE)</f>
        <v>62373</v>
      </c>
      <c r="AA3312" s="117">
        <f>_xll.qlCalendarAdvance(Calendar,Z3312,NDays&amp;"D")</f>
        <v>62375</v>
      </c>
      <c r="AB3312" s="92">
        <v>1.2106054339497645E-2</v>
      </c>
      <c r="AC3312" s="101">
        <v>1.2010722347168823E-2</v>
      </c>
    </row>
    <row r="3313" spans="25:29" x14ac:dyDescent="0.2">
      <c r="Y3313" s="105" t="str">
        <f t="shared" si="85"/>
        <v>1w</v>
      </c>
      <c r="Z3313" s="93">
        <f>_xll.qlCalendarAdvance(Calendar,Z3312,Y3313,"f",FALSE)</f>
        <v>62380</v>
      </c>
      <c r="AA3313" s="117">
        <f>_xll.qlCalendarAdvance(Calendar,Z3313,NDays&amp;"D")</f>
        <v>62382</v>
      </c>
      <c r="AB3313" s="92">
        <v>1.2110537163165524E-2</v>
      </c>
      <c r="AC3313" s="101">
        <v>1.2015392329329799E-2</v>
      </c>
    </row>
    <row r="3314" spans="25:29" x14ac:dyDescent="0.2">
      <c r="Y3314" s="105" t="str">
        <f t="shared" si="85"/>
        <v>1w</v>
      </c>
      <c r="Z3314" s="93">
        <f>_xll.qlCalendarAdvance(Calendar,Z3313,Y3314,"f",FALSE)</f>
        <v>62387</v>
      </c>
      <c r="AA3314" s="117">
        <f>_xll.qlCalendarAdvance(Calendar,Z3314,NDays&amp;"D")</f>
        <v>62389</v>
      </c>
      <c r="AB3314" s="92">
        <v>1.211500317699241E-2</v>
      </c>
      <c r="AC3314" s="101">
        <v>1.2020045981433469E-2</v>
      </c>
    </row>
    <row r="3315" spans="25:29" x14ac:dyDescent="0.2">
      <c r="Y3315" s="105" t="str">
        <f t="shared" si="85"/>
        <v>1w</v>
      </c>
      <c r="Z3315" s="93">
        <f>_xll.qlCalendarAdvance(Calendar,Z3314,Y3315,"f",FALSE)</f>
        <v>62394</v>
      </c>
      <c r="AA3315" s="117">
        <f>_xll.qlCalendarAdvance(Calendar,Z3315,NDays&amp;"D")</f>
        <v>62396</v>
      </c>
      <c r="AB3315" s="92">
        <v>1.2119452350666285E-2</v>
      </c>
      <c r="AC3315" s="101">
        <v>1.2024683273503811E-2</v>
      </c>
    </row>
    <row r="3316" spans="25:29" x14ac:dyDescent="0.2">
      <c r="Y3316" s="105" t="str">
        <f t="shared" si="85"/>
        <v>1w</v>
      </c>
      <c r="Z3316" s="93">
        <f>_xll.qlCalendarAdvance(Calendar,Z3315,Y3316,"f",FALSE)</f>
        <v>62401</v>
      </c>
      <c r="AA3316" s="117">
        <f>_xll.qlCalendarAdvance(Calendar,Z3316,NDays&amp;"D")</f>
        <v>62403</v>
      </c>
      <c r="AB3316" s="92">
        <v>1.2123370117844014E-2</v>
      </c>
      <c r="AC3316" s="101">
        <v>1.2029304175644739E-2</v>
      </c>
    </row>
    <row r="3317" spans="25:29" x14ac:dyDescent="0.2">
      <c r="Y3317" s="105" t="str">
        <f t="shared" si="85"/>
        <v>1w</v>
      </c>
      <c r="Z3317" s="93">
        <f>_xll.qlCalendarAdvance(Calendar,Z3316,Y3317,"f",FALSE)</f>
        <v>62408</v>
      </c>
      <c r="AA3317" s="117">
        <f>_xll.qlCalendarAdvance(Calendar,Z3317,NDays&amp;"D")</f>
        <v>62410</v>
      </c>
      <c r="AB3317" s="92">
        <v>1.2127786589504443E-2</v>
      </c>
      <c r="AC3317" s="101">
        <v>1.203390865772036E-2</v>
      </c>
    </row>
    <row r="3318" spans="25:29" x14ac:dyDescent="0.2">
      <c r="Y3318" s="105" t="str">
        <f t="shared" si="85"/>
        <v>1w</v>
      </c>
      <c r="Z3318" s="93">
        <f>_xll.qlCalendarAdvance(Calendar,Z3317,Y3318,"f",FALSE)</f>
        <v>62415</v>
      </c>
      <c r="AA3318" s="117">
        <f>_xll.qlCalendarAdvance(Calendar,Z3318,NDays&amp;"D")</f>
        <v>62417</v>
      </c>
      <c r="AB3318" s="92">
        <v>1.2132186132754815E-2</v>
      </c>
      <c r="AC3318" s="101">
        <v>1.2038496689754652E-2</v>
      </c>
    </row>
    <row r="3319" spans="25:29" x14ac:dyDescent="0.2">
      <c r="Y3319" s="105" t="str">
        <f t="shared" si="85"/>
        <v>1w</v>
      </c>
      <c r="Z3319" s="93">
        <f>_xll.qlCalendarAdvance(Calendar,Z3318,Y3319,"f",FALSE)</f>
        <v>62422</v>
      </c>
      <c r="AA3319" s="117">
        <f>_xll.qlCalendarAdvance(Calendar,Z3319,NDays&amp;"D")</f>
        <v>62424</v>
      </c>
      <c r="AB3319" s="92">
        <v>1.2136568717285237E-2</v>
      </c>
      <c r="AC3319" s="101">
        <v>1.2043068241771593E-2</v>
      </c>
    </row>
    <row r="3320" spans="25:29" x14ac:dyDescent="0.2">
      <c r="Y3320" s="105" t="str">
        <f t="shared" si="85"/>
        <v>1w</v>
      </c>
      <c r="Z3320" s="93">
        <f>_xll.qlCalendarAdvance(Calendar,Z3319,Y3320,"f",FALSE)</f>
        <v>62429</v>
      </c>
      <c r="AA3320" s="117">
        <f>_xll.qlCalendarAdvance(Calendar,Z3320,NDays&amp;"D")</f>
        <v>62431</v>
      </c>
      <c r="AB3320" s="92">
        <v>1.2141444555809863E-2</v>
      </c>
      <c r="AC3320" s="101">
        <v>1.2047623283715225E-2</v>
      </c>
    </row>
    <row r="3321" spans="25:29" x14ac:dyDescent="0.2">
      <c r="Y3321" s="105" t="str">
        <f t="shared" si="85"/>
        <v>1w</v>
      </c>
      <c r="Z3321" s="93">
        <f>_xll.qlCalendarAdvance(Calendar,Z3320,Y3321,"f",FALSE)</f>
        <v>62436</v>
      </c>
      <c r="AA3321" s="117">
        <f>_xll.qlCalendarAdvance(Calendar,Z3321,NDays&amp;"D")</f>
        <v>62438</v>
      </c>
      <c r="AB3321" s="92">
        <v>1.2145792052010267E-2</v>
      </c>
      <c r="AC3321" s="101">
        <v>1.2052161785529591E-2</v>
      </c>
    </row>
    <row r="3322" spans="25:29" x14ac:dyDescent="0.2">
      <c r="Y3322" s="105" t="str">
        <f t="shared" si="85"/>
        <v>1w</v>
      </c>
      <c r="Z3322" s="93">
        <f>_xll.qlCalendarAdvance(Calendar,Z3321,Y3322,"f",FALSE)</f>
        <v>62443</v>
      </c>
      <c r="AA3322" s="117">
        <f>_xll.qlCalendarAdvance(Calendar,Z3322,NDays&amp;"D")</f>
        <v>62445</v>
      </c>
      <c r="AB3322" s="92">
        <v>1.2150122495873545E-2</v>
      </c>
      <c r="AC3322" s="101">
        <v>1.205668371723867E-2</v>
      </c>
    </row>
    <row r="3323" spans="25:29" x14ac:dyDescent="0.2">
      <c r="Y3323" s="105" t="str">
        <f t="shared" si="85"/>
        <v>1w</v>
      </c>
      <c r="Z3323" s="93">
        <f>_xll.qlCalendarAdvance(Calendar,Z3322,Y3323,"f",FALSE)</f>
        <v>62450</v>
      </c>
      <c r="AA3323" s="117">
        <f>_xll.qlCalendarAdvance(Calendar,Z3323,NDays&amp;"D")</f>
        <v>62456</v>
      </c>
      <c r="AB3323" s="92">
        <v>1.2156892953501489E-2</v>
      </c>
      <c r="AC3323" s="101">
        <v>1.2063756059310649E-2</v>
      </c>
    </row>
    <row r="3324" spans="25:29" x14ac:dyDescent="0.2">
      <c r="Y3324" s="105" t="str">
        <f t="shared" si="85"/>
        <v>1w</v>
      </c>
      <c r="Z3324" s="93">
        <f>_xll.qlCalendarAdvance(Calendar,Z3323,Y3324,"f",FALSE)</f>
        <v>62457</v>
      </c>
      <c r="AA3324" s="117">
        <f>_xll.qlCalendarAdvance(Calendar,Z3324,NDays&amp;"D")</f>
        <v>62460</v>
      </c>
      <c r="AB3324" s="92">
        <v>1.2158838704944294E-2</v>
      </c>
      <c r="AC3324" s="101">
        <v>1.206736154498067E-2</v>
      </c>
    </row>
    <row r="3325" spans="25:29" x14ac:dyDescent="0.2">
      <c r="Y3325" s="105" t="str">
        <f t="shared" si="85"/>
        <v>1w</v>
      </c>
      <c r="Z3325" s="93">
        <f>_xll.qlCalendarAdvance(Calendar,Z3324,Y3325,"f",FALSE)</f>
        <v>62464</v>
      </c>
      <c r="AA3325" s="117">
        <f>_xll.qlCalendarAdvance(Calendar,Z3325,NDays&amp;"D")</f>
        <v>62466</v>
      </c>
      <c r="AB3325" s="92">
        <v>1.2162506393987816E-2</v>
      </c>
      <c r="AC3325" s="101">
        <v>1.2070149791414408E-2</v>
      </c>
    </row>
    <row r="3326" spans="25:29" x14ac:dyDescent="0.2">
      <c r="Y3326" s="105" t="str">
        <f t="shared" si="85"/>
        <v>1w</v>
      </c>
      <c r="Z3326" s="93">
        <f>_xll.qlCalendarAdvance(Calendar,Z3325,Y3326,"f",FALSE)</f>
        <v>62471</v>
      </c>
      <c r="AA3326" s="117">
        <f>_xll.qlCalendarAdvance(Calendar,Z3326,NDays&amp;"D")</f>
        <v>62473</v>
      </c>
      <c r="AB3326" s="92">
        <v>1.2166769418801857E-2</v>
      </c>
      <c r="AC3326" s="101">
        <v>1.2074605142542438E-2</v>
      </c>
    </row>
    <row r="3327" spans="25:29" x14ac:dyDescent="0.2">
      <c r="Y3327" s="105" t="str">
        <f t="shared" si="85"/>
        <v>1w</v>
      </c>
      <c r="Z3327" s="93">
        <f>_xll.qlCalendarAdvance(Calendar,Z3326,Y3327,"f",FALSE)</f>
        <v>62478</v>
      </c>
      <c r="AA3327" s="117">
        <f>_xll.qlCalendarAdvance(Calendar,Z3327,NDays&amp;"D")</f>
        <v>62480</v>
      </c>
      <c r="AB3327" s="92">
        <v>1.2171015242419848E-2</v>
      </c>
      <c r="AC3327" s="101">
        <v>1.2079043773445264E-2</v>
      </c>
    </row>
    <row r="3328" spans="25:29" x14ac:dyDescent="0.2">
      <c r="Y3328" s="105" t="str">
        <f t="shared" si="85"/>
        <v>1w</v>
      </c>
      <c r="Z3328" s="93">
        <f>_xll.qlCalendarAdvance(Calendar,Z3327,Y3328,"f",FALSE)</f>
        <v>62485</v>
      </c>
      <c r="AA3328" s="117">
        <f>_xll.qlCalendarAdvance(Calendar,Z3328,NDays&amp;"D")</f>
        <v>62487</v>
      </c>
      <c r="AB3328" s="92">
        <v>1.2175243834532334E-2</v>
      </c>
      <c r="AC3328" s="101">
        <v>1.2083465654146863E-2</v>
      </c>
    </row>
    <row r="3329" spans="25:29" x14ac:dyDescent="0.2">
      <c r="Y3329" s="105" t="str">
        <f t="shared" si="85"/>
        <v>1w</v>
      </c>
      <c r="Z3329" s="93">
        <f>_xll.qlCalendarAdvance(Calendar,Z3328,Y3329,"f",FALSE)</f>
        <v>62492</v>
      </c>
      <c r="AA3329" s="117">
        <f>_xll.qlCalendarAdvance(Calendar,Z3329,NDays&amp;"D")</f>
        <v>62494</v>
      </c>
      <c r="AB3329" s="92">
        <v>1.2179455164831186E-2</v>
      </c>
      <c r="AC3329" s="101">
        <v>1.2087870754591279E-2</v>
      </c>
    </row>
    <row r="3330" spans="25:29" x14ac:dyDescent="0.2">
      <c r="Y3330" s="105" t="str">
        <f t="shared" si="85"/>
        <v>1w</v>
      </c>
      <c r="Z3330" s="93">
        <f>_xll.qlCalendarAdvance(Calendar,Z3329,Y3330,"f",FALSE)</f>
        <v>62499</v>
      </c>
      <c r="AA3330" s="117">
        <f>_xll.qlCalendarAdvance(Calendar,Z3330,NDays&amp;"D")</f>
        <v>62501</v>
      </c>
      <c r="AB3330" s="92">
        <v>1.2183649203007829E-2</v>
      </c>
      <c r="AC3330" s="101">
        <v>1.2092259044882425E-2</v>
      </c>
    </row>
    <row r="3331" spans="25:29" x14ac:dyDescent="0.2">
      <c r="Y3331" s="105" t="str">
        <f t="shared" si="85"/>
        <v>1w</v>
      </c>
      <c r="Z3331" s="93">
        <f>_xll.qlCalendarAdvance(Calendar,Z3330,Y3331,"f",FALSE)</f>
        <v>62506</v>
      </c>
      <c r="AA3331" s="117">
        <f>_xll.qlCalendarAdvance(Calendar,Z3331,NDays&amp;"D")</f>
        <v>62508</v>
      </c>
      <c r="AB3331" s="92">
        <v>1.2187825918754572E-2</v>
      </c>
      <c r="AC3331" s="101">
        <v>1.2096630494804472E-2</v>
      </c>
    </row>
    <row r="3332" spans="25:29" x14ac:dyDescent="0.2">
      <c r="Y3332" s="105" t="str">
        <f t="shared" si="85"/>
        <v>1w</v>
      </c>
      <c r="Z3332" s="93">
        <f>_xll.qlCalendarAdvance(Calendar,Z3331,Y3332,"f",FALSE)</f>
        <v>62513</v>
      </c>
      <c r="AA3332" s="117">
        <f>_xll.qlCalendarAdvance(Calendar,Z3332,NDays&amp;"D")</f>
        <v>62515</v>
      </c>
      <c r="AB3332" s="92">
        <v>1.2191985281761516E-2</v>
      </c>
      <c r="AC3332" s="101">
        <v>1.2100985074381398E-2</v>
      </c>
    </row>
    <row r="3333" spans="25:29" x14ac:dyDescent="0.2">
      <c r="Y3333" s="105" t="str">
        <f t="shared" si="85"/>
        <v>1w</v>
      </c>
      <c r="Z3333" s="93">
        <f>_xll.qlCalendarAdvance(Calendar,Z3332,Y3333,"f",FALSE)</f>
        <v>62520</v>
      </c>
      <c r="AA3333" s="117">
        <f>_xll.qlCalendarAdvance(Calendar,Z3333,NDays&amp;"D")</f>
        <v>62522</v>
      </c>
      <c r="AB3333" s="92">
        <v>1.2198606272975874E-2</v>
      </c>
      <c r="AC3333" s="101">
        <v>1.2105322753797054E-2</v>
      </c>
    </row>
    <row r="3334" spans="25:29" x14ac:dyDescent="0.2">
      <c r="Y3334" s="105" t="str">
        <f t="shared" si="85"/>
        <v>1w</v>
      </c>
      <c r="Z3334" s="93">
        <f>_xll.qlCalendarAdvance(Calendar,Z3333,Y3334,"f",FALSE)</f>
        <v>62527</v>
      </c>
      <c r="AA3334" s="117">
        <f>_xll.qlCalendarAdvance(Calendar,Z3334,NDays&amp;"D")</f>
        <v>62529</v>
      </c>
      <c r="AB3334" s="92">
        <v>1.220272526173369E-2</v>
      </c>
      <c r="AC3334" s="101">
        <v>1.210964350283561E-2</v>
      </c>
    </row>
    <row r="3335" spans="25:29" x14ac:dyDescent="0.2">
      <c r="Y3335" s="105" t="str">
        <f t="shared" si="85"/>
        <v>1w</v>
      </c>
      <c r="Z3335" s="93">
        <f>_xll.qlCalendarAdvance(Calendar,Z3334,Y3335,"f",FALSE)</f>
        <v>62534</v>
      </c>
      <c r="AA3335" s="117">
        <f>_xll.qlCalendarAdvance(Calendar,Z3335,NDays&amp;"D")</f>
        <v>62536</v>
      </c>
      <c r="AB3335" s="92">
        <v>1.2206826793290658E-2</v>
      </c>
      <c r="AC3335" s="101">
        <v>1.2113947291600979E-2</v>
      </c>
    </row>
    <row r="3336" spans="25:29" x14ac:dyDescent="0.2">
      <c r="Y3336" s="105" t="str">
        <f t="shared" si="85"/>
        <v>1w</v>
      </c>
      <c r="Z3336" s="93">
        <f>_xll.qlCalendarAdvance(Calendar,Z3335,Y3336,"f",FALSE)</f>
        <v>62541</v>
      </c>
      <c r="AA3336" s="117">
        <f>_xll.qlCalendarAdvance(Calendar,Z3336,NDays&amp;"D")</f>
        <v>62543</v>
      </c>
      <c r="AB3336" s="92">
        <v>1.2210910837331246E-2</v>
      </c>
      <c r="AC3336" s="101">
        <v>1.2118234089797397E-2</v>
      </c>
    </row>
    <row r="3337" spans="25:29" x14ac:dyDescent="0.2">
      <c r="Y3337" s="105" t="str">
        <f t="shared" si="85"/>
        <v>1w</v>
      </c>
      <c r="Z3337" s="93">
        <f>_xll.qlCalendarAdvance(Calendar,Z3336,Y3337,"f",FALSE)</f>
        <v>62548</v>
      </c>
      <c r="AA3337" s="117">
        <f>_xll.qlCalendarAdvance(Calendar,Z3337,NDays&amp;"D")</f>
        <v>62550</v>
      </c>
      <c r="AB3337" s="92">
        <v>1.2213503682710593E-2</v>
      </c>
      <c r="AC3337" s="101">
        <v>1.2122503867928458E-2</v>
      </c>
    </row>
    <row r="3338" spans="25:29" x14ac:dyDescent="0.2">
      <c r="Y3338" s="105" t="str">
        <f t="shared" si="85"/>
        <v>1w</v>
      </c>
      <c r="Z3338" s="93">
        <f>_xll.qlCalendarAdvance(Calendar,Z3337,Y3338,"f",FALSE)</f>
        <v>62555</v>
      </c>
      <c r="AA3338" s="117">
        <f>_xll.qlCalendarAdvance(Calendar,Z3338,NDays&amp;"D")</f>
        <v>62557</v>
      </c>
      <c r="AB3338" s="92">
        <v>1.2217556040851009E-2</v>
      </c>
      <c r="AC3338" s="101">
        <v>1.2126756595538524E-2</v>
      </c>
    </row>
    <row r="3339" spans="25:29" x14ac:dyDescent="0.2">
      <c r="Y3339" s="105" t="str">
        <f t="shared" si="85"/>
        <v>1w</v>
      </c>
      <c r="Z3339" s="93">
        <f>_xll.qlCalendarAdvance(Calendar,Z3338,Y3339,"f",FALSE)</f>
        <v>62562</v>
      </c>
      <c r="AA3339" s="117">
        <f>_xll.qlCalendarAdvance(Calendar,Z3339,NDays&amp;"D")</f>
        <v>62564</v>
      </c>
      <c r="AB3339" s="92">
        <v>1.2221590828674201E-2</v>
      </c>
      <c r="AC3339" s="101">
        <v>1.2133016688014919E-2</v>
      </c>
    </row>
    <row r="3340" spans="25:29" x14ac:dyDescent="0.2">
      <c r="Y3340" s="105" t="str">
        <f t="shared" si="85"/>
        <v>1w</v>
      </c>
      <c r="Z3340" s="93">
        <f>_xll.qlCalendarAdvance(Calendar,Z3339,Y3340,"f",FALSE)</f>
        <v>62569</v>
      </c>
      <c r="AA3340" s="117">
        <f>_xll.qlCalendarAdvance(Calendar,Z3340,NDays&amp;"D")</f>
        <v>62571</v>
      </c>
      <c r="AB3340" s="92">
        <v>1.2225608015873048E-2</v>
      </c>
      <c r="AC3340" s="101">
        <v>1.2135210779531391E-2</v>
      </c>
    </row>
    <row r="3341" spans="25:29" x14ac:dyDescent="0.2">
      <c r="Y3341" s="105" t="str">
        <f t="shared" si="85"/>
        <v>1w</v>
      </c>
      <c r="Z3341" s="93">
        <f>_xll.qlCalendarAdvance(Calendar,Z3340,Y3341,"f",FALSE)</f>
        <v>62576</v>
      </c>
      <c r="AA3341" s="117">
        <f>_xll.qlCalendarAdvance(Calendar,Z3341,NDays&amp;"D")</f>
        <v>62578</v>
      </c>
      <c r="AB3341" s="92">
        <v>1.2229607572135622E-2</v>
      </c>
      <c r="AC3341" s="101">
        <v>1.2140924149948162E-2</v>
      </c>
    </row>
    <row r="3342" spans="25:29" x14ac:dyDescent="0.2">
      <c r="Y3342" s="105" t="str">
        <f t="shared" si="85"/>
        <v>1w</v>
      </c>
      <c r="Z3342" s="93">
        <f>_xll.qlCalendarAdvance(Calendar,Z3341,Y3342,"f",FALSE)</f>
        <v>62583</v>
      </c>
      <c r="AA3342" s="117">
        <f>_xll.qlCalendarAdvance(Calendar,Z3342,NDays&amp;"D")</f>
        <v>62585</v>
      </c>
      <c r="AB3342" s="92">
        <v>1.2235046166115385E-2</v>
      </c>
      <c r="AC3342" s="101">
        <v>1.2143596401807955E-2</v>
      </c>
    </row>
    <row r="3343" spans="25:29" x14ac:dyDescent="0.2">
      <c r="Y3343" s="105" t="str">
        <f t="shared" si="85"/>
        <v>1w</v>
      </c>
      <c r="Z3343" s="93">
        <f>_xll.qlCalendarAdvance(Calendar,Z3342,Y3343,"f",FALSE)</f>
        <v>62590</v>
      </c>
      <c r="AA3343" s="117">
        <f>_xll.qlCalendarAdvance(Calendar,Z3343,NDays&amp;"D")</f>
        <v>62592</v>
      </c>
      <c r="AB3343" s="92">
        <v>1.2239006948736836E-2</v>
      </c>
      <c r="AC3343" s="101">
        <v>1.214776342717272E-2</v>
      </c>
    </row>
    <row r="3344" spans="25:29" x14ac:dyDescent="0.2">
      <c r="Y3344" s="105" t="str">
        <f t="shared" si="85"/>
        <v>1w</v>
      </c>
      <c r="Z3344" s="93">
        <f>_xll.qlCalendarAdvance(Calendar,Z3343,Y3344,"f",FALSE)</f>
        <v>62597</v>
      </c>
      <c r="AA3344" s="117">
        <f>_xll.qlCalendarAdvance(Calendar,Z3344,NDays&amp;"D")</f>
        <v>62599</v>
      </c>
      <c r="AB3344" s="92">
        <v>1.2242950001329229E-2</v>
      </c>
      <c r="AC3344" s="101">
        <v>1.215191322216036E-2</v>
      </c>
    </row>
    <row r="3345" spans="25:29" x14ac:dyDescent="0.2">
      <c r="Y3345" s="105" t="str">
        <f t="shared" si="85"/>
        <v>1w</v>
      </c>
      <c r="Z3345" s="93">
        <f>_xll.qlCalendarAdvance(Calendar,Z3344,Y3345,"f",FALSE)</f>
        <v>62604</v>
      </c>
      <c r="AA3345" s="117">
        <f>_xll.qlCalendarAdvance(Calendar,Z3345,NDays&amp;"D")</f>
        <v>62606</v>
      </c>
      <c r="AB3345" s="92">
        <v>1.2246875293579179E-2</v>
      </c>
      <c r="AC3345" s="101">
        <v>1.2156045756634981E-2</v>
      </c>
    </row>
    <row r="3346" spans="25:29" x14ac:dyDescent="0.2">
      <c r="Y3346" s="105" t="str">
        <f t="shared" si="85"/>
        <v>1w</v>
      </c>
      <c r="Z3346" s="93">
        <f>_xll.qlCalendarAdvance(Calendar,Z3345,Y3346,"f",FALSE)</f>
        <v>62611</v>
      </c>
      <c r="AA3346" s="117">
        <f>_xll.qlCalendarAdvance(Calendar,Z3346,NDays&amp;"D")</f>
        <v>62613</v>
      </c>
      <c r="AB3346" s="92">
        <v>1.2249339828614453E-2</v>
      </c>
      <c r="AC3346" s="101">
        <v>1.2160161000540626E-2</v>
      </c>
    </row>
    <row r="3347" spans="25:29" x14ac:dyDescent="0.2">
      <c r="Y3347" s="105" t="str">
        <f t="shared" si="85"/>
        <v>1w</v>
      </c>
      <c r="Z3347" s="93">
        <f>_xll.qlCalendarAdvance(Calendar,Z3346,Y3347,"f",FALSE)</f>
        <v>62618</v>
      </c>
      <c r="AA3347" s="117">
        <f>_xll.qlCalendarAdvance(Calendar,Z3347,NDays&amp;"D")</f>
        <v>62620</v>
      </c>
      <c r="AB3347" s="92">
        <v>1.2253232962784903E-2</v>
      </c>
      <c r="AC3347" s="101">
        <v>1.2164258923901272E-2</v>
      </c>
    </row>
    <row r="3348" spans="25:29" x14ac:dyDescent="0.2">
      <c r="Y3348" s="105" t="str">
        <f t="shared" si="85"/>
        <v>1w</v>
      </c>
      <c r="Z3348" s="93">
        <f>_xll.qlCalendarAdvance(Calendar,Z3347,Y3348,"f",FALSE)</f>
        <v>62625</v>
      </c>
      <c r="AA3348" s="117">
        <f>_xll.qlCalendarAdvance(Calendar,Z3348,NDays&amp;"D")</f>
        <v>62627</v>
      </c>
      <c r="AB3348" s="92">
        <v>1.2257108253861356E-2</v>
      </c>
      <c r="AC3348" s="101">
        <v>1.2168339496740899E-2</v>
      </c>
    </row>
    <row r="3349" spans="25:29" x14ac:dyDescent="0.2">
      <c r="Y3349" s="105" t="str">
        <f t="shared" ref="Y3349:Y3412" si="86">Y3348</f>
        <v>1w</v>
      </c>
      <c r="Z3349" s="93">
        <f>_xll.qlCalendarAdvance(Calendar,Z3348,Y3349,"f",FALSE)</f>
        <v>62632</v>
      </c>
      <c r="AA3349" s="117">
        <f>_xll.qlCalendarAdvance(Calendar,Z3349,NDays&amp;"D")</f>
        <v>62634</v>
      </c>
      <c r="AB3349" s="92">
        <v>1.2262398252898847E-2</v>
      </c>
      <c r="AC3349" s="101">
        <v>1.2172402689003547E-2</v>
      </c>
    </row>
    <row r="3350" spans="25:29" x14ac:dyDescent="0.2">
      <c r="Y3350" s="105" t="str">
        <f t="shared" si="86"/>
        <v>1w</v>
      </c>
      <c r="Z3350" s="93">
        <f>_xll.qlCalendarAdvance(Calendar,Z3349,Y3350,"f",FALSE)</f>
        <v>62639</v>
      </c>
      <c r="AA3350" s="117">
        <f>_xll.qlCalendarAdvance(Calendar,Z3350,NDays&amp;"D")</f>
        <v>62641</v>
      </c>
      <c r="AB3350" s="92">
        <v>1.2266234288747386E-2</v>
      </c>
      <c r="AC3350" s="101">
        <v>1.2176448470633261E-2</v>
      </c>
    </row>
    <row r="3351" spans="25:29" x14ac:dyDescent="0.2">
      <c r="Y3351" s="105" t="str">
        <f t="shared" si="86"/>
        <v>1w</v>
      </c>
      <c r="Z3351" s="93">
        <f>_xll.qlCalendarAdvance(Calendar,Z3350,Y3351,"f",FALSE)</f>
        <v>62646</v>
      </c>
      <c r="AA3351" s="117">
        <f>_xll.qlCalendarAdvance(Calendar,Z3351,NDays&amp;"D")</f>
        <v>62648</v>
      </c>
      <c r="AB3351" s="92">
        <v>1.2270052382380471E-2</v>
      </c>
      <c r="AC3351" s="101">
        <v>1.2180476811654017E-2</v>
      </c>
    </row>
    <row r="3352" spans="25:29" x14ac:dyDescent="0.2">
      <c r="Y3352" s="105" t="str">
        <f t="shared" si="86"/>
        <v>1w</v>
      </c>
      <c r="Z3352" s="93">
        <f>_xll.qlCalendarAdvance(Calendar,Z3351,Y3352,"f",FALSE)</f>
        <v>62653</v>
      </c>
      <c r="AA3352" s="117">
        <f>_xll.qlCalendarAdvance(Calendar,Z3352,NDays&amp;"D")</f>
        <v>62655</v>
      </c>
      <c r="AB3352" s="92">
        <v>1.2273852503486003E-2</v>
      </c>
      <c r="AC3352" s="101">
        <v>1.2184487682089795E-2</v>
      </c>
    </row>
    <row r="3353" spans="25:29" x14ac:dyDescent="0.2">
      <c r="Y3353" s="105" t="str">
        <f t="shared" si="86"/>
        <v>1w</v>
      </c>
      <c r="Z3353" s="93">
        <f>_xll.qlCalendarAdvance(Calendar,Z3352,Y3353,"f",FALSE)</f>
        <v>62660</v>
      </c>
      <c r="AA3353" s="117">
        <f>_xll.qlCalendarAdvance(Calendar,Z3353,NDays&amp;"D")</f>
        <v>62662</v>
      </c>
      <c r="AB3353" s="92">
        <v>1.2277634621753176E-2</v>
      </c>
      <c r="AC3353" s="101">
        <v>1.2188481051884636E-2</v>
      </c>
    </row>
    <row r="3354" spans="25:29" x14ac:dyDescent="0.2">
      <c r="Y3354" s="105" t="str">
        <f t="shared" si="86"/>
        <v>1w</v>
      </c>
      <c r="Z3354" s="93">
        <f>_xll.qlCalendarAdvance(Calendar,Z3353,Y3354,"f",FALSE)</f>
        <v>62667</v>
      </c>
      <c r="AA3354" s="117">
        <f>_xll.qlCalendarAdvance(Calendar,Z3354,NDays&amp;"D")</f>
        <v>62669</v>
      </c>
      <c r="AB3354" s="92">
        <v>1.2279983598162986E-2</v>
      </c>
      <c r="AC3354" s="101">
        <v>1.219245689106252E-2</v>
      </c>
    </row>
    <row r="3355" spans="25:29" x14ac:dyDescent="0.2">
      <c r="Y3355" s="105" t="str">
        <f t="shared" si="86"/>
        <v>1w</v>
      </c>
      <c r="Z3355" s="93">
        <f>_xll.qlCalendarAdvance(Calendar,Z3354,Y3355,"f",FALSE)</f>
        <v>62674</v>
      </c>
      <c r="AA3355" s="117">
        <f>_xll.qlCalendarAdvance(Calendar,Z3355,NDays&amp;"D")</f>
        <v>62676</v>
      </c>
      <c r="AB3355" s="92">
        <v>1.2285144728528782E-2</v>
      </c>
      <c r="AC3355" s="101">
        <v>1.2196415169487551E-2</v>
      </c>
    </row>
    <row r="3356" spans="25:29" x14ac:dyDescent="0.2">
      <c r="Y3356" s="105" t="str">
        <f t="shared" si="86"/>
        <v>1w</v>
      </c>
      <c r="Z3356" s="93">
        <f>_xll.qlCalendarAdvance(Calendar,Z3355,Y3356,"f",FALSE)</f>
        <v>62681</v>
      </c>
      <c r="AA3356" s="117">
        <f>_xll.qlCalendarAdvance(Calendar,Z3356,NDays&amp;"D")</f>
        <v>62683</v>
      </c>
      <c r="AB3356" s="92">
        <v>1.2288872656416889E-2</v>
      </c>
      <c r="AC3356" s="101">
        <v>1.2200355857343581E-2</v>
      </c>
    </row>
    <row r="3357" spans="25:29" x14ac:dyDescent="0.2">
      <c r="Y3357" s="105" t="str">
        <f t="shared" si="86"/>
        <v>1w</v>
      </c>
      <c r="Z3357" s="93">
        <f>_xll.qlCalendarAdvance(Calendar,Z3356,Y3357,"f",FALSE)</f>
        <v>62688</v>
      </c>
      <c r="AA3357" s="117">
        <f>_xll.qlCalendarAdvance(Calendar,Z3357,NDays&amp;"D")</f>
        <v>62690</v>
      </c>
      <c r="AB3357" s="92">
        <v>1.2292582460224265E-2</v>
      </c>
      <c r="AC3357" s="101">
        <v>1.220427892441478E-2</v>
      </c>
    </row>
    <row r="3358" spans="25:29" x14ac:dyDescent="0.2">
      <c r="Y3358" s="105" t="str">
        <f t="shared" si="86"/>
        <v>1w</v>
      </c>
      <c r="Z3358" s="93">
        <f>_xll.qlCalendarAdvance(Calendar,Z3357,Y3358,"f",FALSE)</f>
        <v>62695</v>
      </c>
      <c r="AA3358" s="117">
        <f>_xll.qlCalendarAdvance(Calendar,Z3358,NDays&amp;"D")</f>
        <v>62697</v>
      </c>
      <c r="AB3358" s="92">
        <v>1.2296274109641391E-2</v>
      </c>
      <c r="AC3358" s="101">
        <v>1.220818434064519E-2</v>
      </c>
    </row>
    <row r="3359" spans="25:29" x14ac:dyDescent="0.2">
      <c r="Y3359" s="105" t="str">
        <f t="shared" si="86"/>
        <v>1w</v>
      </c>
      <c r="Z3359" s="93">
        <f>_xll.qlCalendarAdvance(Calendar,Z3358,Y3359,"f",FALSE)</f>
        <v>62702</v>
      </c>
      <c r="AA3359" s="117">
        <f>_xll.qlCalendarAdvance(Calendar,Z3359,NDays&amp;"D")</f>
        <v>62704</v>
      </c>
      <c r="AB3359" s="92">
        <v>1.2298084127596184E-2</v>
      </c>
      <c r="AC3359" s="101">
        <v>1.2212072076298597E-2</v>
      </c>
    </row>
    <row r="3360" spans="25:29" x14ac:dyDescent="0.2">
      <c r="Y3360" s="105" t="str">
        <f t="shared" si="86"/>
        <v>1w</v>
      </c>
      <c r="Z3360" s="93">
        <f>_xll.qlCalendarAdvance(Calendar,Z3359,Y3360,"f",FALSE)</f>
        <v>62709</v>
      </c>
      <c r="AA3360" s="117">
        <f>_xll.qlCalendarAdvance(Calendar,Z3360,NDays&amp;"D")</f>
        <v>62711</v>
      </c>
      <c r="AB3360" s="92">
        <v>1.2301744123857412E-2</v>
      </c>
      <c r="AC3360" s="101">
        <v>1.2215942101159172E-2</v>
      </c>
    </row>
    <row r="3361" spans="25:29" x14ac:dyDescent="0.2">
      <c r="Y3361" s="105" t="str">
        <f t="shared" si="86"/>
        <v>1w</v>
      </c>
      <c r="Z3361" s="93">
        <f>_xll.qlCalendarAdvance(Calendar,Z3360,Y3361,"f",FALSE)</f>
        <v>62716</v>
      </c>
      <c r="AA3361" s="117">
        <f>_xll.qlCalendarAdvance(Calendar,Z3361,NDays&amp;"D")</f>
        <v>62718</v>
      </c>
      <c r="AB3361" s="92">
        <v>1.2305385885799091E-2</v>
      </c>
      <c r="AC3361" s="101">
        <v>1.2219794385250893E-2</v>
      </c>
    </row>
    <row r="3362" spans="25:29" x14ac:dyDescent="0.2">
      <c r="Y3362" s="105" t="str">
        <f t="shared" si="86"/>
        <v>1w</v>
      </c>
      <c r="Z3362" s="93">
        <f>_xll.qlCalendarAdvance(Calendar,Z3361,Y3362,"f",FALSE)</f>
        <v>62723</v>
      </c>
      <c r="AA3362" s="117">
        <f>_xll.qlCalendarAdvance(Calendar,Z3362,NDays&amp;"D")</f>
        <v>62725</v>
      </c>
      <c r="AB3362" s="92">
        <v>1.230900938311711E-2</v>
      </c>
      <c r="AC3362" s="101">
        <v>1.2223628898517802E-2</v>
      </c>
    </row>
    <row r="3363" spans="25:29" x14ac:dyDescent="0.2">
      <c r="Y3363" s="105" t="str">
        <f t="shared" si="86"/>
        <v>1w</v>
      </c>
      <c r="Z3363" s="93">
        <f>_xll.qlCalendarAdvance(Calendar,Z3362,Y3363,"f",FALSE)</f>
        <v>62730</v>
      </c>
      <c r="AA3363" s="117">
        <f>_xll.qlCalendarAdvance(Calendar,Z3363,NDays&amp;"D")</f>
        <v>62732</v>
      </c>
      <c r="AB3363" s="92">
        <v>1.2313075840384219E-2</v>
      </c>
      <c r="AC3363" s="101">
        <v>1.2227445610983878E-2</v>
      </c>
    </row>
    <row r="3364" spans="25:29" x14ac:dyDescent="0.2">
      <c r="Y3364" s="105" t="str">
        <f t="shared" si="86"/>
        <v>1w</v>
      </c>
      <c r="Z3364" s="93">
        <f>_xll.qlCalendarAdvance(Calendar,Z3363,Y3364,"f",FALSE)</f>
        <v>62737</v>
      </c>
      <c r="AA3364" s="117">
        <f>_xll.qlCalendarAdvance(Calendar,Z3364,NDays&amp;"D")</f>
        <v>62739</v>
      </c>
      <c r="AB3364" s="92">
        <v>1.2318500706417542E-2</v>
      </c>
      <c r="AC3364" s="101">
        <v>1.2231244492593163E-2</v>
      </c>
    </row>
    <row r="3365" spans="25:29" x14ac:dyDescent="0.2">
      <c r="Y3365" s="105" t="str">
        <f t="shared" si="86"/>
        <v>1w</v>
      </c>
      <c r="Z3365" s="93">
        <f>_xll.qlCalendarAdvance(Calendar,Z3364,Y3365,"f",FALSE)</f>
        <v>62744</v>
      </c>
      <c r="AA3365" s="117">
        <f>_xll.qlCalendarAdvance(Calendar,Z3365,NDays&amp;"D")</f>
        <v>62746</v>
      </c>
      <c r="AB3365" s="92">
        <v>1.2320228842006491E-2</v>
      </c>
      <c r="AC3365" s="101">
        <v>1.2235025513289699E-2</v>
      </c>
    </row>
    <row r="3366" spans="25:29" x14ac:dyDescent="0.2">
      <c r="Y3366" s="105" t="str">
        <f t="shared" si="86"/>
        <v>1w</v>
      </c>
      <c r="Z3366" s="93">
        <f>_xll.qlCalendarAdvance(Calendar,Z3365,Y3366,"f",FALSE)</f>
        <v>62751</v>
      </c>
      <c r="AA3366" s="117">
        <f>_xll.qlCalendarAdvance(Calendar,Z3366,NDays&amp;"D")</f>
        <v>62753</v>
      </c>
      <c r="AB3366" s="92">
        <v>1.2323777775090512E-2</v>
      </c>
      <c r="AC3366" s="101">
        <v>1.2238788643337273E-2</v>
      </c>
    </row>
    <row r="3367" spans="25:29" x14ac:dyDescent="0.2">
      <c r="Y3367" s="105" t="str">
        <f t="shared" si="86"/>
        <v>1w</v>
      </c>
      <c r="Z3367" s="93">
        <f>_xll.qlCalendarAdvance(Calendar,Z3366,Y3367,"f",FALSE)</f>
        <v>62758</v>
      </c>
      <c r="AA3367" s="117">
        <f>_xll.qlCalendarAdvance(Calendar,Z3367,NDays&amp;"D")</f>
        <v>62760</v>
      </c>
      <c r="AB3367" s="92">
        <v>1.2327308289285386E-2</v>
      </c>
      <c r="AC3367" s="101">
        <v>1.2242533852280246E-2</v>
      </c>
    </row>
    <row r="3368" spans="25:29" x14ac:dyDescent="0.2">
      <c r="Y3368" s="105" t="str">
        <f t="shared" si="86"/>
        <v>1w</v>
      </c>
      <c r="Z3368" s="93">
        <f>_xll.qlCalendarAdvance(Calendar,Z3367,Y3368,"f",FALSE)</f>
        <v>62765</v>
      </c>
      <c r="AA3368" s="117">
        <f>_xll.qlCalendarAdvance(Calendar,Z3368,NDays&amp;"D")</f>
        <v>62767</v>
      </c>
      <c r="AB3368" s="92">
        <v>1.2330365113054083E-2</v>
      </c>
      <c r="AC3368" s="101">
        <v>1.2246261110462342E-2</v>
      </c>
    </row>
    <row r="3369" spans="25:29" x14ac:dyDescent="0.2">
      <c r="Y3369" s="105" t="str">
        <f t="shared" si="86"/>
        <v>1w</v>
      </c>
      <c r="Z3369" s="93">
        <f>_xll.qlCalendarAdvance(Calendar,Z3368,Y3369,"f",FALSE)</f>
        <v>62772</v>
      </c>
      <c r="AA3369" s="117">
        <f>_xll.qlCalendarAdvance(Calendar,Z3369,NDays&amp;"D")</f>
        <v>62774</v>
      </c>
      <c r="AB3369" s="92">
        <v>1.2333859909570876E-2</v>
      </c>
      <c r="AC3369" s="101">
        <v>1.224997038766773E-2</v>
      </c>
    </row>
    <row r="3370" spans="25:29" x14ac:dyDescent="0.2">
      <c r="Y3370" s="105" t="str">
        <f t="shared" si="86"/>
        <v>1w</v>
      </c>
      <c r="Z3370" s="93">
        <f>_xll.qlCalendarAdvance(Calendar,Z3369,Y3370,"f",FALSE)</f>
        <v>62779</v>
      </c>
      <c r="AA3370" s="117">
        <f>_xll.qlCalendarAdvance(Calendar,Z3370,NDays&amp;"D")</f>
        <v>62781</v>
      </c>
      <c r="AB3370" s="92">
        <v>1.2337336199057037E-2</v>
      </c>
      <c r="AC3370" s="101">
        <v>1.2253661654000325E-2</v>
      </c>
    </row>
    <row r="3371" spans="25:29" x14ac:dyDescent="0.2">
      <c r="Y3371" s="105" t="str">
        <f t="shared" si="86"/>
        <v>1w</v>
      </c>
      <c r="Z3371" s="93">
        <f>_xll.qlCalendarAdvance(Calendar,Z3370,Y3371,"f",FALSE)</f>
        <v>62786</v>
      </c>
      <c r="AA3371" s="117">
        <f>_xll.qlCalendarAdvance(Calendar,Z3371,NDays&amp;"D")</f>
        <v>62788</v>
      </c>
      <c r="AB3371" s="92">
        <v>1.2340793951212407E-2</v>
      </c>
      <c r="AC3371" s="101">
        <v>1.2257334879324233E-2</v>
      </c>
    </row>
    <row r="3372" spans="25:29" x14ac:dyDescent="0.2">
      <c r="Y3372" s="105" t="str">
        <f t="shared" si="86"/>
        <v>1w</v>
      </c>
      <c r="Z3372" s="93">
        <f>_xll.qlCalendarAdvance(Calendar,Z3371,Y3372,"f",FALSE)</f>
        <v>62793</v>
      </c>
      <c r="AA3372" s="117">
        <f>_xll.qlCalendarAdvance(Calendar,Z3372,NDays&amp;"D")</f>
        <v>62795</v>
      </c>
      <c r="AB3372" s="92">
        <v>1.2344683516366329E-2</v>
      </c>
      <c r="AC3372" s="101">
        <v>1.2260990033743369E-2</v>
      </c>
    </row>
    <row r="3373" spans="25:29" x14ac:dyDescent="0.2">
      <c r="Y3373" s="105" t="str">
        <f t="shared" si="86"/>
        <v>1w</v>
      </c>
      <c r="Z3373" s="93">
        <f>_xll.qlCalendarAdvance(Calendar,Z3372,Y3373,"f",FALSE)</f>
        <v>62800</v>
      </c>
      <c r="AA3373" s="117">
        <f>_xll.qlCalendarAdvance(Calendar,Z3373,NDays&amp;"D")</f>
        <v>62802</v>
      </c>
      <c r="AB3373" s="92">
        <v>1.2348102880895119E-2</v>
      </c>
      <c r="AC3373" s="101">
        <v>1.2264627087201774E-2</v>
      </c>
    </row>
    <row r="3374" spans="25:29" x14ac:dyDescent="0.2">
      <c r="Y3374" s="105" t="str">
        <f t="shared" si="86"/>
        <v>1w</v>
      </c>
      <c r="Z3374" s="93">
        <f>_xll.qlCalendarAdvance(Calendar,Z3373,Y3374,"f",FALSE)</f>
        <v>62807</v>
      </c>
      <c r="AA3374" s="117">
        <f>_xll.qlCalendarAdvance(Calendar,Z3374,NDays&amp;"D")</f>
        <v>62809</v>
      </c>
      <c r="AB3374" s="92">
        <v>1.2351503614425526E-2</v>
      </c>
      <c r="AC3374" s="101">
        <v>1.2268246009483619E-2</v>
      </c>
    </row>
    <row r="3375" spans="25:29" x14ac:dyDescent="0.2">
      <c r="Y3375" s="105" t="str">
        <f t="shared" si="86"/>
        <v>1w</v>
      </c>
      <c r="Z3375" s="93">
        <f>_xll.qlCalendarAdvance(Calendar,Z3374,Y3375,"f",FALSE)</f>
        <v>62814</v>
      </c>
      <c r="AA3375" s="117">
        <f>_xll.qlCalendarAdvance(Calendar,Z3375,NDays&amp;"D")</f>
        <v>62816</v>
      </c>
      <c r="AB3375" s="92">
        <v>1.2354885686659163E-2</v>
      </c>
      <c r="AC3375" s="101">
        <v>1.227324335038471E-2</v>
      </c>
    </row>
    <row r="3376" spans="25:29" x14ac:dyDescent="0.2">
      <c r="Y3376" s="105" t="str">
        <f t="shared" si="86"/>
        <v>1w</v>
      </c>
      <c r="Z3376" s="93">
        <f>_xll.qlCalendarAdvance(Calendar,Z3375,Y3376,"f",FALSE)</f>
        <v>62821</v>
      </c>
      <c r="AA3376" s="117">
        <f>_xll.qlCalendarAdvance(Calendar,Z3376,NDays&amp;"D")</f>
        <v>62823</v>
      </c>
      <c r="AB3376" s="92">
        <v>1.235780359155304E-2</v>
      </c>
      <c r="AC3376" s="101">
        <v>1.2276822384413855E-2</v>
      </c>
    </row>
    <row r="3377" spans="25:29" x14ac:dyDescent="0.2">
      <c r="Y3377" s="105" t="str">
        <f t="shared" si="86"/>
        <v>1w</v>
      </c>
      <c r="Z3377" s="93">
        <f>_xll.qlCalendarAdvance(Calendar,Z3376,Y3377,"f",FALSE)</f>
        <v>62828</v>
      </c>
      <c r="AA3377" s="117">
        <f>_xll.qlCalendarAdvance(Calendar,Z3377,NDays&amp;"D")</f>
        <v>62830</v>
      </c>
      <c r="AB3377" s="92">
        <v>1.2361149483444939E-2</v>
      </c>
      <c r="AC3377" s="101">
        <v>1.2278993690628681E-2</v>
      </c>
    </row>
    <row r="3378" spans="25:29" x14ac:dyDescent="0.2">
      <c r="Y3378" s="105" t="str">
        <f t="shared" si="86"/>
        <v>1w</v>
      </c>
      <c r="Z3378" s="93">
        <f>_xll.qlCalendarAdvance(Calendar,Z3377,Y3378,"f",FALSE)</f>
        <v>62835</v>
      </c>
      <c r="AA3378" s="117">
        <f>_xll.qlCalendarAdvance(Calendar,Z3378,NDays&amp;"D")</f>
        <v>62837</v>
      </c>
      <c r="AB3378" s="92">
        <v>1.23644766259168E-2</v>
      </c>
      <c r="AC3378" s="101">
        <v>1.2282539788843749E-2</v>
      </c>
    </row>
    <row r="3379" spans="25:29" x14ac:dyDescent="0.2">
      <c r="Y3379" s="105" t="str">
        <f t="shared" si="86"/>
        <v>1w</v>
      </c>
      <c r="Z3379" s="93">
        <f>_xll.qlCalendarAdvance(Calendar,Z3378,Y3379,"f",FALSE)</f>
        <v>62842</v>
      </c>
      <c r="AA3379" s="117">
        <f>_xll.qlCalendarAdvance(Calendar,Z3379,NDays&amp;"D")</f>
        <v>62844</v>
      </c>
      <c r="AB3379" s="92">
        <v>1.2367784988671101E-2</v>
      </c>
      <c r="AC3379" s="101">
        <v>1.2286067606002149E-2</v>
      </c>
    </row>
    <row r="3380" spans="25:29" x14ac:dyDescent="0.2">
      <c r="Y3380" s="105" t="str">
        <f t="shared" si="86"/>
        <v>1w</v>
      </c>
      <c r="Z3380" s="93">
        <f>_xll.qlCalendarAdvance(Calendar,Z3379,Y3380,"f",FALSE)</f>
        <v>62849</v>
      </c>
      <c r="AA3380" s="117">
        <f>_xll.qlCalendarAdvance(Calendar,Z3380,NDays&amp;"D")</f>
        <v>62851</v>
      </c>
      <c r="AB3380" s="92">
        <v>1.2371074541410756E-2</v>
      </c>
      <c r="AC3380" s="101">
        <v>1.2289577112047922E-2</v>
      </c>
    </row>
    <row r="3381" spans="25:29" x14ac:dyDescent="0.2">
      <c r="Y3381" s="105" t="str">
        <f t="shared" si="86"/>
        <v>1w</v>
      </c>
      <c r="Z3381" s="93">
        <f>_xll.qlCalendarAdvance(Calendar,Z3380,Y3381,"f",FALSE)</f>
        <v>62856</v>
      </c>
      <c r="AA3381" s="117">
        <f>_xll.qlCalendarAdvance(Calendar,Z3381,NDays&amp;"D")</f>
        <v>62858</v>
      </c>
      <c r="AB3381" s="92">
        <v>1.2374345253840001E-2</v>
      </c>
      <c r="AC3381" s="101">
        <v>1.2293068277005048E-2</v>
      </c>
    </row>
    <row r="3382" spans="25:29" x14ac:dyDescent="0.2">
      <c r="Y3382" s="105" t="str">
        <f t="shared" si="86"/>
        <v>1w</v>
      </c>
      <c r="Z3382" s="93">
        <f>_xll.qlCalendarAdvance(Calendar,Z3381,Y3382,"f",FALSE)</f>
        <v>62863</v>
      </c>
      <c r="AA3382" s="117">
        <f>_xll.qlCalendarAdvance(Calendar,Z3382,NDays&amp;"D")</f>
        <v>62865</v>
      </c>
      <c r="AB3382" s="92">
        <v>1.2377597095661313E-2</v>
      </c>
      <c r="AC3382" s="101">
        <v>1.2296541070737632E-2</v>
      </c>
    </row>
    <row r="3383" spans="25:29" x14ac:dyDescent="0.2">
      <c r="Y3383" s="105" t="str">
        <f t="shared" si="86"/>
        <v>1w</v>
      </c>
      <c r="Z3383" s="93">
        <f>_xll.qlCalendarAdvance(Calendar,Z3382,Y3383,"f",FALSE)</f>
        <v>62870</v>
      </c>
      <c r="AA3383" s="117">
        <f>_xll.qlCalendarAdvance(Calendar,Z3383,NDays&amp;"D")</f>
        <v>62872</v>
      </c>
      <c r="AB3383" s="92">
        <v>1.2380830036580241E-2</v>
      </c>
      <c r="AC3383" s="101">
        <v>1.2299995463349589E-2</v>
      </c>
    </row>
    <row r="3384" spans="25:29" x14ac:dyDescent="0.2">
      <c r="Y3384" s="105" t="str">
        <f t="shared" si="86"/>
        <v>1w</v>
      </c>
      <c r="Z3384" s="93">
        <f>_xll.qlCalendarAdvance(Calendar,Z3383,Y3384,"f",FALSE)</f>
        <v>62877</v>
      </c>
      <c r="AA3384" s="117">
        <f>_xll.qlCalendarAdvance(Calendar,Z3384,NDays&amp;"D")</f>
        <v>62879</v>
      </c>
      <c r="AB3384" s="92">
        <v>1.2384044046300585E-2</v>
      </c>
      <c r="AC3384" s="101">
        <v>1.2303431424944833E-2</v>
      </c>
    </row>
    <row r="3385" spans="25:29" x14ac:dyDescent="0.2">
      <c r="Y3385" s="105" t="str">
        <f t="shared" si="86"/>
        <v>1w</v>
      </c>
      <c r="Z3385" s="93">
        <f>_xll.qlCalendarAdvance(Calendar,Z3384,Y3385,"f",FALSE)</f>
        <v>62884</v>
      </c>
      <c r="AA3385" s="117">
        <f>_xll.qlCalendarAdvance(Calendar,Z3385,NDays&amp;"D")</f>
        <v>62886</v>
      </c>
      <c r="AB3385" s="92">
        <v>1.2388975540715184E-2</v>
      </c>
      <c r="AC3385" s="101">
        <v>1.2306848925227598E-2</v>
      </c>
    </row>
    <row r="3386" spans="25:29" x14ac:dyDescent="0.2">
      <c r="Y3386" s="105" t="str">
        <f t="shared" si="86"/>
        <v>1w</v>
      </c>
      <c r="Z3386" s="93">
        <f>_xll.qlCalendarAdvance(Calendar,Z3385,Y3386,"f",FALSE)</f>
        <v>62891</v>
      </c>
      <c r="AA3386" s="117">
        <f>_xll.qlCalendarAdvance(Calendar,Z3386,NDays&amp;"D")</f>
        <v>62893</v>
      </c>
      <c r="AB3386" s="92">
        <v>1.2392146562662573E-2</v>
      </c>
      <c r="AC3386" s="101">
        <v>1.2310247934381735E-2</v>
      </c>
    </row>
    <row r="3387" spans="25:29" x14ac:dyDescent="0.2">
      <c r="Y3387" s="105" t="str">
        <f t="shared" si="86"/>
        <v>1w</v>
      </c>
      <c r="Z3387" s="93">
        <f>_xll.qlCalendarAdvance(Calendar,Z3386,Y3387,"f",FALSE)</f>
        <v>62898</v>
      </c>
      <c r="AA3387" s="117">
        <f>_xll.qlCalendarAdvance(Calendar,Z3387,NDays&amp;"D")</f>
        <v>62900</v>
      </c>
      <c r="AB3387" s="92">
        <v>1.2395298551369602E-2</v>
      </c>
      <c r="AC3387" s="101">
        <v>1.2313628422111478E-2</v>
      </c>
    </row>
    <row r="3388" spans="25:29" x14ac:dyDescent="0.2">
      <c r="Y3388" s="105" t="str">
        <f t="shared" si="86"/>
        <v>1w</v>
      </c>
      <c r="Z3388" s="93">
        <f>_xll.qlCalendarAdvance(Calendar,Z3387,Y3388,"f",FALSE)</f>
        <v>62905</v>
      </c>
      <c r="AA3388" s="117">
        <f>_xll.qlCalendarAdvance(Calendar,Z3388,NDays&amp;"D")</f>
        <v>62907</v>
      </c>
      <c r="AB3388" s="92">
        <v>1.2398431476536636E-2</v>
      </c>
      <c r="AC3388" s="101">
        <v>1.2316990358840485E-2</v>
      </c>
    </row>
    <row r="3389" spans="25:29" x14ac:dyDescent="0.2">
      <c r="Y3389" s="105" t="str">
        <f t="shared" si="86"/>
        <v>1w</v>
      </c>
      <c r="Z3389" s="93">
        <f>_xll.qlCalendarAdvance(Calendar,Z3388,Y3389,"f",FALSE)</f>
        <v>62912</v>
      </c>
      <c r="AA3389" s="117">
        <f>_xll.qlCalendarAdvance(Calendar,Z3389,NDays&amp;"D")</f>
        <v>62914</v>
      </c>
      <c r="AB3389" s="92">
        <v>1.2400258294464712E-2</v>
      </c>
      <c r="AC3389" s="101">
        <v>1.2320333714193055E-2</v>
      </c>
    </row>
    <row r="3390" spans="25:29" x14ac:dyDescent="0.2">
      <c r="Y3390" s="105" t="str">
        <f t="shared" si="86"/>
        <v>1w</v>
      </c>
      <c r="Z3390" s="93">
        <f>_xll.qlCalendarAdvance(Calendar,Z3389,Y3390,"f",FALSE)</f>
        <v>62919</v>
      </c>
      <c r="AA3390" s="117">
        <f>_xll.qlCalendarAdvance(Calendar,Z3390,NDays&amp;"D")</f>
        <v>62921</v>
      </c>
      <c r="AB3390" s="92">
        <v>1.240335681145917E-2</v>
      </c>
      <c r="AC3390" s="101">
        <v>1.2325448476886436E-2</v>
      </c>
    </row>
    <row r="3391" spans="25:29" x14ac:dyDescent="0.2">
      <c r="Y3391" s="105" t="str">
        <f t="shared" si="86"/>
        <v>1w</v>
      </c>
      <c r="Z3391" s="93">
        <f>_xll.qlCalendarAdvance(Calendar,Z3390,Y3391,"f",FALSE)</f>
        <v>62926</v>
      </c>
      <c r="AA3391" s="117">
        <f>_xll.qlCalendarAdvance(Calendar,Z3391,NDays&amp;"D")</f>
        <v>62928</v>
      </c>
      <c r="AB3391" s="92">
        <v>1.2406436182401016E-2</v>
      </c>
      <c r="AC3391" s="101">
        <v>1.2326964561104603E-2</v>
      </c>
    </row>
    <row r="3392" spans="25:29" x14ac:dyDescent="0.2">
      <c r="Y3392" s="105" t="str">
        <f t="shared" si="86"/>
        <v>1w</v>
      </c>
      <c r="Z3392" s="93">
        <f>_xll.qlCalendarAdvance(Calendar,Z3391,Y3392,"f",FALSE)</f>
        <v>62933</v>
      </c>
      <c r="AA3392" s="117">
        <f>_xll.qlCalendarAdvance(Calendar,Z3392,NDays&amp;"D")</f>
        <v>62935</v>
      </c>
      <c r="AB3392" s="92">
        <v>1.240949637699623E-2</v>
      </c>
      <c r="AC3392" s="101">
        <v>1.2330251992631602E-2</v>
      </c>
    </row>
    <row r="3393" spans="25:29" x14ac:dyDescent="0.2">
      <c r="Y3393" s="105" t="str">
        <f t="shared" si="86"/>
        <v>1w</v>
      </c>
      <c r="Z3393" s="93">
        <f>_xll.qlCalendarAdvance(Calendar,Z3392,Y3393,"f",FALSE)</f>
        <v>62940</v>
      </c>
      <c r="AA3393" s="117">
        <f>_xll.qlCalendarAdvance(Calendar,Z3393,NDays&amp;"D")</f>
        <v>62942</v>
      </c>
      <c r="AB3393" s="92">
        <v>1.2412537364951669E-2</v>
      </c>
      <c r="AC3393" s="101">
        <v>1.2333520722878077E-2</v>
      </c>
    </row>
    <row r="3394" spans="25:29" x14ac:dyDescent="0.2">
      <c r="Y3394" s="105" t="str">
        <f t="shared" si="86"/>
        <v>1w</v>
      </c>
      <c r="Z3394" s="93">
        <f>_xll.qlCalendarAdvance(Calendar,Z3393,Y3394,"f",FALSE)</f>
        <v>62947</v>
      </c>
      <c r="AA3394" s="117">
        <f>_xll.qlCalendarAdvance(Calendar,Z3394,NDays&amp;"D")</f>
        <v>62949</v>
      </c>
      <c r="AB3394" s="92">
        <v>1.2416826996429799E-2</v>
      </c>
      <c r="AC3394" s="101">
        <v>1.2336770721708135E-2</v>
      </c>
    </row>
    <row r="3395" spans="25:29" x14ac:dyDescent="0.2">
      <c r="Y3395" s="105" t="str">
        <f t="shared" si="86"/>
        <v>1w</v>
      </c>
      <c r="Z3395" s="93">
        <f>_xll.qlCalendarAdvance(Calendar,Z3394,Y3395,"f",FALSE)</f>
        <v>62954</v>
      </c>
      <c r="AA3395" s="117">
        <f>_xll.qlCalendarAdvance(Calendar,Z3395,NDays&amp;"D")</f>
        <v>62956</v>
      </c>
      <c r="AB3395" s="92">
        <v>1.2419825628441314E-2</v>
      </c>
      <c r="AC3395" s="101">
        <v>1.2340001959225688E-2</v>
      </c>
    </row>
    <row r="3396" spans="25:29" x14ac:dyDescent="0.2">
      <c r="Y3396" s="105" t="str">
        <f t="shared" si="86"/>
        <v>1w</v>
      </c>
      <c r="Z3396" s="93">
        <f>_xll.qlCalendarAdvance(Calendar,Z3395,Y3396,"f",FALSE)</f>
        <v>62961</v>
      </c>
      <c r="AA3396" s="117">
        <f>_xll.qlCalendarAdvance(Calendar,Z3396,NDays&amp;"D")</f>
        <v>62963</v>
      </c>
      <c r="AB3396" s="92">
        <v>1.2422804954523929E-2</v>
      </c>
      <c r="AC3396" s="101">
        <v>1.2343214405374781E-2</v>
      </c>
    </row>
    <row r="3397" spans="25:29" x14ac:dyDescent="0.2">
      <c r="Y3397" s="105" t="str">
        <f t="shared" si="86"/>
        <v>1w</v>
      </c>
      <c r="Z3397" s="93">
        <f>_xll.qlCalendarAdvance(Calendar,Z3396,Y3397,"f",FALSE)</f>
        <v>62968</v>
      </c>
      <c r="AA3397" s="117">
        <f>_xll.qlCalendarAdvance(Calendar,Z3397,NDays&amp;"D")</f>
        <v>62970</v>
      </c>
      <c r="AB3397" s="92">
        <v>1.2425764944381881E-2</v>
      </c>
      <c r="AC3397" s="101">
        <v>1.2346408030019518E-2</v>
      </c>
    </row>
    <row r="3398" spans="25:29" x14ac:dyDescent="0.2">
      <c r="Y3398" s="105" t="str">
        <f t="shared" si="86"/>
        <v>1w</v>
      </c>
      <c r="Z3398" s="93">
        <f>_xll.qlCalendarAdvance(Calendar,Z3397,Y3398,"f",FALSE)</f>
        <v>62975</v>
      </c>
      <c r="AA3398" s="117">
        <f>_xll.qlCalendarAdvance(Calendar,Z3398,NDays&amp;"D")</f>
        <v>62977</v>
      </c>
      <c r="AB3398" s="92">
        <v>1.2427453144867342E-2</v>
      </c>
      <c r="AC3398" s="101">
        <v>1.2349582803423687E-2</v>
      </c>
    </row>
    <row r="3399" spans="25:29" x14ac:dyDescent="0.2">
      <c r="Y3399" s="105" t="str">
        <f t="shared" si="86"/>
        <v>1w</v>
      </c>
      <c r="Z3399" s="93">
        <f>_xll.qlCalendarAdvance(Calendar,Z3398,Y3399,"f",FALSE)</f>
        <v>62982</v>
      </c>
      <c r="AA3399" s="117">
        <f>_xll.qlCalendarAdvance(Calendar,Z3399,NDays&amp;"D")</f>
        <v>62984</v>
      </c>
      <c r="AB3399" s="92">
        <v>1.2430378256832447E-2</v>
      </c>
      <c r="AC3399" s="101">
        <v>1.2352738695371457E-2</v>
      </c>
    </row>
    <row r="3400" spans="25:29" x14ac:dyDescent="0.2">
      <c r="Y3400" s="105" t="str">
        <f t="shared" si="86"/>
        <v>1w</v>
      </c>
      <c r="Z3400" s="93">
        <f>_xll.qlCalendarAdvance(Calendar,Z3399,Y3400,"f",FALSE)</f>
        <v>62989</v>
      </c>
      <c r="AA3400" s="117">
        <f>_xll.qlCalendarAdvance(Calendar,Z3400,NDays&amp;"D")</f>
        <v>62991</v>
      </c>
      <c r="AB3400" s="92">
        <v>1.2433283950111002E-2</v>
      </c>
      <c r="AC3400" s="101">
        <v>1.2355875675806871E-2</v>
      </c>
    </row>
    <row r="3401" spans="25:29" x14ac:dyDescent="0.2">
      <c r="Y3401" s="105" t="str">
        <f t="shared" si="86"/>
        <v>1w</v>
      </c>
      <c r="Z3401" s="93">
        <f>_xll.qlCalendarAdvance(Calendar,Z3400,Y3401,"f",FALSE)</f>
        <v>62996</v>
      </c>
      <c r="AA3401" s="117">
        <f>_xll.qlCalendarAdvance(Calendar,Z3401,NDays&amp;"D")</f>
        <v>62998</v>
      </c>
      <c r="AB3401" s="92">
        <v>1.2436170194412484E-2</v>
      </c>
      <c r="AC3401" s="101">
        <v>1.2358993714753908E-2</v>
      </c>
    </row>
    <row r="3402" spans="25:29" x14ac:dyDescent="0.2">
      <c r="Y3402" s="105" t="str">
        <f t="shared" si="86"/>
        <v>1w</v>
      </c>
      <c r="Z3402" s="93">
        <f>_xll.qlCalendarAdvance(Calendar,Z3401,Y3402,"f",FALSE)</f>
        <v>63003</v>
      </c>
      <c r="AA3402" s="117">
        <f>_xll.qlCalendarAdvance(Calendar,Z3402,NDays&amp;"D")</f>
        <v>63005</v>
      </c>
      <c r="AB3402" s="92">
        <v>1.243903695944768E-2</v>
      </c>
      <c r="AC3402" s="101">
        <v>1.2362092782316481E-2</v>
      </c>
    </row>
    <row r="3403" spans="25:29" x14ac:dyDescent="0.2">
      <c r="Y3403" s="105" t="str">
        <f t="shared" si="86"/>
        <v>1w</v>
      </c>
      <c r="Z3403" s="93">
        <f>_xll.qlCalendarAdvance(Calendar,Z3402,Y3403,"f",FALSE)</f>
        <v>63010</v>
      </c>
      <c r="AA3403" s="117">
        <f>_xll.qlCalendarAdvance(Calendar,Z3403,NDays&amp;"D")</f>
        <v>63012</v>
      </c>
      <c r="AB3403" s="92">
        <v>1.2443117126237141E-2</v>
      </c>
      <c r="AC3403" s="101">
        <v>1.2365172848358696E-2</v>
      </c>
    </row>
    <row r="3404" spans="25:29" x14ac:dyDescent="0.2">
      <c r="Y3404" s="105" t="str">
        <f t="shared" si="86"/>
        <v>1w</v>
      </c>
      <c r="Z3404" s="93">
        <f>_xll.qlCalendarAdvance(Calendar,Z3403,Y3404,"f",FALSE)</f>
        <v>63017</v>
      </c>
      <c r="AA3404" s="117">
        <f>_xll.qlCalendarAdvance(Calendar,Z3404,NDays&amp;"D")</f>
        <v>63019</v>
      </c>
      <c r="AB3404" s="92">
        <v>1.2445940914244004E-2</v>
      </c>
      <c r="AC3404" s="101">
        <v>1.2368233882904534E-2</v>
      </c>
    </row>
    <row r="3405" spans="25:29" x14ac:dyDescent="0.2">
      <c r="Y3405" s="105" t="str">
        <f t="shared" si="86"/>
        <v>1w</v>
      </c>
      <c r="Z3405" s="93">
        <f>_xll.qlCalendarAdvance(Calendar,Z3404,Y3405,"f",FALSE)</f>
        <v>63024</v>
      </c>
      <c r="AA3405" s="117">
        <f>_xll.qlCalendarAdvance(Calendar,Z3405,NDays&amp;"D")</f>
        <v>63026</v>
      </c>
      <c r="AB3405" s="92">
        <v>1.2448745123665663E-2</v>
      </c>
      <c r="AC3405" s="101">
        <v>1.2371275855818098E-2</v>
      </c>
    </row>
    <row r="3406" spans="25:29" x14ac:dyDescent="0.2">
      <c r="Y3406" s="105" t="str">
        <f t="shared" si="86"/>
        <v>1w</v>
      </c>
      <c r="Z3406" s="93">
        <f>_xll.qlCalendarAdvance(Calendar,Z3405,Y3406,"f",FALSE)</f>
        <v>63031</v>
      </c>
      <c r="AA3406" s="117">
        <f>_xll.qlCalendarAdvance(Calendar,Z3406,NDays&amp;"D")</f>
        <v>63033</v>
      </c>
      <c r="AB3406" s="92">
        <v>1.2451529724210221E-2</v>
      </c>
      <c r="AC3406" s="101">
        <v>1.2374298737363176E-2</v>
      </c>
    </row>
    <row r="3407" spans="25:29" x14ac:dyDescent="0.2">
      <c r="Y3407" s="105" t="str">
        <f t="shared" si="86"/>
        <v>1w</v>
      </c>
      <c r="Z3407" s="93">
        <f>_xll.qlCalendarAdvance(Calendar,Z3406,Y3407,"f",FALSE)</f>
        <v>63038</v>
      </c>
      <c r="AA3407" s="117">
        <f>_xll.qlCalendarAdvance(Calendar,Z3407,NDays&amp;"D")</f>
        <v>63040</v>
      </c>
      <c r="AB3407" s="92">
        <v>1.2454294685583626E-2</v>
      </c>
      <c r="AC3407" s="101">
        <v>1.2377302497244003E-2</v>
      </c>
    </row>
    <row r="3408" spans="25:29" x14ac:dyDescent="0.2">
      <c r="Y3408" s="105" t="str">
        <f t="shared" si="86"/>
        <v>1w</v>
      </c>
      <c r="Z3408" s="93">
        <f>_xll.qlCalendarAdvance(Calendar,Z3407,Y3408,"f",FALSE)</f>
        <v>63045</v>
      </c>
      <c r="AA3408" s="117">
        <f>_xll.qlCalendarAdvance(Calendar,Z3408,NDays&amp;"D")</f>
        <v>63047</v>
      </c>
      <c r="AB3408" s="92">
        <v>1.2457039977494415E-2</v>
      </c>
      <c r="AC3408" s="101">
        <v>1.2380287105564491E-2</v>
      </c>
    </row>
    <row r="3409" spans="25:29" x14ac:dyDescent="0.2">
      <c r="Y3409" s="105" t="str">
        <f t="shared" si="86"/>
        <v>1w</v>
      </c>
      <c r="Z3409" s="93">
        <f>_xll.qlCalendarAdvance(Calendar,Z3408,Y3409,"f",FALSE)</f>
        <v>63052</v>
      </c>
      <c r="AA3409" s="117">
        <f>_xll.qlCalendarAdvance(Calendar,Z3409,NDays&amp;"D")</f>
        <v>63054</v>
      </c>
      <c r="AB3409" s="92">
        <v>1.2459765569650259E-2</v>
      </c>
      <c r="AC3409" s="101">
        <v>1.2383252532348621E-2</v>
      </c>
    </row>
    <row r="3410" spans="25:29" x14ac:dyDescent="0.2">
      <c r="Y3410" s="105" t="str">
        <f t="shared" si="86"/>
        <v>1w</v>
      </c>
      <c r="Z3410" s="93">
        <f>_xll.qlCalendarAdvance(Calendar,Z3409,Y3410,"f",FALSE)</f>
        <v>63059</v>
      </c>
      <c r="AA3410" s="117">
        <f>_xll.qlCalendarAdvance(Calendar,Z3410,NDays&amp;"D")</f>
        <v>63061</v>
      </c>
      <c r="AB3410" s="92">
        <v>1.2462471431759688E-2</v>
      </c>
      <c r="AC3410" s="101">
        <v>1.2386198747460497E-2</v>
      </c>
    </row>
    <row r="3411" spans="25:29" x14ac:dyDescent="0.2">
      <c r="Y3411" s="105" t="str">
        <f t="shared" si="86"/>
        <v>1w</v>
      </c>
      <c r="Z3411" s="93">
        <f>_xll.qlCalendarAdvance(Calendar,Z3410,Y3411,"f",FALSE)</f>
        <v>63066</v>
      </c>
      <c r="AA3411" s="117">
        <f>_xll.qlCalendarAdvance(Calendar,Z3411,NDays&amp;"D")</f>
        <v>63068</v>
      </c>
      <c r="AB3411" s="92">
        <v>1.2463154853401695E-2</v>
      </c>
      <c r="AC3411" s="101">
        <v>1.2389125720924099E-2</v>
      </c>
    </row>
    <row r="3412" spans="25:29" x14ac:dyDescent="0.2">
      <c r="Y3412" s="105" t="str">
        <f t="shared" si="86"/>
        <v>1w</v>
      </c>
      <c r="Z3412" s="93">
        <f>_xll.qlCalendarAdvance(Calendar,Z3411,Y3412,"f",FALSE)</f>
        <v>63073</v>
      </c>
      <c r="AA3412" s="117">
        <f>_xll.qlCalendarAdvance(Calendar,Z3412,NDays&amp;"D")</f>
        <v>63075</v>
      </c>
      <c r="AB3412" s="92">
        <v>1.2465827821948749E-2</v>
      </c>
      <c r="AC3412" s="101">
        <v>1.2392033422763404E-2</v>
      </c>
    </row>
    <row r="3413" spans="25:29" x14ac:dyDescent="0.2">
      <c r="Y3413" s="105" t="str">
        <f t="shared" ref="Y3413:Y3476" si="87">Y3412</f>
        <v>1w</v>
      </c>
      <c r="Z3413" s="93">
        <f>_xll.qlCalendarAdvance(Calendar,Z3412,Y3413,"f",FALSE)</f>
        <v>63080</v>
      </c>
      <c r="AA3413" s="117">
        <f>_xll.qlCalendarAdvance(Calendar,Z3413,NDays&amp;"D")</f>
        <v>63082</v>
      </c>
      <c r="AB3413" s="92">
        <v>1.2468480983717266E-2</v>
      </c>
      <c r="AC3413" s="101">
        <v>1.2394921822922456E-2</v>
      </c>
    </row>
    <row r="3414" spans="25:29" x14ac:dyDescent="0.2">
      <c r="Y3414" s="105" t="str">
        <f t="shared" si="87"/>
        <v>1w</v>
      </c>
      <c r="Z3414" s="93">
        <f>_xll.qlCalendarAdvance(Calendar,Z3413,Y3414,"f",FALSE)</f>
        <v>63087</v>
      </c>
      <c r="AA3414" s="117">
        <f>_xll.qlCalendarAdvance(Calendar,Z3414,NDays&amp;"D")</f>
        <v>63089</v>
      </c>
      <c r="AB3414" s="92">
        <v>1.2471114308423844E-2</v>
      </c>
      <c r="AC3414" s="101">
        <v>1.2397790891425231E-2</v>
      </c>
    </row>
    <row r="3415" spans="25:29" x14ac:dyDescent="0.2">
      <c r="Y3415" s="105" t="str">
        <f t="shared" si="87"/>
        <v>1w</v>
      </c>
      <c r="Z3415" s="93">
        <f>_xll.qlCalendarAdvance(Calendar,Z3414,Y3415,"f",FALSE)</f>
        <v>63094</v>
      </c>
      <c r="AA3415" s="117">
        <f>_xll.qlCalendarAdvance(Calendar,Z3415,NDays&amp;"D")</f>
        <v>63096</v>
      </c>
      <c r="AB3415" s="92">
        <v>1.2473727765785968E-2</v>
      </c>
      <c r="AC3415" s="101">
        <v>1.2400640598215773E-2</v>
      </c>
    </row>
    <row r="3416" spans="25:29" x14ac:dyDescent="0.2">
      <c r="Y3416" s="105" t="str">
        <f t="shared" si="87"/>
        <v>1w</v>
      </c>
      <c r="Z3416" s="93">
        <f>_xll.qlCalendarAdvance(Calendar,Z3415,Y3416,"f",FALSE)</f>
        <v>63101</v>
      </c>
      <c r="AA3416" s="117">
        <f>_xll.qlCalendarAdvance(Calendar,Z3416,NDays&amp;"D")</f>
        <v>63103</v>
      </c>
      <c r="AB3416" s="92">
        <v>1.247671541519531E-2</v>
      </c>
      <c r="AC3416" s="101">
        <v>1.240347091331806E-2</v>
      </c>
    </row>
    <row r="3417" spans="25:29" x14ac:dyDescent="0.2">
      <c r="Y3417" s="105" t="str">
        <f t="shared" si="87"/>
        <v>1w</v>
      </c>
      <c r="Z3417" s="93">
        <f>_xll.qlCalendarAdvance(Calendar,Z3416,Y3417,"f",FALSE)</f>
        <v>63108</v>
      </c>
      <c r="AA3417" s="117">
        <f>_xll.qlCalendarAdvance(Calendar,Z3417,NDays&amp;"D")</f>
        <v>63110</v>
      </c>
      <c r="AB3417" s="92">
        <v>1.2479287701990744E-2</v>
      </c>
      <c r="AC3417" s="101">
        <v>1.2406281806676134E-2</v>
      </c>
    </row>
    <row r="3418" spans="25:29" x14ac:dyDescent="0.2">
      <c r="Y3418" s="105" t="str">
        <f t="shared" si="87"/>
        <v>1w</v>
      </c>
      <c r="Z3418" s="93">
        <f>_xll.qlCalendarAdvance(Calendar,Z3417,Y3418,"f",FALSE)</f>
        <v>63115</v>
      </c>
      <c r="AA3418" s="117">
        <f>_xll.qlCalendarAdvance(Calendar,Z3418,NDays&amp;"D")</f>
        <v>63117</v>
      </c>
      <c r="AB3418" s="92">
        <v>1.248184002776521E-2</v>
      </c>
      <c r="AC3418" s="101">
        <v>1.2409073248313973E-2</v>
      </c>
    </row>
    <row r="3419" spans="25:29" x14ac:dyDescent="0.2">
      <c r="Y3419" s="105" t="str">
        <f t="shared" si="87"/>
        <v>1w</v>
      </c>
      <c r="Z3419" s="93">
        <f>_xll.qlCalendarAdvance(Calendar,Z3418,Y3419,"f",FALSE)</f>
        <v>63122</v>
      </c>
      <c r="AA3419" s="117">
        <f>_xll.qlCalendarAdvance(Calendar,Z3419,NDays&amp;"D")</f>
        <v>63124</v>
      </c>
      <c r="AB3419" s="92">
        <v>1.24843723622348E-2</v>
      </c>
      <c r="AC3419" s="101">
        <v>1.2411845208095684E-2</v>
      </c>
    </row>
    <row r="3420" spans="25:29" x14ac:dyDescent="0.2">
      <c r="Y3420" s="105" t="str">
        <f t="shared" si="87"/>
        <v>1w</v>
      </c>
      <c r="Z3420" s="93">
        <f>_xll.qlCalendarAdvance(Calendar,Z3419,Y3420,"f",FALSE)</f>
        <v>63129</v>
      </c>
      <c r="AA3420" s="117">
        <f>_xll.qlCalendarAdvance(Calendar,Z3420,NDays&amp;"D")</f>
        <v>63131</v>
      </c>
      <c r="AB3420" s="92">
        <v>1.2486495982600416E-2</v>
      </c>
      <c r="AC3420" s="101">
        <v>1.2414597656205117E-2</v>
      </c>
    </row>
    <row r="3421" spans="25:29" x14ac:dyDescent="0.2">
      <c r="Y3421" s="105" t="str">
        <f t="shared" si="87"/>
        <v>1w</v>
      </c>
      <c r="Z3421" s="93">
        <f>_xll.qlCalendarAdvance(Calendar,Z3420,Y3421,"f",FALSE)</f>
        <v>63136</v>
      </c>
      <c r="AA3421" s="117">
        <f>_xll.qlCalendarAdvance(Calendar,Z3421,NDays&amp;"D")</f>
        <v>63138</v>
      </c>
      <c r="AB3421" s="92">
        <v>1.2488989600002266E-2</v>
      </c>
      <c r="AC3421" s="101">
        <v>1.2417330562586315E-2</v>
      </c>
    </row>
    <row r="3422" spans="25:29" x14ac:dyDescent="0.2">
      <c r="Y3422" s="105" t="str">
        <f t="shared" si="87"/>
        <v>1w</v>
      </c>
      <c r="Z3422" s="93">
        <f>_xll.qlCalendarAdvance(Calendar,Z3421,Y3422,"f",FALSE)</f>
        <v>63143</v>
      </c>
      <c r="AA3422" s="117">
        <f>_xll.qlCalendarAdvance(Calendar,Z3422,NDays&amp;"D")</f>
        <v>63145</v>
      </c>
      <c r="AB3422" s="92">
        <v>1.2491463138097939E-2</v>
      </c>
      <c r="AC3422" s="101">
        <v>1.2420043897023447E-2</v>
      </c>
    </row>
    <row r="3423" spans="25:29" x14ac:dyDescent="0.2">
      <c r="Y3423" s="105" t="str">
        <f t="shared" si="87"/>
        <v>1w</v>
      </c>
      <c r="Z3423" s="93">
        <f>_xll.qlCalendarAdvance(Calendar,Z3422,Y3423,"f",FALSE)</f>
        <v>63150</v>
      </c>
      <c r="AA3423" s="117">
        <f>_xll.qlCalendarAdvance(Calendar,Z3423,NDays&amp;"D")</f>
        <v>63152</v>
      </c>
      <c r="AB3423" s="92">
        <v>1.2493916566608898E-2</v>
      </c>
      <c r="AC3423" s="101">
        <v>1.2422737629620428E-2</v>
      </c>
    </row>
    <row r="3424" spans="25:29" x14ac:dyDescent="0.2">
      <c r="Y3424" s="105" t="str">
        <f t="shared" si="87"/>
        <v>1w</v>
      </c>
      <c r="Z3424" s="93">
        <f>_xll.qlCalendarAdvance(Calendar,Z3423,Y3424,"f",FALSE)</f>
        <v>63157</v>
      </c>
      <c r="AA3424" s="117">
        <f>_xll.qlCalendarAdvance(Calendar,Z3424,NDays&amp;"D")</f>
        <v>63159</v>
      </c>
      <c r="AB3424" s="92">
        <v>1.2496733105205514E-2</v>
      </c>
      <c r="AC3424" s="101">
        <v>1.2425411730401237E-2</v>
      </c>
    </row>
    <row r="3425" spans="25:29" x14ac:dyDescent="0.2">
      <c r="Y3425" s="105" t="str">
        <f t="shared" si="87"/>
        <v>1w</v>
      </c>
      <c r="Z3425" s="93">
        <f>_xll.qlCalendarAdvance(Calendar,Z3424,Y3425,"f",FALSE)</f>
        <v>63164</v>
      </c>
      <c r="AA3425" s="117">
        <f>_xll.qlCalendarAdvance(Calendar,Z3425,NDays&amp;"D")</f>
        <v>63166</v>
      </c>
      <c r="AB3425" s="92">
        <v>1.2499144855963736E-2</v>
      </c>
      <c r="AC3425" s="101">
        <v>1.2428066169309915E-2</v>
      </c>
    </row>
    <row r="3426" spans="25:29" x14ac:dyDescent="0.2">
      <c r="Y3426" s="105" t="str">
        <f t="shared" si="87"/>
        <v>1w</v>
      </c>
      <c r="Z3426" s="93">
        <f>_xll.qlCalendarAdvance(Calendar,Z3425,Y3426,"f",FALSE)</f>
        <v>63171</v>
      </c>
      <c r="AA3426" s="117">
        <f>_xll.qlCalendarAdvance(Calendar,Z3426,NDays&amp;"D")</f>
        <v>63173</v>
      </c>
      <c r="AB3426" s="92">
        <v>1.2501536403460039E-2</v>
      </c>
      <c r="AC3426" s="101">
        <v>1.2430700916290505E-2</v>
      </c>
    </row>
    <row r="3427" spans="25:29" x14ac:dyDescent="0.2">
      <c r="Y3427" s="105" t="str">
        <f t="shared" si="87"/>
        <v>1w</v>
      </c>
      <c r="Z3427" s="93">
        <f>_xll.qlCalendarAdvance(Calendar,Z3426,Y3427,"f",FALSE)</f>
        <v>63178</v>
      </c>
      <c r="AA3427" s="117">
        <f>_xll.qlCalendarAdvance(Calendar,Z3427,NDays&amp;"D")</f>
        <v>63180</v>
      </c>
      <c r="AB3427" s="92">
        <v>1.2503907717414905E-2</v>
      </c>
      <c r="AC3427" s="101">
        <v>1.2433315941526857E-2</v>
      </c>
    </row>
    <row r="3428" spans="25:29" x14ac:dyDescent="0.2">
      <c r="Y3428" s="105" t="str">
        <f t="shared" si="87"/>
        <v>1w</v>
      </c>
      <c r="Z3428" s="93">
        <f>_xll.qlCalendarAdvance(Calendar,Z3427,Y3428,"f",FALSE)</f>
        <v>63185</v>
      </c>
      <c r="AA3428" s="117">
        <f>_xll.qlCalendarAdvance(Calendar,Z3428,NDays&amp;"D")</f>
        <v>63187</v>
      </c>
      <c r="AB3428" s="92">
        <v>1.2506258767551457E-2</v>
      </c>
      <c r="AC3428" s="101">
        <v>1.2435911214803141E-2</v>
      </c>
    </row>
    <row r="3429" spans="25:29" x14ac:dyDescent="0.2">
      <c r="Y3429" s="105" t="str">
        <f t="shared" si="87"/>
        <v>1w</v>
      </c>
      <c r="Z3429" s="93">
        <f>_xll.qlCalendarAdvance(Calendar,Z3428,Y3429,"f",FALSE)</f>
        <v>63192</v>
      </c>
      <c r="AA3429" s="117">
        <f>_xll.qlCalendarAdvance(Calendar,Z3429,NDays&amp;"D")</f>
        <v>63194</v>
      </c>
      <c r="AB3429" s="92">
        <v>1.2508213140873227E-2</v>
      </c>
      <c r="AC3429" s="101">
        <v>1.2438486706063401E-2</v>
      </c>
    </row>
    <row r="3430" spans="25:29" x14ac:dyDescent="0.2">
      <c r="Y3430" s="105" t="str">
        <f t="shared" si="87"/>
        <v>1w</v>
      </c>
      <c r="Z3430" s="93">
        <f>_xll.qlCalendarAdvance(Calendar,Z3429,Y3430,"f",FALSE)</f>
        <v>63199</v>
      </c>
      <c r="AA3430" s="117">
        <f>_xll.qlCalendarAdvance(Calendar,Z3430,NDays&amp;"D")</f>
        <v>63201</v>
      </c>
      <c r="AB3430" s="92">
        <v>1.251052495453616E-2</v>
      </c>
      <c r="AC3430" s="101">
        <v>1.2441042385251677E-2</v>
      </c>
    </row>
    <row r="3431" spans="25:29" x14ac:dyDescent="0.2">
      <c r="Y3431" s="105" t="str">
        <f t="shared" si="87"/>
        <v>1w</v>
      </c>
      <c r="Z3431" s="93">
        <f>_xll.qlCalendarAdvance(Calendar,Z3430,Y3431,"f",FALSE)</f>
        <v>63206</v>
      </c>
      <c r="AA3431" s="117">
        <f>_xll.qlCalendarAdvance(Calendar,Z3431,NDays&amp;"D")</f>
        <v>63208</v>
      </c>
      <c r="AB3431" s="92">
        <v>1.2512816416404591E-2</v>
      </c>
      <c r="AC3431" s="101">
        <v>1.2443578222631757E-2</v>
      </c>
    </row>
    <row r="3432" spans="25:29" x14ac:dyDescent="0.2">
      <c r="Y3432" s="105" t="str">
        <f t="shared" si="87"/>
        <v>1w</v>
      </c>
      <c r="Z3432" s="93">
        <f>_xll.qlCalendarAdvance(Calendar,Z3431,Y3432,"f",FALSE)</f>
        <v>63213</v>
      </c>
      <c r="AA3432" s="117">
        <f>_xll.qlCalendarAdvance(Calendar,Z3432,NDays&amp;"D")</f>
        <v>63215</v>
      </c>
      <c r="AB3432" s="92">
        <v>1.2515087496203508E-2</v>
      </c>
      <c r="AC3432" s="101">
        <v>1.2446094188067747E-2</v>
      </c>
    </row>
    <row r="3433" spans="25:29" x14ac:dyDescent="0.2">
      <c r="Y3433" s="105" t="str">
        <f t="shared" si="87"/>
        <v>1w</v>
      </c>
      <c r="Z3433" s="93">
        <f>_xll.qlCalendarAdvance(Calendar,Z3432,Y3433,"f",FALSE)</f>
        <v>63220</v>
      </c>
      <c r="AA3433" s="117">
        <f>_xll.qlCalendarAdvance(Calendar,Z3433,NDays&amp;"D")</f>
        <v>63222</v>
      </c>
      <c r="AB3433" s="92">
        <v>1.251733816365967E-2</v>
      </c>
      <c r="AC3433" s="101">
        <v>1.2448590251503688E-2</v>
      </c>
    </row>
    <row r="3434" spans="25:29" x14ac:dyDescent="0.2">
      <c r="Y3434" s="105" t="str">
        <f t="shared" si="87"/>
        <v>1w</v>
      </c>
      <c r="Z3434" s="93">
        <f>_xll.qlCalendarAdvance(Calendar,Z3433,Y3434,"f",FALSE)</f>
        <v>63227</v>
      </c>
      <c r="AA3434" s="117">
        <f>_xll.qlCalendarAdvance(Calendar,Z3434,NDays&amp;"D")</f>
        <v>63229</v>
      </c>
      <c r="AB3434" s="92">
        <v>1.2519568388497626E-2</v>
      </c>
      <c r="AC3434" s="101">
        <v>1.2451066382803688E-2</v>
      </c>
    </row>
    <row r="3435" spans="25:29" x14ac:dyDescent="0.2">
      <c r="Y3435" s="105" t="str">
        <f t="shared" si="87"/>
        <v>1w</v>
      </c>
      <c r="Z3435" s="93">
        <f>_xll.qlCalendarAdvance(Calendar,Z3434,Y3435,"f",FALSE)</f>
        <v>63234</v>
      </c>
      <c r="AA3435" s="117">
        <f>_xll.qlCalendarAdvance(Calendar,Z3435,NDays&amp;"D")</f>
        <v>63236</v>
      </c>
      <c r="AB3435" s="92">
        <v>1.2521778140447226E-2</v>
      </c>
      <c r="AC3435" s="101">
        <v>1.2453522552071661E-2</v>
      </c>
    </row>
    <row r="3436" spans="25:29" x14ac:dyDescent="0.2">
      <c r="Y3436" s="105" t="str">
        <f t="shared" si="87"/>
        <v>1w</v>
      </c>
      <c r="Z3436" s="93">
        <f>_xll.qlCalendarAdvance(Calendar,Z3435,Y3436,"f",FALSE)</f>
        <v>63241</v>
      </c>
      <c r="AA3436" s="117">
        <f>_xll.qlCalendarAdvance(Calendar,Z3436,NDays&amp;"D")</f>
        <v>63243</v>
      </c>
      <c r="AB3436" s="92">
        <v>1.2523967389235224E-2</v>
      </c>
      <c r="AC3436" s="101">
        <v>1.245595872941152E-2</v>
      </c>
    </row>
    <row r="3437" spans="25:29" x14ac:dyDescent="0.2">
      <c r="Y3437" s="105" t="str">
        <f t="shared" si="87"/>
        <v>1w</v>
      </c>
      <c r="Z3437" s="93">
        <f>_xll.qlCalendarAdvance(Calendar,Z3436,Y3437,"f",FALSE)</f>
        <v>63248</v>
      </c>
      <c r="AA3437" s="117">
        <f>_xll.qlCalendarAdvance(Calendar,Z3437,NDays&amp;"D")</f>
        <v>63250</v>
      </c>
      <c r="AB3437" s="92">
        <v>1.2527961078536636E-2</v>
      </c>
      <c r="AC3437" s="101">
        <v>1.2458374884527501E-2</v>
      </c>
    </row>
    <row r="3438" spans="25:29" x14ac:dyDescent="0.2">
      <c r="Y3438" s="105" t="str">
        <f t="shared" si="87"/>
        <v>1w</v>
      </c>
      <c r="Z3438" s="93">
        <f>_xll.qlCalendarAdvance(Calendar,Z3437,Y3438,"f",FALSE)</f>
        <v>63255</v>
      </c>
      <c r="AA3438" s="117">
        <f>_xll.qlCalendarAdvance(Calendar,Z3438,NDays&amp;"D")</f>
        <v>63257</v>
      </c>
      <c r="AB3438" s="92">
        <v>1.2530102202858778E-2</v>
      </c>
      <c r="AC3438" s="101">
        <v>1.2460770987683389E-2</v>
      </c>
    </row>
    <row r="3439" spans="25:29" x14ac:dyDescent="0.2">
      <c r="Y3439" s="105" t="str">
        <f t="shared" si="87"/>
        <v>1w</v>
      </c>
      <c r="Z3439" s="93">
        <f>_xll.qlCalendarAdvance(Calendar,Z3438,Y3439,"f",FALSE)</f>
        <v>63262</v>
      </c>
      <c r="AA3439" s="117">
        <f>_xll.qlCalendarAdvance(Calendar,Z3439,NDays&amp;"D")</f>
        <v>63264</v>
      </c>
      <c r="AB3439" s="92">
        <v>1.2532222718883058E-2</v>
      </c>
      <c r="AC3439" s="101">
        <v>1.2463147008823228E-2</v>
      </c>
    </row>
    <row r="3440" spans="25:29" x14ac:dyDescent="0.2">
      <c r="Y3440" s="105" t="str">
        <f t="shared" si="87"/>
        <v>1w</v>
      </c>
      <c r="Z3440" s="93">
        <f>_xll.qlCalendarAdvance(Calendar,Z3439,Y3440,"f",FALSE)</f>
        <v>63269</v>
      </c>
      <c r="AA3440" s="117">
        <f>_xll.qlCalendarAdvance(Calendar,Z3440,NDays&amp;"D")</f>
        <v>63271</v>
      </c>
      <c r="AB3440" s="92">
        <v>1.2534322596331755E-2</v>
      </c>
      <c r="AC3440" s="101">
        <v>1.2467035318449504E-2</v>
      </c>
    </row>
    <row r="3441" spans="25:29" x14ac:dyDescent="0.2">
      <c r="Y3441" s="105" t="str">
        <f t="shared" si="87"/>
        <v>1w</v>
      </c>
      <c r="Z3441" s="93">
        <f>_xll.qlCalendarAdvance(Calendar,Z3440,Y3441,"f",FALSE)</f>
        <v>63276</v>
      </c>
      <c r="AA3441" s="117">
        <f>_xll.qlCalendarAdvance(Calendar,Z3441,NDays&amp;"D")</f>
        <v>63278</v>
      </c>
      <c r="AB3441" s="92">
        <v>1.2535324119434975E-2</v>
      </c>
      <c r="AC3441" s="101">
        <v>1.2467838684351307E-2</v>
      </c>
    </row>
    <row r="3442" spans="25:29" x14ac:dyDescent="0.2">
      <c r="Y3442" s="105" t="str">
        <f t="shared" si="87"/>
        <v>1w</v>
      </c>
      <c r="Z3442" s="93">
        <f>_xll.qlCalendarAdvance(Calendar,Z3441,Y3442,"f",FALSE)</f>
        <v>63283</v>
      </c>
      <c r="AA3442" s="117">
        <f>_xll.qlCalendarAdvance(Calendar,Z3442,NDays&amp;"D")</f>
        <v>63285</v>
      </c>
      <c r="AB3442" s="92">
        <v>1.2537386880614764E-2</v>
      </c>
      <c r="AC3442" s="101">
        <v>1.2470154279027312E-2</v>
      </c>
    </row>
    <row r="3443" spans="25:29" x14ac:dyDescent="0.2">
      <c r="Y3443" s="105" t="str">
        <f t="shared" si="87"/>
        <v>1w</v>
      </c>
      <c r="Z3443" s="93">
        <f>_xll.qlCalendarAdvance(Calendar,Z3442,Y3443,"f",FALSE)</f>
        <v>63290</v>
      </c>
      <c r="AA3443" s="117">
        <f>_xll.qlCalendarAdvance(Calendar,Z3443,NDays&amp;"D")</f>
        <v>63292</v>
      </c>
      <c r="AB3443" s="92">
        <v>1.2539428921002477E-2</v>
      </c>
      <c r="AC3443" s="101">
        <v>1.2472449671463437E-2</v>
      </c>
    </row>
    <row r="3444" spans="25:29" x14ac:dyDescent="0.2">
      <c r="Y3444" s="105" t="str">
        <f t="shared" si="87"/>
        <v>1w</v>
      </c>
      <c r="Z3444" s="93">
        <f>_xll.qlCalendarAdvance(Calendar,Z3443,Y3444,"f",FALSE)</f>
        <v>63297</v>
      </c>
      <c r="AA3444" s="117">
        <f>_xll.qlCalendarAdvance(Calendar,Z3444,NDays&amp;"D")</f>
        <v>63299</v>
      </c>
      <c r="AB3444" s="92">
        <v>1.2541450210324625E-2</v>
      </c>
      <c r="AC3444" s="101">
        <v>1.2474724831603723E-2</v>
      </c>
    </row>
    <row r="3445" spans="25:29" x14ac:dyDescent="0.2">
      <c r="Y3445" s="105" t="str">
        <f t="shared" si="87"/>
        <v>1w</v>
      </c>
      <c r="Z3445" s="93">
        <f>_xll.qlCalendarAdvance(Calendar,Z3444,Y3445,"f",FALSE)</f>
        <v>63304</v>
      </c>
      <c r="AA3445" s="117">
        <f>_xll.qlCalendarAdvance(Calendar,Z3445,NDays&amp;"D")</f>
        <v>63306</v>
      </c>
      <c r="AB3445" s="92">
        <v>1.2543450718313835E-2</v>
      </c>
      <c r="AC3445" s="101">
        <v>1.2476979729711957E-2</v>
      </c>
    </row>
    <row r="3446" spans="25:29" x14ac:dyDescent="0.2">
      <c r="Y3446" s="105" t="str">
        <f t="shared" si="87"/>
        <v>1w</v>
      </c>
      <c r="Z3446" s="93">
        <f>_xll.qlCalendarAdvance(Calendar,Z3445,Y3446,"f",FALSE)</f>
        <v>63311</v>
      </c>
      <c r="AA3446" s="117">
        <f>_xll.qlCalendarAdvance(Calendar,Z3446,NDays&amp;"D")</f>
        <v>63313</v>
      </c>
      <c r="AB3446" s="92">
        <v>1.2546486755490411E-2</v>
      </c>
      <c r="AC3446" s="101">
        <v>1.2479214335572308E-2</v>
      </c>
    </row>
    <row r="3447" spans="25:29" x14ac:dyDescent="0.2">
      <c r="Y3447" s="105" t="str">
        <f t="shared" si="87"/>
        <v>1w</v>
      </c>
      <c r="Z3447" s="93">
        <f>_xll.qlCalendarAdvance(Calendar,Z3446,Y3447,"f",FALSE)</f>
        <v>63318</v>
      </c>
      <c r="AA3447" s="117">
        <f>_xll.qlCalendarAdvance(Calendar,Z3447,NDays&amp;"D")</f>
        <v>63320</v>
      </c>
      <c r="AB3447" s="92">
        <v>1.2548441315196755E-2</v>
      </c>
      <c r="AC3447" s="101">
        <v>1.2481428619208756E-2</v>
      </c>
    </row>
    <row r="3448" spans="25:29" x14ac:dyDescent="0.2">
      <c r="Y3448" s="105" t="str">
        <f t="shared" si="87"/>
        <v>1w</v>
      </c>
      <c r="Z3448" s="93">
        <f>_xll.qlCalendarAdvance(Calendar,Z3447,Y3448,"f",FALSE)</f>
        <v>63325</v>
      </c>
      <c r="AA3448" s="117">
        <f>_xll.qlCalendarAdvance(Calendar,Z3448,NDays&amp;"D")</f>
        <v>63327</v>
      </c>
      <c r="AB3448" s="92">
        <v>1.2550374994128999E-2</v>
      </c>
      <c r="AC3448" s="101">
        <v>1.2483622550485407E-2</v>
      </c>
    </row>
    <row r="3449" spans="25:29" x14ac:dyDescent="0.2">
      <c r="Y3449" s="105" t="str">
        <f t="shared" si="87"/>
        <v>1w</v>
      </c>
      <c r="Z3449" s="93">
        <f>_xll.qlCalendarAdvance(Calendar,Z3448,Y3449,"f",FALSE)</f>
        <v>63332</v>
      </c>
      <c r="AA3449" s="117">
        <f>_xll.qlCalendarAdvance(Calendar,Z3449,NDays&amp;"D")</f>
        <v>63334</v>
      </c>
      <c r="AB3449" s="92">
        <v>1.2552287762016305E-2</v>
      </c>
      <c r="AC3449" s="101">
        <v>1.2485796099586111E-2</v>
      </c>
    </row>
    <row r="3450" spans="25:29" x14ac:dyDescent="0.2">
      <c r="Y3450" s="105" t="str">
        <f t="shared" si="87"/>
        <v>1w</v>
      </c>
      <c r="Z3450" s="93">
        <f>_xll.qlCalendarAdvance(Calendar,Z3449,Y3450,"f",FALSE)</f>
        <v>63339</v>
      </c>
      <c r="AA3450" s="117">
        <f>_xll.qlCalendarAdvance(Calendar,Z3450,NDays&amp;"D")</f>
        <v>63341</v>
      </c>
      <c r="AB3450" s="92">
        <v>1.2553140478816442E-2</v>
      </c>
      <c r="AC3450" s="101">
        <v>1.2487949236374973E-2</v>
      </c>
    </row>
    <row r="3451" spans="25:29" x14ac:dyDescent="0.2">
      <c r="Y3451" s="105" t="str">
        <f t="shared" si="87"/>
        <v>1w</v>
      </c>
      <c r="Z3451" s="93">
        <f>_xll.qlCalendarAdvance(Calendar,Z3450,Y3451,"f",FALSE)</f>
        <v>63346</v>
      </c>
      <c r="AA3451" s="117">
        <f>_xll.qlCalendarAdvance(Calendar,Z3451,NDays&amp;"D")</f>
        <v>63348</v>
      </c>
      <c r="AB3451" s="92">
        <v>1.2555015663151247E-2</v>
      </c>
      <c r="AC3451" s="101">
        <v>1.2490081930875974E-2</v>
      </c>
    </row>
    <row r="3452" spans="25:29" x14ac:dyDescent="0.2">
      <c r="Y3452" s="105" t="str">
        <f t="shared" si="87"/>
        <v>1w</v>
      </c>
      <c r="Z3452" s="93">
        <f>_xll.qlCalendarAdvance(Calendar,Z3451,Y3452,"f",FALSE)</f>
        <v>63353</v>
      </c>
      <c r="AA3452" s="117">
        <f>_xll.qlCalendarAdvance(Calendar,Z3452,NDays&amp;"D")</f>
        <v>63355</v>
      </c>
      <c r="AB3452" s="92">
        <v>1.2556869854273199E-2</v>
      </c>
      <c r="AC3452" s="101">
        <v>1.2492194152953218E-2</v>
      </c>
    </row>
    <row r="3453" spans="25:29" x14ac:dyDescent="0.2">
      <c r="Y3453" s="105" t="str">
        <f t="shared" si="87"/>
        <v>1w</v>
      </c>
      <c r="Z3453" s="93">
        <f>_xll.qlCalendarAdvance(Calendar,Z3452,Y3453,"f",FALSE)</f>
        <v>63360</v>
      </c>
      <c r="AA3453" s="117">
        <f>_xll.qlCalendarAdvance(Calendar,Z3453,NDays&amp;"D")</f>
        <v>63362</v>
      </c>
      <c r="AB3453" s="92">
        <v>1.2558703021917111E-2</v>
      </c>
      <c r="AC3453" s="101">
        <v>1.2494285872790556E-2</v>
      </c>
    </row>
    <row r="3454" spans="25:29" x14ac:dyDescent="0.2">
      <c r="Y3454" s="105" t="str">
        <f t="shared" si="87"/>
        <v>1w</v>
      </c>
      <c r="Z3454" s="93">
        <f>_xll.qlCalendarAdvance(Calendar,Z3453,Y3454,"f",FALSE)</f>
        <v>63367</v>
      </c>
      <c r="AA3454" s="117">
        <f>_xll.qlCalendarAdvance(Calendar,Z3454,NDays&amp;"D")</f>
        <v>63369</v>
      </c>
      <c r="AB3454" s="92">
        <v>1.2560515135817359E-2</v>
      </c>
      <c r="AC3454" s="101">
        <v>1.2496357060332031E-2</v>
      </c>
    </row>
    <row r="3455" spans="25:29" x14ac:dyDescent="0.2">
      <c r="Y3455" s="105" t="str">
        <f t="shared" si="87"/>
        <v>1w</v>
      </c>
      <c r="Z3455" s="93">
        <f>_xll.qlCalendarAdvance(Calendar,Z3454,Y3455,"f",FALSE)</f>
        <v>63374</v>
      </c>
      <c r="AA3455" s="117">
        <f>_xll.qlCalendarAdvance(Calendar,Z3455,NDays&amp;"D")</f>
        <v>63376</v>
      </c>
      <c r="AB3455" s="92">
        <v>1.2563323542201474E-2</v>
      </c>
      <c r="AC3455" s="101">
        <v>1.2498407685281876E-2</v>
      </c>
    </row>
    <row r="3456" spans="25:29" x14ac:dyDescent="0.2">
      <c r="Y3456" s="105" t="str">
        <f t="shared" si="87"/>
        <v>1w</v>
      </c>
      <c r="Z3456" s="93">
        <f>_xll.qlCalendarAdvance(Calendar,Z3455,Y3456,"f",FALSE)</f>
        <v>63381</v>
      </c>
      <c r="AA3456" s="117">
        <f>_xll.qlCalendarAdvance(Calendar,Z3456,NDays&amp;"D")</f>
        <v>63383</v>
      </c>
      <c r="AB3456" s="92">
        <v>1.2565089085191132E-2</v>
      </c>
      <c r="AC3456" s="101">
        <v>1.250043771806375E-2</v>
      </c>
    </row>
    <row r="3457" spans="25:29" x14ac:dyDescent="0.2">
      <c r="Y3457" s="105" t="str">
        <f t="shared" si="87"/>
        <v>1w</v>
      </c>
      <c r="Z3457" s="93">
        <f>_xll.qlCalendarAdvance(Calendar,Z3456,Y3457,"f",FALSE)</f>
        <v>63388</v>
      </c>
      <c r="AA3457" s="117">
        <f>_xll.qlCalendarAdvance(Calendar,Z3457,NDays&amp;"D")</f>
        <v>63390</v>
      </c>
      <c r="AB3457" s="92">
        <v>1.2566833474976868E-2</v>
      </c>
      <c r="AC3457" s="101">
        <v>1.2502447128301952E-2</v>
      </c>
    </row>
    <row r="3458" spans="25:29" x14ac:dyDescent="0.2">
      <c r="Y3458" s="105" t="str">
        <f t="shared" si="87"/>
        <v>1w</v>
      </c>
      <c r="Z3458" s="93">
        <f>_xll.qlCalendarAdvance(Calendar,Z3457,Y3458,"f",FALSE)</f>
        <v>63395</v>
      </c>
      <c r="AA3458" s="117">
        <f>_xll.qlCalendarAdvance(Calendar,Z3458,NDays&amp;"D")</f>
        <v>63397</v>
      </c>
      <c r="AB3458" s="92">
        <v>1.2568556681291714E-2</v>
      </c>
      <c r="AC3458" s="101">
        <v>1.2504435886260268E-2</v>
      </c>
    </row>
    <row r="3459" spans="25:29" x14ac:dyDescent="0.2">
      <c r="Y3459" s="105" t="str">
        <f t="shared" si="87"/>
        <v>1w</v>
      </c>
      <c r="Z3459" s="93">
        <f>_xll.qlCalendarAdvance(Calendar,Z3458,Y3459,"f",FALSE)</f>
        <v>63402</v>
      </c>
      <c r="AA3459" s="117">
        <f>_xll.qlCalendarAdvance(Calendar,Z3459,NDays&amp;"D")</f>
        <v>63404</v>
      </c>
      <c r="AB3459" s="92">
        <v>1.2570258673867836E-2</v>
      </c>
      <c r="AC3459" s="101">
        <v>1.2506403961642931E-2</v>
      </c>
    </row>
    <row r="3460" spans="25:29" x14ac:dyDescent="0.2">
      <c r="Y3460" s="105" t="str">
        <f t="shared" si="87"/>
        <v>1w</v>
      </c>
      <c r="Z3460" s="93">
        <f>_xll.qlCalendarAdvance(Calendar,Z3459,Y3460,"f",FALSE)</f>
        <v>63409</v>
      </c>
      <c r="AA3460" s="117">
        <f>_xll.qlCalendarAdvance(Calendar,Z3460,NDays&amp;"D")</f>
        <v>63411</v>
      </c>
      <c r="AB3460" s="92">
        <v>1.2571939422440842E-2</v>
      </c>
      <c r="AC3460" s="101">
        <v>1.2508351324553857E-2</v>
      </c>
    </row>
    <row r="3461" spans="25:29" x14ac:dyDescent="0.2">
      <c r="Y3461" s="105" t="str">
        <f t="shared" si="87"/>
        <v>1w</v>
      </c>
      <c r="Z3461" s="93">
        <f>_xll.qlCalendarAdvance(Calendar,Z3460,Y3461,"f",FALSE)</f>
        <v>63416</v>
      </c>
      <c r="AA3461" s="117">
        <f>_xll.qlCalendarAdvance(Calendar,Z3461,NDays&amp;"D")</f>
        <v>63418</v>
      </c>
      <c r="AB3461" s="92">
        <v>1.2573598896744621E-2</v>
      </c>
      <c r="AC3461" s="101">
        <v>1.2510277945017023E-2</v>
      </c>
    </row>
    <row r="3462" spans="25:29" x14ac:dyDescent="0.2">
      <c r="Y3462" s="105" t="str">
        <f t="shared" si="87"/>
        <v>1w</v>
      </c>
      <c r="Z3462" s="93">
        <f>_xll.qlCalendarAdvance(Calendar,Z3461,Y3462,"f",FALSE)</f>
        <v>63423</v>
      </c>
      <c r="AA3462" s="117">
        <f>_xll.qlCalendarAdvance(Calendar,Z3462,NDays&amp;"D")</f>
        <v>63425</v>
      </c>
      <c r="AB3462" s="92">
        <v>1.2575237066513489E-2</v>
      </c>
      <c r="AC3462" s="101">
        <v>1.2512183793056408E-2</v>
      </c>
    </row>
    <row r="3463" spans="25:29" x14ac:dyDescent="0.2">
      <c r="Y3463" s="105" t="str">
        <f t="shared" si="87"/>
        <v>1w</v>
      </c>
      <c r="Z3463" s="93">
        <f>_xll.qlCalendarAdvance(Calendar,Z3462,Y3463,"f",FALSE)</f>
        <v>63430</v>
      </c>
      <c r="AA3463" s="117">
        <f>_xll.qlCalendarAdvance(Calendar,Z3463,NDays&amp;"D")</f>
        <v>63432</v>
      </c>
      <c r="AB3463" s="92">
        <v>1.2575216310543914E-2</v>
      </c>
      <c r="AC3463" s="101">
        <v>1.2514068838536119E-2</v>
      </c>
    </row>
    <row r="3464" spans="25:29" x14ac:dyDescent="0.2">
      <c r="Y3464" s="105" t="str">
        <f t="shared" si="87"/>
        <v>1w</v>
      </c>
      <c r="Z3464" s="93">
        <f>_xll.qlCalendarAdvance(Calendar,Z3463,Y3464,"f",FALSE)</f>
        <v>63437</v>
      </c>
      <c r="AA3464" s="117">
        <f>_xll.qlCalendarAdvance(Calendar,Z3464,NDays&amp;"D")</f>
        <v>63439</v>
      </c>
      <c r="AB3464" s="92">
        <v>1.2576819182361067E-2</v>
      </c>
      <c r="AC3464" s="101">
        <v>1.2515933051480133E-2</v>
      </c>
    </row>
    <row r="3465" spans="25:29" x14ac:dyDescent="0.2">
      <c r="Y3465" s="105" t="str">
        <f t="shared" si="87"/>
        <v>1w</v>
      </c>
      <c r="Z3465" s="93">
        <f>_xll.qlCalendarAdvance(Calendar,Z3464,Y3465,"f",FALSE)</f>
        <v>63444</v>
      </c>
      <c r="AA3465" s="117">
        <f>_xll.qlCalendarAdvance(Calendar,Z3465,NDays&amp;"D")</f>
        <v>63446</v>
      </c>
      <c r="AB3465" s="92">
        <v>1.2578400673350504E-2</v>
      </c>
      <c r="AC3465" s="101">
        <v>1.2517776401992364E-2</v>
      </c>
    </row>
    <row r="3466" spans="25:29" x14ac:dyDescent="0.2">
      <c r="Y3466" s="105" t="str">
        <f t="shared" si="87"/>
        <v>1w</v>
      </c>
      <c r="Z3466" s="93">
        <f>_xll.qlCalendarAdvance(Calendar,Z3465,Y3466,"f",FALSE)</f>
        <v>63451</v>
      </c>
      <c r="AA3466" s="117">
        <f>_xll.qlCalendarAdvance(Calendar,Z3466,NDays&amp;"D")</f>
        <v>63453</v>
      </c>
      <c r="AB3466" s="92">
        <v>1.2579960753253556E-2</v>
      </c>
      <c r="AC3466" s="101">
        <v>1.2519598859777048E-2</v>
      </c>
    </row>
    <row r="3467" spans="25:29" x14ac:dyDescent="0.2">
      <c r="Y3467" s="105" t="str">
        <f t="shared" si="87"/>
        <v>1w</v>
      </c>
      <c r="Z3467" s="93">
        <f>_xll.qlCalendarAdvance(Calendar,Z3466,Y3467,"f",FALSE)</f>
        <v>63458</v>
      </c>
      <c r="AA3467" s="117">
        <f>_xll.qlCalendarAdvance(Calendar,Z3467,NDays&amp;"D")</f>
        <v>63460</v>
      </c>
      <c r="AB3467" s="92">
        <v>1.2581499391817297E-2</v>
      </c>
      <c r="AC3467" s="101">
        <v>1.2521400395018034E-2</v>
      </c>
    </row>
    <row r="3468" spans="25:29" x14ac:dyDescent="0.2">
      <c r="Y3468" s="105" t="str">
        <f t="shared" si="87"/>
        <v>1w</v>
      </c>
      <c r="Z3468" s="93">
        <f>_xll.qlCalendarAdvance(Calendar,Z3467,Y3468,"f",FALSE)</f>
        <v>63465</v>
      </c>
      <c r="AA3468" s="117">
        <f>_xll.qlCalendarAdvance(Calendar,Z3468,NDays&amp;"D")</f>
        <v>63467</v>
      </c>
      <c r="AB3468" s="92">
        <v>1.2583336917136562E-2</v>
      </c>
      <c r="AC3468" s="101">
        <v>1.2523180977739301E-2</v>
      </c>
    </row>
    <row r="3469" spans="25:29" x14ac:dyDescent="0.2">
      <c r="Y3469" s="105" t="str">
        <f t="shared" si="87"/>
        <v>1w</v>
      </c>
      <c r="Z3469" s="93">
        <f>_xll.qlCalendarAdvance(Calendar,Z3468,Y3469,"f",FALSE)</f>
        <v>63472</v>
      </c>
      <c r="AA3469" s="117">
        <f>_xll.qlCalendarAdvance(Calendar,Z3469,NDays&amp;"D")</f>
        <v>63474</v>
      </c>
      <c r="AB3469" s="92">
        <v>1.2584831087986905E-2</v>
      </c>
      <c r="AC3469" s="101">
        <v>1.2524940577884891E-2</v>
      </c>
    </row>
    <row r="3470" spans="25:29" x14ac:dyDescent="0.2">
      <c r="Y3470" s="105" t="str">
        <f t="shared" si="87"/>
        <v>1w</v>
      </c>
      <c r="Z3470" s="93">
        <f>_xll.qlCalendarAdvance(Calendar,Z3469,Y3470,"f",FALSE)</f>
        <v>63479</v>
      </c>
      <c r="AA3470" s="117">
        <f>_xll.qlCalendarAdvance(Calendar,Z3470,NDays&amp;"D")</f>
        <v>63481</v>
      </c>
      <c r="AB3470" s="92">
        <v>1.2586303723828308E-2</v>
      </c>
      <c r="AC3470" s="101">
        <v>1.252667916531891E-2</v>
      </c>
    </row>
    <row r="3471" spans="25:29" x14ac:dyDescent="0.2">
      <c r="Y3471" s="105" t="str">
        <f t="shared" si="87"/>
        <v>1w</v>
      </c>
      <c r="Z3471" s="93">
        <f>_xll.qlCalendarAdvance(Calendar,Z3470,Y3471,"f",FALSE)</f>
        <v>63486</v>
      </c>
      <c r="AA3471" s="117">
        <f>_xll.qlCalendarAdvance(Calendar,Z3471,NDays&amp;"D")</f>
        <v>63488</v>
      </c>
      <c r="AB3471" s="92">
        <v>1.2587754794407168E-2</v>
      </c>
      <c r="AC3471" s="101">
        <v>1.2528396710145273E-2</v>
      </c>
    </row>
    <row r="3472" spans="25:29" x14ac:dyDescent="0.2">
      <c r="Y3472" s="105" t="str">
        <f t="shared" si="87"/>
        <v>1w</v>
      </c>
      <c r="Z3472" s="93">
        <f>_xll.qlCalendarAdvance(Calendar,Z3471,Y3472,"f",FALSE)</f>
        <v>63493</v>
      </c>
      <c r="AA3472" s="117">
        <f>_xll.qlCalendarAdvance(Calendar,Z3472,NDays&amp;"D")</f>
        <v>63495</v>
      </c>
      <c r="AB3472" s="92">
        <v>1.2588869905632041E-2</v>
      </c>
      <c r="AC3472" s="101">
        <v>1.2530093182308022E-2</v>
      </c>
    </row>
    <row r="3473" spans="25:29" x14ac:dyDescent="0.2">
      <c r="Y3473" s="105" t="str">
        <f t="shared" si="87"/>
        <v>1w</v>
      </c>
      <c r="Z3473" s="93">
        <f>_xll.qlCalendarAdvance(Calendar,Z3472,Y3473,"f",FALSE)</f>
        <v>63500</v>
      </c>
      <c r="AA3473" s="117">
        <f>_xll.qlCalendarAdvance(Calendar,Z3473,NDays&amp;"D")</f>
        <v>63502</v>
      </c>
      <c r="AB3473" s="92">
        <v>1.2590279260822825E-2</v>
      </c>
      <c r="AC3473" s="101">
        <v>1.2531768551831135E-2</v>
      </c>
    </row>
    <row r="3474" spans="25:29" x14ac:dyDescent="0.2">
      <c r="Y3474" s="105" t="str">
        <f t="shared" si="87"/>
        <v>1w</v>
      </c>
      <c r="Z3474" s="93">
        <f>_xll.qlCalendarAdvance(Calendar,Z3473,Y3474,"f",FALSE)</f>
        <v>63507</v>
      </c>
      <c r="AA3474" s="117">
        <f>_xll.qlCalendarAdvance(Calendar,Z3474,NDays&amp;"D")</f>
        <v>63509</v>
      </c>
      <c r="AB3474" s="92">
        <v>1.2591666962902922E-2</v>
      </c>
      <c r="AC3474" s="101">
        <v>1.2533422788658655E-2</v>
      </c>
    </row>
    <row r="3475" spans="25:29" x14ac:dyDescent="0.2">
      <c r="Y3475" s="105" t="str">
        <f t="shared" si="87"/>
        <v>1w</v>
      </c>
      <c r="Z3475" s="93">
        <f>_xll.qlCalendarAdvance(Calendar,Z3474,Y3475,"f",FALSE)</f>
        <v>63514</v>
      </c>
      <c r="AA3475" s="117">
        <f>_xll.qlCalendarAdvance(Calendar,Z3475,NDays&amp;"D")</f>
        <v>63516</v>
      </c>
      <c r="AB3475" s="92">
        <v>1.2593032981620731E-2</v>
      </c>
      <c r="AC3475" s="101">
        <v>1.2535055862814559E-2</v>
      </c>
    </row>
    <row r="3476" spans="25:29" x14ac:dyDescent="0.2">
      <c r="Y3476" s="105" t="str">
        <f t="shared" si="87"/>
        <v>1w</v>
      </c>
      <c r="Z3476" s="93">
        <f>_xll.qlCalendarAdvance(Calendar,Z3475,Y3476,"f",FALSE)</f>
        <v>63521</v>
      </c>
      <c r="AA3476" s="117">
        <f>_xll.qlCalendarAdvance(Calendar,Z3476,NDays&amp;"D")</f>
        <v>63523</v>
      </c>
      <c r="AB3476" s="92">
        <v>1.2594685609507467E-2</v>
      </c>
      <c r="AC3476" s="101">
        <v>1.2536667744083019E-2</v>
      </c>
    </row>
    <row r="3477" spans="25:29" x14ac:dyDescent="0.2">
      <c r="Y3477" s="105" t="str">
        <f t="shared" ref="Y3477:Y3540" si="88">Y3476</f>
        <v>1w</v>
      </c>
      <c r="Z3477" s="93">
        <f>_xll.qlCalendarAdvance(Calendar,Z3476,Y3477,"f",FALSE)</f>
        <v>63528</v>
      </c>
      <c r="AA3477" s="117">
        <f>_xll.qlCalendarAdvance(Calendar,Z3477,NDays&amp;"D")</f>
        <v>63530</v>
      </c>
      <c r="AB3477" s="92">
        <v>1.2596006653206074E-2</v>
      </c>
      <c r="AC3477" s="101">
        <v>1.253825840272782E-2</v>
      </c>
    </row>
    <row r="3478" spans="25:29" x14ac:dyDescent="0.2">
      <c r="Y3478" s="105" t="str">
        <f t="shared" si="88"/>
        <v>1w</v>
      </c>
      <c r="Z3478" s="93">
        <f>_xll.qlCalendarAdvance(Calendar,Z3477,Y3478,"f",FALSE)</f>
        <v>63535</v>
      </c>
      <c r="AA3478" s="117">
        <f>_xll.qlCalendarAdvance(Calendar,Z3478,NDays&amp;"D")</f>
        <v>63537</v>
      </c>
      <c r="AB3478" s="92">
        <v>1.2597305919879665E-2</v>
      </c>
      <c r="AC3478" s="101">
        <v>1.2539827808613069E-2</v>
      </c>
    </row>
    <row r="3479" spans="25:29" x14ac:dyDescent="0.2">
      <c r="Y3479" s="105" t="str">
        <f t="shared" si="88"/>
        <v>1w</v>
      </c>
      <c r="Z3479" s="93">
        <f>_xll.qlCalendarAdvance(Calendar,Z3478,Y3479,"f",FALSE)</f>
        <v>63542</v>
      </c>
      <c r="AA3479" s="117">
        <f>_xll.qlCalendarAdvance(Calendar,Z3479,NDays&amp;"D")</f>
        <v>63544</v>
      </c>
      <c r="AB3479" s="92">
        <v>1.2598583379277708E-2</v>
      </c>
      <c r="AC3479" s="101">
        <v>1.2541375931602872E-2</v>
      </c>
    </row>
    <row r="3480" spans="25:29" x14ac:dyDescent="0.2">
      <c r="Y3480" s="105" t="str">
        <f t="shared" si="88"/>
        <v>1w</v>
      </c>
      <c r="Z3480" s="93">
        <f>_xll.qlCalendarAdvance(Calendar,Z3479,Y3480,"f",FALSE)</f>
        <v>63550</v>
      </c>
      <c r="AA3480" s="117">
        <f>_xll.qlCalendarAdvance(Calendar,Z3480,NDays&amp;"D")</f>
        <v>63552</v>
      </c>
      <c r="AB3480" s="92">
        <v>1.2600016591288756E-2</v>
      </c>
      <c r="AC3480" s="101">
        <v>1.2544098178171037E-2</v>
      </c>
    </row>
    <row r="3481" spans="25:29" x14ac:dyDescent="0.2">
      <c r="Y3481" s="105" t="str">
        <f t="shared" si="88"/>
        <v>1w</v>
      </c>
      <c r="Z3481" s="93">
        <f>_xll.qlCalendarAdvance(Calendar,Z3480,Y3481,"f",FALSE)</f>
        <v>63557</v>
      </c>
      <c r="AA3481" s="117">
        <f>_xll.qlCalendarAdvance(Calendar,Z3481,NDays&amp;"D")</f>
        <v>63559</v>
      </c>
      <c r="AB3481" s="92">
        <v>1.2600946731770949E-2</v>
      </c>
      <c r="AC3481" s="101">
        <v>1.2545271425130622E-2</v>
      </c>
    </row>
    <row r="3482" spans="25:29" x14ac:dyDescent="0.2">
      <c r="Y3482" s="105" t="str">
        <f t="shared" si="88"/>
        <v>1w</v>
      </c>
      <c r="Z3482" s="93">
        <f>_xll.qlCalendarAdvance(Calendar,Z3481,Y3482,"f",FALSE)</f>
        <v>63564</v>
      </c>
      <c r="AA3482" s="117">
        <f>_xll.qlCalendarAdvance(Calendar,Z3482,NDays&amp;"D")</f>
        <v>63566</v>
      </c>
      <c r="AB3482" s="92">
        <v>1.2602156989652044E-2</v>
      </c>
      <c r="AC3482" s="101">
        <v>1.2546749510544686E-2</v>
      </c>
    </row>
    <row r="3483" spans="25:29" x14ac:dyDescent="0.2">
      <c r="Y3483" s="105" t="str">
        <f t="shared" si="88"/>
        <v>1w</v>
      </c>
      <c r="Z3483" s="93">
        <f>_xll.qlCalendarAdvance(Calendar,Z3482,Y3483,"f",FALSE)</f>
        <v>63571</v>
      </c>
      <c r="AA3483" s="117">
        <f>_xll.qlCalendarAdvance(Calendar,Z3483,NDays&amp;"D")</f>
        <v>63573</v>
      </c>
      <c r="AB3483" s="92">
        <v>1.2603345317868424E-2</v>
      </c>
      <c r="AC3483" s="101">
        <v>1.2548206183087274E-2</v>
      </c>
    </row>
    <row r="3484" spans="25:29" x14ac:dyDescent="0.2">
      <c r="Y3484" s="105" t="str">
        <f t="shared" si="88"/>
        <v>1w</v>
      </c>
      <c r="Z3484" s="93">
        <f>_xll.qlCalendarAdvance(Calendar,Z3483,Y3484,"f",FALSE)</f>
        <v>63578</v>
      </c>
      <c r="AA3484" s="117">
        <f>_xll.qlCalendarAdvance(Calendar,Z3484,NDays&amp;"D")</f>
        <v>63580</v>
      </c>
      <c r="AB3484" s="92">
        <v>1.2604511686176439E-2</v>
      </c>
      <c r="AC3484" s="101">
        <v>1.2549641412702428E-2</v>
      </c>
    </row>
    <row r="3485" spans="25:29" x14ac:dyDescent="0.2">
      <c r="Y3485" s="105" t="str">
        <f t="shared" si="88"/>
        <v>1w</v>
      </c>
      <c r="Z3485" s="93">
        <f>_xll.qlCalendarAdvance(Calendar,Z3484,Y3485,"f",FALSE)</f>
        <v>63585</v>
      </c>
      <c r="AA3485" s="117">
        <f>_xll.qlCalendarAdvance(Calendar,Z3485,NDays&amp;"D")</f>
        <v>63587</v>
      </c>
      <c r="AB3485" s="92">
        <v>1.2605656064330666E-2</v>
      </c>
      <c r="AC3485" s="101">
        <v>1.2551055169334191E-2</v>
      </c>
    </row>
    <row r="3486" spans="25:29" x14ac:dyDescent="0.2">
      <c r="Y3486" s="105" t="str">
        <f t="shared" si="88"/>
        <v>1w</v>
      </c>
      <c r="Z3486" s="93">
        <f>_xll.qlCalendarAdvance(Calendar,Z3485,Y3486,"f",FALSE)</f>
        <v>63592</v>
      </c>
      <c r="AA3486" s="117">
        <f>_xll.qlCalendarAdvance(Calendar,Z3486,NDays&amp;"D")</f>
        <v>63594</v>
      </c>
      <c r="AB3486" s="92">
        <v>1.2606778422088337E-2</v>
      </c>
      <c r="AC3486" s="101">
        <v>1.2552447423059832E-2</v>
      </c>
    </row>
    <row r="3487" spans="25:29" x14ac:dyDescent="0.2">
      <c r="Y3487" s="105" t="str">
        <f t="shared" si="88"/>
        <v>1w</v>
      </c>
      <c r="Z3487" s="93">
        <f>_xll.qlCalendarAdvance(Calendar,Z3486,Y3487,"f",FALSE)</f>
        <v>63599</v>
      </c>
      <c r="AA3487" s="117">
        <f>_xll.qlCalendarAdvance(Calendar,Z3487,NDays&amp;"D")</f>
        <v>63601</v>
      </c>
      <c r="AB3487" s="92">
        <v>1.2607878729206242E-2</v>
      </c>
      <c r="AC3487" s="101">
        <v>1.2553818143796747E-2</v>
      </c>
    </row>
    <row r="3488" spans="25:29" x14ac:dyDescent="0.2">
      <c r="Y3488" s="105" t="str">
        <f t="shared" si="88"/>
        <v>1w</v>
      </c>
      <c r="Z3488" s="93">
        <f>_xll.qlCalendarAdvance(Calendar,Z3487,Y3488,"f",FALSE)</f>
        <v>63606</v>
      </c>
      <c r="AA3488" s="117">
        <f>_xll.qlCalendarAdvance(Calendar,Z3488,NDays&amp;"D")</f>
        <v>63608</v>
      </c>
      <c r="AB3488" s="92">
        <v>1.2608956955442494E-2</v>
      </c>
      <c r="AC3488" s="101">
        <v>1.2555167301515624E-2</v>
      </c>
    </row>
    <row r="3489" spans="25:29" x14ac:dyDescent="0.2">
      <c r="Y3489" s="105" t="str">
        <f t="shared" si="88"/>
        <v>1w</v>
      </c>
      <c r="Z3489" s="93">
        <f>_xll.qlCalendarAdvance(Calendar,Z3488,Y3489,"f",FALSE)</f>
        <v>63613</v>
      </c>
      <c r="AA3489" s="117">
        <f>_xll.qlCalendarAdvance(Calendar,Z3489,NDays&amp;"D")</f>
        <v>63615</v>
      </c>
      <c r="AB3489" s="92">
        <v>1.2611164797248034E-2</v>
      </c>
      <c r="AC3489" s="101">
        <v>1.2556494866213797E-2</v>
      </c>
    </row>
    <row r="3490" spans="25:29" x14ac:dyDescent="0.2">
      <c r="Y3490" s="105" t="str">
        <f t="shared" si="88"/>
        <v>1w</v>
      </c>
      <c r="Z3490" s="93">
        <f>_xll.qlCalendarAdvance(Calendar,Z3489,Y3490,"f",FALSE)</f>
        <v>63620</v>
      </c>
      <c r="AA3490" s="117">
        <f>_xll.qlCalendarAdvance(Calendar,Z3490,NDays&amp;"D")</f>
        <v>63622</v>
      </c>
      <c r="AB3490" s="92">
        <v>1.2612192545265752E-2</v>
      </c>
      <c r="AC3490" s="101">
        <v>1.2557800807915243E-2</v>
      </c>
    </row>
    <row r="3491" spans="25:29" x14ac:dyDescent="0.2">
      <c r="Y3491" s="105" t="str">
        <f t="shared" si="88"/>
        <v>1w</v>
      </c>
      <c r="Z3491" s="93">
        <f>_xll.qlCalendarAdvance(Calendar,Z3490,Y3491,"f",FALSE)</f>
        <v>63627</v>
      </c>
      <c r="AA3491" s="117">
        <f>_xll.qlCalendarAdvance(Calendar,Z3491,NDays&amp;"D")</f>
        <v>63629</v>
      </c>
      <c r="AB3491" s="92">
        <v>1.2613198109951974E-2</v>
      </c>
      <c r="AC3491" s="101">
        <v>1.2559085096537359E-2</v>
      </c>
    </row>
    <row r="3492" spans="25:29" x14ac:dyDescent="0.2">
      <c r="Y3492" s="105" t="str">
        <f t="shared" si="88"/>
        <v>1w</v>
      </c>
      <c r="Z3492" s="93">
        <f>_xll.qlCalendarAdvance(Calendar,Z3491,Y3492,"f",FALSE)</f>
        <v>63634</v>
      </c>
      <c r="AA3492" s="117">
        <f>_xll.qlCalendarAdvance(Calendar,Z3492,NDays&amp;"D")</f>
        <v>63636</v>
      </c>
      <c r="AB3492" s="92">
        <v>1.2614181461063648E-2</v>
      </c>
      <c r="AC3492" s="101">
        <v>1.2560347702050834E-2</v>
      </c>
    </row>
    <row r="3493" spans="25:29" x14ac:dyDescent="0.2">
      <c r="Y3493" s="105" t="str">
        <f t="shared" si="88"/>
        <v>1w</v>
      </c>
      <c r="Z3493" s="93">
        <f>_xll.qlCalendarAdvance(Calendar,Z3492,Y3493,"f",FALSE)</f>
        <v>63641</v>
      </c>
      <c r="AA3493" s="117">
        <f>_xll.qlCalendarAdvance(Calendar,Z3493,NDays&amp;"D")</f>
        <v>63643</v>
      </c>
      <c r="AB3493" s="92">
        <v>1.2614297718427639E-2</v>
      </c>
      <c r="AC3493" s="101">
        <v>1.2561588594532935E-2</v>
      </c>
    </row>
    <row r="3494" spans="25:29" x14ac:dyDescent="0.2">
      <c r="Y3494" s="105" t="str">
        <f t="shared" si="88"/>
        <v>1w</v>
      </c>
      <c r="Z3494" s="93">
        <f>_xll.qlCalendarAdvance(Calendar,Z3493,Y3494,"f",FALSE)</f>
        <v>63648</v>
      </c>
      <c r="AA3494" s="117">
        <f>_xll.qlCalendarAdvance(Calendar,Z3494,NDays&amp;"D")</f>
        <v>63650</v>
      </c>
      <c r="AB3494" s="92">
        <v>1.2616081401588555E-2</v>
      </c>
      <c r="AC3494" s="101">
        <v>1.2562807743874416E-2</v>
      </c>
    </row>
    <row r="3495" spans="25:29" x14ac:dyDescent="0.2">
      <c r="Y3495" s="105" t="str">
        <f t="shared" si="88"/>
        <v>1w</v>
      </c>
      <c r="Z3495" s="93">
        <f>_xll.qlCalendarAdvance(Calendar,Z3494,Y3495,"f",FALSE)</f>
        <v>63655</v>
      </c>
      <c r="AA3495" s="117">
        <f>_xll.qlCalendarAdvance(Calendar,Z3495,NDays&amp;"D")</f>
        <v>63661</v>
      </c>
      <c r="AB3495" s="92">
        <v>1.2616956624013969E-2</v>
      </c>
      <c r="AC3495" s="101">
        <v>1.2564073263137132E-2</v>
      </c>
    </row>
    <row r="3496" spans="25:29" x14ac:dyDescent="0.2">
      <c r="Y3496" s="105" t="str">
        <f t="shared" si="88"/>
        <v>1w</v>
      </c>
      <c r="Z3496" s="93">
        <f>_xll.qlCalendarAdvance(Calendar,Z3495,Y3496,"f",FALSE)</f>
        <v>63662</v>
      </c>
      <c r="AA3496" s="117">
        <f>_xll.qlCalendarAdvance(Calendar,Z3496,NDays&amp;"D")</f>
        <v>63664</v>
      </c>
      <c r="AB3496" s="92">
        <v>1.2617892124901249E-2</v>
      </c>
      <c r="AC3496" s="101">
        <v>1.2565180693124844E-2</v>
      </c>
    </row>
    <row r="3497" spans="25:29" x14ac:dyDescent="0.2">
      <c r="Y3497" s="105" t="str">
        <f t="shared" si="88"/>
        <v>1w</v>
      </c>
      <c r="Z3497" s="93">
        <f>_xll.qlCalendarAdvance(Calendar,Z3496,Y3497,"f",FALSE)</f>
        <v>63669</v>
      </c>
      <c r="AA3497" s="117">
        <f>_xll.qlCalendarAdvance(Calendar,Z3497,NDays&amp;"D")</f>
        <v>63671</v>
      </c>
      <c r="AB3497" s="92">
        <v>1.2618763954500034E-2</v>
      </c>
      <c r="AC3497" s="101">
        <v>1.2566334433028459E-2</v>
      </c>
    </row>
    <row r="3498" spans="25:29" x14ac:dyDescent="0.2">
      <c r="Y3498" s="105" t="str">
        <f t="shared" si="88"/>
        <v>1w</v>
      </c>
      <c r="Z3498" s="93">
        <f>_xll.qlCalendarAdvance(Calendar,Z3497,Y3498,"f",FALSE)</f>
        <v>63676</v>
      </c>
      <c r="AA3498" s="117">
        <f>_xll.qlCalendarAdvance(Calendar,Z3498,NDays&amp;"D")</f>
        <v>63678</v>
      </c>
      <c r="AB3498" s="92">
        <v>1.2619613389072444E-2</v>
      </c>
      <c r="AC3498" s="101">
        <v>1.2567466309700848E-2</v>
      </c>
    </row>
    <row r="3499" spans="25:29" x14ac:dyDescent="0.2">
      <c r="Y3499" s="105" t="str">
        <f t="shared" si="88"/>
        <v>1w</v>
      </c>
      <c r="Z3499" s="93">
        <f>_xll.qlCalendarAdvance(Calendar,Z3498,Y3499,"f",FALSE)</f>
        <v>63683</v>
      </c>
      <c r="AA3499" s="117">
        <f>_xll.qlCalendarAdvance(Calendar,Z3499,NDays&amp;"D")</f>
        <v>63685</v>
      </c>
      <c r="AB3499" s="92">
        <v>1.2620440398381047E-2</v>
      </c>
      <c r="AC3499" s="101">
        <v>1.2568576293192635E-2</v>
      </c>
    </row>
    <row r="3500" spans="25:29" x14ac:dyDescent="0.2">
      <c r="Y3500" s="105" t="str">
        <f t="shared" si="88"/>
        <v>1w</v>
      </c>
      <c r="Z3500" s="93">
        <f>_xll.qlCalendarAdvance(Calendar,Z3499,Y3500,"f",FALSE)</f>
        <v>63690</v>
      </c>
      <c r="AA3500" s="117">
        <f>_xll.qlCalendarAdvance(Calendar,Z3500,NDays&amp;"D")</f>
        <v>63692</v>
      </c>
      <c r="AB3500" s="92">
        <v>1.2621244952186247E-2</v>
      </c>
      <c r="AC3500" s="101">
        <v>1.2569664353421217E-2</v>
      </c>
    </row>
    <row r="3501" spans="25:29" x14ac:dyDescent="0.2">
      <c r="Y3501" s="105" t="str">
        <f t="shared" si="88"/>
        <v>1w</v>
      </c>
      <c r="Z3501" s="93">
        <f>_xll.qlCalendarAdvance(Calendar,Z3500,Y3501,"f",FALSE)</f>
        <v>63697</v>
      </c>
      <c r="AA3501" s="117">
        <f>_xll.qlCalendarAdvance(Calendar,Z3501,NDays&amp;"D")</f>
        <v>63699</v>
      </c>
      <c r="AB3501" s="92">
        <v>1.2622027020250177E-2</v>
      </c>
      <c r="AC3501" s="101">
        <v>1.2570730460463864E-2</v>
      </c>
    </row>
    <row r="3502" spans="25:29" x14ac:dyDescent="0.2">
      <c r="Y3502" s="105" t="str">
        <f t="shared" si="88"/>
        <v>1w</v>
      </c>
      <c r="Z3502" s="93">
        <f>_xll.qlCalendarAdvance(Calendar,Z3501,Y3502,"f",FALSE)</f>
        <v>63704</v>
      </c>
      <c r="AA3502" s="117">
        <f>_xll.qlCalendarAdvance(Calendar,Z3502,NDays&amp;"D")</f>
        <v>63706</v>
      </c>
      <c r="AB3502" s="92">
        <v>1.2622786572335837E-2</v>
      </c>
      <c r="AC3502" s="101">
        <v>1.2571774584184681E-2</v>
      </c>
    </row>
    <row r="3503" spans="25:29" x14ac:dyDescent="0.2">
      <c r="Y3503" s="105" t="str">
        <f t="shared" si="88"/>
        <v>1w</v>
      </c>
      <c r="Z3503" s="93">
        <f>_xll.qlCalendarAdvance(Calendar,Z3502,Y3503,"f",FALSE)</f>
        <v>63711</v>
      </c>
      <c r="AA3503" s="117">
        <f>_xll.qlCalendarAdvance(Calendar,Z3503,NDays&amp;"D")</f>
        <v>63713</v>
      </c>
      <c r="AB3503" s="92">
        <v>1.2623523578207089E-2</v>
      </c>
      <c r="AC3503" s="101">
        <v>1.2572796694634292E-2</v>
      </c>
    </row>
    <row r="3504" spans="25:29" x14ac:dyDescent="0.2">
      <c r="Y3504" s="105" t="str">
        <f t="shared" si="88"/>
        <v>1w</v>
      </c>
      <c r="Z3504" s="93">
        <f>_xll.qlCalendarAdvance(Calendar,Z3503,Y3504,"f",FALSE)</f>
        <v>63718</v>
      </c>
      <c r="AA3504" s="117">
        <f>_xll.qlCalendarAdvance(Calendar,Z3504,NDays&amp;"D")</f>
        <v>63720</v>
      </c>
      <c r="AB3504" s="92">
        <v>1.2624238007627792E-2</v>
      </c>
      <c r="AC3504" s="101">
        <v>1.2573796761783385E-2</v>
      </c>
    </row>
    <row r="3505" spans="25:29" x14ac:dyDescent="0.2">
      <c r="Y3505" s="105" t="str">
        <f t="shared" si="88"/>
        <v>1w</v>
      </c>
      <c r="Z3505" s="93">
        <f>_xll.qlCalendarAdvance(Calendar,Z3504,Y3505,"f",FALSE)</f>
        <v>63725</v>
      </c>
      <c r="AA3505" s="117">
        <f>_xll.qlCalendarAdvance(Calendar,Z3505,NDays&amp;"D")</f>
        <v>63727</v>
      </c>
      <c r="AB3505" s="92">
        <v>1.262492983036354E-2</v>
      </c>
      <c r="AC3505" s="101">
        <v>1.2574774755629292E-2</v>
      </c>
    </row>
    <row r="3506" spans="25:29" x14ac:dyDescent="0.2">
      <c r="Y3506" s="105" t="str">
        <f t="shared" si="88"/>
        <v>1w</v>
      </c>
      <c r="Z3506" s="93">
        <f>_xll.qlCalendarAdvance(Calendar,Z3505,Y3506,"f",FALSE)</f>
        <v>63732</v>
      </c>
      <c r="AA3506" s="117">
        <f>_xll.qlCalendarAdvance(Calendar,Z3506,NDays&amp;"D")</f>
        <v>63734</v>
      </c>
      <c r="AB3506" s="92">
        <v>1.2625599016179921E-2</v>
      </c>
      <c r="AC3506" s="101">
        <v>1.2575730646089411E-2</v>
      </c>
    </row>
    <row r="3507" spans="25:29" x14ac:dyDescent="0.2">
      <c r="Y3507" s="105" t="str">
        <f t="shared" si="88"/>
        <v>1w</v>
      </c>
      <c r="Z3507" s="93">
        <f>_xll.qlCalendarAdvance(Calendar,Z3506,Y3507,"f",FALSE)</f>
        <v>63739</v>
      </c>
      <c r="AA3507" s="117">
        <f>_xll.qlCalendarAdvance(Calendar,Z3507,NDays&amp;"D")</f>
        <v>63741</v>
      </c>
      <c r="AB3507" s="92">
        <v>1.2626245534843823E-2</v>
      </c>
      <c r="AC3507" s="101">
        <v>1.2576664403187721E-2</v>
      </c>
    </row>
    <row r="3508" spans="25:29" x14ac:dyDescent="0.2">
      <c r="Y3508" s="105" t="str">
        <f t="shared" si="88"/>
        <v>1w</v>
      </c>
      <c r="Z3508" s="93">
        <f>_xll.qlCalendarAdvance(Calendar,Z3507,Y3508,"f",FALSE)</f>
        <v>63746</v>
      </c>
      <c r="AA3508" s="117">
        <f>_xll.qlCalendarAdvance(Calendar,Z3508,NDays&amp;"D")</f>
        <v>63748</v>
      </c>
      <c r="AB3508" s="92">
        <v>1.2626869356122132E-2</v>
      </c>
      <c r="AC3508" s="101">
        <v>1.2577575996948198E-2</v>
      </c>
    </row>
    <row r="3509" spans="25:29" x14ac:dyDescent="0.2">
      <c r="Y3509" s="105" t="str">
        <f t="shared" si="88"/>
        <v>1w</v>
      </c>
      <c r="Z3509" s="93">
        <f>_xll.qlCalendarAdvance(Calendar,Z3508,Y3509,"f",FALSE)</f>
        <v>63753</v>
      </c>
      <c r="AA3509" s="117">
        <f>_xll.qlCalendarAdvance(Calendar,Z3509,NDays&amp;"D")</f>
        <v>63755</v>
      </c>
      <c r="AB3509" s="92">
        <v>1.26274704497826E-2</v>
      </c>
      <c r="AC3509" s="101">
        <v>1.2578465397261596E-2</v>
      </c>
    </row>
    <row r="3510" spans="25:29" x14ac:dyDescent="0.2">
      <c r="Y3510" s="105" t="str">
        <f t="shared" si="88"/>
        <v>1w</v>
      </c>
      <c r="Z3510" s="93">
        <f>_xll.qlCalendarAdvance(Calendar,Z3509,Y3510,"f",FALSE)</f>
        <v>63760</v>
      </c>
      <c r="AA3510" s="117">
        <f>_xll.qlCalendarAdvance(Calendar,Z3510,NDays&amp;"D")</f>
        <v>63762</v>
      </c>
      <c r="AB3510" s="92">
        <v>1.2628048785594707E-2</v>
      </c>
      <c r="AC3510" s="101">
        <v>1.2579332574178537E-2</v>
      </c>
    </row>
    <row r="3511" spans="25:29" x14ac:dyDescent="0.2">
      <c r="Y3511" s="105" t="str">
        <f t="shared" si="88"/>
        <v>1w</v>
      </c>
      <c r="Z3511" s="93">
        <f>_xll.qlCalendarAdvance(Calendar,Z3510,Y3511,"f",FALSE)</f>
        <v>63767</v>
      </c>
      <c r="AA3511" s="117">
        <f>_xll.qlCalendarAdvance(Calendar,Z3511,NDays&amp;"D")</f>
        <v>63769</v>
      </c>
      <c r="AB3511" s="92">
        <v>1.2628604333327928E-2</v>
      </c>
      <c r="AC3511" s="101">
        <v>1.2580177497643064E-2</v>
      </c>
    </row>
    <row r="3512" spans="25:29" x14ac:dyDescent="0.2">
      <c r="Y3512" s="105" t="str">
        <f t="shared" si="88"/>
        <v>1w</v>
      </c>
      <c r="Z3512" s="93">
        <f>_xll.qlCalendarAdvance(Calendar,Z3511,Y3512,"f",FALSE)</f>
        <v>63774</v>
      </c>
      <c r="AA3512" s="117">
        <f>_xll.qlCalendarAdvance(Calendar,Z3512,NDays&amp;"D")</f>
        <v>63776</v>
      </c>
      <c r="AB3512" s="92">
        <v>1.2629137062753041E-2</v>
      </c>
      <c r="AC3512" s="101">
        <v>1.2581000137679155E-2</v>
      </c>
    </row>
    <row r="3513" spans="25:29" x14ac:dyDescent="0.2">
      <c r="Y3513" s="105" t="str">
        <f t="shared" si="88"/>
        <v>1w</v>
      </c>
      <c r="Z3513" s="93">
        <f>_xll.qlCalendarAdvance(Calendar,Z3512,Y3513,"f",FALSE)</f>
        <v>63781</v>
      </c>
      <c r="AA3513" s="117">
        <f>_xll.qlCalendarAdvance(Calendar,Z3513,NDays&amp;"D")</f>
        <v>63783</v>
      </c>
      <c r="AB3513" s="92">
        <v>1.2629646943639527E-2</v>
      </c>
      <c r="AC3513" s="101">
        <v>1.2581800464204207E-2</v>
      </c>
    </row>
    <row r="3514" spans="25:29" x14ac:dyDescent="0.2">
      <c r="Y3514" s="105" t="str">
        <f t="shared" si="88"/>
        <v>1w</v>
      </c>
      <c r="Z3514" s="93">
        <f>_xll.qlCalendarAdvance(Calendar,Z3513,Y3514,"f",FALSE)</f>
        <v>63788</v>
      </c>
      <c r="AA3514" s="117">
        <f>_xll.qlCalendarAdvance(Calendar,Z3514,NDays&amp;"D")</f>
        <v>63790</v>
      </c>
      <c r="AB3514" s="92">
        <v>1.2630133945761183E-2</v>
      </c>
      <c r="AC3514" s="101">
        <v>1.2582578447242199E-2</v>
      </c>
    </row>
    <row r="3515" spans="25:29" x14ac:dyDescent="0.2">
      <c r="Y3515" s="105" t="str">
        <f t="shared" si="88"/>
        <v>1w</v>
      </c>
      <c r="Z3515" s="93">
        <f>_xll.qlCalendarAdvance(Calendar,Z3514,Y3515,"f",FALSE)</f>
        <v>63795</v>
      </c>
      <c r="AA3515" s="117">
        <f>_xll.qlCalendarAdvance(Calendar,Z3515,NDays&amp;"D")</f>
        <v>63797</v>
      </c>
      <c r="AB3515" s="92">
        <v>1.2629612004550044E-2</v>
      </c>
      <c r="AC3515" s="101">
        <v>1.2583334056763817E-2</v>
      </c>
    </row>
    <row r="3516" spans="25:29" x14ac:dyDescent="0.2">
      <c r="Y3516" s="105" t="str">
        <f t="shared" si="88"/>
        <v>1w</v>
      </c>
      <c r="Z3516" s="93">
        <f>_xll.qlCalendarAdvance(Calendar,Z3515,Y3516,"f",FALSE)</f>
        <v>63802</v>
      </c>
      <c r="AA3516" s="117">
        <f>_xll.qlCalendarAdvance(Calendar,Z3516,NDays&amp;"D")</f>
        <v>63804</v>
      </c>
      <c r="AB3516" s="92">
        <v>1.2630059690591654E-2</v>
      </c>
      <c r="AC3516" s="101">
        <v>1.2584067262766396E-2</v>
      </c>
    </row>
    <row r="3517" spans="25:29" x14ac:dyDescent="0.2">
      <c r="Y3517" s="105" t="str">
        <f t="shared" si="88"/>
        <v>1w</v>
      </c>
      <c r="Z3517" s="93">
        <f>_xll.qlCalendarAdvance(Calendar,Z3516,Y3517,"f",FALSE)</f>
        <v>63809</v>
      </c>
      <c r="AA3517" s="117">
        <f>_xll.qlCalendarAdvance(Calendar,Z3517,NDays&amp;"D")</f>
        <v>63811</v>
      </c>
      <c r="AB3517" s="92">
        <v>1.2630484419031916E-2</v>
      </c>
      <c r="AC3517" s="101">
        <v>1.2584778035193978E-2</v>
      </c>
    </row>
    <row r="3518" spans="25:29" x14ac:dyDescent="0.2">
      <c r="Y3518" s="105" t="str">
        <f t="shared" si="88"/>
        <v>1w</v>
      </c>
      <c r="Z3518" s="93">
        <f>_xll.qlCalendarAdvance(Calendar,Z3517,Y3518,"f",FALSE)</f>
        <v>63816</v>
      </c>
      <c r="AA3518" s="117">
        <f>_xll.qlCalendarAdvance(Calendar,Z3518,NDays&amp;"D")</f>
        <v>63818</v>
      </c>
      <c r="AB3518" s="92">
        <v>1.2630886159651031E-2</v>
      </c>
      <c r="AC3518" s="101">
        <v>1.2585466344043894E-2</v>
      </c>
    </row>
    <row r="3519" spans="25:29" x14ac:dyDescent="0.2">
      <c r="Y3519" s="105" t="str">
        <f t="shared" si="88"/>
        <v>1w</v>
      </c>
      <c r="Z3519" s="93">
        <f>_xll.qlCalendarAdvance(Calendar,Z3518,Y3519,"f",FALSE)</f>
        <v>63823</v>
      </c>
      <c r="AA3519" s="117">
        <f>_xll.qlCalendarAdvance(Calendar,Z3519,NDays&amp;"D")</f>
        <v>63825</v>
      </c>
      <c r="AB3519" s="92">
        <v>1.2631505068439764E-2</v>
      </c>
      <c r="AC3519" s="101">
        <v>1.2586132159313479E-2</v>
      </c>
    </row>
    <row r="3520" spans="25:29" x14ac:dyDescent="0.2">
      <c r="Y3520" s="105" t="str">
        <f t="shared" si="88"/>
        <v>1w</v>
      </c>
      <c r="Z3520" s="93">
        <f>_xll.qlCalendarAdvance(Calendar,Z3519,Y3520,"f",FALSE)</f>
        <v>63830</v>
      </c>
      <c r="AA3520" s="117">
        <f>_xll.qlCalendarAdvance(Calendar,Z3520,NDays&amp;"D")</f>
        <v>63832</v>
      </c>
      <c r="AB3520" s="92">
        <v>1.2632811745381826E-2</v>
      </c>
      <c r="AC3520" s="101">
        <v>1.258677545097342E-2</v>
      </c>
    </row>
    <row r="3521" spans="25:29" x14ac:dyDescent="0.2">
      <c r="Y3521" s="105" t="str">
        <f t="shared" si="88"/>
        <v>1w</v>
      </c>
      <c r="Z3521" s="93">
        <f>_xll.qlCalendarAdvance(Calendar,Z3520,Y3521,"f",FALSE)</f>
        <v>63837</v>
      </c>
      <c r="AA3521" s="117">
        <f>_xll.qlCalendarAdvance(Calendar,Z3521,NDays&amp;"D")</f>
        <v>63839</v>
      </c>
      <c r="AB3521" s="92">
        <v>1.2632190046827181E-2</v>
      </c>
      <c r="AC3521" s="101">
        <v>1.2587396188994404E-2</v>
      </c>
    </row>
    <row r="3522" spans="25:29" x14ac:dyDescent="0.2">
      <c r="Y3522" s="105" t="str">
        <f t="shared" si="88"/>
        <v>1w</v>
      </c>
      <c r="Z3522" s="93">
        <f>_xll.qlCalendarAdvance(Calendar,Z3521,Y3522,"f",FALSE)</f>
        <v>63844</v>
      </c>
      <c r="AA3522" s="117">
        <f>_xll.qlCalendarAdvance(Calendar,Z3522,NDays&amp;"D")</f>
        <v>63846</v>
      </c>
      <c r="AB3522" s="92">
        <v>1.2632497883636851E-2</v>
      </c>
      <c r="AC3522" s="101">
        <v>1.258799434340041E-2</v>
      </c>
    </row>
    <row r="3523" spans="25:29" x14ac:dyDescent="0.2">
      <c r="Y3523" s="105" t="str">
        <f t="shared" si="88"/>
        <v>1w</v>
      </c>
      <c r="Z3523" s="93">
        <f>_xll.qlCalendarAdvance(Calendar,Z3522,Y3523,"f",FALSE)</f>
        <v>63851</v>
      </c>
      <c r="AA3523" s="117">
        <f>_xll.qlCalendarAdvance(Calendar,Z3523,NDays&amp;"D")</f>
        <v>63853</v>
      </c>
      <c r="AB3523" s="92">
        <v>1.2632782578565581E-2</v>
      </c>
      <c r="AC3523" s="101">
        <v>1.2588569884108836E-2</v>
      </c>
    </row>
    <row r="3524" spans="25:29" x14ac:dyDescent="0.2">
      <c r="Y3524" s="105" t="str">
        <f t="shared" si="88"/>
        <v>1w</v>
      </c>
      <c r="Z3524" s="93">
        <f>_xll.qlCalendarAdvance(Calendar,Z3523,Y3524,"f",FALSE)</f>
        <v>63858</v>
      </c>
      <c r="AA3524" s="117">
        <f>_xll.qlCalendarAdvance(Calendar,Z3524,NDays&amp;"D")</f>
        <v>63860</v>
      </c>
      <c r="AB3524" s="92">
        <v>1.2632812166867286E-2</v>
      </c>
      <c r="AC3524" s="101">
        <v>1.2589122781090367E-2</v>
      </c>
    </row>
    <row r="3525" spans="25:29" x14ac:dyDescent="0.2">
      <c r="Y3525" s="105" t="str">
        <f t="shared" si="88"/>
        <v>1w</v>
      </c>
      <c r="Z3525" s="93">
        <f>_xll.qlCalendarAdvance(Calendar,Z3524,Y3525,"f",FALSE)</f>
        <v>63865</v>
      </c>
      <c r="AA3525" s="117">
        <f>_xll.qlCalendarAdvance(Calendar,Z3525,NDays&amp;"D")</f>
        <v>63867</v>
      </c>
      <c r="AB3525" s="92">
        <v>1.2633052146625339E-2</v>
      </c>
      <c r="AC3525" s="101">
        <v>1.2589653004422274E-2</v>
      </c>
    </row>
    <row r="3526" spans="25:29" x14ac:dyDescent="0.2">
      <c r="Y3526" s="105" t="str">
        <f t="shared" si="88"/>
        <v>1w</v>
      </c>
      <c r="Z3526" s="93">
        <f>_xll.qlCalendarAdvance(Calendar,Z3525,Y3526,"f",FALSE)</f>
        <v>63872</v>
      </c>
      <c r="AA3526" s="117">
        <f>_xll.qlCalendarAdvance(Calendar,Z3526,NDays&amp;"D")</f>
        <v>63874</v>
      </c>
      <c r="AB3526" s="92" t="e">
        <v>#N/A</v>
      </c>
      <c r="AC3526" s="101">
        <v>1.2590160524048599E-2</v>
      </c>
    </row>
    <row r="3527" spans="25:29" x14ac:dyDescent="0.2">
      <c r="Y3527" s="105" t="str">
        <f t="shared" si="88"/>
        <v>1w</v>
      </c>
      <c r="Z3527" s="93">
        <f>_xll.qlCalendarAdvance(Calendar,Z3526,Y3527,"f",FALSE)</f>
        <v>63879</v>
      </c>
      <c r="AA3527" s="117">
        <f>_xll.qlCalendarAdvance(Calendar,Z3527,NDays&amp;"D")</f>
        <v>63881</v>
      </c>
      <c r="AB3527" s="92" t="e">
        <v>#N/A</v>
      </c>
      <c r="AC3527" s="101">
        <v>1.2590645309886739E-2</v>
      </c>
    </row>
    <row r="3528" spans="25:29" x14ac:dyDescent="0.2">
      <c r="Y3528" s="105" t="str">
        <f t="shared" si="88"/>
        <v>1w</v>
      </c>
      <c r="Z3528" s="93">
        <f>_xll.qlCalendarAdvance(Calendar,Z3527,Y3528,"f",FALSE)</f>
        <v>63886</v>
      </c>
      <c r="AA3528" s="117">
        <f>_xll.qlCalendarAdvance(Calendar,Z3528,NDays&amp;"D")</f>
        <v>63888</v>
      </c>
      <c r="AB3528" s="92" t="e">
        <v>#N/A</v>
      </c>
      <c r="AC3528" s="101">
        <v>1.2591107331960671E-2</v>
      </c>
    </row>
    <row r="3529" spans="25:29" x14ac:dyDescent="0.2">
      <c r="Y3529" s="105" t="str">
        <f t="shared" si="88"/>
        <v>1w</v>
      </c>
      <c r="Z3529" s="93">
        <f>_xll.qlCalendarAdvance(Calendar,Z3528,Y3529,"f",FALSE)</f>
        <v>63893</v>
      </c>
      <c r="AA3529" s="117">
        <f>_xll.qlCalendarAdvance(Calendar,Z3529,NDays&amp;"D")</f>
        <v>63895</v>
      </c>
      <c r="AB3529" s="92" t="e">
        <v>#N/A</v>
      </c>
      <c r="AC3529" s="101">
        <v>1.259154656026773E-2</v>
      </c>
    </row>
    <row r="3530" spans="25:29" x14ac:dyDescent="0.2">
      <c r="Y3530" s="105" t="str">
        <f t="shared" si="88"/>
        <v>1w</v>
      </c>
      <c r="Z3530" s="93">
        <f>_xll.qlCalendarAdvance(Calendar,Z3529,Y3530,"f",FALSE)</f>
        <v>63900</v>
      </c>
      <c r="AA3530" s="117">
        <f>_xll.qlCalendarAdvance(Calendar,Z3530,NDays&amp;"D")</f>
        <v>63902</v>
      </c>
      <c r="AB3530" s="92" t="e">
        <v>#N/A</v>
      </c>
      <c r="AC3530" s="101">
        <v>1.2591962964778602E-2</v>
      </c>
    </row>
    <row r="3531" spans="25:29" x14ac:dyDescent="0.2">
      <c r="Y3531" s="105" t="str">
        <f t="shared" si="88"/>
        <v>1w</v>
      </c>
      <c r="Z3531" s="93">
        <f>_xll.qlCalendarAdvance(Calendar,Z3530,Y3531,"f",FALSE)</f>
        <v>63907</v>
      </c>
      <c r="AA3531" s="117">
        <f>_xll.qlCalendarAdvance(Calendar,Z3531,NDays&amp;"D")</f>
        <v>63909</v>
      </c>
      <c r="AB3531" s="92" t="e">
        <v>#N/A</v>
      </c>
      <c r="AC3531" s="101">
        <v>1.2592356515463976E-2</v>
      </c>
    </row>
    <row r="3532" spans="25:29" x14ac:dyDescent="0.2">
      <c r="Y3532" s="105" t="str">
        <f t="shared" si="88"/>
        <v>1w</v>
      </c>
      <c r="Z3532" s="93">
        <f>_xll.qlCalendarAdvance(Calendar,Z3531,Y3532,"f",FALSE)</f>
        <v>63915</v>
      </c>
      <c r="AA3532" s="117">
        <f>_xll.qlCalendarAdvance(Calendar,Z3532,NDays&amp;"D")</f>
        <v>63919</v>
      </c>
      <c r="AB3532" s="92" t="e">
        <v>#N/A</v>
      </c>
      <c r="AC3532" s="101">
        <v>1.2592633869576986E-2</v>
      </c>
    </row>
    <row r="3533" spans="25:29" x14ac:dyDescent="0.2">
      <c r="Y3533" s="105" t="str">
        <f t="shared" si="88"/>
        <v>1w</v>
      </c>
      <c r="Z3533" s="93">
        <f>_xll.qlCalendarAdvance(Calendar,Z3532,Y3533,"f",FALSE)</f>
        <v>63922</v>
      </c>
      <c r="AA3533" s="117">
        <f>_xll.qlCalendarAdvance(Calendar,Z3533,NDays&amp;"D")</f>
        <v>63926</v>
      </c>
      <c r="AB3533" s="92" t="e">
        <v>#N/A</v>
      </c>
      <c r="AC3533" s="101">
        <v>1.2592729740168451E-2</v>
      </c>
    </row>
    <row r="3534" spans="25:29" x14ac:dyDescent="0.2">
      <c r="Y3534" s="105" t="str">
        <f t="shared" si="88"/>
        <v>1w</v>
      </c>
      <c r="Z3534" s="93">
        <f>_xll.qlCalendarAdvance(Calendar,Z3533,Y3534,"f",FALSE)</f>
        <v>63929</v>
      </c>
      <c r="AA3534" s="117">
        <f>_xll.qlCalendarAdvance(Calendar,Z3534,NDays&amp;"D")</f>
        <v>63933</v>
      </c>
      <c r="AB3534" s="92" t="e">
        <v>#N/A</v>
      </c>
      <c r="AC3534" s="101">
        <v>1.259304796633387E-2</v>
      </c>
    </row>
    <row r="3535" spans="25:29" x14ac:dyDescent="0.2">
      <c r="Y3535" s="105" t="str">
        <f t="shared" si="88"/>
        <v>1w</v>
      </c>
      <c r="Z3535" s="93">
        <f>_xll.qlCalendarAdvance(Calendar,Z3534,Y3535,"f",FALSE)</f>
        <v>63936</v>
      </c>
      <c r="AA3535" s="117">
        <f>_xll.qlCalendarAdvance(Calendar,Z3535,NDays&amp;"D")</f>
        <v>63940</v>
      </c>
      <c r="AB3535" s="92" t="e">
        <v>#N/A</v>
      </c>
      <c r="AC3535" s="101">
        <v>1.259334321168204E-2</v>
      </c>
    </row>
    <row r="3536" spans="25:29" x14ac:dyDescent="0.2">
      <c r="Y3536" s="105" t="str">
        <f t="shared" si="88"/>
        <v>1w</v>
      </c>
      <c r="Z3536" s="93">
        <f>_xll.qlCalendarAdvance(Calendar,Z3535,Y3536,"f",FALSE)</f>
        <v>63943</v>
      </c>
      <c r="AA3536" s="117">
        <f>_xll.qlCalendarAdvance(Calendar,Z3536,NDays&amp;"D")</f>
        <v>63947</v>
      </c>
      <c r="AB3536" s="92" t="e">
        <v>#N/A</v>
      </c>
      <c r="AC3536" s="101">
        <v>1.2593615446077067E-2</v>
      </c>
    </row>
    <row r="3537" spans="2:29" x14ac:dyDescent="0.2">
      <c r="Y3537" s="105" t="str">
        <f t="shared" si="88"/>
        <v>1w</v>
      </c>
      <c r="Z3537" s="93">
        <f>_xll.qlCalendarAdvance(Calendar,Z3536,Y3537,"f",FALSE)</f>
        <v>63950</v>
      </c>
      <c r="AA3537" s="117">
        <f>_xll.qlCalendarAdvance(Calendar,Z3537,NDays&amp;"D")</f>
        <v>63954</v>
      </c>
      <c r="AB3537" s="92" t="e">
        <v>#N/A</v>
      </c>
      <c r="AC3537" s="101">
        <v>1.2593864639542929E-2</v>
      </c>
    </row>
    <row r="3538" spans="2:29" x14ac:dyDescent="0.2">
      <c r="Y3538" s="105" t="str">
        <f t="shared" si="88"/>
        <v>1w</v>
      </c>
      <c r="Z3538" s="93">
        <f>_xll.qlCalendarAdvance(Calendar,Z3537,Y3538,"f",FALSE)</f>
        <v>63957</v>
      </c>
      <c r="AA3538" s="117">
        <f>_xll.qlCalendarAdvance(Calendar,Z3538,NDays&amp;"D")</f>
        <v>63961</v>
      </c>
      <c r="AB3538" s="92" t="e">
        <v>#N/A</v>
      </c>
      <c r="AC3538" s="101">
        <v>1.2594090762103605E-2</v>
      </c>
    </row>
    <row r="3539" spans="2:29" x14ac:dyDescent="0.2">
      <c r="Y3539" s="105" t="str">
        <f t="shared" si="88"/>
        <v>1w</v>
      </c>
      <c r="Z3539" s="93">
        <f>_xll.qlCalendarAdvance(Calendar,Z3538,Y3539,"f",FALSE)</f>
        <v>63964</v>
      </c>
      <c r="AA3539" s="117">
        <f>_xll.qlCalendarAdvance(Calendar,Z3539,NDays&amp;"D")</f>
        <v>63968</v>
      </c>
      <c r="AB3539" s="92" t="e">
        <v>#N/A</v>
      </c>
      <c r="AC3539" s="101">
        <v>1.2594293783863009E-2</v>
      </c>
    </row>
    <row r="3540" spans="2:29" x14ac:dyDescent="0.2">
      <c r="B3540" s="93"/>
      <c r="C3540" s="117"/>
      <c r="D3540" s="92"/>
      <c r="E3540" s="92"/>
      <c r="Y3540" s="105" t="str">
        <f t="shared" si="88"/>
        <v>1w</v>
      </c>
      <c r="Z3540" s="93">
        <f>_xll.qlCalendarAdvance(Calendar,Z3539,Y3540,"f",FALSE)</f>
        <v>63971</v>
      </c>
      <c r="AA3540" s="117">
        <f>_xll.qlCalendarAdvance(Calendar,Z3540,NDays&amp;"D")</f>
        <v>63975</v>
      </c>
      <c r="AB3540" s="92" t="e">
        <v>#N/A</v>
      </c>
      <c r="AC3540" s="101">
        <v>1.2594473674525375E-2</v>
      </c>
    </row>
    <row r="3541" spans="2:29" x14ac:dyDescent="0.2">
      <c r="B3541" s="93"/>
      <c r="C3541" s="117"/>
      <c r="D3541" s="92"/>
      <c r="E3541" s="92"/>
      <c r="Y3541" s="105" t="str">
        <f t="shared" ref="Y3541:Y3552" si="89">Y3540</f>
        <v>1w</v>
      </c>
      <c r="Z3541" s="93">
        <f>_xll.qlCalendarAdvance(Calendar,Z3540,Y3541,"f",FALSE)</f>
        <v>63978</v>
      </c>
      <c r="AA3541" s="117">
        <f>_xll.qlCalendarAdvance(Calendar,Z3541,NDays&amp;"D")</f>
        <v>63982</v>
      </c>
      <c r="AB3541" s="92" t="e">
        <v>#N/A</v>
      </c>
      <c r="AC3541" s="101">
        <v>1.2594630404274554E-2</v>
      </c>
    </row>
    <row r="3542" spans="2:29" x14ac:dyDescent="0.2">
      <c r="B3542" s="93"/>
      <c r="C3542" s="117"/>
      <c r="D3542" s="92"/>
      <c r="E3542" s="92"/>
      <c r="Y3542" s="105" t="str">
        <f t="shared" si="89"/>
        <v>1w</v>
      </c>
      <c r="Z3542" s="93">
        <f>_xll.qlCalendarAdvance(Calendar,Z3541,Y3542,"f",FALSE)</f>
        <v>63985</v>
      </c>
      <c r="AA3542" s="117">
        <f>_xll.qlCalendarAdvance(Calendar,Z3542,NDays&amp;"D")</f>
        <v>63989</v>
      </c>
      <c r="AB3542" s="92" t="e">
        <v>#N/A</v>
      </c>
      <c r="AC3542" s="101">
        <v>1.2594763943134524E-2</v>
      </c>
    </row>
    <row r="3543" spans="2:29" x14ac:dyDescent="0.2">
      <c r="B3543" s="93"/>
      <c r="C3543" s="117"/>
      <c r="D3543" s="92"/>
      <c r="E3543" s="92"/>
      <c r="Y3543" s="105" t="str">
        <f t="shared" si="89"/>
        <v>1w</v>
      </c>
      <c r="Z3543" s="93">
        <f>_xll.qlCalendarAdvance(Calendar,Z3542,Y3543,"f",FALSE)</f>
        <v>63992</v>
      </c>
      <c r="AA3543" s="117">
        <f>_xll.qlCalendarAdvance(Calendar,Z3543,NDays&amp;"D")</f>
        <v>63996</v>
      </c>
      <c r="AB3543" s="92" t="e">
        <v>#N/A</v>
      </c>
      <c r="AC3543" s="101">
        <v>1.2594874260889455E-2</v>
      </c>
    </row>
    <row r="3544" spans="2:29" x14ac:dyDescent="0.2">
      <c r="B3544" s="93"/>
      <c r="C3544" s="117"/>
      <c r="D3544" s="92"/>
      <c r="E3544" s="92"/>
      <c r="Y3544" s="105" t="str">
        <f t="shared" si="89"/>
        <v>1w</v>
      </c>
      <c r="Z3544" s="93">
        <f>_xll.qlCalendarAdvance(Calendar,Z3543,Y3544,"f",FALSE)</f>
        <v>63999</v>
      </c>
      <c r="AA3544" s="117">
        <f>_xll.qlCalendarAdvance(Calendar,Z3544,NDays&amp;"D")</f>
        <v>64003</v>
      </c>
      <c r="AB3544" s="92" t="e">
        <v>#N/A</v>
      </c>
      <c r="AC3544" s="101">
        <v>1.2594961327643261E-2</v>
      </c>
    </row>
    <row r="3545" spans="2:29" x14ac:dyDescent="0.2">
      <c r="B3545" s="93"/>
      <c r="C3545" s="117"/>
      <c r="D3545" s="92"/>
      <c r="E3545" s="92"/>
      <c r="Y3545" s="105" t="str">
        <f t="shared" si="89"/>
        <v>1w</v>
      </c>
      <c r="Z3545" s="93">
        <f>_xll.qlCalendarAdvance(Calendar,Z3544,Y3545,"f",FALSE)</f>
        <v>64006</v>
      </c>
      <c r="AA3545" s="117">
        <f>_xll.qlCalendarAdvance(Calendar,Z3545,NDays&amp;"D")</f>
        <v>64010</v>
      </c>
      <c r="AB3545" s="92" t="e">
        <v>#N/A</v>
      </c>
      <c r="AC3545" s="101">
        <v>1.2595025113339986E-2</v>
      </c>
    </row>
    <row r="3546" spans="2:29" x14ac:dyDescent="0.2">
      <c r="B3546" s="93"/>
      <c r="C3546" s="117"/>
      <c r="D3546" s="92"/>
      <c r="E3546" s="92"/>
      <c r="Y3546" s="105" t="str">
        <f t="shared" si="89"/>
        <v>1w</v>
      </c>
      <c r="Z3546" s="93">
        <f>_xll.qlCalendarAdvance(Calendar,Z3545,Y3546,"f",FALSE)</f>
        <v>64013</v>
      </c>
      <c r="AA3546" s="117">
        <f>_xll.qlCalendarAdvance(Calendar,Z3546,NDays&amp;"D")</f>
        <v>64019</v>
      </c>
      <c r="AB3546" s="92" t="e">
        <v>#N/A</v>
      </c>
      <c r="AC3546" s="101">
        <v>1.2595072866501411E-2</v>
      </c>
    </row>
    <row r="3547" spans="2:29" x14ac:dyDescent="0.2">
      <c r="B3547" s="93"/>
      <c r="C3547" s="117"/>
      <c r="D3547" s="92"/>
      <c r="E3547" s="92"/>
      <c r="Y3547" s="105" t="str">
        <f t="shared" si="89"/>
        <v>1w</v>
      </c>
      <c r="Z3547" s="93">
        <f>_xll.qlCalendarAdvance(Calendar,Z3546,Y3547,"f",FALSE)</f>
        <v>64020</v>
      </c>
      <c r="AA3547" s="117">
        <f>_xll.qlCalendarAdvance(Calendar,Z3547,NDays&amp;"D")</f>
        <v>64024</v>
      </c>
      <c r="AB3547" s="92" t="e">
        <v>#N/A</v>
      </c>
      <c r="AC3547" s="101">
        <v>1.2595082721658102E-2</v>
      </c>
    </row>
    <row r="3548" spans="2:29" x14ac:dyDescent="0.2">
      <c r="B3548" s="93"/>
      <c r="C3548" s="117"/>
      <c r="D3548" s="92"/>
      <c r="E3548" s="92"/>
      <c r="Y3548" s="105" t="str">
        <f t="shared" si="89"/>
        <v>1w</v>
      </c>
      <c r="Z3548" s="93">
        <f>_xll.qlCalendarAdvance(Calendar,Z3547,Y3548,"f",FALSE)</f>
        <v>64027</v>
      </c>
      <c r="AA3548" s="117">
        <f>_xll.qlCalendarAdvance(Calendar,Z3548,NDays&amp;"D")</f>
        <v>64031</v>
      </c>
      <c r="AB3548" s="92" t="e">
        <v>#N/A</v>
      </c>
      <c r="AC3548" s="101">
        <v>1.2595076484167578E-2</v>
      </c>
    </row>
    <row r="3549" spans="2:29" x14ac:dyDescent="0.2">
      <c r="B3549" s="93"/>
      <c r="C3549" s="117"/>
      <c r="D3549" s="92"/>
      <c r="E3549" s="92"/>
      <c r="Y3549" s="105" t="str">
        <f t="shared" si="89"/>
        <v>1w</v>
      </c>
      <c r="Z3549" s="93">
        <f>_xll.qlCalendarAdvance(Calendar,Z3548,Y3549,"f",FALSE)</f>
        <v>64034</v>
      </c>
      <c r="AA3549" s="117">
        <f>_xll.qlCalendarAdvance(Calendar,Z3549,NDays&amp;"D")</f>
        <v>64038</v>
      </c>
      <c r="AB3549" s="92" t="e">
        <v>#N/A</v>
      </c>
      <c r="AC3549" s="101">
        <v>1.2595046845795821E-2</v>
      </c>
    </row>
    <row r="3550" spans="2:29" x14ac:dyDescent="0.2">
      <c r="B3550" s="93"/>
      <c r="C3550" s="117"/>
      <c r="D3550" s="92"/>
      <c r="E3550" s="92"/>
      <c r="Y3550" s="105" t="str">
        <f t="shared" si="89"/>
        <v>1w</v>
      </c>
      <c r="Z3550" s="93">
        <f>_xll.qlCalendarAdvance(Calendar,Z3549,Y3550,"f",FALSE)</f>
        <v>64041</v>
      </c>
      <c r="AA3550" s="117">
        <f>_xll.qlCalendarAdvance(Calendar,Z3550,NDays&amp;"D")</f>
        <v>64045</v>
      </c>
      <c r="AB3550" s="92" t="e">
        <v>#N/A</v>
      </c>
      <c r="AC3550" s="101">
        <v>1.2594993776007257E-2</v>
      </c>
    </row>
    <row r="3551" spans="2:29" x14ac:dyDescent="0.2">
      <c r="B3551" s="93"/>
      <c r="C3551" s="117"/>
      <c r="D3551" s="92"/>
      <c r="E3551" s="92"/>
      <c r="Y3551" s="105" t="str">
        <f t="shared" si="89"/>
        <v>1w</v>
      </c>
      <c r="Z3551" s="93">
        <f>_xll.qlCalendarAdvance(Calendar,Z3550,Y3551,"f",FALSE)</f>
        <v>64048</v>
      </c>
      <c r="AA3551" s="117">
        <f>_xll.qlCalendarAdvance(Calendar,Z3551,NDays&amp;"D")</f>
        <v>64052</v>
      </c>
      <c r="AB3551" s="92" t="e">
        <v>#N/A</v>
      </c>
      <c r="AC3551" s="101">
        <v>1.2594917245225545E-2</v>
      </c>
    </row>
    <row r="3552" spans="2:29" ht="12" thickBot="1" x14ac:dyDescent="0.25">
      <c r="B3552" s="93"/>
      <c r="C3552" s="117"/>
      <c r="D3552" s="92"/>
      <c r="E3552" s="92"/>
      <c r="Y3552" s="106" t="str">
        <f t="shared" si="89"/>
        <v>1w</v>
      </c>
      <c r="Z3552" s="103">
        <f>_xll.qlCalendarAdvance(Calendar,Z3551,Y3552,"f",FALSE)</f>
        <v>64055</v>
      </c>
      <c r="AA3552" s="126">
        <f>_xll.qlCalendarAdvance(Calendar,Z3552,NDays&amp;"D")</f>
        <v>64059</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2014-01-13T09:47:27Z</dcterms:created>
  <dcterms:modified xsi:type="dcterms:W3CDTF">2015-05-19T09:10:31Z</dcterms:modified>
</cp:coreProperties>
</file>